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2853B1-F1CD-4878-A3CE-09613B66A0A6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스마트기계과)" sheetId="22" r:id="rId1"/>
    <sheet name="교육과정편제표(전기시스템제어과)" sheetId="20" r:id="rId2"/>
    <sheet name="교육과정편제표(식품제조공정과)" sheetId="23" r:id="rId3"/>
    <sheet name="실무과목 능력단위(스마트기계과)" sheetId="26" r:id="rId4"/>
    <sheet name="실무과목 능력단위(전기시스템제어과)" sheetId="14" r:id="rId5"/>
    <sheet name="실무과목 능력단위(식품제조공정과)" sheetId="27" r:id="rId6"/>
    <sheet name="삭제금지" sheetId="4" r:id="rId7"/>
    <sheet name="(참고1) 편성 기준🔐" sheetId="16" r:id="rId8"/>
  </sheets>
  <externalReferences>
    <externalReference r:id="rId9"/>
  </externalReferences>
  <definedNames>
    <definedName name="_xlnm._FilterDatabase" localSheetId="0" hidden="1">'교육과정편제표(스마트기계과)'!$M$3:$P$4</definedName>
    <definedName name="_xlnm._FilterDatabase" localSheetId="2" hidden="1">'교육과정편제표(식품제조공정과)'!$M$3:$P$4</definedName>
    <definedName name="_xlnm._FilterDatabase" localSheetId="1" hidden="1">'교육과정편제표(전기시스템제어과)'!$M$3:$P$4</definedName>
    <definedName name="_xlnm._FilterDatabase" localSheetId="6" hidden="1">삭제금지!$A$1:$F$151</definedName>
    <definedName name="_xlnm._FilterDatabase" localSheetId="3" hidden="1">'실무과목 능력단위(스마트기계과)'!#REF!</definedName>
    <definedName name="_xlnm._FilterDatabase" localSheetId="5" hidden="1">'실무과목 능력단위(식품제조공정과)'!#REF!</definedName>
    <definedName name="_xlnm._FilterDatabase" localSheetId="4" hidden="1">'실무과목 능력단위(전기시스템제어과)'!#REF!</definedName>
    <definedName name="_xlnm.Print_Area" localSheetId="0">'교육과정편제표(스마트기계과)'!$A$1:$AE$71</definedName>
    <definedName name="_xlnm.Print_Area" localSheetId="2">'교육과정편제표(식품제조공정과)'!$A$1:$AE$73</definedName>
    <definedName name="_xlnm.Print_Area" localSheetId="1">'교육과정편제표(전기시스템제어과)'!$A$1:$AE$69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4" i="20" l="1"/>
  <c r="W53" i="22"/>
  <c r="R32" i="27"/>
  <c r="P32" i="27"/>
  <c r="N32" i="27"/>
  <c r="L32" i="27"/>
  <c r="T31" i="27"/>
  <c r="S31" i="27"/>
  <c r="Q31" i="27"/>
  <c r="O31" i="27"/>
  <c r="M31" i="27"/>
  <c r="K31" i="27"/>
  <c r="I31" i="27"/>
  <c r="T30" i="27"/>
  <c r="S30" i="27"/>
  <c r="Q30" i="27"/>
  <c r="O30" i="27"/>
  <c r="M30" i="27"/>
  <c r="K30" i="27"/>
  <c r="I30" i="27"/>
  <c r="R19" i="27"/>
  <c r="P19" i="27"/>
  <c r="N19" i="27"/>
  <c r="L19" i="27"/>
  <c r="K19" i="27"/>
  <c r="J19" i="27"/>
  <c r="I19" i="27"/>
  <c r="H19" i="27"/>
  <c r="T18" i="27"/>
  <c r="S18" i="27"/>
  <c r="Q18" i="27"/>
  <c r="U18" i="27" s="1"/>
  <c r="Q17" i="27"/>
  <c r="U17" i="27" s="1"/>
  <c r="T16" i="27"/>
  <c r="S16" i="27"/>
  <c r="Q16" i="27"/>
  <c r="O16" i="27"/>
  <c r="M16" i="27"/>
  <c r="K16" i="27"/>
  <c r="I16" i="27"/>
  <c r="T15" i="27"/>
  <c r="S15" i="27"/>
  <c r="Q15" i="27"/>
  <c r="O15" i="27"/>
  <c r="M15" i="27"/>
  <c r="K15" i="27"/>
  <c r="I15" i="27"/>
  <c r="R11" i="27"/>
  <c r="P11" i="27"/>
  <c r="N11" i="27"/>
  <c r="L11" i="27"/>
  <c r="T10" i="27"/>
  <c r="S10" i="27"/>
  <c r="Q10" i="27"/>
  <c r="O10" i="27"/>
  <c r="M10" i="27"/>
  <c r="K10" i="27"/>
  <c r="I10" i="27"/>
  <c r="T9" i="27"/>
  <c r="S9" i="27"/>
  <c r="Q9" i="27"/>
  <c r="O9" i="27"/>
  <c r="M9" i="27"/>
  <c r="K9" i="27"/>
  <c r="I9" i="27"/>
  <c r="R38" i="26"/>
  <c r="P38" i="26"/>
  <c r="N38" i="26"/>
  <c r="L38" i="26"/>
  <c r="K38" i="26"/>
  <c r="J38" i="26"/>
  <c r="I38" i="26"/>
  <c r="H38" i="26"/>
  <c r="T37" i="26"/>
  <c r="S37" i="26"/>
  <c r="Q37" i="26"/>
  <c r="U37" i="26" s="1"/>
  <c r="T36" i="26"/>
  <c r="S36" i="26"/>
  <c r="Q36" i="26"/>
  <c r="T35" i="26"/>
  <c r="S35" i="26"/>
  <c r="Q35" i="26"/>
  <c r="U35" i="26" s="1"/>
  <c r="Q34" i="26"/>
  <c r="U34" i="26" s="1"/>
  <c r="T33" i="26"/>
  <c r="S33" i="26"/>
  <c r="Q33" i="26"/>
  <c r="O33" i="26"/>
  <c r="M33" i="26"/>
  <c r="K33" i="26"/>
  <c r="I33" i="26"/>
  <c r="U33" i="26" s="1"/>
  <c r="T32" i="26"/>
  <c r="S32" i="26"/>
  <c r="Q32" i="26"/>
  <c r="O32" i="26"/>
  <c r="M32" i="26"/>
  <c r="M38" i="26" s="1"/>
  <c r="K32" i="26"/>
  <c r="I32" i="26"/>
  <c r="R21" i="26"/>
  <c r="P21" i="26"/>
  <c r="N21" i="26"/>
  <c r="L21" i="26"/>
  <c r="K21" i="26"/>
  <c r="J21" i="26"/>
  <c r="I21" i="26"/>
  <c r="H21" i="26"/>
  <c r="T20" i="26"/>
  <c r="S20" i="26"/>
  <c r="U20" i="26" s="1"/>
  <c r="Q20" i="26"/>
  <c r="T19" i="26"/>
  <c r="S19" i="26"/>
  <c r="Q19" i="26"/>
  <c r="U19" i="26" s="1"/>
  <c r="T18" i="26"/>
  <c r="S18" i="26"/>
  <c r="Q18" i="26"/>
  <c r="U18" i="26" s="1"/>
  <c r="Q17" i="26"/>
  <c r="U17" i="26" s="1"/>
  <c r="T16" i="26"/>
  <c r="S16" i="26"/>
  <c r="Q16" i="26"/>
  <c r="O16" i="26"/>
  <c r="M16" i="26"/>
  <c r="K16" i="26"/>
  <c r="I16" i="26"/>
  <c r="T15" i="26"/>
  <c r="S15" i="26"/>
  <c r="Q15" i="26"/>
  <c r="O15" i="26"/>
  <c r="M15" i="26"/>
  <c r="K15" i="26"/>
  <c r="I15" i="26"/>
  <c r="R11" i="26"/>
  <c r="P11" i="26"/>
  <c r="N11" i="26"/>
  <c r="L11" i="26"/>
  <c r="T10" i="26"/>
  <c r="S10" i="26"/>
  <c r="Q10" i="26"/>
  <c r="O10" i="26"/>
  <c r="O11" i="26" s="1"/>
  <c r="M10" i="26"/>
  <c r="K10" i="26"/>
  <c r="I10" i="26"/>
  <c r="T9" i="26"/>
  <c r="S9" i="26"/>
  <c r="Q9" i="26"/>
  <c r="O9" i="26"/>
  <c r="M9" i="26"/>
  <c r="K9" i="26"/>
  <c r="I9" i="26"/>
  <c r="U9" i="26" s="1"/>
  <c r="S71" i="23"/>
  <c r="O71" i="23"/>
  <c r="K71" i="23"/>
  <c r="W70" i="23"/>
  <c r="W69" i="23"/>
  <c r="AA70" i="23" s="1"/>
  <c r="Y66" i="23"/>
  <c r="W66" i="23"/>
  <c r="Y63" i="23"/>
  <c r="U63" i="23"/>
  <c r="S63" i="23"/>
  <c r="Q63" i="23"/>
  <c r="O63" i="23"/>
  <c r="M63" i="23"/>
  <c r="K63" i="23"/>
  <c r="J63" i="23"/>
  <c r="I63" i="23"/>
  <c r="I65" i="23" s="1"/>
  <c r="H63" i="23"/>
  <c r="W56" i="23"/>
  <c r="W55" i="23"/>
  <c r="W52" i="23"/>
  <c r="W50" i="23"/>
  <c r="W49" i="23"/>
  <c r="W46" i="23"/>
  <c r="W45" i="23"/>
  <c r="W44" i="23"/>
  <c r="W43" i="23"/>
  <c r="W42" i="23"/>
  <c r="W41" i="23"/>
  <c r="W40" i="23"/>
  <c r="W38" i="23"/>
  <c r="Y37" i="23"/>
  <c r="Y65" i="23" s="1"/>
  <c r="U37" i="23"/>
  <c r="S37" i="23"/>
  <c r="Q37" i="23"/>
  <c r="O37" i="23"/>
  <c r="M37" i="23"/>
  <c r="K37" i="23"/>
  <c r="H37" i="23"/>
  <c r="H65" i="23" s="1"/>
  <c r="W34" i="23"/>
  <c r="W30" i="23"/>
  <c r="W29" i="23"/>
  <c r="W28" i="23"/>
  <c r="W27" i="23"/>
  <c r="W26" i="23"/>
  <c r="J26" i="23"/>
  <c r="W25" i="23"/>
  <c r="J25" i="23"/>
  <c r="J37" i="23" s="1"/>
  <c r="W24" i="23"/>
  <c r="W23" i="23"/>
  <c r="X23" i="23" s="1"/>
  <c r="W22" i="23"/>
  <c r="W21" i="23"/>
  <c r="X21" i="23" s="1"/>
  <c r="W20" i="23"/>
  <c r="W19" i="23"/>
  <c r="X19" i="23" s="1"/>
  <c r="W18" i="23"/>
  <c r="W16" i="23"/>
  <c r="W15" i="23"/>
  <c r="W14" i="23"/>
  <c r="W13" i="23"/>
  <c r="W12" i="23"/>
  <c r="X12" i="23" s="1"/>
  <c r="W11" i="23"/>
  <c r="W10" i="23"/>
  <c r="W9" i="23"/>
  <c r="X9" i="23" s="1"/>
  <c r="S69" i="22"/>
  <c r="O69" i="22"/>
  <c r="K69" i="22"/>
  <c r="W69" i="22" s="1"/>
  <c r="W68" i="22"/>
  <c r="W67" i="22"/>
  <c r="AA68" i="22" s="1"/>
  <c r="Y64" i="22"/>
  <c r="W64" i="22"/>
  <c r="I63" i="22"/>
  <c r="H63" i="22"/>
  <c r="Y61" i="22"/>
  <c r="U61" i="22"/>
  <c r="S61" i="22"/>
  <c r="Q61" i="22"/>
  <c r="O61" i="22"/>
  <c r="M61" i="22"/>
  <c r="K61" i="22"/>
  <c r="J61" i="22"/>
  <c r="I61" i="22"/>
  <c r="H61" i="22"/>
  <c r="W54" i="22"/>
  <c r="W50" i="22"/>
  <c r="W48" i="22"/>
  <c r="W47" i="22"/>
  <c r="W45" i="22"/>
  <c r="W44" i="22"/>
  <c r="W43" i="22"/>
  <c r="W42" i="22"/>
  <c r="W41" i="22"/>
  <c r="W40" i="22"/>
  <c r="W39" i="22"/>
  <c r="W38" i="22"/>
  <c r="Y37" i="22"/>
  <c r="U37" i="22"/>
  <c r="S37" i="22"/>
  <c r="Q37" i="22"/>
  <c r="O37" i="22"/>
  <c r="M37" i="22"/>
  <c r="K37" i="22"/>
  <c r="H37" i="22"/>
  <c r="W34" i="22"/>
  <c r="W30" i="22"/>
  <c r="W29" i="22"/>
  <c r="W28" i="22"/>
  <c r="W27" i="22"/>
  <c r="W26" i="22"/>
  <c r="J26" i="22"/>
  <c r="W25" i="22"/>
  <c r="X25" i="22" s="1"/>
  <c r="J25" i="22"/>
  <c r="J37" i="22" s="1"/>
  <c r="J63" i="22" s="1"/>
  <c r="W24" i="22"/>
  <c r="W23" i="22"/>
  <c r="W22" i="22"/>
  <c r="W21" i="22"/>
  <c r="W20" i="22"/>
  <c r="W19" i="22"/>
  <c r="W18" i="22"/>
  <c r="W16" i="22"/>
  <c r="W15" i="22"/>
  <c r="W14" i="22"/>
  <c r="W13" i="22"/>
  <c r="W12" i="22"/>
  <c r="X12" i="22" s="1"/>
  <c r="W11" i="22"/>
  <c r="W10" i="22"/>
  <c r="W9" i="22"/>
  <c r="X9" i="22" s="1"/>
  <c r="S67" i="20"/>
  <c r="O67" i="20"/>
  <c r="K67" i="20"/>
  <c r="W66" i="20"/>
  <c r="Y66" i="20" s="1"/>
  <c r="AA68" i="20" s="1"/>
  <c r="W65" i="20"/>
  <c r="AA66" i="20" s="1"/>
  <c r="Y62" i="20"/>
  <c r="W62" i="20"/>
  <c r="I61" i="20"/>
  <c r="Y59" i="20"/>
  <c r="U59" i="20"/>
  <c r="S59" i="20"/>
  <c r="Q59" i="20"/>
  <c r="O59" i="20"/>
  <c r="M59" i="20"/>
  <c r="K59" i="20"/>
  <c r="I59" i="20"/>
  <c r="H59" i="20"/>
  <c r="J59" i="20"/>
  <c r="W53" i="20"/>
  <c r="W52" i="20"/>
  <c r="W46" i="20"/>
  <c r="W45" i="20"/>
  <c r="W44" i="20"/>
  <c r="W43" i="20"/>
  <c r="W42" i="20"/>
  <c r="W41" i="20"/>
  <c r="W40" i="20"/>
  <c r="W38" i="20"/>
  <c r="Y37" i="20"/>
  <c r="U37" i="20"/>
  <c r="S37" i="20"/>
  <c r="Q37" i="20"/>
  <c r="O37" i="20"/>
  <c r="M37" i="20"/>
  <c r="K37" i="20"/>
  <c r="H37" i="20"/>
  <c r="H61" i="20" s="1"/>
  <c r="W34" i="20"/>
  <c r="W30" i="20"/>
  <c r="W29" i="20"/>
  <c r="W28" i="20"/>
  <c r="W27" i="20"/>
  <c r="W26" i="20"/>
  <c r="J26" i="20"/>
  <c r="W25" i="20"/>
  <c r="J25" i="20"/>
  <c r="W24" i="20"/>
  <c r="W23" i="20"/>
  <c r="W22" i="20"/>
  <c r="W21" i="20"/>
  <c r="W20" i="20"/>
  <c r="W19" i="20"/>
  <c r="W18" i="20"/>
  <c r="W16" i="20"/>
  <c r="W15" i="20"/>
  <c r="W14" i="20"/>
  <c r="W13" i="20"/>
  <c r="W12" i="20"/>
  <c r="W11" i="20"/>
  <c r="W10" i="20"/>
  <c r="W9" i="20"/>
  <c r="X9" i="20" s="1"/>
  <c r="X15" i="23" l="1"/>
  <c r="Y61" i="20"/>
  <c r="U63" i="22"/>
  <c r="X21" i="20"/>
  <c r="X23" i="22"/>
  <c r="X15" i="22"/>
  <c r="M63" i="22"/>
  <c r="O63" i="22"/>
  <c r="X19" i="22"/>
  <c r="W37" i="22"/>
  <c r="AA37" i="22" s="1"/>
  <c r="X21" i="22"/>
  <c r="Y63" i="22"/>
  <c r="W61" i="22"/>
  <c r="Q63" i="22"/>
  <c r="S63" i="22"/>
  <c r="O38" i="26"/>
  <c r="S38" i="26"/>
  <c r="O21" i="26"/>
  <c r="T38" i="26"/>
  <c r="T21" i="26"/>
  <c r="S11" i="26"/>
  <c r="U16" i="26"/>
  <c r="M11" i="26"/>
  <c r="Q21" i="26"/>
  <c r="Q38" i="26"/>
  <c r="S21" i="26"/>
  <c r="U36" i="26"/>
  <c r="M21" i="26"/>
  <c r="U32" i="26"/>
  <c r="Q11" i="26"/>
  <c r="T11" i="26"/>
  <c r="M32" i="27"/>
  <c r="U10" i="27"/>
  <c r="U9" i="27"/>
  <c r="M11" i="27"/>
  <c r="O11" i="27"/>
  <c r="O19" i="27"/>
  <c r="T32" i="27"/>
  <c r="U16" i="27"/>
  <c r="O32" i="27"/>
  <c r="Q32" i="27"/>
  <c r="U30" i="27"/>
  <c r="M19" i="27"/>
  <c r="S11" i="27"/>
  <c r="T19" i="27"/>
  <c r="T11" i="27"/>
  <c r="S32" i="27"/>
  <c r="Q19" i="27"/>
  <c r="U31" i="27"/>
  <c r="S19" i="27"/>
  <c r="Q11" i="27"/>
  <c r="U15" i="27"/>
  <c r="U10" i="26"/>
  <c r="U11" i="26" s="1"/>
  <c r="U15" i="26"/>
  <c r="U65" i="23"/>
  <c r="W63" i="23"/>
  <c r="W71" i="23"/>
  <c r="S65" i="23"/>
  <c r="K65" i="23"/>
  <c r="Y70" i="23"/>
  <c r="AA72" i="23" s="1"/>
  <c r="J65" i="23"/>
  <c r="X25" i="23"/>
  <c r="Q65" i="23"/>
  <c r="O65" i="23"/>
  <c r="M65" i="23"/>
  <c r="W37" i="23"/>
  <c r="AA37" i="23" s="1"/>
  <c r="X19" i="20"/>
  <c r="O61" i="20"/>
  <c r="J37" i="20"/>
  <c r="W67" i="20"/>
  <c r="K63" i="22"/>
  <c r="Y68" i="22"/>
  <c r="AA70" i="22" s="1"/>
  <c r="S61" i="20"/>
  <c r="X23" i="20"/>
  <c r="W37" i="20"/>
  <c r="AA37" i="20" s="1"/>
  <c r="X12" i="20"/>
  <c r="M61" i="20"/>
  <c r="X25" i="20"/>
  <c r="X15" i="20"/>
  <c r="J61" i="20"/>
  <c r="W59" i="20"/>
  <c r="U61" i="20"/>
  <c r="Q61" i="20"/>
  <c r="K61" i="20"/>
  <c r="W63" i="22" l="1"/>
  <c r="AA65" i="22" s="1"/>
  <c r="U21" i="26"/>
  <c r="U38" i="26"/>
  <c r="U32" i="27"/>
  <c r="U11" i="27"/>
  <c r="U19" i="27"/>
  <c r="W65" i="23"/>
  <c r="AA67" i="23" s="1"/>
  <c r="W61" i="20"/>
  <c r="AA63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A4A36557-1C03-479C-89E3-C4E18927E23E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9" authorId="0" shapeId="0" xr:uid="{3CB888A9-7610-4ED3-8290-8976E262911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1" authorId="0" shapeId="0" xr:uid="{664158A3-348B-414E-891D-3BFA271117F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01ED2C74-7DC6-413D-AD9F-171CCA35E59E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3D0418AF-FAAF-497C-94BD-1E4F0C1DF073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9" authorId="0" shapeId="0" xr:uid="{665B2C84-1AA6-4443-BD13-ADC35B1B731A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324F36EC-C02C-4686-ACC7-97A402DC39F5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0" authorId="0" shapeId="0" xr:uid="{1057D830-AAC8-48E8-843C-85696605817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3" authorId="0" shapeId="0" xr:uid="{CD02314C-7829-4C42-898D-629B05144392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<sst xmlns="http://schemas.openxmlformats.org/spreadsheetml/2006/main" count="2120" uniqueCount="750">
  <si>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</si>
  <si>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</si>
  <si>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</si>
  <si>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</si>
  <si>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</si>
  <si>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</si>
  <si>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</si>
  <si>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</si>
  <si>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</si>
  <si>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</si>
  <si>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</si>
  <si>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</si>
  <si>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</si>
  <si>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</si>
  <si>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</si>
  <si>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</si>
  <si>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</si>
  <si>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</si>
  <si>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</si>
  <si>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</si>
  <si>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</si>
  <si>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</si>
  <si>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</si>
  <si>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</si>
  <si>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</si>
  <si>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</si>
  <si>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</si>
  <si>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</si>
  <si>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</si>
  <si>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</si>
  <si>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</si>
  <si>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</si>
  <si>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</si>
  <si>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</si>
  <si>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</si>
  <si>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</si>
  <si>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</si>
  <si>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</si>
  <si>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</si>
  <si>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</si>
  <si>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</si>
  <si>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</si>
  <si>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</si>
  <si>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</si>
  <si>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</si>
  <si>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</si>
  <si>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</si>
  <si>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</si>
  <si>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</si>
  <si>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</si>
  <si>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</si>
  <si>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</si>
  <si>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</si>
  <si>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</si>
  <si>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</si>
  <si>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</si>
  <si>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</si>
  <si>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</si>
  <si>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</si>
  <si>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</si>
  <si>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</si>
  <si>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</si>
  <si>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</si>
  <si>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</si>
  <si>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</si>
  <si>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</si>
  <si>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</si>
  <si>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</si>
  <si>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</si>
  <si>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</si>
  <si>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</si>
  <si>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</si>
  <si>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</si>
  <si>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</si>
  <si>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</si>
  <si>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</si>
  <si>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</si>
  <si>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</si>
  <si>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</si>
  <si>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</si>
  <si>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</si>
  <si>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</si>
  <si>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</si>
  <si>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</si>
  <si>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</si>
  <si>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</si>
  <si>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</si>
  <si>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</si>
  <si>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</si>
  <si>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</si>
  <si>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</si>
  <si>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</si>
  <si>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</si>
  <si>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</si>
  <si>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</si>
  <si>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</si>
  <si>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</si>
  <si>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</si>
  <si>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</si>
  <si>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</si>
  <si>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</si>
  <si>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</si>
  <si>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</si>
  <si>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</si>
  <si>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</si>
  <si>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</si>
  <si>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</si>
  <si>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</si>
  <si>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</si>
  <si>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</si>
  <si>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</si>
  <si>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</si>
  <si>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</si>
  <si>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</si>
  <si>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</si>
  <si>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</si>
  <si>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</si>
  <si>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</si>
  <si>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</si>
  <si>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</si>
  <si>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</si>
  <si>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</si>
  <si>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</si>
  <si>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</si>
  <si>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</si>
  <si>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</si>
  <si>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</si>
  <si>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</si>
  <si>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</si>
  <si>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</si>
  <si>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</si>
  <si>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</si>
  <si>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</si>
  <si>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정보·통신</t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</si>
  <si>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</si>
  <si>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</si>
  <si>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</si>
  <si>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</si>
  <si>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</si>
  <si>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</si>
  <si>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</si>
  <si>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</si>
  <si>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</si>
  <si>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</si>
  <si>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</si>
  <si>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</si>
  <si>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</si>
  <si>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</si>
  <si>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</si>
  <si>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</si>
  <si>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</si>
  <si>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</si>
  <si>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</si>
  <si>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</si>
  <si>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</si>
  <si>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전기</t>
    <phoneticPr fontId="9" type="noConversion"/>
  </si>
  <si>
    <t>전공
선택
(택1)</t>
    <phoneticPr fontId="9" type="noConversion"/>
  </si>
  <si>
    <t>학과
융합
(택1)</t>
    <phoneticPr fontId="9" type="noConversion"/>
  </si>
  <si>
    <t>전기·전자</t>
  </si>
  <si>
    <t>교과최소학점</t>
  </si>
  <si>
    <t>창체최소학점</t>
  </si>
  <si>
    <t>학교간
(공동실습소)
(택1)</t>
    <phoneticPr fontId="9" type="noConversion"/>
  </si>
  <si>
    <t>강릉공동실습소</t>
    <phoneticPr fontId="9" type="noConversion"/>
  </si>
  <si>
    <t>홍천공동실습소</t>
    <phoneticPr fontId="9" type="noConversion"/>
  </si>
  <si>
    <t>태백공동실습소</t>
    <phoneticPr fontId="9" type="noConversion"/>
  </si>
  <si>
    <t>춘천공동실습소</t>
    <phoneticPr fontId="9" type="noConversion"/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</si>
  <si>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</si>
  <si>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</si>
  <si>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</si>
  <si>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</si>
  <si>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</si>
  <si>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</si>
  <si>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</si>
  <si>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</si>
  <si>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</si>
  <si>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</si>
  <si>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</si>
  <si>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</si>
  <si>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</si>
  <si>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</si>
  <si>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</si>
  <si>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</si>
  <si>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</si>
  <si>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</si>
  <si>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</si>
  <si>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</si>
  <si>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</si>
  <si>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</si>
  <si>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</si>
  <si>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</si>
  <si>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</si>
  <si>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</si>
  <si>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</si>
  <si>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</si>
  <si>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</si>
  <si>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</si>
  <si>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</si>
  <si>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</si>
  <si>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</si>
  <si>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</si>
  <si>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</si>
  <si>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</si>
  <si>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</si>
  <si>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</si>
  <si>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</si>
  <si>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</si>
  <si>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</si>
  <si>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</si>
  <si>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</si>
  <si>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</si>
  <si>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</si>
  <si>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</si>
  <si>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</si>
  <si>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</si>
  <si>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</si>
  <si>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</si>
  <si>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</si>
  <si>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</si>
  <si>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</si>
  <si>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</si>
  <si>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</si>
  <si>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</si>
  <si>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</si>
  <si>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</si>
  <si>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</si>
  <si>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</si>
  <si>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</si>
  <si>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</si>
  <si>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</si>
  <si>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</si>
  <si>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</si>
  <si>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</si>
  <si>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</si>
  <si>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</si>
  <si>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</si>
  <si>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</si>
  <si>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</si>
  <si>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</si>
  <si>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</si>
  <si>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</si>
  <si>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</si>
  <si>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</si>
  <si>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</si>
  <si>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</si>
  <si>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</si>
  <si>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</si>
  <si>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</si>
  <si>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</si>
  <si>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</si>
  <si>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</si>
  <si>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</si>
  <si>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</si>
  <si>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</si>
  <si>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</si>
  <si>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</si>
  <si>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</si>
  <si>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</si>
  <si>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</si>
  <si>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</si>
  <si>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</si>
  <si>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</si>
  <si>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</si>
  <si>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</si>
  <si>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</si>
  <si>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</si>
  <si>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</si>
  <si>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</si>
  <si>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</si>
  <si>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</si>
  <si>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</si>
  <si>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</si>
  <si>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</si>
  <si>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</si>
  <si>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</si>
  <si>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</si>
  <si>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</si>
  <si>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</si>
  <si>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</si>
  <si>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</si>
  <si>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</si>
  <si>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</si>
  <si>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</si>
  <si>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</si>
  <si>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</si>
  <si>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</si>
  <si>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</si>
  <si>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</si>
  <si>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</si>
  <si>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</si>
  <si>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</si>
  <si>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</si>
  <si>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</si>
  <si>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</si>
  <si>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</si>
  <si>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</si>
  <si>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</si>
  <si>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</si>
  <si>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</si>
  <si>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</si>
  <si>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</si>
  <si>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</si>
  <si>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</si>
  <si>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</si>
  <si>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</si>
  <si>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</si>
  <si>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</si>
  <si>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</si>
  <si>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</si>
  <si>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</si>
  <si>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</si>
  <si>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</si>
  <si>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</si>
  <si>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</si>
  <si>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</si>
  <si>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</si>
  <si>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</si>
  <si>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</si>
  <si>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</si>
  <si>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</si>
  <si>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</si>
  <si>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</si>
  <si>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</si>
  <si>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</si>
  <si>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</si>
  <si>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</si>
  <si>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</si>
  <si>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</si>
  <si>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</si>
  <si>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</si>
  <si>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</si>
  <si>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</si>
  <si>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</si>
  <si>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</si>
  <si>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</si>
  <si>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</si>
  <si>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</si>
  <si>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</si>
  <si>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</si>
  <si>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</si>
  <si>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</si>
  <si>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</si>
  <si>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</si>
  <si>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</si>
  <si>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</si>
  <si>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</si>
  <si>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</si>
  <si>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</si>
  <si>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</si>
  <si>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</si>
  <si>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</si>
  <si>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직무 의사소통</t>
    <phoneticPr fontId="9" type="noConversion"/>
  </si>
  <si>
    <t>3~5</t>
    <phoneticPr fontId="9" type="noConversion"/>
  </si>
  <si>
    <t>직무 수학</t>
    <phoneticPr fontId="9" type="noConversion"/>
  </si>
  <si>
    <t>사회(역사/도덕 포함)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</si>
  <si>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</si>
  <si>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</si>
  <si>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</si>
  <si>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</si>
  <si>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</si>
  <si>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</si>
  <si>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</si>
  <si>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</si>
  <si>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</si>
  <si>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</si>
  <si>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</si>
  <si>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</si>
  <si>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식품·조리</t>
    <phoneticPr fontId="9" type="noConversion"/>
  </si>
  <si>
    <t>건축·토목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</si>
  <si>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</si>
  <si>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</si>
  <si>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</si>
  <si>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</si>
  <si>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</si>
  <si>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</si>
  <si>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</si>
  <si>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</si>
  <si>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</si>
  <si>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</si>
  <si>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</si>
  <si>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</si>
  <si>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</si>
  <si>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</si>
  <si>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</si>
  <si>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</si>
  <si>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</si>
  <si>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</si>
  <si>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</si>
  <si>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</si>
  <si>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</si>
  <si>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</si>
  <si>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</si>
  <si>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</si>
  <si>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</si>
  <si>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</si>
  <si>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</si>
  <si>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</si>
  <si>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</si>
  <si>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</si>
  <si>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</si>
  <si>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</si>
  <si>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</si>
  <si>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</si>
  <si>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</si>
  <si>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</si>
  <si>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</si>
  <si>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</si>
  <si>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</si>
  <si>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</si>
  <si>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</si>
  <si>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</si>
  <si>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</si>
  <si>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</si>
  <si>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</si>
  <si>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</si>
  <si>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</si>
  <si>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</si>
  <si>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</si>
  <si>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</si>
  <si>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</si>
  <si>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</si>
  <si>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</si>
  <si>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</si>
  <si>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</si>
  <si>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</si>
  <si>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</si>
  <si>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</si>
  <si>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</si>
  <si>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</si>
  <si>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</si>
  <si>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</si>
  <si>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</si>
  <si>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</si>
  <si>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</si>
  <si>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</si>
  <si>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</si>
  <si>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</si>
  <si>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</si>
  <si>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</si>
  <si>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</si>
  <si>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</si>
  <si>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</si>
  <si>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</si>
  <si>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</si>
  <si>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</si>
  <si>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</si>
  <si>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</si>
  <si>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</si>
  <si>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</si>
  <si>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</si>
  <si>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</si>
  <si>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</si>
  <si>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</si>
  <si>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</si>
  <si>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</si>
  <si>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</si>
  <si>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</si>
  <si>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</si>
  <si>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</si>
  <si>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</si>
  <si>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</si>
  <si>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</si>
  <si>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</si>
  <si>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</si>
  <si>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</si>
  <si>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</si>
  <si>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</si>
  <si>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</si>
  <si>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</si>
  <si>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</si>
  <si>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</si>
  <si>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</si>
  <si>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</si>
  <si>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</si>
  <si>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</si>
  <si>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</si>
  <si>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</si>
  <si>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</si>
  <si>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</si>
  <si>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</si>
  <si>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</si>
  <si>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</si>
  <si>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</si>
  <si>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</si>
  <si>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</si>
  <si>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</si>
  <si>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</si>
  <si>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</si>
  <si>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</si>
  <si>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</si>
  <si>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</si>
  <si>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</si>
  <si>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</si>
  <si>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</si>
  <si>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</si>
  <si>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</si>
  <si>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</si>
  <si>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</si>
  <si>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</si>
  <si>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</si>
  <si>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</si>
  <si>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</si>
  <si>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</si>
  <si>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</si>
  <si>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</si>
  <si>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</si>
  <si>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</si>
  <si>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</si>
  <si>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</si>
  <si>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</si>
  <si>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</si>
  <si>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</si>
  <si>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</si>
  <si>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</si>
  <si>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</si>
  <si>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</si>
  <si>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</si>
  <si>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</si>
  <si>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±1</t>
    <phoneticPr fontId="9" type="noConversion"/>
  </si>
  <si>
    <t>시도 교육감</t>
    <phoneticPr fontId="9" type="noConversion"/>
  </si>
  <si>
    <t>충남</t>
  </si>
  <si>
    <t>금산하이텍고등학교</t>
    <phoneticPr fontId="9" type="noConversion"/>
  </si>
  <si>
    <t>기계과</t>
  </si>
  <si>
    <t>스미트기계과</t>
    <phoneticPr fontId="9" type="noConversion"/>
  </si>
  <si>
    <t>운동과 건강</t>
    <phoneticPr fontId="9" type="noConversion"/>
  </si>
  <si>
    <t>유근경</t>
    <phoneticPr fontId="9" type="noConversion"/>
  </si>
  <si>
    <t>김효정</t>
    <phoneticPr fontId="9" type="noConversion"/>
  </si>
  <si>
    <t>070-5003-0827</t>
    <phoneticPr fontId="9" type="noConversion"/>
  </si>
  <si>
    <t>070-5003-0800</t>
    <phoneticPr fontId="9" type="noConversion"/>
  </si>
  <si>
    <t>직무 영어</t>
    <phoneticPr fontId="9" type="noConversion"/>
  </si>
  <si>
    <t>성공적인 직업 생활(기가대체)</t>
    <phoneticPr fontId="9" type="noConversion"/>
  </si>
  <si>
    <t>기계 기초 공작</t>
    <phoneticPr fontId="9" type="noConversion"/>
  </si>
  <si>
    <t>기계 제도</t>
    <phoneticPr fontId="9" type="noConversion"/>
  </si>
  <si>
    <t>전자 기계 이론</t>
    <phoneticPr fontId="9" type="noConversion"/>
  </si>
  <si>
    <t>기계 소프트웨어 개발</t>
    <phoneticPr fontId="9" type="noConversion"/>
  </si>
  <si>
    <t>3D 프린터용 제품 제작</t>
    <phoneticPr fontId="9" type="noConversion"/>
  </si>
  <si>
    <t>스포츠 문화</t>
    <phoneticPr fontId="9" type="noConversion"/>
  </si>
  <si>
    <t>노동 인권과 산업 안전 보건</t>
    <phoneticPr fontId="9" type="noConversion"/>
  </si>
  <si>
    <t>사무 관리</t>
    <phoneticPr fontId="5" type="noConversion"/>
  </si>
  <si>
    <t>기계 일반</t>
    <phoneticPr fontId="5" type="noConversion"/>
  </si>
  <si>
    <t>피복 아크 용접</t>
    <phoneticPr fontId="9" type="noConversion"/>
  </si>
  <si>
    <t>기계요소 설계</t>
    <phoneticPr fontId="9" type="noConversion"/>
  </si>
  <si>
    <t>이산화탄소·가스 메탈 아크 용접</t>
    <phoneticPr fontId="9" type="noConversion"/>
  </si>
  <si>
    <t>밀링 가공</t>
    <phoneticPr fontId="9" type="noConversion"/>
  </si>
  <si>
    <t>선반 가공</t>
    <phoneticPr fontId="9" type="noConversion"/>
  </si>
  <si>
    <t>컴퓨터 활용 생산</t>
    <phoneticPr fontId="9" type="noConversion"/>
  </si>
  <si>
    <t>자동 제어 시스템 운영</t>
    <phoneticPr fontId="9" type="noConversion"/>
  </si>
  <si>
    <t>내선 공사</t>
    <phoneticPr fontId="9" type="noConversion"/>
  </si>
  <si>
    <t>바이오 기초 화학</t>
    <phoneticPr fontId="9" type="noConversion"/>
  </si>
  <si>
    <t>화학 공정 유지 운영</t>
    <phoneticPr fontId="9" type="noConversion"/>
  </si>
  <si>
    <t>식품 품질 관리</t>
    <phoneticPr fontId="9" type="noConversion"/>
  </si>
  <si>
    <t>화학공업</t>
  </si>
  <si>
    <t>전기과</t>
  </si>
  <si>
    <t>전기시스템제어과</t>
    <phoneticPr fontId="9" type="noConversion"/>
  </si>
  <si>
    <r>
      <rPr>
        <sz val="6"/>
        <color theme="1"/>
        <rFont val="맑은 고딕"/>
        <family val="3"/>
        <charset val="129"/>
        <scheme val="minor"/>
      </rPr>
      <t>전기·전자 설비유지보수원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6"/>
        <color theme="1"/>
        <rFont val="맑은 고딕"/>
        <family val="3"/>
        <charset val="129"/>
        <scheme val="minor"/>
      </rPr>
      <t>자동제어시스템제작및 유지보수원</t>
    </r>
    <phoneticPr fontId="9" type="noConversion"/>
  </si>
  <si>
    <t>화학공업과</t>
  </si>
  <si>
    <t>식품제조공정과</t>
    <phoneticPr fontId="9" type="noConversion"/>
  </si>
  <si>
    <r>
      <rPr>
        <sz val="6"/>
        <color theme="1"/>
        <rFont val="맑은 고딕"/>
        <family val="3"/>
        <charset val="129"/>
        <scheme val="minor"/>
      </rPr>
      <t>바이오화학제품제조기술자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6"/>
        <color theme="1"/>
        <rFont val="맑은 고딕"/>
        <family val="3"/>
        <charset val="129"/>
        <scheme val="minor"/>
      </rPr>
      <t>건강기능식품제조원</t>
    </r>
    <phoneticPr fontId="9" type="noConversion"/>
  </si>
  <si>
    <t>디지털과 직업 생활</t>
    <phoneticPr fontId="9" type="noConversion"/>
  </si>
  <si>
    <t>디지털 논리 회로</t>
    <phoneticPr fontId="9" type="noConversion"/>
  </si>
  <si>
    <t>자동화 설비</t>
    <phoneticPr fontId="9" type="noConversion"/>
  </si>
  <si>
    <t>자동 제어 기기 제작</t>
    <phoneticPr fontId="9" type="noConversion"/>
  </si>
  <si>
    <t>자동 제어 시스템 유지 정비</t>
    <phoneticPr fontId="9" type="noConversion"/>
  </si>
  <si>
    <t xml:space="preserve"> </t>
    <phoneticPr fontId="9" type="noConversion"/>
  </si>
  <si>
    <t>코스1</t>
    <phoneticPr fontId="9" type="noConversion"/>
  </si>
  <si>
    <t>코스2</t>
    <phoneticPr fontId="9" type="noConversion"/>
  </si>
  <si>
    <t>공업 화학</t>
    <phoneticPr fontId="5" type="noConversion"/>
  </si>
  <si>
    <t>제조 화학</t>
    <phoneticPr fontId="9" type="noConversion"/>
  </si>
  <si>
    <t>스마트 공정 제어</t>
    <phoneticPr fontId="9" type="noConversion"/>
  </si>
  <si>
    <t>식품 가공 기술</t>
    <phoneticPr fontId="9" type="noConversion"/>
  </si>
  <si>
    <t>제빵</t>
    <phoneticPr fontId="9" type="noConversion"/>
  </si>
  <si>
    <t>제과</t>
    <phoneticPr fontId="9" type="noConversion"/>
  </si>
  <si>
    <t>화학 분석</t>
    <phoneticPr fontId="9" type="noConversion"/>
  </si>
  <si>
    <t>기능성 정밀 화학 제품 제조</t>
    <phoneticPr fontId="9" type="noConversion"/>
  </si>
  <si>
    <t>대기 관리</t>
    <phoneticPr fontId="9" type="noConversion"/>
  </si>
  <si>
    <t>수질 관리</t>
    <phoneticPr fontId="9" type="noConversion"/>
  </si>
  <si>
    <r>
      <rPr>
        <sz val="6"/>
        <color theme="1"/>
        <rFont val="맑은 고딕"/>
        <family val="3"/>
        <charset val="129"/>
        <scheme val="minor"/>
      </rPr>
      <t>부품가공원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6"/>
        <color theme="1"/>
        <rFont val="맑은 고딕"/>
        <family val="3"/>
        <charset val="129"/>
        <scheme val="minor"/>
      </rPr>
      <t>자동조립라인및산업용로봇조작원</t>
    </r>
    <phoneticPr fontId="9" type="noConversion"/>
  </si>
  <si>
    <t>환경·안전·소방</t>
    <phoneticPr fontId="9" type="noConversion"/>
  </si>
  <si>
    <t>기계 요소 설계</t>
    <phoneticPr fontId="9" type="noConversion"/>
  </si>
  <si>
    <t>이상화탄소가스메탈 아크 용접</t>
    <phoneticPr fontId="9" type="noConversion"/>
  </si>
  <si>
    <t>1502010204_16v4</t>
  </si>
  <si>
    <t>엔드밀 가공</t>
  </si>
  <si>
    <t>1502010207_16v4</t>
  </si>
  <si>
    <t>기본작업(밀링가공)</t>
    <phoneticPr fontId="9" type="noConversion"/>
  </si>
  <si>
    <t>1502010104_16v4</t>
  </si>
  <si>
    <t>단순형상작업</t>
  </si>
  <si>
    <t>1502010105_14v2</t>
  </si>
  <si>
    <t>기본작업(선반가공)</t>
    <phoneticPr fontId="9" type="noConversion"/>
  </si>
  <si>
    <t>1502010405_18v3</t>
  </si>
  <si>
    <t>CNC밀링(머시닝센터) 가공 프로그래밍</t>
  </si>
  <si>
    <t>1502010406_18v5</t>
  </si>
  <si>
    <t>CNC밀링(머시닝센터) 가공 CAM 프로그래밍</t>
  </si>
  <si>
    <t>1502010408_18v5</t>
  </si>
  <si>
    <t>CNC선반 조작</t>
  </si>
  <si>
    <t>1502010403_18v3</t>
  </si>
  <si>
    <t>CNC선반 가공 프로그래밍</t>
  </si>
  <si>
    <t>1502010404_18v5</t>
  </si>
  <si>
    <t>CNC선반 가공 CAM 프로그래밍</t>
  </si>
  <si>
    <t>1502010407_18v5</t>
  </si>
  <si>
    <t>1501020111_16v3</t>
  </si>
  <si>
    <t>3D형상모델링작업</t>
  </si>
  <si>
    <t>1501020113_16v3</t>
  </si>
  <si>
    <t>체결요소설계</t>
  </si>
  <si>
    <t>1501020106_16v3</t>
  </si>
  <si>
    <t>치공구요소설계</t>
  </si>
  <si>
    <t>1501020108_16v3</t>
  </si>
  <si>
    <t>1601050205_21v4</t>
  </si>
  <si>
    <t>솔리드와이어용접 비드 쌓기</t>
  </si>
  <si>
    <t>1601050211_21v4</t>
  </si>
  <si>
    <t>솔리드와이어 맞대기 용접</t>
  </si>
  <si>
    <t>1601050213_21v4</t>
  </si>
  <si>
    <t>솔리드와이어 필릿 용접</t>
  </si>
  <si>
    <t>1601050212_21v4</t>
  </si>
  <si>
    <t>1503010204_14v3</t>
  </si>
  <si>
    <t>모터 제어</t>
  </si>
  <si>
    <t>1503010205_14v3</t>
  </si>
  <si>
    <t>공기압 제어</t>
  </si>
  <si>
    <t>1503010215_16v4</t>
  </si>
  <si>
    <t>PLC제어 기본 모듈 프로그램 개발</t>
  </si>
  <si>
    <t>1503010210_14v3</t>
  </si>
  <si>
    <t>PLC제어 프로그램 테스트</t>
  </si>
  <si>
    <t>1503010212_14v3</t>
  </si>
  <si>
    <t>유압제어</t>
  </si>
  <si>
    <t>1503010216_16v4</t>
  </si>
  <si>
    <t>1903110207_17v2</t>
  </si>
  <si>
    <t>출력용데이터확정</t>
  </si>
  <si>
    <t>1903110206_17v2</t>
  </si>
  <si>
    <t>엔지니어링모델링</t>
  </si>
  <si>
    <t>1903110205_17v2</t>
  </si>
  <si>
    <t>3D프린팅 안전관리</t>
  </si>
  <si>
    <t>1903110214_20v2</t>
  </si>
  <si>
    <t>3D프린터 SW 설정</t>
    <phoneticPr fontId="9" type="noConversion"/>
  </si>
  <si>
    <t>피복아크용접 가용접 작업</t>
  </si>
  <si>
    <t>1601050105_21v3</t>
  </si>
  <si>
    <t>피복아크용접 비드쌓기</t>
  </si>
  <si>
    <t>1601050110_21v3</t>
  </si>
  <si>
    <t>피복아크용접 맞대기용접</t>
  </si>
  <si>
    <t>1601050111_21v3</t>
  </si>
  <si>
    <t>피복아크용접 필릿용접</t>
  </si>
  <si>
    <t>1601050112_21v3</t>
  </si>
  <si>
    <t>자동 제어
시스템 운영</t>
    <phoneticPr fontId="9" type="noConversion"/>
  </si>
  <si>
    <t>배관공사</t>
  </si>
  <si>
    <t>배선공사</t>
  </si>
  <si>
    <t>CO₂용접 가용접작업</t>
  </si>
  <si>
    <t>하드웨어 제작</t>
  </si>
  <si>
    <t>소프트웨어 작성</t>
  </si>
  <si>
    <t>인터페이스시스템 제작</t>
  </si>
  <si>
    <t>전장품 조립</t>
    <phoneticPr fontId="9" type="noConversion"/>
  </si>
  <si>
    <t>현장계기류 유지정비</t>
  </si>
  <si>
    <t>현장 제어반 유지정비</t>
  </si>
  <si>
    <t>자동제어시스템 유지정비</t>
  </si>
  <si>
    <t>중앙 제어 감시반 유지정비</t>
  </si>
  <si>
    <t>시퀀스 회로 제어 운영</t>
    <phoneticPr fontId="9" type="noConversion"/>
  </si>
  <si>
    <t>HMI운영</t>
    <phoneticPr fontId="9" type="noConversion"/>
  </si>
  <si>
    <t>프로그램로직제어
(PLC) 기본 운영</t>
    <phoneticPr fontId="9" type="noConversion"/>
  </si>
  <si>
    <t>프로그램로직제어
(PLC) 확장모듈 운영</t>
    <phoneticPr fontId="9" type="noConversion"/>
  </si>
  <si>
    <t>1901070117_22v4</t>
  </si>
  <si>
    <t>1901070116_22v4</t>
    <phoneticPr fontId="9" type="noConversion"/>
  </si>
  <si>
    <t>1901080411_20v3</t>
  </si>
  <si>
    <t>1901080406_14v2</t>
  </si>
  <si>
    <t>1901080412_20v3</t>
  </si>
  <si>
    <t>1901080413_20v3</t>
  </si>
  <si>
    <t>190108215_16v2</t>
  </si>
  <si>
    <t>190108216_16v2</t>
  </si>
  <si>
    <t>1901080218_16v2</t>
  </si>
  <si>
    <t>190108214_16v2</t>
    <phoneticPr fontId="9" type="noConversion"/>
  </si>
  <si>
    <t>1901080306_16v3</t>
  </si>
  <si>
    <t>1901080312_16v3</t>
  </si>
  <si>
    <t>1901080309_22v4</t>
  </si>
  <si>
    <t>1901080311_22v4</t>
  </si>
  <si>
    <t>화학분석</t>
    <phoneticPr fontId="9" type="noConversion"/>
  </si>
  <si>
    <t>식품품질관리</t>
    <phoneticPr fontId="9" type="noConversion"/>
  </si>
  <si>
    <t>기능성정밀화학제품제조</t>
    <phoneticPr fontId="9" type="noConversion"/>
  </si>
  <si>
    <t>화학공정유지운영</t>
    <phoneticPr fontId="9" type="noConversion"/>
  </si>
  <si>
    <t>대기관리</t>
    <phoneticPr fontId="9" type="noConversion"/>
  </si>
  <si>
    <t>수질관리</t>
    <phoneticPr fontId="9" type="noConversion"/>
  </si>
  <si>
    <t>LM2102010204_18v4</t>
  </si>
  <si>
    <t>빵류 제품 반죽 익힘</t>
  </si>
  <si>
    <t>LM2102010205_18v3</t>
  </si>
  <si>
    <t>빵류 제품 반죽 정형</t>
    <phoneticPr fontId="9" type="noConversion"/>
  </si>
  <si>
    <t>LM2102010103_18v4</t>
  </si>
  <si>
    <t>과자류제품반죽익힘</t>
  </si>
  <si>
    <t>LM2102010104_18v4</t>
  </si>
  <si>
    <t>과자류제품반죽정형</t>
    <phoneticPr fontId="9" type="noConversion"/>
  </si>
  <si>
    <t>LM1701010129_17v1</t>
  </si>
  <si>
    <t>이화학분석</t>
  </si>
  <si>
    <t>LM1701010113_16v2</t>
  </si>
  <si>
    <t>분광분석</t>
  </si>
  <si>
    <t>LM1701010114_16v2</t>
  </si>
  <si>
    <t>시험결과보고서작성</t>
  </si>
  <si>
    <t>LM1701010123_16v1</t>
  </si>
  <si>
    <t>기초화학분석</t>
    <phoneticPr fontId="9" type="noConversion"/>
  </si>
  <si>
    <t>샘플시험검사</t>
    <phoneticPr fontId="9" type="noConversion"/>
  </si>
  <si>
    <t>품질검사</t>
  </si>
  <si>
    <t>LM1703020113_16v2</t>
  </si>
  <si>
    <t>색소제조제품생산</t>
  </si>
  <si>
    <t>LM1703020304_20v2</t>
  </si>
  <si>
    <t>도료생산</t>
  </si>
  <si>
    <t>LM1703020412_16v2</t>
  </si>
  <si>
    <t>접착제제조</t>
  </si>
  <si>
    <t>LM1703020503_14v1</t>
  </si>
  <si>
    <t>공정 흐름도 파악</t>
  </si>
  <si>
    <t>LM1701020310_16v2</t>
  </si>
  <si>
    <t>반응 원료 분석과 관리</t>
  </si>
  <si>
    <t>LM1701020205_19v2</t>
  </si>
  <si>
    <t>이동 오염원 관리</t>
  </si>
  <si>
    <t>LM2301020109_21v4</t>
  </si>
  <si>
    <t>기상 과학 파악</t>
  </si>
  <si>
    <t>LM2301020302_20v2</t>
  </si>
  <si>
    <t>점 오염원 관리</t>
  </si>
  <si>
    <t>LM2301010305_14v1</t>
  </si>
  <si>
    <t>물 환경 조사</t>
  </si>
  <si>
    <t>LM2301010310_18v1</t>
  </si>
  <si>
    <t>근산하이텍고등학교</t>
    <phoneticPr fontId="9" type="noConversion"/>
  </si>
  <si>
    <t>CNC밀링(머시닝센터) 조작</t>
    <phoneticPr fontId="9" type="noConversion"/>
  </si>
  <si>
    <t>2D도면작업</t>
  </si>
  <si>
    <t>센서 활용 기술</t>
    <phoneticPr fontId="9" type="noConversion"/>
  </si>
  <si>
    <t>스마트기계과</t>
    <phoneticPr fontId="9" type="noConversion"/>
  </si>
  <si>
    <t>(</t>
    <phoneticPr fontId="9" type="noConversion"/>
  </si>
  <si>
    <t>19
(9)</t>
    <phoneticPr fontId="9" type="noConversion"/>
  </si>
  <si>
    <t>2027학년도 교육과정 편제 및 학점배당표(마이스터고/특성화고)</t>
    <phoneticPr fontId="9" type="noConversion"/>
  </si>
  <si>
    <t>전기 설비</t>
    <phoneticPr fontId="9" type="noConversion"/>
  </si>
  <si>
    <t>전기 회로</t>
    <phoneticPr fontId="5" type="noConversion"/>
  </si>
  <si>
    <t>전기·전자 일반</t>
    <phoneticPr fontId="9" type="noConversion"/>
  </si>
  <si>
    <t>전기 기기</t>
    <phoneticPr fontId="9" type="noConversion"/>
  </si>
  <si>
    <t>전문일반</t>
    <phoneticPr fontId="9" type="noConversion"/>
  </si>
  <si>
    <t xml:space="preserve">컴퓨터 활용 생산 </t>
    <phoneticPr fontId="9" type="noConversion"/>
  </si>
  <si>
    <t>외선 공사</t>
    <phoneticPr fontId="9" type="noConversion"/>
  </si>
  <si>
    <t>샘플 시험 검사 준비</t>
    <phoneticPr fontId="9" type="noConversion"/>
  </si>
  <si>
    <t>LM2101011104_20v3</t>
    <phoneticPr fontId="9" type="noConversion"/>
  </si>
  <si>
    <t>LM2101011115_20v2</t>
    <phoneticPr fontId="9" type="noConversion"/>
  </si>
  <si>
    <t>식품안전위해요소이해</t>
    <phoneticPr fontId="9" type="noConversion"/>
  </si>
  <si>
    <t>LM2101011117_20v1</t>
    <phoneticPr fontId="9" type="noConversion"/>
  </si>
  <si>
    <t>HACCP 준비 단계 평가</t>
    <phoneticPr fontId="9" type="noConversion"/>
  </si>
  <si>
    <t>LM2101011116_20v1</t>
    <phoneticPr fontId="9" type="noConversion"/>
  </si>
  <si>
    <t>내선공사견적</t>
    <phoneticPr fontId="9" type="noConversion"/>
  </si>
  <si>
    <t>옥내조명공사</t>
    <phoneticPr fontId="9" type="noConversion"/>
  </si>
  <si>
    <t>1901070119_22v4</t>
  </si>
  <si>
    <t>동력설비공사</t>
    <phoneticPr fontId="9" type="noConversion"/>
  </si>
  <si>
    <t>1901070122_22v4</t>
    <phoneticPr fontId="9" type="noConversion"/>
  </si>
  <si>
    <t>1901070114_22v4</t>
    <phoneticPr fontId="9" type="noConversion"/>
  </si>
  <si>
    <t>수변전설비검사</t>
    <phoneticPr fontId="9" type="noConversion"/>
  </si>
  <si>
    <t>1901070127_22v4</t>
    <phoneticPr fontId="9" type="noConversion"/>
  </si>
  <si>
    <t>접지설비공사</t>
    <phoneticPr fontId="9" type="noConversion"/>
  </si>
  <si>
    <t>1901070128_22v4</t>
  </si>
  <si>
    <t>전기공사문서관리</t>
    <phoneticPr fontId="9" type="noConversion"/>
  </si>
  <si>
    <t>1901070402_22v1</t>
  </si>
  <si>
    <t>가공배전선로공사</t>
    <phoneticPr fontId="9" type="noConversion"/>
  </si>
  <si>
    <t>1901070212_22v4</t>
    <phoneticPr fontId="9" type="noConversion"/>
  </si>
  <si>
    <t>개폐장치 정밀유지보수공사</t>
    <phoneticPr fontId="9" type="noConversion"/>
  </si>
  <si>
    <t>1901070311_22v2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</si>
</sst>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8"/>
      <color theme="1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3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4" fillId="0" borderId="0"/>
  </cellStyleXfs>
  <cellXfs count="6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4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1" fillId="0" borderId="0" xfId="0" applyFont="1">
      <alignment vertical="center"/>
    </xf>
    <xf numFmtId="0" fontId="14" fillId="12" borderId="77" xfId="3" applyFont="1" applyFill="1" applyBorder="1" applyAlignment="1">
      <alignment horizontal="center" vertical="center" wrapText="1"/>
    </xf>
    <xf numFmtId="177" fontId="21" fillId="0" borderId="0" xfId="0" applyNumberFormat="1" applyFont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5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9" xfId="4" applyFont="1" applyFill="1" applyBorder="1" applyAlignment="1" applyProtection="1">
      <alignment horizontal="center" vertical="center" wrapText="1"/>
    </xf>
    <xf numFmtId="0" fontId="31" fillId="0" borderId="6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0" fontId="31" fillId="0" borderId="6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1" fillId="0" borderId="21" xfId="0" applyFont="1" applyBorder="1" applyAlignment="1">
      <alignment vertical="center"/>
    </xf>
    <xf numFmtId="0" fontId="13" fillId="10" borderId="96" xfId="6" applyFont="1" applyFill="1" applyBorder="1" applyAlignment="1" applyProtection="1">
      <alignment horizontal="center" vertical="center" wrapText="1"/>
    </xf>
    <xf numFmtId="0" fontId="12" fillId="12" borderId="97" xfId="0" applyFont="1" applyFill="1" applyBorder="1" applyAlignment="1" applyProtection="1">
      <alignment horizontal="center" vertical="center"/>
      <protection locked="0"/>
    </xf>
    <xf numFmtId="0" fontId="12" fillId="12" borderId="30" xfId="0" applyFont="1" applyFill="1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2" fillId="12" borderId="15" xfId="0" applyFont="1" applyFill="1" applyBorder="1" applyAlignment="1" applyProtection="1">
      <alignment horizontal="center" vertical="center" shrinkToFit="1"/>
      <protection locked="0"/>
    </xf>
    <xf numFmtId="0" fontId="32" fillId="12" borderId="98" xfId="0" applyFont="1" applyFill="1" applyBorder="1" applyAlignment="1" applyProtection="1">
      <alignment horizontal="center" vertical="center"/>
      <protection locked="0"/>
    </xf>
    <xf numFmtId="0" fontId="24" fillId="3" borderId="56" xfId="3" applyFont="1" applyBorder="1" applyAlignment="1" applyProtection="1">
      <alignment horizontal="center" vertical="center"/>
      <protection locked="0"/>
    </xf>
    <xf numFmtId="0" fontId="37" fillId="9" borderId="15" xfId="7" applyNumberFormat="1" applyFont="1" applyFill="1" applyBorder="1" applyAlignment="1" applyProtection="1">
      <alignment horizontal="center" vertical="center" shrinkToFit="1"/>
    </xf>
    <xf numFmtId="176" fontId="37" fillId="9" borderId="15" xfId="7" applyNumberFormat="1" applyFont="1" applyFill="1" applyBorder="1" applyAlignment="1" applyProtection="1">
      <alignment horizontal="center" vertical="center" shrinkToFit="1"/>
    </xf>
    <xf numFmtId="176" fontId="38" fillId="18" borderId="15" xfId="0" applyNumberFormat="1" applyFont="1" applyFill="1" applyBorder="1" applyAlignment="1">
      <alignment horizontal="center" vertical="center" shrinkToFit="1"/>
    </xf>
    <xf numFmtId="0" fontId="27" fillId="11" borderId="98" xfId="7" applyFont="1" applyFill="1" applyBorder="1" applyAlignment="1" applyProtection="1">
      <alignment horizontal="center" vertical="center" wrapText="1"/>
    </xf>
    <xf numFmtId="0" fontId="37" fillId="9" borderId="97" xfId="7" applyNumberFormat="1" applyFont="1" applyFill="1" applyBorder="1" applyAlignment="1" applyProtection="1">
      <alignment horizontal="center" vertical="center" shrinkToFit="1"/>
    </xf>
    <xf numFmtId="176" fontId="37" fillId="9" borderId="97" xfId="7" applyNumberFormat="1" applyFont="1" applyFill="1" applyBorder="1" applyAlignment="1" applyProtection="1">
      <alignment horizontal="center" vertical="center" shrinkToFit="1"/>
    </xf>
    <xf numFmtId="176" fontId="36" fillId="16" borderId="98" xfId="7" applyNumberFormat="1" applyFont="1" applyFill="1" applyBorder="1" applyAlignment="1" applyProtection="1">
      <alignment horizontal="center" vertical="center" shrinkToFit="1"/>
    </xf>
    <xf numFmtId="176" fontId="38" fillId="18" borderId="12" xfId="0" applyNumberFormat="1" applyFont="1" applyFill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176" fontId="12" fillId="16" borderId="32" xfId="0" applyNumberFormat="1" applyFont="1" applyFill="1" applyBorder="1" applyAlignment="1">
      <alignment horizontal="right" vertical="center"/>
    </xf>
    <xf numFmtId="176" fontId="12" fillId="16" borderId="109" xfId="0" applyNumberFormat="1" applyFont="1" applyFill="1" applyBorder="1" applyAlignment="1">
      <alignment horizontal="right" vertical="center"/>
    </xf>
    <xf numFmtId="176" fontId="12" fillId="16" borderId="98" xfId="0" applyNumberFormat="1" applyFont="1" applyFill="1" applyBorder="1" applyAlignment="1">
      <alignment horizontal="right" vertical="center"/>
    </xf>
    <xf numFmtId="176" fontId="12" fillId="16" borderId="31" xfId="0" applyNumberFormat="1" applyFont="1" applyFill="1" applyBorder="1" applyAlignment="1">
      <alignment horizontal="right" vertical="center"/>
    </xf>
    <xf numFmtId="0" fontId="38" fillId="18" borderId="116" xfId="0" applyFont="1" applyFill="1" applyBorder="1" applyAlignment="1">
      <alignment horizontal="center" vertical="center" shrinkToFit="1"/>
    </xf>
    <xf numFmtId="0" fontId="37" fillId="9" borderId="32" xfId="7" applyNumberFormat="1" applyFont="1" applyFill="1" applyBorder="1" applyAlignment="1" applyProtection="1">
      <alignment horizontal="center" vertical="center" shrinkToFit="1"/>
    </xf>
    <xf numFmtId="0" fontId="37" fillId="9" borderId="113" xfId="7" applyNumberFormat="1" applyFont="1" applyFill="1" applyBorder="1" applyAlignment="1" applyProtection="1">
      <alignment horizontal="center" vertical="center" shrinkToFit="1"/>
    </xf>
    <xf numFmtId="176" fontId="37" fillId="9" borderId="12" xfId="7" applyNumberFormat="1" applyFont="1" applyFill="1" applyBorder="1" applyAlignment="1" applyProtection="1">
      <alignment horizontal="center" vertical="center" shrinkToFit="1"/>
    </xf>
    <xf numFmtId="0" fontId="37" fillId="9" borderId="12" xfId="7" applyNumberFormat="1" applyFont="1" applyFill="1" applyBorder="1" applyAlignment="1" applyProtection="1">
      <alignment horizontal="center" vertical="center" shrinkToFit="1"/>
    </xf>
    <xf numFmtId="0" fontId="37" fillId="9" borderId="111" xfId="7" applyNumberFormat="1" applyFont="1" applyFill="1" applyBorder="1" applyAlignment="1" applyProtection="1">
      <alignment horizontal="center" vertical="center" shrinkToFit="1"/>
    </xf>
    <xf numFmtId="0" fontId="37" fillId="9" borderId="120" xfId="7" applyNumberFormat="1" applyFont="1" applyFill="1" applyBorder="1" applyAlignment="1" applyProtection="1">
      <alignment horizontal="center" vertical="center" shrinkToFit="1"/>
    </xf>
    <xf numFmtId="0" fontId="37" fillId="9" borderId="117" xfId="7" applyNumberFormat="1" applyFont="1" applyFill="1" applyBorder="1" applyAlignment="1" applyProtection="1">
      <alignment horizontal="center" vertical="center" shrinkToFit="1"/>
    </xf>
    <xf numFmtId="176" fontId="36" fillId="16" borderId="32" xfId="7" applyNumberFormat="1" applyFont="1" applyFill="1" applyBorder="1" applyAlignment="1" applyProtection="1">
      <alignment horizontal="center" vertical="center" shrinkToFit="1"/>
    </xf>
    <xf numFmtId="0" fontId="19" fillId="9" borderId="0" xfId="7" applyNumberFormat="1" applyFont="1" applyFill="1" applyBorder="1" applyAlignment="1" applyProtection="1">
      <alignment horizontal="center" vertical="center" shrinkToFit="1"/>
    </xf>
    <xf numFmtId="0" fontId="37" fillId="0" borderId="97" xfId="7" applyNumberFormat="1" applyFont="1" applyFill="1" applyBorder="1" applyAlignment="1" applyProtection="1">
      <alignment horizontal="center" vertical="center" shrinkToFit="1"/>
    </xf>
    <xf numFmtId="0" fontId="37" fillId="0" borderId="117" xfId="7" applyNumberFormat="1" applyFont="1" applyFill="1" applyBorder="1" applyAlignment="1" applyProtection="1">
      <alignment horizontal="center" vertical="center" shrinkToFit="1"/>
    </xf>
    <xf numFmtId="0" fontId="37" fillId="0" borderId="119" xfId="7" applyNumberFormat="1" applyFont="1" applyFill="1" applyBorder="1" applyAlignment="1" applyProtection="1">
      <alignment horizontal="center" vertical="center" shrinkToFit="1"/>
    </xf>
    <xf numFmtId="0" fontId="37" fillId="0" borderId="112" xfId="7" applyNumberFormat="1" applyFont="1" applyFill="1" applyBorder="1" applyAlignment="1" applyProtection="1">
      <alignment horizontal="center" vertical="center" shrinkToFit="1"/>
    </xf>
    <xf numFmtId="0" fontId="37" fillId="0" borderId="118" xfId="7" applyNumberFormat="1" applyFont="1" applyFill="1" applyBorder="1" applyAlignment="1" applyProtection="1">
      <alignment horizontal="center" vertical="center" shrinkToFit="1"/>
    </xf>
    <xf numFmtId="0" fontId="12" fillId="12" borderId="121" xfId="0" applyFont="1" applyFill="1" applyBorder="1" applyAlignment="1" applyProtection="1">
      <alignment horizontal="center" vertical="center"/>
      <protection locked="0"/>
    </xf>
    <xf numFmtId="0" fontId="28" fillId="15" borderId="44" xfId="4" applyFont="1" applyFill="1" applyBorder="1" applyAlignment="1" applyProtection="1">
      <alignment horizontal="center" vertical="center" wrapText="1"/>
    </xf>
    <xf numFmtId="0" fontId="28" fillId="15" borderId="69" xfId="4" applyFont="1" applyFill="1" applyBorder="1" applyAlignment="1" applyProtection="1">
      <alignment horizontal="center" vertical="center" wrapText="1"/>
    </xf>
    <xf numFmtId="0" fontId="28" fillId="15" borderId="46" xfId="4" applyFont="1" applyFill="1" applyBorder="1" applyAlignment="1" applyProtection="1">
      <alignment horizontal="center" vertical="center" wrapText="1"/>
    </xf>
    <xf numFmtId="0" fontId="13" fillId="6" borderId="25" xfId="4" applyFont="1" applyFill="1" applyBorder="1" applyAlignment="1" applyProtection="1">
      <alignment horizontal="center" vertical="center" wrapText="1"/>
    </xf>
    <xf numFmtId="0" fontId="12" fillId="0" borderId="111" xfId="0" applyFont="1" applyBorder="1" applyAlignment="1" applyProtection="1">
      <alignment horizontal="center" vertical="center"/>
      <protection locked="0"/>
    </xf>
    <xf numFmtId="0" fontId="12" fillId="0" borderId="111" xfId="0" applyFont="1" applyBorder="1" applyAlignment="1" applyProtection="1">
      <alignment horizontal="center" vertical="center" shrinkToFit="1"/>
      <protection locked="0"/>
    </xf>
    <xf numFmtId="0" fontId="32" fillId="0" borderId="8" xfId="0" applyFont="1" applyBorder="1" applyAlignment="1" applyProtection="1">
      <alignment horizontal="center" vertical="center"/>
      <protection locked="0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1" xfId="5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3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176" fontId="13" fillId="15" borderId="100" xfId="0" applyNumberFormat="1" applyFont="1" applyFill="1" applyBorder="1" applyAlignment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0" fontId="13" fillId="15" borderId="48" xfId="4" applyFont="1" applyFill="1" applyBorder="1" applyAlignment="1" applyProtection="1">
      <alignment horizontal="center" vertical="center" wrapText="1"/>
    </xf>
    <xf numFmtId="176" fontId="13" fillId="15" borderId="40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176" fontId="13" fillId="15" borderId="80" xfId="0" applyNumberFormat="1" applyFont="1" applyFill="1" applyBorder="1" applyAlignment="1">
      <alignment horizontal="center" vertical="center" wrapText="1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5" borderId="95" xfId="4" applyFont="1" applyFill="1" applyBorder="1" applyAlignment="1" applyProtection="1">
      <alignment horizontal="center" vertical="center" wrapText="1"/>
    </xf>
    <xf numFmtId="0" fontId="13" fillId="15" borderId="101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13" fillId="15" borderId="17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shrinkToFit="1"/>
    </xf>
    <xf numFmtId="0" fontId="13" fillId="15" borderId="100" xfId="4" applyFont="1" applyFill="1" applyBorder="1" applyAlignment="1" applyProtection="1">
      <alignment horizontal="center" vertical="center" wrapText="1"/>
    </xf>
    <xf numFmtId="0" fontId="21" fillId="15" borderId="38" xfId="4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center" vertical="center"/>
      <protection locked="0"/>
    </xf>
    <xf numFmtId="0" fontId="13" fillId="15" borderId="100" xfId="4" applyFont="1" applyFill="1" applyBorder="1" applyAlignment="1" applyProtection="1">
      <alignment horizontal="center" vertical="center" shrinkToFit="1"/>
    </xf>
    <xf numFmtId="0" fontId="13" fillId="6" borderId="73" xfId="4" applyFont="1" applyFill="1" applyBorder="1" applyAlignment="1" applyProtection="1">
      <alignment horizontal="center" vertical="center" wrapText="1"/>
    </xf>
    <xf numFmtId="0" fontId="21" fillId="0" borderId="131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32" xfId="16" applyFont="1" applyFill="1" applyBorder="1" applyAlignment="1">
      <alignment horizontal="center" vertical="center"/>
    </xf>
    <xf numFmtId="0" fontId="35" fillId="0" borderId="133" xfId="16" applyFont="1" applyBorder="1" applyAlignment="1">
      <alignment vertical="center"/>
    </xf>
    <xf numFmtId="0" fontId="35" fillId="0" borderId="28" xfId="16" applyFont="1" applyBorder="1" applyAlignment="1">
      <alignment vertical="center"/>
    </xf>
    <xf numFmtId="0" fontId="35" fillId="0" borderId="25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35" xfId="16" applyFont="1" applyBorder="1" applyAlignment="1">
      <alignment vertical="center"/>
    </xf>
    <xf numFmtId="0" fontId="35" fillId="0" borderId="21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40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2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21" borderId="146" xfId="16" applyFont="1" applyFill="1" applyBorder="1" applyAlignment="1">
      <alignment horizontal="center" vertical="center" wrapText="1"/>
    </xf>
    <xf numFmtId="0" fontId="35" fillId="21" borderId="147" xfId="16" applyFont="1" applyFill="1" applyBorder="1" applyAlignment="1">
      <alignment horizontal="center" vertical="center" wrapText="1"/>
    </xf>
    <xf numFmtId="0" fontId="50" fillId="21" borderId="147" xfId="16" applyFont="1" applyFill="1" applyBorder="1" applyAlignment="1">
      <alignment horizontal="center" vertical="center" wrapText="1"/>
    </xf>
    <xf numFmtId="0" fontId="50" fillId="21" borderId="148" xfId="16" applyFont="1" applyFill="1" applyBorder="1" applyAlignment="1">
      <alignment horizontal="center" vertical="center" wrapText="1"/>
    </xf>
    <xf numFmtId="0" fontId="35" fillId="0" borderId="21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51" fillId="0" borderId="152" xfId="16" applyFont="1" applyBorder="1" applyAlignment="1">
      <alignment horizontal="center" vertical="center" wrapText="1"/>
    </xf>
    <xf numFmtId="0" fontId="51" fillId="0" borderId="154" xfId="16" applyFont="1" applyBorder="1" applyAlignment="1">
      <alignment horizontal="center" vertical="center" wrapText="1"/>
    </xf>
    <xf numFmtId="0" fontId="51" fillId="0" borderId="158" xfId="16" applyFont="1" applyBorder="1" applyAlignment="1">
      <alignment horizontal="center" vertical="center" wrapText="1"/>
    </xf>
    <xf numFmtId="0" fontId="51" fillId="0" borderId="159" xfId="16" applyFont="1" applyBorder="1" applyAlignment="1">
      <alignment horizontal="center" vertical="center" wrapText="1"/>
    </xf>
    <xf numFmtId="0" fontId="51" fillId="0" borderId="162" xfId="16" applyFont="1" applyBorder="1" applyAlignment="1">
      <alignment horizontal="center" vertical="center" wrapText="1"/>
    </xf>
    <xf numFmtId="0" fontId="51" fillId="0" borderId="163" xfId="16" applyFont="1" applyBorder="1" applyAlignment="1">
      <alignment horizontal="center" vertical="center" wrapText="1"/>
    </xf>
    <xf numFmtId="0" fontId="51" fillId="0" borderId="165" xfId="16" applyFont="1" applyBorder="1" applyAlignment="1">
      <alignment horizontal="center" vertical="center" wrapText="1"/>
    </xf>
    <xf numFmtId="0" fontId="35" fillId="0" borderId="165" xfId="16" applyFont="1" applyBorder="1" applyAlignment="1">
      <alignment horizontal="center" vertical="center" wrapText="1"/>
    </xf>
    <xf numFmtId="0" fontId="51" fillId="0" borderId="166" xfId="16" applyFont="1" applyBorder="1" applyAlignment="1">
      <alignment horizontal="center" vertical="center" wrapText="1"/>
    </xf>
    <xf numFmtId="0" fontId="35" fillId="0" borderId="159" xfId="16" applyFont="1" applyBorder="1" applyAlignment="1">
      <alignment horizontal="center" vertical="center" wrapText="1"/>
    </xf>
    <xf numFmtId="0" fontId="35" fillId="0" borderId="162" xfId="16" applyFont="1" applyBorder="1" applyAlignment="1">
      <alignment horizontal="center" vertical="center" wrapText="1"/>
    </xf>
    <xf numFmtId="0" fontId="51" fillId="0" borderId="138" xfId="16" applyFont="1" applyBorder="1" applyAlignment="1">
      <alignment horizontal="center" vertical="center" wrapText="1"/>
    </xf>
    <xf numFmtId="0" fontId="53" fillId="21" borderId="138" xfId="16" applyFont="1" applyFill="1" applyBorder="1" applyAlignment="1">
      <alignment horizontal="center" vertical="center" wrapText="1"/>
    </xf>
    <xf numFmtId="0" fontId="54" fillId="0" borderId="159" xfId="16" applyFont="1" applyBorder="1" applyAlignment="1">
      <alignment horizontal="center" vertical="center" wrapText="1"/>
    </xf>
    <xf numFmtId="0" fontId="54" fillId="0" borderId="137" xfId="16" applyFont="1" applyBorder="1" applyAlignment="1">
      <alignment horizontal="center" vertical="center" wrapText="1"/>
    </xf>
    <xf numFmtId="0" fontId="53" fillId="0" borderId="138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5" fillId="0" borderId="0" xfId="16" applyFont="1" applyBorder="1" applyAlignment="1">
      <alignment horizontal="center" vertical="center"/>
    </xf>
    <xf numFmtId="0" fontId="49" fillId="0" borderId="138" xfId="16" applyFont="1" applyBorder="1" applyAlignment="1">
      <alignment horizontal="center" vertical="center"/>
    </xf>
    <xf numFmtId="0" fontId="49" fillId="20" borderId="159" xfId="16" applyFont="1" applyFill="1" applyBorder="1" applyAlignment="1">
      <alignment horizontal="center" vertical="center"/>
    </xf>
    <xf numFmtId="0" fontId="49" fillId="20" borderId="137" xfId="16" applyFont="1" applyFill="1" applyBorder="1" applyAlignment="1">
      <alignment horizontal="center" vertical="center" wrapText="1"/>
    </xf>
    <xf numFmtId="0" fontId="55" fillId="0" borderId="159" xfId="16" applyFont="1" applyBorder="1" applyAlignment="1">
      <alignment horizontal="center" vertical="center" wrapText="1"/>
    </xf>
    <xf numFmtId="0" fontId="55" fillId="0" borderId="138" xfId="16" applyFont="1" applyBorder="1" applyAlignment="1">
      <alignment horizontal="center" vertical="center" wrapText="1"/>
    </xf>
    <xf numFmtId="0" fontId="49" fillId="0" borderId="159" xfId="16" applyFont="1" applyBorder="1" applyAlignment="1">
      <alignment horizontal="center" vertical="center" wrapText="1"/>
    </xf>
    <xf numFmtId="0" fontId="49" fillId="0" borderId="138" xfId="16" applyFont="1" applyBorder="1" applyAlignment="1">
      <alignment horizontal="center" vertical="center" wrapText="1"/>
    </xf>
    <xf numFmtId="0" fontId="35" fillId="0" borderId="159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9" fillId="20" borderId="138" xfId="16" applyFont="1" applyFill="1" applyBorder="1" applyAlignment="1">
      <alignment horizontal="center" vertical="center"/>
    </xf>
    <xf numFmtId="0" fontId="49" fillId="0" borderId="137" xfId="16" applyFont="1" applyBorder="1" applyAlignment="1">
      <alignment horizontal="center" vertical="center"/>
    </xf>
    <xf numFmtId="0" fontId="49" fillId="0" borderId="159" xfId="16" applyFont="1" applyBorder="1" applyAlignment="1">
      <alignment horizontal="center" vertical="center"/>
    </xf>
    <xf numFmtId="0" fontId="56" fillId="0" borderId="159" xfId="16" applyFont="1" applyBorder="1" applyAlignment="1">
      <alignment horizontal="center" vertical="center"/>
    </xf>
    <xf numFmtId="0" fontId="56" fillId="0" borderId="138" xfId="16" applyFont="1" applyBorder="1" applyAlignment="1">
      <alignment horizontal="center" vertical="center"/>
    </xf>
    <xf numFmtId="0" fontId="35" fillId="0" borderId="145" xfId="16" applyFont="1" applyBorder="1" applyAlignment="1">
      <alignment vertical="center"/>
    </xf>
    <xf numFmtId="0" fontId="35" fillId="0" borderId="143" xfId="16" applyFont="1" applyBorder="1" applyAlignment="1">
      <alignment vertical="center"/>
    </xf>
    <xf numFmtId="0" fontId="35" fillId="0" borderId="170" xfId="16" applyFont="1" applyBorder="1" applyAlignment="1">
      <alignment vertical="center"/>
    </xf>
    <xf numFmtId="0" fontId="35" fillId="0" borderId="171" xfId="16" applyFont="1" applyBorder="1" applyAlignment="1">
      <alignment vertical="center"/>
    </xf>
    <xf numFmtId="0" fontId="35" fillId="0" borderId="116" xfId="16" applyFont="1" applyBorder="1" applyAlignment="1">
      <alignment vertical="center"/>
    </xf>
    <xf numFmtId="0" fontId="35" fillId="0" borderId="141" xfId="16" applyFont="1" applyBorder="1" applyAlignment="1">
      <alignment vertical="center"/>
    </xf>
    <xf numFmtId="0" fontId="35" fillId="0" borderId="173" xfId="16" applyFont="1" applyBorder="1" applyAlignment="1">
      <alignment vertical="center"/>
    </xf>
    <xf numFmtId="0" fontId="35" fillId="0" borderId="174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176" fontId="13" fillId="15" borderId="101" xfId="0" applyNumberFormat="1" applyFont="1" applyFill="1" applyBorder="1" applyAlignment="1">
      <alignment horizontal="center" vertical="center" wrapText="1"/>
    </xf>
    <xf numFmtId="0" fontId="13" fillId="15" borderId="175" xfId="4" applyFont="1" applyFill="1" applyBorder="1" applyAlignment="1" applyProtection="1">
      <alignment horizontal="center" vertical="center" wrapText="1"/>
    </xf>
    <xf numFmtId="0" fontId="13" fillId="15" borderId="176" xfId="4" applyFont="1" applyFill="1" applyBorder="1" applyAlignment="1" applyProtection="1">
      <alignment horizontal="center" vertical="center" wrapText="1"/>
    </xf>
    <xf numFmtId="0" fontId="13" fillId="15" borderId="69" xfId="4" applyFont="1" applyFill="1" applyBorder="1" applyAlignment="1" applyProtection="1">
      <alignment horizontal="center" vertical="center" wrapText="1"/>
    </xf>
    <xf numFmtId="0" fontId="13" fillId="15" borderId="103" xfId="4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0" fillId="0" borderId="31" xfId="0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36" fillId="16" borderId="98" xfId="7" applyNumberFormat="1" applyFont="1" applyFill="1" applyBorder="1" applyAlignment="1" applyProtection="1">
      <alignment horizontal="center" vertical="center" shrinkToFit="1"/>
    </xf>
    <xf numFmtId="0" fontId="36" fillId="16" borderId="32" xfId="7" applyNumberFormat="1" applyFont="1" applyFill="1" applyBorder="1" applyAlignment="1" applyProtection="1">
      <alignment horizontal="center" vertical="center" shrinkToFit="1"/>
    </xf>
    <xf numFmtId="0" fontId="21" fillId="15" borderId="57" xfId="4" applyFont="1" applyFill="1" applyBorder="1" applyAlignment="1" applyProtection="1">
      <alignment horizontal="center" vertical="center" wrapText="1"/>
    </xf>
    <xf numFmtId="0" fontId="21" fillId="0" borderId="58" xfId="4" applyFont="1" applyFill="1" applyBorder="1" applyAlignment="1" applyProtection="1">
      <alignment horizontal="center" vertical="center" wrapText="1"/>
    </xf>
    <xf numFmtId="0" fontId="21" fillId="15" borderId="59" xfId="4" applyFont="1" applyFill="1" applyBorder="1" applyAlignment="1" applyProtection="1">
      <alignment horizontal="center" vertical="center" wrapText="1"/>
    </xf>
    <xf numFmtId="0" fontId="21" fillId="15" borderId="69" xfId="4" applyFont="1" applyFill="1" applyBorder="1" applyAlignment="1" applyProtection="1">
      <alignment horizontal="center" vertical="center" wrapText="1"/>
    </xf>
    <xf numFmtId="0" fontId="21" fillId="0" borderId="102" xfId="4" applyFont="1" applyFill="1" applyBorder="1" applyAlignment="1" applyProtection="1">
      <alignment horizontal="center" vertical="center" wrapText="1"/>
    </xf>
    <xf numFmtId="0" fontId="21" fillId="15" borderId="103" xfId="4" applyFont="1" applyFill="1" applyBorder="1" applyAlignment="1" applyProtection="1">
      <alignment horizontal="center" vertical="center" wrapText="1"/>
    </xf>
    <xf numFmtId="0" fontId="21" fillId="0" borderId="34" xfId="4" applyFont="1" applyFill="1" applyBorder="1" applyAlignment="1" applyProtection="1">
      <alignment horizontal="center" vertical="center" wrapText="1"/>
    </xf>
    <xf numFmtId="0" fontId="21" fillId="15" borderId="45" xfId="4" applyFont="1" applyFill="1" applyBorder="1" applyAlignment="1" applyProtection="1">
      <alignment horizontal="center" vertical="center" wrapText="1"/>
    </xf>
    <xf numFmtId="0" fontId="21" fillId="15" borderId="44" xfId="4" applyFont="1" applyFill="1" applyBorder="1" applyAlignment="1" applyProtection="1">
      <alignment horizontal="center" vertical="center" wrapText="1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36" xfId="4" applyFont="1" applyFill="1" applyBorder="1" applyAlignment="1" applyProtection="1">
      <alignment horizontal="center" vertical="center" wrapText="1"/>
      <protection locked="0"/>
    </xf>
    <xf numFmtId="0" fontId="21" fillId="0" borderId="35" xfId="4" applyFont="1" applyFill="1" applyBorder="1" applyAlignment="1" applyProtection="1">
      <alignment horizontal="center" vertical="center" wrapText="1"/>
      <protection locked="0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21" fillId="0" borderId="125" xfId="4" applyFont="1" applyFill="1" applyBorder="1" applyAlignment="1" applyProtection="1">
      <alignment horizontal="center" vertical="center" wrapText="1"/>
      <protection locked="0"/>
    </xf>
    <xf numFmtId="0" fontId="21" fillId="0" borderId="124" xfId="4" applyFont="1" applyFill="1" applyBorder="1" applyAlignment="1" applyProtection="1">
      <alignment horizontal="center" vertical="center" wrapText="1"/>
      <protection locked="0"/>
    </xf>
    <xf numFmtId="0" fontId="21" fillId="15" borderId="41" xfId="4" applyFont="1" applyFill="1" applyBorder="1" applyAlignment="1" applyProtection="1">
      <alignment horizontal="center" vertical="center" wrapText="1"/>
    </xf>
    <xf numFmtId="0" fontId="21" fillId="15" borderId="46" xfId="4" applyFont="1" applyFill="1" applyBorder="1" applyAlignment="1" applyProtection="1">
      <alignment horizontal="center" vertical="center" wrapText="1"/>
    </xf>
    <xf numFmtId="0" fontId="21" fillId="15" borderId="74" xfId="4" applyFont="1" applyFill="1" applyBorder="1" applyAlignment="1" applyProtection="1">
      <alignment horizontal="center" vertical="center" wrapText="1"/>
    </xf>
    <xf numFmtId="0" fontId="21" fillId="0" borderId="55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61" xfId="4" applyFont="1" applyFill="1" applyBorder="1" applyAlignment="1" applyProtection="1">
      <alignment horizontal="center" vertical="center" wrapText="1"/>
      <protection locked="0"/>
    </xf>
    <xf numFmtId="0" fontId="21" fillId="0" borderId="63" xfId="4" applyFont="1" applyFill="1" applyBorder="1" applyAlignment="1" applyProtection="1">
      <alignment horizontal="center" vertical="center" wrapText="1"/>
      <protection locked="0"/>
    </xf>
    <xf numFmtId="0" fontId="21" fillId="0" borderId="3" xfId="4" applyFont="1" applyFill="1" applyBorder="1" applyAlignment="1" applyProtection="1">
      <alignment horizontal="center" vertical="center" wrapText="1"/>
      <protection locked="0"/>
    </xf>
    <xf numFmtId="0" fontId="21" fillId="0" borderId="90" xfId="4" applyFont="1" applyFill="1" applyBorder="1" applyAlignment="1" applyProtection="1">
      <alignment horizontal="center" vertical="center" wrapText="1"/>
      <protection locked="0"/>
    </xf>
    <xf numFmtId="0" fontId="21" fillId="0" borderId="22" xfId="4" applyFont="1" applyFill="1" applyBorder="1" applyAlignment="1" applyProtection="1">
      <alignment horizontal="center" vertical="center" wrapText="1"/>
      <protection locked="0"/>
    </xf>
    <xf numFmtId="0" fontId="21" fillId="0" borderId="42" xfId="4" applyFont="1" applyFill="1" applyBorder="1" applyAlignment="1" applyProtection="1">
      <alignment horizontal="center" vertical="center" wrapText="1"/>
    </xf>
    <xf numFmtId="0" fontId="21" fillId="15" borderId="43" xfId="4" applyFont="1" applyFill="1" applyBorder="1" applyAlignment="1" applyProtection="1">
      <alignment horizontal="center" vertical="center" wrapText="1"/>
    </xf>
    <xf numFmtId="176" fontId="0" fillId="0" borderId="97" xfId="0" applyNumberFormat="1" applyFont="1" applyBorder="1">
      <alignment vertical="center"/>
    </xf>
    <xf numFmtId="176" fontId="0" fillId="0" borderId="30" xfId="0" applyNumberFormat="1" applyFont="1" applyBorder="1">
      <alignment vertical="center"/>
    </xf>
    <xf numFmtId="176" fontId="0" fillId="0" borderId="15" xfId="0" applyNumberFormat="1" applyFont="1" applyBorder="1">
      <alignment vertical="center"/>
    </xf>
    <xf numFmtId="176" fontId="0" fillId="0" borderId="11" xfId="0" applyNumberFormat="1" applyFont="1" applyBorder="1">
      <alignment vertical="center"/>
    </xf>
    <xf numFmtId="176" fontId="0" fillId="0" borderId="12" xfId="0" applyNumberFormat="1" applyFont="1" applyBorder="1">
      <alignment vertical="center"/>
    </xf>
    <xf numFmtId="176" fontId="0" fillId="0" borderId="107" xfId="0" applyNumberFormat="1" applyFont="1" applyBorder="1">
      <alignment vertical="center"/>
    </xf>
    <xf numFmtId="176" fontId="36" fillId="16" borderId="98" xfId="7" applyNumberFormat="1" applyFont="1" applyFill="1" applyBorder="1" applyAlignment="1" applyProtection="1">
      <alignment horizontal="right" vertical="center" shrinkToFit="1"/>
    </xf>
    <xf numFmtId="176" fontId="0" fillId="0" borderId="12" xfId="0" applyNumberFormat="1" applyFont="1" applyBorder="1" applyAlignment="1">
      <alignment horizontal="right" vertical="center"/>
    </xf>
    <xf numFmtId="176" fontId="0" fillId="0" borderId="107" xfId="0" applyNumberFormat="1" applyFont="1" applyBorder="1" applyAlignment="1">
      <alignment horizontal="right" vertical="center"/>
    </xf>
    <xf numFmtId="176" fontId="0" fillId="0" borderId="97" xfId="0" applyNumberFormat="1" applyFont="1" applyBorder="1" applyAlignment="1">
      <alignment horizontal="right" vertical="center"/>
    </xf>
    <xf numFmtId="176" fontId="0" fillId="0" borderId="30" xfId="0" applyNumberFormat="1" applyFont="1" applyBorder="1" applyAlignment="1">
      <alignment horizontal="right" vertical="center"/>
    </xf>
    <xf numFmtId="176" fontId="0" fillId="0" borderId="15" xfId="0" applyNumberFormat="1" applyFont="1" applyBorder="1" applyAlignment="1">
      <alignment horizontal="right" vertical="center"/>
    </xf>
    <xf numFmtId="176" fontId="0" fillId="0" borderId="11" xfId="0" applyNumberFormat="1" applyFont="1" applyBorder="1" applyAlignment="1">
      <alignment horizontal="right" vertical="center"/>
    </xf>
    <xf numFmtId="0" fontId="21" fillId="0" borderId="66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21" fillId="0" borderId="66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21" fillId="0" borderId="42" xfId="4" applyFont="1" applyFill="1" applyBorder="1" applyAlignment="1" applyProtection="1">
      <alignment horizontal="center" vertical="center" wrapText="1"/>
    </xf>
    <xf numFmtId="0" fontId="21" fillId="0" borderId="34" xfId="4" applyFont="1" applyFill="1" applyBorder="1" applyAlignment="1" applyProtection="1">
      <alignment horizontal="center" vertical="center" wrapText="1"/>
    </xf>
    <xf numFmtId="0" fontId="36" fillId="16" borderId="98" xfId="7" applyNumberFormat="1" applyFont="1" applyFill="1" applyBorder="1" applyAlignment="1" applyProtection="1">
      <alignment horizontal="center" vertical="center" shrinkToFit="1"/>
    </xf>
    <xf numFmtId="0" fontId="21" fillId="0" borderId="68" xfId="4" applyFont="1" applyFill="1" applyBorder="1" applyAlignment="1" applyProtection="1">
      <alignment horizontal="center" vertical="center" wrapText="1"/>
    </xf>
    <xf numFmtId="0" fontId="21" fillId="15" borderId="33" xfId="4" applyFont="1" applyFill="1" applyBorder="1" applyAlignment="1" applyProtection="1">
      <alignment horizontal="center" vertical="center" wrapText="1"/>
    </xf>
    <xf numFmtId="0" fontId="21" fillId="15" borderId="131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shrinkToFit="1"/>
    </xf>
    <xf numFmtId="0" fontId="60" fillId="9" borderId="12" xfId="7" applyNumberFormat="1" applyFont="1" applyFill="1" applyBorder="1" applyAlignment="1" applyProtection="1">
      <alignment horizontal="center" vertical="center" wrapText="1" shrinkToFit="1"/>
    </xf>
    <xf numFmtId="0" fontId="21" fillId="0" borderId="71" xfId="4" applyFont="1" applyFill="1" applyBorder="1" applyAlignment="1" applyProtection="1">
      <alignment horizontal="center" vertical="center" wrapText="1"/>
      <protection locked="0"/>
    </xf>
    <xf numFmtId="0" fontId="21" fillId="0" borderId="60" xfId="4" applyFont="1" applyFill="1" applyBorder="1" applyAlignment="1" applyProtection="1">
      <alignment horizontal="center" vertical="center" wrapText="1"/>
      <protection locked="0"/>
    </xf>
    <xf numFmtId="0" fontId="21" fillId="0" borderId="49" xfId="0" applyFont="1" applyFill="1" applyBorder="1" applyAlignment="1" applyProtection="1">
      <alignment horizontal="center" vertical="center" shrinkToFit="1"/>
      <protection locked="0"/>
    </xf>
    <xf numFmtId="0" fontId="21" fillId="0" borderId="60" xfId="0" applyFont="1" applyFill="1" applyBorder="1" applyAlignment="1" applyProtection="1">
      <alignment horizontal="center" vertical="center" shrinkToFit="1"/>
      <protection locked="0"/>
    </xf>
    <xf numFmtId="0" fontId="29" fillId="0" borderId="3" xfId="0" applyFont="1" applyBorder="1" applyAlignment="1" applyProtection="1">
      <alignment horizontal="center" vertical="center"/>
      <protection locked="0"/>
    </xf>
    <xf numFmtId="0" fontId="29" fillId="0" borderId="22" xfId="0" applyFont="1" applyBorder="1" applyAlignment="1" applyProtection="1">
      <alignment horizontal="center" vertical="center"/>
      <protection locked="0"/>
    </xf>
    <xf numFmtId="0" fontId="15" fillId="17" borderId="24" xfId="0" applyFont="1" applyFill="1" applyBorder="1" applyAlignment="1" applyProtection="1">
      <alignment horizontal="center" vertical="center"/>
      <protection locked="0"/>
    </xf>
    <xf numFmtId="0" fontId="15" fillId="17" borderId="65" xfId="0" applyFont="1" applyFill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29" xfId="0" applyFont="1" applyFill="1" applyBorder="1" applyAlignment="1" applyProtection="1">
      <alignment horizontal="center" vertical="center"/>
      <protection locked="0"/>
    </xf>
    <xf numFmtId="0" fontId="12" fillId="8" borderId="99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12" fillId="8" borderId="27" xfId="0" applyFont="1" applyFill="1" applyBorder="1" applyAlignment="1" applyProtection="1">
      <alignment horizontal="center" vertical="center" wrapText="1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15" fillId="8" borderId="80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15" fillId="8" borderId="19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5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9" xfId="0" applyFont="1" applyFill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110" xfId="0" applyFont="1" applyBorder="1" applyAlignment="1" applyProtection="1">
      <alignment horizontal="center" vertical="center"/>
      <protection locked="0"/>
    </xf>
    <xf numFmtId="0" fontId="21" fillId="0" borderId="29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21" fillId="0" borderId="29" xfId="0" applyFont="1" applyBorder="1" applyAlignment="1" applyProtection="1">
      <alignment horizontal="center" vertical="center" wrapText="1"/>
      <protection locked="0"/>
    </xf>
    <xf numFmtId="0" fontId="21" fillId="0" borderId="128" xfId="4" applyFont="1" applyFill="1" applyBorder="1" applyAlignment="1" applyProtection="1">
      <alignment horizontal="center" vertical="center" wrapText="1"/>
      <protection locked="0"/>
    </xf>
    <xf numFmtId="0" fontId="21" fillId="0" borderId="52" xfId="4" applyFont="1" applyFill="1" applyBorder="1" applyAlignment="1" applyProtection="1">
      <alignment horizontal="center" vertical="center" wrapText="1"/>
      <protection locked="0"/>
    </xf>
    <xf numFmtId="0" fontId="21" fillId="0" borderId="126" xfId="4" applyFont="1" applyFill="1" applyBorder="1" applyAlignment="1" applyProtection="1">
      <alignment horizontal="center" vertical="center" wrapText="1"/>
      <protection locked="0"/>
    </xf>
    <xf numFmtId="0" fontId="21" fillId="0" borderId="127" xfId="4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5" xfId="3" applyFont="1" applyFill="1" applyBorder="1" applyAlignment="1" applyProtection="1">
      <alignment horizontal="center" vertical="center" wrapText="1"/>
      <protection locked="0"/>
    </xf>
    <xf numFmtId="0" fontId="14" fillId="4" borderId="19" xfId="3" applyFont="1" applyFill="1" applyBorder="1" applyAlignment="1" applyProtection="1">
      <alignment horizontal="center" vertical="center" wrapText="1"/>
      <protection locked="0"/>
    </xf>
    <xf numFmtId="0" fontId="14" fillId="4" borderId="22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79" xfId="3" applyFont="1" applyFill="1" applyBorder="1" applyAlignment="1" applyProtection="1">
      <alignment horizontal="center" vertical="center" wrapText="1"/>
      <protection locked="0"/>
    </xf>
    <xf numFmtId="0" fontId="14" fillId="4" borderId="60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5" xfId="3" applyFont="1" applyFill="1" applyBorder="1" applyAlignment="1" applyProtection="1">
      <alignment horizontal="center" vertical="center" wrapText="1"/>
      <protection locked="0"/>
    </xf>
    <xf numFmtId="0" fontId="14" fillId="4" borderId="51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88" xfId="3" applyFont="1" applyFill="1" applyBorder="1" applyAlignment="1" applyProtection="1">
      <alignment horizontal="center" vertical="center" wrapText="1"/>
      <protection locked="0"/>
    </xf>
    <xf numFmtId="0" fontId="14" fillId="4" borderId="71" xfId="3" applyFont="1" applyFill="1" applyBorder="1" applyAlignment="1" applyProtection="1">
      <alignment horizontal="center" vertical="center" wrapText="1"/>
      <protection locked="0"/>
    </xf>
    <xf numFmtId="0" fontId="21" fillId="0" borderId="49" xfId="4" applyFont="1" applyFill="1" applyBorder="1" applyAlignment="1" applyProtection="1">
      <alignment horizontal="center" vertical="center" wrapText="1"/>
      <protection locked="0"/>
    </xf>
    <xf numFmtId="0" fontId="21" fillId="0" borderId="51" xfId="4" applyFont="1" applyFill="1" applyBorder="1" applyAlignment="1" applyProtection="1">
      <alignment horizontal="center" vertical="center" wrapText="1"/>
      <protection locked="0"/>
    </xf>
    <xf numFmtId="0" fontId="21" fillId="0" borderId="122" xfId="4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5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1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22" xfId="4" applyFont="1" applyFill="1" applyBorder="1" applyAlignment="1" applyProtection="1">
      <alignment horizontal="center" vertical="center" wrapText="1"/>
    </xf>
    <xf numFmtId="0" fontId="13" fillId="15" borderId="14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80" xfId="0" applyFont="1" applyFill="1" applyBorder="1" applyAlignment="1">
      <alignment horizontal="center" vertical="center" wrapText="1"/>
    </xf>
    <xf numFmtId="0" fontId="21" fillId="0" borderId="123" xfId="4" applyFont="1" applyFill="1" applyBorder="1" applyAlignment="1" applyProtection="1">
      <alignment horizontal="center" vertical="center" wrapText="1"/>
      <protection locked="0"/>
    </xf>
    <xf numFmtId="0" fontId="14" fillId="4" borderId="54" xfId="3" applyFont="1" applyFill="1" applyBorder="1" applyAlignment="1" applyProtection="1">
      <alignment horizontal="center" vertical="center" wrapText="1"/>
      <protection locked="0"/>
    </xf>
    <xf numFmtId="0" fontId="24" fillId="3" borderId="37" xfId="3" applyFont="1" applyBorder="1" applyAlignment="1" applyProtection="1">
      <alignment horizontal="center" vertical="center"/>
      <protection locked="0"/>
    </xf>
    <xf numFmtId="0" fontId="24" fillId="3" borderId="73" xfId="3" applyFont="1" applyBorder="1" applyAlignment="1" applyProtection="1">
      <alignment horizontal="center" vertical="center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4" fillId="4" borderId="89" xfId="3" applyFont="1" applyFill="1" applyBorder="1" applyAlignment="1" applyProtection="1">
      <alignment horizontal="center" vertical="center" wrapText="1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21" fillId="0" borderId="56" xfId="4" applyFont="1" applyFill="1" applyBorder="1" applyAlignment="1" applyProtection="1">
      <alignment horizontal="center" vertical="center" wrapText="1"/>
      <protection locked="0"/>
    </xf>
    <xf numFmtId="0" fontId="21" fillId="0" borderId="53" xfId="4" applyFont="1" applyFill="1" applyBorder="1" applyAlignment="1" applyProtection="1">
      <alignment horizontal="center" vertical="center" wrapText="1"/>
      <protection locked="0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5" borderId="78" xfId="4" applyFont="1" applyFill="1" applyBorder="1" applyAlignment="1" applyProtection="1">
      <alignment horizontal="center" vertical="center" wrapText="1"/>
    </xf>
    <xf numFmtId="0" fontId="13" fillId="6" borderId="33" xfId="4" applyFont="1" applyFill="1" applyBorder="1" applyAlignment="1" applyProtection="1">
      <alignment horizontal="center" vertical="center" wrapText="1"/>
    </xf>
    <xf numFmtId="0" fontId="21" fillId="0" borderId="50" xfId="4" applyFont="1" applyFill="1" applyBorder="1" applyAlignment="1" applyProtection="1">
      <alignment horizontal="center" vertical="center" wrapText="1"/>
      <protection locked="0"/>
    </xf>
    <xf numFmtId="0" fontId="21" fillId="0" borderId="54" xfId="4" applyFont="1" applyFill="1" applyBorder="1" applyAlignment="1" applyProtection="1">
      <alignment horizontal="center" vertical="center" wrapText="1"/>
      <protection locked="0"/>
    </xf>
    <xf numFmtId="0" fontId="21" fillId="0" borderId="36" xfId="4" applyFont="1" applyFill="1" applyBorder="1" applyAlignment="1" applyProtection="1">
      <alignment horizontal="center" vertical="center" wrapText="1"/>
      <protection locked="0"/>
    </xf>
    <xf numFmtId="0" fontId="21" fillId="0" borderId="35" xfId="4" applyFont="1" applyFill="1" applyBorder="1" applyAlignment="1" applyProtection="1">
      <alignment horizontal="center" vertical="center" wrapText="1"/>
      <protection locked="0"/>
    </xf>
    <xf numFmtId="0" fontId="21" fillId="0" borderId="124" xfId="4" applyFont="1" applyFill="1" applyBorder="1" applyAlignment="1" applyProtection="1">
      <alignment horizontal="center" vertical="center" wrapText="1"/>
      <protection locked="0"/>
    </xf>
    <xf numFmtId="0" fontId="21" fillId="0" borderId="125" xfId="4" applyFont="1" applyFill="1" applyBorder="1" applyAlignment="1" applyProtection="1">
      <alignment horizontal="center" vertical="center" wrapText="1"/>
      <protection locked="0"/>
    </xf>
    <xf numFmtId="0" fontId="0" fillId="0" borderId="98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21" fillId="0" borderId="4" xfId="4" applyFont="1" applyFill="1" applyBorder="1" applyAlignment="1" applyProtection="1">
      <alignment horizontal="center" vertical="center" wrapText="1"/>
      <protection locked="0"/>
    </xf>
    <xf numFmtId="0" fontId="21" fillId="0" borderId="68" xfId="4" applyFont="1" applyFill="1" applyBorder="1" applyAlignment="1" applyProtection="1">
      <alignment horizontal="center" vertical="center" wrapText="1"/>
      <protection locked="0"/>
    </xf>
    <xf numFmtId="0" fontId="21" fillId="0" borderId="67" xfId="4" applyFont="1" applyFill="1" applyBorder="1" applyAlignment="1" applyProtection="1">
      <alignment horizontal="center" vertical="center" wrapText="1"/>
      <protection locked="0"/>
    </xf>
    <xf numFmtId="0" fontId="21" fillId="0" borderId="129" xfId="4" applyFont="1" applyFill="1" applyBorder="1" applyAlignment="1" applyProtection="1">
      <alignment horizontal="center" vertical="center" wrapText="1"/>
      <protection locked="0"/>
    </xf>
    <xf numFmtId="0" fontId="21" fillId="0" borderId="130" xfId="4" applyFont="1" applyFill="1" applyBorder="1" applyAlignment="1" applyProtection="1">
      <alignment horizontal="center" vertical="center" wrapText="1"/>
      <protection locked="0"/>
    </xf>
    <xf numFmtId="0" fontId="7" fillId="0" borderId="5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124" xfId="0" applyFont="1" applyBorder="1" applyAlignment="1">
      <alignment horizontal="center" vertical="center" wrapText="1"/>
    </xf>
    <xf numFmtId="0" fontId="21" fillId="0" borderId="25" xfId="4" applyFont="1" applyFill="1" applyBorder="1" applyAlignment="1" applyProtection="1">
      <alignment horizontal="center" vertical="center" wrapText="1"/>
      <protection locked="0"/>
    </xf>
    <xf numFmtId="0" fontId="13" fillId="15" borderId="62" xfId="4" applyFont="1" applyFill="1" applyBorder="1" applyAlignment="1" applyProtection="1">
      <alignment horizontal="center" vertical="center" wrapText="1"/>
    </xf>
    <xf numFmtId="0" fontId="21" fillId="0" borderId="19" xfId="4" applyFont="1" applyFill="1" applyBorder="1" applyAlignment="1" applyProtection="1">
      <alignment horizontal="center" vertical="center" wrapText="1"/>
      <protection locked="0"/>
    </xf>
    <xf numFmtId="0" fontId="21" fillId="0" borderId="22" xfId="4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78" xfId="5" applyFont="1" applyFill="1" applyBorder="1" applyAlignment="1" applyProtection="1">
      <alignment horizontal="center" vertical="center" wrapText="1"/>
    </xf>
    <xf numFmtId="0" fontId="13" fillId="15" borderId="62" xfId="5" applyFont="1" applyFill="1" applyBorder="1" applyAlignment="1" applyProtection="1">
      <alignment horizontal="center" vertical="center" wrapText="1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5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41" fillId="15" borderId="14" xfId="0" applyFont="1" applyFill="1" applyBorder="1" applyAlignment="1">
      <alignment horizontal="center" vertical="center" wrapText="1"/>
    </xf>
    <xf numFmtId="0" fontId="41" fillId="15" borderId="17" xfId="0" applyFont="1" applyFill="1" applyBorder="1" applyAlignment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9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83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22" fillId="13" borderId="24" xfId="0" applyFont="1" applyFill="1" applyBorder="1" applyAlignment="1" applyProtection="1">
      <alignment horizontal="center" vertical="center"/>
      <protection locked="0"/>
    </xf>
    <xf numFmtId="0" fontId="22" fillId="13" borderId="29" xfId="0" applyFont="1" applyFill="1" applyBorder="1" applyAlignment="1" applyProtection="1">
      <alignment horizontal="center" vertical="center"/>
      <protection locked="0"/>
    </xf>
    <xf numFmtId="0" fontId="21" fillId="15" borderId="4" xfId="4" applyFont="1" applyFill="1" applyBorder="1" applyAlignment="1" applyProtection="1">
      <alignment horizontal="center" vertical="center" wrapText="1"/>
    </xf>
    <xf numFmtId="0" fontId="21" fillId="15" borderId="25" xfId="4" applyFont="1" applyFill="1" applyBorder="1" applyAlignment="1" applyProtection="1">
      <alignment horizontal="center" vertical="center" wrapText="1"/>
    </xf>
    <xf numFmtId="0" fontId="21" fillId="15" borderId="6" xfId="4" applyFont="1" applyFill="1" applyBorder="1" applyAlignment="1" applyProtection="1">
      <alignment horizontal="center" vertical="center" wrapText="1"/>
    </xf>
    <xf numFmtId="0" fontId="21" fillId="15" borderId="21" xfId="4" applyFont="1" applyFill="1" applyBorder="1" applyAlignment="1" applyProtection="1">
      <alignment horizontal="center" vertical="center" wrapText="1"/>
    </xf>
    <xf numFmtId="176" fontId="13" fillId="15" borderId="24" xfId="0" applyNumberFormat="1" applyFont="1" applyFill="1" applyBorder="1" applyAlignment="1">
      <alignment horizontal="center" vertical="center" wrapText="1"/>
    </xf>
    <xf numFmtId="176" fontId="13" fillId="15" borderId="29" xfId="0" applyNumberFormat="1" applyFont="1" applyFill="1" applyBorder="1" applyAlignment="1">
      <alignment horizontal="center" vertical="center" wrapText="1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21" fillId="0" borderId="24" xfId="4" applyFont="1" applyFill="1" applyBorder="1" applyAlignment="1" applyProtection="1">
      <alignment horizontal="center" vertical="center" wrapText="1"/>
      <protection locked="0"/>
    </xf>
    <xf numFmtId="0" fontId="21" fillId="0" borderId="65" xfId="4" applyFont="1" applyFill="1" applyBorder="1" applyAlignment="1" applyProtection="1">
      <alignment horizontal="center" vertical="center" wrapText="1"/>
      <protection locked="0"/>
    </xf>
    <xf numFmtId="0" fontId="21" fillId="0" borderId="64" xfId="4" applyFont="1" applyFill="1" applyBorder="1" applyAlignment="1" applyProtection="1">
      <alignment horizontal="center" vertical="center" wrapText="1"/>
      <protection locked="0"/>
    </xf>
    <xf numFmtId="0" fontId="21" fillId="0" borderId="110" xfId="4" applyFont="1" applyFill="1" applyBorder="1" applyAlignment="1" applyProtection="1">
      <alignment horizontal="center" vertical="center" wrapText="1"/>
      <protection locked="0"/>
    </xf>
    <xf numFmtId="0" fontId="21" fillId="0" borderId="16" xfId="4" applyFont="1" applyFill="1" applyBorder="1" applyAlignment="1" applyProtection="1">
      <alignment horizontal="center" vertical="center" wrapText="1"/>
      <protection locked="0"/>
    </xf>
    <xf numFmtId="0" fontId="21" fillId="0" borderId="29" xfId="4" applyFont="1" applyFill="1" applyBorder="1" applyAlignment="1" applyProtection="1">
      <alignment horizontal="center" vertical="center" wrapText="1"/>
      <protection locked="0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29" xfId="5" applyFont="1" applyFill="1" applyBorder="1" applyAlignment="1" applyProtection="1">
      <alignment horizontal="center" vertical="center" wrapText="1"/>
    </xf>
    <xf numFmtId="0" fontId="13" fillId="6" borderId="14" xfId="4" applyFont="1" applyFill="1" applyBorder="1" applyAlignment="1" applyProtection="1">
      <alignment horizontal="center" vertical="center" wrapText="1"/>
    </xf>
    <xf numFmtId="0" fontId="13" fillId="6" borderId="17" xfId="4" applyFont="1" applyFill="1" applyBorder="1" applyAlignment="1" applyProtection="1">
      <alignment horizontal="center" vertical="center" wrapText="1"/>
    </xf>
    <xf numFmtId="0" fontId="13" fillId="6" borderId="80" xfId="4" applyFont="1" applyFill="1" applyBorder="1" applyAlignment="1" applyProtection="1">
      <alignment horizontal="center" vertical="center" wrapText="1"/>
    </xf>
    <xf numFmtId="0" fontId="21" fillId="0" borderId="50" xfId="2" applyFont="1" applyBorder="1" applyAlignment="1" applyProtection="1">
      <alignment horizontal="center" vertical="center" wrapText="1"/>
      <protection locked="0"/>
    </xf>
    <xf numFmtId="0" fontId="21" fillId="0" borderId="54" xfId="2" applyFont="1" applyBorder="1" applyAlignment="1" applyProtection="1">
      <alignment horizontal="center" vertical="center" wrapText="1"/>
      <protection locked="0"/>
    </xf>
    <xf numFmtId="0" fontId="21" fillId="0" borderId="70" xfId="4" applyFont="1" applyFill="1" applyBorder="1" applyAlignment="1" applyProtection="1">
      <alignment horizontal="center" vertical="center" wrapText="1"/>
      <protection locked="0"/>
    </xf>
    <xf numFmtId="0" fontId="13" fillId="15" borderId="50" xfId="5" applyFont="1" applyFill="1" applyBorder="1" applyAlignment="1" applyProtection="1">
      <alignment horizontal="center" vertical="center" wrapText="1"/>
    </xf>
    <xf numFmtId="0" fontId="13" fillId="15" borderId="54" xfId="5" applyFont="1" applyFill="1" applyBorder="1" applyAlignment="1" applyProtection="1">
      <alignment horizontal="center" vertical="center" wrapText="1"/>
    </xf>
    <xf numFmtId="0" fontId="21" fillId="0" borderId="50" xfId="0" applyFont="1" applyFill="1" applyBorder="1" applyAlignment="1" applyProtection="1">
      <alignment horizontal="center" vertical="center" shrinkToFit="1"/>
      <protection locked="0"/>
    </xf>
    <xf numFmtId="0" fontId="21" fillId="0" borderId="54" xfId="0" applyFont="1" applyFill="1" applyBorder="1" applyAlignment="1" applyProtection="1">
      <alignment horizontal="center" vertical="center" shrinkToFit="1"/>
      <protection locked="0"/>
    </xf>
    <xf numFmtId="0" fontId="21" fillId="0" borderId="50" xfId="0" applyFont="1" applyBorder="1" applyAlignment="1" applyProtection="1">
      <alignment horizontal="center" vertical="center" shrinkToFit="1"/>
      <protection locked="0"/>
    </xf>
    <xf numFmtId="0" fontId="0" fillId="0" borderId="54" xfId="0" applyBorder="1" applyAlignment="1">
      <alignment horizontal="center" vertical="center" shrinkToFit="1"/>
    </xf>
    <xf numFmtId="0" fontId="0" fillId="0" borderId="36" xfId="0" applyFont="1" applyBorder="1" applyAlignment="1">
      <alignment horizontal="center" vertical="center" wrapText="1"/>
    </xf>
    <xf numFmtId="0" fontId="0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1" fillId="0" borderId="54" xfId="0" applyFont="1" applyBorder="1" applyAlignment="1" applyProtection="1">
      <alignment horizontal="center" vertical="center" shrinkToFit="1"/>
      <protection locked="0"/>
    </xf>
    <xf numFmtId="0" fontId="39" fillId="15" borderId="14" xfId="4" applyFont="1" applyFill="1" applyBorder="1" applyAlignment="1" applyProtection="1">
      <alignment horizontal="center" vertical="center" wrapText="1"/>
    </xf>
    <xf numFmtId="0" fontId="39" fillId="15" borderId="80" xfId="4" applyFont="1" applyFill="1" applyBorder="1" applyAlignment="1" applyProtection="1">
      <alignment horizontal="center" vertical="center" wrapText="1"/>
    </xf>
    <xf numFmtId="0" fontId="21" fillId="0" borderId="49" xfId="0" applyFont="1" applyBorder="1" applyAlignment="1" applyProtection="1">
      <alignment horizontal="center" vertical="center" shrinkToFit="1"/>
      <protection locked="0"/>
    </xf>
    <xf numFmtId="0" fontId="21" fillId="0" borderId="60" xfId="0" applyFont="1" applyBorder="1" applyAlignment="1" applyProtection="1">
      <alignment horizontal="center" vertical="center" shrinkToFit="1"/>
      <protection locked="0"/>
    </xf>
    <xf numFmtId="0" fontId="21" fillId="0" borderId="66" xfId="4" applyFont="1" applyFill="1" applyBorder="1" applyAlignment="1" applyProtection="1">
      <alignment horizontal="center" vertical="center" wrapText="1"/>
    </xf>
    <xf numFmtId="0" fontId="21" fillId="0" borderId="55" xfId="4" applyFont="1" applyFill="1" applyBorder="1" applyAlignment="1" applyProtection="1">
      <alignment horizontal="center" vertical="center" wrapText="1"/>
    </xf>
    <xf numFmtId="0" fontId="21" fillId="15" borderId="75" xfId="4" applyFont="1" applyFill="1" applyBorder="1" applyAlignment="1" applyProtection="1">
      <alignment horizontal="center" vertical="center" wrapText="1"/>
    </xf>
    <xf numFmtId="0" fontId="21" fillId="15" borderId="62" xfId="4" applyFont="1" applyFill="1" applyBorder="1" applyAlignment="1" applyProtection="1">
      <alignment horizontal="center" vertical="center" wrapText="1"/>
    </xf>
    <xf numFmtId="0" fontId="21" fillId="0" borderId="79" xfId="4" applyFont="1" applyFill="1" applyBorder="1" applyAlignment="1" applyProtection="1">
      <alignment horizontal="center" vertical="center" wrapText="1"/>
      <protection locked="0"/>
    </xf>
    <xf numFmtId="0" fontId="0" fillId="0" borderId="81" xfId="0" applyFont="1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 wrapText="1"/>
    </xf>
    <xf numFmtId="0" fontId="0" fillId="0" borderId="63" xfId="0" applyFont="1" applyBorder="1" applyAlignment="1">
      <alignment horizontal="center" vertical="center" wrapText="1"/>
    </xf>
    <xf numFmtId="0" fontId="0" fillId="0" borderId="90" xfId="0" applyFont="1" applyBorder="1" applyAlignment="1">
      <alignment horizontal="center" vertical="center" wrapText="1"/>
    </xf>
    <xf numFmtId="0" fontId="21" fillId="0" borderId="63" xfId="4" applyFont="1" applyFill="1" applyBorder="1" applyAlignment="1" applyProtection="1">
      <alignment horizontal="center" vertical="center" wrapText="1"/>
      <protection locked="0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15" borderId="22" xfId="5" applyFont="1" applyFill="1" applyBorder="1" applyAlignment="1" applyProtection="1">
      <alignment horizontal="center" vertical="center" wrapText="1"/>
    </xf>
    <xf numFmtId="0" fontId="21" fillId="0" borderId="56" xfId="0" applyFont="1" applyBorder="1" applyAlignment="1" applyProtection="1">
      <alignment horizontal="center" vertical="center" shrinkToFit="1"/>
      <protection locked="0"/>
    </xf>
    <xf numFmtId="0" fontId="21" fillId="0" borderId="53" xfId="0" applyFont="1" applyBorder="1" applyAlignment="1" applyProtection="1">
      <alignment horizontal="center" vertical="center" shrinkToFit="1"/>
      <protection locked="0"/>
    </xf>
    <xf numFmtId="0" fontId="21" fillId="0" borderId="72" xfId="4" applyFont="1" applyFill="1" applyBorder="1" applyAlignment="1" applyProtection="1">
      <alignment horizontal="center" vertical="center" wrapText="1"/>
      <protection locked="0"/>
    </xf>
    <xf numFmtId="0" fontId="21" fillId="15" borderId="14" xfId="4" applyFont="1" applyFill="1" applyBorder="1" applyAlignment="1" applyProtection="1">
      <alignment horizontal="center" vertical="center" wrapText="1"/>
    </xf>
    <xf numFmtId="0" fontId="21" fillId="15" borderId="17" xfId="4" applyFont="1" applyFill="1" applyBorder="1" applyAlignment="1" applyProtection="1">
      <alignment horizontal="center" vertical="center" wrapText="1"/>
    </xf>
    <xf numFmtId="0" fontId="21" fillId="15" borderId="80" xfId="4" applyFont="1" applyFill="1" applyBorder="1" applyAlignment="1" applyProtection="1">
      <alignment horizontal="center" vertical="center" wrapText="1"/>
    </xf>
    <xf numFmtId="0" fontId="13" fillId="15" borderId="14" xfId="4" applyFont="1" applyFill="1" applyBorder="1" applyAlignment="1" applyProtection="1">
      <alignment horizontal="center" vertical="center" wrapText="1"/>
    </xf>
    <xf numFmtId="0" fontId="13" fillId="15" borderId="17" xfId="4" applyFont="1" applyFill="1" applyBorder="1" applyAlignment="1" applyProtection="1">
      <alignment horizontal="center" vertical="center" wrapText="1"/>
    </xf>
    <xf numFmtId="0" fontId="21" fillId="0" borderId="95" xfId="4" applyFont="1" applyFill="1" applyBorder="1" applyAlignment="1" applyProtection="1">
      <alignment horizontal="center" vertical="center" wrapText="1"/>
    </xf>
    <xf numFmtId="0" fontId="21" fillId="15" borderId="78" xfId="4" applyFont="1" applyFill="1" applyBorder="1" applyAlignment="1" applyProtection="1">
      <alignment horizontal="center" vertical="center" wrapText="1"/>
    </xf>
    <xf numFmtId="0" fontId="28" fillId="0" borderId="130" xfId="4" quotePrefix="1" applyFont="1" applyFill="1" applyBorder="1" applyAlignment="1" applyProtection="1">
      <alignment horizontal="center" vertical="center" wrapText="1"/>
      <protection locked="0"/>
    </xf>
    <xf numFmtId="0" fontId="28" fillId="0" borderId="28" xfId="4" quotePrefix="1" applyFont="1" applyFill="1" applyBorder="1" applyAlignment="1" applyProtection="1">
      <alignment horizontal="center" vertical="center" wrapText="1"/>
      <protection locked="0"/>
    </xf>
    <xf numFmtId="0" fontId="28" fillId="0" borderId="129" xfId="4" quotePrefix="1" applyFont="1" applyFill="1" applyBorder="1" applyAlignment="1" applyProtection="1">
      <alignment horizontal="center" vertical="center" wrapText="1"/>
      <protection locked="0"/>
    </xf>
    <xf numFmtId="0" fontId="28" fillId="0" borderId="20" xfId="4" quotePrefix="1" applyFont="1" applyFill="1" applyBorder="1" applyAlignment="1" applyProtection="1">
      <alignment horizontal="center" vertical="center" wrapText="1"/>
      <protection locked="0"/>
    </xf>
    <xf numFmtId="0" fontId="28" fillId="0" borderId="0" xfId="4" quotePrefix="1" applyFont="1" applyFill="1" applyBorder="1" applyAlignment="1" applyProtection="1">
      <alignment horizontal="center" vertical="center" wrapText="1"/>
      <protection locked="0"/>
    </xf>
    <xf numFmtId="0" fontId="28" fillId="0" borderId="7" xfId="4" quotePrefix="1" applyFont="1" applyFill="1" applyBorder="1" applyAlignment="1" applyProtection="1">
      <alignment horizontal="center" vertical="center" wrapText="1"/>
      <protection locked="0"/>
    </xf>
    <xf numFmtId="0" fontId="28" fillId="0" borderId="81" xfId="4" quotePrefix="1" applyFont="1" applyFill="1" applyBorder="1" applyAlignment="1" applyProtection="1">
      <alignment horizontal="center" vertical="center" wrapText="1"/>
      <protection locked="0"/>
    </xf>
    <xf numFmtId="0" fontId="28" fillId="0" borderId="3" xfId="4" quotePrefix="1" applyFont="1" applyFill="1" applyBorder="1" applyAlignment="1" applyProtection="1">
      <alignment horizontal="center" vertical="center" wrapText="1"/>
      <protection locked="0"/>
    </xf>
    <xf numFmtId="0" fontId="28" fillId="0" borderId="90" xfId="4" quotePrefix="1" applyFont="1" applyFill="1" applyBorder="1" applyAlignment="1" applyProtection="1">
      <alignment horizontal="center" vertical="center" wrapText="1"/>
      <protection locked="0"/>
    </xf>
    <xf numFmtId="0" fontId="28" fillId="0" borderId="28" xfId="4" applyFont="1" applyFill="1" applyBorder="1" applyAlignment="1" applyProtection="1">
      <alignment horizontal="center" vertical="center" wrapText="1"/>
      <protection locked="0"/>
    </xf>
    <xf numFmtId="0" fontId="28" fillId="0" borderId="68" xfId="4" applyFont="1" applyFill="1" applyBorder="1" applyAlignment="1" applyProtection="1">
      <alignment horizontal="center" vertical="center" wrapText="1"/>
      <protection locked="0"/>
    </xf>
    <xf numFmtId="0" fontId="28" fillId="0" borderId="0" xfId="4" applyFont="1" applyFill="1" applyBorder="1" applyAlignment="1" applyProtection="1">
      <alignment horizontal="center" vertical="center" wrapText="1"/>
      <protection locked="0"/>
    </xf>
    <xf numFmtId="0" fontId="28" fillId="0" borderId="91" xfId="4" applyFont="1" applyFill="1" applyBorder="1" applyAlignment="1" applyProtection="1">
      <alignment horizontal="center" vertical="center" wrapText="1"/>
      <protection locked="0"/>
    </xf>
    <xf numFmtId="0" fontId="28" fillId="0" borderId="3" xfId="4" applyFont="1" applyFill="1" applyBorder="1" applyAlignment="1" applyProtection="1">
      <alignment horizontal="center" vertical="center" wrapText="1"/>
      <protection locked="0"/>
    </xf>
    <xf numFmtId="0" fontId="28" fillId="0" borderId="61" xfId="4" applyFont="1" applyFill="1" applyBorder="1" applyAlignment="1" applyProtection="1">
      <alignment horizontal="center" vertical="center" wrapText="1"/>
      <protection locked="0"/>
    </xf>
    <xf numFmtId="0" fontId="28" fillId="0" borderId="67" xfId="4" applyFont="1" applyFill="1" applyBorder="1" applyAlignment="1" applyProtection="1">
      <alignment horizontal="center" vertical="center" wrapText="1"/>
      <protection locked="0"/>
    </xf>
    <xf numFmtId="0" fontId="28" fillId="0" borderId="25" xfId="4" applyFont="1" applyFill="1" applyBorder="1" applyAlignment="1" applyProtection="1">
      <alignment horizontal="center" vertical="center" wrapText="1"/>
      <protection locked="0"/>
    </xf>
    <xf numFmtId="0" fontId="28" fillId="0" borderId="77" xfId="4" applyFont="1" applyFill="1" applyBorder="1" applyAlignment="1" applyProtection="1">
      <alignment horizontal="center" vertical="center" wrapText="1"/>
      <protection locked="0"/>
    </xf>
    <xf numFmtId="0" fontId="28" fillId="0" borderId="21" xfId="4" applyFont="1" applyFill="1" applyBorder="1" applyAlignment="1" applyProtection="1">
      <alignment horizontal="center" vertical="center" wrapText="1"/>
      <protection locked="0"/>
    </xf>
    <xf numFmtId="0" fontId="28" fillId="0" borderId="63" xfId="4" applyFont="1" applyFill="1" applyBorder="1" applyAlignment="1" applyProtection="1">
      <alignment horizontal="center" vertical="center" wrapText="1"/>
      <protection locked="0"/>
    </xf>
    <xf numFmtId="0" fontId="28" fillId="0" borderId="22" xfId="4" applyFont="1" applyFill="1" applyBorder="1" applyAlignment="1" applyProtection="1">
      <alignment horizontal="center" vertical="center" wrapText="1"/>
      <protection locked="0"/>
    </xf>
    <xf numFmtId="0" fontId="13" fillId="6" borderId="14" xfId="4" quotePrefix="1" applyFont="1" applyFill="1" applyBorder="1" applyAlignment="1" applyProtection="1">
      <alignment horizontal="center" vertical="center" wrapText="1"/>
    </xf>
    <xf numFmtId="0" fontId="13" fillId="6" borderId="17" xfId="4" quotePrefix="1" applyFont="1" applyFill="1" applyBorder="1" applyAlignment="1" applyProtection="1">
      <alignment horizontal="center" vertical="center" wrapText="1"/>
    </xf>
    <xf numFmtId="0" fontId="13" fillId="6" borderId="80" xfId="4" quotePrefix="1" applyFont="1" applyFill="1" applyBorder="1" applyAlignment="1" applyProtection="1">
      <alignment horizontal="center" vertical="center" wrapText="1"/>
    </xf>
    <xf numFmtId="0" fontId="28" fillId="0" borderId="6" xfId="0" applyFont="1" applyBorder="1" applyAlignment="1" applyProtection="1">
      <alignment horizontal="center" vertical="center" shrinkToFit="1"/>
      <protection locked="0"/>
    </xf>
    <xf numFmtId="0" fontId="28" fillId="0" borderId="21" xfId="0" applyFont="1" applyBorder="1" applyAlignment="1" applyProtection="1">
      <alignment horizontal="center" vertical="center" shrinkToFit="1"/>
      <protection locked="0"/>
    </xf>
    <xf numFmtId="0" fontId="28" fillId="0" borderId="19" xfId="0" applyFont="1" applyBorder="1" applyAlignment="1" applyProtection="1">
      <alignment horizontal="center" vertical="center" shrinkToFit="1"/>
      <protection locked="0"/>
    </xf>
    <xf numFmtId="0" fontId="28" fillId="0" borderId="22" xfId="0" applyFont="1" applyBorder="1" applyAlignment="1" applyProtection="1">
      <alignment horizontal="center" vertical="center" shrinkToFit="1"/>
      <protection locked="0"/>
    </xf>
    <xf numFmtId="0" fontId="28" fillId="0" borderId="4" xfId="0" applyFont="1" applyBorder="1" applyAlignment="1" applyProtection="1">
      <alignment horizontal="center" vertical="center" shrinkToFit="1"/>
      <protection locked="0"/>
    </xf>
    <xf numFmtId="0" fontId="28" fillId="0" borderId="25" xfId="0" applyFont="1" applyBorder="1" applyAlignment="1" applyProtection="1">
      <alignment horizontal="center" vertical="center" shrinkToFit="1"/>
      <protection locked="0"/>
    </xf>
    <xf numFmtId="0" fontId="28" fillId="0" borderId="66" xfId="4" applyFont="1" applyFill="1" applyBorder="1" applyAlignment="1" applyProtection="1">
      <alignment horizontal="center" vertical="center" wrapText="1"/>
    </xf>
    <xf numFmtId="0" fontId="28" fillId="0" borderId="95" xfId="4" applyFont="1" applyFill="1" applyBorder="1" applyAlignment="1" applyProtection="1">
      <alignment horizontal="center" vertical="center" wrapText="1"/>
    </xf>
    <xf numFmtId="0" fontId="28" fillId="0" borderId="55" xfId="4" applyFont="1" applyFill="1" applyBorder="1" applyAlignment="1" applyProtection="1">
      <alignment horizontal="center" vertical="center" wrapText="1"/>
    </xf>
    <xf numFmtId="0" fontId="28" fillId="15" borderId="75" xfId="4" applyFont="1" applyFill="1" applyBorder="1" applyAlignment="1" applyProtection="1">
      <alignment horizontal="center" vertical="center" wrapText="1"/>
    </xf>
    <xf numFmtId="0" fontId="28" fillId="15" borderId="78" xfId="4" applyFont="1" applyFill="1" applyBorder="1" applyAlignment="1" applyProtection="1">
      <alignment horizontal="center" vertical="center" wrapText="1"/>
    </xf>
    <xf numFmtId="0" fontId="28" fillId="15" borderId="62" xfId="4" applyFont="1" applyFill="1" applyBorder="1" applyAlignment="1" applyProtection="1">
      <alignment horizontal="center" vertical="center" wrapText="1"/>
    </xf>
    <xf numFmtId="0" fontId="28" fillId="0" borderId="4" xfId="4" applyFont="1" applyFill="1" applyBorder="1" applyAlignment="1" applyProtection="1">
      <alignment horizontal="center" vertical="center" wrapText="1"/>
      <protection locked="0"/>
    </xf>
    <xf numFmtId="0" fontId="28" fillId="0" borderId="6" xfId="4" applyFont="1" applyFill="1" applyBorder="1" applyAlignment="1" applyProtection="1">
      <alignment horizontal="center" vertical="center" wrapText="1"/>
      <protection locked="0"/>
    </xf>
    <xf numFmtId="0" fontId="28" fillId="0" borderId="19" xfId="4" applyFont="1" applyFill="1" applyBorder="1" applyAlignment="1" applyProtection="1">
      <alignment horizontal="center" vertical="center" wrapText="1"/>
      <protection locked="0"/>
    </xf>
    <xf numFmtId="0" fontId="13" fillId="10" borderId="130" xfId="6" applyFont="1" applyFill="1" applyBorder="1" applyAlignment="1" applyProtection="1">
      <alignment horizontal="center" vertical="center" wrapText="1"/>
    </xf>
    <xf numFmtId="0" fontId="13" fillId="10" borderId="68" xfId="6" applyFont="1" applyFill="1" applyBorder="1" applyAlignment="1" applyProtection="1">
      <alignment horizontal="center" vertical="center" wrapText="1"/>
    </xf>
    <xf numFmtId="0" fontId="13" fillId="10" borderId="81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129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90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25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19" xfId="6" applyFont="1" applyFill="1" applyBorder="1" applyAlignment="1" applyProtection="1">
      <alignment horizontal="center" vertical="center" wrapText="1"/>
    </xf>
    <xf numFmtId="0" fontId="13" fillId="10" borderId="76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8" xfId="6" applyFont="1" applyFill="1" applyBorder="1" applyAlignment="1" applyProtection="1">
      <alignment horizontal="center" vertical="center" wrapText="1"/>
    </xf>
    <xf numFmtId="0" fontId="13" fillId="15" borderId="25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2" xfId="6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79" xfId="6" applyFont="1" applyFill="1" applyBorder="1" applyAlignment="1" applyProtection="1">
      <alignment horizontal="center" vertical="center" wrapText="1"/>
    </xf>
    <xf numFmtId="0" fontId="13" fillId="15" borderId="60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0" borderId="71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10" borderId="110" xfId="6" applyFont="1" applyFill="1" applyBorder="1" applyAlignment="1" applyProtection="1">
      <alignment horizontal="center" vertical="center" wrapText="1"/>
    </xf>
    <xf numFmtId="0" fontId="13" fillId="10" borderId="16" xfId="6" applyFont="1" applyFill="1" applyBorder="1" applyAlignment="1" applyProtection="1">
      <alignment horizontal="center" vertical="center" wrapText="1"/>
    </xf>
    <xf numFmtId="0" fontId="13" fillId="15" borderId="50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124" xfId="4" applyFont="1" applyFill="1" applyBorder="1" applyAlignment="1" applyProtection="1">
      <alignment horizontal="center" vertical="center" wrapText="1"/>
      <protection locked="0"/>
    </xf>
    <xf numFmtId="0" fontId="13" fillId="0" borderId="125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15" borderId="104" xfId="6" applyFont="1" applyFill="1" applyBorder="1" applyAlignment="1" applyProtection="1">
      <alignment horizontal="center" vertical="center" wrapText="1"/>
    </xf>
    <xf numFmtId="0" fontId="13" fillId="15" borderId="105" xfId="6" applyFont="1" applyFill="1" applyBorder="1" applyAlignment="1" applyProtection="1">
      <alignment horizontal="center" vertical="center" wrapText="1"/>
    </xf>
    <xf numFmtId="0" fontId="13" fillId="6" borderId="100" xfId="4" applyFont="1" applyFill="1" applyBorder="1" applyAlignment="1" applyProtection="1">
      <alignment horizontal="center" vertical="center" wrapText="1"/>
    </xf>
    <xf numFmtId="0" fontId="13" fillId="15" borderId="126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56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15" borderId="72" xfId="6" applyFont="1" applyFill="1" applyBorder="1" applyAlignment="1" applyProtection="1">
      <alignment horizontal="center" vertical="center" wrapText="1"/>
    </xf>
    <xf numFmtId="0" fontId="13" fillId="15" borderId="56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15" borderId="127" xfId="4" applyFont="1" applyFill="1" applyBorder="1" applyAlignment="1" applyProtection="1">
      <alignment horizontal="center" vertical="center" wrapText="1"/>
    </xf>
    <xf numFmtId="0" fontId="13" fillId="15" borderId="128" xfId="4" applyFont="1" applyFill="1" applyBorder="1" applyAlignment="1" applyProtection="1">
      <alignment horizontal="center" vertical="center" wrapText="1"/>
    </xf>
    <xf numFmtId="0" fontId="21" fillId="0" borderId="49" xfId="0" applyFont="1" applyBorder="1" applyAlignment="1" applyProtection="1">
      <alignment horizontal="center" vertical="center" wrapText="1"/>
      <protection locked="0"/>
    </xf>
    <xf numFmtId="0" fontId="21" fillId="0" borderId="60" xfId="0" applyFont="1" applyBorder="1" applyAlignment="1" applyProtection="1">
      <alignment horizontal="center" vertical="center" wrapText="1"/>
      <protection locked="0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21" fillId="0" borderId="104" xfId="2" applyFont="1" applyBorder="1" applyAlignment="1" applyProtection="1">
      <alignment horizontal="center" vertical="center" wrapText="1"/>
      <protection locked="0"/>
    </xf>
    <xf numFmtId="0" fontId="21" fillId="0" borderId="105" xfId="2" applyFont="1" applyBorder="1" applyAlignment="1" applyProtection="1">
      <alignment horizontal="center" vertical="center" wrapText="1"/>
      <protection locked="0"/>
    </xf>
    <xf numFmtId="0" fontId="21" fillId="0" borderId="104" xfId="4" applyFont="1" applyFill="1" applyBorder="1" applyAlignment="1" applyProtection="1">
      <alignment horizontal="center" vertical="center" wrapText="1"/>
      <protection locked="0"/>
    </xf>
    <xf numFmtId="0" fontId="21" fillId="0" borderId="177" xfId="4" applyFont="1" applyFill="1" applyBorder="1" applyAlignment="1" applyProtection="1">
      <alignment horizontal="center" vertical="center" wrapText="1"/>
      <protection locked="0"/>
    </xf>
    <xf numFmtId="0" fontId="21" fillId="0" borderId="178" xfId="4" applyFont="1" applyFill="1" applyBorder="1" applyAlignment="1" applyProtection="1">
      <alignment horizontal="center" vertical="center" wrapText="1"/>
      <protection locked="0"/>
    </xf>
    <xf numFmtId="0" fontId="21" fillId="0" borderId="179" xfId="4" applyFont="1" applyFill="1" applyBorder="1" applyAlignment="1" applyProtection="1">
      <alignment horizontal="center" vertical="center" wrapText="1"/>
      <protection locked="0"/>
    </xf>
    <xf numFmtId="0" fontId="21" fillId="0" borderId="180" xfId="4" applyFont="1" applyFill="1" applyBorder="1" applyAlignment="1" applyProtection="1">
      <alignment horizontal="center" vertical="center" wrapText="1"/>
      <protection locked="0"/>
    </xf>
    <xf numFmtId="0" fontId="21" fillId="0" borderId="181" xfId="4" applyFont="1" applyFill="1" applyBorder="1" applyAlignment="1" applyProtection="1">
      <alignment horizontal="center" vertical="center" wrapText="1"/>
      <protection locked="0"/>
    </xf>
    <xf numFmtId="0" fontId="21" fillId="0" borderId="105" xfId="4" applyFont="1" applyFill="1" applyBorder="1" applyAlignment="1" applyProtection="1">
      <alignment horizontal="center" vertical="center" wrapText="1"/>
      <protection locked="0"/>
    </xf>
    <xf numFmtId="0" fontId="13" fillId="15" borderId="104" xfId="5" applyFont="1" applyFill="1" applyBorder="1" applyAlignment="1" applyProtection="1">
      <alignment horizontal="center" vertical="center" wrapText="1"/>
    </xf>
    <xf numFmtId="0" fontId="13" fillId="15" borderId="105" xfId="5" applyFont="1" applyFill="1" applyBorder="1" applyAlignment="1" applyProtection="1">
      <alignment horizontal="center" vertical="center" wrapText="1"/>
    </xf>
    <xf numFmtId="0" fontId="21" fillId="0" borderId="56" xfId="0" applyFont="1" applyBorder="1" applyAlignment="1" applyProtection="1">
      <alignment horizontal="center" vertical="center" wrapText="1"/>
      <protection locked="0"/>
    </xf>
    <xf numFmtId="0" fontId="0" fillId="0" borderId="53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76" fontId="13" fillId="15" borderId="4" xfId="0" applyNumberFormat="1" applyFont="1" applyFill="1" applyBorder="1" applyAlignment="1">
      <alignment horizontal="center" vertical="center" wrapText="1"/>
    </xf>
    <xf numFmtId="176" fontId="13" fillId="15" borderId="25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13" fillId="15" borderId="56" xfId="5" applyFont="1" applyFill="1" applyBorder="1" applyAlignment="1" applyProtection="1">
      <alignment horizontal="center" vertical="center" wrapText="1"/>
    </xf>
    <xf numFmtId="0" fontId="0" fillId="0" borderId="12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6" fillId="9" borderId="5" xfId="7" applyFont="1" applyFill="1" applyBorder="1" applyAlignment="1" applyProtection="1">
      <alignment horizontal="center" vertical="center" wrapText="1"/>
    </xf>
    <xf numFmtId="0" fontId="36" fillId="9" borderId="13" xfId="7" applyFont="1" applyFill="1" applyBorder="1" applyAlignment="1" applyProtection="1">
      <alignment horizontal="center" vertical="center" wrapText="1"/>
    </xf>
    <xf numFmtId="0" fontId="36" fillId="9" borderId="9" xfId="7" applyFont="1" applyFill="1" applyBorder="1" applyAlignment="1" applyProtection="1">
      <alignment horizontal="center" vertical="center" wrapText="1"/>
    </xf>
    <xf numFmtId="176" fontId="36" fillId="9" borderId="97" xfId="7" applyNumberFormat="1" applyFont="1" applyFill="1" applyBorder="1" applyAlignment="1" applyProtection="1">
      <alignment horizontal="center" vertical="center" wrapText="1"/>
    </xf>
    <xf numFmtId="0" fontId="36" fillId="9" borderId="15" xfId="7" applyFont="1" applyFill="1" applyBorder="1" applyAlignment="1" applyProtection="1">
      <alignment horizontal="center" vertical="center" wrapText="1"/>
    </xf>
    <xf numFmtId="0" fontId="36" fillId="9" borderId="98" xfId="7" applyFont="1" applyFill="1" applyBorder="1" applyAlignment="1" applyProtection="1">
      <alignment horizontal="center" vertical="center" wrapText="1"/>
    </xf>
    <xf numFmtId="0" fontId="36" fillId="16" borderId="8" xfId="7" applyNumberFormat="1" applyFont="1" applyFill="1" applyBorder="1" applyAlignment="1" applyProtection="1">
      <alignment horizontal="center" vertical="center" shrinkToFit="1"/>
    </xf>
    <xf numFmtId="0" fontId="36" fillId="16" borderId="18" xfId="7" applyNumberFormat="1" applyFont="1" applyFill="1" applyBorder="1" applyAlignment="1" applyProtection="1">
      <alignment horizontal="center" vertical="center" shrinkToFit="1"/>
    </xf>
    <xf numFmtId="0" fontId="36" fillId="9" borderId="106" xfId="7" applyFont="1" applyFill="1" applyBorder="1" applyAlignment="1" applyProtection="1">
      <alignment horizontal="center" vertical="center" wrapText="1"/>
    </xf>
    <xf numFmtId="0" fontId="36" fillId="9" borderId="108" xfId="7" applyFont="1" applyFill="1" applyBorder="1" applyAlignment="1" applyProtection="1">
      <alignment horizontal="center" vertical="center" wrapText="1"/>
    </xf>
    <xf numFmtId="176" fontId="36" fillId="9" borderId="12" xfId="7" applyNumberFormat="1" applyFont="1" applyFill="1" applyBorder="1" applyAlignment="1" applyProtection="1">
      <alignment horizontal="center" vertical="center" wrapText="1"/>
    </xf>
    <xf numFmtId="0" fontId="36" fillId="9" borderId="32" xfId="7" applyFont="1" applyFill="1" applyBorder="1" applyAlignment="1" applyProtection="1">
      <alignment horizontal="center" vertical="center" wrapText="1"/>
    </xf>
    <xf numFmtId="0" fontId="36" fillId="16" borderId="98" xfId="7" applyNumberFormat="1" applyFont="1" applyFill="1" applyBorder="1" applyAlignment="1" applyProtection="1">
      <alignment horizontal="center" vertical="center" shrinkToFit="1"/>
    </xf>
    <xf numFmtId="0" fontId="36" fillId="9" borderId="99" xfId="7" applyFont="1" applyFill="1" applyBorder="1" applyAlignment="1" applyProtection="1">
      <alignment horizontal="center" vertical="center" wrapText="1"/>
    </xf>
    <xf numFmtId="0" fontId="36" fillId="9" borderId="26" xfId="7" applyFont="1" applyFill="1" applyBorder="1" applyAlignment="1" applyProtection="1">
      <alignment horizontal="center" vertical="center" wrapText="1"/>
    </xf>
    <xf numFmtId="0" fontId="36" fillId="9" borderId="27" xfId="7" applyFont="1" applyFill="1" applyBorder="1" applyAlignment="1" applyProtection="1">
      <alignment horizontal="center" vertical="center" wrapText="1"/>
    </xf>
    <xf numFmtId="176" fontId="36" fillId="9" borderId="114" xfId="7" applyNumberFormat="1" applyFont="1" applyFill="1" applyBorder="1" applyAlignment="1" applyProtection="1">
      <alignment horizontal="center" vertical="center" wrapText="1"/>
    </xf>
    <xf numFmtId="176" fontId="36" fillId="9" borderId="10" xfId="7" applyNumberFormat="1" applyFont="1" applyFill="1" applyBorder="1" applyAlignment="1" applyProtection="1">
      <alignment horizontal="center" vertical="center" wrapText="1"/>
    </xf>
    <xf numFmtId="176" fontId="36" fillId="9" borderId="115" xfId="7" applyNumberFormat="1" applyFont="1" applyFill="1" applyBorder="1" applyAlignment="1" applyProtection="1">
      <alignment horizontal="center" vertical="center" wrapText="1"/>
    </xf>
    <xf numFmtId="0" fontId="36" fillId="9" borderId="114" xfId="7" applyFont="1" applyFill="1" applyBorder="1" applyAlignment="1" applyProtection="1">
      <alignment horizontal="center" vertical="center" wrapText="1"/>
    </xf>
    <xf numFmtId="0" fontId="36" fillId="9" borderId="10" xfId="7" applyFont="1" applyFill="1" applyBorder="1" applyAlignment="1" applyProtection="1">
      <alignment horizontal="center" vertical="center" wrapText="1"/>
    </xf>
    <xf numFmtId="0" fontId="36" fillId="9" borderId="115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>
      <alignment horizontal="center" vertical="center"/>
    </xf>
    <xf numFmtId="0" fontId="26" fillId="11" borderId="97" xfId="7" applyFont="1" applyFill="1" applyBorder="1" applyAlignment="1">
      <alignment horizontal="center" vertical="center" wrapText="1"/>
    </xf>
    <xf numFmtId="0" fontId="26" fillId="11" borderId="15" xfId="7" applyFont="1" applyFill="1" applyBorder="1" applyAlignment="1">
      <alignment horizontal="center" vertical="center"/>
    </xf>
    <xf numFmtId="0" fontId="26" fillId="11" borderId="98" xfId="7" applyFont="1" applyFill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1" fillId="0" borderId="25" xfId="0" applyFont="1" applyBorder="1" applyAlignment="1">
      <alignment horizontal="left" vertical="center"/>
    </xf>
    <xf numFmtId="0" fontId="17" fillId="11" borderId="15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6" fillId="11" borderId="30" xfId="7" applyFont="1" applyFill="1" applyBorder="1" applyAlignment="1">
      <alignment horizontal="center" vertical="center" wrapText="1"/>
    </xf>
    <xf numFmtId="0" fontId="26" fillId="11" borderId="11" xfId="7" applyFont="1" applyFill="1" applyBorder="1" applyAlignment="1">
      <alignment horizontal="center" vertical="center"/>
    </xf>
    <xf numFmtId="0" fontId="26" fillId="11" borderId="31" xfId="7" applyFont="1" applyFill="1" applyBorder="1" applyAlignment="1">
      <alignment horizontal="center" vertical="center"/>
    </xf>
    <xf numFmtId="0" fontId="17" fillId="11" borderId="97" xfId="7" applyNumberFormat="1" applyFont="1" applyFill="1" applyBorder="1" applyAlignment="1" applyProtection="1">
      <alignment horizontal="center" vertical="center" shrinkToFit="1"/>
    </xf>
    <xf numFmtId="0" fontId="17" fillId="11" borderId="15" xfId="7" applyNumberFormat="1" applyFont="1" applyFill="1" applyBorder="1" applyAlignment="1" applyProtection="1">
      <alignment horizontal="center" vertical="center" shrinkToFit="1"/>
    </xf>
    <xf numFmtId="0" fontId="17" fillId="11" borderId="98" xfId="7" applyNumberFormat="1" applyFont="1" applyFill="1" applyBorder="1" applyAlignment="1" applyProtection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25" fillId="8" borderId="84" xfId="0" applyFont="1" applyFill="1" applyBorder="1" applyAlignment="1">
      <alignment horizontal="center" vertical="center"/>
    </xf>
    <xf numFmtId="0" fontId="25" fillId="8" borderId="92" xfId="0" applyFont="1" applyFill="1" applyBorder="1" applyAlignment="1">
      <alignment horizontal="center" vertical="center"/>
    </xf>
    <xf numFmtId="0" fontId="25" fillId="8" borderId="93" xfId="0" applyFont="1" applyFill="1" applyBorder="1" applyAlignment="1">
      <alignment horizontal="center" vertical="center"/>
    </xf>
    <xf numFmtId="0" fontId="25" fillId="8" borderId="57" xfId="0" applyFont="1" applyFill="1" applyBorder="1" applyAlignment="1">
      <alignment horizontal="center" vertical="center"/>
    </xf>
    <xf numFmtId="0" fontId="25" fillId="8" borderId="59" xfId="0" applyFont="1" applyFill="1" applyBorder="1" applyAlignment="1">
      <alignment horizontal="center" vertical="center"/>
    </xf>
    <xf numFmtId="0" fontId="0" fillId="0" borderId="94" xfId="0" applyFont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3" xfId="7" applyFont="1" applyFill="1" applyBorder="1" applyAlignment="1" applyProtection="1">
      <alignment horizontal="center" vertical="center" wrapText="1"/>
    </xf>
    <xf numFmtId="0" fontId="17" fillId="11" borderId="9" xfId="7" applyFont="1" applyFill="1" applyBorder="1" applyAlignment="1" applyProtection="1">
      <alignment horizontal="center" vertical="center" wrapText="1"/>
    </xf>
    <xf numFmtId="0" fontId="17" fillId="11" borderId="97" xfId="7" applyFont="1" applyFill="1" applyBorder="1" applyAlignment="1" applyProtection="1">
      <alignment horizontal="center" vertical="center" wrapText="1"/>
    </xf>
    <xf numFmtId="0" fontId="17" fillId="11" borderId="15" xfId="7" applyFont="1" applyFill="1" applyBorder="1" applyAlignment="1" applyProtection="1">
      <alignment horizontal="center" vertical="center" wrapText="1"/>
    </xf>
    <xf numFmtId="0" fontId="17" fillId="11" borderId="98" xfId="7" applyFont="1" applyFill="1" applyBorder="1" applyAlignment="1" applyProtection="1">
      <alignment horizontal="center" vertical="center" wrapText="1"/>
    </xf>
    <xf numFmtId="0" fontId="57" fillId="0" borderId="164" xfId="16" applyFont="1" applyBorder="1" applyAlignment="1">
      <alignment horizontal="center" vertical="center"/>
    </xf>
    <xf numFmtId="0" fontId="42" fillId="0" borderId="161" xfId="16" applyFont="1" applyBorder="1"/>
    <xf numFmtId="0" fontId="35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5" fillId="19" borderId="172" xfId="16" applyFont="1" applyFill="1" applyBorder="1" applyAlignment="1">
      <alignment horizontal="center" vertical="center" wrapText="1"/>
    </xf>
    <xf numFmtId="0" fontId="42" fillId="0" borderId="134" xfId="16" applyFont="1" applyBorder="1"/>
    <xf numFmtId="0" fontId="42" fillId="0" borderId="139" xfId="16" applyFont="1" applyBorder="1"/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5" fillId="20" borderId="142" xfId="16" applyFont="1" applyFill="1" applyBorder="1" applyAlignment="1">
      <alignment horizontal="center" vertical="center"/>
    </xf>
    <xf numFmtId="0" fontId="42" fillId="0" borderId="144" xfId="16" applyFont="1" applyBorder="1"/>
    <xf numFmtId="0" fontId="55" fillId="20" borderId="138" xfId="16" applyFont="1" applyFill="1" applyBorder="1" applyAlignment="1">
      <alignment horizontal="center" vertical="center"/>
    </xf>
    <xf numFmtId="0" fontId="42" fillId="0" borderId="137" xfId="16" applyFont="1" applyBorder="1"/>
    <xf numFmtId="0" fontId="42" fillId="0" borderId="136" xfId="16" applyFont="1" applyBorder="1"/>
    <xf numFmtId="0" fontId="56" fillId="0" borderId="142" xfId="16" applyFont="1" applyBorder="1" applyAlignment="1">
      <alignment horizontal="center" vertical="center"/>
    </xf>
    <xf numFmtId="0" fontId="58" fillId="0" borderId="144" xfId="16" applyFont="1" applyBorder="1"/>
    <xf numFmtId="0" fontId="49" fillId="20" borderId="136" xfId="16" applyFont="1" applyFill="1" applyBorder="1" applyAlignment="1">
      <alignment horizontal="center" vertical="center" wrapText="1"/>
    </xf>
    <xf numFmtId="0" fontId="49" fillId="0" borderId="138" xfId="16" applyFont="1" applyBorder="1" applyAlignment="1">
      <alignment horizontal="center" vertical="center" wrapText="1"/>
    </xf>
    <xf numFmtId="0" fontId="35" fillId="19" borderId="132" xfId="16" applyFont="1" applyFill="1" applyBorder="1" applyAlignment="1">
      <alignment horizontal="center" vertical="center" wrapText="1"/>
    </xf>
    <xf numFmtId="0" fontId="55" fillId="20" borderId="136" xfId="16" applyFont="1" applyFill="1" applyBorder="1" applyAlignment="1">
      <alignment horizontal="center" vertical="center" wrapText="1"/>
    </xf>
    <xf numFmtId="0" fontId="51" fillId="21" borderId="136" xfId="16" applyFont="1" applyFill="1" applyBorder="1" applyAlignment="1">
      <alignment horizontal="center" vertical="center" wrapText="1"/>
    </xf>
    <xf numFmtId="0" fontId="53" fillId="21" borderId="138" xfId="16" applyFont="1" applyFill="1" applyBorder="1" applyAlignment="1">
      <alignment horizontal="center" vertical="center" wrapText="1"/>
    </xf>
    <xf numFmtId="0" fontId="55" fillId="20" borderId="136" xfId="16" applyFont="1" applyFill="1" applyBorder="1" applyAlignment="1">
      <alignment horizontal="center" vertical="center"/>
    </xf>
    <xf numFmtId="0" fontId="55" fillId="0" borderId="138" xfId="16" applyFont="1" applyBorder="1" applyAlignment="1">
      <alignment horizontal="center" vertical="center"/>
    </xf>
    <xf numFmtId="0" fontId="49" fillId="20" borderId="136" xfId="16" applyFont="1" applyFill="1" applyBorder="1" applyAlignment="1">
      <alignment horizontal="center" vertical="center"/>
    </xf>
    <xf numFmtId="0" fontId="49" fillId="0" borderId="116" xfId="16" applyFont="1" applyBorder="1" applyAlignment="1">
      <alignment horizontal="center" vertical="center"/>
    </xf>
    <xf numFmtId="0" fontId="42" fillId="0" borderId="135" xfId="16" applyFont="1" applyBorder="1"/>
    <xf numFmtId="0" fontId="42" fillId="0" borderId="145" xfId="16" applyFont="1" applyBorder="1"/>
    <xf numFmtId="0" fontId="49" fillId="0" borderId="138" xfId="16" applyFont="1" applyBorder="1" applyAlignment="1">
      <alignment horizontal="center" vertical="center"/>
    </xf>
    <xf numFmtId="0" fontId="51" fillId="0" borderId="150" xfId="16" applyFont="1" applyBorder="1" applyAlignment="1">
      <alignment horizontal="center" vertical="center" wrapText="1"/>
    </xf>
    <xf numFmtId="0" fontId="42" fillId="0" borderId="156" xfId="16" applyFont="1" applyBorder="1"/>
    <xf numFmtId="0" fontId="51" fillId="0" borderId="153" xfId="16" applyFont="1" applyBorder="1" applyAlignment="1">
      <alignment horizontal="center" vertical="center" wrapText="1"/>
    </xf>
    <xf numFmtId="0" fontId="42" fillId="0" borderId="155" xfId="16" applyFont="1" applyBorder="1"/>
    <xf numFmtId="0" fontId="42" fillId="0" borderId="143" xfId="16" applyFont="1" applyBorder="1"/>
    <xf numFmtId="0" fontId="51" fillId="0" borderId="164" xfId="16" applyFont="1" applyBorder="1" applyAlignment="1">
      <alignment horizontal="center" vertical="center" wrapText="1"/>
    </xf>
    <xf numFmtId="0" fontId="51" fillId="0" borderId="166" xfId="16" applyFont="1" applyBorder="1" applyAlignment="1">
      <alignment horizontal="center" vertical="center" wrapText="1"/>
    </xf>
    <xf numFmtId="0" fontId="42" fillId="0" borderId="167" xfId="16" applyFont="1" applyBorder="1"/>
    <xf numFmtId="0" fontId="51" fillId="0" borderId="116" xfId="16" applyFont="1" applyBorder="1" applyAlignment="1">
      <alignment horizontal="center" vertical="center" wrapText="1"/>
    </xf>
    <xf numFmtId="0" fontId="51" fillId="0" borderId="168" xfId="16" applyFont="1" applyBorder="1" applyAlignment="1">
      <alignment horizontal="center" vertical="center" wrapText="1"/>
    </xf>
    <xf numFmtId="0" fontId="42" fillId="0" borderId="169" xfId="16" applyFont="1" applyBorder="1"/>
    <xf numFmtId="0" fontId="51" fillId="0" borderId="138" xfId="16" applyFont="1" applyBorder="1" applyAlignment="1">
      <alignment horizontal="center" vertical="center" wrapText="1"/>
    </xf>
    <xf numFmtId="0" fontId="50" fillId="21" borderId="148" xfId="16" applyFont="1" applyFill="1" applyBorder="1" applyAlignment="1">
      <alignment horizontal="center" vertical="center" wrapText="1"/>
    </xf>
    <xf numFmtId="0" fontId="42" fillId="0" borderId="149" xfId="16" applyFont="1" applyBorder="1"/>
    <xf numFmtId="0" fontId="51" fillId="0" borderId="151" xfId="16" applyFont="1" applyBorder="1" applyAlignment="1">
      <alignment horizontal="center" vertical="center" wrapText="1"/>
    </xf>
    <xf numFmtId="0" fontId="42" fillId="0" borderId="157" xfId="16" applyFont="1" applyBorder="1"/>
    <xf numFmtId="0" fontId="42" fillId="0" borderId="160" xfId="16" applyFont="1" applyBorder="1"/>
    <xf numFmtId="0" fontId="51" fillId="0" borderId="136" xfId="16" applyFont="1" applyBorder="1" applyAlignment="1">
      <alignment horizontal="center" vertical="center" wrapText="1"/>
    </xf>
    <xf numFmtId="0" fontId="53" fillId="0" borderId="138" xfId="16" applyFont="1" applyBorder="1" applyAlignment="1">
      <alignment horizontal="center" vertical="center" wrapText="1"/>
    </xf>
    <xf numFmtId="0" fontId="51" fillId="21" borderId="138" xfId="16" applyFont="1" applyFill="1" applyBorder="1" applyAlignment="1">
      <alignment horizontal="center" vertical="center" wrapText="1"/>
    </xf>
    <xf numFmtId="0" fontId="49" fillId="20" borderId="141" xfId="16" applyFont="1" applyFill="1" applyBorder="1" applyAlignment="1">
      <alignment horizontal="center" vertical="center"/>
    </xf>
    <xf numFmtId="0" fontId="42" fillId="0" borderId="142" xfId="16" applyFont="1" applyBorder="1"/>
    <xf numFmtId="0" fontId="49" fillId="0" borderId="116" xfId="16" applyFont="1" applyBorder="1" applyAlignment="1">
      <alignment horizontal="center" vertical="center" wrapText="1"/>
    </xf>
    <xf numFmtId="0" fontId="42" fillId="0" borderId="141" xfId="16" applyFont="1" applyBorder="1"/>
    <xf numFmtId="0" fontId="45" fillId="0" borderId="0" xfId="16" applyFont="1" applyAlignment="1">
      <alignment horizontal="center" vertical="center"/>
    </xf>
    <xf numFmtId="0" fontId="47" fillId="0" borderId="0" xfId="16" applyFont="1" applyAlignment="1"/>
    <xf numFmtId="0" fontId="48" fillId="0" borderId="133" xfId="16" applyFont="1" applyBorder="1" applyAlignment="1">
      <alignment horizontal="center" vertical="center"/>
    </xf>
    <xf numFmtId="0" fontId="42" fillId="0" borderId="28" xfId="16" applyFont="1" applyBorder="1"/>
    <xf numFmtId="0" fontId="42" fillId="0" borderId="25" xfId="16" applyFont="1" applyBorder="1"/>
    <xf numFmtId="0" fontId="48" fillId="8" borderId="4" xfId="16" applyFont="1" applyFill="1" applyBorder="1" applyAlignment="1">
      <alignment horizontal="center" vertical="center"/>
    </xf>
    <xf numFmtId="0" fontId="42" fillId="8" borderId="28" xfId="16" applyFont="1" applyFill="1" applyBorder="1"/>
    <xf numFmtId="0" fontId="42" fillId="8" borderId="25" xfId="16" applyFont="1" applyFill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1000000}"/>
    <cellStyle name="40% - 강조색4_교육과정 편제표 양식v3 2" xfId="6" xr:uid="{00000000-0005-0000-0000-000002000000}"/>
    <cellStyle name="제목 1 2" xfId="1" xr:uid="{00000000-0005-0000-0000-000003000000}"/>
    <cellStyle name="출력 2" xfId="5" xr:uid="{00000000-0005-0000-0000-000004000000}"/>
    <cellStyle name="출력 2 2" xfId="13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3" xfId="7" xr:uid="{00000000-0005-0000-0000-000009000000}"/>
    <cellStyle name="표준 3 2" xfId="10" xr:uid="{00000000-0005-0000-0000-00000A000000}"/>
    <cellStyle name="표준 4" xfId="8" xr:uid="{00000000-0005-0000-0000-00000B000000}"/>
    <cellStyle name="표준 4 2" xfId="12" xr:uid="{00000000-0005-0000-0000-00000C000000}"/>
    <cellStyle name="표준 4 3" xfId="11" xr:uid="{00000000-0005-0000-0000-00000D000000}"/>
    <cellStyle name="표준 4 4" xfId="14" xr:uid="{00000000-0005-0000-0000-00000E000000}"/>
    <cellStyle name="표준 5" xfId="15" xr:uid="{00000000-0005-0000-0000-00000F000000}"/>
    <cellStyle name="표준 6" xfId="16" xr:uid="{00000000-0005-0000-0000-000010000000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7A4402BE-CC61-4A76-91B2-64BF2E94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13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07A5EF94-5EFE-4FC9-8232-DD8C5CE7C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436245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30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D2000BAB-33A1-418B-AE67-266CC624B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7953375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AD146DBF-76E6-4904-AE3C-26C5F55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54305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8</xdr:row>
      <xdr:rowOff>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753BF1C5-56AD-470B-B4B6-675B3B6E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2867" y="2245783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24</xdr:row>
      <xdr:rowOff>76200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1D209C38-6EDF-49DD-B867-355E08097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92867" y="4383617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8CD0608-5930-4CD7-B01F-7EC08ED5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224790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13</xdr:row>
      <xdr:rowOff>76200</xdr:rowOff>
    </xdr:from>
    <xdr:ext cx="6494930" cy="1105488"/>
    <xdr:pic>
      <xdr:nvPicPr>
        <xdr:cNvPr id="3" name="그림 2">
          <a:extLst>
            <a:ext uri="{FF2B5EF4-FFF2-40B4-BE49-F238E27FC236}">
              <a16:creationId xmlns:a16="http://schemas.microsoft.com/office/drawing/2014/main" id="{F386F8CA-945D-46C1-B01D-9AA32BA39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4362450"/>
          <a:ext cx="6494930" cy="1105488"/>
        </a:xfrm>
        <a:prstGeom prst="rect">
          <a:avLst/>
        </a:prstGeom>
      </xdr:spPr>
    </xdr:pic>
    <xdr:clientData/>
  </xdr:oneCellAnchor>
  <xdr:oneCellAnchor>
    <xdr:from>
      <xdr:col>22</xdr:col>
      <xdr:colOff>76200</xdr:colOff>
      <xdr:row>28</xdr:row>
      <xdr:rowOff>104775</xdr:rowOff>
    </xdr:from>
    <xdr:ext cx="6494930" cy="1105488"/>
    <xdr:pic>
      <xdr:nvPicPr>
        <xdr:cNvPr id="4" name="그림 3">
          <a:extLst>
            <a:ext uri="{FF2B5EF4-FFF2-40B4-BE49-F238E27FC236}">
              <a16:creationId xmlns:a16="http://schemas.microsoft.com/office/drawing/2014/main" id="{6ED6ED3C-671B-4676-B10F-8948C9DB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49475" y="6724650"/>
          <a:ext cx="6494930" cy="11054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&#54617;&#45380;&#46020;%20&#51649;&#50629;&#44228;%20&#44256;&#46321;&#54617;&#44368;%20&#44368;&#50977;&#44284;&#51221;%20&#54200;&#51228;&#54364;_&#53945;&#49457;&#54868;&#44256;(&#51221;&#49440;&#51221;&#48372;&#44277;&#44256;_08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방법"/>
      <sheetName val="교육과정편제표 양식"/>
      <sheetName val="실무과목 능력단위"/>
      <sheetName val="삭제금지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D535-2C65-436A-91AB-0909B42313E9}">
  <sheetPr>
    <pageSetUpPr fitToPage="1"/>
  </sheetPr>
  <dimension ref="B1:AD102"/>
  <sheetViews>
    <sheetView tabSelected="1" view="pageBreakPreview" zoomScaleNormal="100" zoomScaleSheetLayoutView="100" workbookViewId="0">
      <pane ySplit="8" topLeftCell="A48" activePane="bottomLeft" state="frozen"/>
      <selection pane="bottomLeft" activeCell="AA50" sqref="AA50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36" t="s">
        <v>719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7"/>
      <c r="V2" s="238" t="s">
        <v>130</v>
      </c>
      <c r="W2" s="239"/>
      <c r="X2" s="240">
        <v>2027</v>
      </c>
      <c r="Y2" s="241"/>
      <c r="AA2" s="242" t="s">
        <v>144</v>
      </c>
      <c r="AB2" s="19" t="s">
        <v>145</v>
      </c>
      <c r="AC2" s="54" t="s">
        <v>153</v>
      </c>
      <c r="AD2" s="20" t="s">
        <v>146</v>
      </c>
    </row>
    <row r="3" spans="2:30" ht="17.25" thickBot="1">
      <c r="B3" s="245" t="s">
        <v>369</v>
      </c>
      <c r="C3" s="247" t="s">
        <v>53</v>
      </c>
      <c r="D3" s="248"/>
      <c r="E3" s="248"/>
      <c r="F3" s="247" t="s">
        <v>64</v>
      </c>
      <c r="G3" s="251"/>
      <c r="H3" s="247" t="s">
        <v>54</v>
      </c>
      <c r="I3" s="248"/>
      <c r="J3" s="248"/>
      <c r="K3" s="247" t="s">
        <v>55</v>
      </c>
      <c r="L3" s="248"/>
      <c r="M3" s="248"/>
      <c r="N3" s="248"/>
      <c r="O3" s="251"/>
      <c r="P3" s="253" t="s">
        <v>56</v>
      </c>
      <c r="Q3" s="254"/>
      <c r="R3" s="254"/>
      <c r="S3" s="254"/>
      <c r="T3" s="254"/>
      <c r="U3" s="254"/>
      <c r="V3" s="254"/>
      <c r="W3" s="254"/>
      <c r="X3" s="254"/>
      <c r="Y3" s="255"/>
      <c r="AA3" s="243"/>
      <c r="AB3" s="21" t="s">
        <v>147</v>
      </c>
      <c r="AC3" s="59" t="s">
        <v>524</v>
      </c>
      <c r="AD3" s="22" t="s">
        <v>527</v>
      </c>
    </row>
    <row r="4" spans="2:30" ht="17.25" thickBot="1">
      <c r="B4" s="246"/>
      <c r="C4" s="249"/>
      <c r="D4" s="250"/>
      <c r="E4" s="250"/>
      <c r="F4" s="249"/>
      <c r="G4" s="252"/>
      <c r="H4" s="249"/>
      <c r="I4" s="250"/>
      <c r="J4" s="250"/>
      <c r="K4" s="249"/>
      <c r="L4" s="250"/>
      <c r="M4" s="250"/>
      <c r="N4" s="250"/>
      <c r="O4" s="252"/>
      <c r="P4" s="253" t="s">
        <v>127</v>
      </c>
      <c r="Q4" s="254"/>
      <c r="R4" s="254"/>
      <c r="S4" s="254"/>
      <c r="T4" s="253" t="s">
        <v>61</v>
      </c>
      <c r="U4" s="254"/>
      <c r="V4" s="255"/>
      <c r="W4" s="254" t="s">
        <v>128</v>
      </c>
      <c r="X4" s="254"/>
      <c r="Y4" s="255"/>
      <c r="AA4" s="243"/>
      <c r="AB4" s="23" t="s">
        <v>148</v>
      </c>
      <c r="AC4" s="60" t="s">
        <v>525</v>
      </c>
      <c r="AD4" s="22" t="s">
        <v>526</v>
      </c>
    </row>
    <row r="5" spans="2:30" ht="26.25" customHeight="1" thickBot="1">
      <c r="B5" s="96" t="s">
        <v>519</v>
      </c>
      <c r="C5" s="256" t="s">
        <v>520</v>
      </c>
      <c r="D5" s="257"/>
      <c r="E5" s="258"/>
      <c r="F5" s="256" t="s">
        <v>151</v>
      </c>
      <c r="G5" s="259"/>
      <c r="H5" s="260" t="s">
        <v>521</v>
      </c>
      <c r="I5" s="257"/>
      <c r="J5" s="258"/>
      <c r="K5" s="256"/>
      <c r="L5" s="257"/>
      <c r="M5" s="257"/>
      <c r="N5" s="257"/>
      <c r="O5" s="259"/>
      <c r="P5" s="260" t="s">
        <v>522</v>
      </c>
      <c r="Q5" s="257"/>
      <c r="R5" s="257"/>
      <c r="S5" s="258"/>
      <c r="T5" s="256" t="s">
        <v>34</v>
      </c>
      <c r="U5" s="257"/>
      <c r="V5" s="258"/>
      <c r="W5" s="261" t="s">
        <v>575</v>
      </c>
      <c r="X5" s="262"/>
      <c r="Y5" s="263"/>
      <c r="AA5" s="244"/>
      <c r="AB5" s="24" t="s">
        <v>149</v>
      </c>
      <c r="AC5" s="61"/>
      <c r="AD5" s="175"/>
    </row>
    <row r="6" spans="2:30" ht="15.75" customHeight="1" thickBot="1">
      <c r="U6" s="268"/>
      <c r="V6" s="268"/>
      <c r="W6" s="268"/>
      <c r="X6" s="268"/>
      <c r="Y6" s="268"/>
    </row>
    <row r="7" spans="2:30" s="10" customFormat="1" ht="22.5" customHeight="1">
      <c r="B7" s="269" t="s">
        <v>2</v>
      </c>
      <c r="C7" s="270"/>
      <c r="D7" s="273" t="s">
        <v>120</v>
      </c>
      <c r="E7" s="275" t="s">
        <v>57</v>
      </c>
      <c r="F7" s="276"/>
      <c r="G7" s="277"/>
      <c r="H7" s="278" t="s">
        <v>134</v>
      </c>
      <c r="I7" s="280" t="s">
        <v>135</v>
      </c>
      <c r="J7" s="282" t="s">
        <v>136</v>
      </c>
      <c r="K7" s="284" t="s">
        <v>58</v>
      </c>
      <c r="L7" s="280"/>
      <c r="M7" s="280"/>
      <c r="N7" s="285"/>
      <c r="O7" s="286" t="s">
        <v>59</v>
      </c>
      <c r="P7" s="280"/>
      <c r="Q7" s="280"/>
      <c r="R7" s="285"/>
      <c r="S7" s="284" t="s">
        <v>60</v>
      </c>
      <c r="T7" s="280"/>
      <c r="U7" s="280"/>
      <c r="V7" s="287"/>
      <c r="W7" s="278" t="s">
        <v>137</v>
      </c>
      <c r="X7" s="282"/>
      <c r="Y7" s="277" t="s">
        <v>138</v>
      </c>
      <c r="Z7" s="9"/>
    </row>
    <row r="8" spans="2:30" s="10" customFormat="1" ht="22.5" customHeight="1" thickBot="1">
      <c r="B8" s="271"/>
      <c r="C8" s="272"/>
      <c r="D8" s="274"/>
      <c r="E8" s="25" t="s">
        <v>18</v>
      </c>
      <c r="F8" s="303" t="s">
        <v>19</v>
      </c>
      <c r="G8" s="304"/>
      <c r="H8" s="279"/>
      <c r="I8" s="281"/>
      <c r="J8" s="283"/>
      <c r="K8" s="305" t="s">
        <v>0</v>
      </c>
      <c r="L8" s="281"/>
      <c r="M8" s="281" t="s">
        <v>62</v>
      </c>
      <c r="N8" s="306"/>
      <c r="O8" s="307" t="s">
        <v>0</v>
      </c>
      <c r="P8" s="281"/>
      <c r="Q8" s="281" t="s">
        <v>62</v>
      </c>
      <c r="R8" s="306"/>
      <c r="S8" s="305" t="s">
        <v>0</v>
      </c>
      <c r="T8" s="281"/>
      <c r="U8" s="281" t="s">
        <v>62</v>
      </c>
      <c r="V8" s="308"/>
      <c r="W8" s="279"/>
      <c r="X8" s="283"/>
      <c r="Y8" s="302"/>
      <c r="AA8" s="291" t="s">
        <v>508</v>
      </c>
      <c r="AB8" s="291"/>
      <c r="AC8" s="291"/>
      <c r="AD8" s="291"/>
    </row>
    <row r="9" spans="2:30" ht="16.5" customHeight="1" thickBot="1">
      <c r="B9" s="292" t="s">
        <v>347</v>
      </c>
      <c r="C9" s="293"/>
      <c r="D9" s="298" t="s">
        <v>21</v>
      </c>
      <c r="E9" s="62" t="s">
        <v>12</v>
      </c>
      <c r="F9" s="288" t="s">
        <v>211</v>
      </c>
      <c r="G9" s="233"/>
      <c r="H9" s="63">
        <v>4</v>
      </c>
      <c r="I9" s="64" t="s">
        <v>348</v>
      </c>
      <c r="J9" s="65">
        <v>3</v>
      </c>
      <c r="K9" s="288">
        <v>3</v>
      </c>
      <c r="L9" s="289"/>
      <c r="M9" s="232"/>
      <c r="N9" s="290"/>
      <c r="O9" s="301"/>
      <c r="P9" s="289"/>
      <c r="Q9" s="232"/>
      <c r="R9" s="290"/>
      <c r="S9" s="301"/>
      <c r="T9" s="289"/>
      <c r="U9" s="232"/>
      <c r="V9" s="233"/>
      <c r="W9" s="66">
        <f>SUM(K9:V9)</f>
        <v>3</v>
      </c>
      <c r="X9" s="311">
        <f>SUM(W9:W11)</f>
        <v>9</v>
      </c>
      <c r="Y9" s="313">
        <v>24</v>
      </c>
      <c r="AA9" s="157" t="s">
        <v>18</v>
      </c>
      <c r="AB9" s="158" t="s">
        <v>514</v>
      </c>
      <c r="AC9" s="158" t="s">
        <v>515</v>
      </c>
      <c r="AD9" s="159" t="s">
        <v>516</v>
      </c>
    </row>
    <row r="10" spans="2:30" ht="17.25" thickBot="1">
      <c r="B10" s="294"/>
      <c r="C10" s="295"/>
      <c r="D10" s="299"/>
      <c r="E10" s="67" t="s">
        <v>12</v>
      </c>
      <c r="F10" s="314" t="s">
        <v>212</v>
      </c>
      <c r="G10" s="315"/>
      <c r="H10" s="68">
        <v>4</v>
      </c>
      <c r="I10" s="69" t="s">
        <v>348</v>
      </c>
      <c r="J10" s="70">
        <v>3</v>
      </c>
      <c r="K10" s="314"/>
      <c r="L10" s="316"/>
      <c r="M10" s="317">
        <v>3</v>
      </c>
      <c r="N10" s="318"/>
      <c r="O10" s="319"/>
      <c r="P10" s="316"/>
      <c r="Q10" s="317"/>
      <c r="R10" s="318"/>
      <c r="S10" s="319"/>
      <c r="T10" s="316"/>
      <c r="U10" s="317"/>
      <c r="V10" s="315"/>
      <c r="W10" s="71">
        <f t="shared" ref="W10:W24" si="0">SUM(K10:V10)</f>
        <v>3</v>
      </c>
      <c r="X10" s="312"/>
      <c r="Y10" s="313"/>
      <c r="AA10" s="160" t="s">
        <v>509</v>
      </c>
      <c r="AB10" s="161">
        <v>4</v>
      </c>
      <c r="AC10" s="161">
        <v>-1</v>
      </c>
      <c r="AD10" s="22" t="s">
        <v>348</v>
      </c>
    </row>
    <row r="11" spans="2:30" ht="17.25" thickBot="1">
      <c r="B11" s="294"/>
      <c r="C11" s="295"/>
      <c r="D11" s="300"/>
      <c r="E11" s="72" t="s">
        <v>349</v>
      </c>
      <c r="F11" s="309" t="s">
        <v>350</v>
      </c>
      <c r="G11" s="310"/>
      <c r="H11" s="73">
        <v>4</v>
      </c>
      <c r="I11" s="74" t="s">
        <v>351</v>
      </c>
      <c r="J11" s="75">
        <v>3</v>
      </c>
      <c r="K11" s="309"/>
      <c r="L11" s="265"/>
      <c r="M11" s="266"/>
      <c r="N11" s="267"/>
      <c r="O11" s="264"/>
      <c r="P11" s="265"/>
      <c r="Q11" s="266">
        <v>3</v>
      </c>
      <c r="R11" s="267"/>
      <c r="S11" s="264"/>
      <c r="T11" s="265"/>
      <c r="U11" s="266"/>
      <c r="V11" s="310"/>
      <c r="W11" s="71">
        <f t="shared" si="0"/>
        <v>3</v>
      </c>
      <c r="X11" s="312"/>
      <c r="Y11" s="313"/>
      <c r="AA11" s="160" t="s">
        <v>510</v>
      </c>
      <c r="AB11" s="161">
        <v>3</v>
      </c>
      <c r="AC11" s="161"/>
      <c r="AD11" s="22">
        <v>3</v>
      </c>
    </row>
    <row r="12" spans="2:30" ht="17.25" thickBot="1">
      <c r="B12" s="294"/>
      <c r="C12" s="295"/>
      <c r="D12" s="298" t="s">
        <v>5</v>
      </c>
      <c r="E12" s="62" t="s">
        <v>12</v>
      </c>
      <c r="F12" s="288" t="s">
        <v>223</v>
      </c>
      <c r="G12" s="233"/>
      <c r="H12" s="63">
        <v>4</v>
      </c>
      <c r="I12" s="64" t="s">
        <v>348</v>
      </c>
      <c r="J12" s="65">
        <v>3</v>
      </c>
      <c r="K12" s="288">
        <v>3</v>
      </c>
      <c r="L12" s="289"/>
      <c r="M12" s="232"/>
      <c r="N12" s="290"/>
      <c r="O12" s="301"/>
      <c r="P12" s="289"/>
      <c r="Q12" s="232"/>
      <c r="R12" s="290"/>
      <c r="S12" s="301"/>
      <c r="T12" s="289"/>
      <c r="U12" s="232"/>
      <c r="V12" s="233"/>
      <c r="W12" s="66">
        <f t="shared" si="0"/>
        <v>3</v>
      </c>
      <c r="X12" s="311">
        <f t="shared" ref="X12" si="1">SUM(W12:W14)</f>
        <v>9</v>
      </c>
      <c r="Y12" s="313"/>
      <c r="AA12" s="160" t="s">
        <v>511</v>
      </c>
      <c r="AB12" s="161">
        <v>4</v>
      </c>
      <c r="AC12" s="161" t="s">
        <v>517</v>
      </c>
      <c r="AD12" s="22" t="s">
        <v>351</v>
      </c>
    </row>
    <row r="13" spans="2:30" ht="17.25" thickBot="1">
      <c r="B13" s="294"/>
      <c r="C13" s="295"/>
      <c r="D13" s="299"/>
      <c r="E13" s="67" t="s">
        <v>12</v>
      </c>
      <c r="F13" s="314" t="s">
        <v>225</v>
      </c>
      <c r="G13" s="315"/>
      <c r="H13" s="68">
        <v>4</v>
      </c>
      <c r="I13" s="69" t="s">
        <v>348</v>
      </c>
      <c r="J13" s="70">
        <v>3</v>
      </c>
      <c r="K13" s="314"/>
      <c r="L13" s="316"/>
      <c r="M13" s="317">
        <v>3</v>
      </c>
      <c r="N13" s="318"/>
      <c r="O13" s="319"/>
      <c r="P13" s="316"/>
      <c r="Q13" s="317"/>
      <c r="R13" s="318"/>
      <c r="S13" s="319"/>
      <c r="T13" s="316"/>
      <c r="U13" s="317"/>
      <c r="V13" s="315"/>
      <c r="W13" s="71">
        <f t="shared" si="0"/>
        <v>3</v>
      </c>
      <c r="X13" s="312"/>
      <c r="Y13" s="313"/>
      <c r="AA13" s="160" t="s">
        <v>512</v>
      </c>
      <c r="AB13" s="161">
        <v>3</v>
      </c>
      <c r="AC13" s="161" t="s">
        <v>517</v>
      </c>
      <c r="AD13" s="22" t="s">
        <v>357</v>
      </c>
    </row>
    <row r="14" spans="2:30" ht="17.25" thickBot="1">
      <c r="B14" s="294"/>
      <c r="C14" s="295"/>
      <c r="D14" s="300"/>
      <c r="E14" s="72" t="s">
        <v>349</v>
      </c>
      <c r="F14" s="309" t="s">
        <v>352</v>
      </c>
      <c r="G14" s="310"/>
      <c r="H14" s="73">
        <v>4</v>
      </c>
      <c r="I14" s="74" t="s">
        <v>351</v>
      </c>
      <c r="J14" s="75">
        <v>3</v>
      </c>
      <c r="K14" s="309"/>
      <c r="L14" s="265"/>
      <c r="M14" s="266"/>
      <c r="N14" s="267"/>
      <c r="O14" s="264">
        <v>3</v>
      </c>
      <c r="P14" s="265"/>
      <c r="Q14" s="266"/>
      <c r="R14" s="267"/>
      <c r="S14" s="264"/>
      <c r="T14" s="265"/>
      <c r="U14" s="266"/>
      <c r="V14" s="310"/>
      <c r="W14" s="71">
        <f t="shared" si="0"/>
        <v>3</v>
      </c>
      <c r="X14" s="312"/>
      <c r="Y14" s="313"/>
      <c r="AA14" s="162" t="s">
        <v>513</v>
      </c>
      <c r="AB14" s="320" t="s">
        <v>518</v>
      </c>
      <c r="AC14" s="320"/>
      <c r="AD14" s="321"/>
    </row>
    <row r="15" spans="2:30" ht="17.25" thickBot="1">
      <c r="B15" s="294"/>
      <c r="C15" s="295"/>
      <c r="D15" s="298" t="s">
        <v>6</v>
      </c>
      <c r="E15" s="62" t="s">
        <v>12</v>
      </c>
      <c r="F15" s="288" t="s">
        <v>230</v>
      </c>
      <c r="G15" s="233"/>
      <c r="H15" s="63">
        <v>4</v>
      </c>
      <c r="I15" s="64" t="s">
        <v>348</v>
      </c>
      <c r="J15" s="65">
        <v>3</v>
      </c>
      <c r="K15" s="288">
        <v>3</v>
      </c>
      <c r="L15" s="289"/>
      <c r="M15" s="232"/>
      <c r="N15" s="290"/>
      <c r="O15" s="301"/>
      <c r="P15" s="289"/>
      <c r="Q15" s="232"/>
      <c r="R15" s="290"/>
      <c r="S15" s="301"/>
      <c r="T15" s="289"/>
      <c r="U15" s="232"/>
      <c r="V15" s="233"/>
      <c r="W15" s="66">
        <f t="shared" si="0"/>
        <v>3</v>
      </c>
      <c r="X15" s="311">
        <f t="shared" ref="X15" si="2">SUM(W15:W18)</f>
        <v>12</v>
      </c>
      <c r="Y15" s="313"/>
    </row>
    <row r="16" spans="2:30" ht="17.25" thickBot="1">
      <c r="B16" s="294"/>
      <c r="C16" s="295"/>
      <c r="D16" s="299"/>
      <c r="E16" s="67" t="s">
        <v>12</v>
      </c>
      <c r="F16" s="314" t="s">
        <v>236</v>
      </c>
      <c r="G16" s="315"/>
      <c r="H16" s="68">
        <v>4</v>
      </c>
      <c r="I16" s="69" t="s">
        <v>348</v>
      </c>
      <c r="J16" s="70">
        <v>3</v>
      </c>
      <c r="K16" s="314"/>
      <c r="L16" s="316"/>
      <c r="M16" s="317">
        <v>3</v>
      </c>
      <c r="N16" s="318"/>
      <c r="O16" s="319"/>
      <c r="P16" s="316"/>
      <c r="Q16" s="317"/>
      <c r="R16" s="318"/>
      <c r="S16" s="319"/>
      <c r="T16" s="316"/>
      <c r="U16" s="317"/>
      <c r="V16" s="315"/>
      <c r="W16" s="71">
        <f t="shared" si="0"/>
        <v>3</v>
      </c>
      <c r="X16" s="312"/>
      <c r="Y16" s="313"/>
    </row>
    <row r="17" spans="2:29" ht="17.25" thickBot="1">
      <c r="B17" s="294"/>
      <c r="C17" s="295"/>
      <c r="D17" s="299"/>
      <c r="E17" s="163" t="s">
        <v>349</v>
      </c>
      <c r="F17" s="314" t="s">
        <v>528</v>
      </c>
      <c r="G17" s="327"/>
      <c r="H17" s="164">
        <v>4</v>
      </c>
      <c r="I17" s="69" t="s">
        <v>375</v>
      </c>
      <c r="J17" s="165">
        <v>3</v>
      </c>
      <c r="K17" s="314"/>
      <c r="L17" s="328"/>
      <c r="M17" s="317"/>
      <c r="N17" s="329"/>
      <c r="O17" s="319">
        <v>3</v>
      </c>
      <c r="P17" s="328"/>
      <c r="Q17" s="317"/>
      <c r="R17" s="329"/>
      <c r="S17" s="319"/>
      <c r="T17" s="328"/>
      <c r="U17" s="317"/>
      <c r="V17" s="327"/>
      <c r="W17" s="71">
        <v>3</v>
      </c>
      <c r="X17" s="312"/>
      <c r="Y17" s="313"/>
    </row>
    <row r="18" spans="2:29" ht="17.25" thickBot="1">
      <c r="B18" s="294"/>
      <c r="C18" s="295"/>
      <c r="D18" s="300"/>
      <c r="E18" s="76" t="s">
        <v>354</v>
      </c>
      <c r="F18" s="309" t="s">
        <v>241</v>
      </c>
      <c r="G18" s="310"/>
      <c r="H18" s="73">
        <v>4</v>
      </c>
      <c r="I18" s="74" t="s">
        <v>351</v>
      </c>
      <c r="J18" s="75">
        <v>3</v>
      </c>
      <c r="K18" s="309"/>
      <c r="L18" s="265"/>
      <c r="M18" s="266"/>
      <c r="N18" s="267"/>
      <c r="O18" s="264"/>
      <c r="P18" s="265"/>
      <c r="Q18" s="266">
        <v>3</v>
      </c>
      <c r="R18" s="267"/>
      <c r="S18" s="264"/>
      <c r="T18" s="265"/>
      <c r="U18" s="266"/>
      <c r="V18" s="310"/>
      <c r="W18" s="71">
        <f t="shared" si="0"/>
        <v>3</v>
      </c>
      <c r="X18" s="312"/>
      <c r="Y18" s="313"/>
    </row>
    <row r="19" spans="2:29" ht="17.25" thickBot="1">
      <c r="B19" s="294"/>
      <c r="C19" s="295"/>
      <c r="D19" s="298" t="s">
        <v>353</v>
      </c>
      <c r="E19" s="62" t="s">
        <v>12</v>
      </c>
      <c r="F19" s="288" t="s">
        <v>244</v>
      </c>
      <c r="G19" s="233"/>
      <c r="H19" s="63">
        <v>3</v>
      </c>
      <c r="I19" s="77">
        <v>3</v>
      </c>
      <c r="J19" s="65">
        <v>3</v>
      </c>
      <c r="K19" s="322">
        <v>3</v>
      </c>
      <c r="L19" s="323"/>
      <c r="M19" s="324"/>
      <c r="N19" s="325"/>
      <c r="O19" s="326"/>
      <c r="P19" s="323"/>
      <c r="Q19" s="324"/>
      <c r="R19" s="325"/>
      <c r="S19" s="326"/>
      <c r="T19" s="323"/>
      <c r="U19" s="324"/>
      <c r="V19" s="330"/>
      <c r="W19" s="66">
        <f t="shared" si="0"/>
        <v>3</v>
      </c>
      <c r="X19" s="311">
        <f>SUM(W19:W20)</f>
        <v>6</v>
      </c>
      <c r="Y19" s="313">
        <v>6</v>
      </c>
    </row>
    <row r="20" spans="2:29" ht="17.25" thickBot="1">
      <c r="B20" s="294"/>
      <c r="C20" s="295"/>
      <c r="D20" s="299"/>
      <c r="E20" s="78" t="s">
        <v>12</v>
      </c>
      <c r="F20" s="332" t="s">
        <v>245</v>
      </c>
      <c r="G20" s="333"/>
      <c r="H20" s="79">
        <v>3</v>
      </c>
      <c r="I20" s="80">
        <v>3</v>
      </c>
      <c r="J20" s="172">
        <v>3</v>
      </c>
      <c r="K20" s="309"/>
      <c r="L20" s="265"/>
      <c r="M20" s="266">
        <v>3</v>
      </c>
      <c r="N20" s="267"/>
      <c r="O20" s="264"/>
      <c r="P20" s="265"/>
      <c r="Q20" s="266"/>
      <c r="R20" s="267"/>
      <c r="S20" s="264"/>
      <c r="T20" s="265"/>
      <c r="U20" s="266"/>
      <c r="V20" s="310"/>
      <c r="W20" s="81">
        <f t="shared" si="0"/>
        <v>3</v>
      </c>
      <c r="X20" s="331"/>
      <c r="Y20" s="313"/>
      <c r="AA20" s="334"/>
      <c r="AB20" s="334"/>
      <c r="AC20" s="171"/>
    </row>
    <row r="21" spans="2:29" ht="17.25" thickBot="1">
      <c r="B21" s="294"/>
      <c r="C21" s="295"/>
      <c r="D21" s="299"/>
      <c r="E21" s="62" t="s">
        <v>12</v>
      </c>
      <c r="F21" s="288" t="s">
        <v>247</v>
      </c>
      <c r="G21" s="233"/>
      <c r="H21" s="63">
        <v>4</v>
      </c>
      <c r="I21" s="77" t="s">
        <v>348</v>
      </c>
      <c r="J21" s="65">
        <v>3</v>
      </c>
      <c r="K21" s="288"/>
      <c r="L21" s="289"/>
      <c r="M21" s="232"/>
      <c r="N21" s="290"/>
      <c r="O21" s="301">
        <v>3</v>
      </c>
      <c r="P21" s="289"/>
      <c r="Q21" s="232"/>
      <c r="R21" s="290"/>
      <c r="S21" s="301"/>
      <c r="T21" s="289"/>
      <c r="U21" s="232"/>
      <c r="V21" s="233"/>
      <c r="W21" s="66">
        <f t="shared" si="0"/>
        <v>3</v>
      </c>
      <c r="X21" s="311">
        <f>SUM(W21:W22)</f>
        <v>6</v>
      </c>
      <c r="Y21" s="313">
        <v>12</v>
      </c>
    </row>
    <row r="22" spans="2:29" ht="17.25" thickBot="1">
      <c r="B22" s="294"/>
      <c r="C22" s="295"/>
      <c r="D22" s="300"/>
      <c r="E22" s="76" t="s">
        <v>12</v>
      </c>
      <c r="F22" s="309" t="s">
        <v>248</v>
      </c>
      <c r="G22" s="310"/>
      <c r="H22" s="73">
        <v>4</v>
      </c>
      <c r="I22" s="74" t="s">
        <v>348</v>
      </c>
      <c r="J22" s="75">
        <v>3</v>
      </c>
      <c r="K22" s="309"/>
      <c r="L22" s="265"/>
      <c r="M22" s="266"/>
      <c r="N22" s="267"/>
      <c r="O22" s="264"/>
      <c r="P22" s="265"/>
      <c r="Q22" s="266">
        <v>3</v>
      </c>
      <c r="R22" s="267"/>
      <c r="S22" s="264"/>
      <c r="T22" s="265"/>
      <c r="U22" s="266"/>
      <c r="V22" s="310"/>
      <c r="W22" s="81">
        <f t="shared" si="0"/>
        <v>3</v>
      </c>
      <c r="X22" s="331"/>
      <c r="Y22" s="313"/>
    </row>
    <row r="23" spans="2:29" ht="17.25" thickBot="1">
      <c r="B23" s="294"/>
      <c r="C23" s="295"/>
      <c r="D23" s="298" t="s">
        <v>26</v>
      </c>
      <c r="E23" s="62" t="s">
        <v>12</v>
      </c>
      <c r="F23" s="288" t="s">
        <v>265</v>
      </c>
      <c r="G23" s="233"/>
      <c r="H23" s="63">
        <v>4</v>
      </c>
      <c r="I23" s="77" t="s">
        <v>348</v>
      </c>
      <c r="J23" s="65">
        <v>3</v>
      </c>
      <c r="K23" s="288">
        <v>3</v>
      </c>
      <c r="L23" s="289"/>
      <c r="M23" s="232"/>
      <c r="N23" s="290"/>
      <c r="O23" s="301"/>
      <c r="P23" s="289"/>
      <c r="Q23" s="232"/>
      <c r="R23" s="290"/>
      <c r="S23" s="301"/>
      <c r="T23" s="289"/>
      <c r="U23" s="232"/>
      <c r="V23" s="233"/>
      <c r="W23" s="66">
        <f t="shared" si="0"/>
        <v>3</v>
      </c>
      <c r="X23" s="293">
        <f>SUM(W23:W24)</f>
        <v>6</v>
      </c>
      <c r="Y23" s="313"/>
    </row>
    <row r="24" spans="2:29" ht="17.25" thickBot="1">
      <c r="B24" s="294"/>
      <c r="C24" s="295"/>
      <c r="D24" s="299"/>
      <c r="E24" s="67" t="s">
        <v>12</v>
      </c>
      <c r="F24" s="314" t="s">
        <v>266</v>
      </c>
      <c r="G24" s="315"/>
      <c r="H24" s="68">
        <v>4</v>
      </c>
      <c r="I24" s="69" t="s">
        <v>348</v>
      </c>
      <c r="J24" s="70">
        <v>3</v>
      </c>
      <c r="K24" s="314"/>
      <c r="L24" s="316"/>
      <c r="M24" s="317">
        <v>3</v>
      </c>
      <c r="N24" s="318"/>
      <c r="O24" s="319"/>
      <c r="P24" s="316"/>
      <c r="Q24" s="317"/>
      <c r="R24" s="318"/>
      <c r="S24" s="319"/>
      <c r="T24" s="316"/>
      <c r="U24" s="317"/>
      <c r="V24" s="315"/>
      <c r="W24" s="71">
        <f t="shared" si="0"/>
        <v>3</v>
      </c>
      <c r="X24" s="295"/>
      <c r="Y24" s="313"/>
    </row>
    <row r="25" spans="2:29" ht="16.5" customHeight="1" thickBot="1">
      <c r="B25" s="294"/>
      <c r="C25" s="295"/>
      <c r="D25" s="298" t="s">
        <v>8</v>
      </c>
      <c r="E25" s="62" t="s">
        <v>355</v>
      </c>
      <c r="F25" s="288" t="s">
        <v>356</v>
      </c>
      <c r="G25" s="233"/>
      <c r="H25" s="63">
        <v>3</v>
      </c>
      <c r="I25" s="77" t="s">
        <v>357</v>
      </c>
      <c r="J25" s="65">
        <f t="shared" ref="J25:J26" si="3">SUM(K25:V25)</f>
        <v>2</v>
      </c>
      <c r="K25" s="288">
        <v>2</v>
      </c>
      <c r="L25" s="289"/>
      <c r="M25" s="232"/>
      <c r="N25" s="290"/>
      <c r="O25" s="301"/>
      <c r="P25" s="289"/>
      <c r="Q25" s="232"/>
      <c r="R25" s="290"/>
      <c r="S25" s="301"/>
      <c r="T25" s="289"/>
      <c r="U25" s="232"/>
      <c r="V25" s="233"/>
      <c r="W25" s="66">
        <f>SUM(K25:V25)</f>
        <v>2</v>
      </c>
      <c r="X25" s="335">
        <f>SUM(W25:W29)</f>
        <v>9</v>
      </c>
      <c r="Y25" s="313">
        <v>8</v>
      </c>
    </row>
    <row r="26" spans="2:29" ht="17.25" thickBot="1">
      <c r="B26" s="294"/>
      <c r="C26" s="295"/>
      <c r="D26" s="299"/>
      <c r="E26" s="67" t="s">
        <v>355</v>
      </c>
      <c r="F26" s="314" t="s">
        <v>358</v>
      </c>
      <c r="G26" s="315"/>
      <c r="H26" s="68">
        <v>3</v>
      </c>
      <c r="I26" s="69" t="s">
        <v>357</v>
      </c>
      <c r="J26" s="70">
        <f t="shared" si="3"/>
        <v>2</v>
      </c>
      <c r="K26" s="314"/>
      <c r="L26" s="316"/>
      <c r="M26" s="317">
        <v>2</v>
      </c>
      <c r="N26" s="318"/>
      <c r="O26" s="319"/>
      <c r="P26" s="316"/>
      <c r="Q26" s="317"/>
      <c r="R26" s="318"/>
      <c r="S26" s="319"/>
      <c r="T26" s="316"/>
      <c r="U26" s="317"/>
      <c r="V26" s="315"/>
      <c r="W26" s="71">
        <f t="shared" ref="W26:W29" si="4">SUM(K26:V26)</f>
        <v>2</v>
      </c>
      <c r="X26" s="336"/>
      <c r="Y26" s="313"/>
    </row>
    <row r="27" spans="2:29" ht="17.25" thickBot="1">
      <c r="B27" s="294"/>
      <c r="C27" s="295"/>
      <c r="D27" s="299"/>
      <c r="E27" s="67" t="s">
        <v>349</v>
      </c>
      <c r="F27" s="314" t="s">
        <v>523</v>
      </c>
      <c r="G27" s="315"/>
      <c r="H27" s="68">
        <v>3</v>
      </c>
      <c r="I27" s="69" t="s">
        <v>357</v>
      </c>
      <c r="J27" s="70">
        <v>2</v>
      </c>
      <c r="K27" s="314"/>
      <c r="L27" s="316"/>
      <c r="M27" s="317"/>
      <c r="N27" s="318"/>
      <c r="O27" s="319">
        <v>2</v>
      </c>
      <c r="P27" s="316"/>
      <c r="Q27" s="317"/>
      <c r="R27" s="318"/>
      <c r="S27" s="319"/>
      <c r="T27" s="316"/>
      <c r="U27" s="317"/>
      <c r="V27" s="315"/>
      <c r="W27" s="71">
        <f t="shared" si="4"/>
        <v>2</v>
      </c>
      <c r="X27" s="336"/>
      <c r="Y27" s="313"/>
    </row>
    <row r="28" spans="2:29" ht="17.25" thickBot="1">
      <c r="B28" s="294"/>
      <c r="C28" s="295"/>
      <c r="D28" s="299"/>
      <c r="E28" s="67" t="s">
        <v>354</v>
      </c>
      <c r="F28" s="314" t="s">
        <v>359</v>
      </c>
      <c r="G28" s="315"/>
      <c r="H28" s="68">
        <v>3</v>
      </c>
      <c r="I28" s="69" t="s">
        <v>357</v>
      </c>
      <c r="J28" s="70">
        <v>2</v>
      </c>
      <c r="K28" s="314"/>
      <c r="L28" s="316"/>
      <c r="M28" s="317"/>
      <c r="N28" s="318"/>
      <c r="O28" s="319"/>
      <c r="P28" s="316"/>
      <c r="Q28" s="317">
        <v>2</v>
      </c>
      <c r="R28" s="318"/>
      <c r="S28" s="319"/>
      <c r="T28" s="316"/>
      <c r="U28" s="317"/>
      <c r="V28" s="315"/>
      <c r="W28" s="71">
        <f t="shared" si="4"/>
        <v>2</v>
      </c>
      <c r="X28" s="336"/>
      <c r="Y28" s="313"/>
    </row>
    <row r="29" spans="2:29" ht="17.25" thickBot="1">
      <c r="B29" s="294"/>
      <c r="C29" s="295"/>
      <c r="D29" s="300"/>
      <c r="E29" s="76" t="s">
        <v>349</v>
      </c>
      <c r="F29" s="309" t="s">
        <v>535</v>
      </c>
      <c r="G29" s="310"/>
      <c r="H29" s="73">
        <v>2</v>
      </c>
      <c r="I29" s="74" t="s">
        <v>360</v>
      </c>
      <c r="J29" s="75">
        <v>1</v>
      </c>
      <c r="K29" s="309"/>
      <c r="L29" s="265"/>
      <c r="M29" s="266"/>
      <c r="N29" s="267"/>
      <c r="O29" s="264"/>
      <c r="P29" s="265"/>
      <c r="Q29" s="266"/>
      <c r="R29" s="267"/>
      <c r="S29" s="264">
        <v>1</v>
      </c>
      <c r="T29" s="265"/>
      <c r="U29" s="266"/>
      <c r="V29" s="310"/>
      <c r="W29" s="81">
        <f t="shared" si="4"/>
        <v>1</v>
      </c>
      <c r="X29" s="337"/>
      <c r="Y29" s="313"/>
    </row>
    <row r="30" spans="2:29" ht="17.25" thickBot="1">
      <c r="B30" s="294"/>
      <c r="C30" s="295"/>
      <c r="D30" s="298" t="s">
        <v>28</v>
      </c>
      <c r="E30" s="62" t="s">
        <v>355</v>
      </c>
      <c r="F30" s="288" t="s">
        <v>9</v>
      </c>
      <c r="G30" s="233"/>
      <c r="H30" s="63">
        <v>3</v>
      </c>
      <c r="I30" s="82" t="s">
        <v>357</v>
      </c>
      <c r="J30" s="65">
        <v>2</v>
      </c>
      <c r="K30" s="288">
        <v>2</v>
      </c>
      <c r="L30" s="289"/>
      <c r="M30" s="232"/>
      <c r="N30" s="290"/>
      <c r="O30" s="301"/>
      <c r="P30" s="289"/>
      <c r="Q30" s="232"/>
      <c r="R30" s="290"/>
      <c r="S30" s="301"/>
      <c r="T30" s="289"/>
      <c r="U30" s="232"/>
      <c r="V30" s="233"/>
      <c r="W30" s="338">
        <f>SUM(K30:V33)</f>
        <v>8</v>
      </c>
      <c r="X30" s="339"/>
      <c r="Y30" s="313">
        <v>6</v>
      </c>
    </row>
    <row r="31" spans="2:29" ht="17.25" thickBot="1">
      <c r="B31" s="294"/>
      <c r="C31" s="295"/>
      <c r="D31" s="299"/>
      <c r="E31" s="72" t="s">
        <v>349</v>
      </c>
      <c r="F31" s="314" t="s">
        <v>292</v>
      </c>
      <c r="G31" s="327"/>
      <c r="H31" s="166">
        <v>3</v>
      </c>
      <c r="I31" s="69" t="s">
        <v>357</v>
      </c>
      <c r="J31" s="167">
        <v>2</v>
      </c>
      <c r="K31" s="314"/>
      <c r="L31" s="328"/>
      <c r="M31" s="317">
        <v>2</v>
      </c>
      <c r="N31" s="329"/>
      <c r="O31" s="319"/>
      <c r="P31" s="328"/>
      <c r="Q31" s="317"/>
      <c r="R31" s="329"/>
      <c r="S31" s="319"/>
      <c r="T31" s="328"/>
      <c r="U31" s="317"/>
      <c r="V31" s="327"/>
      <c r="W31" s="340"/>
      <c r="X31" s="341"/>
      <c r="Y31" s="313"/>
    </row>
    <row r="32" spans="2:29" ht="17.25" thickBot="1">
      <c r="B32" s="294"/>
      <c r="C32" s="295"/>
      <c r="D32" s="299"/>
      <c r="E32" s="72" t="s">
        <v>349</v>
      </c>
      <c r="F32" s="314" t="s">
        <v>291</v>
      </c>
      <c r="G32" s="327"/>
      <c r="H32" s="166">
        <v>3</v>
      </c>
      <c r="I32" s="69" t="s">
        <v>357</v>
      </c>
      <c r="J32" s="167">
        <v>2</v>
      </c>
      <c r="K32" s="314"/>
      <c r="L32" s="328"/>
      <c r="M32" s="317"/>
      <c r="N32" s="329"/>
      <c r="O32" s="319">
        <v>2</v>
      </c>
      <c r="P32" s="328"/>
      <c r="Q32" s="317"/>
      <c r="R32" s="329"/>
      <c r="S32" s="319"/>
      <c r="T32" s="328"/>
      <c r="U32" s="317"/>
      <c r="V32" s="327"/>
      <c r="W32" s="340"/>
      <c r="X32" s="341"/>
      <c r="Y32" s="313"/>
    </row>
    <row r="33" spans="2:28" ht="17.25" thickBot="1">
      <c r="B33" s="294"/>
      <c r="C33" s="295"/>
      <c r="D33" s="299"/>
      <c r="E33" s="72" t="s">
        <v>354</v>
      </c>
      <c r="F33" s="314" t="s">
        <v>295</v>
      </c>
      <c r="G33" s="315"/>
      <c r="H33" s="68">
        <v>3</v>
      </c>
      <c r="I33" s="82" t="s">
        <v>357</v>
      </c>
      <c r="J33" s="70">
        <v>2</v>
      </c>
      <c r="K33" s="314"/>
      <c r="L33" s="316"/>
      <c r="M33" s="317"/>
      <c r="N33" s="318"/>
      <c r="O33" s="319"/>
      <c r="P33" s="316"/>
      <c r="Q33" s="317">
        <v>2</v>
      </c>
      <c r="R33" s="318"/>
      <c r="S33" s="319"/>
      <c r="T33" s="316"/>
      <c r="U33" s="317"/>
      <c r="V33" s="315"/>
      <c r="W33" s="340"/>
      <c r="X33" s="341"/>
      <c r="Y33" s="313"/>
    </row>
    <row r="34" spans="2:28" ht="16.5" customHeight="1" thickBot="1">
      <c r="B34" s="294"/>
      <c r="C34" s="295"/>
      <c r="D34" s="342" t="s">
        <v>361</v>
      </c>
      <c r="E34" s="62" t="s">
        <v>349</v>
      </c>
      <c r="F34" s="288" t="s">
        <v>51</v>
      </c>
      <c r="G34" s="233"/>
      <c r="H34" s="63">
        <v>3</v>
      </c>
      <c r="I34" s="77" t="s">
        <v>357</v>
      </c>
      <c r="J34" s="65">
        <v>2</v>
      </c>
      <c r="K34" s="288"/>
      <c r="L34" s="289"/>
      <c r="M34" s="232"/>
      <c r="N34" s="290"/>
      <c r="O34" s="301"/>
      <c r="P34" s="289"/>
      <c r="Q34" s="232">
        <v>2</v>
      </c>
      <c r="R34" s="290"/>
      <c r="S34" s="301"/>
      <c r="T34" s="289"/>
      <c r="U34" s="232"/>
      <c r="V34" s="233"/>
      <c r="W34" s="338">
        <f>SUM(K34:V36)</f>
        <v>8</v>
      </c>
      <c r="X34" s="339"/>
      <c r="Y34" s="313">
        <v>8</v>
      </c>
    </row>
    <row r="35" spans="2:28" ht="16.5" customHeight="1" thickBot="1">
      <c r="B35" s="294"/>
      <c r="C35" s="295"/>
      <c r="D35" s="343"/>
      <c r="E35" s="72" t="s">
        <v>355</v>
      </c>
      <c r="F35" s="314" t="s">
        <v>529</v>
      </c>
      <c r="G35" s="315"/>
      <c r="H35" s="68">
        <v>3</v>
      </c>
      <c r="I35" s="69" t="s">
        <v>357</v>
      </c>
      <c r="J35" s="70">
        <v>3</v>
      </c>
      <c r="K35" s="314"/>
      <c r="L35" s="316"/>
      <c r="M35" s="317"/>
      <c r="N35" s="318"/>
      <c r="O35" s="319">
        <v>3</v>
      </c>
      <c r="P35" s="316"/>
      <c r="Q35" s="317"/>
      <c r="R35" s="318"/>
      <c r="S35" s="319"/>
      <c r="T35" s="316"/>
      <c r="U35" s="317"/>
      <c r="V35" s="315"/>
      <c r="W35" s="340"/>
      <c r="X35" s="341"/>
      <c r="Y35" s="313"/>
    </row>
    <row r="36" spans="2:28" ht="17.25" thickBot="1">
      <c r="B36" s="296"/>
      <c r="C36" s="297"/>
      <c r="D36" s="343"/>
      <c r="E36" s="72" t="s">
        <v>355</v>
      </c>
      <c r="F36" s="309" t="s">
        <v>340</v>
      </c>
      <c r="G36" s="310"/>
      <c r="H36" s="73">
        <v>3</v>
      </c>
      <c r="I36" s="74" t="s">
        <v>357</v>
      </c>
      <c r="J36" s="75">
        <v>3</v>
      </c>
      <c r="K36" s="309"/>
      <c r="L36" s="265"/>
      <c r="M36" s="266"/>
      <c r="N36" s="267"/>
      <c r="O36" s="319"/>
      <c r="P36" s="316"/>
      <c r="Q36" s="317">
        <v>3</v>
      </c>
      <c r="R36" s="318"/>
      <c r="S36" s="319"/>
      <c r="T36" s="316"/>
      <c r="U36" s="317"/>
      <c r="V36" s="315"/>
      <c r="W36" s="340"/>
      <c r="X36" s="341"/>
      <c r="Y36" s="313"/>
    </row>
    <row r="37" spans="2:28" ht="24.75" customHeight="1" thickBot="1">
      <c r="B37" s="344" t="s">
        <v>370</v>
      </c>
      <c r="C37" s="345"/>
      <c r="D37" s="345"/>
      <c r="E37" s="345"/>
      <c r="F37" s="345"/>
      <c r="G37" s="346"/>
      <c r="H37" s="170">
        <f>SUM(H21:H36)</f>
        <v>51</v>
      </c>
      <c r="I37" s="18"/>
      <c r="J37" s="169">
        <f>SUM(J21:J36)</f>
        <v>37</v>
      </c>
      <c r="K37" s="347">
        <f>SUM(K9:L36)</f>
        <v>19</v>
      </c>
      <c r="L37" s="348"/>
      <c r="M37" s="348">
        <f>SUM(M9:N36)</f>
        <v>19</v>
      </c>
      <c r="N37" s="349"/>
      <c r="O37" s="350">
        <f>SUM(O9:P36)</f>
        <v>16</v>
      </c>
      <c r="P37" s="348"/>
      <c r="Q37" s="348">
        <f>SUM(Q9:R36)</f>
        <v>18</v>
      </c>
      <c r="R37" s="351"/>
      <c r="S37" s="352">
        <f>SUM(S9:T36)</f>
        <v>1</v>
      </c>
      <c r="T37" s="348"/>
      <c r="U37" s="348">
        <f>SUM(U9:V36)</f>
        <v>0</v>
      </c>
  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     <v>1</v>
      </c>
      <c r="AB37" s="355"/>
    </row>
    <row r="38" spans="2:28" ht="17.25" customHeight="1" thickBot="1">
      <c r="B38" s="356" t="s">
        <v>362</v>
      </c>
      <c r="C38" s="357"/>
      <c r="D38" s="360" t="s">
        <v>363</v>
      </c>
      <c r="E38" s="361"/>
      <c r="F38" s="362" t="s">
        <v>536</v>
      </c>
      <c r="G38" s="263"/>
      <c r="H38" s="179"/>
      <c r="I38" s="180"/>
      <c r="J38" s="181">
        <v>2</v>
      </c>
      <c r="K38" s="363"/>
      <c r="L38" s="364"/>
      <c r="M38" s="365"/>
      <c r="N38" s="366"/>
      <c r="O38" s="367"/>
      <c r="P38" s="364"/>
      <c r="Q38" s="365">
        <v>2</v>
      </c>
      <c r="R38" s="366"/>
      <c r="S38" s="367"/>
      <c r="T38" s="364"/>
      <c r="U38" s="365"/>
      <c r="V38" s="368"/>
      <c r="W38" s="369">
        <f>SUM(K38:V38)</f>
        <v>2</v>
      </c>
      <c r="X38" s="370"/>
      <c r="Y38" s="371">
        <v>80</v>
      </c>
    </row>
    <row r="39" spans="2:28" ht="17.25" customHeight="1">
      <c r="B39" s="358"/>
      <c r="C39" s="359"/>
      <c r="D39" s="83" t="s">
        <v>66</v>
      </c>
      <c r="E39" s="84" t="s">
        <v>364</v>
      </c>
      <c r="F39" s="374" t="s">
        <v>537</v>
      </c>
      <c r="G39" s="375"/>
      <c r="H39" s="182"/>
      <c r="I39" s="183"/>
      <c r="J39" s="184">
        <v>6</v>
      </c>
      <c r="K39" s="314">
        <v>6</v>
      </c>
      <c r="L39" s="316"/>
      <c r="M39" s="317"/>
      <c r="N39" s="376"/>
      <c r="O39" s="319"/>
      <c r="P39" s="316"/>
      <c r="Q39" s="317"/>
      <c r="R39" s="318"/>
      <c r="S39" s="376"/>
      <c r="T39" s="316"/>
      <c r="U39" s="317"/>
      <c r="V39" s="315"/>
      <c r="W39" s="377">
        <f t="shared" ref="W39:W47" si="5">SUM(K39:V39)</f>
        <v>6</v>
      </c>
      <c r="X39" s="378"/>
      <c r="Y39" s="372"/>
    </row>
    <row r="40" spans="2:28" ht="17.25" customHeight="1">
      <c r="B40" s="358"/>
      <c r="C40" s="359"/>
      <c r="D40" s="83" t="s">
        <v>68</v>
      </c>
      <c r="E40" s="84" t="s">
        <v>364</v>
      </c>
      <c r="F40" s="374" t="s">
        <v>538</v>
      </c>
      <c r="G40" s="375"/>
      <c r="H40" s="182"/>
      <c r="I40" s="183"/>
      <c r="J40" s="184">
        <v>4</v>
      </c>
      <c r="K40" s="314">
        <v>4</v>
      </c>
      <c r="L40" s="316"/>
      <c r="M40" s="317"/>
      <c r="N40" s="318"/>
      <c r="O40" s="319"/>
      <c r="P40" s="316"/>
      <c r="Q40" s="317"/>
      <c r="R40" s="318"/>
      <c r="S40" s="319"/>
      <c r="T40" s="316"/>
      <c r="U40" s="317"/>
      <c r="V40" s="315"/>
      <c r="W40" s="377">
        <f t="shared" si="5"/>
        <v>4</v>
      </c>
      <c r="X40" s="378"/>
      <c r="Y40" s="372"/>
    </row>
    <row r="41" spans="2:28" ht="17.25" customHeight="1">
      <c r="B41" s="358"/>
      <c r="C41" s="359"/>
      <c r="D41" s="83" t="s">
        <v>68</v>
      </c>
      <c r="E41" s="84" t="s">
        <v>364</v>
      </c>
      <c r="F41" s="374" t="s">
        <v>530</v>
      </c>
      <c r="G41" s="375"/>
      <c r="H41" s="182"/>
      <c r="I41" s="183"/>
      <c r="J41" s="184">
        <v>6</v>
      </c>
      <c r="K41" s="314"/>
      <c r="L41" s="316"/>
      <c r="M41" s="317">
        <v>6</v>
      </c>
      <c r="N41" s="318"/>
      <c r="O41" s="319"/>
      <c r="P41" s="316"/>
      <c r="Q41" s="317"/>
      <c r="R41" s="318"/>
      <c r="S41" s="319"/>
      <c r="T41" s="316"/>
      <c r="U41" s="317"/>
      <c r="V41" s="315"/>
      <c r="W41" s="377">
        <f t="shared" si="5"/>
        <v>6</v>
      </c>
      <c r="X41" s="378"/>
      <c r="Y41" s="372"/>
    </row>
    <row r="42" spans="2:28" ht="17.25" customHeight="1">
      <c r="B42" s="358"/>
      <c r="C42" s="359"/>
      <c r="D42" s="83" t="s">
        <v>68</v>
      </c>
      <c r="E42" s="84" t="s">
        <v>364</v>
      </c>
      <c r="F42" s="379" t="s">
        <v>531</v>
      </c>
      <c r="G42" s="380"/>
      <c r="H42" s="182"/>
      <c r="I42" s="183"/>
      <c r="J42" s="184">
        <v>4</v>
      </c>
      <c r="K42" s="314"/>
      <c r="L42" s="316"/>
      <c r="M42" s="317">
        <v>4</v>
      </c>
      <c r="N42" s="318"/>
      <c r="O42" s="319"/>
      <c r="P42" s="316"/>
      <c r="Q42" s="317"/>
      <c r="R42" s="318"/>
      <c r="S42" s="319"/>
      <c r="T42" s="316"/>
      <c r="U42" s="317"/>
      <c r="V42" s="315"/>
      <c r="W42" s="377">
        <f t="shared" si="5"/>
        <v>4</v>
      </c>
      <c r="X42" s="378"/>
      <c r="Y42" s="372"/>
    </row>
    <row r="43" spans="2:28" ht="17.25" customHeight="1">
      <c r="B43" s="358"/>
      <c r="C43" s="359"/>
      <c r="D43" s="83" t="s">
        <v>68</v>
      </c>
      <c r="E43" s="84" t="s">
        <v>364</v>
      </c>
      <c r="F43" s="379" t="s">
        <v>532</v>
      </c>
      <c r="G43" s="380"/>
      <c r="H43" s="182"/>
      <c r="I43" s="183"/>
      <c r="J43" s="184">
        <v>4</v>
      </c>
      <c r="K43" s="314"/>
      <c r="L43" s="316"/>
      <c r="M43" s="317"/>
      <c r="N43" s="376"/>
      <c r="O43" s="319">
        <v>4</v>
      </c>
      <c r="P43" s="316"/>
      <c r="Q43" s="317"/>
      <c r="R43" s="318"/>
      <c r="S43" s="376"/>
      <c r="T43" s="316"/>
      <c r="U43" s="317"/>
      <c r="V43" s="315"/>
      <c r="W43" s="377">
        <f t="shared" si="5"/>
        <v>4</v>
      </c>
      <c r="X43" s="378"/>
      <c r="Y43" s="372"/>
    </row>
    <row r="44" spans="2:28" ht="17.25" customHeight="1">
      <c r="B44" s="358"/>
      <c r="C44" s="359"/>
      <c r="D44" s="85" t="s">
        <v>68</v>
      </c>
      <c r="E44" s="84" t="s">
        <v>365</v>
      </c>
      <c r="F44" s="379" t="s">
        <v>533</v>
      </c>
      <c r="G44" s="380"/>
      <c r="H44" s="182"/>
      <c r="I44" s="185"/>
      <c r="J44" s="186">
        <v>18</v>
      </c>
      <c r="K44" s="314"/>
      <c r="L44" s="316"/>
      <c r="M44" s="317"/>
      <c r="N44" s="376"/>
      <c r="O44" s="319"/>
      <c r="P44" s="316"/>
      <c r="Q44" s="317"/>
      <c r="R44" s="318"/>
      <c r="S44" s="376">
        <v>9</v>
      </c>
      <c r="T44" s="316"/>
      <c r="U44" s="317">
        <v>9</v>
      </c>
      <c r="V44" s="315"/>
      <c r="W44" s="377">
        <f t="shared" si="5"/>
        <v>18</v>
      </c>
      <c r="X44" s="378"/>
      <c r="Y44" s="372"/>
    </row>
    <row r="45" spans="2:28" ht="16.5" customHeight="1">
      <c r="B45" s="358"/>
      <c r="C45" s="359"/>
      <c r="D45" s="86" t="s">
        <v>71</v>
      </c>
      <c r="E45" s="84" t="s">
        <v>364</v>
      </c>
      <c r="F45" s="381" t="s">
        <v>534</v>
      </c>
      <c r="G45" s="386"/>
      <c r="H45" s="187"/>
      <c r="I45" s="185"/>
      <c r="J45" s="186">
        <v>12</v>
      </c>
      <c r="K45" s="314"/>
      <c r="L45" s="316"/>
      <c r="M45" s="317"/>
      <c r="N45" s="376"/>
      <c r="O45" s="319"/>
      <c r="P45" s="316"/>
      <c r="Q45" s="317"/>
      <c r="R45" s="318"/>
      <c r="S45" s="376">
        <v>6</v>
      </c>
      <c r="T45" s="316"/>
      <c r="U45" s="317">
        <v>6</v>
      </c>
      <c r="V45" s="315"/>
      <c r="W45" s="377">
        <f t="shared" si="5"/>
        <v>12</v>
      </c>
      <c r="X45" s="378"/>
      <c r="Y45" s="372"/>
    </row>
    <row r="46" spans="2:28" ht="16.5" customHeight="1">
      <c r="B46" s="358"/>
      <c r="C46" s="359"/>
      <c r="D46" s="85" t="s">
        <v>68</v>
      </c>
      <c r="E46" s="84" t="s">
        <v>365</v>
      </c>
      <c r="F46" s="381" t="s">
        <v>539</v>
      </c>
      <c r="G46" s="382"/>
      <c r="H46" s="187"/>
      <c r="I46" s="185"/>
      <c r="J46" s="186">
        <v>9</v>
      </c>
      <c r="K46" s="188"/>
      <c r="L46" s="189"/>
      <c r="M46" s="190"/>
      <c r="N46" s="191"/>
      <c r="O46" s="192"/>
      <c r="P46" s="189"/>
      <c r="Q46" s="190"/>
      <c r="R46" s="193"/>
      <c r="S46" s="319">
        <v>4</v>
      </c>
      <c r="T46" s="383"/>
      <c r="U46" s="317">
        <v>5</v>
      </c>
      <c r="V46" s="384"/>
      <c r="W46" s="377">
        <v>9</v>
      </c>
      <c r="X46" s="385"/>
      <c r="Y46" s="372"/>
    </row>
    <row r="47" spans="2:28" ht="16.5" customHeight="1" thickBot="1">
      <c r="B47" s="358"/>
      <c r="C47" s="359"/>
      <c r="D47" s="85" t="s">
        <v>68</v>
      </c>
      <c r="E47" s="84" t="s">
        <v>365</v>
      </c>
      <c r="F47" s="381" t="s">
        <v>544</v>
      </c>
      <c r="G47" s="386"/>
      <c r="H47" s="187"/>
      <c r="I47" s="185"/>
      <c r="J47" s="186">
        <v>9</v>
      </c>
      <c r="K47" s="314"/>
      <c r="L47" s="316"/>
      <c r="M47" s="317"/>
      <c r="N47" s="376"/>
      <c r="O47" s="319"/>
      <c r="P47" s="316"/>
      <c r="Q47" s="317"/>
      <c r="R47" s="318"/>
      <c r="S47" s="376"/>
      <c r="T47" s="316"/>
      <c r="U47" s="317">
        <v>9</v>
      </c>
      <c r="V47" s="315"/>
      <c r="W47" s="377">
        <f t="shared" si="5"/>
        <v>9</v>
      </c>
      <c r="X47" s="378"/>
      <c r="Y47" s="372"/>
    </row>
    <row r="48" spans="2:28" ht="20.25" customHeight="1">
      <c r="B48" s="387" t="s">
        <v>156</v>
      </c>
      <c r="C48" s="174" t="s">
        <v>563</v>
      </c>
      <c r="D48" s="87" t="s">
        <v>68</v>
      </c>
      <c r="E48" s="88" t="s">
        <v>365</v>
      </c>
      <c r="F48" s="389" t="s">
        <v>540</v>
      </c>
      <c r="G48" s="390"/>
      <c r="H48" s="194"/>
      <c r="I48" s="391"/>
      <c r="J48" s="393">
        <v>8</v>
      </c>
      <c r="K48" s="288"/>
      <c r="L48" s="289"/>
      <c r="M48" s="232"/>
      <c r="N48" s="395"/>
      <c r="O48" s="326">
        <v>4</v>
      </c>
      <c r="P48" s="323"/>
      <c r="Q48" s="324">
        <v>4</v>
      </c>
      <c r="R48" s="325"/>
      <c r="S48" s="395"/>
      <c r="T48" s="289"/>
      <c r="U48" s="324"/>
      <c r="V48" s="330"/>
      <c r="W48" s="338">
        <f>SUM(O48:V49)</f>
        <v>8</v>
      </c>
      <c r="X48" s="339"/>
      <c r="Y48" s="372"/>
    </row>
    <row r="49" spans="2:29" ht="20.25" customHeight="1" thickBot="1">
      <c r="B49" s="388"/>
      <c r="C49" s="89" t="s">
        <v>564</v>
      </c>
      <c r="D49" s="90" t="s">
        <v>68</v>
      </c>
      <c r="E49" s="84" t="s">
        <v>365</v>
      </c>
      <c r="F49" s="403" t="s">
        <v>541</v>
      </c>
      <c r="G49" s="404"/>
      <c r="H49" s="195"/>
      <c r="I49" s="392"/>
      <c r="J49" s="394"/>
      <c r="K49" s="309"/>
      <c r="L49" s="265"/>
      <c r="M49" s="266"/>
      <c r="N49" s="405"/>
      <c r="O49" s="396"/>
      <c r="P49" s="397"/>
      <c r="Q49" s="398"/>
      <c r="R49" s="399"/>
      <c r="S49" s="405"/>
      <c r="T49" s="265"/>
      <c r="U49" s="400"/>
      <c r="V49" s="333"/>
      <c r="W49" s="401"/>
      <c r="X49" s="402"/>
      <c r="Y49" s="372"/>
    </row>
    <row r="50" spans="2:29" ht="16.5" customHeight="1">
      <c r="B50" s="406" t="s">
        <v>157</v>
      </c>
      <c r="C50" s="409" t="s">
        <v>68</v>
      </c>
      <c r="D50" s="86" t="s">
        <v>68</v>
      </c>
      <c r="E50" s="88" t="s">
        <v>365</v>
      </c>
      <c r="F50" s="389" t="s">
        <v>542</v>
      </c>
      <c r="G50" s="390"/>
      <c r="H50" s="194"/>
      <c r="I50" s="391"/>
      <c r="J50" s="393" t="s">
        <v>718</v>
      </c>
      <c r="K50" s="288"/>
      <c r="L50" s="289"/>
      <c r="M50" s="232"/>
      <c r="N50" s="395"/>
      <c r="O50" s="301">
        <v>5</v>
      </c>
      <c r="P50" s="289"/>
      <c r="Q50" s="232"/>
      <c r="R50" s="290"/>
      <c r="S50" s="395"/>
      <c r="T50" s="289"/>
      <c r="U50" s="232"/>
      <c r="V50" s="233"/>
      <c r="W50" s="338">
        <f>SUM(K50:V52)</f>
        <v>19</v>
      </c>
      <c r="X50" s="339"/>
      <c r="Y50" s="372"/>
    </row>
    <row r="51" spans="2:29" ht="16.5" customHeight="1">
      <c r="B51" s="407"/>
      <c r="C51" s="410"/>
      <c r="D51" s="85" t="s">
        <v>68</v>
      </c>
      <c r="E51" s="91" t="s">
        <v>365</v>
      </c>
      <c r="F51" s="379" t="s">
        <v>543</v>
      </c>
      <c r="G51" s="380"/>
      <c r="H51" s="182"/>
      <c r="I51" s="411"/>
      <c r="J51" s="412"/>
      <c r="K51" s="314"/>
      <c r="L51" s="316"/>
      <c r="M51" s="317"/>
      <c r="N51" s="318"/>
      <c r="O51" s="319"/>
      <c r="P51" s="316"/>
      <c r="Q51" s="317">
        <v>5</v>
      </c>
      <c r="R51" s="318"/>
      <c r="S51" s="319"/>
      <c r="T51" s="316"/>
      <c r="U51" s="317"/>
      <c r="V51" s="315"/>
      <c r="W51" s="340"/>
      <c r="X51" s="341"/>
      <c r="Y51" s="372"/>
    </row>
    <row r="52" spans="2:29" ht="17.25" thickBot="1">
      <c r="B52" s="407"/>
      <c r="C52" s="410"/>
      <c r="D52" s="85" t="s">
        <v>68</v>
      </c>
      <c r="E52" s="91" t="s">
        <v>365</v>
      </c>
      <c r="F52" s="379" t="s">
        <v>544</v>
      </c>
      <c r="G52" s="380"/>
      <c r="H52" s="187"/>
      <c r="I52" s="411"/>
      <c r="J52" s="412"/>
      <c r="K52" s="314"/>
      <c r="L52" s="316"/>
      <c r="M52" s="317"/>
      <c r="N52" s="376"/>
      <c r="O52" s="319"/>
      <c r="P52" s="316"/>
      <c r="Q52" s="317"/>
      <c r="R52" s="318"/>
      <c r="S52" s="376">
        <v>9</v>
      </c>
      <c r="T52" s="316"/>
      <c r="U52" s="317"/>
      <c r="V52" s="315"/>
      <c r="W52" s="340"/>
      <c r="X52" s="341"/>
      <c r="Y52" s="372"/>
    </row>
    <row r="53" spans="2:29" ht="17.25" thickBot="1">
      <c r="B53" s="407"/>
      <c r="C53" s="221" t="s">
        <v>155</v>
      </c>
      <c r="D53" s="87" t="s">
        <v>71</v>
      </c>
      <c r="E53" s="92" t="s">
        <v>365</v>
      </c>
      <c r="F53" s="234" t="s">
        <v>545</v>
      </c>
      <c r="G53" s="235"/>
      <c r="H53" s="194"/>
      <c r="I53" s="220"/>
      <c r="J53" s="412"/>
      <c r="K53" s="288"/>
      <c r="L53" s="289"/>
      <c r="M53" s="232"/>
      <c r="N53" s="290"/>
      <c r="O53" s="301"/>
      <c r="P53" s="289"/>
      <c r="Q53" s="232"/>
      <c r="R53" s="290"/>
      <c r="S53" s="301">
        <v>9</v>
      </c>
      <c r="T53" s="289"/>
      <c r="U53" s="232"/>
      <c r="V53" s="233"/>
      <c r="W53" s="338">
        <f>SUM(K53:V53)</f>
        <v>9</v>
      </c>
      <c r="X53" s="339"/>
      <c r="Y53" s="372"/>
    </row>
    <row r="54" spans="2:29">
      <c r="B54" s="407"/>
      <c r="C54" s="409" t="s">
        <v>270</v>
      </c>
      <c r="D54" s="87" t="s">
        <v>70</v>
      </c>
      <c r="E54" s="92" t="s">
        <v>364</v>
      </c>
      <c r="F54" s="234" t="s">
        <v>547</v>
      </c>
      <c r="G54" s="235"/>
      <c r="H54" s="194"/>
      <c r="I54" s="391"/>
      <c r="J54" s="412"/>
      <c r="K54" s="288"/>
      <c r="L54" s="289"/>
      <c r="M54" s="232"/>
      <c r="N54" s="395"/>
      <c r="O54" s="301">
        <v>5</v>
      </c>
      <c r="P54" s="289"/>
      <c r="Q54" s="232"/>
      <c r="R54" s="290"/>
      <c r="S54" s="395"/>
      <c r="T54" s="289"/>
      <c r="U54" s="232"/>
      <c r="V54" s="233"/>
      <c r="W54" s="338">
        <f>SUM(K54:V56)</f>
        <v>19</v>
      </c>
      <c r="X54" s="339"/>
      <c r="Y54" s="372"/>
      <c r="AC54" s="171"/>
    </row>
    <row r="55" spans="2:29">
      <c r="B55" s="407"/>
      <c r="C55" s="410"/>
      <c r="D55" s="85" t="s">
        <v>70</v>
      </c>
      <c r="E55" s="84" t="s">
        <v>365</v>
      </c>
      <c r="F55" s="381" t="s">
        <v>548</v>
      </c>
      <c r="G55" s="386"/>
      <c r="H55" s="187"/>
      <c r="I55" s="411"/>
      <c r="J55" s="412"/>
      <c r="K55" s="314"/>
      <c r="L55" s="316"/>
      <c r="M55" s="317"/>
      <c r="N55" s="376"/>
      <c r="O55" s="319"/>
      <c r="P55" s="316"/>
      <c r="Q55" s="317">
        <v>5</v>
      </c>
      <c r="R55" s="318"/>
      <c r="S55" s="376"/>
      <c r="T55" s="316"/>
      <c r="U55" s="317"/>
      <c r="V55" s="315"/>
      <c r="W55" s="340"/>
      <c r="X55" s="341"/>
      <c r="Y55" s="372"/>
      <c r="AC55" s="171"/>
    </row>
    <row r="56" spans="2:29" ht="17.25" thickBot="1">
      <c r="B56" s="408"/>
      <c r="C56" s="410"/>
      <c r="D56" s="90" t="s">
        <v>366</v>
      </c>
      <c r="E56" s="89" t="s">
        <v>365</v>
      </c>
      <c r="F56" s="403" t="s">
        <v>549</v>
      </c>
      <c r="G56" s="404"/>
      <c r="H56" s="196"/>
      <c r="I56" s="392"/>
      <c r="J56" s="394"/>
      <c r="K56" s="309"/>
      <c r="L56" s="265"/>
      <c r="M56" s="266"/>
      <c r="N56" s="405"/>
      <c r="O56" s="264"/>
      <c r="P56" s="265"/>
      <c r="Q56" s="266"/>
      <c r="R56" s="267"/>
      <c r="S56" s="405">
        <v>9</v>
      </c>
      <c r="T56" s="265"/>
      <c r="U56" s="266"/>
      <c r="V56" s="310"/>
      <c r="W56" s="401"/>
      <c r="X56" s="402"/>
      <c r="Y56" s="373"/>
      <c r="AC56" s="93"/>
    </row>
    <row r="57" spans="2:29" ht="16.5" customHeight="1">
      <c r="B57" s="292" t="s">
        <v>161</v>
      </c>
      <c r="C57" s="293"/>
      <c r="D57" s="87" t="s">
        <v>133</v>
      </c>
      <c r="E57" s="84" t="s">
        <v>365</v>
      </c>
      <c r="F57" s="441" t="s">
        <v>165</v>
      </c>
      <c r="G57" s="442"/>
      <c r="H57" s="56"/>
      <c r="I57" s="443"/>
      <c r="J57" s="446" t="s">
        <v>717</v>
      </c>
      <c r="K57" s="449"/>
      <c r="L57" s="423"/>
      <c r="M57" s="428"/>
      <c r="N57" s="422"/>
      <c r="O57" s="413"/>
      <c r="P57" s="414"/>
      <c r="Q57" s="414"/>
      <c r="R57" s="415"/>
      <c r="S57" s="422"/>
      <c r="T57" s="423"/>
      <c r="U57" s="428"/>
      <c r="V57" s="429"/>
      <c r="W57" s="338"/>
      <c r="X57" s="339"/>
      <c r="Y57" s="434"/>
    </row>
    <row r="58" spans="2:29" ht="16.5" customHeight="1">
      <c r="B58" s="294"/>
      <c r="C58" s="295"/>
      <c r="D58" s="94" t="s">
        <v>133</v>
      </c>
      <c r="E58" s="84" t="s">
        <v>365</v>
      </c>
      <c r="F58" s="437" t="s">
        <v>162</v>
      </c>
      <c r="G58" s="438"/>
      <c r="H58" s="56"/>
      <c r="I58" s="444"/>
      <c r="J58" s="447"/>
      <c r="K58" s="450"/>
      <c r="L58" s="425"/>
      <c r="M58" s="430"/>
      <c r="N58" s="424"/>
      <c r="O58" s="416"/>
      <c r="P58" s="417"/>
      <c r="Q58" s="417"/>
      <c r="R58" s="418"/>
      <c r="S58" s="424"/>
      <c r="T58" s="425"/>
      <c r="U58" s="430"/>
      <c r="V58" s="431"/>
      <c r="W58" s="340"/>
      <c r="X58" s="341"/>
      <c r="Y58" s="435"/>
    </row>
    <row r="59" spans="2:29" ht="16.5" customHeight="1">
      <c r="B59" s="294"/>
      <c r="C59" s="295"/>
      <c r="D59" s="94" t="s">
        <v>151</v>
      </c>
      <c r="E59" s="84" t="s">
        <v>365</v>
      </c>
      <c r="F59" s="437" t="s">
        <v>164</v>
      </c>
      <c r="G59" s="438"/>
      <c r="H59" s="55"/>
      <c r="I59" s="444"/>
      <c r="J59" s="447"/>
      <c r="K59" s="450"/>
      <c r="L59" s="425"/>
      <c r="M59" s="430"/>
      <c r="N59" s="424"/>
      <c r="O59" s="416"/>
      <c r="P59" s="417"/>
      <c r="Q59" s="417"/>
      <c r="R59" s="418"/>
      <c r="S59" s="424"/>
      <c r="T59" s="425"/>
      <c r="U59" s="430"/>
      <c r="V59" s="431"/>
      <c r="W59" s="340"/>
      <c r="X59" s="341"/>
      <c r="Y59" s="435"/>
      <c r="AC59" s="171"/>
    </row>
    <row r="60" spans="2:29" ht="16.5" customHeight="1" thickBot="1">
      <c r="B60" s="296"/>
      <c r="C60" s="297"/>
      <c r="D60" s="83" t="s">
        <v>367</v>
      </c>
      <c r="E60" s="89" t="s">
        <v>365</v>
      </c>
      <c r="F60" s="439" t="s">
        <v>163</v>
      </c>
      <c r="G60" s="440"/>
      <c r="H60" s="57"/>
      <c r="I60" s="445"/>
      <c r="J60" s="448"/>
      <c r="K60" s="451"/>
      <c r="L60" s="427"/>
      <c r="M60" s="432"/>
      <c r="N60" s="426"/>
      <c r="O60" s="419"/>
      <c r="P60" s="420"/>
      <c r="Q60" s="420"/>
      <c r="R60" s="421"/>
      <c r="S60" s="426"/>
      <c r="T60" s="427"/>
      <c r="U60" s="432"/>
      <c r="V60" s="433"/>
      <c r="W60" s="401"/>
      <c r="X60" s="402"/>
      <c r="Y60" s="436"/>
      <c r="AC60" s="93"/>
    </row>
    <row r="61" spans="2:29" ht="24.75" customHeight="1">
      <c r="B61" s="464" t="s">
        <v>371</v>
      </c>
      <c r="C61" s="460"/>
      <c r="D61" s="460"/>
      <c r="E61" s="460"/>
      <c r="F61" s="460"/>
      <c r="G61" s="462"/>
      <c r="H61" s="466">
        <f>SUM(H38:H47)</f>
        <v>0</v>
      </c>
      <c r="I61" s="468">
        <f>SUM(I38:I47)</f>
        <v>0</v>
      </c>
      <c r="J61" s="470">
        <f>SUM(J38:J60)</f>
        <v>82</v>
      </c>
      <c r="K61" s="464">
        <f>SUM(K38:L60)</f>
        <v>10</v>
      </c>
      <c r="L61" s="453"/>
      <c r="M61" s="456">
        <f>SUM(M38:N52)</f>
        <v>10</v>
      </c>
      <c r="N61" s="460"/>
      <c r="O61" s="452">
        <f>SUM(O38:P52)</f>
        <v>13</v>
      </c>
      <c r="P61" s="453"/>
      <c r="Q61" s="456">
        <f>SUM(Q38:R52)</f>
        <v>11</v>
      </c>
      <c r="R61" s="457"/>
      <c r="S61" s="460">
        <f>SUM(S38:T52)</f>
        <v>28</v>
      </c>
      <c r="T61" s="453"/>
      <c r="U61" s="456">
        <f>SUM(U38:V52)</f>
        <v>29</v>
      </c>
      <c r="V61" s="462"/>
      <c r="W61" s="464">
        <f>SUM(K61:V62)</f>
        <v>101</v>
      </c>
      <c r="X61" s="462"/>
      <c r="Y61" s="371">
        <f>SUM(Y38:Y53)</f>
        <v>80</v>
      </c>
      <c r="AC61" s="171"/>
    </row>
    <row r="62" spans="2:29" ht="17.25" thickBot="1">
      <c r="B62" s="465"/>
      <c r="C62" s="461"/>
      <c r="D62" s="461"/>
      <c r="E62" s="461"/>
      <c r="F62" s="461"/>
      <c r="G62" s="463"/>
      <c r="H62" s="467"/>
      <c r="I62" s="469"/>
      <c r="J62" s="471"/>
      <c r="K62" s="465"/>
      <c r="L62" s="455"/>
      <c r="M62" s="458"/>
      <c r="N62" s="461"/>
      <c r="O62" s="454"/>
      <c r="P62" s="455"/>
      <c r="Q62" s="458"/>
      <c r="R62" s="459"/>
      <c r="S62" s="461"/>
      <c r="T62" s="455"/>
      <c r="U62" s="458"/>
      <c r="V62" s="463"/>
      <c r="W62" s="465"/>
      <c r="X62" s="463"/>
      <c r="Y62" s="373"/>
      <c r="AC62" s="93"/>
    </row>
    <row r="63" spans="2:29" ht="17.25" customHeight="1" thickBot="1">
      <c r="B63" s="344"/>
      <c r="C63" s="345"/>
      <c r="D63" s="345"/>
      <c r="E63" s="345"/>
      <c r="F63" s="345"/>
      <c r="G63" s="346"/>
      <c r="H63" s="173">
        <f>SUM(H37,H61)</f>
        <v>51</v>
      </c>
      <c r="I63" s="168">
        <f>SUM(I37,I61)</f>
        <v>0</v>
      </c>
      <c r="J63" s="169">
        <f>SUM(J37,J61)</f>
        <v>119</v>
      </c>
      <c r="K63" s="344">
        <f>SUM(K37,K61)</f>
        <v>29</v>
      </c>
      <c r="L63" s="352"/>
      <c r="M63" s="349">
        <f>SUM(M37,M61)</f>
        <v>29</v>
      </c>
      <c r="N63" s="490"/>
      <c r="O63" s="491">
        <f>SUM(O37,O61)</f>
        <v>29</v>
      </c>
      <c r="P63" s="352"/>
      <c r="Q63" s="349">
        <f>SUM(Q37,Q61)</f>
        <v>29</v>
      </c>
      <c r="R63" s="490"/>
      <c r="S63" s="491">
        <f>SUM(S37,S61)</f>
        <v>29</v>
      </c>
      <c r="T63" s="352"/>
      <c r="U63" s="349">
        <f>SUM(U37,U61)</f>
        <v>29</v>
      </c>
      <c r="V63" s="346"/>
      <c r="W63" s="344">
        <f>SUM(K63:V63)</f>
        <v>174</v>
      </c>
      <c r="X63" s="346"/>
      <c r="Y63" s="11">
        <f>Y61+Y37</f>
        <v>144</v>
      </c>
      <c r="AA63" s="334" t="s">
        <v>159</v>
      </c>
      <c r="AB63" s="334"/>
    </row>
    <row r="64" spans="2:29" ht="18.75" customHeight="1" thickBot="1">
      <c r="B64" s="473" t="s">
        <v>372</v>
      </c>
      <c r="C64" s="474"/>
      <c r="D64" s="474"/>
      <c r="E64" s="475"/>
      <c r="F64" s="482" t="s">
        <v>368</v>
      </c>
      <c r="G64" s="483"/>
      <c r="H64" s="483"/>
      <c r="I64" s="483"/>
      <c r="J64" s="484"/>
      <c r="K64" s="485">
        <v>16</v>
      </c>
      <c r="L64" s="486"/>
      <c r="M64" s="487">
        <v>16</v>
      </c>
      <c r="N64" s="488"/>
      <c r="O64" s="489">
        <v>16</v>
      </c>
      <c r="P64" s="486"/>
      <c r="Q64" s="487">
        <v>16</v>
      </c>
      <c r="R64" s="488"/>
      <c r="S64" s="489">
        <v>16</v>
      </c>
      <c r="T64" s="486"/>
      <c r="U64" s="487">
        <v>16</v>
      </c>
      <c r="V64" s="501"/>
      <c r="W64" s="473">
        <f>SUM(K64:V66)</f>
        <v>288</v>
      </c>
      <c r="X64" s="475"/>
      <c r="Y64" s="371">
        <f>Y67*16</f>
        <v>288</v>
      </c>
      <c r="AA64" s="472"/>
      <c r="AB64" s="472"/>
    </row>
    <row r="65" spans="2:28" ht="17.25" customHeight="1" thickBot="1">
      <c r="B65" s="476"/>
      <c r="C65" s="477"/>
      <c r="D65" s="477"/>
      <c r="E65" s="478"/>
      <c r="F65" s="492" t="s">
        <v>63</v>
      </c>
      <c r="G65" s="493"/>
      <c r="H65" s="493"/>
      <c r="I65" s="493"/>
      <c r="J65" s="494"/>
      <c r="K65" s="495">
        <v>16</v>
      </c>
      <c r="L65" s="496"/>
      <c r="M65" s="497">
        <v>16</v>
      </c>
      <c r="N65" s="498"/>
      <c r="O65" s="499">
        <v>16</v>
      </c>
      <c r="P65" s="496"/>
      <c r="Q65" s="497">
        <v>16</v>
      </c>
      <c r="R65" s="498"/>
      <c r="S65" s="499">
        <v>16</v>
      </c>
      <c r="T65" s="496"/>
      <c r="U65" s="497">
        <v>16</v>
      </c>
      <c r="V65" s="500"/>
      <c r="W65" s="476"/>
      <c r="X65" s="478"/>
      <c r="Y65" s="372"/>
      <c r="AA65" s="354" t="b">
        <f>W63&gt;=Y63</f>
        <v>1</v>
      </c>
      <c r="AB65" s="355"/>
    </row>
    <row r="66" spans="2:28" ht="17.25" customHeight="1">
      <c r="B66" s="476"/>
      <c r="C66" s="477"/>
      <c r="D66" s="477"/>
      <c r="E66" s="478"/>
      <c r="F66" s="492" t="s">
        <v>11</v>
      </c>
      <c r="G66" s="493"/>
      <c r="H66" s="493"/>
      <c r="I66" s="493"/>
      <c r="J66" s="494"/>
      <c r="K66" s="495">
        <v>16</v>
      </c>
      <c r="L66" s="496"/>
      <c r="M66" s="497">
        <v>16</v>
      </c>
      <c r="N66" s="498"/>
      <c r="O66" s="499">
        <v>16</v>
      </c>
      <c r="P66" s="496"/>
      <c r="Q66" s="497">
        <v>16</v>
      </c>
      <c r="R66" s="498"/>
      <c r="S66" s="499">
        <v>16</v>
      </c>
      <c r="T66" s="496"/>
      <c r="U66" s="497">
        <v>16</v>
      </c>
      <c r="V66" s="500"/>
      <c r="W66" s="502"/>
      <c r="X66" s="503"/>
      <c r="Y66" s="504"/>
    </row>
    <row r="67" spans="2:28" ht="17.25" customHeight="1" thickBot="1">
      <c r="B67" s="479"/>
      <c r="C67" s="480"/>
      <c r="D67" s="480"/>
      <c r="E67" s="481"/>
      <c r="F67" s="507" t="s">
        <v>150</v>
      </c>
      <c r="G67" s="509"/>
      <c r="H67" s="509"/>
      <c r="I67" s="509"/>
      <c r="J67" s="508"/>
      <c r="K67" s="510">
        <v>3</v>
      </c>
      <c r="L67" s="511"/>
      <c r="M67" s="505">
        <v>3</v>
      </c>
      <c r="N67" s="512"/>
      <c r="O67" s="513">
        <v>3</v>
      </c>
      <c r="P67" s="511"/>
      <c r="Q67" s="505">
        <v>3</v>
      </c>
      <c r="R67" s="512"/>
      <c r="S67" s="513">
        <v>3</v>
      </c>
      <c r="T67" s="511"/>
      <c r="U67" s="505">
        <v>3</v>
      </c>
      <c r="V67" s="506"/>
      <c r="W67" s="507">
        <f>SUM(K67:V67)</f>
        <v>18</v>
      </c>
      <c r="X67" s="508"/>
      <c r="Y67" s="95">
        <v>18</v>
      </c>
      <c r="AA67" s="334" t="s">
        <v>160</v>
      </c>
      <c r="AB67" s="334"/>
    </row>
    <row r="68" spans="2:28" ht="17.25" customHeight="1" thickBot="1">
      <c r="B68" s="344"/>
      <c r="C68" s="345"/>
      <c r="D68" s="345"/>
      <c r="E68" s="345"/>
      <c r="F68" s="345"/>
      <c r="G68" s="345"/>
      <c r="H68" s="345"/>
      <c r="I68" s="345"/>
      <c r="J68" s="346"/>
      <c r="K68" s="344">
        <v>32</v>
      </c>
      <c r="L68" s="352"/>
      <c r="M68" s="349">
        <v>32</v>
      </c>
      <c r="N68" s="490"/>
      <c r="O68" s="491">
        <v>32</v>
      </c>
      <c r="P68" s="352"/>
      <c r="Q68" s="349">
        <v>32</v>
      </c>
      <c r="R68" s="490"/>
      <c r="S68" s="491">
        <v>32</v>
      </c>
      <c r="T68" s="352"/>
      <c r="U68" s="349">
        <v>32</v>
      </c>
      <c r="V68" s="346"/>
      <c r="W68" s="344">
        <f>SUM(K68:V68)</f>
        <v>192</v>
      </c>
      <c r="X68" s="346"/>
      <c r="Y68" s="58">
        <f>W68</f>
        <v>192</v>
      </c>
      <c r="AA68" s="354" t="b">
        <f>W67&gt;=Y67</f>
        <v>1</v>
      </c>
      <c r="AB68" s="355"/>
    </row>
    <row r="69" spans="2:28" ht="17.25" customHeight="1" thickBot="1">
      <c r="B69" s="344"/>
      <c r="C69" s="345"/>
      <c r="D69" s="345"/>
      <c r="E69" s="345"/>
      <c r="F69" s="345"/>
      <c r="G69" s="345"/>
      <c r="H69" s="345"/>
      <c r="I69" s="345"/>
      <c r="J69" s="346"/>
      <c r="K69" s="344">
        <f>SUM(K68:N68)</f>
        <v>64</v>
      </c>
      <c r="L69" s="345"/>
      <c r="M69" s="345"/>
      <c r="N69" s="490"/>
      <c r="O69" s="491">
        <f>SUM(O68:R68)</f>
        <v>64</v>
      </c>
      <c r="P69" s="345"/>
      <c r="Q69" s="345"/>
      <c r="R69" s="490"/>
      <c r="S69" s="491">
        <f>SUM(S68:V68)</f>
        <v>64</v>
      </c>
      <c r="T69" s="345"/>
      <c r="U69" s="345"/>
      <c r="V69" s="346"/>
      <c r="W69" s="344">
        <f>SUM(K69:V69)</f>
        <v>192</v>
      </c>
      <c r="X69" s="346"/>
      <c r="Y69" s="11"/>
      <c r="AA69" s="334" t="s">
        <v>154</v>
      </c>
      <c r="AB69" s="334"/>
    </row>
    <row r="70" spans="2:28" ht="17.25" customHeight="1" thickBot="1">
      <c r="AA70" s="354" t="b">
        <f>W68&gt;=Y68</f>
        <v>1</v>
      </c>
      <c r="AB70" s="355"/>
    </row>
    <row r="71" spans="2:28" ht="17.25" customHeight="1"/>
    <row r="72" spans="2:28" ht="17.25" customHeight="1"/>
    <row r="73" spans="2:28" ht="17.25" customHeight="1"/>
    <row r="75" spans="2:28" ht="24.95" customHeight="1"/>
    <row r="76" spans="2:28" ht="24.95" customHeight="1"/>
    <row r="77" spans="2:28" ht="32.25" customHeight="1"/>
    <row r="78" spans="2:28" ht="24.95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08">
    <mergeCell ref="AA70:AB70"/>
    <mergeCell ref="W68:X68"/>
    <mergeCell ref="AA68:AB68"/>
    <mergeCell ref="B69:J69"/>
    <mergeCell ref="K69:N69"/>
    <mergeCell ref="O69:R69"/>
    <mergeCell ref="S69:V69"/>
    <mergeCell ref="W69:X69"/>
    <mergeCell ref="AA69:AB69"/>
    <mergeCell ref="U67:V67"/>
    <mergeCell ref="W67:X67"/>
    <mergeCell ref="AA67:AB67"/>
    <mergeCell ref="B68:J68"/>
    <mergeCell ref="K68:L68"/>
    <mergeCell ref="M68:N68"/>
    <mergeCell ref="O68:P68"/>
    <mergeCell ref="Q68:R68"/>
    <mergeCell ref="S68:T68"/>
    <mergeCell ref="U68:V68"/>
    <mergeCell ref="F67:J67"/>
    <mergeCell ref="K67:L67"/>
    <mergeCell ref="M67:N67"/>
    <mergeCell ref="O67:P67"/>
    <mergeCell ref="Q67:R67"/>
    <mergeCell ref="S67:T67"/>
    <mergeCell ref="U64:V64"/>
    <mergeCell ref="W64:X66"/>
    <mergeCell ref="Y64:Y66"/>
    <mergeCell ref="F65:J65"/>
    <mergeCell ref="K65:L65"/>
    <mergeCell ref="M65:N65"/>
    <mergeCell ref="O65:P65"/>
    <mergeCell ref="Q65:R65"/>
    <mergeCell ref="S65:T65"/>
    <mergeCell ref="U65:V65"/>
    <mergeCell ref="U63:V63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B63:G63"/>
    <mergeCell ref="K63:L63"/>
    <mergeCell ref="M63:N63"/>
    <mergeCell ref="O63:P63"/>
    <mergeCell ref="Q63:R63"/>
    <mergeCell ref="S63:T63"/>
    <mergeCell ref="AA65:AB65"/>
    <mergeCell ref="F66:J66"/>
    <mergeCell ref="K66:L66"/>
    <mergeCell ref="M66:N66"/>
    <mergeCell ref="O66:P66"/>
    <mergeCell ref="Q66:R66"/>
    <mergeCell ref="S66:T66"/>
    <mergeCell ref="U66:V66"/>
    <mergeCell ref="O61:P62"/>
    <mergeCell ref="Q61:R62"/>
    <mergeCell ref="S61:T62"/>
    <mergeCell ref="U61:V62"/>
    <mergeCell ref="W61:X62"/>
    <mergeCell ref="Y61:Y62"/>
    <mergeCell ref="B61:G62"/>
    <mergeCell ref="H61:H62"/>
    <mergeCell ref="I61:I62"/>
    <mergeCell ref="J61:J62"/>
    <mergeCell ref="K61:L62"/>
    <mergeCell ref="M61:N62"/>
    <mergeCell ref="W57:X60"/>
    <mergeCell ref="Y57:Y60"/>
    <mergeCell ref="F58:G58"/>
    <mergeCell ref="F59:G59"/>
    <mergeCell ref="F60:G60"/>
    <mergeCell ref="B57:C60"/>
    <mergeCell ref="F57:G57"/>
    <mergeCell ref="I57:I60"/>
    <mergeCell ref="J57:J60"/>
    <mergeCell ref="K57:L60"/>
    <mergeCell ref="M57:N60"/>
    <mergeCell ref="F55:G55"/>
    <mergeCell ref="K55:L55"/>
    <mergeCell ref="M55:N55"/>
    <mergeCell ref="O55:P55"/>
    <mergeCell ref="Q55:R55"/>
    <mergeCell ref="S55:T55"/>
    <mergeCell ref="U55:V55"/>
    <mergeCell ref="F56:G56"/>
    <mergeCell ref="O57:R60"/>
    <mergeCell ref="S57:T60"/>
    <mergeCell ref="U57:V60"/>
    <mergeCell ref="S50:T50"/>
    <mergeCell ref="U50:V50"/>
    <mergeCell ref="W53:X53"/>
    <mergeCell ref="K53:L53"/>
    <mergeCell ref="M53:N53"/>
    <mergeCell ref="O53:P53"/>
    <mergeCell ref="Q53:R53"/>
    <mergeCell ref="S53:T53"/>
    <mergeCell ref="C54:C56"/>
    <mergeCell ref="F54:G54"/>
    <mergeCell ref="I54:I56"/>
    <mergeCell ref="K54:L54"/>
    <mergeCell ref="M54:N54"/>
    <mergeCell ref="O54:P54"/>
    <mergeCell ref="Q54:R54"/>
    <mergeCell ref="S54:T54"/>
    <mergeCell ref="K56:L56"/>
    <mergeCell ref="M56:N56"/>
    <mergeCell ref="O56:P56"/>
    <mergeCell ref="Q56:R56"/>
    <mergeCell ref="S56:T56"/>
    <mergeCell ref="U56:V56"/>
    <mergeCell ref="U54:V54"/>
    <mergeCell ref="W54:X56"/>
    <mergeCell ref="W50:X52"/>
    <mergeCell ref="M51:N51"/>
    <mergeCell ref="O51:P51"/>
    <mergeCell ref="Q51:R51"/>
    <mergeCell ref="S51:T51"/>
    <mergeCell ref="B50:B56"/>
    <mergeCell ref="C50:C52"/>
    <mergeCell ref="F50:G50"/>
    <mergeCell ref="I50:I52"/>
    <mergeCell ref="J50:J56"/>
    <mergeCell ref="K50:L50"/>
    <mergeCell ref="F51:G51"/>
    <mergeCell ref="K51:L51"/>
    <mergeCell ref="U51:V51"/>
    <mergeCell ref="F52:G52"/>
    <mergeCell ref="K52:L52"/>
    <mergeCell ref="M52:N52"/>
    <mergeCell ref="O52:P52"/>
    <mergeCell ref="Q52:R52"/>
    <mergeCell ref="S52:T52"/>
    <mergeCell ref="U52:V52"/>
    <mergeCell ref="M50:N50"/>
    <mergeCell ref="O50:P50"/>
    <mergeCell ref="Q50:R50"/>
    <mergeCell ref="S48:T48"/>
    <mergeCell ref="U48:V49"/>
    <mergeCell ref="W48:X49"/>
    <mergeCell ref="F49:G49"/>
    <mergeCell ref="K49:L49"/>
    <mergeCell ref="M49:N49"/>
    <mergeCell ref="S49:T49"/>
    <mergeCell ref="U47:V47"/>
    <mergeCell ref="W47:X47"/>
    <mergeCell ref="S47:T47"/>
    <mergeCell ref="B48:B49"/>
    <mergeCell ref="F48:G48"/>
    <mergeCell ref="I48:I49"/>
    <mergeCell ref="J48:J49"/>
    <mergeCell ref="K48:L48"/>
    <mergeCell ref="M48:N48"/>
    <mergeCell ref="O48:P49"/>
    <mergeCell ref="Q48:R49"/>
    <mergeCell ref="F47:G47"/>
    <mergeCell ref="K47:L47"/>
    <mergeCell ref="M47:N47"/>
    <mergeCell ref="O47:P47"/>
    <mergeCell ref="Q47:R47"/>
    <mergeCell ref="U45:V45"/>
    <mergeCell ref="W45:X45"/>
    <mergeCell ref="F46:G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O40:P40"/>
    <mergeCell ref="Q40:R40"/>
    <mergeCell ref="S40:T40"/>
    <mergeCell ref="U40:V40"/>
    <mergeCell ref="W40:X40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F41:G41"/>
    <mergeCell ref="K41:L41"/>
    <mergeCell ref="M41:N41"/>
    <mergeCell ref="O41:P41"/>
    <mergeCell ref="Q41:R41"/>
    <mergeCell ref="S41:T41"/>
    <mergeCell ref="W37:X37"/>
    <mergeCell ref="AA37:AB37"/>
    <mergeCell ref="B38:C47"/>
    <mergeCell ref="D38:E38"/>
    <mergeCell ref="F38:G38"/>
    <mergeCell ref="K38:L38"/>
    <mergeCell ref="M38:N38"/>
    <mergeCell ref="O38:P38"/>
    <mergeCell ref="Q38:R38"/>
    <mergeCell ref="S38:T38"/>
    <mergeCell ref="U38:V38"/>
    <mergeCell ref="W38:X38"/>
    <mergeCell ref="Y38:Y56"/>
    <mergeCell ref="F39:G39"/>
    <mergeCell ref="K39:L39"/>
    <mergeCell ref="M39:N39"/>
    <mergeCell ref="O39:P39"/>
    <mergeCell ref="Q39:R39"/>
    <mergeCell ref="S39:T39"/>
    <mergeCell ref="U39:V39"/>
    <mergeCell ref="W39:X39"/>
    <mergeCell ref="F40:G40"/>
    <mergeCell ref="K40:L40"/>
    <mergeCell ref="M40:N40"/>
    <mergeCell ref="B37:G37"/>
    <mergeCell ref="K37:L37"/>
    <mergeCell ref="M37:N37"/>
    <mergeCell ref="O37:P37"/>
    <mergeCell ref="Q37:R37"/>
    <mergeCell ref="S37:T37"/>
    <mergeCell ref="U37:V37"/>
    <mergeCell ref="F36:G36"/>
    <mergeCell ref="K36:L36"/>
    <mergeCell ref="M36:N36"/>
    <mergeCell ref="O36:P36"/>
    <mergeCell ref="Q36:R36"/>
    <mergeCell ref="S36:T36"/>
    <mergeCell ref="W34:X36"/>
    <mergeCell ref="Y34:Y36"/>
    <mergeCell ref="F35:G35"/>
    <mergeCell ref="K35:L35"/>
    <mergeCell ref="M35:N35"/>
    <mergeCell ref="O35:P35"/>
    <mergeCell ref="Q35:R35"/>
    <mergeCell ref="S35:T35"/>
    <mergeCell ref="U35:V35"/>
    <mergeCell ref="U36:V36"/>
    <mergeCell ref="S32:T32"/>
    <mergeCell ref="U32:V32"/>
    <mergeCell ref="S30:T30"/>
    <mergeCell ref="U30:V30"/>
    <mergeCell ref="Q33:R33"/>
    <mergeCell ref="S33:T33"/>
    <mergeCell ref="U33:V33"/>
    <mergeCell ref="D34:D36"/>
    <mergeCell ref="F34:G34"/>
    <mergeCell ref="K34:L34"/>
    <mergeCell ref="M34:N34"/>
    <mergeCell ref="O34:P34"/>
    <mergeCell ref="Q34:R34"/>
    <mergeCell ref="S34:T34"/>
    <mergeCell ref="U34:V34"/>
    <mergeCell ref="W30:X33"/>
    <mergeCell ref="Y30:Y33"/>
    <mergeCell ref="F31:G31"/>
    <mergeCell ref="K31:L31"/>
    <mergeCell ref="M31:N31"/>
    <mergeCell ref="O31:P31"/>
    <mergeCell ref="Q31:R31"/>
    <mergeCell ref="S31:T31"/>
    <mergeCell ref="D30:D33"/>
    <mergeCell ref="F30:G30"/>
    <mergeCell ref="K30:L30"/>
    <mergeCell ref="M30:N30"/>
    <mergeCell ref="O30:P30"/>
    <mergeCell ref="Q30:R30"/>
    <mergeCell ref="F33:G33"/>
    <mergeCell ref="K33:L33"/>
    <mergeCell ref="M33:N33"/>
    <mergeCell ref="O33:P33"/>
    <mergeCell ref="U31:V31"/>
    <mergeCell ref="F32:G32"/>
    <mergeCell ref="K32:L32"/>
    <mergeCell ref="M32:N32"/>
    <mergeCell ref="O32:P32"/>
    <mergeCell ref="Q32:R32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Q24:R24"/>
    <mergeCell ref="S24:T24"/>
    <mergeCell ref="U24:V24"/>
    <mergeCell ref="D23:D24"/>
    <mergeCell ref="F23:G23"/>
    <mergeCell ref="K23:L23"/>
    <mergeCell ref="M23:N23"/>
    <mergeCell ref="O23:P23"/>
    <mergeCell ref="Q23:R23"/>
    <mergeCell ref="AA20:AB20"/>
    <mergeCell ref="F21:G21"/>
    <mergeCell ref="K21:L21"/>
    <mergeCell ref="M21:N21"/>
    <mergeCell ref="O21:P21"/>
    <mergeCell ref="Q21:R21"/>
    <mergeCell ref="S21:T21"/>
    <mergeCell ref="U21:V21"/>
    <mergeCell ref="X21:X22"/>
    <mergeCell ref="Y21:Y24"/>
    <mergeCell ref="F22:G22"/>
    <mergeCell ref="K22:L22"/>
    <mergeCell ref="M22:N22"/>
    <mergeCell ref="O22:P22"/>
    <mergeCell ref="Q22:R22"/>
    <mergeCell ref="S22:T22"/>
    <mergeCell ref="U22:V22"/>
    <mergeCell ref="S23:T23"/>
    <mergeCell ref="U23:V23"/>
    <mergeCell ref="X23:X24"/>
    <mergeCell ref="F24:G24"/>
    <mergeCell ref="K24:L24"/>
    <mergeCell ref="M24:N24"/>
    <mergeCell ref="O24:P24"/>
    <mergeCell ref="X19:X20"/>
    <mergeCell ref="Y19:Y20"/>
    <mergeCell ref="F20:G20"/>
    <mergeCell ref="K20:L20"/>
    <mergeCell ref="M20:N20"/>
    <mergeCell ref="O20:P20"/>
    <mergeCell ref="Q20:R20"/>
    <mergeCell ref="S20:T20"/>
    <mergeCell ref="U20:V20"/>
    <mergeCell ref="D19:D22"/>
    <mergeCell ref="F19:G19"/>
    <mergeCell ref="K19:L19"/>
    <mergeCell ref="M19:N19"/>
    <mergeCell ref="O19:P19"/>
    <mergeCell ref="Q19:R19"/>
    <mergeCell ref="U17:V17"/>
    <mergeCell ref="F18:G18"/>
    <mergeCell ref="K18:L18"/>
    <mergeCell ref="M18:N18"/>
    <mergeCell ref="O18:P18"/>
    <mergeCell ref="Q18:R18"/>
    <mergeCell ref="S18:T18"/>
    <mergeCell ref="U18:V18"/>
    <mergeCell ref="F17:G17"/>
    <mergeCell ref="K17:L17"/>
    <mergeCell ref="M17:N17"/>
    <mergeCell ref="O17:P17"/>
    <mergeCell ref="Q17:R17"/>
    <mergeCell ref="S17:T17"/>
    <mergeCell ref="S19:T19"/>
    <mergeCell ref="U19:V19"/>
    <mergeCell ref="AB14:AD14"/>
    <mergeCell ref="D15:D18"/>
    <mergeCell ref="F15:G15"/>
    <mergeCell ref="K15:L15"/>
    <mergeCell ref="M15:N15"/>
    <mergeCell ref="O15:P15"/>
    <mergeCell ref="Q15:R15"/>
    <mergeCell ref="D12:D14"/>
    <mergeCell ref="S15:T15"/>
    <mergeCell ref="U15:V15"/>
    <mergeCell ref="X15:X18"/>
    <mergeCell ref="F16:G16"/>
    <mergeCell ref="K16:L16"/>
    <mergeCell ref="M16:N16"/>
    <mergeCell ref="O16:P16"/>
    <mergeCell ref="Q16:R16"/>
    <mergeCell ref="S16:T16"/>
    <mergeCell ref="U16:V16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8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U53:V53"/>
    <mergeCell ref="F53:G53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O11:P11"/>
    <mergeCell ref="Q11:R11"/>
  </mergeCells>
  <phoneticPr fontId="9" type="noConversion"/>
  <conditionalFormatting sqref="AA37:AB37 AC56 AC60 AC62 AA65:AB65 AA68:AB68 AA70:AB70">
    <cfRule type="containsText" dxfId="2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12" scale="48" orientation="landscape" cellComments="asDisplayed" r:id="rId1"/>
  <rowBreaks count="1" manualBreakCount="1">
    <brk id="6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4D69720-BF4F-4BE1-8298-91B733E21742}">
          <x14:formula1>
            <xm:f>'C:\Users\User\Desktop\[2022학년도 직업계 고등학교 교육과정 편제표_특성화고(정선정보공고_0820).xlsx]삭제금지'!#REF!</xm:f>
          </x14:formula1>
          <xm:sqref>D57:D59</xm:sqref>
        </x14:dataValidation>
        <x14:dataValidation type="list" allowBlank="1" showInputMessage="1" showErrorMessage="1" xr:uid="{9C25D96C-B6E1-4B0C-BCFD-A644AB420B2E}">
          <x14:formula1>
            <xm:f>삭제금지!$H$2:$H$18</xm:f>
          </x14:formula1>
          <xm:sqref>B5</xm:sqref>
        </x14:dataValidation>
        <x14:dataValidation type="list" allowBlank="1" showInputMessage="1" showErrorMessage="1" xr:uid="{82DF481C-88A4-4EA4-ADFE-2F8BC833F717}">
          <x14:formula1>
            <xm:f>삭제금지!$L$2:$L$4</xm:f>
          </x14:formula1>
          <xm:sqref>T5:V5</xm:sqref>
        </x14:dataValidation>
        <x14:dataValidation type="list" allowBlank="1" showInputMessage="1" showErrorMessage="1" xr:uid="{BEF685E8-CF29-4DF5-BAE9-2B58137D5A35}">
          <x14:formula1>
            <xm:f>삭제금지!$K$2:$K$59</xm:f>
          </x14:formula1>
          <xm:sqref>K5:O5</xm:sqref>
        </x14:dataValidation>
        <x14:dataValidation type="list" allowBlank="1" showInputMessage="1" showErrorMessage="1" xr:uid="{9BA11597-1984-4522-97C2-A907DDAE66B1}">
          <x14:formula1>
            <xm:f>삭제금지!$I$2:$I$18</xm:f>
          </x14:formula1>
          <xm:sqref>F5:G5</xm:sqref>
        </x14:dataValidation>
        <x14:dataValidation type="list" allowBlank="1" showInputMessage="1" showErrorMessage="1" xr:uid="{3516ED67-21B3-47C7-BA8A-DA05C64D7B27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0070-47E2-4D73-8427-CC53DE0D84DB}">
  <sheetPr>
    <pageSetUpPr fitToPage="1"/>
  </sheetPr>
  <dimension ref="B1:AD100"/>
  <sheetViews>
    <sheetView view="pageBreakPreview" zoomScaleNormal="100" zoomScaleSheetLayoutView="100" workbookViewId="0">
      <pane ySplit="8" topLeftCell="A36" activePane="bottomLeft" state="frozen"/>
      <selection pane="bottomLeft" activeCell="B62" sqref="B62:E65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36" t="s">
        <v>719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7"/>
      <c r="V2" s="238" t="s">
        <v>130</v>
      </c>
      <c r="W2" s="239"/>
      <c r="X2" s="240">
        <v>2027</v>
      </c>
      <c r="Y2" s="241"/>
      <c r="AA2" s="242" t="s">
        <v>144</v>
      </c>
      <c r="AB2" s="19" t="s">
        <v>145</v>
      </c>
      <c r="AC2" s="54" t="s">
        <v>153</v>
      </c>
      <c r="AD2" s="20" t="s">
        <v>146</v>
      </c>
    </row>
    <row r="3" spans="2:30" ht="17.25" thickBot="1">
      <c r="B3" s="245" t="s">
        <v>369</v>
      </c>
      <c r="C3" s="247" t="s">
        <v>53</v>
      </c>
      <c r="D3" s="248"/>
      <c r="E3" s="248"/>
      <c r="F3" s="247" t="s">
        <v>64</v>
      </c>
      <c r="G3" s="251"/>
      <c r="H3" s="247" t="s">
        <v>54</v>
      </c>
      <c r="I3" s="248"/>
      <c r="J3" s="248"/>
      <c r="K3" s="247" t="s">
        <v>55</v>
      </c>
      <c r="L3" s="248"/>
      <c r="M3" s="248"/>
      <c r="N3" s="248"/>
      <c r="O3" s="251"/>
      <c r="P3" s="253" t="s">
        <v>56</v>
      </c>
      <c r="Q3" s="254"/>
      <c r="R3" s="254"/>
      <c r="S3" s="254"/>
      <c r="T3" s="254"/>
      <c r="U3" s="254"/>
      <c r="V3" s="254"/>
      <c r="W3" s="254"/>
      <c r="X3" s="254"/>
      <c r="Y3" s="255"/>
      <c r="AA3" s="243"/>
      <c r="AB3" s="21" t="s">
        <v>147</v>
      </c>
      <c r="AC3" s="59" t="s">
        <v>524</v>
      </c>
      <c r="AD3" s="22" t="s">
        <v>527</v>
      </c>
    </row>
    <row r="4" spans="2:30" ht="17.25" thickBot="1">
      <c r="B4" s="246"/>
      <c r="C4" s="249"/>
      <c r="D4" s="250"/>
      <c r="E4" s="250"/>
      <c r="F4" s="249"/>
      <c r="G4" s="252"/>
      <c r="H4" s="249"/>
      <c r="I4" s="250"/>
      <c r="J4" s="250"/>
      <c r="K4" s="249"/>
      <c r="L4" s="250"/>
      <c r="M4" s="250"/>
      <c r="N4" s="250"/>
      <c r="O4" s="252"/>
      <c r="P4" s="253" t="s">
        <v>127</v>
      </c>
      <c r="Q4" s="254"/>
      <c r="R4" s="254"/>
      <c r="S4" s="254"/>
      <c r="T4" s="253" t="s">
        <v>61</v>
      </c>
      <c r="U4" s="254"/>
      <c r="V4" s="255"/>
      <c r="W4" s="254" t="s">
        <v>128</v>
      </c>
      <c r="X4" s="254"/>
      <c r="Y4" s="255"/>
      <c r="AA4" s="243"/>
      <c r="AB4" s="23" t="s">
        <v>148</v>
      </c>
      <c r="AC4" s="60" t="s">
        <v>525</v>
      </c>
      <c r="AD4" s="22" t="s">
        <v>526</v>
      </c>
    </row>
    <row r="5" spans="2:30" ht="26.25" customHeight="1" thickBot="1">
      <c r="B5" s="96" t="s">
        <v>519</v>
      </c>
      <c r="C5" s="256" t="s">
        <v>520</v>
      </c>
      <c r="D5" s="257"/>
      <c r="E5" s="258"/>
      <c r="F5" s="256" t="s">
        <v>158</v>
      </c>
      <c r="G5" s="259"/>
      <c r="H5" s="260" t="s">
        <v>551</v>
      </c>
      <c r="I5" s="257"/>
      <c r="J5" s="258"/>
      <c r="K5" s="256"/>
      <c r="L5" s="257"/>
      <c r="M5" s="257"/>
      <c r="N5" s="257"/>
      <c r="O5" s="259"/>
      <c r="P5" s="260" t="s">
        <v>552</v>
      </c>
      <c r="Q5" s="257"/>
      <c r="R5" s="257"/>
      <c r="S5" s="258"/>
      <c r="T5" s="256" t="s">
        <v>34</v>
      </c>
      <c r="U5" s="257"/>
      <c r="V5" s="258"/>
      <c r="W5" s="261" t="s">
        <v>553</v>
      </c>
      <c r="X5" s="262"/>
      <c r="Y5" s="263"/>
      <c r="AA5" s="244"/>
      <c r="AB5" s="24" t="s">
        <v>149</v>
      </c>
      <c r="AC5" s="61"/>
      <c r="AD5" s="175"/>
    </row>
    <row r="6" spans="2:30" ht="15.75" customHeight="1" thickBot="1">
      <c r="U6" s="268"/>
      <c r="V6" s="268"/>
      <c r="W6" s="268"/>
      <c r="X6" s="268"/>
      <c r="Y6" s="268"/>
    </row>
    <row r="7" spans="2:30" s="10" customFormat="1" ht="22.5" customHeight="1">
      <c r="B7" s="269" t="s">
        <v>2</v>
      </c>
      <c r="C7" s="270"/>
      <c r="D7" s="273" t="s">
        <v>120</v>
      </c>
      <c r="E7" s="275" t="s">
        <v>57</v>
      </c>
      <c r="F7" s="276"/>
      <c r="G7" s="277"/>
      <c r="H7" s="278" t="s">
        <v>134</v>
      </c>
      <c r="I7" s="280" t="s">
        <v>135</v>
      </c>
      <c r="J7" s="282" t="s">
        <v>136</v>
      </c>
      <c r="K7" s="284" t="s">
        <v>58</v>
      </c>
      <c r="L7" s="280"/>
      <c r="M7" s="280"/>
      <c r="N7" s="285"/>
      <c r="O7" s="286" t="s">
        <v>59</v>
      </c>
      <c r="P7" s="280"/>
      <c r="Q7" s="280"/>
      <c r="R7" s="285"/>
      <c r="S7" s="284" t="s">
        <v>60</v>
      </c>
      <c r="T7" s="280"/>
      <c r="U7" s="280"/>
      <c r="V7" s="287"/>
      <c r="W7" s="278" t="s">
        <v>137</v>
      </c>
      <c r="X7" s="282"/>
      <c r="Y7" s="277" t="s">
        <v>138</v>
      </c>
      <c r="Z7" s="9"/>
    </row>
    <row r="8" spans="2:30" s="10" customFormat="1" ht="22.5" customHeight="1" thickBot="1">
      <c r="B8" s="271"/>
      <c r="C8" s="272"/>
      <c r="D8" s="274"/>
      <c r="E8" s="25" t="s">
        <v>18</v>
      </c>
      <c r="F8" s="303" t="s">
        <v>19</v>
      </c>
      <c r="G8" s="304"/>
      <c r="H8" s="279"/>
      <c r="I8" s="281"/>
      <c r="J8" s="283"/>
      <c r="K8" s="305" t="s">
        <v>0</v>
      </c>
      <c r="L8" s="281"/>
      <c r="M8" s="281" t="s">
        <v>62</v>
      </c>
      <c r="N8" s="306"/>
      <c r="O8" s="307" t="s">
        <v>0</v>
      </c>
      <c r="P8" s="281"/>
      <c r="Q8" s="281" t="s">
        <v>62</v>
      </c>
      <c r="R8" s="306"/>
      <c r="S8" s="305" t="s">
        <v>0</v>
      </c>
      <c r="T8" s="281"/>
      <c r="U8" s="281" t="s">
        <v>62</v>
      </c>
      <c r="V8" s="308"/>
      <c r="W8" s="279"/>
      <c r="X8" s="283"/>
      <c r="Y8" s="302"/>
      <c r="AA8" s="291" t="s">
        <v>508</v>
      </c>
      <c r="AB8" s="291"/>
      <c r="AC8" s="291"/>
      <c r="AD8" s="291"/>
    </row>
    <row r="9" spans="2:30" ht="16.5" customHeight="1" thickBot="1">
      <c r="B9" s="292" t="s">
        <v>347</v>
      </c>
      <c r="C9" s="293"/>
      <c r="D9" s="298" t="s">
        <v>21</v>
      </c>
      <c r="E9" s="62" t="s">
        <v>12</v>
      </c>
      <c r="F9" s="288" t="s">
        <v>211</v>
      </c>
      <c r="G9" s="233"/>
      <c r="H9" s="63">
        <v>4</v>
      </c>
      <c r="I9" s="64" t="s">
        <v>348</v>
      </c>
      <c r="J9" s="65">
        <v>3</v>
      </c>
      <c r="K9" s="288">
        <v>3</v>
      </c>
      <c r="L9" s="289"/>
      <c r="M9" s="232"/>
      <c r="N9" s="290"/>
      <c r="O9" s="301"/>
      <c r="P9" s="289"/>
      <c r="Q9" s="232"/>
      <c r="R9" s="290"/>
      <c r="S9" s="301"/>
      <c r="T9" s="289"/>
      <c r="U9" s="232"/>
      <c r="V9" s="233"/>
      <c r="W9" s="66">
        <f>SUM(K9:V9)</f>
        <v>3</v>
      </c>
      <c r="X9" s="311">
        <f>SUM(W9:W11)</f>
        <v>9</v>
      </c>
      <c r="Y9" s="313">
        <v>24</v>
      </c>
      <c r="AA9" s="157" t="s">
        <v>18</v>
      </c>
      <c r="AB9" s="158" t="s">
        <v>514</v>
      </c>
      <c r="AC9" s="158" t="s">
        <v>515</v>
      </c>
      <c r="AD9" s="159" t="s">
        <v>516</v>
      </c>
    </row>
    <row r="10" spans="2:30" ht="17.25" thickBot="1">
      <c r="B10" s="294"/>
      <c r="C10" s="295"/>
      <c r="D10" s="299"/>
      <c r="E10" s="67" t="s">
        <v>12</v>
      </c>
      <c r="F10" s="314" t="s">
        <v>212</v>
      </c>
      <c r="G10" s="315"/>
      <c r="H10" s="68">
        <v>4</v>
      </c>
      <c r="I10" s="69" t="s">
        <v>348</v>
      </c>
      <c r="J10" s="70">
        <v>3</v>
      </c>
      <c r="K10" s="314"/>
      <c r="L10" s="316"/>
      <c r="M10" s="317">
        <v>3</v>
      </c>
      <c r="N10" s="318"/>
      <c r="O10" s="319"/>
      <c r="P10" s="316"/>
      <c r="Q10" s="317"/>
      <c r="R10" s="318"/>
      <c r="S10" s="319"/>
      <c r="T10" s="316"/>
      <c r="U10" s="317"/>
      <c r="V10" s="315"/>
      <c r="W10" s="71">
        <f t="shared" ref="W10:W24" si="0">SUM(K10:V10)</f>
        <v>3</v>
      </c>
      <c r="X10" s="312"/>
      <c r="Y10" s="313"/>
      <c r="AA10" s="160" t="s">
        <v>509</v>
      </c>
      <c r="AB10" s="161">
        <v>4</v>
      </c>
      <c r="AC10" s="161">
        <v>-1</v>
      </c>
      <c r="AD10" s="22" t="s">
        <v>348</v>
      </c>
    </row>
    <row r="11" spans="2:30" ht="17.25" thickBot="1">
      <c r="B11" s="294"/>
      <c r="C11" s="295"/>
      <c r="D11" s="300"/>
      <c r="E11" s="72" t="s">
        <v>349</v>
      </c>
      <c r="F11" s="309" t="s">
        <v>350</v>
      </c>
      <c r="G11" s="310"/>
      <c r="H11" s="73">
        <v>4</v>
      </c>
      <c r="I11" s="74" t="s">
        <v>351</v>
      </c>
      <c r="J11" s="75">
        <v>3</v>
      </c>
      <c r="K11" s="309"/>
      <c r="L11" s="265"/>
      <c r="M11" s="266"/>
      <c r="N11" s="267"/>
      <c r="O11" s="264"/>
      <c r="P11" s="265"/>
      <c r="Q11" s="266">
        <v>3</v>
      </c>
      <c r="R11" s="267"/>
      <c r="S11" s="264"/>
      <c r="T11" s="265"/>
      <c r="U11" s="266"/>
      <c r="V11" s="310"/>
      <c r="W11" s="71">
        <f t="shared" si="0"/>
        <v>3</v>
      </c>
      <c r="X11" s="312"/>
      <c r="Y11" s="313"/>
      <c r="AA11" s="160" t="s">
        <v>510</v>
      </c>
      <c r="AB11" s="161">
        <v>3</v>
      </c>
      <c r="AC11" s="161"/>
      <c r="AD11" s="22">
        <v>3</v>
      </c>
    </row>
    <row r="12" spans="2:30" ht="17.25" thickBot="1">
      <c r="B12" s="294"/>
      <c r="C12" s="295"/>
      <c r="D12" s="298" t="s">
        <v>5</v>
      </c>
      <c r="E12" s="62" t="s">
        <v>12</v>
      </c>
      <c r="F12" s="288" t="s">
        <v>223</v>
      </c>
      <c r="G12" s="233"/>
      <c r="H12" s="63">
        <v>4</v>
      </c>
      <c r="I12" s="64" t="s">
        <v>348</v>
      </c>
      <c r="J12" s="65">
        <v>3</v>
      </c>
      <c r="K12" s="288">
        <v>3</v>
      </c>
      <c r="L12" s="289"/>
      <c r="M12" s="232"/>
      <c r="N12" s="290"/>
      <c r="O12" s="301"/>
      <c r="P12" s="289"/>
      <c r="Q12" s="232"/>
      <c r="R12" s="290"/>
      <c r="S12" s="301"/>
      <c r="T12" s="289"/>
      <c r="U12" s="232"/>
      <c r="V12" s="233"/>
      <c r="W12" s="66">
        <f t="shared" si="0"/>
        <v>3</v>
      </c>
      <c r="X12" s="311">
        <f t="shared" ref="X12" si="1">SUM(W12:W14)</f>
        <v>9</v>
      </c>
      <c r="Y12" s="313"/>
      <c r="AA12" s="160" t="s">
        <v>511</v>
      </c>
      <c r="AB12" s="161">
        <v>4</v>
      </c>
      <c r="AC12" s="161" t="s">
        <v>517</v>
      </c>
      <c r="AD12" s="22" t="s">
        <v>351</v>
      </c>
    </row>
    <row r="13" spans="2:30" ht="17.25" thickBot="1">
      <c r="B13" s="294"/>
      <c r="C13" s="295"/>
      <c r="D13" s="299"/>
      <c r="E13" s="67" t="s">
        <v>12</v>
      </c>
      <c r="F13" s="314" t="s">
        <v>225</v>
      </c>
      <c r="G13" s="315"/>
      <c r="H13" s="68">
        <v>4</v>
      </c>
      <c r="I13" s="69" t="s">
        <v>348</v>
      </c>
      <c r="J13" s="70">
        <v>3</v>
      </c>
      <c r="K13" s="314"/>
      <c r="L13" s="316"/>
      <c r="M13" s="317">
        <v>3</v>
      </c>
      <c r="N13" s="318"/>
      <c r="O13" s="319"/>
      <c r="P13" s="316"/>
      <c r="Q13" s="317"/>
      <c r="R13" s="318"/>
      <c r="S13" s="319"/>
      <c r="T13" s="316"/>
      <c r="U13" s="317"/>
      <c r="V13" s="315"/>
      <c r="W13" s="71">
        <f t="shared" si="0"/>
        <v>3</v>
      </c>
      <c r="X13" s="312"/>
      <c r="Y13" s="313"/>
      <c r="AA13" s="160" t="s">
        <v>512</v>
      </c>
      <c r="AB13" s="161">
        <v>3</v>
      </c>
      <c r="AC13" s="161" t="s">
        <v>517</v>
      </c>
      <c r="AD13" s="22" t="s">
        <v>357</v>
      </c>
    </row>
    <row r="14" spans="2:30" ht="17.25" thickBot="1">
      <c r="B14" s="294"/>
      <c r="C14" s="295"/>
      <c r="D14" s="300"/>
      <c r="E14" s="72" t="s">
        <v>349</v>
      </c>
      <c r="F14" s="309" t="s">
        <v>352</v>
      </c>
      <c r="G14" s="310"/>
      <c r="H14" s="73">
        <v>4</v>
      </c>
      <c r="I14" s="74" t="s">
        <v>351</v>
      </c>
      <c r="J14" s="75">
        <v>3</v>
      </c>
      <c r="K14" s="309"/>
      <c r="L14" s="265"/>
      <c r="M14" s="266"/>
      <c r="N14" s="267"/>
      <c r="O14" s="264">
        <v>3</v>
      </c>
      <c r="P14" s="265"/>
      <c r="Q14" s="266"/>
      <c r="R14" s="267"/>
      <c r="S14" s="264"/>
      <c r="T14" s="265"/>
      <c r="U14" s="266"/>
      <c r="V14" s="310"/>
      <c r="W14" s="71">
        <f t="shared" si="0"/>
        <v>3</v>
      </c>
      <c r="X14" s="312"/>
      <c r="Y14" s="313"/>
      <c r="AA14" s="162" t="s">
        <v>513</v>
      </c>
      <c r="AB14" s="320" t="s">
        <v>518</v>
      </c>
      <c r="AC14" s="320"/>
      <c r="AD14" s="321"/>
    </row>
    <row r="15" spans="2:30" ht="17.25" thickBot="1">
      <c r="B15" s="294"/>
      <c r="C15" s="295"/>
      <c r="D15" s="298" t="s">
        <v>6</v>
      </c>
      <c r="E15" s="62" t="s">
        <v>12</v>
      </c>
      <c r="F15" s="288" t="s">
        <v>230</v>
      </c>
      <c r="G15" s="233"/>
      <c r="H15" s="63">
        <v>4</v>
      </c>
      <c r="I15" s="64" t="s">
        <v>348</v>
      </c>
      <c r="J15" s="65">
        <v>3</v>
      </c>
      <c r="K15" s="288">
        <v>3</v>
      </c>
      <c r="L15" s="289"/>
      <c r="M15" s="232"/>
      <c r="N15" s="290"/>
      <c r="O15" s="301"/>
      <c r="P15" s="289"/>
      <c r="Q15" s="232"/>
      <c r="R15" s="290"/>
      <c r="S15" s="301"/>
      <c r="T15" s="289"/>
      <c r="U15" s="232"/>
      <c r="V15" s="233"/>
      <c r="W15" s="66">
        <f t="shared" si="0"/>
        <v>3</v>
      </c>
      <c r="X15" s="311">
        <f t="shared" ref="X15" si="2">SUM(W15:W18)</f>
        <v>12</v>
      </c>
      <c r="Y15" s="313"/>
    </row>
    <row r="16" spans="2:30" ht="17.25" thickBot="1">
      <c r="B16" s="294"/>
      <c r="C16" s="295"/>
      <c r="D16" s="299"/>
      <c r="E16" s="67" t="s">
        <v>12</v>
      </c>
      <c r="F16" s="314" t="s">
        <v>236</v>
      </c>
      <c r="G16" s="315"/>
      <c r="H16" s="68">
        <v>4</v>
      </c>
      <c r="I16" s="69" t="s">
        <v>348</v>
      </c>
      <c r="J16" s="70">
        <v>3</v>
      </c>
      <c r="K16" s="314"/>
      <c r="L16" s="316"/>
      <c r="M16" s="317">
        <v>3</v>
      </c>
      <c r="N16" s="318"/>
      <c r="O16" s="319"/>
      <c r="P16" s="316"/>
      <c r="Q16" s="317"/>
      <c r="R16" s="318"/>
      <c r="S16" s="319"/>
      <c r="T16" s="316"/>
      <c r="U16" s="317"/>
      <c r="V16" s="315"/>
      <c r="W16" s="71">
        <f t="shared" si="0"/>
        <v>3</v>
      </c>
      <c r="X16" s="312"/>
      <c r="Y16" s="313"/>
    </row>
    <row r="17" spans="2:29" ht="17.25" thickBot="1">
      <c r="B17" s="294"/>
      <c r="C17" s="295"/>
      <c r="D17" s="299"/>
      <c r="E17" s="163" t="s">
        <v>349</v>
      </c>
      <c r="F17" s="314" t="s">
        <v>528</v>
      </c>
      <c r="G17" s="327"/>
      <c r="H17" s="164">
        <v>4</v>
      </c>
      <c r="I17" s="69" t="s">
        <v>375</v>
      </c>
      <c r="J17" s="165">
        <v>3</v>
      </c>
      <c r="K17" s="314"/>
      <c r="L17" s="328"/>
      <c r="M17" s="317"/>
      <c r="N17" s="329"/>
      <c r="O17" s="319">
        <v>3</v>
      </c>
      <c r="P17" s="328"/>
      <c r="Q17" s="317"/>
      <c r="R17" s="329"/>
      <c r="S17" s="319"/>
      <c r="T17" s="328"/>
      <c r="U17" s="317"/>
      <c r="V17" s="327"/>
      <c r="W17" s="71">
        <v>3</v>
      </c>
      <c r="X17" s="312"/>
      <c r="Y17" s="313"/>
    </row>
    <row r="18" spans="2:29" ht="17.25" thickBot="1">
      <c r="B18" s="294"/>
      <c r="C18" s="295"/>
      <c r="D18" s="300"/>
      <c r="E18" s="76" t="s">
        <v>354</v>
      </c>
      <c r="F18" s="309" t="s">
        <v>241</v>
      </c>
      <c r="G18" s="310"/>
      <c r="H18" s="73">
        <v>4</v>
      </c>
      <c r="I18" s="74" t="s">
        <v>351</v>
      </c>
      <c r="J18" s="75">
        <v>3</v>
      </c>
      <c r="K18" s="309"/>
      <c r="L18" s="265"/>
      <c r="M18" s="266"/>
      <c r="N18" s="267"/>
      <c r="O18" s="264"/>
      <c r="P18" s="265"/>
      <c r="Q18" s="266">
        <v>3</v>
      </c>
      <c r="R18" s="267"/>
      <c r="S18" s="264"/>
      <c r="T18" s="265"/>
      <c r="U18" s="266"/>
      <c r="V18" s="310"/>
      <c r="W18" s="71">
        <f t="shared" si="0"/>
        <v>3</v>
      </c>
      <c r="X18" s="312"/>
      <c r="Y18" s="313"/>
    </row>
    <row r="19" spans="2:29" ht="17.25" thickBot="1">
      <c r="B19" s="294"/>
      <c r="C19" s="295"/>
      <c r="D19" s="298" t="s">
        <v>353</v>
      </c>
      <c r="E19" s="62" t="s">
        <v>12</v>
      </c>
      <c r="F19" s="288" t="s">
        <v>244</v>
      </c>
      <c r="G19" s="233"/>
      <c r="H19" s="63">
        <v>3</v>
      </c>
      <c r="I19" s="77">
        <v>3</v>
      </c>
      <c r="J19" s="65">
        <v>3</v>
      </c>
      <c r="K19" s="322">
        <v>3</v>
      </c>
      <c r="L19" s="323"/>
      <c r="M19" s="324"/>
      <c r="N19" s="325"/>
      <c r="O19" s="326"/>
      <c r="P19" s="323"/>
      <c r="Q19" s="324"/>
      <c r="R19" s="325"/>
      <c r="S19" s="326"/>
      <c r="T19" s="323"/>
      <c r="U19" s="324"/>
      <c r="V19" s="330"/>
      <c r="W19" s="66">
        <f t="shared" si="0"/>
        <v>3</v>
      </c>
      <c r="X19" s="311">
        <f>SUM(W19:W20)</f>
        <v>6</v>
      </c>
      <c r="Y19" s="313">
        <v>6</v>
      </c>
    </row>
    <row r="20" spans="2:29" ht="17.25" thickBot="1">
      <c r="B20" s="294"/>
      <c r="C20" s="295"/>
      <c r="D20" s="299"/>
      <c r="E20" s="78" t="s">
        <v>12</v>
      </c>
      <c r="F20" s="332" t="s">
        <v>245</v>
      </c>
      <c r="G20" s="333"/>
      <c r="H20" s="79">
        <v>3</v>
      </c>
      <c r="I20" s="80">
        <v>3</v>
      </c>
      <c r="J20" s="172">
        <v>3</v>
      </c>
      <c r="K20" s="309"/>
      <c r="L20" s="265"/>
      <c r="M20" s="266">
        <v>3</v>
      </c>
      <c r="N20" s="267"/>
      <c r="O20" s="264"/>
      <c r="P20" s="265"/>
      <c r="Q20" s="266"/>
      <c r="R20" s="267"/>
      <c r="S20" s="264"/>
      <c r="T20" s="265"/>
      <c r="U20" s="266"/>
      <c r="V20" s="310"/>
      <c r="W20" s="81">
        <f t="shared" si="0"/>
        <v>3</v>
      </c>
      <c r="X20" s="331"/>
      <c r="Y20" s="313"/>
      <c r="AA20" s="334"/>
      <c r="AB20" s="334"/>
      <c r="AC20" s="171"/>
    </row>
    <row r="21" spans="2:29" ht="17.25" thickBot="1">
      <c r="B21" s="294"/>
      <c r="C21" s="295"/>
      <c r="D21" s="299"/>
      <c r="E21" s="62" t="s">
        <v>12</v>
      </c>
      <c r="F21" s="288" t="s">
        <v>247</v>
      </c>
      <c r="G21" s="233"/>
      <c r="H21" s="63">
        <v>4</v>
      </c>
      <c r="I21" s="77" t="s">
        <v>348</v>
      </c>
      <c r="J21" s="65">
        <v>3</v>
      </c>
      <c r="K21" s="288"/>
      <c r="L21" s="289"/>
      <c r="M21" s="232"/>
      <c r="N21" s="290"/>
      <c r="O21" s="301">
        <v>3</v>
      </c>
      <c r="P21" s="289"/>
      <c r="Q21" s="232"/>
      <c r="R21" s="290"/>
      <c r="S21" s="301"/>
      <c r="T21" s="289"/>
      <c r="U21" s="232"/>
      <c r="V21" s="233"/>
      <c r="W21" s="66">
        <f t="shared" si="0"/>
        <v>3</v>
      </c>
      <c r="X21" s="311">
        <f>SUM(W21:W22)</f>
        <v>6</v>
      </c>
      <c r="Y21" s="313">
        <v>12</v>
      </c>
    </row>
    <row r="22" spans="2:29" ht="17.25" thickBot="1">
      <c r="B22" s="294"/>
      <c r="C22" s="295"/>
      <c r="D22" s="300"/>
      <c r="E22" s="76" t="s">
        <v>12</v>
      </c>
      <c r="F22" s="309" t="s">
        <v>248</v>
      </c>
      <c r="G22" s="310"/>
      <c r="H22" s="73">
        <v>4</v>
      </c>
      <c r="I22" s="74" t="s">
        <v>348</v>
      </c>
      <c r="J22" s="75">
        <v>3</v>
      </c>
      <c r="K22" s="309"/>
      <c r="L22" s="265"/>
      <c r="M22" s="266"/>
      <c r="N22" s="267"/>
      <c r="O22" s="264"/>
      <c r="P22" s="265"/>
      <c r="Q22" s="266">
        <v>3</v>
      </c>
      <c r="R22" s="267"/>
      <c r="S22" s="264"/>
      <c r="T22" s="265"/>
      <c r="U22" s="266"/>
      <c r="V22" s="310"/>
      <c r="W22" s="81">
        <f t="shared" si="0"/>
        <v>3</v>
      </c>
      <c r="X22" s="331"/>
      <c r="Y22" s="313"/>
    </row>
    <row r="23" spans="2:29" ht="17.25" thickBot="1">
      <c r="B23" s="294"/>
      <c r="C23" s="295"/>
      <c r="D23" s="298" t="s">
        <v>26</v>
      </c>
      <c r="E23" s="62" t="s">
        <v>12</v>
      </c>
      <c r="F23" s="288" t="s">
        <v>265</v>
      </c>
      <c r="G23" s="233"/>
      <c r="H23" s="63">
        <v>4</v>
      </c>
      <c r="I23" s="77" t="s">
        <v>348</v>
      </c>
      <c r="J23" s="65">
        <v>3</v>
      </c>
      <c r="K23" s="288">
        <v>3</v>
      </c>
      <c r="L23" s="289"/>
      <c r="M23" s="232"/>
      <c r="N23" s="290"/>
      <c r="O23" s="301"/>
      <c r="P23" s="289"/>
      <c r="Q23" s="232"/>
      <c r="R23" s="290"/>
      <c r="S23" s="301"/>
      <c r="T23" s="289"/>
      <c r="U23" s="232"/>
      <c r="V23" s="233"/>
      <c r="W23" s="66">
        <f t="shared" si="0"/>
        <v>3</v>
      </c>
      <c r="X23" s="293">
        <f>SUM(W23:W24)</f>
        <v>6</v>
      </c>
      <c r="Y23" s="313"/>
    </row>
    <row r="24" spans="2:29" ht="17.25" thickBot="1">
      <c r="B24" s="294"/>
      <c r="C24" s="295"/>
      <c r="D24" s="299"/>
      <c r="E24" s="67" t="s">
        <v>12</v>
      </c>
      <c r="F24" s="314" t="s">
        <v>266</v>
      </c>
      <c r="G24" s="315"/>
      <c r="H24" s="68">
        <v>4</v>
      </c>
      <c r="I24" s="69" t="s">
        <v>348</v>
      </c>
      <c r="J24" s="70">
        <v>3</v>
      </c>
      <c r="K24" s="314"/>
      <c r="L24" s="316"/>
      <c r="M24" s="317">
        <v>3</v>
      </c>
      <c r="N24" s="318"/>
      <c r="O24" s="319"/>
      <c r="P24" s="316"/>
      <c r="Q24" s="317"/>
      <c r="R24" s="318"/>
      <c r="S24" s="319"/>
      <c r="T24" s="316"/>
      <c r="U24" s="317"/>
      <c r="V24" s="315"/>
      <c r="W24" s="71">
        <f t="shared" si="0"/>
        <v>3</v>
      </c>
      <c r="X24" s="295"/>
      <c r="Y24" s="313"/>
    </row>
    <row r="25" spans="2:29" ht="16.5" customHeight="1" thickBot="1">
      <c r="B25" s="294"/>
      <c r="C25" s="295"/>
      <c r="D25" s="298" t="s">
        <v>8</v>
      </c>
      <c r="E25" s="62" t="s">
        <v>355</v>
      </c>
      <c r="F25" s="288" t="s">
        <v>356</v>
      </c>
      <c r="G25" s="233"/>
      <c r="H25" s="63">
        <v>3</v>
      </c>
      <c r="I25" s="77" t="s">
        <v>357</v>
      </c>
      <c r="J25" s="65">
        <f t="shared" ref="J25:J26" si="3">SUM(K25:V25)</f>
        <v>2</v>
      </c>
      <c r="K25" s="288">
        <v>2</v>
      </c>
      <c r="L25" s="289"/>
      <c r="M25" s="232"/>
      <c r="N25" s="290"/>
      <c r="O25" s="301"/>
      <c r="P25" s="289"/>
      <c r="Q25" s="232"/>
      <c r="R25" s="290"/>
      <c r="S25" s="301"/>
      <c r="T25" s="289"/>
      <c r="U25" s="232"/>
      <c r="V25" s="233"/>
      <c r="W25" s="66">
        <f>SUM(K25:V25)</f>
        <v>2</v>
      </c>
      <c r="X25" s="335">
        <f>SUM(W25:W29)</f>
        <v>9</v>
      </c>
      <c r="Y25" s="313">
        <v>8</v>
      </c>
    </row>
    <row r="26" spans="2:29" ht="17.25" thickBot="1">
      <c r="B26" s="294"/>
      <c r="C26" s="295"/>
      <c r="D26" s="299"/>
      <c r="E26" s="67" t="s">
        <v>355</v>
      </c>
      <c r="F26" s="314" t="s">
        <v>358</v>
      </c>
      <c r="G26" s="315"/>
      <c r="H26" s="68">
        <v>3</v>
      </c>
      <c r="I26" s="69" t="s">
        <v>357</v>
      </c>
      <c r="J26" s="70">
        <f t="shared" si="3"/>
        <v>2</v>
      </c>
      <c r="K26" s="314"/>
      <c r="L26" s="316"/>
      <c r="M26" s="317">
        <v>2</v>
      </c>
      <c r="N26" s="318"/>
      <c r="O26" s="319"/>
      <c r="P26" s="316"/>
      <c r="Q26" s="317"/>
      <c r="R26" s="318"/>
      <c r="S26" s="319"/>
      <c r="T26" s="316"/>
      <c r="U26" s="317"/>
      <c r="V26" s="315"/>
      <c r="W26" s="71">
        <f t="shared" ref="W26:W29" si="4">SUM(K26:V26)</f>
        <v>2</v>
      </c>
      <c r="X26" s="336"/>
      <c r="Y26" s="313"/>
    </row>
    <row r="27" spans="2:29" ht="17.25" thickBot="1">
      <c r="B27" s="294"/>
      <c r="C27" s="295"/>
      <c r="D27" s="299"/>
      <c r="E27" s="67" t="s">
        <v>349</v>
      </c>
      <c r="F27" s="314" t="s">
        <v>523</v>
      </c>
      <c r="G27" s="315"/>
      <c r="H27" s="68">
        <v>3</v>
      </c>
      <c r="I27" s="69" t="s">
        <v>357</v>
      </c>
      <c r="J27" s="70">
        <v>2</v>
      </c>
      <c r="K27" s="314"/>
      <c r="L27" s="316"/>
      <c r="M27" s="317"/>
      <c r="N27" s="318"/>
      <c r="O27" s="319">
        <v>2</v>
      </c>
      <c r="P27" s="316"/>
      <c r="Q27" s="317"/>
      <c r="R27" s="318"/>
      <c r="S27" s="319"/>
      <c r="T27" s="316"/>
      <c r="U27" s="317"/>
      <c r="V27" s="315"/>
      <c r="W27" s="71">
        <f t="shared" si="4"/>
        <v>2</v>
      </c>
      <c r="X27" s="336"/>
      <c r="Y27" s="313"/>
    </row>
    <row r="28" spans="2:29" ht="17.25" thickBot="1">
      <c r="B28" s="294"/>
      <c r="C28" s="295"/>
      <c r="D28" s="299"/>
      <c r="E28" s="67" t="s">
        <v>354</v>
      </c>
      <c r="F28" s="314" t="s">
        <v>359</v>
      </c>
      <c r="G28" s="315"/>
      <c r="H28" s="68">
        <v>3</v>
      </c>
      <c r="I28" s="69" t="s">
        <v>357</v>
      </c>
      <c r="J28" s="70">
        <v>2</v>
      </c>
      <c r="K28" s="314"/>
      <c r="L28" s="316"/>
      <c r="M28" s="317"/>
      <c r="N28" s="318"/>
      <c r="O28" s="319"/>
      <c r="P28" s="316"/>
      <c r="Q28" s="317">
        <v>2</v>
      </c>
      <c r="R28" s="318"/>
      <c r="S28" s="319"/>
      <c r="T28" s="316"/>
      <c r="U28" s="317"/>
      <c r="V28" s="315"/>
      <c r="W28" s="71">
        <f t="shared" si="4"/>
        <v>2</v>
      </c>
      <c r="X28" s="336"/>
      <c r="Y28" s="313"/>
    </row>
    <row r="29" spans="2:29" ht="17.25" thickBot="1">
      <c r="B29" s="294"/>
      <c r="C29" s="295"/>
      <c r="D29" s="300"/>
      <c r="E29" s="76" t="s">
        <v>349</v>
      </c>
      <c r="F29" s="309" t="s">
        <v>535</v>
      </c>
      <c r="G29" s="310"/>
      <c r="H29" s="73">
        <v>2</v>
      </c>
      <c r="I29" s="74" t="s">
        <v>360</v>
      </c>
      <c r="J29" s="75">
        <v>1</v>
      </c>
      <c r="K29" s="309"/>
      <c r="L29" s="265"/>
      <c r="M29" s="266"/>
      <c r="N29" s="267"/>
      <c r="O29" s="264"/>
      <c r="P29" s="265"/>
      <c r="Q29" s="266"/>
      <c r="R29" s="267"/>
      <c r="S29" s="264">
        <v>1</v>
      </c>
      <c r="T29" s="265"/>
      <c r="U29" s="266"/>
      <c r="V29" s="310"/>
      <c r="W29" s="81">
        <f t="shared" si="4"/>
        <v>1</v>
      </c>
      <c r="X29" s="337"/>
      <c r="Y29" s="313"/>
    </row>
    <row r="30" spans="2:29" ht="17.25" thickBot="1">
      <c r="B30" s="294"/>
      <c r="C30" s="295"/>
      <c r="D30" s="298" t="s">
        <v>28</v>
      </c>
      <c r="E30" s="62" t="s">
        <v>355</v>
      </c>
      <c r="F30" s="288" t="s">
        <v>9</v>
      </c>
      <c r="G30" s="233"/>
      <c r="H30" s="63">
        <v>3</v>
      </c>
      <c r="I30" s="82" t="s">
        <v>357</v>
      </c>
      <c r="J30" s="65">
        <v>2</v>
      </c>
      <c r="K30" s="288">
        <v>2</v>
      </c>
      <c r="L30" s="289"/>
      <c r="M30" s="232"/>
      <c r="N30" s="290"/>
      <c r="O30" s="301"/>
      <c r="P30" s="289"/>
      <c r="Q30" s="232"/>
      <c r="R30" s="290"/>
      <c r="S30" s="301"/>
      <c r="T30" s="289"/>
      <c r="U30" s="232"/>
      <c r="V30" s="233"/>
      <c r="W30" s="338">
        <f>SUM(K30:V33)</f>
        <v>8</v>
      </c>
      <c r="X30" s="339"/>
      <c r="Y30" s="313">
        <v>6</v>
      </c>
    </row>
    <row r="31" spans="2:29" ht="17.25" thickBot="1">
      <c r="B31" s="294"/>
      <c r="C31" s="295"/>
      <c r="D31" s="299"/>
      <c r="E31" s="72" t="s">
        <v>349</v>
      </c>
      <c r="F31" s="314" t="s">
        <v>292</v>
      </c>
      <c r="G31" s="327"/>
      <c r="H31" s="166">
        <v>3</v>
      </c>
      <c r="I31" s="69" t="s">
        <v>357</v>
      </c>
      <c r="J31" s="167">
        <v>2</v>
      </c>
      <c r="K31" s="314"/>
      <c r="L31" s="328"/>
      <c r="M31" s="317">
        <v>2</v>
      </c>
      <c r="N31" s="329"/>
      <c r="O31" s="319"/>
      <c r="P31" s="328"/>
      <c r="Q31" s="317"/>
      <c r="R31" s="329"/>
      <c r="S31" s="319"/>
      <c r="T31" s="328"/>
      <c r="U31" s="317"/>
      <c r="V31" s="327"/>
      <c r="W31" s="340"/>
      <c r="X31" s="341"/>
      <c r="Y31" s="313"/>
    </row>
    <row r="32" spans="2:29" ht="17.25" thickBot="1">
      <c r="B32" s="294"/>
      <c r="C32" s="295"/>
      <c r="D32" s="299"/>
      <c r="E32" s="72" t="s">
        <v>349</v>
      </c>
      <c r="F32" s="314" t="s">
        <v>291</v>
      </c>
      <c r="G32" s="327"/>
      <c r="H32" s="166">
        <v>3</v>
      </c>
      <c r="I32" s="69" t="s">
        <v>357</v>
      </c>
      <c r="J32" s="167">
        <v>2</v>
      </c>
      <c r="K32" s="314"/>
      <c r="L32" s="328"/>
      <c r="M32" s="317"/>
      <c r="N32" s="329"/>
      <c r="O32" s="319">
        <v>2</v>
      </c>
      <c r="P32" s="328"/>
      <c r="Q32" s="317"/>
      <c r="R32" s="329"/>
      <c r="S32" s="319"/>
      <c r="T32" s="328"/>
      <c r="U32" s="317"/>
      <c r="V32" s="327"/>
      <c r="W32" s="340"/>
      <c r="X32" s="341"/>
      <c r="Y32" s="313"/>
    </row>
    <row r="33" spans="2:28" ht="17.25" thickBot="1">
      <c r="B33" s="294"/>
      <c r="C33" s="295"/>
      <c r="D33" s="299"/>
      <c r="E33" s="72" t="s">
        <v>354</v>
      </c>
      <c r="F33" s="314" t="s">
        <v>295</v>
      </c>
      <c r="G33" s="315"/>
      <c r="H33" s="68">
        <v>3</v>
      </c>
      <c r="I33" s="82" t="s">
        <v>357</v>
      </c>
      <c r="J33" s="70">
        <v>2</v>
      </c>
      <c r="K33" s="314"/>
      <c r="L33" s="316"/>
      <c r="M33" s="317"/>
      <c r="N33" s="318"/>
      <c r="O33" s="319"/>
      <c r="P33" s="316"/>
      <c r="Q33" s="317">
        <v>2</v>
      </c>
      <c r="R33" s="318"/>
      <c r="S33" s="319"/>
      <c r="T33" s="316"/>
      <c r="U33" s="317"/>
      <c r="V33" s="315"/>
      <c r="W33" s="340"/>
      <c r="X33" s="341"/>
      <c r="Y33" s="313"/>
    </row>
    <row r="34" spans="2:28" ht="16.5" customHeight="1" thickBot="1">
      <c r="B34" s="294"/>
      <c r="C34" s="295"/>
      <c r="D34" s="342" t="s">
        <v>361</v>
      </c>
      <c r="E34" s="62" t="s">
        <v>349</v>
      </c>
      <c r="F34" s="288" t="s">
        <v>51</v>
      </c>
      <c r="G34" s="233"/>
      <c r="H34" s="63">
        <v>3</v>
      </c>
      <c r="I34" s="77" t="s">
        <v>357</v>
      </c>
      <c r="J34" s="65">
        <v>2</v>
      </c>
      <c r="K34" s="288"/>
      <c r="L34" s="289"/>
      <c r="M34" s="232"/>
      <c r="N34" s="290"/>
      <c r="O34" s="301"/>
      <c r="P34" s="289"/>
      <c r="Q34" s="232">
        <v>2</v>
      </c>
      <c r="R34" s="290"/>
      <c r="S34" s="301"/>
      <c r="T34" s="289"/>
      <c r="U34" s="232"/>
      <c r="V34" s="233"/>
      <c r="W34" s="338">
        <f>SUM(K34:V36)</f>
        <v>8</v>
      </c>
      <c r="X34" s="339"/>
      <c r="Y34" s="313">
        <v>8</v>
      </c>
    </row>
    <row r="35" spans="2:28" ht="16.5" customHeight="1" thickBot="1">
      <c r="B35" s="294"/>
      <c r="C35" s="295"/>
      <c r="D35" s="343"/>
      <c r="E35" s="72" t="s">
        <v>355</v>
      </c>
      <c r="F35" s="314" t="s">
        <v>529</v>
      </c>
      <c r="G35" s="315"/>
      <c r="H35" s="68">
        <v>3</v>
      </c>
      <c r="I35" s="69" t="s">
        <v>357</v>
      </c>
      <c r="J35" s="70">
        <v>3</v>
      </c>
      <c r="K35" s="314"/>
      <c r="L35" s="316"/>
      <c r="M35" s="317"/>
      <c r="N35" s="318"/>
      <c r="O35" s="319"/>
      <c r="P35" s="316"/>
      <c r="Q35" s="317">
        <v>3</v>
      </c>
      <c r="R35" s="318"/>
      <c r="S35" s="319"/>
      <c r="T35" s="316"/>
      <c r="U35" s="317"/>
      <c r="V35" s="315"/>
      <c r="W35" s="340"/>
      <c r="X35" s="341"/>
      <c r="Y35" s="313"/>
    </row>
    <row r="36" spans="2:28" ht="17.25" thickBot="1">
      <c r="B36" s="296"/>
      <c r="C36" s="297"/>
      <c r="D36" s="343"/>
      <c r="E36" s="72" t="s">
        <v>355</v>
      </c>
      <c r="F36" s="309" t="s">
        <v>340</v>
      </c>
      <c r="G36" s="310"/>
      <c r="H36" s="73">
        <v>3</v>
      </c>
      <c r="I36" s="74" t="s">
        <v>357</v>
      </c>
      <c r="J36" s="75">
        <v>3</v>
      </c>
      <c r="K36" s="309"/>
      <c r="L36" s="265"/>
      <c r="M36" s="266"/>
      <c r="N36" s="267"/>
      <c r="O36" s="319">
        <v>3</v>
      </c>
      <c r="P36" s="316"/>
      <c r="Q36" s="317"/>
      <c r="R36" s="318"/>
      <c r="S36" s="319"/>
      <c r="T36" s="316"/>
      <c r="U36" s="317"/>
      <c r="V36" s="315"/>
      <c r="W36" s="340"/>
      <c r="X36" s="341"/>
      <c r="Y36" s="313"/>
    </row>
    <row r="37" spans="2:28" ht="24.75" customHeight="1" thickBot="1">
      <c r="B37" s="344" t="s">
        <v>370</v>
      </c>
      <c r="C37" s="345"/>
      <c r="D37" s="345"/>
      <c r="E37" s="345"/>
      <c r="F37" s="345"/>
      <c r="G37" s="346"/>
      <c r="H37" s="170">
        <f>SUM(H21:H36)</f>
        <v>51</v>
      </c>
      <c r="I37" s="18"/>
      <c r="J37" s="169">
        <f>SUM(J21:J36)</f>
        <v>37</v>
      </c>
      <c r="K37" s="347">
        <f>SUM(K9:L36)</f>
        <v>19</v>
      </c>
      <c r="L37" s="348"/>
      <c r="M37" s="348">
        <f>SUM(M9:N36)</f>
        <v>19</v>
      </c>
      <c r="N37" s="349"/>
      <c r="O37" s="350">
        <f>SUM(O9:P36)</f>
        <v>16</v>
      </c>
      <c r="P37" s="348"/>
      <c r="Q37" s="348">
        <f>SUM(Q9:R36)</f>
        <v>18</v>
      </c>
      <c r="R37" s="351"/>
      <c r="S37" s="352">
        <f>SUM(S9:T36)</f>
        <v>1</v>
      </c>
      <c r="T37" s="348"/>
      <c r="U37" s="348">
        <f>SUM(U9:V36)</f>
        <v>0</v>
      </c>
  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     <v>1</v>
      </c>
      <c r="AB37" s="355"/>
    </row>
    <row r="38" spans="2:28" ht="17.25" customHeight="1">
      <c r="B38" s="356" t="s">
        <v>362</v>
      </c>
      <c r="C38" s="357"/>
      <c r="D38" s="532" t="s">
        <v>363</v>
      </c>
      <c r="E38" s="533"/>
      <c r="F38" s="514" t="s">
        <v>536</v>
      </c>
      <c r="G38" s="515"/>
      <c r="H38" s="194"/>
      <c r="I38" s="205"/>
      <c r="J38" s="206">
        <v>3</v>
      </c>
      <c r="K38" s="288"/>
      <c r="L38" s="289"/>
      <c r="M38" s="232"/>
      <c r="N38" s="290"/>
      <c r="O38" s="301"/>
      <c r="P38" s="289"/>
      <c r="Q38" s="232"/>
      <c r="R38" s="290"/>
      <c r="S38" s="301">
        <v>3</v>
      </c>
      <c r="T38" s="289"/>
      <c r="U38" s="232"/>
      <c r="V38" s="233"/>
      <c r="W38" s="516">
        <f>SUM(K38:V38)</f>
        <v>3</v>
      </c>
      <c r="X38" s="517"/>
      <c r="Y38" s="371">
        <v>80</v>
      </c>
    </row>
    <row r="39" spans="2:28" ht="17.25" customHeight="1" thickBot="1">
      <c r="B39" s="358"/>
      <c r="C39" s="359"/>
      <c r="D39" s="534"/>
      <c r="E39" s="535"/>
      <c r="F39" s="529" t="s">
        <v>557</v>
      </c>
      <c r="G39" s="530"/>
      <c r="H39" s="196"/>
      <c r="I39" s="197"/>
      <c r="J39" s="198">
        <v>3</v>
      </c>
      <c r="K39" s="309"/>
      <c r="L39" s="265"/>
      <c r="M39" s="266"/>
      <c r="N39" s="267"/>
      <c r="O39" s="264">
        <v>3</v>
      </c>
      <c r="P39" s="531"/>
      <c r="Q39" s="266"/>
      <c r="R39" s="267"/>
      <c r="S39" s="264"/>
      <c r="T39" s="265"/>
      <c r="U39" s="266"/>
      <c r="V39" s="310"/>
      <c r="W39" s="536">
        <v>3</v>
      </c>
      <c r="X39" s="530"/>
      <c r="Y39" s="372"/>
    </row>
    <row r="40" spans="2:28" ht="17.25" customHeight="1">
      <c r="B40" s="358"/>
      <c r="C40" s="359"/>
      <c r="D40" s="86" t="s">
        <v>66</v>
      </c>
      <c r="E40" s="91" t="s">
        <v>724</v>
      </c>
      <c r="F40" s="518" t="s">
        <v>537</v>
      </c>
      <c r="G40" s="519"/>
      <c r="H40" s="182"/>
      <c r="I40" s="183"/>
      <c r="J40" s="184">
        <v>3</v>
      </c>
      <c r="K40" s="520">
        <v>3</v>
      </c>
      <c r="L40" s="521"/>
      <c r="M40" s="522"/>
      <c r="N40" s="523"/>
      <c r="O40" s="524"/>
      <c r="P40" s="521"/>
      <c r="Q40" s="522"/>
      <c r="R40" s="525"/>
      <c r="S40" s="523"/>
      <c r="T40" s="521"/>
      <c r="U40" s="522"/>
      <c r="V40" s="526"/>
      <c r="W40" s="527">
        <f t="shared" ref="W40:W46" si="5">SUM(K40:V40)</f>
        <v>3</v>
      </c>
      <c r="X40" s="528"/>
      <c r="Y40" s="372"/>
    </row>
    <row r="41" spans="2:28" ht="17.25" customHeight="1">
      <c r="B41" s="358"/>
      <c r="C41" s="359"/>
      <c r="D41" s="83" t="s">
        <v>71</v>
      </c>
      <c r="E41" s="91" t="s">
        <v>724</v>
      </c>
      <c r="F41" s="374" t="s">
        <v>721</v>
      </c>
      <c r="G41" s="375"/>
      <c r="H41" s="182"/>
      <c r="I41" s="183"/>
      <c r="J41" s="184">
        <v>4</v>
      </c>
      <c r="K41" s="314">
        <v>4</v>
      </c>
      <c r="L41" s="316"/>
      <c r="M41" s="317"/>
      <c r="N41" s="318"/>
      <c r="O41" s="319"/>
      <c r="P41" s="316"/>
      <c r="Q41" s="317"/>
      <c r="R41" s="318"/>
      <c r="S41" s="319"/>
      <c r="T41" s="316"/>
      <c r="U41" s="317"/>
      <c r="V41" s="315"/>
      <c r="W41" s="377">
        <f t="shared" si="5"/>
        <v>4</v>
      </c>
      <c r="X41" s="378"/>
      <c r="Y41" s="372"/>
    </row>
    <row r="42" spans="2:28" ht="17.25" customHeight="1">
      <c r="B42" s="358"/>
      <c r="C42" s="359"/>
      <c r="D42" s="83" t="s">
        <v>158</v>
      </c>
      <c r="E42" s="91" t="s">
        <v>724</v>
      </c>
      <c r="F42" s="374" t="s">
        <v>722</v>
      </c>
      <c r="G42" s="375"/>
      <c r="H42" s="182"/>
      <c r="I42" s="183"/>
      <c r="J42" s="184">
        <v>3</v>
      </c>
      <c r="K42" s="314">
        <v>3</v>
      </c>
      <c r="L42" s="316"/>
      <c r="M42" s="317"/>
      <c r="N42" s="318"/>
      <c r="O42" s="319"/>
      <c r="P42" s="316"/>
      <c r="Q42" s="317"/>
      <c r="R42" s="318"/>
      <c r="S42" s="319"/>
      <c r="T42" s="316"/>
      <c r="U42" s="317"/>
      <c r="V42" s="315"/>
      <c r="W42" s="377">
        <f t="shared" si="5"/>
        <v>3</v>
      </c>
      <c r="X42" s="378"/>
      <c r="Y42" s="372"/>
    </row>
    <row r="43" spans="2:28" ht="17.25" customHeight="1">
      <c r="B43" s="358"/>
      <c r="C43" s="359"/>
      <c r="D43" s="83" t="s">
        <v>158</v>
      </c>
      <c r="E43" s="91" t="s">
        <v>724</v>
      </c>
      <c r="F43" s="379" t="s">
        <v>720</v>
      </c>
      <c r="G43" s="380"/>
      <c r="H43" s="182"/>
      <c r="I43" s="183"/>
      <c r="J43" s="184">
        <v>3</v>
      </c>
      <c r="K43" s="314"/>
      <c r="L43" s="316"/>
      <c r="M43" s="317">
        <v>3</v>
      </c>
      <c r="N43" s="318"/>
      <c r="O43" s="319"/>
      <c r="P43" s="316"/>
      <c r="Q43" s="317"/>
      <c r="R43" s="318"/>
      <c r="S43" s="319"/>
      <c r="T43" s="316"/>
      <c r="U43" s="317"/>
      <c r="V43" s="315"/>
      <c r="W43" s="377">
        <f t="shared" si="5"/>
        <v>3</v>
      </c>
      <c r="X43" s="378"/>
      <c r="Y43" s="372"/>
    </row>
    <row r="44" spans="2:28" ht="17.25" customHeight="1">
      <c r="B44" s="358"/>
      <c r="C44" s="359"/>
      <c r="D44" s="83" t="s">
        <v>158</v>
      </c>
      <c r="E44" s="91" t="s">
        <v>724</v>
      </c>
      <c r="F44" s="379" t="s">
        <v>723</v>
      </c>
      <c r="G44" s="380"/>
      <c r="H44" s="182"/>
      <c r="I44" s="183"/>
      <c r="J44" s="184">
        <v>3</v>
      </c>
      <c r="K44" s="314"/>
      <c r="L44" s="316"/>
      <c r="M44" s="317">
        <v>3</v>
      </c>
      <c r="N44" s="376"/>
      <c r="O44" s="319"/>
      <c r="P44" s="316"/>
      <c r="Q44" s="317"/>
      <c r="R44" s="318"/>
      <c r="S44" s="376"/>
      <c r="T44" s="316"/>
      <c r="U44" s="317"/>
      <c r="V44" s="315"/>
      <c r="W44" s="377">
        <f t="shared" si="5"/>
        <v>3</v>
      </c>
      <c r="X44" s="378"/>
      <c r="Y44" s="372"/>
    </row>
    <row r="45" spans="2:28" ht="17.25" customHeight="1">
      <c r="B45" s="358"/>
      <c r="C45" s="359"/>
      <c r="D45" s="85" t="s">
        <v>158</v>
      </c>
      <c r="E45" s="91" t="s">
        <v>724</v>
      </c>
      <c r="F45" s="379" t="s">
        <v>559</v>
      </c>
      <c r="G45" s="380"/>
      <c r="H45" s="182"/>
      <c r="I45" s="185"/>
      <c r="J45" s="186">
        <v>4</v>
      </c>
      <c r="K45" s="314"/>
      <c r="L45" s="316"/>
      <c r="M45" s="317"/>
      <c r="N45" s="376"/>
      <c r="O45" s="319"/>
      <c r="P45" s="316"/>
      <c r="Q45" s="317"/>
      <c r="R45" s="318"/>
      <c r="S45" s="376"/>
      <c r="T45" s="316"/>
      <c r="U45" s="317">
        <v>4</v>
      </c>
      <c r="V45" s="315"/>
      <c r="W45" s="377">
        <f t="shared" si="5"/>
        <v>4</v>
      </c>
      <c r="X45" s="378"/>
      <c r="Y45" s="372"/>
    </row>
    <row r="46" spans="2:28" ht="16.5" customHeight="1">
      <c r="B46" s="358"/>
      <c r="C46" s="359"/>
      <c r="D46" s="85" t="s">
        <v>158</v>
      </c>
      <c r="E46" s="84" t="s">
        <v>724</v>
      </c>
      <c r="F46" s="381" t="s">
        <v>558</v>
      </c>
      <c r="G46" s="386"/>
      <c r="H46" s="187"/>
      <c r="I46" s="185"/>
      <c r="J46" s="186">
        <v>4</v>
      </c>
      <c r="K46" s="314"/>
      <c r="L46" s="316"/>
      <c r="M46" s="317">
        <v>4</v>
      </c>
      <c r="N46" s="376"/>
      <c r="O46" s="319"/>
      <c r="P46" s="316"/>
      <c r="Q46" s="317"/>
      <c r="R46" s="318"/>
      <c r="S46" s="376"/>
      <c r="T46" s="316"/>
      <c r="U46" s="317"/>
      <c r="V46" s="315"/>
      <c r="W46" s="377">
        <f t="shared" si="5"/>
        <v>4</v>
      </c>
      <c r="X46" s="378"/>
      <c r="Y46" s="372"/>
    </row>
    <row r="47" spans="2:28" ht="16.5" customHeight="1">
      <c r="B47" s="358"/>
      <c r="C47" s="359"/>
      <c r="D47" s="85" t="s">
        <v>158</v>
      </c>
      <c r="E47" s="84" t="s">
        <v>365</v>
      </c>
      <c r="F47" s="381" t="s">
        <v>560</v>
      </c>
      <c r="G47" s="386"/>
      <c r="H47" s="187"/>
      <c r="I47" s="225"/>
      <c r="J47" s="186">
        <v>16</v>
      </c>
      <c r="K47" s="314"/>
      <c r="L47" s="316"/>
      <c r="M47" s="317"/>
      <c r="N47" s="318"/>
      <c r="O47" s="319"/>
      <c r="P47" s="316"/>
      <c r="Q47" s="317"/>
      <c r="R47" s="318"/>
      <c r="S47" s="319">
        <v>8</v>
      </c>
      <c r="T47" s="316"/>
      <c r="U47" s="317">
        <v>8</v>
      </c>
      <c r="V47" s="315"/>
      <c r="W47" s="377">
        <v>16</v>
      </c>
      <c r="X47" s="378"/>
      <c r="Y47" s="372"/>
    </row>
    <row r="48" spans="2:28" ht="16.5" customHeight="1">
      <c r="B48" s="358"/>
      <c r="C48" s="359"/>
      <c r="D48" s="85" t="s">
        <v>158</v>
      </c>
      <c r="E48" s="84" t="s">
        <v>365</v>
      </c>
      <c r="F48" s="381" t="s">
        <v>561</v>
      </c>
      <c r="G48" s="386"/>
      <c r="H48" s="187"/>
      <c r="I48" s="225"/>
      <c r="J48" s="186">
        <v>16</v>
      </c>
      <c r="K48" s="314"/>
      <c r="L48" s="316"/>
      <c r="M48" s="317"/>
      <c r="N48" s="318"/>
      <c r="O48" s="319"/>
      <c r="P48" s="316"/>
      <c r="Q48" s="317"/>
      <c r="R48" s="318"/>
      <c r="S48" s="319">
        <v>8</v>
      </c>
      <c r="T48" s="316"/>
      <c r="U48" s="317">
        <v>8</v>
      </c>
      <c r="V48" s="315"/>
      <c r="W48" s="377">
        <v>16</v>
      </c>
      <c r="X48" s="378"/>
      <c r="Y48" s="372"/>
    </row>
    <row r="49" spans="2:29" ht="16.5" customHeight="1">
      <c r="B49" s="358"/>
      <c r="C49" s="359"/>
      <c r="D49" s="85" t="s">
        <v>158</v>
      </c>
      <c r="E49" s="84" t="s">
        <v>365</v>
      </c>
      <c r="F49" s="381" t="s">
        <v>545</v>
      </c>
      <c r="G49" s="386"/>
      <c r="H49" s="187"/>
      <c r="I49" s="225"/>
      <c r="J49" s="186">
        <v>9</v>
      </c>
      <c r="K49" s="314"/>
      <c r="L49" s="316"/>
      <c r="M49" s="317"/>
      <c r="N49" s="318"/>
      <c r="O49" s="319"/>
      <c r="P49" s="316"/>
      <c r="Q49" s="317"/>
      <c r="R49" s="318"/>
      <c r="S49" s="319"/>
      <c r="T49" s="316"/>
      <c r="U49" s="317">
        <v>9</v>
      </c>
      <c r="V49" s="315"/>
      <c r="W49" s="377">
        <v>9</v>
      </c>
      <c r="X49" s="378"/>
      <c r="Y49" s="372"/>
    </row>
    <row r="50" spans="2:29" ht="16.5" customHeight="1">
      <c r="B50" s="358"/>
      <c r="C50" s="359"/>
      <c r="D50" s="85" t="s">
        <v>158</v>
      </c>
      <c r="E50" s="84" t="s">
        <v>365</v>
      </c>
      <c r="F50" s="381" t="s">
        <v>546</v>
      </c>
      <c r="G50" s="386"/>
      <c r="H50" s="187"/>
      <c r="I50" s="225"/>
      <c r="J50" s="186">
        <v>16</v>
      </c>
      <c r="K50" s="314"/>
      <c r="L50" s="316"/>
      <c r="M50" s="317"/>
      <c r="N50" s="318"/>
      <c r="O50" s="319">
        <v>8</v>
      </c>
      <c r="P50" s="316"/>
      <c r="Q50" s="317">
        <v>8</v>
      </c>
      <c r="R50" s="318"/>
      <c r="S50" s="319"/>
      <c r="T50" s="316"/>
      <c r="U50" s="317"/>
      <c r="V50" s="315"/>
      <c r="W50" s="377">
        <v>16</v>
      </c>
      <c r="X50" s="378"/>
      <c r="Y50" s="372"/>
    </row>
    <row r="51" spans="2:29" ht="16.5" customHeight="1" thickBot="1">
      <c r="B51" s="358"/>
      <c r="C51" s="359"/>
      <c r="D51" s="83" t="s">
        <v>158</v>
      </c>
      <c r="E51" s="84" t="s">
        <v>365</v>
      </c>
      <c r="F51" s="381" t="s">
        <v>726</v>
      </c>
      <c r="G51" s="386"/>
      <c r="H51" s="187"/>
      <c r="I51" s="185"/>
      <c r="J51" s="186">
        <v>5</v>
      </c>
      <c r="K51" s="314"/>
      <c r="L51" s="316"/>
      <c r="M51" s="317"/>
      <c r="N51" s="376"/>
      <c r="O51" s="319">
        <v>2</v>
      </c>
      <c r="P51" s="316"/>
      <c r="Q51" s="317">
        <v>3</v>
      </c>
      <c r="R51" s="318"/>
      <c r="S51" s="376"/>
      <c r="T51" s="316"/>
      <c r="U51" s="317"/>
      <c r="V51" s="315"/>
      <c r="W51" s="377">
        <v>5</v>
      </c>
      <c r="X51" s="378"/>
      <c r="Y51" s="372"/>
    </row>
    <row r="52" spans="2:29" ht="16.5" customHeight="1" thickBot="1">
      <c r="B52" s="406" t="s">
        <v>157</v>
      </c>
      <c r="C52" s="223" t="s">
        <v>68</v>
      </c>
      <c r="D52" s="230" t="s">
        <v>68</v>
      </c>
      <c r="E52" s="88" t="s">
        <v>365</v>
      </c>
      <c r="F52" s="389" t="s">
        <v>725</v>
      </c>
      <c r="G52" s="390"/>
      <c r="H52" s="194"/>
      <c r="I52" s="222"/>
      <c r="J52" s="393">
        <v>9</v>
      </c>
      <c r="K52" s="288"/>
      <c r="L52" s="289"/>
      <c r="M52" s="232"/>
      <c r="N52" s="395"/>
      <c r="O52" s="301"/>
      <c r="P52" s="289"/>
      <c r="Q52" s="232"/>
      <c r="R52" s="290"/>
      <c r="S52" s="395">
        <v>9</v>
      </c>
      <c r="T52" s="289"/>
      <c r="U52" s="232"/>
      <c r="V52" s="233"/>
      <c r="W52" s="338">
        <f>SUM(K52:V52)</f>
        <v>9</v>
      </c>
      <c r="X52" s="339"/>
      <c r="Y52" s="372"/>
    </row>
    <row r="53" spans="2:29" ht="17.25" thickBot="1">
      <c r="B53" s="407"/>
      <c r="C53" s="223" t="s">
        <v>155</v>
      </c>
      <c r="D53" s="87" t="s">
        <v>71</v>
      </c>
      <c r="E53" s="92" t="s">
        <v>365</v>
      </c>
      <c r="F53" s="234" t="s">
        <v>545</v>
      </c>
      <c r="G53" s="235"/>
      <c r="H53" s="194"/>
      <c r="I53" s="224"/>
      <c r="J53" s="412"/>
      <c r="K53" s="288"/>
      <c r="L53" s="289"/>
      <c r="M53" s="232"/>
      <c r="N53" s="395"/>
      <c r="O53" s="301"/>
      <c r="P53" s="289"/>
      <c r="Q53" s="232"/>
      <c r="R53" s="290"/>
      <c r="S53" s="395">
        <v>9</v>
      </c>
      <c r="T53" s="289"/>
      <c r="U53" s="232"/>
      <c r="V53" s="233"/>
      <c r="W53" s="338">
        <f>SUM(K53:V53)</f>
        <v>9</v>
      </c>
      <c r="X53" s="339"/>
      <c r="Y53" s="372"/>
    </row>
    <row r="54" spans="2:29" ht="17.25" thickBot="1">
      <c r="B54" s="407"/>
      <c r="C54" s="223" t="s">
        <v>270</v>
      </c>
      <c r="D54" s="87" t="s">
        <v>70</v>
      </c>
      <c r="E54" s="228" t="s">
        <v>364</v>
      </c>
      <c r="F54" s="234" t="s">
        <v>549</v>
      </c>
      <c r="G54" s="235"/>
      <c r="H54" s="229"/>
      <c r="I54" s="227"/>
      <c r="J54" s="412"/>
      <c r="K54" s="288"/>
      <c r="L54" s="289"/>
      <c r="M54" s="232"/>
      <c r="N54" s="290"/>
      <c r="O54" s="301"/>
      <c r="P54" s="289"/>
      <c r="Q54" s="232"/>
      <c r="R54" s="290"/>
      <c r="S54" s="301">
        <v>9</v>
      </c>
      <c r="T54" s="289"/>
      <c r="U54" s="232"/>
      <c r="V54" s="233"/>
      <c r="W54" s="338">
        <f>SUM(K54:V54)</f>
        <v>9</v>
      </c>
      <c r="X54" s="339"/>
      <c r="Y54" s="372"/>
      <c r="AC54" s="171"/>
    </row>
    <row r="55" spans="2:29" ht="16.5" customHeight="1">
      <c r="B55" s="292" t="s">
        <v>161</v>
      </c>
      <c r="C55" s="293"/>
      <c r="D55" s="87" t="s">
        <v>133</v>
      </c>
      <c r="E55" s="91" t="s">
        <v>365</v>
      </c>
      <c r="F55" s="441" t="s">
        <v>165</v>
      </c>
      <c r="G55" s="442"/>
      <c r="H55" s="56"/>
      <c r="I55" s="443"/>
      <c r="J55" s="446"/>
      <c r="K55" s="449"/>
      <c r="L55" s="423"/>
      <c r="M55" s="428"/>
      <c r="N55" s="422"/>
      <c r="O55" s="413"/>
      <c r="P55" s="414"/>
      <c r="Q55" s="414"/>
      <c r="R55" s="415"/>
      <c r="S55" s="422"/>
      <c r="T55" s="423"/>
      <c r="U55" s="428"/>
      <c r="V55" s="429"/>
      <c r="W55" s="338"/>
      <c r="X55" s="339"/>
      <c r="Y55" s="434"/>
    </row>
    <row r="56" spans="2:29" ht="16.5" customHeight="1">
      <c r="B56" s="294"/>
      <c r="C56" s="295"/>
      <c r="D56" s="94" t="s">
        <v>133</v>
      </c>
      <c r="E56" s="84" t="s">
        <v>365</v>
      </c>
      <c r="F56" s="437" t="s">
        <v>162</v>
      </c>
      <c r="G56" s="438"/>
      <c r="H56" s="56"/>
      <c r="I56" s="444"/>
      <c r="J56" s="447"/>
      <c r="K56" s="450"/>
      <c r="L56" s="425"/>
      <c r="M56" s="430"/>
      <c r="N56" s="424"/>
      <c r="O56" s="416"/>
      <c r="P56" s="417"/>
      <c r="Q56" s="417"/>
      <c r="R56" s="418"/>
      <c r="S56" s="424"/>
      <c r="T56" s="425"/>
      <c r="U56" s="430"/>
      <c r="V56" s="431"/>
      <c r="W56" s="340"/>
      <c r="X56" s="341"/>
      <c r="Y56" s="435"/>
    </row>
    <row r="57" spans="2:29" ht="16.5" customHeight="1">
      <c r="B57" s="294"/>
      <c r="C57" s="295"/>
      <c r="D57" s="94" t="s">
        <v>151</v>
      </c>
      <c r="E57" s="84" t="s">
        <v>365</v>
      </c>
      <c r="F57" s="437" t="s">
        <v>164</v>
      </c>
      <c r="G57" s="438"/>
      <c r="H57" s="55"/>
      <c r="I57" s="444"/>
      <c r="J57" s="447"/>
      <c r="K57" s="450"/>
      <c r="L57" s="425"/>
      <c r="M57" s="430"/>
      <c r="N57" s="424"/>
      <c r="O57" s="416"/>
      <c r="P57" s="417"/>
      <c r="Q57" s="417"/>
      <c r="R57" s="418"/>
      <c r="S57" s="424"/>
      <c r="T57" s="425"/>
      <c r="U57" s="430"/>
      <c r="V57" s="431"/>
      <c r="W57" s="340"/>
      <c r="X57" s="341"/>
      <c r="Y57" s="435"/>
      <c r="AC57" s="171"/>
    </row>
    <row r="58" spans="2:29" ht="16.5" customHeight="1" thickBot="1">
      <c r="B58" s="296"/>
      <c r="C58" s="297"/>
      <c r="D58" s="83" t="s">
        <v>367</v>
      </c>
      <c r="E58" s="89" t="s">
        <v>365</v>
      </c>
      <c r="F58" s="439" t="s">
        <v>163</v>
      </c>
      <c r="G58" s="440"/>
      <c r="H58" s="57"/>
      <c r="I58" s="445"/>
      <c r="J58" s="448"/>
      <c r="K58" s="451"/>
      <c r="L58" s="427"/>
      <c r="M58" s="432"/>
      <c r="N58" s="426"/>
      <c r="O58" s="419"/>
      <c r="P58" s="420"/>
      <c r="Q58" s="420"/>
      <c r="R58" s="421"/>
      <c r="S58" s="426"/>
      <c r="T58" s="427"/>
      <c r="U58" s="432"/>
      <c r="V58" s="433"/>
      <c r="W58" s="401"/>
      <c r="X58" s="402"/>
      <c r="Y58" s="436"/>
      <c r="AC58" s="93"/>
    </row>
    <row r="59" spans="2:29" ht="24.75" customHeight="1">
      <c r="B59" s="464" t="s">
        <v>371</v>
      </c>
      <c r="C59" s="460"/>
      <c r="D59" s="460"/>
      <c r="E59" s="460"/>
      <c r="F59" s="460"/>
      <c r="G59" s="462"/>
      <c r="H59" s="466">
        <f>SUM(H38:H51)</f>
        <v>0</v>
      </c>
      <c r="I59" s="468">
        <f>SUM(I38:I51)</f>
        <v>0</v>
      </c>
      <c r="J59" s="470">
        <f>SUM(J38:J58)</f>
        <v>101</v>
      </c>
      <c r="K59" s="464">
        <f>SUM(K38:L58)</f>
        <v>10</v>
      </c>
      <c r="L59" s="453"/>
      <c r="M59" s="456">
        <f>SUM(M38:N52)</f>
        <v>10</v>
      </c>
      <c r="N59" s="460"/>
      <c r="O59" s="452">
        <f>SUM(O38:P52)</f>
        <v>13</v>
      </c>
      <c r="P59" s="453"/>
      <c r="Q59" s="456">
        <f>SUM(Q38:R52)</f>
        <v>11</v>
      </c>
      <c r="R59" s="457"/>
      <c r="S59" s="460">
        <f>SUM(S38:T52)</f>
        <v>28</v>
      </c>
      <c r="T59" s="453"/>
      <c r="U59" s="456">
        <f>SUM(U38:V52)</f>
        <v>29</v>
      </c>
      <c r="V59" s="462"/>
      <c r="W59" s="464">
        <f>SUM(K59:V60)</f>
        <v>101</v>
      </c>
      <c r="X59" s="462"/>
      <c r="Y59" s="371">
        <f>SUM(Y38:Y53)</f>
        <v>80</v>
      </c>
      <c r="AC59" s="171"/>
    </row>
    <row r="60" spans="2:29" ht="17.25" thickBot="1">
      <c r="B60" s="465"/>
      <c r="C60" s="461"/>
      <c r="D60" s="461"/>
      <c r="E60" s="461"/>
      <c r="F60" s="461"/>
      <c r="G60" s="463"/>
      <c r="H60" s="467"/>
      <c r="I60" s="469"/>
      <c r="J60" s="471"/>
      <c r="K60" s="465"/>
      <c r="L60" s="455"/>
      <c r="M60" s="458"/>
      <c r="N60" s="461"/>
      <c r="O60" s="454"/>
      <c r="P60" s="455"/>
      <c r="Q60" s="458"/>
      <c r="R60" s="459"/>
      <c r="S60" s="461"/>
      <c r="T60" s="455"/>
      <c r="U60" s="458"/>
      <c r="V60" s="463"/>
      <c r="W60" s="465"/>
      <c r="X60" s="463"/>
      <c r="Y60" s="373"/>
      <c r="AC60" s="93"/>
    </row>
    <row r="61" spans="2:29" ht="17.25" customHeight="1" thickBot="1">
      <c r="B61" s="344"/>
      <c r="C61" s="345"/>
      <c r="D61" s="345"/>
      <c r="E61" s="345"/>
      <c r="F61" s="345"/>
      <c r="G61" s="346"/>
      <c r="H61" s="173">
        <f>SUM(H37,H59)</f>
        <v>51</v>
      </c>
      <c r="I61" s="168">
        <f>SUM(I37,I59)</f>
        <v>0</v>
      </c>
      <c r="J61" s="169">
        <f>SUM(J37,J59)</f>
        <v>138</v>
      </c>
      <c r="K61" s="344">
        <f>SUM(K37,K59)</f>
        <v>29</v>
      </c>
      <c r="L61" s="352"/>
      <c r="M61" s="349">
        <f>SUM(M37,M59)</f>
        <v>29</v>
      </c>
      <c r="N61" s="490"/>
      <c r="O61" s="491">
        <f>SUM(O37,O59)</f>
        <v>29</v>
      </c>
      <c r="P61" s="352"/>
      <c r="Q61" s="349">
        <f>SUM(Q37,Q59)</f>
        <v>29</v>
      </c>
      <c r="R61" s="490"/>
      <c r="S61" s="491">
        <f>SUM(S37,S59)</f>
        <v>29</v>
      </c>
      <c r="T61" s="352"/>
      <c r="U61" s="349">
        <f>SUM(U37,U59)</f>
        <v>29</v>
      </c>
      <c r="V61" s="346"/>
      <c r="W61" s="344">
        <f>SUM(K61:V61)</f>
        <v>174</v>
      </c>
      <c r="X61" s="346"/>
      <c r="Y61" s="11">
        <f>Y59+Y37</f>
        <v>144</v>
      </c>
      <c r="AA61" s="334" t="s">
        <v>159</v>
      </c>
      <c r="AB61" s="334"/>
    </row>
    <row r="62" spans="2:29" ht="18.75" customHeight="1" thickBot="1">
      <c r="B62" s="473" t="s">
        <v>372</v>
      </c>
      <c r="C62" s="474"/>
      <c r="D62" s="474"/>
      <c r="E62" s="475"/>
      <c r="F62" s="482" t="s">
        <v>368</v>
      </c>
      <c r="G62" s="483"/>
      <c r="H62" s="483"/>
      <c r="I62" s="483"/>
      <c r="J62" s="484"/>
      <c r="K62" s="485">
        <v>16</v>
      </c>
      <c r="L62" s="486"/>
      <c r="M62" s="487">
        <v>16</v>
      </c>
      <c r="N62" s="488"/>
      <c r="O62" s="489">
        <v>16</v>
      </c>
      <c r="P62" s="486"/>
      <c r="Q62" s="487">
        <v>16</v>
      </c>
      <c r="R62" s="488"/>
      <c r="S62" s="489">
        <v>16</v>
      </c>
      <c r="T62" s="486"/>
      <c r="U62" s="487">
        <v>16</v>
      </c>
      <c r="V62" s="501"/>
      <c r="W62" s="473">
        <f>SUM(K62:V64)</f>
        <v>288</v>
      </c>
      <c r="X62" s="475"/>
      <c r="Y62" s="371">
        <f>Y65*16</f>
        <v>288</v>
      </c>
      <c r="AA62" s="472"/>
      <c r="AB62" s="472"/>
    </row>
    <row r="63" spans="2:29" ht="17.25" customHeight="1" thickBot="1">
      <c r="B63" s="476"/>
      <c r="C63" s="477"/>
      <c r="D63" s="477"/>
      <c r="E63" s="478"/>
      <c r="F63" s="492" t="s">
        <v>63</v>
      </c>
      <c r="G63" s="493"/>
      <c r="H63" s="493"/>
      <c r="I63" s="493"/>
      <c r="J63" s="494"/>
      <c r="K63" s="495">
        <v>16</v>
      </c>
      <c r="L63" s="496"/>
      <c r="M63" s="497">
        <v>16</v>
      </c>
      <c r="N63" s="498"/>
      <c r="O63" s="499">
        <v>16</v>
      </c>
      <c r="P63" s="496"/>
      <c r="Q63" s="497">
        <v>16</v>
      </c>
      <c r="R63" s="498"/>
      <c r="S63" s="499">
        <v>16</v>
      </c>
      <c r="T63" s="496"/>
      <c r="U63" s="497">
        <v>16</v>
      </c>
      <c r="V63" s="500"/>
      <c r="W63" s="476"/>
      <c r="X63" s="478"/>
      <c r="Y63" s="372"/>
      <c r="AA63" s="354" t="b">
        <f>W61&gt;=Y61</f>
        <v>1</v>
      </c>
      <c r="AB63" s="355"/>
    </row>
    <row r="64" spans="2:29" ht="17.25" customHeight="1">
      <c r="B64" s="476"/>
      <c r="C64" s="477"/>
      <c r="D64" s="477"/>
      <c r="E64" s="478"/>
      <c r="F64" s="492" t="s">
        <v>11</v>
      </c>
      <c r="G64" s="493"/>
      <c r="H64" s="493"/>
      <c r="I64" s="493"/>
      <c r="J64" s="494"/>
      <c r="K64" s="495">
        <v>16</v>
      </c>
      <c r="L64" s="496"/>
      <c r="M64" s="497">
        <v>16</v>
      </c>
      <c r="N64" s="498"/>
      <c r="O64" s="499">
        <v>16</v>
      </c>
      <c r="P64" s="496"/>
      <c r="Q64" s="497">
        <v>16</v>
      </c>
      <c r="R64" s="498"/>
      <c r="S64" s="499">
        <v>16</v>
      </c>
      <c r="T64" s="496"/>
      <c r="U64" s="497">
        <v>16</v>
      </c>
      <c r="V64" s="500"/>
      <c r="W64" s="502"/>
      <c r="X64" s="503"/>
      <c r="Y64" s="504"/>
    </row>
    <row r="65" spans="2:28" ht="17.25" customHeight="1" thickBot="1">
      <c r="B65" s="479"/>
      <c r="C65" s="480"/>
      <c r="D65" s="480"/>
      <c r="E65" s="481"/>
      <c r="F65" s="507" t="s">
        <v>150</v>
      </c>
      <c r="G65" s="509"/>
      <c r="H65" s="509"/>
      <c r="I65" s="509"/>
      <c r="J65" s="508"/>
      <c r="K65" s="510">
        <v>3</v>
      </c>
      <c r="L65" s="511"/>
      <c r="M65" s="505">
        <v>3</v>
      </c>
      <c r="N65" s="512"/>
      <c r="O65" s="513">
        <v>3</v>
      </c>
      <c r="P65" s="511"/>
      <c r="Q65" s="505">
        <v>3</v>
      </c>
      <c r="R65" s="512"/>
      <c r="S65" s="513">
        <v>3</v>
      </c>
      <c r="T65" s="511"/>
      <c r="U65" s="505">
        <v>3</v>
      </c>
      <c r="V65" s="506"/>
      <c r="W65" s="507">
        <f>SUM(K65:V65)</f>
        <v>18</v>
      </c>
      <c r="X65" s="508"/>
      <c r="Y65" s="95">
        <v>18</v>
      </c>
      <c r="AA65" s="334" t="s">
        <v>160</v>
      </c>
      <c r="AB65" s="334"/>
    </row>
    <row r="66" spans="2:28" ht="17.25" customHeight="1" thickBot="1">
      <c r="B66" s="344"/>
      <c r="C66" s="345"/>
      <c r="D66" s="345"/>
      <c r="E66" s="345"/>
      <c r="F66" s="345"/>
      <c r="G66" s="345"/>
      <c r="H66" s="345"/>
      <c r="I66" s="345"/>
      <c r="J66" s="346"/>
      <c r="K66" s="344">
        <v>32</v>
      </c>
      <c r="L66" s="352"/>
      <c r="M66" s="349">
        <v>32</v>
      </c>
      <c r="N66" s="490"/>
      <c r="O66" s="491">
        <v>32</v>
      </c>
      <c r="P66" s="352"/>
      <c r="Q66" s="349">
        <v>32</v>
      </c>
      <c r="R66" s="490"/>
      <c r="S66" s="491">
        <v>32</v>
      </c>
      <c r="T66" s="352"/>
      <c r="U66" s="349">
        <v>32</v>
      </c>
      <c r="V66" s="346"/>
      <c r="W66" s="344">
        <f>SUM(K66:V66)</f>
        <v>192</v>
      </c>
      <c r="X66" s="346"/>
      <c r="Y66" s="58">
        <f>W66</f>
        <v>192</v>
      </c>
      <c r="AA66" s="354" t="b">
        <f>W65&gt;=Y65</f>
        <v>1</v>
      </c>
      <c r="AB66" s="355"/>
    </row>
    <row r="67" spans="2:28" ht="17.25" customHeight="1" thickBot="1">
      <c r="B67" s="344"/>
      <c r="C67" s="345"/>
      <c r="D67" s="345"/>
      <c r="E67" s="345"/>
      <c r="F67" s="345"/>
      <c r="G67" s="345"/>
      <c r="H67" s="345"/>
      <c r="I67" s="345"/>
      <c r="J67" s="346"/>
      <c r="K67" s="344">
        <f>SUM(K66:N66)</f>
        <v>64</v>
      </c>
      <c r="L67" s="345"/>
      <c r="M67" s="345"/>
      <c r="N67" s="490"/>
      <c r="O67" s="491">
        <f>SUM(O66:R66)</f>
        <v>64</v>
      </c>
      <c r="P67" s="345"/>
      <c r="Q67" s="345"/>
      <c r="R67" s="490"/>
      <c r="S67" s="491">
        <f>SUM(S66:V66)</f>
        <v>64</v>
      </c>
      <c r="T67" s="345"/>
      <c r="U67" s="345"/>
      <c r="V67" s="346"/>
      <c r="W67" s="344">
        <f>SUM(K67:V67)</f>
        <v>192</v>
      </c>
      <c r="X67" s="346"/>
      <c r="Y67" s="11"/>
      <c r="AA67" s="334" t="s">
        <v>154</v>
      </c>
      <c r="AB67" s="334"/>
    </row>
    <row r="68" spans="2:28" ht="17.25" customHeight="1" thickBot="1">
      <c r="AA68" s="354" t="b">
        <f>W66&gt;=Y66</f>
        <v>1</v>
      </c>
      <c r="AB68" s="355"/>
    </row>
    <row r="69" spans="2:28" ht="17.25" customHeight="1"/>
    <row r="70" spans="2:28" ht="17.25" customHeight="1"/>
    <row r="71" spans="2:28" ht="17.25" customHeight="1"/>
    <row r="73" spans="2:28" ht="24.95" customHeight="1"/>
    <row r="74" spans="2:28" ht="24.95" customHeight="1"/>
    <row r="75" spans="2:28" ht="32.25" customHeight="1"/>
    <row r="76" spans="2:28" ht="24.95" customHeight="1"/>
    <row r="78" spans="2:28" ht="16.5" customHeight="1"/>
    <row r="79" spans="2:28" ht="17.25" customHeight="1"/>
    <row r="80" spans="2:28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244.5" customHeight="1"/>
  </sheetData>
  <mergeCells count="497">
    <mergeCell ref="F39:G39"/>
    <mergeCell ref="O39:P39"/>
    <mergeCell ref="D38:E39"/>
    <mergeCell ref="W39:X39"/>
    <mergeCell ref="AA68:AB68"/>
    <mergeCell ref="F47:G47"/>
    <mergeCell ref="S47:T47"/>
    <mergeCell ref="U47:V47"/>
    <mergeCell ref="W47:X47"/>
    <mergeCell ref="W66:X66"/>
    <mergeCell ref="AA66:AB66"/>
    <mergeCell ref="B67:J67"/>
    <mergeCell ref="K67:N67"/>
    <mergeCell ref="O67:R67"/>
    <mergeCell ref="S67:V67"/>
    <mergeCell ref="W67:X67"/>
    <mergeCell ref="AA67:AB67"/>
    <mergeCell ref="U65:V65"/>
    <mergeCell ref="W65:X65"/>
    <mergeCell ref="AA65:AB65"/>
    <mergeCell ref="B66:J66"/>
    <mergeCell ref="K66:L66"/>
    <mergeCell ref="M66:N66"/>
    <mergeCell ref="O66:P66"/>
    <mergeCell ref="Q66:R66"/>
    <mergeCell ref="S66:T66"/>
    <mergeCell ref="U66:V66"/>
    <mergeCell ref="F65:J65"/>
    <mergeCell ref="K65:L65"/>
    <mergeCell ref="M65:N65"/>
    <mergeCell ref="O65:P65"/>
    <mergeCell ref="Q65:R65"/>
    <mergeCell ref="S65:T65"/>
    <mergeCell ref="U62:V62"/>
    <mergeCell ref="W62:X64"/>
    <mergeCell ref="Y62:Y64"/>
    <mergeCell ref="F63:J63"/>
    <mergeCell ref="K63:L63"/>
    <mergeCell ref="M63:N63"/>
    <mergeCell ref="O63:P63"/>
    <mergeCell ref="Q63:R63"/>
    <mergeCell ref="S63:T63"/>
    <mergeCell ref="U63:V63"/>
    <mergeCell ref="U61:V61"/>
    <mergeCell ref="W61:X61"/>
    <mergeCell ref="AA61:AB62"/>
    <mergeCell ref="B62:E65"/>
    <mergeCell ref="F62:J62"/>
    <mergeCell ref="K62:L62"/>
    <mergeCell ref="M62:N62"/>
    <mergeCell ref="O62:P62"/>
    <mergeCell ref="Q62:R62"/>
    <mergeCell ref="S62:T62"/>
    <mergeCell ref="B61:G61"/>
    <mergeCell ref="K61:L61"/>
    <mergeCell ref="M61:N61"/>
    <mergeCell ref="O61:P61"/>
    <mergeCell ref="Q61:R61"/>
    <mergeCell ref="S61:T61"/>
    <mergeCell ref="AA63:AB63"/>
    <mergeCell ref="F64:J64"/>
    <mergeCell ref="K64:L64"/>
    <mergeCell ref="M64:N64"/>
    <mergeCell ref="O64:P64"/>
    <mergeCell ref="Q64:R64"/>
    <mergeCell ref="S64:T64"/>
    <mergeCell ref="U64:V64"/>
    <mergeCell ref="O59:P60"/>
    <mergeCell ref="Q59:R60"/>
    <mergeCell ref="S59:T60"/>
    <mergeCell ref="U59:V60"/>
    <mergeCell ref="W59:X60"/>
    <mergeCell ref="Y59:Y60"/>
    <mergeCell ref="B59:G60"/>
    <mergeCell ref="H59:H60"/>
    <mergeCell ref="I59:I60"/>
    <mergeCell ref="J59:J60"/>
    <mergeCell ref="K59:L60"/>
    <mergeCell ref="M59:N60"/>
    <mergeCell ref="O55:R58"/>
    <mergeCell ref="S55:T58"/>
    <mergeCell ref="U55:V58"/>
    <mergeCell ref="W55:X58"/>
    <mergeCell ref="Y55:Y58"/>
    <mergeCell ref="F56:G56"/>
    <mergeCell ref="F57:G57"/>
    <mergeCell ref="F58:G58"/>
    <mergeCell ref="B55:C58"/>
    <mergeCell ref="F55:G55"/>
    <mergeCell ref="I55:I58"/>
    <mergeCell ref="J55:J58"/>
    <mergeCell ref="K55:L58"/>
    <mergeCell ref="M55:N58"/>
    <mergeCell ref="S52:T52"/>
    <mergeCell ref="U52:V52"/>
    <mergeCell ref="W52:X52"/>
    <mergeCell ref="S53:T53"/>
    <mergeCell ref="U53:V53"/>
    <mergeCell ref="W53:X53"/>
    <mergeCell ref="W54:X54"/>
    <mergeCell ref="U54:V54"/>
    <mergeCell ref="S54:T54"/>
    <mergeCell ref="B52:B54"/>
    <mergeCell ref="F52:G52"/>
    <mergeCell ref="J52:J54"/>
    <mergeCell ref="K52:L52"/>
    <mergeCell ref="M52:N52"/>
    <mergeCell ref="O52:P52"/>
    <mergeCell ref="Q52:R52"/>
    <mergeCell ref="F53:G53"/>
    <mergeCell ref="K53:L53"/>
    <mergeCell ref="M53:N53"/>
    <mergeCell ref="O53:P53"/>
    <mergeCell ref="Q53:R53"/>
    <mergeCell ref="Q54:R54"/>
    <mergeCell ref="O54:P54"/>
    <mergeCell ref="M54:N54"/>
    <mergeCell ref="K54:L54"/>
    <mergeCell ref="F54:G54"/>
    <mergeCell ref="W46:X46"/>
    <mergeCell ref="F51:G51"/>
    <mergeCell ref="K51:L51"/>
    <mergeCell ref="M51:N51"/>
    <mergeCell ref="O51:P51"/>
    <mergeCell ref="Q51:R51"/>
    <mergeCell ref="S51:T51"/>
    <mergeCell ref="U51:V51"/>
    <mergeCell ref="W51:X51"/>
    <mergeCell ref="F46:G46"/>
    <mergeCell ref="K46:L46"/>
    <mergeCell ref="M46:N46"/>
    <mergeCell ref="O46:P46"/>
    <mergeCell ref="Q46:R46"/>
    <mergeCell ref="S46:T46"/>
    <mergeCell ref="K47:L47"/>
    <mergeCell ref="M47:N47"/>
    <mergeCell ref="O47:P47"/>
    <mergeCell ref="W44:X44"/>
    <mergeCell ref="F45:G45"/>
    <mergeCell ref="K45:L45"/>
    <mergeCell ref="M45:N45"/>
    <mergeCell ref="O45:P45"/>
    <mergeCell ref="Q45:R45"/>
    <mergeCell ref="S45:T45"/>
    <mergeCell ref="U45:V45"/>
    <mergeCell ref="W45:X45"/>
    <mergeCell ref="F44:G44"/>
    <mergeCell ref="K44:L44"/>
    <mergeCell ref="M44:N44"/>
    <mergeCell ref="O44:P44"/>
    <mergeCell ref="Q44:R44"/>
    <mergeCell ref="S44:T44"/>
    <mergeCell ref="W41:X41"/>
    <mergeCell ref="U42:V42"/>
    <mergeCell ref="W42:X42"/>
    <mergeCell ref="F43:G43"/>
    <mergeCell ref="K43:L43"/>
    <mergeCell ref="M43:N43"/>
    <mergeCell ref="O43:P43"/>
    <mergeCell ref="Q43:R43"/>
    <mergeCell ref="S43:T43"/>
    <mergeCell ref="U43:V43"/>
    <mergeCell ref="W43:X43"/>
    <mergeCell ref="F42:G42"/>
    <mergeCell ref="K42:L42"/>
    <mergeCell ref="M42:N42"/>
    <mergeCell ref="O42:P42"/>
    <mergeCell ref="Q42:R42"/>
    <mergeCell ref="S42:T42"/>
    <mergeCell ref="W37:X37"/>
    <mergeCell ref="AA37:AB37"/>
    <mergeCell ref="B38:C51"/>
    <mergeCell ref="F38:G38"/>
    <mergeCell ref="K38:L38"/>
    <mergeCell ref="M38:N38"/>
    <mergeCell ref="O38:P38"/>
    <mergeCell ref="Q38:R38"/>
    <mergeCell ref="S38:T38"/>
    <mergeCell ref="U38:V38"/>
    <mergeCell ref="W38:X38"/>
    <mergeCell ref="Y38:Y54"/>
    <mergeCell ref="F40:G40"/>
    <mergeCell ref="K40:L40"/>
    <mergeCell ref="M40:N40"/>
    <mergeCell ref="O40:P40"/>
    <mergeCell ref="Q40:R40"/>
    <mergeCell ref="S40:T40"/>
    <mergeCell ref="U40:V40"/>
    <mergeCell ref="W40:X40"/>
    <mergeCell ref="F41:G41"/>
    <mergeCell ref="K41:L41"/>
    <mergeCell ref="M41:N41"/>
    <mergeCell ref="O41:P41"/>
    <mergeCell ref="B37:G37"/>
    <mergeCell ref="K37:L37"/>
    <mergeCell ref="M37:N37"/>
    <mergeCell ref="O37:P37"/>
    <mergeCell ref="Q37:R37"/>
    <mergeCell ref="S37:T37"/>
    <mergeCell ref="U37:V37"/>
    <mergeCell ref="F36:G36"/>
    <mergeCell ref="K36:L36"/>
    <mergeCell ref="M36:N36"/>
    <mergeCell ref="O36:P36"/>
    <mergeCell ref="Q36:R36"/>
    <mergeCell ref="S36:T36"/>
    <mergeCell ref="W34:X36"/>
    <mergeCell ref="Y34:Y36"/>
    <mergeCell ref="F35:G35"/>
    <mergeCell ref="K35:L35"/>
    <mergeCell ref="M35:N35"/>
    <mergeCell ref="O35:P35"/>
    <mergeCell ref="Q35:R35"/>
    <mergeCell ref="S35:T35"/>
    <mergeCell ref="U35:V35"/>
    <mergeCell ref="U36:V36"/>
    <mergeCell ref="S32:T32"/>
    <mergeCell ref="U32:V32"/>
    <mergeCell ref="S30:T30"/>
    <mergeCell ref="U30:V30"/>
    <mergeCell ref="Q33:R33"/>
    <mergeCell ref="S33:T33"/>
    <mergeCell ref="U33:V33"/>
    <mergeCell ref="D34:D36"/>
    <mergeCell ref="F34:G34"/>
    <mergeCell ref="K34:L34"/>
    <mergeCell ref="M34:N34"/>
    <mergeCell ref="O34:P34"/>
    <mergeCell ref="Q34:R34"/>
    <mergeCell ref="S34:T34"/>
    <mergeCell ref="U34:V34"/>
    <mergeCell ref="W30:X33"/>
    <mergeCell ref="Y30:Y33"/>
    <mergeCell ref="F31:G31"/>
    <mergeCell ref="K31:L31"/>
    <mergeCell ref="M31:N31"/>
    <mergeCell ref="O31:P31"/>
    <mergeCell ref="Q31:R31"/>
    <mergeCell ref="S31:T31"/>
    <mergeCell ref="D30:D33"/>
    <mergeCell ref="F30:G30"/>
    <mergeCell ref="K30:L30"/>
    <mergeCell ref="M30:N30"/>
    <mergeCell ref="O30:P30"/>
    <mergeCell ref="Q30:R30"/>
    <mergeCell ref="F33:G33"/>
    <mergeCell ref="K33:L33"/>
    <mergeCell ref="M33:N33"/>
    <mergeCell ref="O33:P33"/>
    <mergeCell ref="U31:V31"/>
    <mergeCell ref="F32:G32"/>
    <mergeCell ref="K32:L32"/>
    <mergeCell ref="M32:N32"/>
    <mergeCell ref="O32:P32"/>
    <mergeCell ref="Q32:R32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Q24:R24"/>
    <mergeCell ref="S24:T24"/>
    <mergeCell ref="U24:V24"/>
    <mergeCell ref="D23:D24"/>
    <mergeCell ref="F23:G23"/>
    <mergeCell ref="K23:L23"/>
    <mergeCell ref="M23:N23"/>
    <mergeCell ref="O23:P23"/>
    <mergeCell ref="Q23:R23"/>
    <mergeCell ref="AA20:AB20"/>
    <mergeCell ref="F21:G21"/>
    <mergeCell ref="K21:L21"/>
    <mergeCell ref="M21:N21"/>
    <mergeCell ref="O21:P21"/>
    <mergeCell ref="Q21:R21"/>
    <mergeCell ref="S21:T21"/>
    <mergeCell ref="U21:V21"/>
    <mergeCell ref="X21:X22"/>
    <mergeCell ref="Y21:Y24"/>
    <mergeCell ref="F22:G22"/>
    <mergeCell ref="K22:L22"/>
    <mergeCell ref="M22:N22"/>
    <mergeCell ref="O22:P22"/>
    <mergeCell ref="Q22:R22"/>
    <mergeCell ref="S22:T22"/>
    <mergeCell ref="U22:V22"/>
    <mergeCell ref="S23:T23"/>
    <mergeCell ref="U23:V23"/>
    <mergeCell ref="X23:X24"/>
    <mergeCell ref="F24:G24"/>
    <mergeCell ref="K24:L24"/>
    <mergeCell ref="M24:N24"/>
    <mergeCell ref="O24:P24"/>
    <mergeCell ref="X19:X20"/>
    <mergeCell ref="Y19:Y20"/>
    <mergeCell ref="F20:G20"/>
    <mergeCell ref="K20:L20"/>
    <mergeCell ref="M20:N20"/>
    <mergeCell ref="O20:P20"/>
    <mergeCell ref="Q20:R20"/>
    <mergeCell ref="S20:T20"/>
    <mergeCell ref="U20:V20"/>
    <mergeCell ref="D19:D22"/>
    <mergeCell ref="F19:G19"/>
    <mergeCell ref="K19:L19"/>
    <mergeCell ref="M19:N19"/>
    <mergeCell ref="O19:P19"/>
    <mergeCell ref="Q19:R19"/>
    <mergeCell ref="U17:V17"/>
    <mergeCell ref="F18:G18"/>
    <mergeCell ref="K18:L18"/>
    <mergeCell ref="M18:N18"/>
    <mergeCell ref="O18:P18"/>
    <mergeCell ref="Q18:R18"/>
    <mergeCell ref="S18:T18"/>
    <mergeCell ref="U18:V18"/>
    <mergeCell ref="F17:G17"/>
    <mergeCell ref="K17:L17"/>
    <mergeCell ref="M17:N17"/>
    <mergeCell ref="O17:P17"/>
    <mergeCell ref="Q17:R17"/>
    <mergeCell ref="S17:T17"/>
    <mergeCell ref="S19:T19"/>
    <mergeCell ref="U19:V19"/>
    <mergeCell ref="AB14:AD14"/>
    <mergeCell ref="D15:D18"/>
    <mergeCell ref="F15:G15"/>
    <mergeCell ref="K15:L15"/>
    <mergeCell ref="M15:N15"/>
    <mergeCell ref="O15:P15"/>
    <mergeCell ref="Q15:R15"/>
    <mergeCell ref="D12:D14"/>
    <mergeCell ref="S15:T15"/>
    <mergeCell ref="U15:V15"/>
    <mergeCell ref="X15:X18"/>
    <mergeCell ref="F16:G16"/>
    <mergeCell ref="K16:L16"/>
    <mergeCell ref="M16:N16"/>
    <mergeCell ref="O16:P16"/>
    <mergeCell ref="Q16:R16"/>
    <mergeCell ref="S16:T16"/>
    <mergeCell ref="U16:V16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8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48:X48"/>
    <mergeCell ref="F48:G48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O11:P11"/>
    <mergeCell ref="Q11:R11"/>
    <mergeCell ref="W50:X50"/>
    <mergeCell ref="F49:G49"/>
    <mergeCell ref="K49:L49"/>
    <mergeCell ref="M49:N49"/>
    <mergeCell ref="O49:P49"/>
    <mergeCell ref="Q49:R49"/>
    <mergeCell ref="S49:T49"/>
    <mergeCell ref="U49:V49"/>
    <mergeCell ref="W49:X49"/>
    <mergeCell ref="K39:L39"/>
    <mergeCell ref="M39:N39"/>
    <mergeCell ref="Q39:R39"/>
    <mergeCell ref="S39:T39"/>
    <mergeCell ref="U39:V39"/>
    <mergeCell ref="F50:G50"/>
    <mergeCell ref="K50:L50"/>
    <mergeCell ref="M50:N50"/>
    <mergeCell ref="O50:P50"/>
    <mergeCell ref="Q50:R50"/>
    <mergeCell ref="S50:T50"/>
    <mergeCell ref="U50:V50"/>
    <mergeCell ref="Q47:R47"/>
    <mergeCell ref="K48:L48"/>
    <mergeCell ref="M48:N48"/>
    <mergeCell ref="O48:P48"/>
    <mergeCell ref="Q48:R48"/>
    <mergeCell ref="S48:T48"/>
    <mergeCell ref="U48:V48"/>
    <mergeCell ref="Q41:R41"/>
    <mergeCell ref="S41:T41"/>
    <mergeCell ref="U41:V41"/>
    <mergeCell ref="U44:V44"/>
    <mergeCell ref="U46:V46"/>
  </mergeCells>
  <phoneticPr fontId="9" type="noConversion"/>
  <conditionalFormatting sqref="AA37:AB37 AC58 AC60 AA63:AB63 AA66:AB66 AA68:AB68">
    <cfRule type="containsText" dxfId="1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12" scale="49" orientation="landscape" cellComments="asDisplayed" r:id="rId1"/>
  <rowBreaks count="1" manualBreakCount="1">
    <brk id="5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59A1EA45-93BD-45DA-9BCD-ABCB48B08B4B}">
          <x14:formula1>
            <xm:f>삭제금지!$J$2:$J$59</xm:f>
          </x14:formula1>
          <xm:sqref>H5:J5</xm:sqref>
        </x14:dataValidation>
        <x14:dataValidation type="list" allowBlank="1" showInputMessage="1" showErrorMessage="1" xr:uid="{4F0409C6-1581-4704-953E-E893F603A622}">
          <x14:formula1>
            <xm:f>삭제금지!$I$2:$I$18</xm:f>
          </x14:formula1>
          <xm:sqref>F5:G5</xm:sqref>
        </x14:dataValidation>
        <x14:dataValidation type="list" allowBlank="1" showInputMessage="1" showErrorMessage="1" xr:uid="{A14CD0E9-E042-4329-A9A1-DD8C8BB1E34A}">
          <x14:formula1>
            <xm:f>삭제금지!$K$2:$K$59</xm:f>
          </x14:formula1>
          <xm:sqref>K5:O5</xm:sqref>
        </x14:dataValidation>
        <x14:dataValidation type="list" allowBlank="1" showInputMessage="1" showErrorMessage="1" xr:uid="{4356D924-58E9-4B37-BC57-558EA7B0BBB1}">
          <x14:formula1>
            <xm:f>삭제금지!$L$2:$L$4</xm:f>
          </x14:formula1>
          <xm:sqref>T5:V5</xm:sqref>
        </x14:dataValidation>
        <x14:dataValidation type="list" allowBlank="1" showInputMessage="1" showErrorMessage="1" xr:uid="{C11C338E-0E26-4A41-B107-C6C527E28504}">
          <x14:formula1>
            <xm:f>삭제금지!$H$2:$H$18</xm:f>
          </x14:formula1>
          <xm:sqref>B5</xm:sqref>
        </x14:dataValidation>
        <x14:dataValidation type="list" allowBlank="1" showInputMessage="1" showErrorMessage="1" xr:uid="{1FCC8434-D1CE-42CF-BAC0-2D88C98F068D}">
          <x14:formula1>
            <xm:f>'C:\Users\User\Desktop\[2022학년도 직업계 고등학교 교육과정 편제표_특성화고(정선정보공고_0820).xlsx]삭제금지'!#REF!</xm:f>
          </x14:formula1>
          <xm:sqref>D55:D57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DE6D-6C48-46C0-9D2C-50AA96E59F90}">
  <sheetPr>
    <pageSetUpPr fitToPage="1"/>
  </sheetPr>
  <dimension ref="B1:AD104"/>
  <sheetViews>
    <sheetView view="pageBreakPreview" zoomScaleNormal="100" zoomScaleSheetLayoutView="100" workbookViewId="0">
      <pane ySplit="8" topLeftCell="A42" activePane="bottomLeft" state="frozen"/>
      <selection pane="bottomLeft" activeCell="AA59" sqref="AA59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6.2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236" t="s">
        <v>719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7"/>
      <c r="V2" s="238" t="s">
        <v>130</v>
      </c>
      <c r="W2" s="239"/>
      <c r="X2" s="240">
        <v>2027</v>
      </c>
      <c r="Y2" s="241"/>
      <c r="AA2" s="242" t="s">
        <v>144</v>
      </c>
      <c r="AB2" s="19" t="s">
        <v>145</v>
      </c>
      <c r="AC2" s="54" t="s">
        <v>153</v>
      </c>
      <c r="AD2" s="20" t="s">
        <v>146</v>
      </c>
    </row>
    <row r="3" spans="2:30" ht="17.25" thickBot="1">
      <c r="B3" s="245" t="s">
        <v>369</v>
      </c>
      <c r="C3" s="247" t="s">
        <v>53</v>
      </c>
      <c r="D3" s="248"/>
      <c r="E3" s="248"/>
      <c r="F3" s="247" t="s">
        <v>64</v>
      </c>
      <c r="G3" s="251"/>
      <c r="H3" s="247" t="s">
        <v>54</v>
      </c>
      <c r="I3" s="248"/>
      <c r="J3" s="248"/>
      <c r="K3" s="247" t="s">
        <v>55</v>
      </c>
      <c r="L3" s="248"/>
      <c r="M3" s="248"/>
      <c r="N3" s="248"/>
      <c r="O3" s="251"/>
      <c r="P3" s="253" t="s">
        <v>56</v>
      </c>
      <c r="Q3" s="254"/>
      <c r="R3" s="254"/>
      <c r="S3" s="254"/>
      <c r="T3" s="254"/>
      <c r="U3" s="254"/>
      <c r="V3" s="254"/>
      <c r="W3" s="254"/>
      <c r="X3" s="254"/>
      <c r="Y3" s="255"/>
      <c r="AA3" s="243"/>
      <c r="AB3" s="21" t="s">
        <v>147</v>
      </c>
      <c r="AC3" s="59" t="s">
        <v>524</v>
      </c>
      <c r="AD3" s="22" t="s">
        <v>527</v>
      </c>
    </row>
    <row r="4" spans="2:30" ht="17.25" thickBot="1">
      <c r="B4" s="246"/>
      <c r="C4" s="249"/>
      <c r="D4" s="250"/>
      <c r="E4" s="250"/>
      <c r="F4" s="249"/>
      <c r="G4" s="252"/>
      <c r="H4" s="249"/>
      <c r="I4" s="250"/>
      <c r="J4" s="250"/>
      <c r="K4" s="249"/>
      <c r="L4" s="250"/>
      <c r="M4" s="250"/>
      <c r="N4" s="250"/>
      <c r="O4" s="252"/>
      <c r="P4" s="253" t="s">
        <v>127</v>
      </c>
      <c r="Q4" s="254"/>
      <c r="R4" s="254"/>
      <c r="S4" s="254"/>
      <c r="T4" s="253" t="s">
        <v>61</v>
      </c>
      <c r="U4" s="254"/>
      <c r="V4" s="255"/>
      <c r="W4" s="254" t="s">
        <v>128</v>
      </c>
      <c r="X4" s="254"/>
      <c r="Y4" s="255"/>
      <c r="AA4" s="243"/>
      <c r="AB4" s="23" t="s">
        <v>148</v>
      </c>
      <c r="AC4" s="60" t="s">
        <v>525</v>
      </c>
      <c r="AD4" s="22" t="s">
        <v>526</v>
      </c>
    </row>
    <row r="5" spans="2:30" ht="26.25" customHeight="1" thickBot="1">
      <c r="B5" s="96" t="s">
        <v>519</v>
      </c>
      <c r="C5" s="256" t="s">
        <v>520</v>
      </c>
      <c r="D5" s="257"/>
      <c r="E5" s="258"/>
      <c r="F5" s="256" t="s">
        <v>550</v>
      </c>
      <c r="G5" s="259"/>
      <c r="H5" s="260" t="s">
        <v>554</v>
      </c>
      <c r="I5" s="257"/>
      <c r="J5" s="258"/>
      <c r="K5" s="256"/>
      <c r="L5" s="257"/>
      <c r="M5" s="257"/>
      <c r="N5" s="257"/>
      <c r="O5" s="259"/>
      <c r="P5" s="260" t="s">
        <v>555</v>
      </c>
      <c r="Q5" s="257"/>
      <c r="R5" s="257"/>
      <c r="S5" s="258"/>
      <c r="T5" s="256" t="s">
        <v>34</v>
      </c>
      <c r="U5" s="257"/>
      <c r="V5" s="258"/>
      <c r="W5" s="261" t="s">
        <v>556</v>
      </c>
      <c r="X5" s="262"/>
      <c r="Y5" s="263"/>
      <c r="AA5" s="244"/>
      <c r="AB5" s="24" t="s">
        <v>149</v>
      </c>
      <c r="AC5" s="61"/>
      <c r="AD5" s="175"/>
    </row>
    <row r="6" spans="2:30" ht="15.75" customHeight="1" thickBot="1">
      <c r="U6" s="268"/>
      <c r="V6" s="268"/>
      <c r="W6" s="268"/>
      <c r="X6" s="268"/>
      <c r="Y6" s="268"/>
    </row>
    <row r="7" spans="2:30" s="10" customFormat="1" ht="22.5" customHeight="1">
      <c r="B7" s="269" t="s">
        <v>2</v>
      </c>
      <c r="C7" s="270"/>
      <c r="D7" s="273" t="s">
        <v>120</v>
      </c>
      <c r="E7" s="275" t="s">
        <v>57</v>
      </c>
      <c r="F7" s="276"/>
      <c r="G7" s="277"/>
      <c r="H7" s="278" t="s">
        <v>134</v>
      </c>
      <c r="I7" s="280" t="s">
        <v>135</v>
      </c>
      <c r="J7" s="282" t="s">
        <v>136</v>
      </c>
      <c r="K7" s="284" t="s">
        <v>58</v>
      </c>
      <c r="L7" s="280"/>
      <c r="M7" s="280"/>
      <c r="N7" s="285"/>
      <c r="O7" s="286" t="s">
        <v>59</v>
      </c>
      <c r="P7" s="280"/>
      <c r="Q7" s="280"/>
      <c r="R7" s="285"/>
      <c r="S7" s="284" t="s">
        <v>60</v>
      </c>
      <c r="T7" s="280"/>
      <c r="U7" s="280"/>
      <c r="V7" s="287"/>
      <c r="W7" s="278" t="s">
        <v>137</v>
      </c>
      <c r="X7" s="282"/>
      <c r="Y7" s="277" t="s">
        <v>138</v>
      </c>
      <c r="Z7" s="9"/>
    </row>
    <row r="8" spans="2:30" s="10" customFormat="1" ht="22.5" customHeight="1" thickBot="1">
      <c r="B8" s="271"/>
      <c r="C8" s="272"/>
      <c r="D8" s="274"/>
      <c r="E8" s="25" t="s">
        <v>18</v>
      </c>
      <c r="F8" s="303" t="s">
        <v>19</v>
      </c>
      <c r="G8" s="304"/>
      <c r="H8" s="279"/>
      <c r="I8" s="281"/>
      <c r="J8" s="283"/>
      <c r="K8" s="305" t="s">
        <v>0</v>
      </c>
      <c r="L8" s="281"/>
      <c r="M8" s="281" t="s">
        <v>62</v>
      </c>
      <c r="N8" s="306"/>
      <c r="O8" s="307" t="s">
        <v>0</v>
      </c>
      <c r="P8" s="281"/>
      <c r="Q8" s="281" t="s">
        <v>62</v>
      </c>
      <c r="R8" s="306"/>
      <c r="S8" s="305" t="s">
        <v>0</v>
      </c>
      <c r="T8" s="281"/>
      <c r="U8" s="281" t="s">
        <v>62</v>
      </c>
      <c r="V8" s="308"/>
      <c r="W8" s="279"/>
      <c r="X8" s="283"/>
      <c r="Y8" s="302"/>
      <c r="AA8" s="291" t="s">
        <v>508</v>
      </c>
      <c r="AB8" s="291"/>
      <c r="AC8" s="291"/>
      <c r="AD8" s="291"/>
    </row>
    <row r="9" spans="2:30" ht="16.5" customHeight="1" thickBot="1">
      <c r="B9" s="292" t="s">
        <v>347</v>
      </c>
      <c r="C9" s="293"/>
      <c r="D9" s="298" t="s">
        <v>21</v>
      </c>
      <c r="E9" s="62" t="s">
        <v>12</v>
      </c>
      <c r="F9" s="288" t="s">
        <v>211</v>
      </c>
      <c r="G9" s="233"/>
      <c r="H9" s="63">
        <v>4</v>
      </c>
      <c r="I9" s="64" t="s">
        <v>348</v>
      </c>
      <c r="J9" s="65">
        <v>3</v>
      </c>
      <c r="K9" s="288">
        <v>3</v>
      </c>
      <c r="L9" s="289"/>
      <c r="M9" s="232"/>
      <c r="N9" s="290"/>
      <c r="O9" s="301"/>
      <c r="P9" s="289"/>
      <c r="Q9" s="232"/>
      <c r="R9" s="290"/>
      <c r="S9" s="301"/>
      <c r="T9" s="289"/>
      <c r="U9" s="232"/>
      <c r="V9" s="233"/>
      <c r="W9" s="66">
        <f>SUM(K9:V9)</f>
        <v>3</v>
      </c>
      <c r="X9" s="311">
        <f>SUM(W9:W11)</f>
        <v>9</v>
      </c>
      <c r="Y9" s="313">
        <v>24</v>
      </c>
      <c r="AA9" s="157" t="s">
        <v>18</v>
      </c>
      <c r="AB9" s="158" t="s">
        <v>514</v>
      </c>
      <c r="AC9" s="158" t="s">
        <v>515</v>
      </c>
      <c r="AD9" s="159" t="s">
        <v>516</v>
      </c>
    </row>
    <row r="10" spans="2:30" ht="17.25" thickBot="1">
      <c r="B10" s="294"/>
      <c r="C10" s="295"/>
      <c r="D10" s="299"/>
      <c r="E10" s="67" t="s">
        <v>12</v>
      </c>
      <c r="F10" s="314" t="s">
        <v>212</v>
      </c>
      <c r="G10" s="315"/>
      <c r="H10" s="68">
        <v>4</v>
      </c>
      <c r="I10" s="69" t="s">
        <v>348</v>
      </c>
      <c r="J10" s="70">
        <v>3</v>
      </c>
      <c r="K10" s="314"/>
      <c r="L10" s="316"/>
      <c r="M10" s="317">
        <v>3</v>
      </c>
      <c r="N10" s="318"/>
      <c r="O10" s="319"/>
      <c r="P10" s="316"/>
      <c r="Q10" s="317"/>
      <c r="R10" s="318"/>
      <c r="S10" s="319"/>
      <c r="T10" s="316"/>
      <c r="U10" s="317"/>
      <c r="V10" s="315"/>
      <c r="W10" s="71">
        <f t="shared" ref="W10:W24" si="0">SUM(K10:V10)</f>
        <v>3</v>
      </c>
      <c r="X10" s="312"/>
      <c r="Y10" s="313"/>
      <c r="AA10" s="160" t="s">
        <v>509</v>
      </c>
      <c r="AB10" s="161">
        <v>4</v>
      </c>
      <c r="AC10" s="161">
        <v>-1</v>
      </c>
      <c r="AD10" s="22" t="s">
        <v>348</v>
      </c>
    </row>
    <row r="11" spans="2:30" ht="17.25" thickBot="1">
      <c r="B11" s="294"/>
      <c r="C11" s="295"/>
      <c r="D11" s="300"/>
      <c r="E11" s="72" t="s">
        <v>349</v>
      </c>
      <c r="F11" s="309" t="s">
        <v>350</v>
      </c>
      <c r="G11" s="310"/>
      <c r="H11" s="73">
        <v>4</v>
      </c>
      <c r="I11" s="74" t="s">
        <v>351</v>
      </c>
      <c r="J11" s="75">
        <v>3</v>
      </c>
      <c r="K11" s="309"/>
      <c r="L11" s="265"/>
      <c r="M11" s="266"/>
      <c r="N11" s="267"/>
      <c r="O11" s="264"/>
      <c r="P11" s="265"/>
      <c r="Q11" s="266">
        <v>3</v>
      </c>
      <c r="R11" s="267"/>
      <c r="S11" s="264"/>
      <c r="T11" s="265"/>
      <c r="U11" s="266"/>
      <c r="V11" s="310"/>
      <c r="W11" s="71">
        <f t="shared" si="0"/>
        <v>3</v>
      </c>
      <c r="X11" s="312"/>
      <c r="Y11" s="313"/>
      <c r="AA11" s="160" t="s">
        <v>510</v>
      </c>
      <c r="AB11" s="161">
        <v>3</v>
      </c>
      <c r="AC11" s="161"/>
      <c r="AD11" s="22">
        <v>3</v>
      </c>
    </row>
    <row r="12" spans="2:30" ht="17.25" thickBot="1">
      <c r="B12" s="294"/>
      <c r="C12" s="295"/>
      <c r="D12" s="298" t="s">
        <v>5</v>
      </c>
      <c r="E12" s="62" t="s">
        <v>12</v>
      </c>
      <c r="F12" s="288" t="s">
        <v>223</v>
      </c>
      <c r="G12" s="233"/>
      <c r="H12" s="63">
        <v>4</v>
      </c>
      <c r="I12" s="64" t="s">
        <v>348</v>
      </c>
      <c r="J12" s="65">
        <v>3</v>
      </c>
      <c r="K12" s="288">
        <v>3</v>
      </c>
      <c r="L12" s="289"/>
      <c r="M12" s="232"/>
      <c r="N12" s="290"/>
      <c r="O12" s="301"/>
      <c r="P12" s="289"/>
      <c r="Q12" s="232"/>
      <c r="R12" s="290"/>
      <c r="S12" s="301"/>
      <c r="T12" s="289"/>
      <c r="U12" s="232"/>
      <c r="V12" s="233"/>
      <c r="W12" s="66">
        <f t="shared" si="0"/>
        <v>3</v>
      </c>
      <c r="X12" s="311">
        <f t="shared" ref="X12" si="1">SUM(W12:W14)</f>
        <v>9</v>
      </c>
      <c r="Y12" s="313"/>
      <c r="AA12" s="160" t="s">
        <v>511</v>
      </c>
      <c r="AB12" s="161">
        <v>4</v>
      </c>
      <c r="AC12" s="161" t="s">
        <v>517</v>
      </c>
      <c r="AD12" s="22" t="s">
        <v>351</v>
      </c>
    </row>
    <row r="13" spans="2:30" ht="17.25" thickBot="1">
      <c r="B13" s="294"/>
      <c r="C13" s="295"/>
      <c r="D13" s="299"/>
      <c r="E13" s="67" t="s">
        <v>12</v>
      </c>
      <c r="F13" s="314" t="s">
        <v>225</v>
      </c>
      <c r="G13" s="315"/>
      <c r="H13" s="68">
        <v>4</v>
      </c>
      <c r="I13" s="69" t="s">
        <v>348</v>
      </c>
      <c r="J13" s="70">
        <v>3</v>
      </c>
      <c r="K13" s="314"/>
      <c r="L13" s="316"/>
      <c r="M13" s="317">
        <v>3</v>
      </c>
      <c r="N13" s="318"/>
      <c r="O13" s="319"/>
      <c r="P13" s="316"/>
      <c r="Q13" s="317"/>
      <c r="R13" s="318"/>
      <c r="S13" s="319"/>
      <c r="T13" s="316"/>
      <c r="U13" s="317"/>
      <c r="V13" s="315"/>
      <c r="W13" s="71">
        <f t="shared" si="0"/>
        <v>3</v>
      </c>
      <c r="X13" s="312"/>
      <c r="Y13" s="313"/>
      <c r="AA13" s="160" t="s">
        <v>512</v>
      </c>
      <c r="AB13" s="161">
        <v>3</v>
      </c>
      <c r="AC13" s="161" t="s">
        <v>517</v>
      </c>
      <c r="AD13" s="22" t="s">
        <v>357</v>
      </c>
    </row>
    <row r="14" spans="2:30" ht="17.25" thickBot="1">
      <c r="B14" s="294"/>
      <c r="C14" s="295"/>
      <c r="D14" s="300"/>
      <c r="E14" s="72" t="s">
        <v>349</v>
      </c>
      <c r="F14" s="309" t="s">
        <v>352</v>
      </c>
      <c r="G14" s="310"/>
      <c r="H14" s="73">
        <v>4</v>
      </c>
      <c r="I14" s="74" t="s">
        <v>351</v>
      </c>
      <c r="J14" s="75">
        <v>3</v>
      </c>
      <c r="K14" s="309"/>
      <c r="L14" s="265"/>
      <c r="M14" s="266"/>
      <c r="N14" s="267"/>
      <c r="O14" s="264">
        <v>3</v>
      </c>
      <c r="P14" s="265"/>
      <c r="Q14" s="266"/>
      <c r="R14" s="267"/>
      <c r="S14" s="264"/>
      <c r="T14" s="265"/>
      <c r="U14" s="266"/>
      <c r="V14" s="310"/>
      <c r="W14" s="71">
        <f t="shared" si="0"/>
        <v>3</v>
      </c>
      <c r="X14" s="312"/>
      <c r="Y14" s="313"/>
      <c r="AA14" s="162" t="s">
        <v>513</v>
      </c>
      <c r="AB14" s="320" t="s">
        <v>518</v>
      </c>
      <c r="AC14" s="320"/>
      <c r="AD14" s="321"/>
    </row>
    <row r="15" spans="2:30" ht="17.25" thickBot="1">
      <c r="B15" s="294"/>
      <c r="C15" s="295"/>
      <c r="D15" s="298" t="s">
        <v>6</v>
      </c>
      <c r="E15" s="62" t="s">
        <v>12</v>
      </c>
      <c r="F15" s="288" t="s">
        <v>230</v>
      </c>
      <c r="G15" s="233"/>
      <c r="H15" s="63">
        <v>4</v>
      </c>
      <c r="I15" s="64" t="s">
        <v>348</v>
      </c>
      <c r="J15" s="65">
        <v>3</v>
      </c>
      <c r="K15" s="288">
        <v>3</v>
      </c>
      <c r="L15" s="289"/>
      <c r="M15" s="232"/>
      <c r="N15" s="290"/>
      <c r="O15" s="301"/>
      <c r="P15" s="289"/>
      <c r="Q15" s="232"/>
      <c r="R15" s="290"/>
      <c r="S15" s="301"/>
      <c r="T15" s="289"/>
      <c r="U15" s="232"/>
      <c r="V15" s="233"/>
      <c r="W15" s="66">
        <f t="shared" si="0"/>
        <v>3</v>
      </c>
      <c r="X15" s="311">
        <f t="shared" ref="X15" si="2">SUM(W15:W18)</f>
        <v>12</v>
      </c>
      <c r="Y15" s="313"/>
    </row>
    <row r="16" spans="2:30" ht="17.25" thickBot="1">
      <c r="B16" s="294"/>
      <c r="C16" s="295"/>
      <c r="D16" s="299"/>
      <c r="E16" s="67" t="s">
        <v>12</v>
      </c>
      <c r="F16" s="314" t="s">
        <v>236</v>
      </c>
      <c r="G16" s="315"/>
      <c r="H16" s="68">
        <v>4</v>
      </c>
      <c r="I16" s="69" t="s">
        <v>348</v>
      </c>
      <c r="J16" s="70">
        <v>3</v>
      </c>
      <c r="K16" s="314"/>
      <c r="L16" s="316"/>
      <c r="M16" s="317">
        <v>3</v>
      </c>
      <c r="N16" s="318"/>
      <c r="O16" s="319"/>
      <c r="P16" s="316"/>
      <c r="Q16" s="317"/>
      <c r="R16" s="318"/>
      <c r="S16" s="319"/>
      <c r="T16" s="316"/>
      <c r="U16" s="317"/>
      <c r="V16" s="315"/>
      <c r="W16" s="71">
        <f t="shared" si="0"/>
        <v>3</v>
      </c>
      <c r="X16" s="312"/>
      <c r="Y16" s="313"/>
    </row>
    <row r="17" spans="2:29" ht="17.25" thickBot="1">
      <c r="B17" s="294"/>
      <c r="C17" s="295"/>
      <c r="D17" s="299"/>
      <c r="E17" s="163" t="s">
        <v>349</v>
      </c>
      <c r="F17" s="314" t="s">
        <v>528</v>
      </c>
      <c r="G17" s="327"/>
      <c r="H17" s="164">
        <v>4</v>
      </c>
      <c r="I17" s="69" t="s">
        <v>375</v>
      </c>
      <c r="J17" s="165">
        <v>3</v>
      </c>
      <c r="K17" s="314"/>
      <c r="L17" s="328"/>
      <c r="M17" s="317"/>
      <c r="N17" s="329"/>
      <c r="O17" s="319">
        <v>3</v>
      </c>
      <c r="P17" s="328"/>
      <c r="Q17" s="317"/>
      <c r="R17" s="329"/>
      <c r="S17" s="319"/>
      <c r="T17" s="328"/>
      <c r="U17" s="317"/>
      <c r="V17" s="327"/>
      <c r="W17" s="71">
        <v>3</v>
      </c>
      <c r="X17" s="312"/>
      <c r="Y17" s="313"/>
    </row>
    <row r="18" spans="2:29" ht="17.25" thickBot="1">
      <c r="B18" s="294"/>
      <c r="C18" s="295"/>
      <c r="D18" s="300"/>
      <c r="E18" s="76" t="s">
        <v>354</v>
      </c>
      <c r="F18" s="309" t="s">
        <v>241</v>
      </c>
      <c r="G18" s="310"/>
      <c r="H18" s="73">
        <v>4</v>
      </c>
      <c r="I18" s="74" t="s">
        <v>351</v>
      </c>
      <c r="J18" s="75">
        <v>3</v>
      </c>
      <c r="K18" s="309"/>
      <c r="L18" s="265"/>
      <c r="M18" s="266"/>
      <c r="N18" s="267"/>
      <c r="O18" s="264"/>
      <c r="P18" s="265"/>
      <c r="Q18" s="266">
        <v>3</v>
      </c>
      <c r="R18" s="267"/>
      <c r="S18" s="264"/>
      <c r="T18" s="265"/>
      <c r="U18" s="266"/>
      <c r="V18" s="310"/>
      <c r="W18" s="71">
        <f t="shared" si="0"/>
        <v>3</v>
      </c>
      <c r="X18" s="312"/>
      <c r="Y18" s="313"/>
    </row>
    <row r="19" spans="2:29" ht="17.25" thickBot="1">
      <c r="B19" s="294"/>
      <c r="C19" s="295"/>
      <c r="D19" s="298" t="s">
        <v>353</v>
      </c>
      <c r="E19" s="62" t="s">
        <v>12</v>
      </c>
      <c r="F19" s="288" t="s">
        <v>244</v>
      </c>
      <c r="G19" s="233"/>
      <c r="H19" s="63">
        <v>3</v>
      </c>
      <c r="I19" s="77">
        <v>3</v>
      </c>
      <c r="J19" s="65">
        <v>3</v>
      </c>
      <c r="K19" s="322">
        <v>3</v>
      </c>
      <c r="L19" s="323"/>
      <c r="M19" s="324"/>
      <c r="N19" s="325"/>
      <c r="O19" s="326"/>
      <c r="P19" s="323"/>
      <c r="Q19" s="324"/>
      <c r="R19" s="325"/>
      <c r="S19" s="326"/>
      <c r="T19" s="323"/>
      <c r="U19" s="324"/>
      <c r="V19" s="330"/>
      <c r="W19" s="66">
        <f t="shared" si="0"/>
        <v>3</v>
      </c>
      <c r="X19" s="311">
        <f>SUM(W19:W20)</f>
        <v>6</v>
      </c>
      <c r="Y19" s="313">
        <v>6</v>
      </c>
    </row>
    <row r="20" spans="2:29" ht="17.25" thickBot="1">
      <c r="B20" s="294"/>
      <c r="C20" s="295"/>
      <c r="D20" s="299"/>
      <c r="E20" s="78" t="s">
        <v>12</v>
      </c>
      <c r="F20" s="332" t="s">
        <v>245</v>
      </c>
      <c r="G20" s="333"/>
      <c r="H20" s="79">
        <v>3</v>
      </c>
      <c r="I20" s="80">
        <v>3</v>
      </c>
      <c r="J20" s="172">
        <v>3</v>
      </c>
      <c r="K20" s="309"/>
      <c r="L20" s="265"/>
      <c r="M20" s="266">
        <v>3</v>
      </c>
      <c r="N20" s="267"/>
      <c r="O20" s="264"/>
      <c r="P20" s="265"/>
      <c r="Q20" s="266"/>
      <c r="R20" s="267"/>
      <c r="S20" s="264"/>
      <c r="T20" s="265"/>
      <c r="U20" s="266"/>
      <c r="V20" s="310"/>
      <c r="W20" s="81">
        <f t="shared" si="0"/>
        <v>3</v>
      </c>
      <c r="X20" s="331"/>
      <c r="Y20" s="313"/>
      <c r="AA20" s="334"/>
      <c r="AB20" s="334"/>
      <c r="AC20" s="171"/>
    </row>
    <row r="21" spans="2:29" ht="17.25" thickBot="1">
      <c r="B21" s="294"/>
      <c r="C21" s="295"/>
      <c r="D21" s="299"/>
      <c r="E21" s="62" t="s">
        <v>12</v>
      </c>
      <c r="F21" s="288" t="s">
        <v>247</v>
      </c>
      <c r="G21" s="233"/>
      <c r="H21" s="63">
        <v>4</v>
      </c>
      <c r="I21" s="77" t="s">
        <v>348</v>
      </c>
      <c r="J21" s="65">
        <v>3</v>
      </c>
      <c r="K21" s="288"/>
      <c r="L21" s="289"/>
      <c r="M21" s="232"/>
      <c r="N21" s="290"/>
      <c r="O21" s="301">
        <v>3</v>
      </c>
      <c r="P21" s="289"/>
      <c r="Q21" s="232"/>
      <c r="R21" s="290"/>
      <c r="S21" s="301"/>
      <c r="T21" s="289"/>
      <c r="U21" s="232"/>
      <c r="V21" s="233"/>
      <c r="W21" s="66">
        <f t="shared" si="0"/>
        <v>3</v>
      </c>
      <c r="X21" s="311">
        <f>SUM(W21:W22)</f>
        <v>6</v>
      </c>
      <c r="Y21" s="313">
        <v>12</v>
      </c>
    </row>
    <row r="22" spans="2:29" ht="17.25" thickBot="1">
      <c r="B22" s="294"/>
      <c r="C22" s="295"/>
      <c r="D22" s="300"/>
      <c r="E22" s="76" t="s">
        <v>12</v>
      </c>
      <c r="F22" s="309" t="s">
        <v>248</v>
      </c>
      <c r="G22" s="310"/>
      <c r="H22" s="73">
        <v>4</v>
      </c>
      <c r="I22" s="74" t="s">
        <v>348</v>
      </c>
      <c r="J22" s="75">
        <v>3</v>
      </c>
      <c r="K22" s="309"/>
      <c r="L22" s="265"/>
      <c r="M22" s="266"/>
      <c r="N22" s="267"/>
      <c r="O22" s="264"/>
      <c r="P22" s="265"/>
      <c r="Q22" s="266">
        <v>3</v>
      </c>
      <c r="R22" s="267"/>
      <c r="S22" s="264"/>
      <c r="T22" s="265"/>
      <c r="U22" s="266"/>
      <c r="V22" s="310"/>
      <c r="W22" s="81">
        <f t="shared" si="0"/>
        <v>3</v>
      </c>
      <c r="X22" s="331"/>
      <c r="Y22" s="313"/>
    </row>
    <row r="23" spans="2:29" ht="17.25" thickBot="1">
      <c r="B23" s="294"/>
      <c r="C23" s="295"/>
      <c r="D23" s="298" t="s">
        <v>26</v>
      </c>
      <c r="E23" s="62" t="s">
        <v>12</v>
      </c>
      <c r="F23" s="288" t="s">
        <v>265</v>
      </c>
      <c r="G23" s="233"/>
      <c r="H23" s="63">
        <v>4</v>
      </c>
      <c r="I23" s="77" t="s">
        <v>348</v>
      </c>
      <c r="J23" s="65">
        <v>3</v>
      </c>
      <c r="K23" s="288">
        <v>3</v>
      </c>
      <c r="L23" s="289"/>
      <c r="M23" s="232"/>
      <c r="N23" s="290"/>
      <c r="O23" s="301"/>
      <c r="P23" s="289"/>
      <c r="Q23" s="232"/>
      <c r="R23" s="290"/>
      <c r="S23" s="301"/>
      <c r="T23" s="289"/>
      <c r="U23" s="232"/>
      <c r="V23" s="233"/>
      <c r="W23" s="66">
        <f t="shared" si="0"/>
        <v>3</v>
      </c>
      <c r="X23" s="293">
        <f>SUM(W23:W24)</f>
        <v>6</v>
      </c>
      <c r="Y23" s="313"/>
    </row>
    <row r="24" spans="2:29" ht="17.25" thickBot="1">
      <c r="B24" s="294"/>
      <c r="C24" s="295"/>
      <c r="D24" s="299"/>
      <c r="E24" s="67" t="s">
        <v>12</v>
      </c>
      <c r="F24" s="314" t="s">
        <v>266</v>
      </c>
      <c r="G24" s="315"/>
      <c r="H24" s="68">
        <v>4</v>
      </c>
      <c r="I24" s="69" t="s">
        <v>348</v>
      </c>
      <c r="J24" s="70">
        <v>3</v>
      </c>
      <c r="K24" s="314"/>
      <c r="L24" s="316"/>
      <c r="M24" s="317">
        <v>3</v>
      </c>
      <c r="N24" s="318"/>
      <c r="O24" s="319"/>
      <c r="P24" s="316"/>
      <c r="Q24" s="317"/>
      <c r="R24" s="318"/>
      <c r="S24" s="319"/>
      <c r="T24" s="316"/>
      <c r="U24" s="317"/>
      <c r="V24" s="315"/>
      <c r="W24" s="71">
        <f t="shared" si="0"/>
        <v>3</v>
      </c>
      <c r="X24" s="295"/>
      <c r="Y24" s="313"/>
    </row>
    <row r="25" spans="2:29" ht="16.5" customHeight="1" thickBot="1">
      <c r="B25" s="294"/>
      <c r="C25" s="295"/>
      <c r="D25" s="298" t="s">
        <v>8</v>
      </c>
      <c r="E25" s="62" t="s">
        <v>355</v>
      </c>
      <c r="F25" s="288" t="s">
        <v>356</v>
      </c>
      <c r="G25" s="233"/>
      <c r="H25" s="63">
        <v>3</v>
      </c>
      <c r="I25" s="77" t="s">
        <v>357</v>
      </c>
      <c r="J25" s="65">
        <f t="shared" ref="J25:J26" si="3">SUM(K25:V25)</f>
        <v>2</v>
      </c>
      <c r="K25" s="288">
        <v>2</v>
      </c>
      <c r="L25" s="289"/>
      <c r="M25" s="232"/>
      <c r="N25" s="290"/>
      <c r="O25" s="301"/>
      <c r="P25" s="289"/>
      <c r="Q25" s="232"/>
      <c r="R25" s="290"/>
      <c r="S25" s="301"/>
      <c r="T25" s="289"/>
      <c r="U25" s="232"/>
      <c r="V25" s="233"/>
      <c r="W25" s="66">
        <f>SUM(K25:V25)</f>
        <v>2</v>
      </c>
      <c r="X25" s="335">
        <f>SUM(W25:W29)</f>
        <v>9</v>
      </c>
      <c r="Y25" s="313">
        <v>8</v>
      </c>
    </row>
    <row r="26" spans="2:29" ht="17.25" thickBot="1">
      <c r="B26" s="294"/>
      <c r="C26" s="295"/>
      <c r="D26" s="299"/>
      <c r="E26" s="67" t="s">
        <v>355</v>
      </c>
      <c r="F26" s="314" t="s">
        <v>358</v>
      </c>
      <c r="G26" s="315"/>
      <c r="H26" s="68">
        <v>3</v>
      </c>
      <c r="I26" s="69" t="s">
        <v>357</v>
      </c>
      <c r="J26" s="70">
        <f t="shared" si="3"/>
        <v>2</v>
      </c>
      <c r="K26" s="314"/>
      <c r="L26" s="316"/>
      <c r="M26" s="317">
        <v>2</v>
      </c>
      <c r="N26" s="318"/>
      <c r="O26" s="319"/>
      <c r="P26" s="316"/>
      <c r="Q26" s="317"/>
      <c r="R26" s="318"/>
      <c r="S26" s="319"/>
      <c r="T26" s="316"/>
      <c r="U26" s="317"/>
      <c r="V26" s="315"/>
      <c r="W26" s="71">
        <f t="shared" ref="W26:W29" si="4">SUM(K26:V26)</f>
        <v>2</v>
      </c>
      <c r="X26" s="336"/>
      <c r="Y26" s="313"/>
    </row>
    <row r="27" spans="2:29" ht="17.25" thickBot="1">
      <c r="B27" s="294"/>
      <c r="C27" s="295"/>
      <c r="D27" s="299"/>
      <c r="E27" s="67" t="s">
        <v>349</v>
      </c>
      <c r="F27" s="314" t="s">
        <v>523</v>
      </c>
      <c r="G27" s="315"/>
      <c r="H27" s="68">
        <v>3</v>
      </c>
      <c r="I27" s="69" t="s">
        <v>357</v>
      </c>
      <c r="J27" s="70">
        <v>2</v>
      </c>
      <c r="K27" s="314"/>
      <c r="L27" s="316"/>
      <c r="M27" s="317"/>
      <c r="N27" s="318"/>
      <c r="O27" s="319">
        <v>2</v>
      </c>
      <c r="P27" s="316"/>
      <c r="Q27" s="317"/>
      <c r="R27" s="318"/>
      <c r="S27" s="319"/>
      <c r="T27" s="316"/>
      <c r="U27" s="317"/>
      <c r="V27" s="315"/>
      <c r="W27" s="71">
        <f t="shared" si="4"/>
        <v>2</v>
      </c>
      <c r="X27" s="336"/>
      <c r="Y27" s="313"/>
    </row>
    <row r="28" spans="2:29" ht="17.25" thickBot="1">
      <c r="B28" s="294"/>
      <c r="C28" s="295"/>
      <c r="D28" s="299"/>
      <c r="E28" s="67" t="s">
        <v>354</v>
      </c>
      <c r="F28" s="314" t="s">
        <v>359</v>
      </c>
      <c r="G28" s="315"/>
      <c r="H28" s="68">
        <v>3</v>
      </c>
      <c r="I28" s="69" t="s">
        <v>357</v>
      </c>
      <c r="J28" s="70">
        <v>2</v>
      </c>
      <c r="K28" s="314"/>
      <c r="L28" s="316"/>
      <c r="M28" s="317"/>
      <c r="N28" s="318"/>
      <c r="O28" s="319"/>
      <c r="P28" s="316"/>
      <c r="Q28" s="317">
        <v>2</v>
      </c>
      <c r="R28" s="318"/>
      <c r="S28" s="319"/>
      <c r="T28" s="316"/>
      <c r="U28" s="317"/>
      <c r="V28" s="315"/>
      <c r="W28" s="71">
        <f t="shared" si="4"/>
        <v>2</v>
      </c>
      <c r="X28" s="336"/>
      <c r="Y28" s="313"/>
    </row>
    <row r="29" spans="2:29" ht="17.25" thickBot="1">
      <c r="B29" s="294"/>
      <c r="C29" s="295"/>
      <c r="D29" s="300"/>
      <c r="E29" s="76" t="s">
        <v>349</v>
      </c>
      <c r="F29" s="309" t="s">
        <v>535</v>
      </c>
      <c r="G29" s="310"/>
      <c r="H29" s="73">
        <v>2</v>
      </c>
      <c r="I29" s="74" t="s">
        <v>360</v>
      </c>
      <c r="J29" s="75">
        <v>1</v>
      </c>
      <c r="K29" s="309"/>
      <c r="L29" s="265"/>
      <c r="M29" s="266"/>
      <c r="N29" s="267"/>
      <c r="O29" s="264"/>
      <c r="P29" s="265"/>
      <c r="Q29" s="266"/>
      <c r="R29" s="267"/>
      <c r="S29" s="264">
        <v>1</v>
      </c>
      <c r="T29" s="265"/>
      <c r="U29" s="266"/>
      <c r="V29" s="310"/>
      <c r="W29" s="81">
        <f t="shared" si="4"/>
        <v>1</v>
      </c>
      <c r="X29" s="337"/>
      <c r="Y29" s="313"/>
    </row>
    <row r="30" spans="2:29" ht="17.25" thickBot="1">
      <c r="B30" s="294"/>
      <c r="C30" s="295"/>
      <c r="D30" s="298" t="s">
        <v>28</v>
      </c>
      <c r="E30" s="62" t="s">
        <v>355</v>
      </c>
      <c r="F30" s="288" t="s">
        <v>9</v>
      </c>
      <c r="G30" s="233"/>
      <c r="H30" s="63">
        <v>3</v>
      </c>
      <c r="I30" s="82" t="s">
        <v>357</v>
      </c>
      <c r="J30" s="65">
        <v>2</v>
      </c>
      <c r="K30" s="288">
        <v>2</v>
      </c>
      <c r="L30" s="289"/>
      <c r="M30" s="232"/>
      <c r="N30" s="290"/>
      <c r="O30" s="301"/>
      <c r="P30" s="289"/>
      <c r="Q30" s="232"/>
      <c r="R30" s="290"/>
      <c r="S30" s="301"/>
      <c r="T30" s="289"/>
      <c r="U30" s="232"/>
      <c r="V30" s="233"/>
      <c r="W30" s="338">
        <f>SUM(K30:V33)</f>
        <v>8</v>
      </c>
      <c r="X30" s="339"/>
      <c r="Y30" s="313">
        <v>6</v>
      </c>
    </row>
    <row r="31" spans="2:29" ht="17.25" thickBot="1">
      <c r="B31" s="294"/>
      <c r="C31" s="295"/>
      <c r="D31" s="299"/>
      <c r="E31" s="72" t="s">
        <v>349</v>
      </c>
      <c r="F31" s="314" t="s">
        <v>292</v>
      </c>
      <c r="G31" s="327"/>
      <c r="H31" s="166">
        <v>3</v>
      </c>
      <c r="I31" s="69" t="s">
        <v>357</v>
      </c>
      <c r="J31" s="167">
        <v>2</v>
      </c>
      <c r="K31" s="314"/>
      <c r="L31" s="328"/>
      <c r="M31" s="317">
        <v>2</v>
      </c>
      <c r="N31" s="329"/>
      <c r="O31" s="319"/>
      <c r="P31" s="328"/>
      <c r="Q31" s="317"/>
      <c r="R31" s="329"/>
      <c r="S31" s="319"/>
      <c r="T31" s="328"/>
      <c r="U31" s="317"/>
      <c r="V31" s="327"/>
      <c r="W31" s="340"/>
      <c r="X31" s="341"/>
      <c r="Y31" s="313"/>
    </row>
    <row r="32" spans="2:29" ht="17.25" thickBot="1">
      <c r="B32" s="294"/>
      <c r="C32" s="295"/>
      <c r="D32" s="299"/>
      <c r="E32" s="72" t="s">
        <v>349</v>
      </c>
      <c r="F32" s="314" t="s">
        <v>291</v>
      </c>
      <c r="G32" s="327"/>
      <c r="H32" s="166">
        <v>3</v>
      </c>
      <c r="I32" s="69" t="s">
        <v>357</v>
      </c>
      <c r="J32" s="167">
        <v>2</v>
      </c>
      <c r="K32" s="314"/>
      <c r="L32" s="328"/>
      <c r="M32" s="317"/>
      <c r="N32" s="329"/>
      <c r="O32" s="319">
        <v>2</v>
      </c>
      <c r="P32" s="328"/>
      <c r="Q32" s="317"/>
      <c r="R32" s="329"/>
      <c r="S32" s="319"/>
      <c r="T32" s="328"/>
      <c r="U32" s="317"/>
      <c r="V32" s="327"/>
      <c r="W32" s="340"/>
      <c r="X32" s="341"/>
      <c r="Y32" s="313"/>
    </row>
    <row r="33" spans="2:28" ht="17.25" thickBot="1">
      <c r="B33" s="294"/>
      <c r="C33" s="295"/>
      <c r="D33" s="299"/>
      <c r="E33" s="72" t="s">
        <v>354</v>
      </c>
      <c r="F33" s="314" t="s">
        <v>295</v>
      </c>
      <c r="G33" s="315"/>
      <c r="H33" s="68">
        <v>3</v>
      </c>
      <c r="I33" s="82" t="s">
        <v>357</v>
      </c>
      <c r="J33" s="70">
        <v>2</v>
      </c>
      <c r="K33" s="314"/>
      <c r="L33" s="316"/>
      <c r="M33" s="317"/>
      <c r="N33" s="318"/>
      <c r="O33" s="319"/>
      <c r="P33" s="316"/>
      <c r="Q33" s="317">
        <v>2</v>
      </c>
      <c r="R33" s="318"/>
      <c r="S33" s="319"/>
      <c r="T33" s="316"/>
      <c r="U33" s="317"/>
      <c r="V33" s="315"/>
      <c r="W33" s="340"/>
      <c r="X33" s="341"/>
      <c r="Y33" s="313"/>
    </row>
    <row r="34" spans="2:28" ht="16.5" customHeight="1" thickBot="1">
      <c r="B34" s="294"/>
      <c r="C34" s="295"/>
      <c r="D34" s="342" t="s">
        <v>361</v>
      </c>
      <c r="E34" s="62" t="s">
        <v>349</v>
      </c>
      <c r="F34" s="288" t="s">
        <v>51</v>
      </c>
      <c r="G34" s="233"/>
      <c r="H34" s="63">
        <v>3</v>
      </c>
      <c r="I34" s="77" t="s">
        <v>357</v>
      </c>
      <c r="J34" s="65">
        <v>2</v>
      </c>
      <c r="K34" s="288"/>
      <c r="L34" s="289"/>
      <c r="M34" s="232"/>
      <c r="N34" s="290"/>
      <c r="O34" s="301"/>
      <c r="P34" s="289"/>
      <c r="Q34" s="232">
        <v>2</v>
      </c>
      <c r="R34" s="290"/>
      <c r="S34" s="301"/>
      <c r="T34" s="289"/>
      <c r="U34" s="232"/>
      <c r="V34" s="233"/>
      <c r="W34" s="338">
        <f>SUM(K34:V36)</f>
        <v>8</v>
      </c>
      <c r="X34" s="339"/>
      <c r="Y34" s="313">
        <v>8</v>
      </c>
    </row>
    <row r="35" spans="2:28" ht="16.5" customHeight="1" thickBot="1">
      <c r="B35" s="294"/>
      <c r="C35" s="295"/>
      <c r="D35" s="343"/>
      <c r="E35" s="72" t="s">
        <v>355</v>
      </c>
      <c r="F35" s="314" t="s">
        <v>529</v>
      </c>
      <c r="G35" s="315"/>
      <c r="H35" s="68">
        <v>3</v>
      </c>
      <c r="I35" s="69" t="s">
        <v>357</v>
      </c>
      <c r="J35" s="70">
        <v>3</v>
      </c>
      <c r="K35" s="314"/>
      <c r="L35" s="316"/>
      <c r="M35" s="317"/>
      <c r="N35" s="318"/>
      <c r="O35" s="319">
        <v>3</v>
      </c>
      <c r="P35" s="316"/>
      <c r="Q35" s="317"/>
      <c r="R35" s="318"/>
      <c r="S35" s="319"/>
      <c r="T35" s="316"/>
      <c r="U35" s="317"/>
      <c r="V35" s="315"/>
      <c r="W35" s="340"/>
      <c r="X35" s="341"/>
      <c r="Y35" s="313"/>
    </row>
    <row r="36" spans="2:28" ht="17.25" thickBot="1">
      <c r="B36" s="296"/>
      <c r="C36" s="297"/>
      <c r="D36" s="343"/>
      <c r="E36" s="72" t="s">
        <v>355</v>
      </c>
      <c r="F36" s="309" t="s">
        <v>340</v>
      </c>
      <c r="G36" s="310"/>
      <c r="H36" s="73">
        <v>3</v>
      </c>
      <c r="I36" s="74" t="s">
        <v>357</v>
      </c>
      <c r="J36" s="75">
        <v>3</v>
      </c>
      <c r="K36" s="309"/>
      <c r="L36" s="265"/>
      <c r="M36" s="266"/>
      <c r="N36" s="267"/>
      <c r="O36" s="319"/>
      <c r="P36" s="316"/>
      <c r="Q36" s="317">
        <v>3</v>
      </c>
      <c r="R36" s="318"/>
      <c r="S36" s="319"/>
      <c r="T36" s="316"/>
      <c r="U36" s="317"/>
      <c r="V36" s="315"/>
      <c r="W36" s="340"/>
      <c r="X36" s="341"/>
      <c r="Y36" s="313"/>
    </row>
    <row r="37" spans="2:28" ht="24.75" customHeight="1" thickBot="1">
      <c r="B37" s="344" t="s">
        <v>370</v>
      </c>
      <c r="C37" s="345"/>
      <c r="D37" s="345"/>
      <c r="E37" s="345"/>
      <c r="F37" s="345"/>
      <c r="G37" s="346"/>
      <c r="H37" s="170">
        <f>SUM(H21:H36)</f>
        <v>51</v>
      </c>
      <c r="I37" s="18"/>
      <c r="J37" s="169">
        <f>SUM(J21:J36)</f>
        <v>37</v>
      </c>
      <c r="K37" s="347">
        <f>SUM(K9:L36)</f>
        <v>19</v>
      </c>
      <c r="L37" s="348"/>
      <c r="M37" s="348">
        <f>SUM(M9:N36)</f>
        <v>19</v>
      </c>
      <c r="N37" s="349"/>
      <c r="O37" s="350">
        <f>SUM(O9:P36)</f>
        <v>16</v>
      </c>
      <c r="P37" s="348"/>
      <c r="Q37" s="348">
        <f>SUM(Q9:R36)</f>
        <v>18</v>
      </c>
      <c r="R37" s="351"/>
      <c r="S37" s="352">
        <f>SUM(S9:T36)</f>
        <v>1</v>
      </c>
      <c r="T37" s="348"/>
      <c r="U37" s="348">
        <f>SUM(U9:V36)</f>
        <v>0</v>
      </c>
      <c r="V37" s="353"/>
      <c r="W37" s="344">
        <f>SUM(K37:V37)</f>
        <v>73</v>
      </c>
      <c r="X37" s="352"/>
      <c r="Y37" s="169">
        <f>SUM(Y9:Y36)</f>
        <v>64</v>
      </c>
      <c r="AA37" s="354" t="b">
        <f>W37&gt;=Y37</f>
        <v>1</v>
      </c>
      <c r="AB37" s="355"/>
    </row>
    <row r="38" spans="2:28" ht="17.25" customHeight="1">
      <c r="B38" s="356" t="s">
        <v>362</v>
      </c>
      <c r="C38" s="357"/>
      <c r="D38" s="532" t="s">
        <v>363</v>
      </c>
      <c r="E38" s="533"/>
      <c r="F38" s="514" t="s">
        <v>536</v>
      </c>
      <c r="G38" s="515"/>
      <c r="H38" s="194"/>
      <c r="I38" s="205"/>
      <c r="J38" s="206">
        <v>3</v>
      </c>
      <c r="K38" s="288"/>
      <c r="L38" s="289"/>
      <c r="M38" s="232"/>
      <c r="N38" s="290"/>
      <c r="O38" s="301"/>
      <c r="P38" s="289"/>
      <c r="Q38" s="232"/>
      <c r="R38" s="290"/>
      <c r="S38" s="301">
        <v>3</v>
      </c>
      <c r="T38" s="289"/>
      <c r="U38" s="232"/>
      <c r="V38" s="233"/>
      <c r="W38" s="516">
        <f>SUM(K38:V38)</f>
        <v>3</v>
      </c>
      <c r="X38" s="517"/>
      <c r="Y38" s="371">
        <v>80</v>
      </c>
    </row>
    <row r="39" spans="2:28" ht="17.25" customHeight="1" thickBot="1">
      <c r="B39" s="358"/>
      <c r="C39" s="359"/>
      <c r="D39" s="534"/>
      <c r="E39" s="535"/>
      <c r="F39" s="529" t="s">
        <v>557</v>
      </c>
      <c r="G39" s="530"/>
      <c r="H39" s="196"/>
      <c r="I39" s="197"/>
      <c r="J39" s="198">
        <v>2</v>
      </c>
      <c r="K39" s="199"/>
      <c r="L39" s="200"/>
      <c r="M39" s="266">
        <v>2</v>
      </c>
      <c r="N39" s="537"/>
      <c r="O39" s="264"/>
      <c r="P39" s="531"/>
      <c r="Q39" s="201"/>
      <c r="R39" s="203"/>
      <c r="S39" s="202"/>
      <c r="T39" s="200"/>
      <c r="U39" s="201"/>
      <c r="V39" s="204"/>
      <c r="W39" s="536">
        <v>2</v>
      </c>
      <c r="X39" s="530"/>
      <c r="Y39" s="372"/>
    </row>
    <row r="40" spans="2:28" ht="17.25" customHeight="1">
      <c r="B40" s="358"/>
      <c r="C40" s="359"/>
      <c r="D40" s="86" t="s">
        <v>66</v>
      </c>
      <c r="E40" s="91" t="s">
        <v>364</v>
      </c>
      <c r="F40" s="518" t="s">
        <v>537</v>
      </c>
      <c r="G40" s="519"/>
      <c r="H40" s="182"/>
      <c r="I40" s="183"/>
      <c r="J40" s="184">
        <v>3</v>
      </c>
      <c r="K40" s="520"/>
      <c r="L40" s="521"/>
      <c r="M40" s="522">
        <v>3</v>
      </c>
      <c r="N40" s="523"/>
      <c r="O40" s="524"/>
      <c r="P40" s="521"/>
      <c r="Q40" s="522"/>
      <c r="R40" s="525"/>
      <c r="S40" s="523"/>
      <c r="T40" s="521"/>
      <c r="U40" s="522"/>
      <c r="V40" s="526"/>
      <c r="W40" s="527">
        <f t="shared" ref="W40:W49" si="5">SUM(K40:V40)</f>
        <v>3</v>
      </c>
      <c r="X40" s="528"/>
      <c r="Y40" s="372"/>
    </row>
    <row r="41" spans="2:28" ht="17.25" customHeight="1">
      <c r="B41" s="358"/>
      <c r="C41" s="359"/>
      <c r="D41" s="83" t="s">
        <v>70</v>
      </c>
      <c r="E41" s="84" t="s">
        <v>364</v>
      </c>
      <c r="F41" s="374" t="s">
        <v>565</v>
      </c>
      <c r="G41" s="375"/>
      <c r="H41" s="182"/>
      <c r="I41" s="183"/>
      <c r="J41" s="184">
        <v>5</v>
      </c>
      <c r="K41" s="314">
        <v>5</v>
      </c>
      <c r="L41" s="316"/>
      <c r="M41" s="317"/>
      <c r="N41" s="318"/>
      <c r="O41" s="319"/>
      <c r="P41" s="316"/>
      <c r="Q41" s="317"/>
      <c r="R41" s="318"/>
      <c r="S41" s="319"/>
      <c r="T41" s="316"/>
      <c r="U41" s="317"/>
      <c r="V41" s="315"/>
      <c r="W41" s="377">
        <f t="shared" si="5"/>
        <v>5</v>
      </c>
      <c r="X41" s="378"/>
      <c r="Y41" s="372"/>
    </row>
    <row r="42" spans="2:28" ht="17.25" customHeight="1">
      <c r="B42" s="358"/>
      <c r="C42" s="359"/>
      <c r="D42" s="83" t="s">
        <v>70</v>
      </c>
      <c r="E42" s="84" t="s">
        <v>364</v>
      </c>
      <c r="F42" s="374" t="s">
        <v>566</v>
      </c>
      <c r="G42" s="375"/>
      <c r="H42" s="182"/>
      <c r="I42" s="183"/>
      <c r="J42" s="184">
        <v>5</v>
      </c>
      <c r="K42" s="314"/>
      <c r="L42" s="316"/>
      <c r="M42" s="317"/>
      <c r="N42" s="318"/>
      <c r="O42" s="319">
        <v>5</v>
      </c>
      <c r="P42" s="316"/>
      <c r="Q42" s="317"/>
      <c r="R42" s="318"/>
      <c r="S42" s="319"/>
      <c r="T42" s="316"/>
      <c r="U42" s="317"/>
      <c r="V42" s="315"/>
      <c r="W42" s="377">
        <f t="shared" si="5"/>
        <v>5</v>
      </c>
      <c r="X42" s="378"/>
      <c r="Y42" s="372"/>
    </row>
    <row r="43" spans="2:28" ht="17.25" customHeight="1">
      <c r="B43" s="358"/>
      <c r="C43" s="359"/>
      <c r="D43" s="83" t="s">
        <v>366</v>
      </c>
      <c r="E43" s="84" t="s">
        <v>365</v>
      </c>
      <c r="F43" s="379" t="s">
        <v>569</v>
      </c>
      <c r="G43" s="380"/>
      <c r="H43" s="182"/>
      <c r="I43" s="183"/>
      <c r="J43" s="184">
        <v>5</v>
      </c>
      <c r="K43" s="314">
        <v>5</v>
      </c>
      <c r="L43" s="316"/>
      <c r="M43" s="317"/>
      <c r="N43" s="318"/>
      <c r="O43" s="319"/>
      <c r="P43" s="316"/>
      <c r="Q43" s="317"/>
      <c r="R43" s="318"/>
      <c r="S43" s="319"/>
      <c r="T43" s="316"/>
      <c r="U43" s="317"/>
      <c r="V43" s="315"/>
      <c r="W43" s="377">
        <f t="shared" si="5"/>
        <v>5</v>
      </c>
      <c r="X43" s="378"/>
      <c r="Y43" s="372"/>
    </row>
    <row r="44" spans="2:28" ht="17.25" customHeight="1">
      <c r="B44" s="358"/>
      <c r="C44" s="359"/>
      <c r="D44" s="83" t="s">
        <v>366</v>
      </c>
      <c r="E44" s="84" t="s">
        <v>365</v>
      </c>
      <c r="F44" s="379" t="s">
        <v>570</v>
      </c>
      <c r="G44" s="380"/>
      <c r="H44" s="182"/>
      <c r="I44" s="183"/>
      <c r="J44" s="184">
        <v>5</v>
      </c>
      <c r="K44" s="314"/>
      <c r="L44" s="316"/>
      <c r="M44" s="317">
        <v>5</v>
      </c>
      <c r="N44" s="376"/>
      <c r="O44" s="319"/>
      <c r="P44" s="316"/>
      <c r="Q44" s="317"/>
      <c r="R44" s="318"/>
      <c r="S44" s="376"/>
      <c r="T44" s="316"/>
      <c r="U44" s="317"/>
      <c r="V44" s="315"/>
      <c r="W44" s="377">
        <f t="shared" si="5"/>
        <v>5</v>
      </c>
      <c r="X44" s="378"/>
      <c r="Y44" s="372"/>
    </row>
    <row r="45" spans="2:28" ht="17.25" customHeight="1">
      <c r="B45" s="358"/>
      <c r="C45" s="359"/>
      <c r="D45" s="85" t="s">
        <v>70</v>
      </c>
      <c r="E45" s="84" t="s">
        <v>365</v>
      </c>
      <c r="F45" s="379" t="s">
        <v>571</v>
      </c>
      <c r="G45" s="380"/>
      <c r="H45" s="182"/>
      <c r="I45" s="185"/>
      <c r="J45" s="186">
        <v>23</v>
      </c>
      <c r="K45" s="314"/>
      <c r="L45" s="316"/>
      <c r="M45" s="317"/>
      <c r="N45" s="376"/>
      <c r="O45" s="319"/>
      <c r="P45" s="316"/>
      <c r="Q45" s="317"/>
      <c r="R45" s="318"/>
      <c r="S45" s="376">
        <v>11</v>
      </c>
      <c r="T45" s="316"/>
      <c r="U45" s="317">
        <v>12</v>
      </c>
      <c r="V45" s="315"/>
      <c r="W45" s="377">
        <f t="shared" si="5"/>
        <v>23</v>
      </c>
      <c r="X45" s="378"/>
      <c r="Y45" s="372"/>
    </row>
    <row r="46" spans="2:28" ht="16.5" customHeight="1">
      <c r="B46" s="358"/>
      <c r="C46" s="359"/>
      <c r="D46" s="86" t="s">
        <v>366</v>
      </c>
      <c r="E46" s="84" t="s">
        <v>365</v>
      </c>
      <c r="F46" s="381" t="s">
        <v>549</v>
      </c>
      <c r="G46" s="386"/>
      <c r="H46" s="187"/>
      <c r="I46" s="185"/>
      <c r="J46" s="186">
        <v>12</v>
      </c>
      <c r="K46" s="314"/>
      <c r="L46" s="316"/>
      <c r="M46" s="317"/>
      <c r="N46" s="376"/>
      <c r="O46" s="319"/>
      <c r="P46" s="316"/>
      <c r="Q46" s="317"/>
      <c r="R46" s="318"/>
      <c r="S46" s="376"/>
      <c r="T46" s="316"/>
      <c r="U46" s="317">
        <v>12</v>
      </c>
      <c r="V46" s="315"/>
      <c r="W46" s="377">
        <f t="shared" si="5"/>
        <v>12</v>
      </c>
      <c r="X46" s="378"/>
      <c r="Y46" s="372"/>
    </row>
    <row r="47" spans="2:28" ht="16.5" customHeight="1">
      <c r="B47" s="358"/>
      <c r="C47" s="359"/>
      <c r="D47" s="85" t="s">
        <v>70</v>
      </c>
      <c r="E47" s="84" t="s">
        <v>365</v>
      </c>
      <c r="F47" s="381" t="s">
        <v>572</v>
      </c>
      <c r="G47" s="382"/>
      <c r="H47" s="187"/>
      <c r="I47" s="185"/>
      <c r="J47" s="186">
        <v>10</v>
      </c>
      <c r="K47" s="188"/>
      <c r="L47" s="189"/>
      <c r="M47" s="190"/>
      <c r="N47" s="191"/>
      <c r="O47" s="192"/>
      <c r="P47" s="189"/>
      <c r="Q47" s="190"/>
      <c r="R47" s="193"/>
      <c r="S47" s="319">
        <v>5</v>
      </c>
      <c r="T47" s="538"/>
      <c r="U47" s="317">
        <v>5</v>
      </c>
      <c r="V47" s="385"/>
      <c r="W47" s="377">
        <v>10</v>
      </c>
      <c r="X47" s="385"/>
      <c r="Y47" s="372"/>
    </row>
    <row r="48" spans="2:28" ht="16.5" customHeight="1">
      <c r="B48" s="358"/>
      <c r="C48" s="359"/>
      <c r="D48" s="85" t="s">
        <v>576</v>
      </c>
      <c r="E48" s="84" t="s">
        <v>365</v>
      </c>
      <c r="F48" s="381" t="s">
        <v>573</v>
      </c>
      <c r="G48" s="382"/>
      <c r="H48" s="187"/>
      <c r="I48" s="185"/>
      <c r="J48" s="186">
        <v>3</v>
      </c>
      <c r="K48" s="188"/>
      <c r="L48" s="189"/>
      <c r="M48" s="190"/>
      <c r="N48" s="191"/>
      <c r="O48" s="319">
        <v>3</v>
      </c>
      <c r="P48" s="538"/>
      <c r="Q48" s="190"/>
      <c r="R48" s="193"/>
      <c r="S48" s="319"/>
      <c r="T48" s="383"/>
      <c r="U48" s="317"/>
      <c r="V48" s="384"/>
      <c r="W48" s="377">
        <v>3</v>
      </c>
      <c r="X48" s="385"/>
      <c r="Y48" s="372"/>
    </row>
    <row r="49" spans="2:29" ht="16.5" customHeight="1" thickBot="1">
      <c r="B49" s="358"/>
      <c r="C49" s="359"/>
      <c r="D49" s="86" t="s">
        <v>576</v>
      </c>
      <c r="E49" s="84" t="s">
        <v>365</v>
      </c>
      <c r="F49" s="381" t="s">
        <v>574</v>
      </c>
      <c r="G49" s="386"/>
      <c r="H49" s="187"/>
      <c r="I49" s="185"/>
      <c r="J49" s="186">
        <v>3</v>
      </c>
      <c r="K49" s="314"/>
      <c r="L49" s="316"/>
      <c r="M49" s="317"/>
      <c r="N49" s="376"/>
      <c r="O49" s="319"/>
      <c r="P49" s="316"/>
      <c r="Q49" s="317">
        <v>3</v>
      </c>
      <c r="R49" s="318"/>
      <c r="S49" s="376"/>
      <c r="T49" s="316"/>
      <c r="U49" s="317"/>
      <c r="V49" s="315"/>
      <c r="W49" s="377">
        <f t="shared" si="5"/>
        <v>3</v>
      </c>
      <c r="X49" s="378"/>
      <c r="Y49" s="372"/>
    </row>
    <row r="50" spans="2:29" ht="20.25" customHeight="1">
      <c r="B50" s="387" t="s">
        <v>156</v>
      </c>
      <c r="C50" s="174" t="s">
        <v>563</v>
      </c>
      <c r="D50" s="87" t="s">
        <v>70</v>
      </c>
      <c r="E50" s="88" t="s">
        <v>364</v>
      </c>
      <c r="F50" s="389" t="s">
        <v>567</v>
      </c>
      <c r="G50" s="390"/>
      <c r="H50" s="194"/>
      <c r="I50" s="391"/>
      <c r="J50" s="393">
        <v>3</v>
      </c>
      <c r="K50" s="288"/>
      <c r="L50" s="289"/>
      <c r="M50" s="232"/>
      <c r="N50" s="395"/>
      <c r="O50" s="326"/>
      <c r="P50" s="323"/>
      <c r="Q50" s="324">
        <v>3</v>
      </c>
      <c r="R50" s="325"/>
      <c r="S50" s="395"/>
      <c r="T50" s="289"/>
      <c r="U50" s="324" t="s">
        <v>562</v>
      </c>
      <c r="V50" s="330"/>
      <c r="W50" s="338">
        <f>SUM(O50:V51)</f>
        <v>3</v>
      </c>
      <c r="X50" s="339"/>
      <c r="Y50" s="372"/>
    </row>
    <row r="51" spans="2:29" ht="20.25" customHeight="1" thickBot="1">
      <c r="B51" s="388"/>
      <c r="C51" s="89" t="s">
        <v>564</v>
      </c>
      <c r="D51" s="90" t="s">
        <v>366</v>
      </c>
      <c r="E51" s="84" t="s">
        <v>364</v>
      </c>
      <c r="F51" s="403" t="s">
        <v>568</v>
      </c>
      <c r="G51" s="404"/>
      <c r="H51" s="195"/>
      <c r="I51" s="392"/>
      <c r="J51" s="394"/>
      <c r="K51" s="309"/>
      <c r="L51" s="265"/>
      <c r="M51" s="266"/>
      <c r="N51" s="405"/>
      <c r="O51" s="396"/>
      <c r="P51" s="397"/>
      <c r="Q51" s="398"/>
      <c r="R51" s="399"/>
      <c r="S51" s="405"/>
      <c r="T51" s="265"/>
      <c r="U51" s="400"/>
      <c r="V51" s="333"/>
      <c r="W51" s="401"/>
      <c r="X51" s="402"/>
      <c r="Y51" s="372"/>
    </row>
    <row r="52" spans="2:29" ht="16.5" customHeight="1">
      <c r="B52" s="406" t="s">
        <v>157</v>
      </c>
      <c r="C52" s="409" t="s">
        <v>68</v>
      </c>
      <c r="D52" s="86" t="s">
        <v>68</v>
      </c>
      <c r="E52" s="88" t="s">
        <v>365</v>
      </c>
      <c r="F52" s="389" t="s">
        <v>542</v>
      </c>
      <c r="G52" s="390"/>
      <c r="H52" s="194"/>
      <c r="I52" s="391"/>
      <c r="J52" s="393" t="s">
        <v>718</v>
      </c>
      <c r="K52" s="288"/>
      <c r="L52" s="289"/>
      <c r="M52" s="232"/>
      <c r="N52" s="395"/>
      <c r="O52" s="301">
        <v>5</v>
      </c>
      <c r="P52" s="289"/>
      <c r="Q52" s="232"/>
      <c r="R52" s="290"/>
      <c r="S52" s="395"/>
      <c r="T52" s="289"/>
      <c r="U52" s="232"/>
      <c r="V52" s="233"/>
      <c r="W52" s="338">
        <f>SUM(K52:V54)</f>
        <v>19</v>
      </c>
      <c r="X52" s="339"/>
      <c r="Y52" s="372"/>
    </row>
    <row r="53" spans="2:29" ht="16.5" customHeight="1">
      <c r="B53" s="407"/>
      <c r="C53" s="410"/>
      <c r="D53" s="85" t="s">
        <v>68</v>
      </c>
      <c r="E53" s="91" t="s">
        <v>365</v>
      </c>
      <c r="F53" s="379" t="s">
        <v>543</v>
      </c>
      <c r="G53" s="380"/>
      <c r="H53" s="182"/>
      <c r="I53" s="411"/>
      <c r="J53" s="412"/>
      <c r="K53" s="314"/>
      <c r="L53" s="316"/>
      <c r="M53" s="317"/>
      <c r="N53" s="318"/>
      <c r="O53" s="319"/>
      <c r="P53" s="316"/>
      <c r="Q53" s="317">
        <v>5</v>
      </c>
      <c r="R53" s="318"/>
      <c r="S53" s="319"/>
      <c r="T53" s="316"/>
      <c r="U53" s="317"/>
      <c r="V53" s="315"/>
      <c r="W53" s="340"/>
      <c r="X53" s="341"/>
      <c r="Y53" s="372"/>
    </row>
    <row r="54" spans="2:29" ht="17.25" thickBot="1">
      <c r="B54" s="407"/>
      <c r="C54" s="410"/>
      <c r="D54" s="85" t="s">
        <v>68</v>
      </c>
      <c r="E54" s="91" t="s">
        <v>365</v>
      </c>
      <c r="F54" s="379" t="s">
        <v>544</v>
      </c>
      <c r="G54" s="380"/>
      <c r="H54" s="187"/>
      <c r="I54" s="411"/>
      <c r="J54" s="412"/>
      <c r="K54" s="314"/>
      <c r="L54" s="316"/>
      <c r="M54" s="317"/>
      <c r="N54" s="376"/>
      <c r="O54" s="319"/>
      <c r="P54" s="316"/>
      <c r="Q54" s="317"/>
      <c r="R54" s="318"/>
      <c r="S54" s="376">
        <v>9</v>
      </c>
      <c r="T54" s="316"/>
      <c r="U54" s="317"/>
      <c r="V54" s="315"/>
      <c r="W54" s="340"/>
      <c r="X54" s="341"/>
      <c r="Y54" s="372"/>
    </row>
    <row r="55" spans="2:29" ht="17.25" thickBot="1">
      <c r="B55" s="407"/>
      <c r="C55" s="223" t="s">
        <v>155</v>
      </c>
      <c r="D55" s="87" t="s">
        <v>71</v>
      </c>
      <c r="E55" s="92" t="s">
        <v>365</v>
      </c>
      <c r="F55" s="234" t="s">
        <v>545</v>
      </c>
      <c r="G55" s="235"/>
      <c r="H55" s="194"/>
      <c r="I55" s="224"/>
      <c r="J55" s="412"/>
      <c r="K55" s="288"/>
      <c r="L55" s="289"/>
      <c r="M55" s="232"/>
      <c r="N55" s="395"/>
      <c r="O55" s="301"/>
      <c r="P55" s="289"/>
      <c r="Q55" s="232"/>
      <c r="R55" s="290"/>
      <c r="S55" s="395">
        <v>9</v>
      </c>
      <c r="T55" s="289"/>
      <c r="U55" s="232"/>
      <c r="V55" s="233"/>
      <c r="W55" s="338">
        <f>SUM(K55:V55)</f>
        <v>9</v>
      </c>
      <c r="X55" s="339"/>
      <c r="Y55" s="372"/>
    </row>
    <row r="56" spans="2:29">
      <c r="B56" s="407"/>
      <c r="C56" s="409" t="s">
        <v>270</v>
      </c>
      <c r="D56" s="87" t="s">
        <v>70</v>
      </c>
      <c r="E56" s="92" t="s">
        <v>364</v>
      </c>
      <c r="F56" s="234" t="s">
        <v>547</v>
      </c>
      <c r="G56" s="235"/>
      <c r="H56" s="194"/>
      <c r="I56" s="391"/>
      <c r="J56" s="412"/>
      <c r="K56" s="288"/>
      <c r="L56" s="289"/>
      <c r="M56" s="232"/>
      <c r="N56" s="395"/>
      <c r="O56" s="301">
        <v>5</v>
      </c>
      <c r="P56" s="289"/>
      <c r="Q56" s="232"/>
      <c r="R56" s="290"/>
      <c r="S56" s="395"/>
      <c r="T56" s="289"/>
      <c r="U56" s="232"/>
      <c r="V56" s="233"/>
      <c r="W56" s="338">
        <f>SUM(K56:V58)</f>
        <v>19</v>
      </c>
      <c r="X56" s="339"/>
      <c r="Y56" s="372"/>
      <c r="AC56" s="171"/>
    </row>
    <row r="57" spans="2:29">
      <c r="B57" s="407"/>
      <c r="C57" s="410"/>
      <c r="D57" s="85" t="s">
        <v>70</v>
      </c>
      <c r="E57" s="84" t="s">
        <v>365</v>
      </c>
      <c r="F57" s="381" t="s">
        <v>548</v>
      </c>
      <c r="G57" s="386"/>
      <c r="H57" s="187"/>
      <c r="I57" s="411"/>
      <c r="J57" s="412"/>
      <c r="K57" s="314"/>
      <c r="L57" s="316"/>
      <c r="M57" s="317"/>
      <c r="N57" s="376"/>
      <c r="O57" s="319"/>
      <c r="P57" s="316"/>
      <c r="Q57" s="317">
        <v>5</v>
      </c>
      <c r="R57" s="318"/>
      <c r="S57" s="376"/>
      <c r="T57" s="316"/>
      <c r="U57" s="317"/>
      <c r="V57" s="315"/>
      <c r="W57" s="340"/>
      <c r="X57" s="341"/>
      <c r="Y57" s="372"/>
      <c r="AC57" s="171"/>
    </row>
    <row r="58" spans="2:29" ht="17.25" thickBot="1">
      <c r="B58" s="408"/>
      <c r="C58" s="410"/>
      <c r="D58" s="90" t="s">
        <v>366</v>
      </c>
      <c r="E58" s="89" t="s">
        <v>365</v>
      </c>
      <c r="F58" s="403" t="s">
        <v>549</v>
      </c>
      <c r="G58" s="404"/>
      <c r="H58" s="196"/>
      <c r="I58" s="392"/>
      <c r="J58" s="394"/>
      <c r="K58" s="309"/>
      <c r="L58" s="265"/>
      <c r="M58" s="266"/>
      <c r="N58" s="405"/>
      <c r="O58" s="264"/>
      <c r="P58" s="265"/>
      <c r="Q58" s="266"/>
      <c r="R58" s="267"/>
      <c r="S58" s="405">
        <v>9</v>
      </c>
      <c r="T58" s="265"/>
      <c r="U58" s="266"/>
      <c r="V58" s="310"/>
      <c r="W58" s="401"/>
      <c r="X58" s="402"/>
      <c r="Y58" s="373"/>
      <c r="AC58" s="93"/>
    </row>
    <row r="59" spans="2:29" ht="16.5" customHeight="1">
      <c r="B59" s="292" t="s">
        <v>161</v>
      </c>
      <c r="C59" s="293"/>
      <c r="D59" s="87" t="s">
        <v>133</v>
      </c>
      <c r="E59" s="84" t="s">
        <v>365</v>
      </c>
      <c r="F59" s="441" t="s">
        <v>165</v>
      </c>
      <c r="G59" s="442"/>
      <c r="H59" s="56"/>
      <c r="I59" s="443"/>
      <c r="J59" s="446"/>
      <c r="K59" s="449"/>
      <c r="L59" s="423"/>
      <c r="M59" s="428"/>
      <c r="N59" s="422"/>
      <c r="O59" s="413"/>
      <c r="P59" s="414"/>
      <c r="Q59" s="414"/>
      <c r="R59" s="415"/>
      <c r="S59" s="422"/>
      <c r="T59" s="423"/>
      <c r="U59" s="428"/>
      <c r="V59" s="429"/>
      <c r="W59" s="338"/>
      <c r="X59" s="339"/>
      <c r="Y59" s="434"/>
    </row>
    <row r="60" spans="2:29" ht="16.5" customHeight="1">
      <c r="B60" s="294"/>
      <c r="C60" s="295"/>
      <c r="D60" s="94" t="s">
        <v>133</v>
      </c>
      <c r="E60" s="84" t="s">
        <v>365</v>
      </c>
      <c r="F60" s="437" t="s">
        <v>162</v>
      </c>
      <c r="G60" s="438"/>
      <c r="H60" s="56"/>
      <c r="I60" s="444"/>
      <c r="J60" s="447"/>
      <c r="K60" s="450"/>
      <c r="L60" s="425"/>
      <c r="M60" s="430"/>
      <c r="N60" s="424"/>
      <c r="O60" s="416"/>
      <c r="P60" s="417"/>
      <c r="Q60" s="417"/>
      <c r="R60" s="418"/>
      <c r="S60" s="424"/>
      <c r="T60" s="425"/>
      <c r="U60" s="430"/>
      <c r="V60" s="431"/>
      <c r="W60" s="340"/>
      <c r="X60" s="341"/>
      <c r="Y60" s="435"/>
    </row>
    <row r="61" spans="2:29" ht="16.5" customHeight="1">
      <c r="B61" s="294"/>
      <c r="C61" s="295"/>
      <c r="D61" s="94" t="s">
        <v>151</v>
      </c>
      <c r="E61" s="84" t="s">
        <v>365</v>
      </c>
      <c r="F61" s="437" t="s">
        <v>164</v>
      </c>
      <c r="G61" s="438"/>
      <c r="H61" s="55"/>
      <c r="I61" s="444"/>
      <c r="J61" s="447"/>
      <c r="K61" s="450"/>
      <c r="L61" s="425"/>
      <c r="M61" s="430"/>
      <c r="N61" s="424"/>
      <c r="O61" s="416"/>
      <c r="P61" s="417"/>
      <c r="Q61" s="417"/>
      <c r="R61" s="418"/>
      <c r="S61" s="424"/>
      <c r="T61" s="425"/>
      <c r="U61" s="430"/>
      <c r="V61" s="431"/>
      <c r="W61" s="340"/>
      <c r="X61" s="341"/>
      <c r="Y61" s="435"/>
      <c r="AC61" s="171"/>
    </row>
    <row r="62" spans="2:29" ht="16.5" customHeight="1" thickBot="1">
      <c r="B62" s="296"/>
      <c r="C62" s="297"/>
      <c r="D62" s="83" t="s">
        <v>367</v>
      </c>
      <c r="E62" s="89" t="s">
        <v>365</v>
      </c>
      <c r="F62" s="439" t="s">
        <v>163</v>
      </c>
      <c r="G62" s="440"/>
      <c r="H62" s="57"/>
      <c r="I62" s="445"/>
      <c r="J62" s="448"/>
      <c r="K62" s="451"/>
      <c r="L62" s="427"/>
      <c r="M62" s="432"/>
      <c r="N62" s="426"/>
      <c r="O62" s="419"/>
      <c r="P62" s="420"/>
      <c r="Q62" s="420"/>
      <c r="R62" s="421"/>
      <c r="S62" s="426"/>
      <c r="T62" s="427"/>
      <c r="U62" s="432"/>
      <c r="V62" s="433"/>
      <c r="W62" s="401"/>
      <c r="X62" s="402"/>
      <c r="Y62" s="436"/>
      <c r="AC62" s="93"/>
    </row>
    <row r="63" spans="2:29" ht="24.75" customHeight="1">
      <c r="B63" s="464" t="s">
        <v>371</v>
      </c>
      <c r="C63" s="460"/>
      <c r="D63" s="460"/>
      <c r="E63" s="460"/>
      <c r="F63" s="460"/>
      <c r="G63" s="462"/>
      <c r="H63" s="466">
        <f>SUM(H38:H49)</f>
        <v>0</v>
      </c>
      <c r="I63" s="468">
        <f>SUM(I38:I49)</f>
        <v>0</v>
      </c>
      <c r="J63" s="470">
        <f>SUM(J38:J62)</f>
        <v>82</v>
      </c>
      <c r="K63" s="464">
        <f>SUM(K38:L62)</f>
        <v>10</v>
      </c>
      <c r="L63" s="453"/>
      <c r="M63" s="456">
        <f>SUM(M38:N54)</f>
        <v>10</v>
      </c>
      <c r="N63" s="460"/>
      <c r="O63" s="452">
        <f>SUM(O38:P54)</f>
        <v>13</v>
      </c>
      <c r="P63" s="453"/>
      <c r="Q63" s="456">
        <f>SUM(Q38:R54)</f>
        <v>11</v>
      </c>
      <c r="R63" s="457"/>
      <c r="S63" s="460">
        <f>SUM(S38:T54)</f>
        <v>28</v>
      </c>
      <c r="T63" s="453"/>
      <c r="U63" s="456">
        <f>SUM(U38:V54)</f>
        <v>29</v>
      </c>
      <c r="V63" s="462"/>
      <c r="W63" s="464">
        <f>SUM(K63:V64)</f>
        <v>101</v>
      </c>
      <c r="X63" s="462"/>
      <c r="Y63" s="371">
        <f>SUM(Y38:Y55)</f>
        <v>80</v>
      </c>
      <c r="AC63" s="171"/>
    </row>
    <row r="64" spans="2:29" ht="17.25" thickBot="1">
      <c r="B64" s="465"/>
      <c r="C64" s="461"/>
      <c r="D64" s="461"/>
      <c r="E64" s="461"/>
      <c r="F64" s="461"/>
      <c r="G64" s="463"/>
      <c r="H64" s="467"/>
      <c r="I64" s="469"/>
      <c r="J64" s="471"/>
      <c r="K64" s="465"/>
      <c r="L64" s="455"/>
      <c r="M64" s="458"/>
      <c r="N64" s="461"/>
      <c r="O64" s="454"/>
      <c r="P64" s="455"/>
      <c r="Q64" s="458"/>
      <c r="R64" s="459"/>
      <c r="S64" s="461"/>
      <c r="T64" s="455"/>
      <c r="U64" s="458"/>
      <c r="V64" s="463"/>
      <c r="W64" s="465"/>
      <c r="X64" s="463"/>
      <c r="Y64" s="373"/>
      <c r="AC64" s="93"/>
    </row>
    <row r="65" spans="2:28" ht="17.25" customHeight="1" thickBot="1">
      <c r="B65" s="344"/>
      <c r="C65" s="345"/>
      <c r="D65" s="345"/>
      <c r="E65" s="345"/>
      <c r="F65" s="345"/>
      <c r="G65" s="346"/>
      <c r="H65" s="173">
        <f>SUM(H37,H63)</f>
        <v>51</v>
      </c>
      <c r="I65" s="168">
        <f>SUM(I37,I63)</f>
        <v>0</v>
      </c>
      <c r="J65" s="169">
        <f>SUM(J37,J63)</f>
        <v>119</v>
      </c>
      <c r="K65" s="344">
        <f>SUM(K37,K63)</f>
        <v>29</v>
      </c>
      <c r="L65" s="352"/>
      <c r="M65" s="349">
        <f>SUM(M37,M63)</f>
        <v>29</v>
      </c>
      <c r="N65" s="490"/>
      <c r="O65" s="491">
        <f>SUM(O37,O63)</f>
        <v>29</v>
      </c>
      <c r="P65" s="352"/>
      <c r="Q65" s="349">
        <f>SUM(Q37,Q63)</f>
        <v>29</v>
      </c>
      <c r="R65" s="490"/>
      <c r="S65" s="491">
        <f>SUM(S37,S63)</f>
        <v>29</v>
      </c>
      <c r="T65" s="352"/>
      <c r="U65" s="349">
        <f>SUM(U37,U63)</f>
        <v>29</v>
      </c>
      <c r="V65" s="346"/>
      <c r="W65" s="344">
        <f>SUM(K65:V65)</f>
        <v>174</v>
      </c>
      <c r="X65" s="346"/>
      <c r="Y65" s="11">
        <f>Y63+Y37</f>
        <v>144</v>
      </c>
      <c r="AA65" s="334" t="s">
        <v>159</v>
      </c>
      <c r="AB65" s="334"/>
    </row>
    <row r="66" spans="2:28" ht="18.75" customHeight="1" thickBot="1">
      <c r="B66" s="473" t="s">
        <v>372</v>
      </c>
      <c r="C66" s="474"/>
      <c r="D66" s="474"/>
      <c r="E66" s="475"/>
      <c r="F66" s="482" t="s">
        <v>368</v>
      </c>
      <c r="G66" s="483"/>
      <c r="H66" s="483"/>
      <c r="I66" s="483"/>
      <c r="J66" s="484"/>
      <c r="K66" s="485">
        <v>16</v>
      </c>
      <c r="L66" s="486"/>
      <c r="M66" s="487">
        <v>16</v>
      </c>
      <c r="N66" s="488"/>
      <c r="O66" s="489">
        <v>16</v>
      </c>
      <c r="P66" s="486"/>
      <c r="Q66" s="487">
        <v>16</v>
      </c>
      <c r="R66" s="488"/>
      <c r="S66" s="489">
        <v>16</v>
      </c>
      <c r="T66" s="486"/>
      <c r="U66" s="487">
        <v>16</v>
      </c>
      <c r="V66" s="501"/>
      <c r="W66" s="473">
        <f>SUM(K66:V68)</f>
        <v>288</v>
      </c>
      <c r="X66" s="475"/>
      <c r="Y66" s="371">
        <f>Y69*16</f>
        <v>288</v>
      </c>
      <c r="AA66" s="472"/>
      <c r="AB66" s="472"/>
    </row>
    <row r="67" spans="2:28" ht="17.25" customHeight="1" thickBot="1">
      <c r="B67" s="476"/>
      <c r="C67" s="477"/>
      <c r="D67" s="477"/>
      <c r="E67" s="478"/>
      <c r="F67" s="492" t="s">
        <v>63</v>
      </c>
      <c r="G67" s="493"/>
      <c r="H67" s="493"/>
      <c r="I67" s="493"/>
      <c r="J67" s="494"/>
      <c r="K67" s="495">
        <v>16</v>
      </c>
      <c r="L67" s="496"/>
      <c r="M67" s="497">
        <v>16</v>
      </c>
      <c r="N67" s="498"/>
      <c r="O67" s="499">
        <v>16</v>
      </c>
      <c r="P67" s="496"/>
      <c r="Q67" s="497">
        <v>16</v>
      </c>
      <c r="R67" s="498"/>
      <c r="S67" s="499">
        <v>16</v>
      </c>
      <c r="T67" s="496"/>
      <c r="U67" s="497">
        <v>16</v>
      </c>
      <c r="V67" s="500"/>
      <c r="W67" s="476"/>
      <c r="X67" s="478"/>
      <c r="Y67" s="372"/>
      <c r="AA67" s="354" t="b">
        <f>W65&gt;=Y65</f>
        <v>1</v>
      </c>
      <c r="AB67" s="355"/>
    </row>
    <row r="68" spans="2:28" ht="17.25" customHeight="1">
      <c r="B68" s="476"/>
      <c r="C68" s="477"/>
      <c r="D68" s="477"/>
      <c r="E68" s="478"/>
      <c r="F68" s="492" t="s">
        <v>11</v>
      </c>
      <c r="G68" s="493"/>
      <c r="H68" s="493"/>
      <c r="I68" s="493"/>
      <c r="J68" s="494"/>
      <c r="K68" s="495">
        <v>16</v>
      </c>
      <c r="L68" s="496"/>
      <c r="M68" s="497">
        <v>16</v>
      </c>
      <c r="N68" s="498"/>
      <c r="O68" s="499">
        <v>16</v>
      </c>
      <c r="P68" s="496"/>
      <c r="Q68" s="497">
        <v>16</v>
      </c>
      <c r="R68" s="498"/>
      <c r="S68" s="499">
        <v>16</v>
      </c>
      <c r="T68" s="496"/>
      <c r="U68" s="497">
        <v>16</v>
      </c>
      <c r="V68" s="500"/>
      <c r="W68" s="502"/>
      <c r="X68" s="503"/>
      <c r="Y68" s="504"/>
    </row>
    <row r="69" spans="2:28" ht="17.25" customHeight="1" thickBot="1">
      <c r="B69" s="479"/>
      <c r="C69" s="480"/>
      <c r="D69" s="480"/>
      <c r="E69" s="481"/>
      <c r="F69" s="507" t="s">
        <v>150</v>
      </c>
      <c r="G69" s="509"/>
      <c r="H69" s="509"/>
      <c r="I69" s="509"/>
      <c r="J69" s="508"/>
      <c r="K69" s="510">
        <v>3</v>
      </c>
      <c r="L69" s="511"/>
      <c r="M69" s="505">
        <v>3</v>
      </c>
      <c r="N69" s="512"/>
      <c r="O69" s="513">
        <v>3</v>
      </c>
      <c r="P69" s="511"/>
      <c r="Q69" s="505">
        <v>3</v>
      </c>
      <c r="R69" s="512"/>
      <c r="S69" s="513">
        <v>3</v>
      </c>
      <c r="T69" s="511"/>
      <c r="U69" s="505">
        <v>3</v>
      </c>
      <c r="V69" s="506"/>
      <c r="W69" s="507">
        <f>SUM(K69:V69)</f>
        <v>18</v>
      </c>
      <c r="X69" s="508"/>
      <c r="Y69" s="95">
        <v>18</v>
      </c>
      <c r="AA69" s="334" t="s">
        <v>160</v>
      </c>
      <c r="AB69" s="334"/>
    </row>
    <row r="70" spans="2:28" ht="17.25" customHeight="1" thickBot="1">
      <c r="B70" s="344"/>
      <c r="C70" s="345"/>
      <c r="D70" s="345"/>
      <c r="E70" s="345"/>
      <c r="F70" s="345"/>
      <c r="G70" s="345"/>
      <c r="H70" s="345"/>
      <c r="I70" s="345"/>
      <c r="J70" s="346"/>
      <c r="K70" s="344">
        <v>32</v>
      </c>
      <c r="L70" s="352"/>
      <c r="M70" s="349">
        <v>32</v>
      </c>
      <c r="N70" s="490"/>
      <c r="O70" s="491">
        <v>32</v>
      </c>
      <c r="P70" s="352"/>
      <c r="Q70" s="349">
        <v>32</v>
      </c>
      <c r="R70" s="490"/>
      <c r="S70" s="491">
        <v>32</v>
      </c>
      <c r="T70" s="352"/>
      <c r="U70" s="349">
        <v>32</v>
      </c>
      <c r="V70" s="346"/>
      <c r="W70" s="344">
        <f>SUM(K70:V70)</f>
        <v>192</v>
      </c>
      <c r="X70" s="346"/>
      <c r="Y70" s="58">
        <f>W70</f>
        <v>192</v>
      </c>
      <c r="AA70" s="354" t="b">
        <f>W69&gt;=Y69</f>
        <v>1</v>
      </c>
      <c r="AB70" s="355"/>
    </row>
    <row r="71" spans="2:28" ht="17.25" customHeight="1" thickBot="1">
      <c r="B71" s="344"/>
      <c r="C71" s="345"/>
      <c r="D71" s="345"/>
      <c r="E71" s="345"/>
      <c r="F71" s="345"/>
      <c r="G71" s="345"/>
      <c r="H71" s="345"/>
      <c r="I71" s="345"/>
      <c r="J71" s="346"/>
      <c r="K71" s="344">
        <f>SUM(K70:N70)</f>
        <v>64</v>
      </c>
      <c r="L71" s="345"/>
      <c r="M71" s="345"/>
      <c r="N71" s="490"/>
      <c r="O71" s="491">
        <f>SUM(O70:R70)</f>
        <v>64</v>
      </c>
      <c r="P71" s="345"/>
      <c r="Q71" s="345"/>
      <c r="R71" s="490"/>
      <c r="S71" s="491">
        <f>SUM(S70:V70)</f>
        <v>64</v>
      </c>
      <c r="T71" s="345"/>
      <c r="U71" s="345"/>
      <c r="V71" s="346"/>
      <c r="W71" s="344">
        <f>SUM(K71:V71)</f>
        <v>192</v>
      </c>
      <c r="X71" s="346"/>
      <c r="Y71" s="11"/>
      <c r="AA71" s="334" t="s">
        <v>154</v>
      </c>
      <c r="AB71" s="334"/>
    </row>
    <row r="72" spans="2:28" ht="17.25" customHeight="1" thickBot="1">
      <c r="AA72" s="354" t="b">
        <f>W70&gt;=Y70</f>
        <v>1</v>
      </c>
      <c r="AB72" s="355"/>
    </row>
    <row r="73" spans="2:28" ht="17.25" customHeight="1"/>
    <row r="74" spans="2:28" ht="17.25" customHeight="1"/>
    <row r="75" spans="2:28" ht="17.25" customHeight="1"/>
    <row r="77" spans="2:28" ht="24.95" customHeight="1"/>
    <row r="78" spans="2:28" ht="24.95" customHeight="1"/>
    <row r="79" spans="2:28" ht="32.25" customHeight="1"/>
    <row r="80" spans="2:28" ht="24.95" customHeight="1"/>
    <row r="82" ht="16.5" customHeight="1"/>
    <row r="83" ht="17.2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244.5" customHeight="1"/>
  </sheetData>
  <mergeCells count="517">
    <mergeCell ref="M39:N39"/>
    <mergeCell ref="F47:G47"/>
    <mergeCell ref="S47:T47"/>
    <mergeCell ref="U47:V47"/>
    <mergeCell ref="O48:P48"/>
    <mergeCell ref="W47:X47"/>
    <mergeCell ref="W70:X70"/>
    <mergeCell ref="AA70:AB70"/>
    <mergeCell ref="B71:J71"/>
    <mergeCell ref="K71:N71"/>
    <mergeCell ref="O71:R71"/>
    <mergeCell ref="S71:V71"/>
    <mergeCell ref="W71:X71"/>
    <mergeCell ref="AA71:AB71"/>
    <mergeCell ref="U69:V69"/>
    <mergeCell ref="W69:X69"/>
    <mergeCell ref="AA69:AB69"/>
    <mergeCell ref="B70:J70"/>
    <mergeCell ref="K70:L70"/>
    <mergeCell ref="M70:N70"/>
    <mergeCell ref="O70:P70"/>
    <mergeCell ref="Q70:R70"/>
    <mergeCell ref="S70:T70"/>
    <mergeCell ref="AA67:AB67"/>
    <mergeCell ref="F68:J68"/>
    <mergeCell ref="K68:L68"/>
    <mergeCell ref="M68:N68"/>
    <mergeCell ref="O68:P68"/>
    <mergeCell ref="Q68:R68"/>
    <mergeCell ref="S68:T68"/>
    <mergeCell ref="U68:V68"/>
    <mergeCell ref="AA72:AB72"/>
    <mergeCell ref="S67:T67"/>
    <mergeCell ref="U67:V67"/>
    <mergeCell ref="U70:V70"/>
    <mergeCell ref="F69:J69"/>
    <mergeCell ref="K69:L69"/>
    <mergeCell ref="M69:N69"/>
    <mergeCell ref="O69:P69"/>
    <mergeCell ref="Q69:R69"/>
    <mergeCell ref="S69:T69"/>
    <mergeCell ref="U65:V65"/>
    <mergeCell ref="W65:X65"/>
    <mergeCell ref="AA65:AB66"/>
    <mergeCell ref="B66:E69"/>
    <mergeCell ref="F66:J66"/>
    <mergeCell ref="K66:L66"/>
    <mergeCell ref="M66:N66"/>
    <mergeCell ref="O66:P66"/>
    <mergeCell ref="Q66:R66"/>
    <mergeCell ref="S66:T66"/>
    <mergeCell ref="B65:G65"/>
    <mergeCell ref="K65:L65"/>
    <mergeCell ref="M65:N65"/>
    <mergeCell ref="O65:P65"/>
    <mergeCell ref="Q65:R65"/>
    <mergeCell ref="S65:T65"/>
    <mergeCell ref="U66:V66"/>
    <mergeCell ref="W66:X68"/>
    <mergeCell ref="Y66:Y68"/>
    <mergeCell ref="F67:J67"/>
    <mergeCell ref="K67:L67"/>
    <mergeCell ref="M67:N67"/>
    <mergeCell ref="O67:P67"/>
    <mergeCell ref="Q67:R67"/>
    <mergeCell ref="O63:P64"/>
    <mergeCell ref="Q63:R64"/>
    <mergeCell ref="S63:T64"/>
    <mergeCell ref="U63:V64"/>
    <mergeCell ref="W63:X64"/>
    <mergeCell ref="Y63:Y64"/>
    <mergeCell ref="B63:G64"/>
    <mergeCell ref="H63:H64"/>
    <mergeCell ref="I63:I64"/>
    <mergeCell ref="J63:J64"/>
    <mergeCell ref="K63:L64"/>
    <mergeCell ref="M63:N64"/>
    <mergeCell ref="O59:R62"/>
    <mergeCell ref="S59:T62"/>
    <mergeCell ref="U59:V62"/>
    <mergeCell ref="W59:X62"/>
    <mergeCell ref="Y59:Y62"/>
    <mergeCell ref="F60:G60"/>
    <mergeCell ref="F61:G61"/>
    <mergeCell ref="F62:G62"/>
    <mergeCell ref="B59:C62"/>
    <mergeCell ref="F59:G59"/>
    <mergeCell ref="I59:I62"/>
    <mergeCell ref="J59:J62"/>
    <mergeCell ref="K59:L62"/>
    <mergeCell ref="M59:N62"/>
    <mergeCell ref="U58:V58"/>
    <mergeCell ref="U56:V56"/>
    <mergeCell ref="W56:X58"/>
    <mergeCell ref="F57:G57"/>
    <mergeCell ref="K57:L57"/>
    <mergeCell ref="M57:N57"/>
    <mergeCell ref="O57:P57"/>
    <mergeCell ref="Q57:R57"/>
    <mergeCell ref="S57:T57"/>
    <mergeCell ref="U57:V57"/>
    <mergeCell ref="F58:G58"/>
    <mergeCell ref="C56:C58"/>
    <mergeCell ref="F56:G56"/>
    <mergeCell ref="I56:I58"/>
    <mergeCell ref="K56:L56"/>
    <mergeCell ref="M56:N56"/>
    <mergeCell ref="O56:P56"/>
    <mergeCell ref="Q56:R56"/>
    <mergeCell ref="S56:T56"/>
    <mergeCell ref="K58:L58"/>
    <mergeCell ref="M58:N58"/>
    <mergeCell ref="O58:P58"/>
    <mergeCell ref="Q58:R58"/>
    <mergeCell ref="S58:T58"/>
    <mergeCell ref="Q52:R52"/>
    <mergeCell ref="S52:T52"/>
    <mergeCell ref="U52:V52"/>
    <mergeCell ref="U55:V55"/>
    <mergeCell ref="W55:X55"/>
    <mergeCell ref="K55:L55"/>
    <mergeCell ref="M55:N55"/>
    <mergeCell ref="O55:P55"/>
    <mergeCell ref="Q55:R55"/>
    <mergeCell ref="S55:T55"/>
    <mergeCell ref="W52:X54"/>
    <mergeCell ref="M53:N53"/>
    <mergeCell ref="O53:P53"/>
    <mergeCell ref="Q53:R53"/>
    <mergeCell ref="S53:T53"/>
    <mergeCell ref="B52:B58"/>
    <mergeCell ref="C52:C54"/>
    <mergeCell ref="F52:G52"/>
    <mergeCell ref="I52:I54"/>
    <mergeCell ref="J52:J58"/>
    <mergeCell ref="K52:L52"/>
    <mergeCell ref="F53:G53"/>
    <mergeCell ref="K53:L53"/>
    <mergeCell ref="F55:G55"/>
    <mergeCell ref="U53:V53"/>
    <mergeCell ref="F54:G54"/>
    <mergeCell ref="K54:L54"/>
    <mergeCell ref="M54:N54"/>
    <mergeCell ref="O54:P54"/>
    <mergeCell ref="Q54:R54"/>
    <mergeCell ref="S54:T54"/>
    <mergeCell ref="U54:V54"/>
    <mergeCell ref="M52:N52"/>
    <mergeCell ref="O52:P52"/>
    <mergeCell ref="S50:T50"/>
    <mergeCell ref="U50:V51"/>
    <mergeCell ref="W50:X51"/>
    <mergeCell ref="F51:G51"/>
    <mergeCell ref="K51:L51"/>
    <mergeCell ref="M51:N51"/>
    <mergeCell ref="S51:T51"/>
    <mergeCell ref="U49:V49"/>
    <mergeCell ref="W49:X49"/>
    <mergeCell ref="B50:B51"/>
    <mergeCell ref="F50:G50"/>
    <mergeCell ref="I50:I51"/>
    <mergeCell ref="J50:J51"/>
    <mergeCell ref="K50:L50"/>
    <mergeCell ref="M50:N50"/>
    <mergeCell ref="O50:P51"/>
    <mergeCell ref="Q50:R51"/>
    <mergeCell ref="F48:G48"/>
    <mergeCell ref="S48:T48"/>
    <mergeCell ref="U48:V48"/>
    <mergeCell ref="W48:X48"/>
    <mergeCell ref="F49:G49"/>
    <mergeCell ref="K49:L49"/>
    <mergeCell ref="M49:N49"/>
    <mergeCell ref="O49:P49"/>
    <mergeCell ref="Q49:R49"/>
    <mergeCell ref="S49:T49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F41:G41"/>
    <mergeCell ref="K41:L41"/>
    <mergeCell ref="M41:N41"/>
    <mergeCell ref="O41:P41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W37:X37"/>
    <mergeCell ref="AA37:AB37"/>
    <mergeCell ref="B38:C49"/>
    <mergeCell ref="D38:E39"/>
    <mergeCell ref="F38:G38"/>
    <mergeCell ref="K38:L38"/>
    <mergeCell ref="M38:N38"/>
    <mergeCell ref="O38:P38"/>
    <mergeCell ref="Q38:R38"/>
    <mergeCell ref="S38:T38"/>
    <mergeCell ref="U38:V38"/>
    <mergeCell ref="W38:X38"/>
    <mergeCell ref="Y38:Y58"/>
    <mergeCell ref="F39:G39"/>
    <mergeCell ref="O39:P39"/>
    <mergeCell ref="W39:X39"/>
    <mergeCell ref="F40:G40"/>
    <mergeCell ref="K40:L40"/>
    <mergeCell ref="M40:N40"/>
    <mergeCell ref="O40:P40"/>
    <mergeCell ref="Q40:R40"/>
    <mergeCell ref="S40:T40"/>
    <mergeCell ref="U40:V40"/>
    <mergeCell ref="W40:X40"/>
    <mergeCell ref="B37:G37"/>
    <mergeCell ref="K37:L37"/>
    <mergeCell ref="M37:N37"/>
    <mergeCell ref="O37:P37"/>
    <mergeCell ref="Q37:R37"/>
    <mergeCell ref="S37:T37"/>
    <mergeCell ref="U37:V37"/>
    <mergeCell ref="F36:G36"/>
    <mergeCell ref="K36:L36"/>
    <mergeCell ref="M36:N36"/>
    <mergeCell ref="O36:P36"/>
    <mergeCell ref="Q36:R36"/>
    <mergeCell ref="S36:T36"/>
    <mergeCell ref="W34:X36"/>
    <mergeCell ref="Y34:Y36"/>
    <mergeCell ref="F35:G35"/>
    <mergeCell ref="K35:L35"/>
    <mergeCell ref="M35:N35"/>
    <mergeCell ref="O35:P35"/>
    <mergeCell ref="Q35:R35"/>
    <mergeCell ref="S35:T35"/>
    <mergeCell ref="U35:V35"/>
    <mergeCell ref="U36:V36"/>
    <mergeCell ref="S32:T32"/>
    <mergeCell ref="U32:V32"/>
    <mergeCell ref="S30:T30"/>
    <mergeCell ref="U30:V30"/>
    <mergeCell ref="Q33:R33"/>
    <mergeCell ref="S33:T33"/>
    <mergeCell ref="U33:V33"/>
    <mergeCell ref="D34:D36"/>
    <mergeCell ref="F34:G34"/>
    <mergeCell ref="K34:L34"/>
    <mergeCell ref="M34:N34"/>
    <mergeCell ref="O34:P34"/>
    <mergeCell ref="Q34:R34"/>
    <mergeCell ref="S34:T34"/>
    <mergeCell ref="U34:V34"/>
    <mergeCell ref="W30:X33"/>
    <mergeCell ref="Y30:Y33"/>
    <mergeCell ref="F31:G31"/>
    <mergeCell ref="K31:L31"/>
    <mergeCell ref="M31:N31"/>
    <mergeCell ref="O31:P31"/>
    <mergeCell ref="Q31:R31"/>
    <mergeCell ref="S31:T31"/>
    <mergeCell ref="D30:D33"/>
    <mergeCell ref="F30:G30"/>
    <mergeCell ref="K30:L30"/>
    <mergeCell ref="M30:N30"/>
    <mergeCell ref="O30:P30"/>
    <mergeCell ref="Q30:R30"/>
    <mergeCell ref="F33:G33"/>
    <mergeCell ref="K33:L33"/>
    <mergeCell ref="M33:N33"/>
    <mergeCell ref="O33:P33"/>
    <mergeCell ref="U31:V31"/>
    <mergeCell ref="F32:G32"/>
    <mergeCell ref="K32:L32"/>
    <mergeCell ref="M32:N32"/>
    <mergeCell ref="O32:P32"/>
    <mergeCell ref="Q32:R32"/>
    <mergeCell ref="S27:T27"/>
    <mergeCell ref="U27:V27"/>
    <mergeCell ref="S25:T25"/>
    <mergeCell ref="U25:V25"/>
    <mergeCell ref="Q28:R28"/>
    <mergeCell ref="S28:T28"/>
    <mergeCell ref="U28:V28"/>
    <mergeCell ref="F29:G29"/>
    <mergeCell ref="K29:L29"/>
    <mergeCell ref="M29:N29"/>
    <mergeCell ref="O29:P29"/>
    <mergeCell ref="Q29:R29"/>
    <mergeCell ref="S29:T29"/>
    <mergeCell ref="U29:V29"/>
    <mergeCell ref="X25:X29"/>
    <mergeCell ref="Y25:Y29"/>
    <mergeCell ref="F26:G26"/>
    <mergeCell ref="K26:L26"/>
    <mergeCell ref="M26:N26"/>
    <mergeCell ref="O26:P26"/>
    <mergeCell ref="Q26:R26"/>
    <mergeCell ref="S26:T26"/>
    <mergeCell ref="D25:D29"/>
    <mergeCell ref="F25:G25"/>
    <mergeCell ref="K25:L25"/>
    <mergeCell ref="M25:N25"/>
    <mergeCell ref="O25:P25"/>
    <mergeCell ref="Q25:R25"/>
    <mergeCell ref="F28:G28"/>
    <mergeCell ref="K28:L28"/>
    <mergeCell ref="M28:N28"/>
    <mergeCell ref="O28:P28"/>
    <mergeCell ref="U26:V26"/>
    <mergeCell ref="F27:G27"/>
    <mergeCell ref="K27:L27"/>
    <mergeCell ref="M27:N27"/>
    <mergeCell ref="O27:P27"/>
    <mergeCell ref="Q27:R27"/>
    <mergeCell ref="Q24:R24"/>
    <mergeCell ref="S24:T24"/>
    <mergeCell ref="U24:V24"/>
    <mergeCell ref="D23:D24"/>
    <mergeCell ref="F23:G23"/>
    <mergeCell ref="K23:L23"/>
    <mergeCell ref="M23:N23"/>
    <mergeCell ref="O23:P23"/>
    <mergeCell ref="Q23:R23"/>
    <mergeCell ref="AA20:AB20"/>
    <mergeCell ref="F21:G21"/>
    <mergeCell ref="K21:L21"/>
    <mergeCell ref="M21:N21"/>
    <mergeCell ref="O21:P21"/>
    <mergeCell ref="Q21:R21"/>
    <mergeCell ref="S21:T21"/>
    <mergeCell ref="U21:V21"/>
    <mergeCell ref="X21:X22"/>
    <mergeCell ref="Y21:Y24"/>
    <mergeCell ref="F22:G22"/>
    <mergeCell ref="K22:L22"/>
    <mergeCell ref="M22:N22"/>
    <mergeCell ref="O22:P22"/>
    <mergeCell ref="Q22:R22"/>
    <mergeCell ref="S22:T22"/>
    <mergeCell ref="U22:V22"/>
    <mergeCell ref="S23:T23"/>
    <mergeCell ref="U23:V23"/>
    <mergeCell ref="X23:X24"/>
    <mergeCell ref="F24:G24"/>
    <mergeCell ref="K24:L24"/>
    <mergeCell ref="M24:N24"/>
    <mergeCell ref="O24:P24"/>
    <mergeCell ref="X19:X20"/>
    <mergeCell ref="Y19:Y20"/>
    <mergeCell ref="F20:G20"/>
    <mergeCell ref="K20:L20"/>
    <mergeCell ref="M20:N20"/>
    <mergeCell ref="O20:P20"/>
    <mergeCell ref="Q20:R20"/>
    <mergeCell ref="S20:T20"/>
    <mergeCell ref="U20:V20"/>
    <mergeCell ref="D19:D22"/>
    <mergeCell ref="F19:G19"/>
    <mergeCell ref="K19:L19"/>
    <mergeCell ref="M19:N19"/>
    <mergeCell ref="O19:P19"/>
    <mergeCell ref="Q19:R19"/>
    <mergeCell ref="U17:V17"/>
    <mergeCell ref="F18:G18"/>
    <mergeCell ref="K18:L18"/>
    <mergeCell ref="M18:N18"/>
    <mergeCell ref="O18:P18"/>
    <mergeCell ref="Q18:R18"/>
    <mergeCell ref="S18:T18"/>
    <mergeCell ref="U18:V18"/>
    <mergeCell ref="F17:G17"/>
    <mergeCell ref="K17:L17"/>
    <mergeCell ref="M17:N17"/>
    <mergeCell ref="O17:P17"/>
    <mergeCell ref="Q17:R17"/>
    <mergeCell ref="S17:T17"/>
    <mergeCell ref="S19:T19"/>
    <mergeCell ref="U19:V19"/>
    <mergeCell ref="AB14:AD14"/>
    <mergeCell ref="D15:D18"/>
    <mergeCell ref="F15:G15"/>
    <mergeCell ref="K15:L15"/>
    <mergeCell ref="M15:N15"/>
    <mergeCell ref="O15:P15"/>
    <mergeCell ref="Q15:R15"/>
    <mergeCell ref="D12:D14"/>
    <mergeCell ref="S15:T15"/>
    <mergeCell ref="U15:V15"/>
    <mergeCell ref="X15:X18"/>
    <mergeCell ref="F16:G16"/>
    <mergeCell ref="K16:L16"/>
    <mergeCell ref="M16:N16"/>
    <mergeCell ref="O16:P16"/>
    <mergeCell ref="Q16:R16"/>
    <mergeCell ref="S16:T16"/>
    <mergeCell ref="U16:V16"/>
    <mergeCell ref="O12:P12"/>
    <mergeCell ref="Q12:R12"/>
    <mergeCell ref="F14:G14"/>
    <mergeCell ref="K14:L14"/>
    <mergeCell ref="M14:N14"/>
    <mergeCell ref="O14:P14"/>
    <mergeCell ref="Q14:R14"/>
    <mergeCell ref="S14:T14"/>
    <mergeCell ref="U14:V14"/>
    <mergeCell ref="U11:V11"/>
    <mergeCell ref="X9:X11"/>
    <mergeCell ref="Y9:Y18"/>
    <mergeCell ref="F10:G10"/>
    <mergeCell ref="K10:L10"/>
    <mergeCell ref="M10:N10"/>
    <mergeCell ref="O10:P10"/>
    <mergeCell ref="Q10:R10"/>
    <mergeCell ref="S10:T10"/>
    <mergeCell ref="U10:V10"/>
    <mergeCell ref="F11:G11"/>
    <mergeCell ref="S12:T12"/>
    <mergeCell ref="U12:V12"/>
    <mergeCell ref="X12:X14"/>
    <mergeCell ref="F13:G13"/>
    <mergeCell ref="K13:L13"/>
    <mergeCell ref="M13:N13"/>
    <mergeCell ref="O13:P13"/>
    <mergeCell ref="Q13:R13"/>
    <mergeCell ref="S13:T13"/>
    <mergeCell ref="U13:V13"/>
    <mergeCell ref="F12:G12"/>
    <mergeCell ref="K12:L12"/>
    <mergeCell ref="M12:N12"/>
    <mergeCell ref="AA8:AD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K11:L11"/>
    <mergeCell ref="M11:N11"/>
    <mergeCell ref="O11:P11"/>
    <mergeCell ref="Q11:R11"/>
    <mergeCell ref="S11:T11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</mergeCells>
  <phoneticPr fontId="9" type="noConversion"/>
  <conditionalFormatting sqref="AA37:AB37 AC58 AC62 AC64 AA67:AB67 AA70:AB70 AA72:AB72">
    <cfRule type="containsText" dxfId="0" priority="1" operator="containsText" text="FALSE">
      <formula>NOT(ISERROR(SEARCH("FALSE",AA37)))</formula>
    </cfRule>
  </conditionalFormatting>
  <printOptions horizontalCentered="1" verticalCentered="1"/>
  <pageMargins left="0.25" right="0.25" top="0.75" bottom="0.75" header="0.3" footer="0.3"/>
  <pageSetup paperSize="12" scale="47" orientation="landscape" cellComments="asDisplayed" r:id="rId1"/>
  <rowBreaks count="1" manualBreakCount="1">
    <brk id="63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71F23C4-9273-4DE9-9DB2-56C895407916}">
          <x14:formula1>
            <xm:f>'C:\Users\User\Desktop\[2022학년도 직업계 고등학교 교육과정 편제표_특성화고(정선정보공고_0820).xlsx]삭제금지'!#REF!</xm:f>
          </x14:formula1>
          <xm:sqref>D59:D61</xm:sqref>
        </x14:dataValidation>
        <x14:dataValidation type="list" allowBlank="1" showInputMessage="1" showErrorMessage="1" xr:uid="{52D14235-095D-4BDB-8BAF-79518D8741BB}">
          <x14:formula1>
            <xm:f>삭제금지!$H$2:$H$18</xm:f>
          </x14:formula1>
          <xm:sqref>B5</xm:sqref>
        </x14:dataValidation>
        <x14:dataValidation type="list" allowBlank="1" showInputMessage="1" showErrorMessage="1" xr:uid="{CDFFD866-749E-4FC8-8F9E-0F4624DC99E0}">
          <x14:formula1>
            <xm:f>삭제금지!$L$2:$L$4</xm:f>
          </x14:formula1>
          <xm:sqref>T5:V5</xm:sqref>
        </x14:dataValidation>
        <x14:dataValidation type="list" allowBlank="1" showInputMessage="1" showErrorMessage="1" xr:uid="{1C7298AD-B384-4E0E-93DA-CC7E196D8B74}">
          <x14:formula1>
            <xm:f>삭제금지!$K$2:$K$59</xm:f>
          </x14:formula1>
          <xm:sqref>K5:O5</xm:sqref>
        </x14:dataValidation>
        <x14:dataValidation type="list" allowBlank="1" showInputMessage="1" showErrorMessage="1" xr:uid="{095CC98D-F600-409C-B48E-1808DF24F300}">
          <x14:formula1>
            <xm:f>삭제금지!$I$2:$I$18</xm:f>
          </x14:formula1>
          <xm:sqref>F5:G5</xm:sqref>
        </x14:dataValidation>
        <x14:dataValidation type="list" allowBlank="1" showInputMessage="1" showErrorMessage="1" xr:uid="{2D825C1C-2D35-40FF-AF22-B803EEF321E3}">
          <x14:formula1>
            <xm:f>삭제금지!$J$2:$J$59</xm:f>
          </x14:formula1>
          <xm:sqref>H5:J5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FE76-1D96-42D4-95C3-65EB617F6B44}">
  <dimension ref="B2:AG48"/>
  <sheetViews>
    <sheetView showGridLines="0" view="pageBreakPreview" zoomScale="115" zoomScaleNormal="85" zoomScaleSheetLayoutView="115" workbookViewId="0">
      <selection activeCell="L29" sqref="L29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8" t="s">
        <v>152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</row>
    <row r="3" spans="2:33" ht="27" customHeight="1" thickBot="1"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579" t="s">
        <v>129</v>
      </c>
      <c r="O3" s="580"/>
      <c r="P3" s="581"/>
      <c r="Q3" s="579" t="s">
        <v>127</v>
      </c>
      <c r="R3" s="580"/>
      <c r="S3" s="581"/>
      <c r="T3" s="582" t="s">
        <v>130</v>
      </c>
      <c r="U3" s="583"/>
    </row>
    <row r="4" spans="2:33" ht="27" customHeight="1" thickBot="1"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584" t="s">
        <v>520</v>
      </c>
      <c r="O4" s="585"/>
      <c r="P4" s="586"/>
      <c r="Q4" s="587" t="s">
        <v>716</v>
      </c>
      <c r="R4" s="588"/>
      <c r="S4" s="589"/>
      <c r="T4" s="590">
        <v>2027</v>
      </c>
      <c r="U4" s="591"/>
    </row>
    <row r="5" spans="2:33" ht="24" customHeight="1" thickBot="1">
      <c r="B5" s="592"/>
      <c r="C5" s="592"/>
    </row>
    <row r="6" spans="2:33" ht="20.25" customHeight="1">
      <c r="B6" s="593" t="s">
        <v>13</v>
      </c>
      <c r="C6" s="596" t="s">
        <v>141</v>
      </c>
      <c r="D6" s="575" t="s">
        <v>14</v>
      </c>
      <c r="E6" s="575" t="s">
        <v>15</v>
      </c>
      <c r="F6" s="575" t="s">
        <v>142</v>
      </c>
      <c r="G6" s="575" t="s">
        <v>143</v>
      </c>
      <c r="H6" s="561" t="s">
        <v>58</v>
      </c>
      <c r="I6" s="561"/>
      <c r="J6" s="561"/>
      <c r="K6" s="561"/>
      <c r="L6" s="561" t="s">
        <v>59</v>
      </c>
      <c r="M6" s="561"/>
      <c r="N6" s="561"/>
      <c r="O6" s="561"/>
      <c r="P6" s="561" t="s">
        <v>60</v>
      </c>
      <c r="Q6" s="561"/>
      <c r="R6" s="561"/>
      <c r="S6" s="561"/>
      <c r="T6" s="562" t="s">
        <v>140</v>
      </c>
      <c r="U6" s="572" t="s">
        <v>126</v>
      </c>
      <c r="W6" s="565" t="s">
        <v>131</v>
      </c>
      <c r="X6" s="566"/>
      <c r="Y6" s="566"/>
      <c r="Z6" s="566"/>
      <c r="AA6" s="566"/>
      <c r="AB6" s="566"/>
      <c r="AC6" s="566"/>
      <c r="AD6" s="566"/>
      <c r="AE6" s="566"/>
      <c r="AF6" s="567"/>
      <c r="AG6" s="13"/>
    </row>
    <row r="7" spans="2:33" ht="16.5" customHeight="1">
      <c r="B7" s="594"/>
      <c r="C7" s="597"/>
      <c r="D7" s="576"/>
      <c r="E7" s="576"/>
      <c r="F7" s="576"/>
      <c r="G7" s="576"/>
      <c r="H7" s="568" t="s">
        <v>124</v>
      </c>
      <c r="I7" s="568"/>
      <c r="J7" s="568" t="s">
        <v>62</v>
      </c>
      <c r="K7" s="568"/>
      <c r="L7" s="568" t="s">
        <v>124</v>
      </c>
      <c r="M7" s="568"/>
      <c r="N7" s="568" t="s">
        <v>62</v>
      </c>
      <c r="O7" s="568"/>
      <c r="P7" s="568" t="s">
        <v>124</v>
      </c>
      <c r="Q7" s="568"/>
      <c r="R7" s="568" t="s">
        <v>62</v>
      </c>
      <c r="S7" s="568"/>
      <c r="T7" s="563"/>
      <c r="U7" s="573"/>
      <c r="W7" s="569" t="s">
        <v>132</v>
      </c>
      <c r="X7" s="570"/>
      <c r="Y7" s="570"/>
      <c r="Z7" s="570"/>
      <c r="AA7" s="570"/>
      <c r="AB7" s="570"/>
      <c r="AC7" s="570"/>
      <c r="AD7" s="570"/>
      <c r="AE7" s="570"/>
      <c r="AF7" s="571"/>
      <c r="AG7" s="13"/>
    </row>
    <row r="8" spans="2:33" ht="17.25" customHeight="1" thickBot="1">
      <c r="B8" s="595"/>
      <c r="C8" s="598"/>
      <c r="D8" s="577"/>
      <c r="E8" s="577"/>
      <c r="F8" s="577"/>
      <c r="G8" s="577"/>
      <c r="H8" s="29" t="s">
        <v>139</v>
      </c>
      <c r="I8" s="29" t="s">
        <v>125</v>
      </c>
      <c r="J8" s="29" t="s">
        <v>139</v>
      </c>
      <c r="K8" s="29" t="s">
        <v>125</v>
      </c>
      <c r="L8" s="29" t="s">
        <v>139</v>
      </c>
      <c r="M8" s="29" t="s">
        <v>125</v>
      </c>
      <c r="N8" s="29" t="s">
        <v>139</v>
      </c>
      <c r="O8" s="29" t="s">
        <v>125</v>
      </c>
      <c r="P8" s="29" t="s">
        <v>139</v>
      </c>
      <c r="Q8" s="29" t="s">
        <v>125</v>
      </c>
      <c r="R8" s="29" t="s">
        <v>139</v>
      </c>
      <c r="S8" s="29" t="s">
        <v>125</v>
      </c>
      <c r="T8" s="564"/>
      <c r="U8" s="5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552" t="s">
        <v>542</v>
      </c>
      <c r="C9" s="555">
        <v>5</v>
      </c>
      <c r="D9" s="30" t="s">
        <v>582</v>
      </c>
      <c r="E9" s="30" t="s">
        <v>579</v>
      </c>
      <c r="F9" s="30">
        <v>45</v>
      </c>
      <c r="G9" s="30">
        <v>2</v>
      </c>
      <c r="H9" s="31"/>
      <c r="I9" s="31">
        <f>H9*16</f>
        <v>0</v>
      </c>
      <c r="J9" s="31"/>
      <c r="K9" s="31">
        <f>J9*16</f>
        <v>0</v>
      </c>
      <c r="L9" s="31">
        <v>2</v>
      </c>
      <c r="M9" s="31">
        <f>L9*16</f>
        <v>32</v>
      </c>
      <c r="N9" s="31"/>
      <c r="O9" s="31">
        <f>N9*16</f>
        <v>0</v>
      </c>
      <c r="P9" s="31"/>
      <c r="Q9" s="31">
        <f>P9*16</f>
        <v>0</v>
      </c>
      <c r="R9" s="31"/>
      <c r="S9" s="31">
        <f>R9*16</f>
        <v>0</v>
      </c>
      <c r="T9" s="207">
        <f>SUM(H9,J9,L9,N9,P9,R9)</f>
        <v>2</v>
      </c>
      <c r="U9" s="208">
        <f>SUM(I9,K9,M9,O9,Q9,S9)</f>
        <v>32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53"/>
      <c r="C10" s="556"/>
      <c r="D10" s="26" t="s">
        <v>580</v>
      </c>
      <c r="E10" s="43" t="s">
        <v>581</v>
      </c>
      <c r="F10" s="26">
        <v>60</v>
      </c>
      <c r="G10" s="26">
        <v>2</v>
      </c>
      <c r="H10" s="27"/>
      <c r="I10" s="27">
        <f t="shared" ref="I10" si="0">H10*16</f>
        <v>0</v>
      </c>
      <c r="J10" s="27"/>
      <c r="K10" s="27">
        <f t="shared" ref="K10" si="1">J10*16</f>
        <v>0</v>
      </c>
      <c r="L10" s="27">
        <v>3</v>
      </c>
      <c r="M10" s="27">
        <f t="shared" ref="M10" si="2">L10*16</f>
        <v>48</v>
      </c>
      <c r="N10" s="27"/>
      <c r="O10" s="27">
        <f t="shared" ref="O10" si="3">N10*16</f>
        <v>0</v>
      </c>
      <c r="P10" s="27"/>
      <c r="Q10" s="27">
        <f t="shared" ref="Q10" si="4">P10*16</f>
        <v>0</v>
      </c>
      <c r="R10" s="27"/>
      <c r="S10" s="27">
        <f t="shared" ref="S10" si="5">R10*16</f>
        <v>0</v>
      </c>
      <c r="T10" s="209">
        <f t="shared" ref="T10:U10" si="6">SUM(H10,J10,L10,N10,P10,R10)</f>
        <v>3</v>
      </c>
      <c r="U10" s="210">
        <f t="shared" si="6"/>
        <v>48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7.25" thickBot="1">
      <c r="B11" s="554"/>
      <c r="C11" s="557"/>
      <c r="D11" s="551" t="s">
        <v>16</v>
      </c>
      <c r="E11" s="551"/>
      <c r="F11" s="177"/>
      <c r="G11" s="177"/>
      <c r="H11" s="32"/>
      <c r="I11" s="32"/>
      <c r="J11" s="32"/>
      <c r="K11" s="32"/>
      <c r="L11" s="32">
        <f t="shared" ref="L11:U11" si="7">SUM(L9:L10)</f>
        <v>5</v>
      </c>
      <c r="M11" s="32">
        <f t="shared" si="7"/>
        <v>80</v>
      </c>
      <c r="N11" s="32">
        <f t="shared" si="7"/>
        <v>0</v>
      </c>
      <c r="O11" s="32">
        <f t="shared" si="7"/>
        <v>0</v>
      </c>
      <c r="P11" s="32">
        <f t="shared" si="7"/>
        <v>0</v>
      </c>
      <c r="Q11" s="32">
        <f t="shared" si="7"/>
        <v>0</v>
      </c>
      <c r="R11" s="32">
        <f t="shared" si="7"/>
        <v>0</v>
      </c>
      <c r="S11" s="32">
        <f t="shared" si="7"/>
        <v>0</v>
      </c>
      <c r="T11" s="213">
        <f t="shared" si="7"/>
        <v>5</v>
      </c>
      <c r="U11" s="213">
        <f t="shared" si="7"/>
        <v>80</v>
      </c>
    </row>
    <row r="12" spans="2:33">
      <c r="B12" s="552" t="s">
        <v>543</v>
      </c>
      <c r="C12" s="558">
        <v>5</v>
      </c>
      <c r="D12" s="46" t="s">
        <v>586</v>
      </c>
      <c r="E12" s="43" t="s">
        <v>583</v>
      </c>
      <c r="F12" s="43">
        <v>40</v>
      </c>
      <c r="G12" s="43">
        <v>2</v>
      </c>
      <c r="H12" s="42"/>
      <c r="I12" s="42"/>
      <c r="J12" s="42"/>
      <c r="K12" s="42"/>
      <c r="L12" s="42"/>
      <c r="M12" s="42"/>
      <c r="N12" s="42">
        <v>2</v>
      </c>
      <c r="O12" s="42">
        <v>32</v>
      </c>
      <c r="P12" s="42"/>
      <c r="Q12" s="42"/>
      <c r="R12" s="42"/>
      <c r="S12" s="42"/>
      <c r="T12" s="214">
        <v>2</v>
      </c>
      <c r="U12" s="215">
        <v>32</v>
      </c>
    </row>
    <row r="13" spans="2:33">
      <c r="B13" s="553"/>
      <c r="C13" s="559"/>
      <c r="D13" s="46" t="s">
        <v>584</v>
      </c>
      <c r="E13" s="39" t="s">
        <v>585</v>
      </c>
      <c r="F13" s="43">
        <v>40</v>
      </c>
      <c r="G13" s="43">
        <v>2</v>
      </c>
      <c r="H13" s="42"/>
      <c r="I13" s="42"/>
      <c r="J13" s="42"/>
      <c r="K13" s="42"/>
      <c r="L13" s="42"/>
      <c r="M13" s="42"/>
      <c r="N13" s="42">
        <v>3</v>
      </c>
      <c r="O13" s="42">
        <v>48</v>
      </c>
      <c r="P13" s="42"/>
      <c r="Q13" s="42"/>
      <c r="R13" s="42"/>
      <c r="S13" s="27"/>
      <c r="T13" s="214">
        <v>3</v>
      </c>
      <c r="U13" s="215">
        <v>48</v>
      </c>
    </row>
    <row r="14" spans="2:33" ht="17.25" thickBot="1">
      <c r="B14" s="554"/>
      <c r="C14" s="560"/>
      <c r="D14" s="545"/>
      <c r="E14" s="546"/>
      <c r="F14" s="178"/>
      <c r="G14" s="178"/>
      <c r="H14" s="47"/>
      <c r="I14" s="47"/>
      <c r="J14" s="47"/>
      <c r="K14" s="47"/>
      <c r="L14" s="47"/>
      <c r="M14" s="47"/>
      <c r="N14" s="47">
        <v>5</v>
      </c>
      <c r="O14" s="47">
        <v>80</v>
      </c>
      <c r="P14" s="47"/>
      <c r="Q14" s="47"/>
      <c r="R14" s="47"/>
      <c r="S14" s="47"/>
      <c r="T14" s="35">
        <v>5</v>
      </c>
      <c r="U14" s="36">
        <v>80</v>
      </c>
    </row>
    <row r="15" spans="2:33" ht="16.5" customHeight="1">
      <c r="B15" s="552" t="s">
        <v>544</v>
      </c>
      <c r="C15" s="555">
        <v>18</v>
      </c>
      <c r="D15" s="30" t="s">
        <v>713</v>
      </c>
      <c r="E15" s="30" t="s">
        <v>587</v>
      </c>
      <c r="F15" s="30">
        <v>50</v>
      </c>
      <c r="G15" s="30">
        <v>2</v>
      </c>
      <c r="H15" s="31"/>
      <c r="I15" s="31">
        <f>H15*16</f>
        <v>0</v>
      </c>
      <c r="J15" s="31"/>
      <c r="K15" s="31">
        <f>J15*16</f>
        <v>0</v>
      </c>
      <c r="L15" s="31"/>
      <c r="M15" s="31">
        <f>L15*16</f>
        <v>0</v>
      </c>
      <c r="N15" s="31"/>
      <c r="O15" s="31">
        <f>N15*16</f>
        <v>0</v>
      </c>
      <c r="P15" s="31">
        <v>3</v>
      </c>
      <c r="Q15" s="31">
        <f>P15*16</f>
        <v>48</v>
      </c>
      <c r="R15" s="31"/>
      <c r="S15" s="31">
        <f>R15*16</f>
        <v>0</v>
      </c>
      <c r="T15" s="207">
        <f>SUM(H15,J15,L15,N15,P15,R15)</f>
        <v>3</v>
      </c>
      <c r="U15" s="208">
        <f>SUM(I15,K15,M15,O15,Q15,S15)</f>
        <v>48</v>
      </c>
      <c r="W15" s="12"/>
      <c r="X15" s="13"/>
      <c r="Y15" s="13"/>
      <c r="Z15" s="13"/>
      <c r="AA15" s="13"/>
      <c r="AB15" s="13"/>
      <c r="AC15" s="13"/>
      <c r="AD15" s="13"/>
      <c r="AE15" s="13"/>
      <c r="AF15" s="17"/>
      <c r="AG15" s="13"/>
    </row>
    <row r="16" spans="2:33" ht="16.5" customHeight="1">
      <c r="B16" s="553"/>
      <c r="C16" s="556"/>
      <c r="D16" s="26" t="s">
        <v>588</v>
      </c>
      <c r="E16" s="43" t="s">
        <v>589</v>
      </c>
      <c r="F16" s="26">
        <v>60</v>
      </c>
      <c r="G16" s="26">
        <v>3</v>
      </c>
      <c r="H16" s="27"/>
      <c r="I16" s="27">
        <f t="shared" ref="I16" si="8">H16*16</f>
        <v>0</v>
      </c>
      <c r="J16" s="27"/>
      <c r="K16" s="27">
        <f t="shared" ref="K16" si="9">J16*16</f>
        <v>0</v>
      </c>
      <c r="L16" s="27"/>
      <c r="M16" s="27">
        <f t="shared" ref="M16" si="10">L16*16</f>
        <v>0</v>
      </c>
      <c r="N16" s="27"/>
      <c r="O16" s="27">
        <f t="shared" ref="O16" si="11">N16*16</f>
        <v>0</v>
      </c>
      <c r="P16" s="27">
        <v>3</v>
      </c>
      <c r="Q16" s="27">
        <f t="shared" ref="Q16" si="12">P16*16</f>
        <v>48</v>
      </c>
      <c r="R16" s="27"/>
      <c r="S16" s="27">
        <f t="shared" ref="S16" si="13">R16*16</f>
        <v>0</v>
      </c>
      <c r="T16" s="209">
        <f t="shared" ref="T16:U16" si="14">SUM(H16,J16,L16,N16,P16,R16)</f>
        <v>3</v>
      </c>
      <c r="U16" s="210">
        <f t="shared" si="14"/>
        <v>48</v>
      </c>
      <c r="W16" s="12"/>
      <c r="X16" s="13"/>
      <c r="Y16" s="13"/>
      <c r="Z16" s="13"/>
      <c r="AA16" s="13"/>
      <c r="AB16" s="13"/>
      <c r="AC16" s="13"/>
      <c r="AD16" s="13"/>
      <c r="AE16" s="13"/>
      <c r="AF16" s="17"/>
      <c r="AG16" s="13"/>
    </row>
    <row r="17" spans="2:33">
      <c r="B17" s="553"/>
      <c r="C17" s="556"/>
      <c r="D17" s="43" t="s">
        <v>590</v>
      </c>
      <c r="E17" s="26" t="s">
        <v>591</v>
      </c>
      <c r="F17" s="43">
        <v>40</v>
      </c>
      <c r="G17" s="43">
        <v>3</v>
      </c>
      <c r="H17" s="42"/>
      <c r="I17" s="42"/>
      <c r="J17" s="42"/>
      <c r="K17" s="42"/>
      <c r="L17" s="42"/>
      <c r="M17" s="42"/>
      <c r="N17" s="42"/>
      <c r="O17" s="42"/>
      <c r="P17" s="42">
        <v>3</v>
      </c>
      <c r="Q17" s="42">
        <f>P17*16</f>
        <v>48</v>
      </c>
      <c r="R17" s="42"/>
      <c r="S17" s="42"/>
      <c r="T17" s="211">
        <v>3</v>
      </c>
      <c r="U17" s="212">
        <f>Q17+S17</f>
        <v>48</v>
      </c>
    </row>
    <row r="18" spans="2:33">
      <c r="B18" s="553"/>
      <c r="C18" s="556"/>
      <c r="D18" s="43" t="s">
        <v>592</v>
      </c>
      <c r="E18" s="43" t="s">
        <v>593</v>
      </c>
      <c r="F18" s="43">
        <v>60</v>
      </c>
      <c r="G18" s="43">
        <v>2</v>
      </c>
      <c r="H18" s="42"/>
      <c r="I18" s="42"/>
      <c r="J18" s="42"/>
      <c r="K18" s="42"/>
      <c r="L18" s="42"/>
      <c r="M18" s="42"/>
      <c r="N18" s="42"/>
      <c r="O18" s="42"/>
      <c r="P18" s="42"/>
      <c r="Q18" s="42">
        <f>P18*16</f>
        <v>0</v>
      </c>
      <c r="R18" s="42">
        <v>3</v>
      </c>
      <c r="S18" s="42">
        <f>R18*16</f>
        <v>48</v>
      </c>
      <c r="T18" s="211">
        <f t="shared" ref="T18:U20" si="15">SUM(H18,J18,L18,N18,P18,R18)</f>
        <v>3</v>
      </c>
      <c r="U18" s="212">
        <f t="shared" si="15"/>
        <v>48</v>
      </c>
    </row>
    <row r="19" spans="2:33">
      <c r="B19" s="553"/>
      <c r="C19" s="556"/>
      <c r="D19" s="43" t="s">
        <v>594</v>
      </c>
      <c r="E19" s="43" t="s">
        <v>595</v>
      </c>
      <c r="F19" s="43">
        <v>60</v>
      </c>
      <c r="G19" s="43">
        <v>3</v>
      </c>
      <c r="H19" s="42"/>
      <c r="I19" s="42"/>
      <c r="J19" s="42"/>
      <c r="K19" s="42"/>
      <c r="L19" s="42"/>
      <c r="M19" s="42"/>
      <c r="N19" s="42"/>
      <c r="O19" s="42"/>
      <c r="P19" s="42"/>
      <c r="Q19" s="42">
        <f>P19*16</f>
        <v>0</v>
      </c>
      <c r="R19" s="42">
        <v>3</v>
      </c>
      <c r="S19" s="42">
        <f>R19*16</f>
        <v>48</v>
      </c>
      <c r="T19" s="209">
        <f t="shared" si="15"/>
        <v>3</v>
      </c>
      <c r="U19" s="210">
        <f t="shared" si="15"/>
        <v>48</v>
      </c>
    </row>
    <row r="20" spans="2:33">
      <c r="B20" s="553"/>
      <c r="C20" s="556"/>
      <c r="D20" s="43" t="s">
        <v>596</v>
      </c>
      <c r="E20" s="43" t="s">
        <v>597</v>
      </c>
      <c r="F20" s="43">
        <v>30</v>
      </c>
      <c r="G20" s="43">
        <v>3</v>
      </c>
      <c r="H20" s="42"/>
      <c r="I20" s="42"/>
      <c r="J20" s="42"/>
      <c r="K20" s="42"/>
      <c r="L20" s="42"/>
      <c r="M20" s="42"/>
      <c r="N20" s="42"/>
      <c r="O20" s="42"/>
      <c r="P20" s="42">
        <v>0</v>
      </c>
      <c r="Q20" s="42">
        <f>P20*16</f>
        <v>0</v>
      </c>
      <c r="R20" s="42">
        <v>3</v>
      </c>
      <c r="S20" s="42">
        <f>R20*16</f>
        <v>48</v>
      </c>
      <c r="T20" s="209">
        <f t="shared" si="15"/>
        <v>3</v>
      </c>
      <c r="U20" s="210">
        <f t="shared" si="15"/>
        <v>48</v>
      </c>
    </row>
    <row r="21" spans="2:33" ht="17.25" thickBot="1">
      <c r="B21" s="554"/>
      <c r="C21" s="557"/>
      <c r="D21" s="551" t="s">
        <v>16</v>
      </c>
      <c r="E21" s="551"/>
      <c r="F21" s="177"/>
      <c r="G21" s="177"/>
      <c r="H21" s="32">
        <f>SUM(H17:H20)</f>
        <v>0</v>
      </c>
      <c r="I21" s="32">
        <f>SUM(I17:I20)</f>
        <v>0</v>
      </c>
      <c r="J21" s="32">
        <f>SUM(J17:J20)</f>
        <v>0</v>
      </c>
      <c r="K21" s="32">
        <f>SUM(K17:K20)</f>
        <v>0</v>
      </c>
      <c r="L21" s="32">
        <f t="shared" ref="L21:U21" si="16">SUM(L15:L20)</f>
        <v>0</v>
      </c>
      <c r="M21" s="32">
        <f t="shared" si="16"/>
        <v>0</v>
      </c>
      <c r="N21" s="32">
        <f t="shared" si="16"/>
        <v>0</v>
      </c>
      <c r="O21" s="32">
        <f t="shared" si="16"/>
        <v>0</v>
      </c>
      <c r="P21" s="32">
        <f t="shared" si="16"/>
        <v>9</v>
      </c>
      <c r="Q21" s="32">
        <f t="shared" si="16"/>
        <v>144</v>
      </c>
      <c r="R21" s="32">
        <f t="shared" si="16"/>
        <v>9</v>
      </c>
      <c r="S21" s="32">
        <f t="shared" si="16"/>
        <v>144</v>
      </c>
      <c r="T21" s="213">
        <f t="shared" si="16"/>
        <v>18</v>
      </c>
      <c r="U21" s="213">
        <f t="shared" si="16"/>
        <v>288</v>
      </c>
    </row>
    <row r="22" spans="2:33">
      <c r="B22" s="539" t="s">
        <v>577</v>
      </c>
      <c r="C22" s="542">
        <v>8</v>
      </c>
      <c r="D22" s="30" t="s">
        <v>714</v>
      </c>
      <c r="E22" s="30" t="s">
        <v>598</v>
      </c>
      <c r="F22" s="30">
        <v>50</v>
      </c>
      <c r="G22" s="30">
        <v>2</v>
      </c>
      <c r="H22" s="31"/>
      <c r="I22" s="31"/>
      <c r="J22" s="31"/>
      <c r="K22" s="31"/>
      <c r="L22" s="31">
        <v>2</v>
      </c>
      <c r="M22" s="31">
        <v>32</v>
      </c>
      <c r="N22" s="31"/>
      <c r="O22" s="31"/>
      <c r="P22" s="31"/>
      <c r="Q22" s="31"/>
      <c r="R22" s="31"/>
      <c r="S22" s="31"/>
      <c r="T22" s="216">
        <v>2</v>
      </c>
      <c r="U22" s="217">
        <v>32</v>
      </c>
      <c r="W22" s="48"/>
    </row>
    <row r="23" spans="2:33">
      <c r="B23" s="547"/>
      <c r="C23" s="549"/>
      <c r="D23" s="43" t="s">
        <v>599</v>
      </c>
      <c r="E23" s="43" t="s">
        <v>600</v>
      </c>
      <c r="F23" s="43">
        <v>50</v>
      </c>
      <c r="G23" s="43">
        <v>2</v>
      </c>
      <c r="H23" s="42"/>
      <c r="I23" s="42"/>
      <c r="J23" s="42"/>
      <c r="K23" s="42"/>
      <c r="L23" s="42">
        <v>2</v>
      </c>
      <c r="M23" s="42">
        <v>32</v>
      </c>
      <c r="N23" s="42"/>
      <c r="O23" s="42"/>
      <c r="P23" s="42"/>
      <c r="Q23" s="42"/>
      <c r="R23" s="42"/>
      <c r="S23" s="27"/>
      <c r="T23" s="214">
        <v>2</v>
      </c>
      <c r="U23" s="215">
        <v>32</v>
      </c>
    </row>
    <row r="24" spans="2:33">
      <c r="B24" s="547"/>
      <c r="C24" s="549"/>
      <c r="D24" s="43" t="s">
        <v>601</v>
      </c>
      <c r="E24" s="43" t="s">
        <v>602</v>
      </c>
      <c r="F24" s="43">
        <v>30</v>
      </c>
      <c r="G24" s="43">
        <v>3</v>
      </c>
      <c r="H24" s="42"/>
      <c r="I24" s="42"/>
      <c r="J24" s="42"/>
      <c r="K24" s="42"/>
      <c r="L24" s="42"/>
      <c r="M24" s="42"/>
      <c r="N24" s="42">
        <v>2</v>
      </c>
      <c r="O24" s="42">
        <v>32</v>
      </c>
      <c r="P24" s="42"/>
      <c r="Q24" s="42"/>
      <c r="R24" s="42"/>
      <c r="S24" s="27"/>
      <c r="T24" s="214">
        <v>2</v>
      </c>
      <c r="U24" s="215">
        <v>32</v>
      </c>
    </row>
    <row r="25" spans="2:33">
      <c r="B25" s="540"/>
      <c r="C25" s="543"/>
      <c r="D25" s="26" t="s">
        <v>603</v>
      </c>
      <c r="E25" s="26" t="s">
        <v>604</v>
      </c>
      <c r="F25" s="26">
        <v>30</v>
      </c>
      <c r="G25" s="26">
        <v>3</v>
      </c>
      <c r="H25" s="27"/>
      <c r="I25" s="27"/>
      <c r="J25" s="27"/>
      <c r="K25" s="27"/>
      <c r="L25" s="27"/>
      <c r="M25" s="27"/>
      <c r="N25" s="27">
        <v>2</v>
      </c>
      <c r="O25" s="27">
        <v>32</v>
      </c>
      <c r="P25" s="27"/>
      <c r="Q25" s="27"/>
      <c r="R25" s="27"/>
      <c r="S25" s="27"/>
      <c r="T25" s="218">
        <v>2</v>
      </c>
      <c r="U25" s="219">
        <v>32</v>
      </c>
    </row>
    <row r="26" spans="2:33" ht="17.25" thickBot="1">
      <c r="B26" s="541"/>
      <c r="C26" s="544"/>
      <c r="D26" s="551"/>
      <c r="E26" s="551"/>
      <c r="F26" s="177"/>
      <c r="G26" s="177"/>
      <c r="H26" s="32"/>
      <c r="I26" s="32"/>
      <c r="J26" s="32"/>
      <c r="K26" s="32"/>
      <c r="L26" s="32">
        <v>4</v>
      </c>
      <c r="M26" s="32">
        <v>64</v>
      </c>
      <c r="N26" s="32">
        <v>4</v>
      </c>
      <c r="O26" s="32">
        <v>64</v>
      </c>
      <c r="P26" s="32"/>
      <c r="Q26" s="32"/>
      <c r="R26" s="32"/>
      <c r="S26" s="32"/>
      <c r="T26" s="37">
        <v>8</v>
      </c>
      <c r="U26" s="38">
        <v>128</v>
      </c>
    </row>
    <row r="27" spans="2:33">
      <c r="B27" s="539" t="s">
        <v>578</v>
      </c>
      <c r="C27" s="542">
        <v>8</v>
      </c>
      <c r="D27" s="30" t="s">
        <v>642</v>
      </c>
      <c r="E27" s="30" t="s">
        <v>605</v>
      </c>
      <c r="F27" s="30">
        <v>20</v>
      </c>
      <c r="G27" s="30">
        <v>4</v>
      </c>
      <c r="H27" s="31"/>
      <c r="I27" s="31"/>
      <c r="J27" s="31"/>
      <c r="K27" s="31"/>
      <c r="L27" s="31">
        <v>2</v>
      </c>
      <c r="M27" s="31">
        <v>32</v>
      </c>
      <c r="N27" s="31"/>
      <c r="O27" s="31"/>
      <c r="P27" s="31"/>
      <c r="Q27" s="31"/>
      <c r="R27" s="31"/>
      <c r="S27" s="31"/>
      <c r="T27" s="216">
        <v>2</v>
      </c>
      <c r="U27" s="217">
        <v>32</v>
      </c>
      <c r="W27" s="48"/>
    </row>
    <row r="28" spans="2:33">
      <c r="B28" s="547"/>
      <c r="C28" s="549"/>
      <c r="D28" s="43" t="s">
        <v>606</v>
      </c>
      <c r="E28" s="43" t="s">
        <v>607</v>
      </c>
      <c r="F28" s="43">
        <v>70</v>
      </c>
      <c r="G28" s="43">
        <v>3</v>
      </c>
      <c r="H28" s="42"/>
      <c r="I28" s="42"/>
      <c r="J28" s="42"/>
      <c r="K28" s="42"/>
      <c r="L28" s="42">
        <v>2</v>
      </c>
      <c r="M28" s="42">
        <v>32</v>
      </c>
      <c r="N28" s="42"/>
      <c r="O28" s="42"/>
      <c r="P28" s="42"/>
      <c r="Q28" s="42"/>
      <c r="R28" s="42"/>
      <c r="S28" s="27"/>
      <c r="T28" s="214">
        <v>2</v>
      </c>
      <c r="U28" s="215">
        <v>32</v>
      </c>
    </row>
    <row r="29" spans="2:33">
      <c r="B29" s="547"/>
      <c r="C29" s="549"/>
      <c r="D29" s="43" t="s">
        <v>608</v>
      </c>
      <c r="E29" s="43" t="s">
        <v>609</v>
      </c>
      <c r="F29" s="43">
        <v>70</v>
      </c>
      <c r="G29" s="43">
        <v>4</v>
      </c>
      <c r="H29" s="42"/>
      <c r="I29" s="42"/>
      <c r="J29" s="42"/>
      <c r="K29" s="42"/>
      <c r="L29" s="42"/>
      <c r="M29" s="42"/>
      <c r="N29" s="42">
        <v>2</v>
      </c>
      <c r="O29" s="42">
        <v>32</v>
      </c>
      <c r="P29" s="42"/>
      <c r="Q29" s="42"/>
      <c r="R29" s="42"/>
      <c r="S29" s="27"/>
      <c r="T29" s="214">
        <v>2</v>
      </c>
      <c r="U29" s="215">
        <v>32</v>
      </c>
    </row>
    <row r="30" spans="2:33">
      <c r="B30" s="540"/>
      <c r="C30" s="543"/>
      <c r="D30" s="26" t="s">
        <v>610</v>
      </c>
      <c r="E30" s="26" t="s">
        <v>611</v>
      </c>
      <c r="F30" s="26">
        <v>70</v>
      </c>
      <c r="G30" s="26">
        <v>3</v>
      </c>
      <c r="H30" s="27"/>
      <c r="I30" s="27"/>
      <c r="J30" s="27"/>
      <c r="K30" s="27"/>
      <c r="L30" s="27"/>
      <c r="M30" s="27"/>
      <c r="N30" s="27">
        <v>2</v>
      </c>
      <c r="O30" s="27">
        <v>32</v>
      </c>
      <c r="P30" s="27"/>
      <c r="Q30" s="27"/>
      <c r="R30" s="27"/>
      <c r="S30" s="27"/>
      <c r="T30" s="218">
        <v>2</v>
      </c>
      <c r="U30" s="219">
        <v>32</v>
      </c>
    </row>
    <row r="31" spans="2:33" ht="17.25" thickBot="1">
      <c r="B31" s="541"/>
      <c r="C31" s="544"/>
      <c r="D31" s="551"/>
      <c r="E31" s="551"/>
      <c r="F31" s="177"/>
      <c r="G31" s="177"/>
      <c r="H31" s="32"/>
      <c r="I31" s="32"/>
      <c r="J31" s="32"/>
      <c r="K31" s="32"/>
      <c r="L31" s="32">
        <v>4</v>
      </c>
      <c r="M31" s="32">
        <v>64</v>
      </c>
      <c r="N31" s="32">
        <v>4</v>
      </c>
      <c r="O31" s="32">
        <v>64</v>
      </c>
      <c r="P31" s="32"/>
      <c r="Q31" s="32"/>
      <c r="R31" s="32"/>
      <c r="S31" s="32"/>
      <c r="T31" s="37">
        <v>8</v>
      </c>
      <c r="U31" s="38">
        <v>128</v>
      </c>
    </row>
    <row r="32" spans="2:33" ht="16.5" customHeight="1">
      <c r="B32" s="552" t="s">
        <v>533</v>
      </c>
      <c r="C32" s="555">
        <v>18</v>
      </c>
      <c r="D32" s="30" t="s">
        <v>715</v>
      </c>
      <c r="E32" s="30" t="s">
        <v>612</v>
      </c>
      <c r="F32" s="30">
        <v>45</v>
      </c>
      <c r="G32" s="30">
        <v>3</v>
      </c>
      <c r="H32" s="31"/>
      <c r="I32" s="31">
        <f>H32*16</f>
        <v>0</v>
      </c>
      <c r="J32" s="31"/>
      <c r="K32" s="31">
        <f>J32*16</f>
        <v>0</v>
      </c>
      <c r="L32" s="31"/>
      <c r="M32" s="31">
        <f>L32*16</f>
        <v>0</v>
      </c>
      <c r="N32" s="31"/>
      <c r="O32" s="31">
        <f>N32*16</f>
        <v>0</v>
      </c>
      <c r="P32" s="31">
        <v>3</v>
      </c>
      <c r="Q32" s="31">
        <f>P32*16</f>
        <v>48</v>
      </c>
      <c r="R32" s="31"/>
      <c r="S32" s="31">
        <f>R32*16</f>
        <v>0</v>
      </c>
      <c r="T32" s="207">
        <f>SUM(H32,J32,L32,N32,P32,R32)</f>
        <v>3</v>
      </c>
      <c r="U32" s="208">
        <f>SUM(I32,K32,M32,O32,Q32,S32)</f>
        <v>48</v>
      </c>
      <c r="W32" s="12"/>
      <c r="X32" s="13"/>
      <c r="Y32" s="13"/>
      <c r="Z32" s="13"/>
      <c r="AA32" s="13"/>
      <c r="AB32" s="13"/>
      <c r="AC32" s="13"/>
      <c r="AD32" s="13"/>
      <c r="AE32" s="13"/>
      <c r="AF32" s="17"/>
      <c r="AG32" s="13"/>
    </row>
    <row r="33" spans="2:33" ht="16.5" customHeight="1">
      <c r="B33" s="553"/>
      <c r="C33" s="556"/>
      <c r="D33" s="26" t="s">
        <v>613</v>
      </c>
      <c r="E33" s="43" t="s">
        <v>614</v>
      </c>
      <c r="F33" s="26">
        <v>90</v>
      </c>
      <c r="G33" s="26">
        <v>3</v>
      </c>
      <c r="H33" s="27"/>
      <c r="I33" s="27">
        <f t="shared" ref="I33" si="17">H33*16</f>
        <v>0</v>
      </c>
      <c r="J33" s="27"/>
      <c r="K33" s="27">
        <f t="shared" ref="K33" si="18">J33*16</f>
        <v>0</v>
      </c>
      <c r="L33" s="27"/>
      <c r="M33" s="27">
        <f t="shared" ref="M33" si="19">L33*16</f>
        <v>0</v>
      </c>
      <c r="N33" s="27"/>
      <c r="O33" s="27">
        <f t="shared" ref="O33" si="20">N33*16</f>
        <v>0</v>
      </c>
      <c r="P33" s="27">
        <v>3</v>
      </c>
      <c r="Q33" s="27">
        <f t="shared" ref="Q33" si="21">P33*16</f>
        <v>48</v>
      </c>
      <c r="R33" s="27"/>
      <c r="S33" s="27">
        <f t="shared" ref="S33" si="22">R33*16</f>
        <v>0</v>
      </c>
      <c r="T33" s="209">
        <f t="shared" ref="T33:U33" si="23">SUM(H33,J33,L33,N33,P33,R33)</f>
        <v>3</v>
      </c>
      <c r="U33" s="210">
        <f t="shared" si="23"/>
        <v>48</v>
      </c>
      <c r="W33" s="12"/>
      <c r="X33" s="13"/>
      <c r="Y33" s="13"/>
      <c r="Z33" s="13"/>
      <c r="AA33" s="13"/>
      <c r="AB33" s="13"/>
      <c r="AC33" s="13"/>
      <c r="AD33" s="13"/>
      <c r="AE33" s="13"/>
      <c r="AF33" s="17"/>
      <c r="AG33" s="13"/>
    </row>
    <row r="34" spans="2:33">
      <c r="B34" s="553"/>
      <c r="C34" s="556"/>
      <c r="D34" s="43" t="s">
        <v>615</v>
      </c>
      <c r="E34" s="26" t="s">
        <v>616</v>
      </c>
      <c r="F34" s="43">
        <v>50</v>
      </c>
      <c r="G34" s="43">
        <v>2</v>
      </c>
      <c r="H34" s="42"/>
      <c r="I34" s="42"/>
      <c r="J34" s="42"/>
      <c r="K34" s="42"/>
      <c r="L34" s="42"/>
      <c r="M34" s="42"/>
      <c r="N34" s="42"/>
      <c r="O34" s="42"/>
      <c r="P34" s="42">
        <v>3</v>
      </c>
      <c r="Q34" s="42">
        <f>P34*16</f>
        <v>48</v>
      </c>
      <c r="R34" s="42"/>
      <c r="S34" s="42"/>
      <c r="T34" s="211">
        <v>3</v>
      </c>
      <c r="U34" s="212">
        <f>Q34+S34</f>
        <v>48</v>
      </c>
    </row>
    <row r="35" spans="2:33">
      <c r="B35" s="553"/>
      <c r="C35" s="556"/>
      <c r="D35" s="43" t="s">
        <v>617</v>
      </c>
      <c r="E35" s="43" t="s">
        <v>618</v>
      </c>
      <c r="F35" s="43">
        <v>60</v>
      </c>
      <c r="G35" s="43">
        <v>2</v>
      </c>
      <c r="H35" s="42"/>
      <c r="I35" s="42"/>
      <c r="J35" s="42"/>
      <c r="K35" s="42"/>
      <c r="L35" s="42"/>
      <c r="M35" s="42"/>
      <c r="N35" s="42"/>
      <c r="O35" s="42"/>
      <c r="P35" s="42"/>
      <c r="Q35" s="42">
        <f>P35*16</f>
        <v>0</v>
      </c>
      <c r="R35" s="42">
        <v>3</v>
      </c>
      <c r="S35" s="42">
        <f>R35*16</f>
        <v>48</v>
      </c>
      <c r="T35" s="211">
        <f t="shared" ref="T35:U37" si="24">SUM(H35,J35,L35,N35,P35,R35)</f>
        <v>3</v>
      </c>
      <c r="U35" s="212">
        <f t="shared" si="24"/>
        <v>48</v>
      </c>
    </row>
    <row r="36" spans="2:33">
      <c r="B36" s="553"/>
      <c r="C36" s="556"/>
      <c r="D36" s="43" t="s">
        <v>619</v>
      </c>
      <c r="E36" s="43" t="s">
        <v>620</v>
      </c>
      <c r="F36" s="43">
        <v>45</v>
      </c>
      <c r="G36" s="43">
        <v>2</v>
      </c>
      <c r="H36" s="42"/>
      <c r="I36" s="42"/>
      <c r="J36" s="42"/>
      <c r="K36" s="42"/>
      <c r="L36" s="42"/>
      <c r="M36" s="42"/>
      <c r="N36" s="42"/>
      <c r="O36" s="42"/>
      <c r="P36" s="42"/>
      <c r="Q36" s="42">
        <f>P36*16</f>
        <v>0</v>
      </c>
      <c r="R36" s="42">
        <v>3</v>
      </c>
      <c r="S36" s="42">
        <f>R36*16</f>
        <v>48</v>
      </c>
      <c r="T36" s="209">
        <f t="shared" si="24"/>
        <v>3</v>
      </c>
      <c r="U36" s="210">
        <f t="shared" si="24"/>
        <v>48</v>
      </c>
    </row>
    <row r="37" spans="2:33">
      <c r="B37" s="553"/>
      <c r="C37" s="556"/>
      <c r="D37" s="43" t="s">
        <v>621</v>
      </c>
      <c r="E37" s="43" t="s">
        <v>622</v>
      </c>
      <c r="F37" s="43">
        <v>50</v>
      </c>
      <c r="G37" s="43">
        <v>3</v>
      </c>
      <c r="H37" s="42"/>
      <c r="I37" s="42"/>
      <c r="J37" s="42"/>
      <c r="K37" s="42"/>
      <c r="L37" s="42"/>
      <c r="M37" s="42"/>
      <c r="N37" s="42"/>
      <c r="O37" s="42"/>
      <c r="P37" s="42">
        <v>0</v>
      </c>
      <c r="Q37" s="42">
        <f>P37*16</f>
        <v>0</v>
      </c>
      <c r="R37" s="42">
        <v>3</v>
      </c>
      <c r="S37" s="42">
        <f>R37*16</f>
        <v>48</v>
      </c>
      <c r="T37" s="209">
        <f t="shared" si="24"/>
        <v>3</v>
      </c>
      <c r="U37" s="210">
        <f t="shared" si="24"/>
        <v>48</v>
      </c>
    </row>
    <row r="38" spans="2:33" ht="17.25" thickBot="1">
      <c r="B38" s="554"/>
      <c r="C38" s="557"/>
      <c r="D38" s="551" t="s">
        <v>16</v>
      </c>
      <c r="E38" s="551"/>
      <c r="F38" s="177"/>
      <c r="G38" s="177"/>
      <c r="H38" s="32">
        <f>SUM(H34:H37)</f>
        <v>0</v>
      </c>
      <c r="I38" s="32">
        <f>SUM(I34:I37)</f>
        <v>0</v>
      </c>
      <c r="J38" s="32">
        <f>SUM(J34:J37)</f>
        <v>0</v>
      </c>
      <c r="K38" s="32">
        <f>SUM(K34:K37)</f>
        <v>0</v>
      </c>
      <c r="L38" s="32">
        <f t="shared" ref="L38:U38" si="25">SUM(L32:L37)</f>
        <v>0</v>
      </c>
      <c r="M38" s="32">
        <f t="shared" si="25"/>
        <v>0</v>
      </c>
      <c r="N38" s="32">
        <f t="shared" si="25"/>
        <v>0</v>
      </c>
      <c r="O38" s="32">
        <f t="shared" si="25"/>
        <v>0</v>
      </c>
      <c r="P38" s="32">
        <f t="shared" si="25"/>
        <v>9</v>
      </c>
      <c r="Q38" s="32">
        <f t="shared" si="25"/>
        <v>144</v>
      </c>
      <c r="R38" s="32">
        <f t="shared" si="25"/>
        <v>9</v>
      </c>
      <c r="S38" s="32">
        <f t="shared" si="25"/>
        <v>144</v>
      </c>
      <c r="T38" s="213">
        <f t="shared" si="25"/>
        <v>18</v>
      </c>
      <c r="U38" s="213">
        <f t="shared" si="25"/>
        <v>288</v>
      </c>
    </row>
    <row r="39" spans="2:33">
      <c r="B39" s="539" t="s">
        <v>534</v>
      </c>
      <c r="C39" s="542">
        <v>12</v>
      </c>
      <c r="D39" s="53" t="s">
        <v>630</v>
      </c>
      <c r="E39" s="30" t="s">
        <v>623</v>
      </c>
      <c r="F39" s="30">
        <v>40</v>
      </c>
      <c r="G39" s="49">
        <v>2</v>
      </c>
      <c r="H39" s="31"/>
      <c r="I39" s="31"/>
      <c r="J39" s="31"/>
      <c r="K39" s="31"/>
      <c r="L39" s="31"/>
      <c r="M39" s="31"/>
      <c r="N39" s="31"/>
      <c r="O39" s="31"/>
      <c r="P39" s="31">
        <v>3</v>
      </c>
      <c r="Q39" s="31">
        <v>48</v>
      </c>
      <c r="R39" s="31"/>
      <c r="S39" s="31"/>
      <c r="T39" s="216">
        <v>3</v>
      </c>
      <c r="U39" s="217">
        <v>48</v>
      </c>
    </row>
    <row r="40" spans="2:33">
      <c r="B40" s="540"/>
      <c r="C40" s="543"/>
      <c r="D40" s="50" t="s">
        <v>624</v>
      </c>
      <c r="E40" s="43" t="s">
        <v>625</v>
      </c>
      <c r="F40" s="43">
        <v>40</v>
      </c>
      <c r="G40" s="43">
        <v>2</v>
      </c>
      <c r="H40" s="42"/>
      <c r="I40" s="42"/>
      <c r="J40" s="42"/>
      <c r="K40" s="42"/>
      <c r="L40" s="42"/>
      <c r="M40" s="42"/>
      <c r="N40" s="42"/>
      <c r="O40" s="42"/>
      <c r="P40" s="42">
        <v>3</v>
      </c>
      <c r="Q40" s="42">
        <v>48</v>
      </c>
      <c r="R40" s="42"/>
      <c r="S40" s="42"/>
      <c r="T40" s="214">
        <v>3</v>
      </c>
      <c r="U40" s="215">
        <v>48</v>
      </c>
    </row>
    <row r="41" spans="2:33">
      <c r="B41" s="540"/>
      <c r="C41" s="543"/>
      <c r="D41" s="51" t="s">
        <v>626</v>
      </c>
      <c r="E41" s="26" t="s">
        <v>627</v>
      </c>
      <c r="F41" s="26">
        <v>100</v>
      </c>
      <c r="G41" s="26">
        <v>3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>
        <v>4</v>
      </c>
      <c r="S41" s="27">
        <v>64</v>
      </c>
      <c r="T41" s="218">
        <v>4</v>
      </c>
      <c r="U41" s="219">
        <v>64</v>
      </c>
    </row>
    <row r="42" spans="2:33">
      <c r="B42" s="540"/>
      <c r="C42" s="543"/>
      <c r="D42" s="51" t="s">
        <v>628</v>
      </c>
      <c r="E42" s="26" t="s">
        <v>629</v>
      </c>
      <c r="F42" s="26">
        <v>30</v>
      </c>
      <c r="G42" s="26">
        <v>2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>
        <v>2</v>
      </c>
      <c r="S42" s="27">
        <v>32</v>
      </c>
      <c r="T42" s="218">
        <v>2</v>
      </c>
      <c r="U42" s="219">
        <v>32</v>
      </c>
    </row>
    <row r="43" spans="2:33" ht="17.25" thickBot="1">
      <c r="B43" s="541"/>
      <c r="C43" s="544"/>
      <c r="D43" s="545"/>
      <c r="E43" s="546"/>
      <c r="F43" s="177"/>
      <c r="G43" s="177"/>
      <c r="H43" s="32"/>
      <c r="I43" s="32"/>
      <c r="J43" s="32"/>
      <c r="K43" s="32"/>
      <c r="L43" s="32"/>
      <c r="M43" s="32"/>
      <c r="N43" s="32"/>
      <c r="O43" s="32"/>
      <c r="P43" s="32">
        <v>6</v>
      </c>
      <c r="Q43" s="32">
        <v>96</v>
      </c>
      <c r="R43" s="32">
        <v>6</v>
      </c>
      <c r="S43" s="32">
        <v>96</v>
      </c>
      <c r="T43" s="37">
        <v>12</v>
      </c>
      <c r="U43" s="38">
        <v>192</v>
      </c>
    </row>
    <row r="44" spans="2:33">
      <c r="B44" s="547" t="s">
        <v>539</v>
      </c>
      <c r="C44" s="549">
        <v>9</v>
      </c>
      <c r="D44" s="51" t="s">
        <v>631</v>
      </c>
      <c r="E44" s="44" t="s">
        <v>632</v>
      </c>
      <c r="F44" s="26">
        <v>20</v>
      </c>
      <c r="G44" s="43">
        <v>4</v>
      </c>
      <c r="H44" s="42"/>
      <c r="I44" s="42"/>
      <c r="J44" s="42"/>
      <c r="K44" s="42"/>
      <c r="L44" s="42"/>
      <c r="M44" s="42"/>
      <c r="N44" s="42"/>
      <c r="O44" s="42"/>
      <c r="P44" s="33">
        <v>2</v>
      </c>
      <c r="Q44" s="33">
        <v>32</v>
      </c>
      <c r="R44" s="33"/>
      <c r="S44" s="33"/>
      <c r="T44" s="214">
        <v>2</v>
      </c>
      <c r="U44" s="215">
        <v>32</v>
      </c>
    </row>
    <row r="45" spans="2:33">
      <c r="B45" s="547"/>
      <c r="C45" s="549"/>
      <c r="D45" s="50" t="s">
        <v>633</v>
      </c>
      <c r="E45" s="45" t="s">
        <v>634</v>
      </c>
      <c r="F45" s="43">
        <v>50</v>
      </c>
      <c r="G45" s="43">
        <v>3</v>
      </c>
      <c r="H45" s="42"/>
      <c r="I45" s="42"/>
      <c r="J45" s="42"/>
      <c r="K45" s="42"/>
      <c r="L45" s="42"/>
      <c r="M45" s="42"/>
      <c r="N45" s="42"/>
      <c r="O45" s="42"/>
      <c r="P45" s="33">
        <v>2</v>
      </c>
      <c r="Q45" s="33">
        <v>32</v>
      </c>
      <c r="R45" s="33"/>
      <c r="S45" s="33"/>
      <c r="T45" s="214">
        <v>2</v>
      </c>
      <c r="U45" s="215">
        <v>32</v>
      </c>
    </row>
    <row r="46" spans="2:33">
      <c r="B46" s="548"/>
      <c r="C46" s="550"/>
      <c r="D46" s="52" t="s">
        <v>635</v>
      </c>
      <c r="E46" s="41" t="s">
        <v>636</v>
      </c>
      <c r="F46" s="26">
        <v>70</v>
      </c>
      <c r="G46" s="43">
        <v>4</v>
      </c>
      <c r="H46" s="42"/>
      <c r="I46" s="42"/>
      <c r="J46" s="42"/>
      <c r="K46" s="42"/>
      <c r="L46" s="42"/>
      <c r="M46" s="42"/>
      <c r="N46" s="42"/>
      <c r="O46" s="42"/>
      <c r="P46" s="33"/>
      <c r="Q46" s="33"/>
      <c r="R46" s="33">
        <v>3</v>
      </c>
      <c r="S46" s="33">
        <v>48</v>
      </c>
      <c r="T46" s="214">
        <v>3</v>
      </c>
      <c r="U46" s="215">
        <v>48</v>
      </c>
    </row>
    <row r="47" spans="2:33">
      <c r="B47" s="548"/>
      <c r="C47" s="550"/>
      <c r="D47" s="52" t="s">
        <v>637</v>
      </c>
      <c r="E47" s="41" t="s">
        <v>638</v>
      </c>
      <c r="F47" s="40">
        <v>70</v>
      </c>
      <c r="G47" s="26">
        <v>3</v>
      </c>
      <c r="H47" s="27"/>
      <c r="I47" s="27"/>
      <c r="J47" s="27"/>
      <c r="K47" s="27"/>
      <c r="L47" s="27"/>
      <c r="M47" s="27"/>
      <c r="N47" s="27"/>
      <c r="O47" s="27"/>
      <c r="P47" s="28"/>
      <c r="Q47" s="28"/>
      <c r="R47" s="28">
        <v>2</v>
      </c>
      <c r="S47" s="28">
        <v>32</v>
      </c>
      <c r="T47" s="218">
        <v>2</v>
      </c>
      <c r="U47" s="219">
        <v>32</v>
      </c>
    </row>
    <row r="48" spans="2:33" ht="17.25" thickBot="1">
      <c r="B48" s="541"/>
      <c r="C48" s="544"/>
      <c r="D48" s="551"/>
      <c r="E48" s="551"/>
      <c r="F48" s="177"/>
      <c r="G48" s="177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7">
        <v>9</v>
      </c>
      <c r="U48" s="38">
        <v>144</v>
      </c>
    </row>
  </sheetData>
  <mergeCells count="51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1"/>
    <mergeCell ref="C9:C11"/>
    <mergeCell ref="D11:E11"/>
    <mergeCell ref="B12:B14"/>
    <mergeCell ref="C12:C14"/>
    <mergeCell ref="D14:E14"/>
    <mergeCell ref="B15:B21"/>
    <mergeCell ref="C15:C21"/>
    <mergeCell ref="D21:E21"/>
    <mergeCell ref="B22:B26"/>
    <mergeCell ref="C22:C26"/>
    <mergeCell ref="D26:E26"/>
    <mergeCell ref="B27:B31"/>
    <mergeCell ref="C27:C31"/>
    <mergeCell ref="D31:E31"/>
    <mergeCell ref="B32:B38"/>
    <mergeCell ref="C32:C38"/>
    <mergeCell ref="D38:E38"/>
    <mergeCell ref="B39:B43"/>
    <mergeCell ref="C39:C43"/>
    <mergeCell ref="D43:E43"/>
    <mergeCell ref="B44:B48"/>
    <mergeCell ref="C44:C48"/>
    <mergeCell ref="D48:E48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50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35"/>
  <sheetViews>
    <sheetView showGridLines="0" view="pageBreakPreview" zoomScale="115" zoomScaleNormal="85" zoomScaleSheetLayoutView="115" workbookViewId="0">
      <selection activeCell="K4" sqref="K4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8" t="s">
        <v>152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</row>
    <row r="3" spans="2:33" ht="27" customHeight="1" thickBot="1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579" t="s">
        <v>129</v>
      </c>
      <c r="O3" s="580"/>
      <c r="P3" s="581"/>
      <c r="Q3" s="579" t="s">
        <v>127</v>
      </c>
      <c r="R3" s="580"/>
      <c r="S3" s="581"/>
      <c r="T3" s="582" t="s">
        <v>130</v>
      </c>
      <c r="U3" s="583"/>
    </row>
    <row r="4" spans="2:33" ht="27" customHeight="1" thickBot="1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584" t="s">
        <v>520</v>
      </c>
      <c r="O4" s="585"/>
      <c r="P4" s="586"/>
      <c r="Q4" s="587" t="s">
        <v>552</v>
      </c>
      <c r="R4" s="588"/>
      <c r="S4" s="589"/>
      <c r="T4" s="590">
        <v>2027</v>
      </c>
      <c r="U4" s="591"/>
    </row>
    <row r="5" spans="2:33" ht="24" customHeight="1" thickBot="1">
      <c r="B5" s="592"/>
      <c r="C5" s="592"/>
    </row>
    <row r="6" spans="2:33" ht="20.25" customHeight="1">
      <c r="B6" s="593" t="s">
        <v>13</v>
      </c>
      <c r="C6" s="596" t="s">
        <v>141</v>
      </c>
      <c r="D6" s="575" t="s">
        <v>14</v>
      </c>
      <c r="E6" s="575" t="s">
        <v>15</v>
      </c>
      <c r="F6" s="575" t="s">
        <v>142</v>
      </c>
      <c r="G6" s="575" t="s">
        <v>143</v>
      </c>
      <c r="H6" s="561" t="s">
        <v>58</v>
      </c>
      <c r="I6" s="561"/>
      <c r="J6" s="561"/>
      <c r="K6" s="561"/>
      <c r="L6" s="561" t="s">
        <v>59</v>
      </c>
      <c r="M6" s="561"/>
      <c r="N6" s="561"/>
      <c r="O6" s="561"/>
      <c r="P6" s="561" t="s">
        <v>60</v>
      </c>
      <c r="Q6" s="561"/>
      <c r="R6" s="561"/>
      <c r="S6" s="561"/>
      <c r="T6" s="562" t="s">
        <v>140</v>
      </c>
      <c r="U6" s="572" t="s">
        <v>126</v>
      </c>
      <c r="W6" s="565" t="s">
        <v>131</v>
      </c>
      <c r="X6" s="566"/>
      <c r="Y6" s="566"/>
      <c r="Z6" s="566"/>
      <c r="AA6" s="566"/>
      <c r="AB6" s="566"/>
      <c r="AC6" s="566"/>
      <c r="AD6" s="566"/>
      <c r="AE6" s="566"/>
      <c r="AF6" s="567"/>
      <c r="AG6" s="13"/>
    </row>
    <row r="7" spans="2:33" ht="16.5" customHeight="1">
      <c r="B7" s="594"/>
      <c r="C7" s="597"/>
      <c r="D7" s="576"/>
      <c r="E7" s="576"/>
      <c r="F7" s="576"/>
      <c r="G7" s="576"/>
      <c r="H7" s="568" t="s">
        <v>124</v>
      </c>
      <c r="I7" s="568"/>
      <c r="J7" s="568" t="s">
        <v>62</v>
      </c>
      <c r="K7" s="568"/>
      <c r="L7" s="568" t="s">
        <v>124</v>
      </c>
      <c r="M7" s="568"/>
      <c r="N7" s="568" t="s">
        <v>62</v>
      </c>
      <c r="O7" s="568"/>
      <c r="P7" s="568" t="s">
        <v>124</v>
      </c>
      <c r="Q7" s="568"/>
      <c r="R7" s="568" t="s">
        <v>62</v>
      </c>
      <c r="S7" s="568"/>
      <c r="T7" s="563"/>
      <c r="U7" s="573"/>
      <c r="W7" s="569" t="s">
        <v>132</v>
      </c>
      <c r="X7" s="570"/>
      <c r="Y7" s="570"/>
      <c r="Z7" s="570"/>
      <c r="AA7" s="570"/>
      <c r="AB7" s="570"/>
      <c r="AC7" s="570"/>
      <c r="AD7" s="570"/>
      <c r="AE7" s="570"/>
      <c r="AF7" s="571"/>
      <c r="AG7" s="13"/>
    </row>
    <row r="8" spans="2:33" ht="17.25" customHeight="1" thickBot="1">
      <c r="B8" s="595"/>
      <c r="C8" s="598"/>
      <c r="D8" s="577"/>
      <c r="E8" s="577"/>
      <c r="F8" s="577"/>
      <c r="G8" s="577"/>
      <c r="H8" s="29" t="s">
        <v>139</v>
      </c>
      <c r="I8" s="29" t="s">
        <v>125</v>
      </c>
      <c r="J8" s="29" t="s">
        <v>139</v>
      </c>
      <c r="K8" s="29" t="s">
        <v>125</v>
      </c>
      <c r="L8" s="29" t="s">
        <v>139</v>
      </c>
      <c r="M8" s="29" t="s">
        <v>125</v>
      </c>
      <c r="N8" s="29" t="s">
        <v>139</v>
      </c>
      <c r="O8" s="29" t="s">
        <v>125</v>
      </c>
      <c r="P8" s="29" t="s">
        <v>139</v>
      </c>
      <c r="Q8" s="29" t="s">
        <v>125</v>
      </c>
      <c r="R8" s="29" t="s">
        <v>139</v>
      </c>
      <c r="S8" s="29" t="s">
        <v>125</v>
      </c>
      <c r="T8" s="564"/>
      <c r="U8" s="5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552" t="s">
        <v>546</v>
      </c>
      <c r="C9" s="542">
        <v>16</v>
      </c>
      <c r="D9" s="40" t="s">
        <v>734</v>
      </c>
      <c r="E9" s="26" t="s">
        <v>739</v>
      </c>
      <c r="F9" s="40">
        <v>40</v>
      </c>
      <c r="G9" s="40">
        <v>4</v>
      </c>
      <c r="H9" s="31"/>
      <c r="I9" s="31"/>
      <c r="J9" s="31"/>
      <c r="K9" s="31"/>
      <c r="L9" s="31">
        <v>3</v>
      </c>
      <c r="M9" s="31">
        <v>48</v>
      </c>
      <c r="N9" s="31"/>
      <c r="O9" s="31"/>
      <c r="P9" s="31"/>
      <c r="Q9" s="31"/>
      <c r="R9" s="31"/>
      <c r="S9" s="31"/>
      <c r="T9" s="216">
        <v>3</v>
      </c>
      <c r="U9" s="217">
        <v>48</v>
      </c>
      <c r="W9" s="48"/>
    </row>
    <row r="10" spans="2:33">
      <c r="B10" s="553"/>
      <c r="C10" s="549"/>
      <c r="D10" s="26" t="s">
        <v>640</v>
      </c>
      <c r="E10" s="26" t="s">
        <v>656</v>
      </c>
      <c r="F10" s="26">
        <v>50</v>
      </c>
      <c r="G10" s="26">
        <v>2</v>
      </c>
      <c r="H10" s="42"/>
      <c r="I10" s="42"/>
      <c r="J10" s="42"/>
      <c r="K10" s="42"/>
      <c r="L10" s="42">
        <v>2</v>
      </c>
      <c r="M10" s="42">
        <v>32</v>
      </c>
      <c r="N10" s="42"/>
      <c r="O10" s="42"/>
      <c r="P10" s="42"/>
      <c r="Q10" s="42"/>
      <c r="R10" s="42"/>
      <c r="S10" s="27"/>
      <c r="T10" s="214">
        <v>2</v>
      </c>
      <c r="U10" s="215">
        <v>32</v>
      </c>
    </row>
    <row r="11" spans="2:33">
      <c r="B11" s="553"/>
      <c r="C11" s="549"/>
      <c r="D11" s="43" t="s">
        <v>641</v>
      </c>
      <c r="E11" s="43" t="s">
        <v>655</v>
      </c>
      <c r="F11" s="43">
        <v>50</v>
      </c>
      <c r="G11" s="43">
        <v>2</v>
      </c>
      <c r="H11" s="42"/>
      <c r="I11" s="42"/>
      <c r="J11" s="42"/>
      <c r="K11" s="42"/>
      <c r="L11" s="42">
        <v>2</v>
      </c>
      <c r="M11" s="42">
        <v>32</v>
      </c>
      <c r="N11" s="42"/>
      <c r="O11" s="42"/>
      <c r="P11" s="42"/>
      <c r="Q11" s="42"/>
      <c r="R11" s="42"/>
      <c r="S11" s="27"/>
      <c r="T11" s="214">
        <v>2</v>
      </c>
      <c r="U11" s="215">
        <v>32</v>
      </c>
    </row>
    <row r="12" spans="2:33">
      <c r="B12" s="553"/>
      <c r="C12" s="549"/>
      <c r="D12" s="43" t="s">
        <v>735</v>
      </c>
      <c r="E12" s="43" t="s">
        <v>736</v>
      </c>
      <c r="F12" s="43">
        <v>40</v>
      </c>
      <c r="G12" s="43">
        <v>2</v>
      </c>
      <c r="H12" s="42"/>
      <c r="I12" s="42"/>
      <c r="J12" s="42"/>
      <c r="K12" s="42"/>
      <c r="L12" s="42">
        <v>1</v>
      </c>
      <c r="M12" s="42">
        <v>16</v>
      </c>
      <c r="N12" s="42"/>
      <c r="O12" s="42"/>
      <c r="P12" s="42"/>
      <c r="Q12" s="42"/>
      <c r="R12" s="42"/>
      <c r="S12" s="27"/>
      <c r="T12" s="214">
        <v>1</v>
      </c>
      <c r="U12" s="215">
        <v>16</v>
      </c>
    </row>
    <row r="13" spans="2:33">
      <c r="B13" s="553"/>
      <c r="C13" s="549"/>
      <c r="D13" s="43" t="s">
        <v>737</v>
      </c>
      <c r="E13" s="26" t="s">
        <v>738</v>
      </c>
      <c r="F13" s="43">
        <v>50</v>
      </c>
      <c r="G13" s="43">
        <v>3</v>
      </c>
      <c r="H13" s="42"/>
      <c r="I13" s="42"/>
      <c r="J13" s="42"/>
      <c r="K13" s="42"/>
      <c r="L13" s="42"/>
      <c r="M13" s="42"/>
      <c r="N13" s="42">
        <v>2</v>
      </c>
      <c r="O13" s="42">
        <v>32</v>
      </c>
      <c r="P13" s="42"/>
      <c r="Q13" s="42"/>
      <c r="R13" s="42"/>
      <c r="S13" s="27"/>
      <c r="T13" s="214">
        <v>2</v>
      </c>
      <c r="U13" s="215">
        <v>32</v>
      </c>
    </row>
    <row r="14" spans="2:33">
      <c r="B14" s="553"/>
      <c r="C14" s="549"/>
      <c r="D14" s="43" t="s">
        <v>740</v>
      </c>
      <c r="E14" s="26" t="s">
        <v>741</v>
      </c>
      <c r="F14" s="43">
        <v>40</v>
      </c>
      <c r="G14" s="43">
        <v>5</v>
      </c>
      <c r="H14" s="42"/>
      <c r="I14" s="42"/>
      <c r="J14" s="42"/>
      <c r="K14" s="42"/>
      <c r="L14" s="42"/>
      <c r="M14" s="42"/>
      <c r="N14" s="42">
        <v>2</v>
      </c>
      <c r="O14" s="42">
        <v>32</v>
      </c>
      <c r="P14" s="42"/>
      <c r="Q14" s="42"/>
      <c r="R14" s="42"/>
      <c r="S14" s="27"/>
      <c r="T14" s="214">
        <v>2</v>
      </c>
      <c r="U14" s="215">
        <v>32</v>
      </c>
    </row>
    <row r="15" spans="2:33">
      <c r="B15" s="553"/>
      <c r="C15" s="549"/>
      <c r="D15" s="43" t="s">
        <v>742</v>
      </c>
      <c r="E15" s="43" t="s">
        <v>743</v>
      </c>
      <c r="F15" s="43">
        <v>50</v>
      </c>
      <c r="G15" s="43">
        <v>5</v>
      </c>
      <c r="H15" s="42"/>
      <c r="I15" s="42"/>
      <c r="J15" s="42"/>
      <c r="K15" s="42"/>
      <c r="L15" s="42"/>
      <c r="M15" s="42"/>
      <c r="N15" s="42">
        <v>2</v>
      </c>
      <c r="O15" s="42">
        <v>32</v>
      </c>
      <c r="P15" s="42"/>
      <c r="Q15" s="42"/>
      <c r="R15" s="42"/>
      <c r="S15" s="27"/>
      <c r="T15" s="214">
        <v>2</v>
      </c>
      <c r="U15" s="215">
        <v>32</v>
      </c>
    </row>
    <row r="16" spans="2:33">
      <c r="B16" s="553"/>
      <c r="C16" s="543"/>
      <c r="D16" s="26" t="s">
        <v>744</v>
      </c>
      <c r="E16" s="43" t="s">
        <v>745</v>
      </c>
      <c r="F16" s="26"/>
      <c r="G16" s="26"/>
      <c r="H16" s="27"/>
      <c r="I16" s="27"/>
      <c r="J16" s="27"/>
      <c r="K16" s="27"/>
      <c r="L16" s="27"/>
      <c r="M16" s="27"/>
      <c r="N16" s="27">
        <v>2</v>
      </c>
      <c r="O16" s="27">
        <v>32</v>
      </c>
      <c r="P16" s="27"/>
      <c r="Q16" s="27"/>
      <c r="R16" s="27"/>
      <c r="S16" s="27"/>
      <c r="T16" s="218">
        <v>2</v>
      </c>
      <c r="U16" s="219">
        <v>32</v>
      </c>
    </row>
    <row r="17" spans="2:23" ht="17.25" thickBot="1">
      <c r="B17" s="554"/>
      <c r="C17" s="544"/>
      <c r="D17" s="551"/>
      <c r="E17" s="551"/>
      <c r="F17" s="177"/>
      <c r="G17" s="177"/>
      <c r="H17" s="32"/>
      <c r="I17" s="32"/>
      <c r="J17" s="32"/>
      <c r="K17" s="32"/>
      <c r="L17" s="32">
        <v>8</v>
      </c>
      <c r="M17" s="32">
        <v>128</v>
      </c>
      <c r="N17" s="32">
        <v>8</v>
      </c>
      <c r="O17" s="32">
        <v>128</v>
      </c>
      <c r="P17" s="32"/>
      <c r="Q17" s="32"/>
      <c r="R17" s="32"/>
      <c r="S17" s="32"/>
      <c r="T17" s="37">
        <v>16</v>
      </c>
      <c r="U17" s="38">
        <v>256</v>
      </c>
    </row>
    <row r="18" spans="2:23">
      <c r="B18" s="552" t="s">
        <v>726</v>
      </c>
      <c r="C18" s="558">
        <v>5</v>
      </c>
      <c r="D18" s="43" t="s">
        <v>746</v>
      </c>
      <c r="E18" s="26" t="s">
        <v>747</v>
      </c>
      <c r="F18" s="43"/>
      <c r="G18" s="43"/>
      <c r="H18" s="42"/>
      <c r="I18" s="42"/>
      <c r="J18" s="42"/>
      <c r="K18" s="42"/>
      <c r="L18" s="42"/>
      <c r="M18" s="42"/>
      <c r="N18" s="42">
        <v>3</v>
      </c>
      <c r="O18" s="42">
        <v>48</v>
      </c>
      <c r="P18" s="42"/>
      <c r="Q18" s="42"/>
      <c r="R18" s="42"/>
      <c r="S18" s="27"/>
      <c r="T18" s="214">
        <v>3</v>
      </c>
      <c r="U18" s="215">
        <v>48</v>
      </c>
    </row>
    <row r="19" spans="2:23">
      <c r="B19" s="553"/>
      <c r="C19" s="559"/>
      <c r="D19" s="231" t="s">
        <v>748</v>
      </c>
      <c r="E19" s="26" t="s">
        <v>749</v>
      </c>
      <c r="F19" s="43"/>
      <c r="G19" s="43"/>
      <c r="H19" s="42"/>
      <c r="I19" s="42"/>
      <c r="J19" s="42"/>
      <c r="K19" s="42"/>
      <c r="L19" s="42">
        <v>2</v>
      </c>
      <c r="M19" s="42">
        <v>32</v>
      </c>
      <c r="N19" s="42"/>
      <c r="O19" s="42"/>
      <c r="P19" s="42"/>
      <c r="Q19" s="42"/>
      <c r="R19" s="42"/>
      <c r="S19" s="42"/>
      <c r="T19" s="214">
        <v>2</v>
      </c>
      <c r="U19" s="215">
        <v>32</v>
      </c>
    </row>
    <row r="20" spans="2:23" ht="17.25" thickBot="1">
      <c r="B20" s="554"/>
      <c r="C20" s="560"/>
      <c r="D20" s="551"/>
      <c r="E20" s="551"/>
      <c r="F20" s="226"/>
      <c r="G20" s="226"/>
      <c r="H20" s="32"/>
      <c r="I20" s="32"/>
      <c r="J20" s="32"/>
      <c r="K20" s="32"/>
      <c r="L20" s="32">
        <v>2</v>
      </c>
      <c r="M20" s="32">
        <v>32</v>
      </c>
      <c r="N20" s="32">
        <v>3</v>
      </c>
      <c r="O20" s="32">
        <v>48</v>
      </c>
      <c r="P20" s="32"/>
      <c r="Q20" s="32"/>
      <c r="R20" s="32"/>
      <c r="S20" s="32"/>
      <c r="T20" s="37">
        <v>5</v>
      </c>
      <c r="U20" s="38">
        <v>80</v>
      </c>
    </row>
    <row r="21" spans="2:23" ht="16.5" customHeight="1">
      <c r="B21" s="539" t="s">
        <v>639</v>
      </c>
      <c r="C21" s="542">
        <v>18</v>
      </c>
      <c r="D21" s="30" t="s">
        <v>651</v>
      </c>
      <c r="E21" s="30" t="s">
        <v>657</v>
      </c>
      <c r="F21" s="30">
        <v>80</v>
      </c>
      <c r="G21" s="30">
        <v>2</v>
      </c>
      <c r="H21" s="31"/>
      <c r="I21" s="31"/>
      <c r="J21" s="31"/>
      <c r="K21" s="31"/>
      <c r="L21" s="31"/>
      <c r="M21" s="31"/>
      <c r="N21" s="31"/>
      <c r="O21" s="31"/>
      <c r="P21" s="31">
        <v>5</v>
      </c>
      <c r="Q21" s="31">
        <v>80</v>
      </c>
      <c r="R21" s="31"/>
      <c r="S21" s="31"/>
      <c r="T21" s="216">
        <v>5</v>
      </c>
      <c r="U21" s="217">
        <v>80</v>
      </c>
      <c r="W21" s="48"/>
    </row>
    <row r="22" spans="2:23">
      <c r="B22" s="547"/>
      <c r="C22" s="549"/>
      <c r="D22" s="43" t="s">
        <v>652</v>
      </c>
      <c r="E22" s="43" t="s">
        <v>658</v>
      </c>
      <c r="F22" s="43">
        <v>40</v>
      </c>
      <c r="G22" s="43">
        <v>4</v>
      </c>
      <c r="H22" s="42"/>
      <c r="I22" s="42"/>
      <c r="J22" s="42"/>
      <c r="K22" s="42"/>
      <c r="L22" s="42"/>
      <c r="M22" s="42"/>
      <c r="N22" s="42"/>
      <c r="O22" s="42"/>
      <c r="P22" s="42">
        <v>4</v>
      </c>
      <c r="Q22" s="42">
        <v>64</v>
      </c>
      <c r="R22" s="42"/>
      <c r="S22" s="27"/>
      <c r="T22" s="214">
        <v>4</v>
      </c>
      <c r="U22" s="215">
        <v>64</v>
      </c>
    </row>
    <row r="23" spans="2:23">
      <c r="B23" s="547"/>
      <c r="C23" s="549"/>
      <c r="D23" s="43" t="s">
        <v>653</v>
      </c>
      <c r="E23" s="43" t="s">
        <v>659</v>
      </c>
      <c r="F23" s="43">
        <v>80</v>
      </c>
      <c r="G23" s="43">
        <v>3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>
        <v>5</v>
      </c>
      <c r="S23" s="27">
        <v>80</v>
      </c>
      <c r="T23" s="214">
        <v>5</v>
      </c>
      <c r="U23" s="215">
        <v>80</v>
      </c>
    </row>
    <row r="24" spans="2:23">
      <c r="B24" s="540"/>
      <c r="C24" s="543"/>
      <c r="D24" s="26" t="s">
        <v>654</v>
      </c>
      <c r="E24" s="26" t="s">
        <v>660</v>
      </c>
      <c r="F24" s="26">
        <v>150</v>
      </c>
      <c r="G24" s="26">
        <v>3</v>
      </c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>
        <v>4</v>
      </c>
      <c r="S24" s="27">
        <v>64</v>
      </c>
      <c r="T24" s="218">
        <v>4</v>
      </c>
      <c r="U24" s="219">
        <v>64</v>
      </c>
    </row>
    <row r="25" spans="2:23" ht="17.25" thickBot="1">
      <c r="B25" s="541"/>
      <c r="C25" s="544"/>
      <c r="D25" s="551"/>
      <c r="E25" s="551"/>
      <c r="F25" s="177"/>
      <c r="G25" s="177"/>
      <c r="H25" s="32"/>
      <c r="I25" s="32"/>
      <c r="J25" s="32"/>
      <c r="K25" s="32"/>
      <c r="L25" s="32"/>
      <c r="M25" s="32"/>
      <c r="N25" s="32"/>
      <c r="O25" s="32"/>
      <c r="P25" s="32">
        <v>9</v>
      </c>
      <c r="Q25" s="32">
        <v>144</v>
      </c>
      <c r="R25" s="32">
        <v>9</v>
      </c>
      <c r="S25" s="32">
        <v>144</v>
      </c>
      <c r="T25" s="37">
        <v>18</v>
      </c>
      <c r="U25" s="38">
        <v>288</v>
      </c>
    </row>
    <row r="26" spans="2:23">
      <c r="B26" s="539" t="s">
        <v>560</v>
      </c>
      <c r="C26" s="542">
        <v>16</v>
      </c>
      <c r="D26" s="53" t="s">
        <v>646</v>
      </c>
      <c r="E26" s="30" t="s">
        <v>664</v>
      </c>
      <c r="F26" s="30">
        <v>50</v>
      </c>
      <c r="G26" s="49">
        <v>2</v>
      </c>
      <c r="H26" s="31"/>
      <c r="I26" s="31"/>
      <c r="J26" s="31"/>
      <c r="K26" s="31"/>
      <c r="L26" s="31"/>
      <c r="M26" s="31"/>
      <c r="N26" s="31"/>
      <c r="O26" s="31"/>
      <c r="P26" s="31">
        <v>4</v>
      </c>
      <c r="Q26" s="31">
        <v>64</v>
      </c>
      <c r="R26" s="31"/>
      <c r="S26" s="31"/>
      <c r="T26" s="216">
        <v>4</v>
      </c>
      <c r="U26" s="217">
        <v>64</v>
      </c>
    </row>
    <row r="27" spans="2:23">
      <c r="B27" s="540"/>
      <c r="C27" s="543"/>
      <c r="D27" s="50" t="s">
        <v>643</v>
      </c>
      <c r="E27" s="43" t="s">
        <v>661</v>
      </c>
      <c r="F27" s="43">
        <v>50</v>
      </c>
      <c r="G27" s="43">
        <v>2</v>
      </c>
      <c r="H27" s="42"/>
      <c r="I27" s="42"/>
      <c r="J27" s="42"/>
      <c r="K27" s="42"/>
      <c r="L27" s="42"/>
      <c r="M27" s="42"/>
      <c r="N27" s="42"/>
      <c r="O27" s="42"/>
      <c r="P27" s="42">
        <v>4</v>
      </c>
      <c r="Q27" s="42">
        <v>64</v>
      </c>
      <c r="R27" s="42"/>
      <c r="S27" s="42"/>
      <c r="T27" s="214">
        <v>4</v>
      </c>
      <c r="U27" s="215">
        <v>64</v>
      </c>
    </row>
    <row r="28" spans="2:23">
      <c r="B28" s="540"/>
      <c r="C28" s="543"/>
      <c r="D28" s="51" t="s">
        <v>644</v>
      </c>
      <c r="E28" s="26" t="s">
        <v>662</v>
      </c>
      <c r="F28" s="26">
        <v>50</v>
      </c>
      <c r="G28" s="26">
        <v>2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>
        <v>4</v>
      </c>
      <c r="S28" s="27">
        <v>64</v>
      </c>
      <c r="T28" s="218">
        <v>4</v>
      </c>
      <c r="U28" s="219">
        <v>64</v>
      </c>
    </row>
    <row r="29" spans="2:23">
      <c r="B29" s="540"/>
      <c r="C29" s="543"/>
      <c r="D29" s="51" t="s">
        <v>645</v>
      </c>
      <c r="E29" s="26" t="s">
        <v>663</v>
      </c>
      <c r="F29" s="26">
        <v>50</v>
      </c>
      <c r="G29" s="26">
        <v>3</v>
      </c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>
        <v>4</v>
      </c>
      <c r="S29" s="27">
        <v>64</v>
      </c>
      <c r="T29" s="218">
        <v>4</v>
      </c>
      <c r="U29" s="219">
        <v>64</v>
      </c>
    </row>
    <row r="30" spans="2:23" ht="17.25" thickBot="1">
      <c r="B30" s="541"/>
      <c r="C30" s="544"/>
      <c r="D30" s="545"/>
      <c r="E30" s="546"/>
      <c r="F30" s="177"/>
      <c r="G30" s="177"/>
      <c r="H30" s="32"/>
      <c r="I30" s="32"/>
      <c r="J30" s="32"/>
      <c r="K30" s="32"/>
      <c r="L30" s="32"/>
      <c r="M30" s="32"/>
      <c r="N30" s="32"/>
      <c r="O30" s="32"/>
      <c r="P30" s="32">
        <v>8</v>
      </c>
      <c r="Q30" s="32">
        <v>128</v>
      </c>
      <c r="R30" s="32">
        <v>8</v>
      </c>
      <c r="S30" s="32">
        <v>128</v>
      </c>
      <c r="T30" s="37">
        <v>4</v>
      </c>
      <c r="U30" s="38">
        <v>256</v>
      </c>
    </row>
    <row r="31" spans="2:23">
      <c r="B31" s="547" t="s">
        <v>561</v>
      </c>
      <c r="C31" s="549">
        <v>16</v>
      </c>
      <c r="D31" s="51" t="s">
        <v>647</v>
      </c>
      <c r="E31" s="44" t="s">
        <v>665</v>
      </c>
      <c r="F31" s="26">
        <v>60</v>
      </c>
      <c r="G31" s="43">
        <v>2</v>
      </c>
      <c r="H31" s="42"/>
      <c r="I31" s="42"/>
      <c r="J31" s="42"/>
      <c r="K31" s="42"/>
      <c r="L31" s="42"/>
      <c r="M31" s="42"/>
      <c r="N31" s="42"/>
      <c r="O31" s="42"/>
      <c r="P31" s="33">
        <v>4</v>
      </c>
      <c r="Q31" s="33">
        <v>64</v>
      </c>
      <c r="R31" s="33"/>
      <c r="S31" s="33"/>
      <c r="T31" s="214">
        <v>4</v>
      </c>
      <c r="U31" s="215">
        <v>64</v>
      </c>
    </row>
    <row r="32" spans="2:23">
      <c r="B32" s="547"/>
      <c r="C32" s="549"/>
      <c r="D32" s="50" t="s">
        <v>648</v>
      </c>
      <c r="E32" s="45" t="s">
        <v>666</v>
      </c>
      <c r="F32" s="43">
        <v>50</v>
      </c>
      <c r="G32" s="43">
        <v>2</v>
      </c>
      <c r="H32" s="42"/>
      <c r="I32" s="42"/>
      <c r="J32" s="42"/>
      <c r="K32" s="42"/>
      <c r="L32" s="42"/>
      <c r="M32" s="42"/>
      <c r="N32" s="42"/>
      <c r="O32" s="42"/>
      <c r="P32" s="33">
        <v>4</v>
      </c>
      <c r="Q32" s="33">
        <v>64</v>
      </c>
      <c r="R32" s="33"/>
      <c r="S32" s="33"/>
      <c r="T32" s="214">
        <v>4</v>
      </c>
      <c r="U32" s="215">
        <v>64</v>
      </c>
    </row>
    <row r="33" spans="2:21">
      <c r="B33" s="548"/>
      <c r="C33" s="550"/>
      <c r="D33" s="52" t="s">
        <v>649</v>
      </c>
      <c r="E33" s="41" t="s">
        <v>667</v>
      </c>
      <c r="F33" s="26">
        <v>30</v>
      </c>
      <c r="G33" s="43">
        <v>3</v>
      </c>
      <c r="H33" s="42"/>
      <c r="I33" s="42"/>
      <c r="J33" s="42"/>
      <c r="K33" s="42"/>
      <c r="L33" s="42"/>
      <c r="M33" s="42"/>
      <c r="N33" s="42"/>
      <c r="O33" s="42"/>
      <c r="P33" s="33"/>
      <c r="Q33" s="33"/>
      <c r="R33" s="33">
        <v>4</v>
      </c>
      <c r="S33" s="33">
        <v>64</v>
      </c>
      <c r="T33" s="214">
        <v>4</v>
      </c>
      <c r="U33" s="215">
        <v>64</v>
      </c>
    </row>
    <row r="34" spans="2:21">
      <c r="B34" s="548"/>
      <c r="C34" s="550"/>
      <c r="D34" s="52" t="s">
        <v>650</v>
      </c>
      <c r="E34" s="41" t="s">
        <v>668</v>
      </c>
      <c r="F34" s="40">
        <v>50</v>
      </c>
      <c r="G34" s="26">
        <v>3</v>
      </c>
      <c r="H34" s="27"/>
      <c r="I34" s="27"/>
      <c r="J34" s="27"/>
      <c r="K34" s="27"/>
      <c r="L34" s="27"/>
      <c r="M34" s="27"/>
      <c r="N34" s="27"/>
      <c r="O34" s="27"/>
      <c r="P34" s="28"/>
      <c r="Q34" s="28"/>
      <c r="R34" s="28">
        <v>4</v>
      </c>
      <c r="S34" s="28">
        <v>64</v>
      </c>
      <c r="T34" s="218">
        <v>4</v>
      </c>
      <c r="U34" s="219">
        <v>64</v>
      </c>
    </row>
    <row r="35" spans="2:21" ht="17.25" thickBot="1">
      <c r="B35" s="541"/>
      <c r="C35" s="544"/>
      <c r="D35" s="551"/>
      <c r="E35" s="551"/>
      <c r="F35" s="177"/>
      <c r="G35" s="177"/>
      <c r="H35" s="32"/>
      <c r="I35" s="32"/>
      <c r="J35" s="32"/>
      <c r="K35" s="32"/>
      <c r="L35" s="32"/>
      <c r="M35" s="32"/>
      <c r="N35" s="32"/>
      <c r="O35" s="32"/>
      <c r="P35" s="32">
        <v>8</v>
      </c>
      <c r="Q35" s="32">
        <v>128</v>
      </c>
      <c r="R35" s="32">
        <v>8</v>
      </c>
      <c r="S35" s="32">
        <v>128</v>
      </c>
      <c r="T35" s="37">
        <v>16</v>
      </c>
      <c r="U35" s="38">
        <v>256</v>
      </c>
    </row>
  </sheetData>
  <mergeCells count="42">
    <mergeCell ref="B31:B35"/>
    <mergeCell ref="C31:C35"/>
    <mergeCell ref="D35:E35"/>
    <mergeCell ref="B26:B30"/>
    <mergeCell ref="C26:C30"/>
    <mergeCell ref="D30:E30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5:C5"/>
    <mergeCell ref="B6:B8"/>
    <mergeCell ref="C6:C8"/>
    <mergeCell ref="D6:D8"/>
    <mergeCell ref="E6:E8"/>
    <mergeCell ref="B2:U2"/>
    <mergeCell ref="N3:P3"/>
    <mergeCell ref="Q3:S3"/>
    <mergeCell ref="T3:U3"/>
    <mergeCell ref="N4:P4"/>
    <mergeCell ref="Q4:S4"/>
    <mergeCell ref="T4:U4"/>
    <mergeCell ref="B21:B25"/>
    <mergeCell ref="C21:C25"/>
    <mergeCell ref="D25:E25"/>
    <mergeCell ref="B9:B17"/>
    <mergeCell ref="C9:C17"/>
    <mergeCell ref="D17:E17"/>
    <mergeCell ref="B18:B20"/>
    <mergeCell ref="C18:C20"/>
    <mergeCell ref="D20:E20"/>
    <mergeCell ref="F6:F8"/>
    <mergeCell ref="R7:S7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70" orientation="landscape" cellComments="asDisplayed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E71E-07A7-484E-B8CD-34FE4105F3A6}">
  <sheetPr>
    <pageSetUpPr fitToPage="1"/>
  </sheetPr>
  <dimension ref="B2:AG38"/>
  <sheetViews>
    <sheetView showGridLines="0" view="pageBreakPreview" zoomScaleNormal="85" zoomScaleSheetLayoutView="100" workbookViewId="0">
      <selection activeCell="W39" sqref="W39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78" t="s">
        <v>152</v>
      </c>
      <c r="C2" s="578"/>
      <c r="D2" s="578"/>
      <c r="E2" s="578"/>
      <c r="F2" s="578"/>
      <c r="G2" s="578"/>
      <c r="H2" s="578"/>
      <c r="I2" s="578"/>
      <c r="J2" s="578"/>
      <c r="K2" s="578"/>
      <c r="L2" s="578"/>
      <c r="M2" s="578"/>
      <c r="N2" s="578"/>
      <c r="O2" s="578"/>
      <c r="P2" s="578"/>
      <c r="Q2" s="578"/>
      <c r="R2" s="578"/>
      <c r="S2" s="578"/>
      <c r="T2" s="578"/>
      <c r="U2" s="578"/>
    </row>
    <row r="3" spans="2:33" ht="27" customHeight="1" thickBot="1"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579" t="s">
        <v>129</v>
      </c>
      <c r="O3" s="580"/>
      <c r="P3" s="581"/>
      <c r="Q3" s="579" t="s">
        <v>127</v>
      </c>
      <c r="R3" s="580"/>
      <c r="S3" s="581"/>
      <c r="T3" s="582" t="s">
        <v>130</v>
      </c>
      <c r="U3" s="583"/>
    </row>
    <row r="4" spans="2:33" ht="27" customHeight="1" thickBot="1"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584" t="s">
        <v>712</v>
      </c>
      <c r="O4" s="585"/>
      <c r="P4" s="586"/>
      <c r="Q4" s="587" t="s">
        <v>555</v>
      </c>
      <c r="R4" s="588"/>
      <c r="S4" s="589"/>
      <c r="T4" s="590">
        <v>2027</v>
      </c>
      <c r="U4" s="591"/>
    </row>
    <row r="5" spans="2:33" ht="24" customHeight="1" thickBot="1">
      <c r="B5" s="592"/>
      <c r="C5" s="592"/>
    </row>
    <row r="6" spans="2:33" ht="20.25" customHeight="1">
      <c r="B6" s="593" t="s">
        <v>13</v>
      </c>
      <c r="C6" s="596" t="s">
        <v>141</v>
      </c>
      <c r="D6" s="575" t="s">
        <v>14</v>
      </c>
      <c r="E6" s="575" t="s">
        <v>15</v>
      </c>
      <c r="F6" s="575" t="s">
        <v>142</v>
      </c>
      <c r="G6" s="575" t="s">
        <v>143</v>
      </c>
      <c r="H6" s="561" t="s">
        <v>58</v>
      </c>
      <c r="I6" s="561"/>
      <c r="J6" s="561"/>
      <c r="K6" s="561"/>
      <c r="L6" s="561" t="s">
        <v>59</v>
      </c>
      <c r="M6" s="561"/>
      <c r="N6" s="561"/>
      <c r="O6" s="561"/>
      <c r="P6" s="561" t="s">
        <v>60</v>
      </c>
      <c r="Q6" s="561"/>
      <c r="R6" s="561"/>
      <c r="S6" s="561"/>
      <c r="T6" s="562" t="s">
        <v>140</v>
      </c>
      <c r="U6" s="572" t="s">
        <v>126</v>
      </c>
      <c r="W6" s="565" t="s">
        <v>131</v>
      </c>
      <c r="X6" s="566"/>
      <c r="Y6" s="566"/>
      <c r="Z6" s="566"/>
      <c r="AA6" s="566"/>
      <c r="AB6" s="566"/>
      <c r="AC6" s="566"/>
      <c r="AD6" s="566"/>
      <c r="AE6" s="566"/>
      <c r="AF6" s="567"/>
      <c r="AG6" s="13"/>
    </row>
    <row r="7" spans="2:33" ht="16.5" customHeight="1">
      <c r="B7" s="594"/>
      <c r="C7" s="597"/>
      <c r="D7" s="576"/>
      <c r="E7" s="576"/>
      <c r="F7" s="576"/>
      <c r="G7" s="576"/>
      <c r="H7" s="568" t="s">
        <v>124</v>
      </c>
      <c r="I7" s="568"/>
      <c r="J7" s="568" t="s">
        <v>62</v>
      </c>
      <c r="K7" s="568"/>
      <c r="L7" s="568" t="s">
        <v>124</v>
      </c>
      <c r="M7" s="568"/>
      <c r="N7" s="568" t="s">
        <v>62</v>
      </c>
      <c r="O7" s="568"/>
      <c r="P7" s="568" t="s">
        <v>124</v>
      </c>
      <c r="Q7" s="568"/>
      <c r="R7" s="568" t="s">
        <v>62</v>
      </c>
      <c r="S7" s="568"/>
      <c r="T7" s="563"/>
      <c r="U7" s="573"/>
      <c r="W7" s="569" t="s">
        <v>132</v>
      </c>
      <c r="X7" s="570"/>
      <c r="Y7" s="570"/>
      <c r="Z7" s="570"/>
      <c r="AA7" s="570"/>
      <c r="AB7" s="570"/>
      <c r="AC7" s="570"/>
      <c r="AD7" s="570"/>
      <c r="AE7" s="570"/>
      <c r="AF7" s="571"/>
      <c r="AG7" s="13"/>
    </row>
    <row r="8" spans="2:33" ht="17.25" customHeight="1" thickBot="1">
      <c r="B8" s="595"/>
      <c r="C8" s="598"/>
      <c r="D8" s="577"/>
      <c r="E8" s="577"/>
      <c r="F8" s="577"/>
      <c r="G8" s="577"/>
      <c r="H8" s="29" t="s">
        <v>139</v>
      </c>
      <c r="I8" s="29" t="s">
        <v>125</v>
      </c>
      <c r="J8" s="29" t="s">
        <v>139</v>
      </c>
      <c r="K8" s="29" t="s">
        <v>125</v>
      </c>
      <c r="L8" s="29" t="s">
        <v>139</v>
      </c>
      <c r="M8" s="29" t="s">
        <v>125</v>
      </c>
      <c r="N8" s="29" t="s">
        <v>139</v>
      </c>
      <c r="O8" s="29" t="s">
        <v>125</v>
      </c>
      <c r="P8" s="29" t="s">
        <v>139</v>
      </c>
      <c r="Q8" s="29" t="s">
        <v>125</v>
      </c>
      <c r="R8" s="29" t="s">
        <v>139</v>
      </c>
      <c r="S8" s="29" t="s">
        <v>125</v>
      </c>
      <c r="T8" s="564"/>
      <c r="U8" s="574"/>
      <c r="W8" s="14"/>
      <c r="X8" s="15"/>
      <c r="Y8" s="15"/>
      <c r="Z8" s="15"/>
      <c r="AA8" s="15"/>
      <c r="AB8" s="15"/>
      <c r="AC8" s="15"/>
      <c r="AD8" s="15"/>
      <c r="AE8" s="15"/>
      <c r="AF8" s="16"/>
      <c r="AG8" s="13"/>
    </row>
    <row r="9" spans="2:33" ht="16.5" customHeight="1">
      <c r="B9" s="552" t="s">
        <v>569</v>
      </c>
      <c r="C9" s="555">
        <v>5</v>
      </c>
      <c r="D9" s="30" t="s">
        <v>678</v>
      </c>
      <c r="E9" s="30" t="s">
        <v>675</v>
      </c>
      <c r="F9" s="30">
        <v>40</v>
      </c>
      <c r="G9" s="30">
        <v>2</v>
      </c>
      <c r="H9" s="31">
        <v>3</v>
      </c>
      <c r="I9" s="31">
        <f>H9*16</f>
        <v>48</v>
      </c>
      <c r="J9" s="31"/>
      <c r="K9" s="31">
        <f>J9*16</f>
        <v>0</v>
      </c>
      <c r="L9" s="31"/>
      <c r="M9" s="31">
        <f>L9*16</f>
        <v>0</v>
      </c>
      <c r="N9" s="31"/>
      <c r="O9" s="31">
        <f>N9*16</f>
        <v>0</v>
      </c>
      <c r="P9" s="31"/>
      <c r="Q9" s="31">
        <f>P9*16</f>
        <v>0</v>
      </c>
      <c r="R9" s="31"/>
      <c r="S9" s="31">
        <f>R9*16</f>
        <v>0</v>
      </c>
      <c r="T9" s="207">
        <f>SUM(H9,J9,L9,N9,P9,R9)</f>
        <v>3</v>
      </c>
      <c r="U9" s="208">
        <f>SUM(I9,K9,M9,O9,Q9,S9)</f>
        <v>48</v>
      </c>
      <c r="W9" s="12"/>
      <c r="X9" s="13"/>
      <c r="Y9" s="13"/>
      <c r="Z9" s="13"/>
      <c r="AA9" s="13"/>
      <c r="AB9" s="13"/>
      <c r="AC9" s="13"/>
      <c r="AD9" s="13"/>
      <c r="AE9" s="13"/>
      <c r="AF9" s="17"/>
      <c r="AG9" s="13"/>
    </row>
    <row r="10" spans="2:33" ht="16.5" customHeight="1">
      <c r="B10" s="553"/>
      <c r="C10" s="556"/>
      <c r="D10" s="26" t="s">
        <v>676</v>
      </c>
      <c r="E10" s="43" t="s">
        <v>677</v>
      </c>
      <c r="F10" s="26">
        <v>30</v>
      </c>
      <c r="G10" s="26">
        <v>2</v>
      </c>
      <c r="H10" s="27">
        <v>2</v>
      </c>
      <c r="I10" s="27">
        <f t="shared" ref="I10" si="0">H10*16</f>
        <v>32</v>
      </c>
      <c r="J10" s="27"/>
      <c r="K10" s="27">
        <f t="shared" ref="K10" si="1">J10*16</f>
        <v>0</v>
      </c>
      <c r="L10" s="27"/>
      <c r="M10" s="27">
        <f t="shared" ref="M10" si="2">L10*16</f>
        <v>0</v>
      </c>
      <c r="N10" s="27"/>
      <c r="O10" s="27">
        <f t="shared" ref="O10" si="3">N10*16</f>
        <v>0</v>
      </c>
      <c r="P10" s="27"/>
      <c r="Q10" s="27">
        <f t="shared" ref="Q10" si="4">P10*16</f>
        <v>0</v>
      </c>
      <c r="R10" s="27"/>
      <c r="S10" s="27">
        <f t="shared" ref="S10" si="5">R10*16</f>
        <v>0</v>
      </c>
      <c r="T10" s="209">
        <f t="shared" ref="T10:U10" si="6">SUM(H10,J10,L10,N10,P10,R10)</f>
        <v>2</v>
      </c>
      <c r="U10" s="210">
        <f t="shared" si="6"/>
        <v>32</v>
      </c>
      <c r="W10" s="12"/>
      <c r="X10" s="13"/>
      <c r="Y10" s="13"/>
      <c r="Z10" s="13"/>
      <c r="AA10" s="13"/>
      <c r="AB10" s="13"/>
      <c r="AC10" s="13"/>
      <c r="AD10" s="13"/>
      <c r="AE10" s="13"/>
      <c r="AF10" s="17"/>
      <c r="AG10" s="13"/>
    </row>
    <row r="11" spans="2:33" ht="17.25" thickBot="1">
      <c r="B11" s="554"/>
      <c r="C11" s="557"/>
      <c r="D11" s="551" t="s">
        <v>16</v>
      </c>
      <c r="E11" s="551"/>
      <c r="F11" s="177"/>
      <c r="G11" s="177"/>
      <c r="H11" s="32">
        <v>5</v>
      </c>
      <c r="I11" s="32">
        <v>80</v>
      </c>
      <c r="J11" s="32"/>
      <c r="K11" s="32"/>
      <c r="L11" s="32">
        <f t="shared" ref="L11:U11" si="7">SUM(L9:L10)</f>
        <v>0</v>
      </c>
      <c r="M11" s="32">
        <f t="shared" si="7"/>
        <v>0</v>
      </c>
      <c r="N11" s="32">
        <f t="shared" si="7"/>
        <v>0</v>
      </c>
      <c r="O11" s="32">
        <f t="shared" si="7"/>
        <v>0</v>
      </c>
      <c r="P11" s="32">
        <f t="shared" si="7"/>
        <v>0</v>
      </c>
      <c r="Q11" s="32">
        <f t="shared" si="7"/>
        <v>0</v>
      </c>
      <c r="R11" s="32">
        <f t="shared" si="7"/>
        <v>0</v>
      </c>
      <c r="S11" s="32">
        <f t="shared" si="7"/>
        <v>0</v>
      </c>
      <c r="T11" s="213">
        <f t="shared" si="7"/>
        <v>5</v>
      </c>
      <c r="U11" s="213">
        <f t="shared" si="7"/>
        <v>80</v>
      </c>
    </row>
    <row r="12" spans="2:33">
      <c r="B12" s="552" t="s">
        <v>570</v>
      </c>
      <c r="C12" s="558">
        <v>5</v>
      </c>
      <c r="D12" s="46" t="s">
        <v>682</v>
      </c>
      <c r="E12" s="43" t="s">
        <v>679</v>
      </c>
      <c r="F12" s="43">
        <v>40</v>
      </c>
      <c r="G12" s="43">
        <v>2</v>
      </c>
      <c r="H12" s="42"/>
      <c r="I12" s="42"/>
      <c r="J12" s="42">
        <v>3</v>
      </c>
      <c r="K12" s="42">
        <v>48</v>
      </c>
      <c r="L12" s="42"/>
      <c r="M12" s="42"/>
      <c r="N12" s="42"/>
      <c r="O12" s="42"/>
      <c r="P12" s="42"/>
      <c r="Q12" s="42"/>
      <c r="R12" s="42"/>
      <c r="S12" s="42"/>
      <c r="T12" s="214">
        <v>3</v>
      </c>
      <c r="U12" s="215">
        <v>48</v>
      </c>
    </row>
    <row r="13" spans="2:33">
      <c r="B13" s="553"/>
      <c r="C13" s="559"/>
      <c r="D13" s="46" t="s">
        <v>680</v>
      </c>
      <c r="E13" s="39" t="s">
        <v>681</v>
      </c>
      <c r="F13" s="43">
        <v>40</v>
      </c>
      <c r="G13" s="43">
        <v>2</v>
      </c>
      <c r="H13" s="42"/>
      <c r="I13" s="42"/>
      <c r="J13" s="42">
        <v>2</v>
      </c>
      <c r="K13" s="42">
        <v>32</v>
      </c>
      <c r="L13" s="42"/>
      <c r="M13" s="42"/>
      <c r="N13" s="42"/>
      <c r="O13" s="42"/>
      <c r="P13" s="42"/>
      <c r="Q13" s="42"/>
      <c r="R13" s="42"/>
      <c r="S13" s="27"/>
      <c r="T13" s="214">
        <v>2</v>
      </c>
      <c r="U13" s="215">
        <v>32</v>
      </c>
    </row>
    <row r="14" spans="2:33" ht="17.25" thickBot="1">
      <c r="B14" s="554"/>
      <c r="C14" s="560"/>
      <c r="D14" s="545"/>
      <c r="E14" s="546"/>
      <c r="F14" s="178"/>
      <c r="G14" s="178"/>
      <c r="H14" s="47"/>
      <c r="I14" s="47"/>
      <c r="J14" s="47">
        <v>5</v>
      </c>
      <c r="K14" s="47">
        <v>80</v>
      </c>
      <c r="L14" s="47"/>
      <c r="M14" s="47"/>
      <c r="N14" s="47"/>
      <c r="O14" s="47"/>
      <c r="P14" s="47"/>
      <c r="Q14" s="47"/>
      <c r="R14" s="47"/>
      <c r="S14" s="47"/>
      <c r="T14" s="35">
        <v>5</v>
      </c>
      <c r="U14" s="36">
        <v>80</v>
      </c>
    </row>
    <row r="15" spans="2:33" ht="16.5" customHeight="1">
      <c r="B15" s="552" t="s">
        <v>669</v>
      </c>
      <c r="C15" s="555">
        <v>23</v>
      </c>
      <c r="D15" s="30" t="s">
        <v>690</v>
      </c>
      <c r="E15" s="30" t="s">
        <v>683</v>
      </c>
      <c r="F15" s="30">
        <v>90</v>
      </c>
      <c r="G15" s="30">
        <v>2</v>
      </c>
      <c r="H15" s="31"/>
      <c r="I15" s="31">
        <f>H15*16</f>
        <v>0</v>
      </c>
      <c r="J15" s="31"/>
      <c r="K15" s="31">
        <f>J15*16</f>
        <v>0</v>
      </c>
      <c r="L15" s="31"/>
      <c r="M15" s="31">
        <f>L15*16</f>
        <v>0</v>
      </c>
      <c r="N15" s="31"/>
      <c r="O15" s="31">
        <f>N15*16</f>
        <v>0</v>
      </c>
      <c r="P15" s="31">
        <v>5</v>
      </c>
      <c r="Q15" s="31">
        <f>P15*16</f>
        <v>80</v>
      </c>
      <c r="R15" s="31"/>
      <c r="S15" s="31">
        <f>R15*16</f>
        <v>0</v>
      </c>
      <c r="T15" s="207">
        <f>SUM(H15,J15,L15,N15,P15,R15)</f>
        <v>5</v>
      </c>
      <c r="U15" s="208">
        <f>SUM(I15,K15,M15,O15,Q15,S15)</f>
        <v>80</v>
      </c>
      <c r="W15" s="12"/>
      <c r="X15" s="13"/>
      <c r="Y15" s="13"/>
      <c r="Z15" s="13"/>
      <c r="AA15" s="13"/>
      <c r="AB15" s="13"/>
      <c r="AC15" s="13"/>
      <c r="AD15" s="13"/>
      <c r="AE15" s="13"/>
      <c r="AF15" s="17"/>
      <c r="AG15" s="13"/>
    </row>
    <row r="16" spans="2:33" ht="16.5" customHeight="1">
      <c r="B16" s="553"/>
      <c r="C16" s="556"/>
      <c r="D16" s="26" t="s">
        <v>684</v>
      </c>
      <c r="E16" s="43" t="s">
        <v>685</v>
      </c>
      <c r="F16" s="26">
        <v>50</v>
      </c>
      <c r="G16" s="26">
        <v>3</v>
      </c>
      <c r="H16" s="27"/>
      <c r="I16" s="27">
        <f t="shared" ref="I16" si="8">H16*16</f>
        <v>0</v>
      </c>
      <c r="J16" s="27"/>
      <c r="K16" s="27">
        <f t="shared" ref="K16" si="9">J16*16</f>
        <v>0</v>
      </c>
      <c r="L16" s="27"/>
      <c r="M16" s="27">
        <f t="shared" ref="M16" si="10">L16*16</f>
        <v>0</v>
      </c>
      <c r="N16" s="27"/>
      <c r="O16" s="27">
        <f t="shared" ref="O16" si="11">N16*16</f>
        <v>0</v>
      </c>
      <c r="P16" s="27">
        <v>6</v>
      </c>
      <c r="Q16" s="27">
        <f t="shared" ref="Q16" si="12">P16*16</f>
        <v>96</v>
      </c>
      <c r="R16" s="27"/>
      <c r="S16" s="27">
        <f t="shared" ref="S16" si="13">R16*16</f>
        <v>0</v>
      </c>
      <c r="T16" s="209">
        <f t="shared" ref="T16:U16" si="14">SUM(H16,J16,L16,N16,P16,R16)</f>
        <v>6</v>
      </c>
      <c r="U16" s="210">
        <f t="shared" si="14"/>
        <v>96</v>
      </c>
      <c r="W16" s="12"/>
      <c r="X16" s="13"/>
      <c r="Y16" s="13"/>
      <c r="Z16" s="13"/>
      <c r="AA16" s="13"/>
      <c r="AB16" s="13"/>
      <c r="AC16" s="13"/>
      <c r="AD16" s="13"/>
      <c r="AE16" s="13"/>
      <c r="AF16" s="17"/>
      <c r="AG16" s="13"/>
    </row>
    <row r="17" spans="2:33">
      <c r="B17" s="553"/>
      <c r="C17" s="556"/>
      <c r="D17" s="43" t="s">
        <v>686</v>
      </c>
      <c r="E17" s="26" t="s">
        <v>687</v>
      </c>
      <c r="F17" s="43">
        <v>90</v>
      </c>
      <c r="G17" s="43">
        <v>3</v>
      </c>
      <c r="H17" s="42"/>
      <c r="I17" s="42"/>
      <c r="J17" s="42"/>
      <c r="K17" s="42"/>
      <c r="L17" s="42"/>
      <c r="M17" s="42"/>
      <c r="N17" s="42"/>
      <c r="O17" s="42"/>
      <c r="P17" s="42"/>
      <c r="Q17" s="42">
        <f>P17*16</f>
        <v>0</v>
      </c>
      <c r="R17" s="42">
        <v>6</v>
      </c>
      <c r="S17" s="42">
        <v>96</v>
      </c>
      <c r="T17" s="211">
        <v>6</v>
      </c>
      <c r="U17" s="212">
        <f>Q17+S17</f>
        <v>96</v>
      </c>
    </row>
    <row r="18" spans="2:33">
      <c r="B18" s="553"/>
      <c r="C18" s="556"/>
      <c r="D18" s="43" t="s">
        <v>688</v>
      </c>
      <c r="E18" s="43" t="s">
        <v>689</v>
      </c>
      <c r="F18" s="43">
        <v>40</v>
      </c>
      <c r="G18" s="43">
        <v>3</v>
      </c>
      <c r="H18" s="42"/>
      <c r="I18" s="42"/>
      <c r="J18" s="42"/>
      <c r="K18" s="42"/>
      <c r="L18" s="42"/>
      <c r="M18" s="42"/>
      <c r="N18" s="42"/>
      <c r="O18" s="42"/>
      <c r="P18" s="42"/>
      <c r="Q18" s="42">
        <f>P18*16</f>
        <v>0</v>
      </c>
      <c r="R18" s="42">
        <v>6</v>
      </c>
      <c r="S18" s="42">
        <f>R18*16</f>
        <v>96</v>
      </c>
      <c r="T18" s="211">
        <f t="shared" ref="T18:U18" si="15">SUM(H18,J18,L18,N18,P18,R18)</f>
        <v>6</v>
      </c>
      <c r="U18" s="212">
        <f t="shared" si="15"/>
        <v>96</v>
      </c>
    </row>
    <row r="19" spans="2:33" ht="17.25" thickBot="1">
      <c r="B19" s="554"/>
      <c r="C19" s="557"/>
      <c r="D19" s="551" t="s">
        <v>16</v>
      </c>
      <c r="E19" s="551"/>
      <c r="F19" s="177"/>
      <c r="G19" s="177"/>
      <c r="H19" s="32">
        <f>SUM(H17:H18)</f>
        <v>0</v>
      </c>
      <c r="I19" s="32">
        <f>SUM(I17:I18)</f>
        <v>0</v>
      </c>
      <c r="J19" s="32">
        <f>SUM(J17:J18)</f>
        <v>0</v>
      </c>
      <c r="K19" s="32">
        <f>SUM(K17:K18)</f>
        <v>0</v>
      </c>
      <c r="L19" s="32">
        <f t="shared" ref="L19:U19" si="16">SUM(L15:L18)</f>
        <v>0</v>
      </c>
      <c r="M19" s="32">
        <f t="shared" si="16"/>
        <v>0</v>
      </c>
      <c r="N19" s="32">
        <f t="shared" si="16"/>
        <v>0</v>
      </c>
      <c r="O19" s="32">
        <f t="shared" si="16"/>
        <v>0</v>
      </c>
      <c r="P19" s="32">
        <f t="shared" si="16"/>
        <v>11</v>
      </c>
      <c r="Q19" s="32">
        <f t="shared" si="16"/>
        <v>176</v>
      </c>
      <c r="R19" s="32">
        <f t="shared" si="16"/>
        <v>12</v>
      </c>
      <c r="S19" s="32">
        <f t="shared" si="16"/>
        <v>192</v>
      </c>
      <c r="T19" s="213">
        <f t="shared" si="16"/>
        <v>23</v>
      </c>
      <c r="U19" s="213">
        <f t="shared" si="16"/>
        <v>368</v>
      </c>
    </row>
    <row r="20" spans="2:33">
      <c r="B20" s="539" t="s">
        <v>670</v>
      </c>
      <c r="C20" s="542">
        <v>21</v>
      </c>
      <c r="D20" s="30" t="s">
        <v>691</v>
      </c>
      <c r="E20" s="30" t="s">
        <v>729</v>
      </c>
      <c r="F20" s="30">
        <v>15</v>
      </c>
      <c r="G20" s="30">
        <v>4</v>
      </c>
      <c r="H20" s="31"/>
      <c r="I20" s="31"/>
      <c r="J20" s="31"/>
      <c r="K20" s="31"/>
      <c r="L20" s="31"/>
      <c r="M20" s="31"/>
      <c r="N20" s="31"/>
      <c r="O20" s="31"/>
      <c r="P20" s="31">
        <v>5</v>
      </c>
      <c r="Q20" s="31">
        <v>80</v>
      </c>
      <c r="R20" s="31"/>
      <c r="S20" s="31"/>
      <c r="T20" s="216">
        <v>5</v>
      </c>
      <c r="U20" s="217">
        <v>80</v>
      </c>
      <c r="W20" s="48"/>
    </row>
    <row r="21" spans="2:33">
      <c r="B21" s="547"/>
      <c r="C21" s="549"/>
      <c r="D21" s="43" t="s">
        <v>727</v>
      </c>
      <c r="E21" s="43" t="s">
        <v>728</v>
      </c>
      <c r="F21" s="43">
        <v>20</v>
      </c>
      <c r="G21" s="43">
        <v>4</v>
      </c>
      <c r="H21" s="42"/>
      <c r="I21" s="42"/>
      <c r="J21" s="42"/>
      <c r="K21" s="42"/>
      <c r="L21" s="42"/>
      <c r="M21" s="42"/>
      <c r="N21" s="42"/>
      <c r="O21" s="42"/>
      <c r="P21" s="42">
        <v>4</v>
      </c>
      <c r="Q21" s="42">
        <v>64</v>
      </c>
      <c r="R21" s="42"/>
      <c r="S21" s="42"/>
      <c r="T21" s="214">
        <v>4</v>
      </c>
      <c r="U21" s="215">
        <v>64</v>
      </c>
      <c r="W21" s="48"/>
    </row>
    <row r="22" spans="2:33">
      <c r="B22" s="547"/>
      <c r="C22" s="549"/>
      <c r="D22" s="43" t="s">
        <v>730</v>
      </c>
      <c r="E22" s="43" t="s">
        <v>731</v>
      </c>
      <c r="F22" s="43">
        <v>20</v>
      </c>
      <c r="G22" s="43">
        <v>4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>
        <v>7</v>
      </c>
      <c r="S22" s="42">
        <v>112</v>
      </c>
      <c r="T22" s="214">
        <v>7</v>
      </c>
      <c r="U22" s="215">
        <v>112</v>
      </c>
      <c r="W22" s="48"/>
    </row>
    <row r="23" spans="2:33">
      <c r="B23" s="547"/>
      <c r="C23" s="549"/>
      <c r="D23" s="43" t="s">
        <v>732</v>
      </c>
      <c r="E23" s="43" t="s">
        <v>733</v>
      </c>
      <c r="F23" s="43">
        <v>20</v>
      </c>
      <c r="G23" s="43">
        <v>4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>
        <v>5</v>
      </c>
      <c r="S23" s="27">
        <v>80</v>
      </c>
      <c r="T23" s="214">
        <v>5</v>
      </c>
      <c r="U23" s="215">
        <v>80</v>
      </c>
    </row>
    <row r="24" spans="2:33" ht="17.25" thickBot="1">
      <c r="B24" s="541"/>
      <c r="C24" s="544"/>
      <c r="D24" s="551"/>
      <c r="E24" s="551"/>
      <c r="F24" s="177"/>
      <c r="G24" s="177"/>
      <c r="H24" s="32"/>
      <c r="I24" s="32"/>
      <c r="J24" s="32"/>
      <c r="K24" s="32"/>
      <c r="L24" s="32"/>
      <c r="M24" s="32"/>
      <c r="N24" s="32"/>
      <c r="O24" s="32"/>
      <c r="P24" s="32">
        <v>9</v>
      </c>
      <c r="Q24" s="32">
        <v>144</v>
      </c>
      <c r="R24" s="32">
        <v>12</v>
      </c>
      <c r="S24" s="32">
        <v>192</v>
      </c>
      <c r="T24" s="37">
        <v>21</v>
      </c>
      <c r="U24" s="38">
        <v>336</v>
      </c>
    </row>
    <row r="25" spans="2:33">
      <c r="B25" s="539" t="s">
        <v>671</v>
      </c>
      <c r="C25" s="542">
        <v>10</v>
      </c>
      <c r="D25" s="30" t="s">
        <v>692</v>
      </c>
      <c r="E25" s="30" t="s">
        <v>693</v>
      </c>
      <c r="F25" s="30">
        <v>50</v>
      </c>
      <c r="G25" s="30">
        <v>3</v>
      </c>
      <c r="H25" s="31"/>
      <c r="I25" s="31"/>
      <c r="J25" s="31"/>
      <c r="K25" s="31"/>
      <c r="L25" s="31"/>
      <c r="M25" s="31"/>
      <c r="N25" s="31"/>
      <c r="O25" s="31"/>
      <c r="P25" s="31">
        <v>2</v>
      </c>
      <c r="Q25" s="31">
        <v>32</v>
      </c>
      <c r="R25" s="31"/>
      <c r="S25" s="31"/>
      <c r="T25" s="216">
        <v>2</v>
      </c>
      <c r="U25" s="217">
        <v>32</v>
      </c>
      <c r="W25" s="48"/>
    </row>
    <row r="26" spans="2:33">
      <c r="B26" s="547"/>
      <c r="C26" s="549"/>
      <c r="D26" s="43" t="s">
        <v>694</v>
      </c>
      <c r="E26" s="43" t="s">
        <v>695</v>
      </c>
      <c r="F26" s="43">
        <v>80</v>
      </c>
      <c r="G26" s="43">
        <v>3</v>
      </c>
      <c r="H26" s="42"/>
      <c r="I26" s="42"/>
      <c r="J26" s="42"/>
      <c r="K26" s="42"/>
      <c r="L26" s="42"/>
      <c r="M26" s="42"/>
      <c r="N26" s="42"/>
      <c r="O26" s="42"/>
      <c r="P26" s="42">
        <v>3</v>
      </c>
      <c r="Q26" s="42">
        <v>48</v>
      </c>
      <c r="R26" s="42"/>
      <c r="S26" s="27"/>
      <c r="T26" s="214">
        <v>3</v>
      </c>
      <c r="U26" s="215">
        <v>48</v>
      </c>
    </row>
    <row r="27" spans="2:33">
      <c r="B27" s="547"/>
      <c r="C27" s="549"/>
      <c r="D27" s="43" t="s">
        <v>696</v>
      </c>
      <c r="E27" s="43" t="s">
        <v>697</v>
      </c>
      <c r="F27" s="43">
        <v>50</v>
      </c>
      <c r="G27" s="43">
        <v>3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>
        <v>2</v>
      </c>
      <c r="S27" s="27">
        <v>32</v>
      </c>
      <c r="T27" s="214">
        <v>2</v>
      </c>
      <c r="U27" s="215">
        <v>32</v>
      </c>
    </row>
    <row r="28" spans="2:33">
      <c r="B28" s="540"/>
      <c r="C28" s="543"/>
      <c r="D28" s="26" t="s">
        <v>698</v>
      </c>
      <c r="E28" s="26" t="s">
        <v>699</v>
      </c>
      <c r="F28" s="26">
        <v>90</v>
      </c>
      <c r="G28" s="26">
        <v>3</v>
      </c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>
        <v>3</v>
      </c>
      <c r="S28" s="27">
        <v>48</v>
      </c>
      <c r="T28" s="218">
        <v>3</v>
      </c>
      <c r="U28" s="219">
        <v>48</v>
      </c>
    </row>
    <row r="29" spans="2:33" ht="17.25" thickBot="1">
      <c r="B29" s="541"/>
      <c r="C29" s="544"/>
      <c r="D29" s="551"/>
      <c r="E29" s="551"/>
      <c r="F29" s="177"/>
      <c r="G29" s="177"/>
      <c r="H29" s="32"/>
      <c r="I29" s="32"/>
      <c r="J29" s="32"/>
      <c r="K29" s="32"/>
      <c r="L29" s="32"/>
      <c r="M29" s="32"/>
      <c r="N29" s="32"/>
      <c r="O29" s="32"/>
      <c r="P29" s="32">
        <v>5</v>
      </c>
      <c r="Q29" s="32">
        <v>80</v>
      </c>
      <c r="R29" s="32">
        <v>5</v>
      </c>
      <c r="S29" s="32">
        <v>80</v>
      </c>
      <c r="T29" s="37">
        <v>10</v>
      </c>
      <c r="U29" s="38">
        <v>160</v>
      </c>
    </row>
    <row r="30" spans="2:33" ht="16.5" customHeight="1">
      <c r="B30" s="552" t="s">
        <v>672</v>
      </c>
      <c r="C30" s="555">
        <v>5</v>
      </c>
      <c r="D30" s="30" t="s">
        <v>700</v>
      </c>
      <c r="E30" s="30" t="s">
        <v>701</v>
      </c>
      <c r="F30" s="30">
        <v>45</v>
      </c>
      <c r="G30" s="30">
        <v>3</v>
      </c>
      <c r="H30" s="31"/>
      <c r="I30" s="31">
        <f>H30*16</f>
        <v>0</v>
      </c>
      <c r="J30" s="31"/>
      <c r="K30" s="31">
        <f>J30*16</f>
        <v>0</v>
      </c>
      <c r="L30" s="31"/>
      <c r="M30" s="31">
        <f>L30*16</f>
        <v>0</v>
      </c>
      <c r="N30" s="31">
        <v>3</v>
      </c>
      <c r="O30" s="31">
        <f>N30*16</f>
        <v>48</v>
      </c>
      <c r="P30" s="31"/>
      <c r="Q30" s="31">
        <f>P30*16</f>
        <v>0</v>
      </c>
      <c r="R30" s="31"/>
      <c r="S30" s="31">
        <f>R30*16</f>
        <v>0</v>
      </c>
      <c r="T30" s="207">
        <f>SUM(H30,J30,L30,N30,P30,R30)</f>
        <v>3</v>
      </c>
      <c r="U30" s="208">
        <f>SUM(I30,K30,M30,O30,Q30,S30)</f>
        <v>48</v>
      </c>
      <c r="W30" s="12"/>
      <c r="X30" s="13"/>
      <c r="Y30" s="13"/>
      <c r="Z30" s="13"/>
      <c r="AA30" s="13"/>
      <c r="AB30" s="13"/>
      <c r="AC30" s="13"/>
      <c r="AD30" s="13"/>
      <c r="AE30" s="13"/>
      <c r="AF30" s="17"/>
      <c r="AG30" s="13"/>
    </row>
    <row r="31" spans="2:33" ht="16.5" customHeight="1">
      <c r="B31" s="553"/>
      <c r="C31" s="556"/>
      <c r="D31" s="26" t="s">
        <v>702</v>
      </c>
      <c r="E31" s="43" t="s">
        <v>703</v>
      </c>
      <c r="F31" s="26">
        <v>16</v>
      </c>
      <c r="G31" s="26">
        <v>3</v>
      </c>
      <c r="H31" s="27"/>
      <c r="I31" s="27">
        <f t="shared" ref="I31" si="17">H31*16</f>
        <v>0</v>
      </c>
      <c r="J31" s="27"/>
      <c r="K31" s="27">
        <f t="shared" ref="K31" si="18">J31*16</f>
        <v>0</v>
      </c>
      <c r="L31" s="27"/>
      <c r="M31" s="27">
        <f t="shared" ref="M31" si="19">L31*16</f>
        <v>0</v>
      </c>
      <c r="N31" s="27">
        <v>2</v>
      </c>
      <c r="O31" s="27">
        <f t="shared" ref="O31" si="20">N31*16</f>
        <v>32</v>
      </c>
      <c r="P31" s="27"/>
      <c r="Q31" s="27">
        <f t="shared" ref="Q31" si="21">P31*16</f>
        <v>0</v>
      </c>
      <c r="R31" s="27"/>
      <c r="S31" s="27">
        <f t="shared" ref="S31" si="22">R31*16</f>
        <v>0</v>
      </c>
      <c r="T31" s="209">
        <f t="shared" ref="T31:U31" si="23">SUM(H31,J31,L31,N31,P31,R31)</f>
        <v>2</v>
      </c>
      <c r="U31" s="210">
        <f t="shared" si="23"/>
        <v>32</v>
      </c>
      <c r="W31" s="12"/>
      <c r="X31" s="13"/>
      <c r="Y31" s="13"/>
      <c r="Z31" s="13"/>
      <c r="AA31" s="13"/>
      <c r="AB31" s="13"/>
      <c r="AC31" s="13"/>
      <c r="AD31" s="13"/>
      <c r="AE31" s="13"/>
      <c r="AF31" s="17"/>
      <c r="AG31" s="13"/>
    </row>
    <row r="32" spans="2:33" ht="17.25" thickBot="1">
      <c r="B32" s="554"/>
      <c r="C32" s="557"/>
      <c r="D32" s="551" t="s">
        <v>16</v>
      </c>
      <c r="E32" s="551"/>
      <c r="F32" s="177"/>
      <c r="G32" s="177"/>
      <c r="H32" s="32"/>
      <c r="I32" s="32"/>
      <c r="J32" s="32"/>
      <c r="K32" s="32"/>
      <c r="L32" s="32">
        <f t="shared" ref="L32:U32" si="24">SUM(L30:L31)</f>
        <v>0</v>
      </c>
      <c r="M32" s="32">
        <f t="shared" si="24"/>
        <v>0</v>
      </c>
      <c r="N32" s="32">
        <f t="shared" si="24"/>
        <v>5</v>
      </c>
      <c r="O32" s="32">
        <f t="shared" si="24"/>
        <v>80</v>
      </c>
      <c r="P32" s="32">
        <f t="shared" si="24"/>
        <v>0</v>
      </c>
      <c r="Q32" s="32">
        <f t="shared" si="24"/>
        <v>0</v>
      </c>
      <c r="R32" s="32">
        <f t="shared" si="24"/>
        <v>0</v>
      </c>
      <c r="S32" s="32">
        <f t="shared" si="24"/>
        <v>0</v>
      </c>
      <c r="T32" s="213">
        <f t="shared" si="24"/>
        <v>5</v>
      </c>
      <c r="U32" s="213">
        <f t="shared" si="24"/>
        <v>80</v>
      </c>
    </row>
    <row r="33" spans="2:21">
      <c r="B33" s="539" t="s">
        <v>673</v>
      </c>
      <c r="C33" s="542">
        <v>3</v>
      </c>
      <c r="D33" s="53" t="s">
        <v>704</v>
      </c>
      <c r="E33" s="30" t="s">
        <v>705</v>
      </c>
      <c r="F33" s="30">
        <v>20</v>
      </c>
      <c r="G33" s="49">
        <v>3</v>
      </c>
      <c r="H33" s="31"/>
      <c r="I33" s="31"/>
      <c r="J33" s="31"/>
      <c r="K33" s="31"/>
      <c r="L33" s="31">
        <v>2</v>
      </c>
      <c r="M33" s="31">
        <v>32</v>
      </c>
      <c r="N33" s="31"/>
      <c r="O33" s="31"/>
      <c r="P33" s="31"/>
      <c r="Q33" s="31"/>
      <c r="R33" s="31"/>
      <c r="S33" s="31"/>
      <c r="T33" s="216">
        <v>2</v>
      </c>
      <c r="U33" s="217">
        <v>32</v>
      </c>
    </row>
    <row r="34" spans="2:21">
      <c r="B34" s="540"/>
      <c r="C34" s="543"/>
      <c r="D34" s="50" t="s">
        <v>706</v>
      </c>
      <c r="E34" s="43" t="s">
        <v>707</v>
      </c>
      <c r="F34" s="43">
        <v>30</v>
      </c>
      <c r="G34" s="43">
        <v>4</v>
      </c>
      <c r="H34" s="42"/>
      <c r="I34" s="42"/>
      <c r="J34" s="42"/>
      <c r="K34" s="42"/>
      <c r="L34" s="42">
        <v>1</v>
      </c>
      <c r="M34" s="42">
        <v>16</v>
      </c>
      <c r="N34" s="42"/>
      <c r="O34" s="42"/>
      <c r="P34" s="42"/>
      <c r="Q34" s="42"/>
      <c r="R34" s="42"/>
      <c r="S34" s="42"/>
      <c r="T34" s="214">
        <v>1</v>
      </c>
      <c r="U34" s="215">
        <v>16</v>
      </c>
    </row>
    <row r="35" spans="2:21" ht="17.25" thickBot="1">
      <c r="B35" s="541"/>
      <c r="C35" s="544"/>
      <c r="D35" s="545"/>
      <c r="E35" s="546"/>
      <c r="F35" s="177"/>
      <c r="G35" s="177"/>
      <c r="H35" s="32"/>
      <c r="I35" s="32"/>
      <c r="J35" s="32"/>
      <c r="K35" s="32"/>
      <c r="L35" s="32">
        <v>3</v>
      </c>
      <c r="M35" s="32">
        <v>48</v>
      </c>
      <c r="N35" s="32"/>
      <c r="O35" s="32"/>
      <c r="P35" s="32"/>
      <c r="Q35" s="32"/>
      <c r="R35" s="32"/>
      <c r="S35" s="32"/>
      <c r="T35" s="37">
        <v>3</v>
      </c>
      <c r="U35" s="38">
        <v>48</v>
      </c>
    </row>
    <row r="36" spans="2:21">
      <c r="B36" s="547" t="s">
        <v>674</v>
      </c>
      <c r="C36" s="549">
        <v>3</v>
      </c>
      <c r="D36" s="51" t="s">
        <v>708</v>
      </c>
      <c r="E36" s="44" t="s">
        <v>709</v>
      </c>
      <c r="F36" s="26">
        <v>60</v>
      </c>
      <c r="G36" s="43">
        <v>4</v>
      </c>
      <c r="H36" s="42"/>
      <c r="I36" s="42"/>
      <c r="J36" s="42"/>
      <c r="K36" s="42"/>
      <c r="L36" s="42"/>
      <c r="M36" s="42"/>
      <c r="N36" s="42">
        <v>2</v>
      </c>
      <c r="O36" s="42">
        <v>32</v>
      </c>
      <c r="P36" s="33"/>
      <c r="Q36" s="33"/>
      <c r="R36" s="33"/>
      <c r="S36" s="33"/>
      <c r="T36" s="214">
        <v>2</v>
      </c>
      <c r="U36" s="215">
        <v>32</v>
      </c>
    </row>
    <row r="37" spans="2:21">
      <c r="B37" s="547"/>
      <c r="C37" s="549"/>
      <c r="D37" s="50" t="s">
        <v>710</v>
      </c>
      <c r="E37" s="45" t="s">
        <v>711</v>
      </c>
      <c r="F37" s="43">
        <v>24</v>
      </c>
      <c r="G37" s="43">
        <v>3</v>
      </c>
      <c r="H37" s="42"/>
      <c r="I37" s="42"/>
      <c r="J37" s="42"/>
      <c r="K37" s="42"/>
      <c r="L37" s="42"/>
      <c r="M37" s="42"/>
      <c r="N37" s="42">
        <v>1</v>
      </c>
      <c r="O37" s="42">
        <v>16</v>
      </c>
      <c r="P37" s="33"/>
      <c r="Q37" s="33"/>
      <c r="R37" s="33"/>
      <c r="S37" s="33"/>
      <c r="T37" s="214">
        <v>1</v>
      </c>
      <c r="U37" s="215">
        <v>16</v>
      </c>
    </row>
    <row r="38" spans="2:21" ht="17.25" thickBot="1">
      <c r="B38" s="541"/>
      <c r="C38" s="544"/>
      <c r="D38" s="551"/>
      <c r="E38" s="551"/>
      <c r="F38" s="177"/>
      <c r="G38" s="177"/>
      <c r="H38" s="32"/>
      <c r="I38" s="32"/>
      <c r="J38" s="32"/>
      <c r="K38" s="32"/>
      <c r="L38" s="32"/>
      <c r="M38" s="32"/>
      <c r="N38" s="32">
        <v>3</v>
      </c>
      <c r="O38" s="32">
        <v>48</v>
      </c>
      <c r="P38" s="32"/>
      <c r="Q38" s="32"/>
      <c r="R38" s="32"/>
      <c r="S38" s="32"/>
      <c r="T38" s="37">
        <v>3</v>
      </c>
      <c r="U38" s="38">
        <v>48</v>
      </c>
    </row>
  </sheetData>
  <mergeCells count="51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1"/>
    <mergeCell ref="C9:C11"/>
    <mergeCell ref="D11:E11"/>
    <mergeCell ref="B12:B14"/>
    <mergeCell ref="C12:C14"/>
    <mergeCell ref="D14:E14"/>
    <mergeCell ref="B15:B19"/>
    <mergeCell ref="C15:C19"/>
    <mergeCell ref="D19:E19"/>
    <mergeCell ref="B20:B24"/>
    <mergeCell ref="C20:C24"/>
    <mergeCell ref="D24:E24"/>
    <mergeCell ref="B25:B29"/>
    <mergeCell ref="C25:C29"/>
    <mergeCell ref="D29:E29"/>
    <mergeCell ref="B30:B32"/>
    <mergeCell ref="C30:C32"/>
    <mergeCell ref="D32:E32"/>
    <mergeCell ref="B33:B35"/>
    <mergeCell ref="C33:C35"/>
    <mergeCell ref="D35:E35"/>
    <mergeCell ref="B36:B38"/>
    <mergeCell ref="C36:C38"/>
    <mergeCell ref="D38:E38"/>
  </mergeCells>
  <phoneticPr fontId="9" type="noConversion"/>
  <pageMargins left="0.25" right="0.25" top="0.75" bottom="0.75" header="0.3" footer="0.3"/>
  <pageSetup paperSize="9" scale="69" fitToWidth="0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1"/>
  <sheetViews>
    <sheetView workbookViewId="0">
      <pane ySplit="1" topLeftCell="A2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211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348</v>
      </c>
      <c r="G2" s="5"/>
      <c r="H2" s="3" t="s">
        <v>74</v>
      </c>
      <c r="I2" s="3" t="s">
        <v>66</v>
      </c>
      <c r="J2" s="3" t="s">
        <v>176</v>
      </c>
      <c r="K2" s="3" t="s">
        <v>176</v>
      </c>
      <c r="L2" s="3" t="s">
        <v>123</v>
      </c>
    </row>
    <row r="3" spans="1:12">
      <c r="A3" s="3" t="s">
        <v>212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348</v>
      </c>
      <c r="G3" s="5"/>
      <c r="H3" s="3" t="s">
        <v>75</v>
      </c>
      <c r="I3" s="3" t="s">
        <v>67</v>
      </c>
      <c r="J3" s="3" t="s">
        <v>177</v>
      </c>
      <c r="K3" s="3" t="s">
        <v>177</v>
      </c>
      <c r="L3" s="3" t="s">
        <v>118</v>
      </c>
    </row>
    <row r="4" spans="1:12">
      <c r="A4" s="3" t="s">
        <v>214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351</v>
      </c>
      <c r="G4" s="5"/>
      <c r="H4" s="3" t="s">
        <v>76</v>
      </c>
      <c r="I4" s="3" t="s">
        <v>166</v>
      </c>
      <c r="J4" s="3" t="s">
        <v>93</v>
      </c>
      <c r="K4" s="3" t="s">
        <v>93</v>
      </c>
      <c r="L4" s="3" t="s">
        <v>119</v>
      </c>
    </row>
    <row r="5" spans="1:12">
      <c r="A5" s="3" t="s">
        <v>215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351</v>
      </c>
      <c r="G5" s="5"/>
      <c r="H5" s="3" t="s">
        <v>77</v>
      </c>
      <c r="I5" s="3" t="s">
        <v>167</v>
      </c>
      <c r="J5" s="3" t="s">
        <v>178</v>
      </c>
      <c r="K5" s="3" t="s">
        <v>178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351</v>
      </c>
      <c r="G6" s="5"/>
      <c r="H6" s="3" t="s">
        <v>78</v>
      </c>
      <c r="I6" s="3" t="s">
        <v>168</v>
      </c>
      <c r="J6" s="3" t="s">
        <v>179</v>
      </c>
      <c r="K6" s="3" t="s">
        <v>179</v>
      </c>
      <c r="L6" s="8"/>
    </row>
    <row r="7" spans="1:12">
      <c r="A7" s="3" t="s">
        <v>216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351</v>
      </c>
      <c r="G7" s="5"/>
      <c r="H7" s="3" t="s">
        <v>79</v>
      </c>
      <c r="I7" s="3" t="s">
        <v>174</v>
      </c>
      <c r="J7" s="3" t="s">
        <v>94</v>
      </c>
      <c r="K7" s="3" t="s">
        <v>94</v>
      </c>
      <c r="L7" s="5"/>
    </row>
    <row r="8" spans="1:12">
      <c r="A8" s="3" t="s">
        <v>217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351</v>
      </c>
      <c r="G8" s="5"/>
      <c r="H8" s="3" t="s">
        <v>80</v>
      </c>
      <c r="I8" s="3" t="s">
        <v>169</v>
      </c>
      <c r="J8" s="3" t="s">
        <v>180</v>
      </c>
      <c r="K8" s="3" t="s">
        <v>180</v>
      </c>
      <c r="L8" s="5"/>
    </row>
    <row r="9" spans="1:12">
      <c r="A9" s="3" t="s">
        <v>218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351</v>
      </c>
      <c r="G9" s="5"/>
      <c r="H9" s="3" t="s">
        <v>81</v>
      </c>
      <c r="I9" s="3" t="s">
        <v>68</v>
      </c>
      <c r="J9" s="3" t="s">
        <v>181</v>
      </c>
      <c r="K9" s="3" t="s">
        <v>181</v>
      </c>
      <c r="L9" s="5"/>
    </row>
    <row r="10" spans="1:12">
      <c r="A10" s="3" t="s">
        <v>219</v>
      </c>
      <c r="B10" s="3" t="s">
        <v>17</v>
      </c>
      <c r="C10" s="3" t="s">
        <v>21</v>
      </c>
      <c r="D10" s="3" t="s">
        <v>222</v>
      </c>
      <c r="E10" s="3">
        <v>4</v>
      </c>
      <c r="F10" s="7" t="s">
        <v>351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220</v>
      </c>
      <c r="B11" s="3" t="s">
        <v>17</v>
      </c>
      <c r="C11" s="3" t="s">
        <v>21</v>
      </c>
      <c r="D11" s="3" t="s">
        <v>222</v>
      </c>
      <c r="E11" s="3">
        <v>4</v>
      </c>
      <c r="F11" s="7" t="s">
        <v>351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221</v>
      </c>
      <c r="B12" s="3" t="s">
        <v>17</v>
      </c>
      <c r="C12" s="3" t="s">
        <v>21</v>
      </c>
      <c r="D12" s="3" t="s">
        <v>222</v>
      </c>
      <c r="E12" s="3">
        <v>4</v>
      </c>
      <c r="F12" s="7" t="s">
        <v>351</v>
      </c>
      <c r="G12" s="5"/>
      <c r="H12" s="3" t="s">
        <v>84</v>
      </c>
      <c r="I12" s="3" t="s">
        <v>170</v>
      </c>
      <c r="J12" s="3" t="s">
        <v>96</v>
      </c>
      <c r="K12" s="3" t="s">
        <v>96</v>
      </c>
      <c r="L12" s="5"/>
    </row>
    <row r="13" spans="1:12">
      <c r="A13" s="3" t="s">
        <v>223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348</v>
      </c>
      <c r="G13" s="5"/>
      <c r="H13" s="3" t="s">
        <v>85</v>
      </c>
      <c r="I13" s="3" t="s">
        <v>71</v>
      </c>
      <c r="J13" s="3" t="s">
        <v>182</v>
      </c>
      <c r="K13" s="3" t="s">
        <v>182</v>
      </c>
      <c r="L13" s="5"/>
    </row>
    <row r="14" spans="1:12">
      <c r="A14" s="3" t="s">
        <v>225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348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226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351</v>
      </c>
      <c r="G15" s="5"/>
      <c r="H15" s="3" t="s">
        <v>87</v>
      </c>
      <c r="I15" s="3" t="s">
        <v>171</v>
      </c>
      <c r="J15" s="3" t="s">
        <v>183</v>
      </c>
      <c r="K15" s="3" t="s">
        <v>183</v>
      </c>
      <c r="L15" s="5"/>
    </row>
    <row r="16" spans="1:12">
      <c r="A16" s="3" t="s">
        <v>227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351</v>
      </c>
      <c r="G16" s="5"/>
      <c r="H16" s="3" t="s">
        <v>88</v>
      </c>
      <c r="I16" s="3" t="s">
        <v>172</v>
      </c>
      <c r="J16" s="3" t="s">
        <v>184</v>
      </c>
      <c r="K16" s="3" t="s">
        <v>184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351</v>
      </c>
      <c r="G17" s="5"/>
      <c r="H17" s="3" t="s">
        <v>89</v>
      </c>
      <c r="I17" s="3" t="s">
        <v>173</v>
      </c>
      <c r="J17" s="3" t="s">
        <v>185</v>
      </c>
      <c r="K17" s="3" t="s">
        <v>185</v>
      </c>
      <c r="L17" s="5"/>
    </row>
    <row r="18" spans="1:12">
      <c r="A18" s="3" t="s">
        <v>228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351</v>
      </c>
      <c r="G18" s="5"/>
      <c r="H18" s="3" t="s">
        <v>90</v>
      </c>
      <c r="I18" s="3" t="s">
        <v>175</v>
      </c>
      <c r="J18" s="3" t="s">
        <v>186</v>
      </c>
      <c r="K18" s="3" t="s">
        <v>186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351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351</v>
      </c>
      <c r="G20" s="5"/>
      <c r="J20" s="3" t="s">
        <v>187</v>
      </c>
      <c r="K20" s="3" t="s">
        <v>187</v>
      </c>
      <c r="L20" s="5"/>
    </row>
    <row r="21" spans="1:12">
      <c r="A21" s="3" t="s">
        <v>229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351</v>
      </c>
      <c r="G21" s="5"/>
      <c r="J21" s="3" t="s">
        <v>98</v>
      </c>
      <c r="K21" s="3" t="s">
        <v>98</v>
      </c>
      <c r="L21" s="5"/>
    </row>
    <row r="22" spans="1:12">
      <c r="A22" s="3" t="s">
        <v>231</v>
      </c>
      <c r="B22" s="3" t="s">
        <v>17</v>
      </c>
      <c r="C22" s="3" t="s">
        <v>5</v>
      </c>
      <c r="D22" s="3" t="s">
        <v>232</v>
      </c>
      <c r="E22" s="3">
        <v>4</v>
      </c>
      <c r="F22" s="7" t="s">
        <v>351</v>
      </c>
      <c r="G22" s="5"/>
      <c r="H22" s="3"/>
      <c r="I22" s="3"/>
      <c r="J22" s="3" t="s">
        <v>188</v>
      </c>
      <c r="K22" s="3" t="s">
        <v>188</v>
      </c>
      <c r="L22" s="5"/>
    </row>
    <row r="23" spans="1:12">
      <c r="A23" s="3" t="s">
        <v>233</v>
      </c>
      <c r="B23" s="3" t="s">
        <v>17</v>
      </c>
      <c r="C23" s="3" t="s">
        <v>5</v>
      </c>
      <c r="D23" s="3" t="s">
        <v>222</v>
      </c>
      <c r="E23" s="3">
        <v>4</v>
      </c>
      <c r="F23" s="7" t="s">
        <v>351</v>
      </c>
      <c r="G23" s="5"/>
      <c r="H23" s="3"/>
      <c r="I23" s="3"/>
      <c r="J23" s="3" t="s">
        <v>189</v>
      </c>
      <c r="K23" s="3" t="s">
        <v>189</v>
      </c>
      <c r="L23" s="5"/>
    </row>
    <row r="24" spans="1:12">
      <c r="A24" s="3" t="s">
        <v>234</v>
      </c>
      <c r="B24" s="3" t="s">
        <v>17</v>
      </c>
      <c r="C24" s="3" t="s">
        <v>5</v>
      </c>
      <c r="D24" s="3" t="s">
        <v>222</v>
      </c>
      <c r="E24" s="3">
        <v>4</v>
      </c>
      <c r="F24" s="7" t="s">
        <v>351</v>
      </c>
      <c r="G24" s="5"/>
      <c r="H24" s="3"/>
      <c r="I24" s="3"/>
      <c r="J24" s="3" t="s">
        <v>190</v>
      </c>
      <c r="K24" s="3" t="s">
        <v>190</v>
      </c>
      <c r="L24" s="5"/>
    </row>
    <row r="25" spans="1:12">
      <c r="A25" s="3" t="s">
        <v>235</v>
      </c>
      <c r="B25" s="3" t="s">
        <v>17</v>
      </c>
      <c r="C25" s="3" t="s">
        <v>5</v>
      </c>
      <c r="D25" s="3" t="s">
        <v>222</v>
      </c>
      <c r="E25" s="3">
        <v>4</v>
      </c>
      <c r="F25" s="7" t="s">
        <v>351</v>
      </c>
      <c r="G25" s="5"/>
      <c r="H25" s="3"/>
      <c r="I25" s="3"/>
      <c r="J25" s="3" t="s">
        <v>191</v>
      </c>
      <c r="K25" s="3" t="s">
        <v>191</v>
      </c>
      <c r="L25" s="5"/>
    </row>
    <row r="26" spans="1:12">
      <c r="A26" s="3" t="s">
        <v>230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348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236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351</v>
      </c>
      <c r="G27" s="5"/>
      <c r="H27" s="5"/>
      <c r="I27" s="5"/>
      <c r="J27" s="3" t="s">
        <v>192</v>
      </c>
      <c r="K27" s="3" t="s">
        <v>192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351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351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351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351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237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351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238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351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239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351</v>
      </c>
      <c r="G34" s="5"/>
      <c r="H34" s="5"/>
      <c r="I34" s="5"/>
      <c r="J34" s="3" t="s">
        <v>193</v>
      </c>
      <c r="K34" s="3" t="s">
        <v>193</v>
      </c>
      <c r="L34" s="5"/>
    </row>
    <row r="35" spans="1:12">
      <c r="A35" s="3" t="s">
        <v>240</v>
      </c>
      <c r="B35" s="3" t="s">
        <v>17</v>
      </c>
      <c r="C35" s="3" t="s">
        <v>6</v>
      </c>
      <c r="D35" s="3" t="s">
        <v>232</v>
      </c>
      <c r="E35" s="3">
        <v>4</v>
      </c>
      <c r="F35" s="7" t="s">
        <v>351</v>
      </c>
      <c r="G35" s="5"/>
      <c r="H35" s="5"/>
      <c r="I35" s="5"/>
      <c r="J35" s="3" t="s">
        <v>194</v>
      </c>
      <c r="K35" s="3" t="s">
        <v>194</v>
      </c>
      <c r="L35" s="5"/>
    </row>
    <row r="36" spans="1:12">
      <c r="A36" s="3" t="s">
        <v>241</v>
      </c>
      <c r="B36" s="3" t="s">
        <v>17</v>
      </c>
      <c r="C36" s="3" t="s">
        <v>6</v>
      </c>
      <c r="D36" s="3" t="s">
        <v>222</v>
      </c>
      <c r="E36" s="3">
        <v>4</v>
      </c>
      <c r="F36" s="7" t="s">
        <v>351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242</v>
      </c>
      <c r="B37" s="3" t="s">
        <v>17</v>
      </c>
      <c r="C37" s="3" t="s">
        <v>6</v>
      </c>
      <c r="D37" s="3" t="s">
        <v>222</v>
      </c>
      <c r="E37" s="3">
        <v>4</v>
      </c>
      <c r="F37" s="7" t="s">
        <v>351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243</v>
      </c>
      <c r="B38" s="3" t="s">
        <v>17</v>
      </c>
      <c r="C38" s="3" t="s">
        <v>6</v>
      </c>
      <c r="D38" s="3" t="s">
        <v>222</v>
      </c>
      <c r="E38" s="3">
        <v>4</v>
      </c>
      <c r="F38" s="7" t="s">
        <v>351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244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374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245</v>
      </c>
      <c r="B40" s="3" t="s">
        <v>17</v>
      </c>
      <c r="C40" s="3" t="s">
        <v>7</v>
      </c>
      <c r="D40" s="3" t="s">
        <v>246</v>
      </c>
      <c r="E40" s="3">
        <v>3</v>
      </c>
      <c r="F40" s="7" t="s">
        <v>374</v>
      </c>
      <c r="G40" s="5"/>
      <c r="H40" s="5"/>
      <c r="I40" s="5"/>
      <c r="J40" s="3" t="s">
        <v>195</v>
      </c>
      <c r="K40" s="3" t="s">
        <v>195</v>
      </c>
      <c r="L40" s="5"/>
    </row>
    <row r="41" spans="1:12" ht="17.25" customHeight="1">
      <c r="A41" s="3" t="s">
        <v>247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348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248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348</v>
      </c>
      <c r="G42" s="5"/>
      <c r="H42" s="5"/>
      <c r="I42" s="5"/>
      <c r="J42" s="3" t="s">
        <v>196</v>
      </c>
      <c r="K42" s="3" t="s">
        <v>196</v>
      </c>
      <c r="L42" s="5"/>
    </row>
    <row r="43" spans="1:12" ht="17.25" customHeight="1">
      <c r="A43" s="3" t="s">
        <v>260</v>
      </c>
      <c r="B43" s="3" t="s">
        <v>17</v>
      </c>
      <c r="C43" s="3" t="s">
        <v>25</v>
      </c>
      <c r="D43" s="3" t="s">
        <v>264</v>
      </c>
      <c r="E43" s="3">
        <v>4</v>
      </c>
      <c r="F43" s="7" t="s">
        <v>351</v>
      </c>
      <c r="G43" s="5"/>
      <c r="H43" s="5"/>
      <c r="I43" s="5"/>
      <c r="J43" s="3" t="s">
        <v>197</v>
      </c>
      <c r="K43" s="3" t="s">
        <v>197</v>
      </c>
      <c r="L43" s="5"/>
    </row>
    <row r="44" spans="1:12" ht="17.25" customHeight="1">
      <c r="A44" s="3" t="s">
        <v>261</v>
      </c>
      <c r="B44" s="3" t="s">
        <v>17</v>
      </c>
      <c r="C44" s="3" t="s">
        <v>25</v>
      </c>
      <c r="D44" s="3" t="s">
        <v>264</v>
      </c>
      <c r="E44" s="3">
        <v>4</v>
      </c>
      <c r="F44" s="7" t="s">
        <v>351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262</v>
      </c>
      <c r="B45" s="3" t="s">
        <v>17</v>
      </c>
      <c r="C45" s="3" t="s">
        <v>25</v>
      </c>
      <c r="D45" s="3" t="s">
        <v>264</v>
      </c>
      <c r="E45" s="3">
        <v>4</v>
      </c>
      <c r="F45" s="7" t="s">
        <v>351</v>
      </c>
      <c r="G45" s="5"/>
      <c r="H45" s="5"/>
      <c r="I45" s="5"/>
      <c r="J45" s="3" t="s">
        <v>198</v>
      </c>
      <c r="K45" s="3" t="s">
        <v>198</v>
      </c>
      <c r="L45" s="5"/>
    </row>
    <row r="46" spans="1:12" ht="17.25" customHeight="1">
      <c r="A46" s="3" t="s">
        <v>263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351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249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351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250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351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251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351</v>
      </c>
      <c r="G49" s="5"/>
      <c r="H49" s="5"/>
      <c r="I49" s="5"/>
      <c r="J49" s="5" t="s">
        <v>199</v>
      </c>
      <c r="K49" s="5" t="s">
        <v>199</v>
      </c>
      <c r="L49" s="5"/>
    </row>
    <row r="50" spans="1:12">
      <c r="A50" s="3" t="s">
        <v>252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351</v>
      </c>
      <c r="G50" s="5"/>
      <c r="H50" s="5"/>
      <c r="I50" s="5"/>
      <c r="J50" s="5" t="s">
        <v>200</v>
      </c>
      <c r="K50" s="5" t="s">
        <v>200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351</v>
      </c>
      <c r="G51" s="5"/>
      <c r="H51" s="5"/>
      <c r="I51" s="5"/>
      <c r="J51" s="5" t="s">
        <v>201</v>
      </c>
      <c r="K51" s="5" t="s">
        <v>201</v>
      </c>
      <c r="L51" s="5"/>
    </row>
    <row r="52" spans="1:12">
      <c r="A52" s="3" t="s">
        <v>253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351</v>
      </c>
      <c r="G52" s="5"/>
      <c r="H52" s="5"/>
      <c r="I52" s="5"/>
      <c r="J52" s="5" t="s">
        <v>202</v>
      </c>
      <c r="K52" s="5" t="s">
        <v>202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351</v>
      </c>
      <c r="G53" s="5"/>
      <c r="H53" s="5"/>
      <c r="I53" s="5"/>
      <c r="J53" s="5" t="s">
        <v>203</v>
      </c>
      <c r="K53" s="5" t="s">
        <v>203</v>
      </c>
      <c r="L53" s="5"/>
    </row>
    <row r="54" spans="1:12">
      <c r="A54" s="3" t="s">
        <v>254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351</v>
      </c>
      <c r="G54" s="5"/>
      <c r="H54" s="5"/>
      <c r="I54" s="5"/>
      <c r="J54" s="5" t="s">
        <v>204</v>
      </c>
      <c r="K54" s="5" t="s">
        <v>204</v>
      </c>
      <c r="L54" s="5"/>
    </row>
    <row r="55" spans="1:12">
      <c r="A55" s="3" t="s">
        <v>255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351</v>
      </c>
      <c r="G55" s="5"/>
      <c r="H55" s="5"/>
      <c r="I55" s="5"/>
      <c r="J55" s="5" t="s">
        <v>206</v>
      </c>
      <c r="K55" s="5" t="s">
        <v>206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222</v>
      </c>
      <c r="E56" s="3">
        <v>4</v>
      </c>
      <c r="F56" s="7" t="s">
        <v>351</v>
      </c>
      <c r="G56" s="5"/>
      <c r="H56" s="5"/>
      <c r="I56" s="5"/>
      <c r="J56" s="5" t="s">
        <v>205</v>
      </c>
      <c r="K56" s="5" t="s">
        <v>205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222</v>
      </c>
      <c r="E57" s="3">
        <v>4</v>
      </c>
      <c r="F57" s="7" t="s">
        <v>351</v>
      </c>
      <c r="G57" s="5"/>
      <c r="H57" s="5"/>
      <c r="I57" s="5"/>
      <c r="J57" s="5" t="s">
        <v>207</v>
      </c>
      <c r="K57" s="5" t="s">
        <v>207</v>
      </c>
      <c r="L57" s="5"/>
    </row>
    <row r="58" spans="1:12">
      <c r="A58" s="3" t="s">
        <v>256</v>
      </c>
      <c r="B58" s="3" t="s">
        <v>17</v>
      </c>
      <c r="C58" s="3" t="s">
        <v>25</v>
      </c>
      <c r="D58" s="3" t="s">
        <v>222</v>
      </c>
      <c r="E58" s="3">
        <v>4</v>
      </c>
      <c r="F58" s="7" t="s">
        <v>351</v>
      </c>
      <c r="G58" s="5"/>
      <c r="H58" s="5"/>
      <c r="I58" s="5"/>
      <c r="J58" s="5" t="s">
        <v>208</v>
      </c>
      <c r="K58" s="5" t="s">
        <v>208</v>
      </c>
      <c r="L58" s="5"/>
    </row>
    <row r="59" spans="1:12">
      <c r="A59" s="3" t="s">
        <v>257</v>
      </c>
      <c r="B59" s="3" t="s">
        <v>17</v>
      </c>
      <c r="C59" s="3" t="s">
        <v>25</v>
      </c>
      <c r="D59" s="3" t="s">
        <v>222</v>
      </c>
      <c r="E59" s="3">
        <v>4</v>
      </c>
      <c r="F59" s="7" t="s">
        <v>351</v>
      </c>
      <c r="G59" s="5"/>
      <c r="H59" s="5"/>
      <c r="I59" s="5"/>
      <c r="J59" s="5" t="s">
        <v>209</v>
      </c>
      <c r="K59" s="5" t="s">
        <v>209</v>
      </c>
      <c r="L59" s="5"/>
    </row>
    <row r="60" spans="1:12">
      <c r="A60" s="3" t="s">
        <v>258</v>
      </c>
      <c r="B60" s="3" t="s">
        <v>17</v>
      </c>
      <c r="C60" s="3" t="s">
        <v>25</v>
      </c>
      <c r="D60" s="3" t="s">
        <v>222</v>
      </c>
      <c r="E60" s="3">
        <v>4</v>
      </c>
      <c r="F60" s="7" t="s">
        <v>351</v>
      </c>
      <c r="G60" s="5"/>
      <c r="H60" s="5"/>
      <c r="I60" s="5"/>
      <c r="J60" s="3"/>
      <c r="K60" s="3"/>
      <c r="L60" s="5"/>
    </row>
    <row r="61" spans="1:12">
      <c r="A61" s="3" t="s">
        <v>259</v>
      </c>
      <c r="B61" s="3" t="s">
        <v>17</v>
      </c>
      <c r="C61" s="3" t="s">
        <v>25</v>
      </c>
      <c r="D61" s="3" t="s">
        <v>222</v>
      </c>
      <c r="E61" s="3">
        <v>4</v>
      </c>
      <c r="F61" s="7" t="s">
        <v>351</v>
      </c>
      <c r="G61" s="5"/>
      <c r="H61" s="5"/>
      <c r="I61" s="5"/>
      <c r="J61" s="3"/>
      <c r="K61" s="3"/>
      <c r="L61" s="5"/>
    </row>
    <row r="62" spans="1:12">
      <c r="A62" s="3" t="s">
        <v>265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348</v>
      </c>
      <c r="G62" s="5"/>
      <c r="H62" s="5"/>
      <c r="I62" s="5"/>
      <c r="L62" s="5"/>
    </row>
    <row r="63" spans="1:12">
      <c r="A63" s="3" t="s">
        <v>266</v>
      </c>
      <c r="B63" s="3" t="s">
        <v>17</v>
      </c>
      <c r="C63" s="3" t="s">
        <v>26</v>
      </c>
      <c r="D63" s="3" t="s">
        <v>246</v>
      </c>
      <c r="E63" s="3">
        <v>4</v>
      </c>
      <c r="F63" s="7" t="s">
        <v>348</v>
      </c>
      <c r="G63" s="5"/>
      <c r="H63" s="5"/>
      <c r="I63" s="5"/>
      <c r="J63" s="3"/>
      <c r="K63" s="3"/>
      <c r="L63" s="5"/>
    </row>
    <row r="64" spans="1:12">
      <c r="A64" s="3" t="s">
        <v>267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348</v>
      </c>
      <c r="G64" s="5"/>
      <c r="H64" s="5"/>
      <c r="I64" s="5"/>
      <c r="L64" s="5"/>
    </row>
    <row r="65" spans="1:12">
      <c r="A65" s="3" t="s">
        <v>268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348</v>
      </c>
      <c r="G65" s="5"/>
      <c r="H65" s="5"/>
      <c r="I65" s="5"/>
      <c r="J65" s="3"/>
      <c r="K65" s="3"/>
      <c r="L65" s="5"/>
    </row>
    <row r="66" spans="1:12">
      <c r="A66" s="3" t="s">
        <v>269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351</v>
      </c>
      <c r="G66" s="5"/>
      <c r="H66" s="5"/>
      <c r="I66" s="5"/>
      <c r="J66" s="3"/>
      <c r="K66" s="3"/>
      <c r="L66" s="5"/>
    </row>
    <row r="67" spans="1:12">
      <c r="A67" s="3" t="s">
        <v>270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351</v>
      </c>
      <c r="G67" s="5"/>
      <c r="H67" s="5"/>
      <c r="I67" s="5"/>
      <c r="J67" s="3"/>
      <c r="K67" s="3"/>
      <c r="L67" s="5"/>
    </row>
    <row r="68" spans="1:12">
      <c r="A68" s="3" t="s">
        <v>271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351</v>
      </c>
      <c r="G68" s="5"/>
      <c r="H68" s="5"/>
      <c r="I68" s="5"/>
      <c r="J68" s="3"/>
      <c r="K68" s="3"/>
      <c r="L68" s="5"/>
    </row>
    <row r="69" spans="1:12">
      <c r="A69" s="3" t="s">
        <v>272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351</v>
      </c>
      <c r="G69" s="5"/>
      <c r="H69" s="5"/>
      <c r="I69" s="5"/>
      <c r="L69" s="5"/>
    </row>
    <row r="70" spans="1:12">
      <c r="A70" s="3" t="s">
        <v>273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351</v>
      </c>
      <c r="G70" s="5"/>
      <c r="H70" s="5"/>
      <c r="I70" s="5"/>
      <c r="L70" s="5"/>
    </row>
    <row r="71" spans="1:12">
      <c r="A71" s="3" t="s">
        <v>274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351</v>
      </c>
      <c r="G71" s="5"/>
      <c r="H71" s="5"/>
      <c r="I71" s="5"/>
      <c r="L71" s="5"/>
    </row>
    <row r="72" spans="1:12">
      <c r="A72" s="3" t="s">
        <v>275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351</v>
      </c>
      <c r="G72" s="5"/>
      <c r="H72" s="5"/>
      <c r="I72" s="5"/>
      <c r="L72" s="5"/>
    </row>
    <row r="73" spans="1:12">
      <c r="A73" s="3" t="s">
        <v>276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351</v>
      </c>
      <c r="G73" s="5"/>
      <c r="H73" s="5"/>
      <c r="I73" s="5"/>
      <c r="L73" s="5"/>
    </row>
    <row r="74" spans="1:12">
      <c r="A74" s="3" t="s">
        <v>277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351</v>
      </c>
      <c r="G74" s="5"/>
      <c r="H74" s="5"/>
      <c r="I74" s="5"/>
      <c r="L74" s="5"/>
    </row>
    <row r="75" spans="1:12">
      <c r="A75" s="3" t="s">
        <v>278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351</v>
      </c>
      <c r="G75" s="5"/>
      <c r="H75" s="5"/>
      <c r="I75" s="5"/>
      <c r="L75" s="5"/>
    </row>
    <row r="76" spans="1:12">
      <c r="A76" s="3" t="s">
        <v>279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351</v>
      </c>
      <c r="G76" s="5"/>
      <c r="H76" s="5"/>
      <c r="I76" s="5"/>
      <c r="L76" s="5"/>
    </row>
    <row r="77" spans="1:12">
      <c r="A77" s="3" t="s">
        <v>280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351</v>
      </c>
      <c r="G77" s="5"/>
      <c r="H77" s="5"/>
      <c r="I77" s="5"/>
      <c r="L77" s="5"/>
    </row>
    <row r="78" spans="1:12">
      <c r="A78" s="3" t="s">
        <v>281</v>
      </c>
      <c r="B78" s="3" t="s">
        <v>17</v>
      </c>
      <c r="C78" s="3" t="s">
        <v>26</v>
      </c>
      <c r="D78" s="3" t="s">
        <v>284</v>
      </c>
      <c r="E78" s="3">
        <v>4</v>
      </c>
      <c r="F78" s="7" t="s">
        <v>351</v>
      </c>
      <c r="G78" s="5"/>
      <c r="H78" s="5"/>
      <c r="I78" s="5"/>
      <c r="L78" s="5"/>
    </row>
    <row r="79" spans="1:12">
      <c r="A79" s="3" t="s">
        <v>282</v>
      </c>
      <c r="B79" s="3" t="s">
        <v>17</v>
      </c>
      <c r="C79" s="3" t="s">
        <v>26</v>
      </c>
      <c r="D79" s="3" t="s">
        <v>222</v>
      </c>
      <c r="E79" s="3">
        <v>4</v>
      </c>
      <c r="F79" s="7" t="s">
        <v>351</v>
      </c>
      <c r="G79" s="5"/>
      <c r="H79" s="5"/>
      <c r="I79" s="5"/>
      <c r="L79" s="5"/>
    </row>
    <row r="80" spans="1:12">
      <c r="A80" s="3" t="s">
        <v>283</v>
      </c>
      <c r="B80" s="3" t="s">
        <v>17</v>
      </c>
      <c r="C80" s="3" t="s">
        <v>26</v>
      </c>
      <c r="D80" s="3" t="s">
        <v>222</v>
      </c>
      <c r="E80" s="3">
        <v>4</v>
      </c>
      <c r="F80" s="7" t="s">
        <v>351</v>
      </c>
      <c r="G80" s="5"/>
      <c r="H80" s="5"/>
      <c r="I80" s="5"/>
      <c r="L80" s="5"/>
    </row>
    <row r="81" spans="1:12">
      <c r="A81" s="3" t="s">
        <v>285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357</v>
      </c>
      <c r="G81" s="5"/>
      <c r="H81" s="5"/>
      <c r="I81" s="5"/>
      <c r="L81" s="5"/>
    </row>
    <row r="82" spans="1:12">
      <c r="A82" s="3" t="s">
        <v>286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357</v>
      </c>
      <c r="G82" s="5"/>
      <c r="H82" s="5"/>
      <c r="I82" s="5"/>
      <c r="L82" s="5"/>
    </row>
    <row r="83" spans="1:12">
      <c r="A83" s="3" t="s">
        <v>287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357</v>
      </c>
      <c r="G83" s="5"/>
      <c r="H83" s="5"/>
      <c r="I83" s="5"/>
      <c r="L83" s="5"/>
    </row>
    <row r="84" spans="1:12">
      <c r="A84" s="3" t="s">
        <v>288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357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360</v>
      </c>
      <c r="G85" s="5"/>
      <c r="H85" s="5"/>
      <c r="I85" s="5"/>
      <c r="J85" s="5"/>
      <c r="K85" s="5"/>
      <c r="L85" s="5"/>
    </row>
    <row r="86" spans="1:12">
      <c r="A86" s="3" t="s">
        <v>289</v>
      </c>
      <c r="B86" s="3" t="s">
        <v>17</v>
      </c>
      <c r="C86" s="3" t="s">
        <v>8</v>
      </c>
      <c r="D86" s="3" t="s">
        <v>222</v>
      </c>
      <c r="E86" s="3">
        <v>3</v>
      </c>
      <c r="F86" s="7" t="s">
        <v>357</v>
      </c>
      <c r="G86" s="5"/>
      <c r="H86" s="5"/>
      <c r="I86" s="5"/>
      <c r="J86" s="5"/>
      <c r="K86" s="5"/>
      <c r="L86" s="5"/>
    </row>
    <row r="87" spans="1:12">
      <c r="A87" s="3" t="s">
        <v>290</v>
      </c>
      <c r="B87" s="3" t="s">
        <v>17</v>
      </c>
      <c r="C87" s="3" t="s">
        <v>8</v>
      </c>
      <c r="D87" s="3" t="s">
        <v>222</v>
      </c>
      <c r="E87" s="3">
        <v>2</v>
      </c>
      <c r="F87" s="7" t="s">
        <v>360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357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357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357</v>
      </c>
      <c r="G90" s="5"/>
      <c r="H90" s="5"/>
      <c r="I90" s="5"/>
      <c r="J90" s="5"/>
      <c r="K90" s="5"/>
      <c r="L90" s="5"/>
    </row>
    <row r="91" spans="1:12">
      <c r="A91" s="3" t="s">
        <v>291</v>
      </c>
      <c r="B91" s="3" t="s">
        <v>17</v>
      </c>
      <c r="C91" s="3" t="s">
        <v>28</v>
      </c>
      <c r="D91" s="3" t="s">
        <v>232</v>
      </c>
      <c r="E91" s="3">
        <v>3</v>
      </c>
      <c r="F91" s="7" t="s">
        <v>357</v>
      </c>
      <c r="G91" s="5"/>
      <c r="H91" s="5"/>
      <c r="I91" s="5"/>
      <c r="J91" s="5"/>
      <c r="K91" s="5"/>
      <c r="L91" s="5"/>
    </row>
    <row r="92" spans="1:12">
      <c r="A92" s="3" t="s">
        <v>292</v>
      </c>
      <c r="B92" s="3" t="s">
        <v>17</v>
      </c>
      <c r="C92" s="3" t="s">
        <v>28</v>
      </c>
      <c r="D92" s="3" t="s">
        <v>232</v>
      </c>
      <c r="E92" s="3">
        <v>3</v>
      </c>
      <c r="F92" s="7" t="s">
        <v>357</v>
      </c>
      <c r="G92" s="5"/>
      <c r="H92" s="5"/>
      <c r="I92" s="5"/>
      <c r="J92" s="5"/>
      <c r="K92" s="5"/>
      <c r="L92" s="5"/>
    </row>
    <row r="93" spans="1:12">
      <c r="A93" s="3" t="s">
        <v>293</v>
      </c>
      <c r="B93" s="3" t="s">
        <v>17</v>
      </c>
      <c r="C93" s="3" t="s">
        <v>28</v>
      </c>
      <c r="D93" s="3" t="s">
        <v>232</v>
      </c>
      <c r="E93" s="3">
        <v>3</v>
      </c>
      <c r="F93" s="7" t="s">
        <v>357</v>
      </c>
      <c r="G93" s="5"/>
      <c r="H93" s="5"/>
      <c r="I93" s="5"/>
      <c r="J93" s="5"/>
      <c r="K93" s="5"/>
      <c r="L93" s="5"/>
    </row>
    <row r="94" spans="1:12">
      <c r="A94" s="3" t="s">
        <v>294</v>
      </c>
      <c r="B94" s="3" t="s">
        <v>17</v>
      </c>
      <c r="C94" s="3" t="s">
        <v>28</v>
      </c>
      <c r="D94" s="3" t="s">
        <v>232</v>
      </c>
      <c r="E94" s="3">
        <v>3</v>
      </c>
      <c r="F94" s="7" t="s">
        <v>357</v>
      </c>
      <c r="G94" s="5"/>
      <c r="H94" s="5"/>
      <c r="I94" s="5"/>
      <c r="J94" s="5"/>
      <c r="K94" s="5"/>
      <c r="L94" s="5"/>
    </row>
    <row r="95" spans="1:12">
      <c r="A95" s="3" t="s">
        <v>295</v>
      </c>
      <c r="B95" s="3" t="s">
        <v>17</v>
      </c>
      <c r="C95" s="3" t="s">
        <v>28</v>
      </c>
      <c r="D95" s="3" t="s">
        <v>222</v>
      </c>
      <c r="E95" s="3">
        <v>3</v>
      </c>
      <c r="F95" s="7" t="s">
        <v>357</v>
      </c>
      <c r="G95" s="5"/>
      <c r="H95" s="5"/>
      <c r="I95" s="5"/>
      <c r="J95" s="5"/>
      <c r="K95" s="5"/>
      <c r="L95" s="5"/>
    </row>
    <row r="96" spans="1:12">
      <c r="A96" s="3" t="s">
        <v>296</v>
      </c>
      <c r="B96" s="3" t="s">
        <v>17</v>
      </c>
      <c r="C96" s="3" t="s">
        <v>28</v>
      </c>
      <c r="D96" s="3" t="s">
        <v>222</v>
      </c>
      <c r="E96" s="3">
        <v>3</v>
      </c>
      <c r="F96" s="7" t="s">
        <v>357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351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351</v>
      </c>
      <c r="G98" s="5"/>
      <c r="H98" s="5"/>
      <c r="I98" s="5"/>
      <c r="J98" s="5"/>
      <c r="K98" s="5"/>
      <c r="L98" s="5"/>
    </row>
    <row r="99" spans="1:12">
      <c r="A99" s="3" t="s">
        <v>297</v>
      </c>
      <c r="B99" s="3" t="s">
        <v>17</v>
      </c>
      <c r="C99" s="3" t="s">
        <v>10</v>
      </c>
      <c r="D99" s="3" t="s">
        <v>232</v>
      </c>
      <c r="E99" s="3">
        <v>4</v>
      </c>
      <c r="F99" s="7" t="s">
        <v>351</v>
      </c>
      <c r="G99" s="5"/>
      <c r="H99" s="5"/>
      <c r="I99" s="5"/>
      <c r="J99" s="5"/>
      <c r="K99" s="5"/>
      <c r="L99" s="5"/>
    </row>
    <row r="100" spans="1:12">
      <c r="A100" s="3" t="s">
        <v>298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351</v>
      </c>
      <c r="G100" s="5"/>
      <c r="H100" s="5"/>
      <c r="I100" s="5"/>
      <c r="J100" s="5"/>
      <c r="K100" s="5"/>
      <c r="L100" s="5"/>
    </row>
    <row r="101" spans="1:12">
      <c r="A101" s="3" t="s">
        <v>299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351</v>
      </c>
      <c r="G101" s="5"/>
      <c r="H101" s="5"/>
      <c r="I101" s="5"/>
      <c r="J101" s="5"/>
      <c r="K101" s="5"/>
      <c r="L101" s="5"/>
    </row>
    <row r="102" spans="1:12">
      <c r="A102" s="3" t="s">
        <v>300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351</v>
      </c>
      <c r="G102" s="5"/>
      <c r="H102" s="5"/>
      <c r="I102" s="5"/>
      <c r="J102" s="5"/>
      <c r="K102" s="5"/>
      <c r="L102" s="5"/>
    </row>
    <row r="103" spans="1:12">
      <c r="A103" s="3" t="s">
        <v>301</v>
      </c>
      <c r="B103" s="3" t="s">
        <v>17</v>
      </c>
      <c r="C103" s="3" t="s">
        <v>10</v>
      </c>
      <c r="D103" s="3" t="s">
        <v>222</v>
      </c>
      <c r="E103" s="3">
        <v>4</v>
      </c>
      <c r="F103" s="7" t="s">
        <v>351</v>
      </c>
      <c r="G103" s="5"/>
      <c r="H103" s="5"/>
      <c r="I103" s="5"/>
      <c r="J103" s="5"/>
      <c r="K103" s="5"/>
      <c r="L103" s="5"/>
    </row>
    <row r="104" spans="1:12">
      <c r="A104" s="3" t="s">
        <v>302</v>
      </c>
      <c r="B104" s="3" t="s">
        <v>17</v>
      </c>
      <c r="C104" s="3" t="s">
        <v>10</v>
      </c>
      <c r="D104" s="3" t="s">
        <v>222</v>
      </c>
      <c r="E104" s="3">
        <v>4</v>
      </c>
      <c r="F104" s="7" t="s">
        <v>351</v>
      </c>
      <c r="G104" s="5"/>
      <c r="H104" s="5"/>
      <c r="I104" s="5"/>
      <c r="J104" s="5"/>
      <c r="K104" s="5"/>
      <c r="L104" s="5"/>
    </row>
    <row r="105" spans="1:12">
      <c r="A105" s="3" t="s">
        <v>303</v>
      </c>
      <c r="B105" s="3" t="s">
        <v>17</v>
      </c>
      <c r="C105" s="3" t="s">
        <v>10</v>
      </c>
      <c r="D105" s="3" t="s">
        <v>222</v>
      </c>
      <c r="E105" s="3">
        <v>4</v>
      </c>
      <c r="F105" s="7" t="s">
        <v>351</v>
      </c>
      <c r="G105" s="5"/>
      <c r="H105" s="5"/>
      <c r="I105" s="5"/>
      <c r="J105" s="5"/>
      <c r="K105" s="5"/>
      <c r="L105" s="5"/>
    </row>
    <row r="106" spans="1:12">
      <c r="A106" s="3" t="s">
        <v>304</v>
      </c>
      <c r="B106" s="3" t="s">
        <v>17</v>
      </c>
      <c r="C106" s="3" t="s">
        <v>10</v>
      </c>
      <c r="D106" s="3" t="s">
        <v>222</v>
      </c>
      <c r="E106" s="3">
        <v>2</v>
      </c>
      <c r="F106" s="7" t="s">
        <v>360</v>
      </c>
      <c r="G106" s="5"/>
      <c r="H106" s="5"/>
      <c r="I106" s="5"/>
      <c r="J106" s="5"/>
      <c r="K106" s="5"/>
      <c r="L106" s="5"/>
    </row>
    <row r="107" spans="1:12">
      <c r="A107" s="3" t="s">
        <v>305</v>
      </c>
      <c r="B107" s="3" t="s">
        <v>17</v>
      </c>
      <c r="C107" s="3" t="s">
        <v>10</v>
      </c>
      <c r="D107" s="3" t="s">
        <v>222</v>
      </c>
      <c r="E107" s="3">
        <v>4</v>
      </c>
      <c r="F107" s="7" t="s">
        <v>351</v>
      </c>
      <c r="G107" s="5"/>
      <c r="H107" s="5"/>
      <c r="I107" s="5"/>
      <c r="J107" s="5"/>
      <c r="K107" s="5"/>
      <c r="L107" s="5"/>
    </row>
    <row r="108" spans="1:12">
      <c r="A108" s="3" t="s">
        <v>306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351</v>
      </c>
      <c r="G108" s="5"/>
      <c r="H108" s="5"/>
      <c r="I108" s="5"/>
      <c r="J108" s="5"/>
      <c r="K108" s="5"/>
      <c r="L108" s="5"/>
    </row>
    <row r="109" spans="1:12">
      <c r="A109" s="3" t="s">
        <v>307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351</v>
      </c>
      <c r="G109" s="5"/>
      <c r="H109" s="5"/>
      <c r="I109" s="5"/>
      <c r="J109" s="5"/>
      <c r="K109" s="5"/>
      <c r="L109" s="5"/>
    </row>
    <row r="110" spans="1:12">
      <c r="A110" s="3" t="s">
        <v>308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351</v>
      </c>
      <c r="G110" s="5"/>
      <c r="H110" s="5"/>
      <c r="I110" s="5"/>
      <c r="J110" s="5"/>
      <c r="K110" s="5"/>
      <c r="L110" s="5"/>
    </row>
    <row r="111" spans="1:12">
      <c r="A111" s="3" t="s">
        <v>309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351</v>
      </c>
      <c r="G111" s="5"/>
      <c r="H111" s="5"/>
      <c r="I111" s="5"/>
      <c r="J111" s="5"/>
      <c r="K111" s="5"/>
      <c r="L111" s="5"/>
    </row>
    <row r="112" spans="1:12">
      <c r="A112" s="3" t="s">
        <v>310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351</v>
      </c>
      <c r="G112" s="5"/>
      <c r="H112" s="5"/>
      <c r="I112" s="5"/>
      <c r="J112" s="5"/>
      <c r="K112" s="5"/>
      <c r="L112" s="5"/>
    </row>
    <row r="113" spans="1:12">
      <c r="A113" s="3" t="s">
        <v>311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351</v>
      </c>
      <c r="G113" s="5"/>
      <c r="H113" s="5"/>
      <c r="I113" s="5"/>
      <c r="J113" s="5"/>
      <c r="K113" s="5"/>
      <c r="L113" s="5"/>
    </row>
    <row r="114" spans="1:12">
      <c r="A114" s="3" t="s">
        <v>312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351</v>
      </c>
      <c r="G114" s="5"/>
      <c r="H114" s="5"/>
      <c r="I114" s="5"/>
      <c r="J114" s="5"/>
      <c r="K114" s="5"/>
      <c r="L114" s="5"/>
    </row>
    <row r="115" spans="1:12">
      <c r="A115" s="3" t="s">
        <v>313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351</v>
      </c>
      <c r="G115" s="5"/>
      <c r="H115" s="5"/>
      <c r="I115" s="5"/>
      <c r="J115" s="5"/>
      <c r="K115" s="5"/>
      <c r="L115" s="5"/>
    </row>
    <row r="116" spans="1:12">
      <c r="A116" s="3" t="s">
        <v>314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351</v>
      </c>
      <c r="G116" s="5"/>
      <c r="H116" s="5"/>
      <c r="I116" s="5"/>
      <c r="J116" s="5"/>
      <c r="K116" s="5"/>
      <c r="L116" s="5"/>
    </row>
    <row r="117" spans="1:12">
      <c r="A117" s="3" t="s">
        <v>315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351</v>
      </c>
      <c r="G117" s="5"/>
      <c r="H117" s="5"/>
      <c r="I117" s="5"/>
      <c r="J117" s="5"/>
      <c r="K117" s="5"/>
      <c r="L117" s="5"/>
    </row>
    <row r="118" spans="1:12">
      <c r="A118" s="3" t="s">
        <v>316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351</v>
      </c>
      <c r="G118" s="5"/>
      <c r="H118" s="5"/>
      <c r="I118" s="5"/>
      <c r="J118" s="5"/>
      <c r="K118" s="5"/>
      <c r="L118" s="5"/>
    </row>
    <row r="119" spans="1:12">
      <c r="A119" s="3" t="s">
        <v>317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351</v>
      </c>
      <c r="G119" s="5"/>
      <c r="H119" s="5"/>
      <c r="I119" s="5"/>
      <c r="J119" s="5"/>
      <c r="K119" s="5"/>
      <c r="L119" s="5"/>
    </row>
    <row r="120" spans="1:12">
      <c r="A120" s="3" t="s">
        <v>318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351</v>
      </c>
      <c r="G120" s="5"/>
      <c r="H120" s="5"/>
      <c r="I120" s="5"/>
      <c r="J120" s="5"/>
      <c r="K120" s="5"/>
      <c r="L120" s="5"/>
    </row>
    <row r="121" spans="1:12">
      <c r="A121" s="3" t="s">
        <v>319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351</v>
      </c>
      <c r="G121" s="5"/>
      <c r="H121" s="5"/>
      <c r="I121" s="5"/>
      <c r="J121" s="5"/>
      <c r="K121" s="5"/>
      <c r="L121" s="5"/>
    </row>
    <row r="122" spans="1:12">
      <c r="A122" s="3" t="s">
        <v>320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351</v>
      </c>
      <c r="G122" s="5"/>
      <c r="H122" s="5"/>
      <c r="I122" s="5"/>
      <c r="J122" s="5"/>
      <c r="K122" s="5"/>
      <c r="L122" s="5"/>
    </row>
    <row r="123" spans="1:12">
      <c r="A123" s="3" t="s">
        <v>321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351</v>
      </c>
      <c r="G123" s="5"/>
      <c r="H123" s="5"/>
      <c r="I123" s="5"/>
      <c r="J123" s="5"/>
      <c r="K123" s="5"/>
      <c r="L123" s="5"/>
    </row>
    <row r="124" spans="1:12">
      <c r="A124" s="3" t="s">
        <v>322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351</v>
      </c>
      <c r="G124" s="5"/>
      <c r="H124" s="5"/>
      <c r="I124" s="5"/>
      <c r="J124" s="5"/>
      <c r="K124" s="5"/>
      <c r="L124" s="5"/>
    </row>
    <row r="125" spans="1:12">
      <c r="A125" s="3" t="s">
        <v>323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351</v>
      </c>
      <c r="G125" s="5"/>
      <c r="H125" s="5"/>
      <c r="I125" s="5"/>
      <c r="J125" s="5"/>
      <c r="K125" s="5"/>
      <c r="L125" s="5"/>
    </row>
    <row r="126" spans="1:12">
      <c r="A126" s="3" t="s">
        <v>325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351</v>
      </c>
      <c r="G126" s="5"/>
      <c r="H126" s="5"/>
      <c r="I126" s="5"/>
      <c r="J126" s="5"/>
      <c r="K126" s="5"/>
      <c r="L126" s="5"/>
    </row>
    <row r="127" spans="1:12">
      <c r="A127" s="3" t="s">
        <v>324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351</v>
      </c>
      <c r="G127" s="5"/>
      <c r="H127" s="5"/>
      <c r="I127" s="5"/>
      <c r="J127" s="5"/>
      <c r="K127" s="5"/>
      <c r="L127" s="5"/>
    </row>
    <row r="128" spans="1:12">
      <c r="A128" s="3" t="s">
        <v>326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351</v>
      </c>
      <c r="G128" s="5"/>
      <c r="H128" s="5"/>
      <c r="I128" s="5"/>
      <c r="J128" s="5"/>
      <c r="K128" s="5"/>
      <c r="L128" s="5"/>
    </row>
    <row r="129" spans="1:12">
      <c r="A129" s="3" t="s">
        <v>327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351</v>
      </c>
      <c r="G129" s="5"/>
      <c r="H129" s="5"/>
      <c r="I129" s="5"/>
      <c r="J129" s="5"/>
      <c r="K129" s="5"/>
      <c r="L129" s="5"/>
    </row>
    <row r="130" spans="1:12">
      <c r="A130" s="3" t="s">
        <v>328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351</v>
      </c>
      <c r="G130" s="5"/>
      <c r="H130" s="5"/>
      <c r="I130" s="5"/>
      <c r="J130" s="5"/>
      <c r="K130" s="5"/>
      <c r="L130" s="5"/>
    </row>
    <row r="131" spans="1:12">
      <c r="A131" s="3" t="s">
        <v>332</v>
      </c>
      <c r="B131" s="3" t="s">
        <v>17</v>
      </c>
      <c r="C131" s="3" t="s">
        <v>30</v>
      </c>
      <c r="D131" s="3" t="s">
        <v>222</v>
      </c>
      <c r="E131" s="3">
        <v>4</v>
      </c>
      <c r="F131" s="7" t="s">
        <v>351</v>
      </c>
      <c r="G131" s="5"/>
      <c r="H131" s="5"/>
      <c r="I131" s="5"/>
      <c r="J131" s="5"/>
      <c r="K131" s="5"/>
      <c r="L131" s="5"/>
    </row>
    <row r="132" spans="1:12">
      <c r="A132" s="3" t="s">
        <v>333</v>
      </c>
      <c r="B132" s="3" t="s">
        <v>17</v>
      </c>
      <c r="C132" s="3" t="s">
        <v>30</v>
      </c>
      <c r="D132" s="3" t="s">
        <v>222</v>
      </c>
      <c r="E132" s="3">
        <v>4</v>
      </c>
      <c r="F132" s="7" t="s">
        <v>351</v>
      </c>
      <c r="G132" s="5"/>
      <c r="H132" s="5"/>
      <c r="I132" s="5"/>
      <c r="J132" s="5"/>
      <c r="K132" s="5"/>
      <c r="L132" s="5"/>
    </row>
    <row r="133" spans="1:12">
      <c r="A133" s="3" t="s">
        <v>334</v>
      </c>
      <c r="B133" s="3" t="s">
        <v>17</v>
      </c>
      <c r="C133" s="3" t="s">
        <v>30</v>
      </c>
      <c r="D133" s="3" t="s">
        <v>222</v>
      </c>
      <c r="E133" s="3">
        <v>4</v>
      </c>
      <c r="F133" s="7" t="s">
        <v>351</v>
      </c>
      <c r="G133" s="5"/>
      <c r="H133" s="5"/>
      <c r="I133" s="5"/>
      <c r="J133" s="5"/>
      <c r="K133" s="5"/>
      <c r="L133" s="5"/>
    </row>
    <row r="134" spans="1:12">
      <c r="A134" s="3" t="s">
        <v>335</v>
      </c>
      <c r="B134" s="3" t="s">
        <v>17</v>
      </c>
      <c r="C134" s="3" t="s">
        <v>30</v>
      </c>
      <c r="D134" s="3" t="s">
        <v>222</v>
      </c>
      <c r="E134" s="3">
        <v>4</v>
      </c>
      <c r="F134" s="7" t="s">
        <v>351</v>
      </c>
      <c r="G134" s="5"/>
      <c r="H134" s="5"/>
      <c r="I134" s="5"/>
      <c r="J134" s="5"/>
      <c r="K134" s="5"/>
      <c r="L134" s="5"/>
    </row>
    <row r="135" spans="1:12">
      <c r="A135" s="3" t="s">
        <v>336</v>
      </c>
      <c r="B135" s="3" t="s">
        <v>17</v>
      </c>
      <c r="C135" s="3" t="s">
        <v>30</v>
      </c>
      <c r="D135" s="3" t="s">
        <v>222</v>
      </c>
      <c r="E135" s="3">
        <v>4</v>
      </c>
      <c r="F135" s="7" t="s">
        <v>351</v>
      </c>
      <c r="G135" s="5"/>
      <c r="H135" s="5"/>
      <c r="I135" s="5"/>
      <c r="J135" s="5"/>
      <c r="K135" s="5"/>
      <c r="L135" s="5"/>
    </row>
    <row r="136" spans="1:12">
      <c r="A136" s="3" t="s">
        <v>337</v>
      </c>
      <c r="B136" s="3" t="s">
        <v>17</v>
      </c>
      <c r="C136" s="3" t="s">
        <v>30</v>
      </c>
      <c r="D136" s="3" t="s">
        <v>222</v>
      </c>
      <c r="E136" s="3">
        <v>4</v>
      </c>
      <c r="F136" s="7" t="s">
        <v>351</v>
      </c>
      <c r="G136" s="5"/>
      <c r="H136" s="5"/>
      <c r="I136" s="5"/>
      <c r="J136" s="5"/>
      <c r="K136" s="5"/>
      <c r="L136" s="5"/>
    </row>
    <row r="137" spans="1:12">
      <c r="A137" s="3" t="s">
        <v>338</v>
      </c>
      <c r="B137" s="3" t="s">
        <v>17</v>
      </c>
      <c r="C137" s="3" t="s">
        <v>30</v>
      </c>
      <c r="D137" s="3" t="s">
        <v>222</v>
      </c>
      <c r="E137" s="3">
        <v>4</v>
      </c>
      <c r="F137" s="7" t="s">
        <v>351</v>
      </c>
      <c r="G137" s="5"/>
      <c r="H137" s="5"/>
      <c r="I137" s="5"/>
      <c r="J137" s="5"/>
      <c r="K137" s="5"/>
      <c r="L137" s="5"/>
    </row>
    <row r="138" spans="1:12">
      <c r="A138" s="3" t="s">
        <v>339</v>
      </c>
      <c r="B138" s="3" t="s">
        <v>17</v>
      </c>
      <c r="C138" s="3" t="s">
        <v>30</v>
      </c>
      <c r="D138" s="3" t="s">
        <v>222</v>
      </c>
      <c r="E138" s="3">
        <v>4</v>
      </c>
      <c r="F138" s="7" t="s">
        <v>351</v>
      </c>
      <c r="G138" s="5"/>
      <c r="H138" s="5"/>
      <c r="I138" s="5"/>
      <c r="J138" s="5"/>
      <c r="K138" s="5"/>
      <c r="L138" s="5"/>
    </row>
    <row r="139" spans="1:12">
      <c r="A139" s="3" t="s">
        <v>330</v>
      </c>
      <c r="B139" s="3" t="s">
        <v>17</v>
      </c>
      <c r="C139" s="3" t="s">
        <v>330</v>
      </c>
      <c r="D139" s="3" t="s">
        <v>264</v>
      </c>
      <c r="E139" s="3">
        <v>4</v>
      </c>
      <c r="F139" s="7" t="s">
        <v>351</v>
      </c>
      <c r="G139" s="5"/>
      <c r="H139" s="5"/>
      <c r="I139" s="5"/>
      <c r="J139" s="5"/>
      <c r="K139" s="5"/>
      <c r="L139" s="5"/>
    </row>
    <row r="140" spans="1:12">
      <c r="A140" s="3" t="s">
        <v>329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351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357</v>
      </c>
      <c r="G141" s="5"/>
      <c r="H141" s="5"/>
      <c r="I141" s="5"/>
      <c r="J141" s="5"/>
      <c r="K141" s="5"/>
      <c r="L141" s="5"/>
    </row>
    <row r="142" spans="1:12">
      <c r="A142" s="3" t="s">
        <v>340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357</v>
      </c>
      <c r="G142" s="5"/>
      <c r="H142" s="5"/>
      <c r="I142" s="5"/>
      <c r="J142" s="5"/>
      <c r="K142" s="5"/>
      <c r="L142" s="5"/>
    </row>
    <row r="143" spans="1:12">
      <c r="A143" s="3" t="s">
        <v>341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357</v>
      </c>
      <c r="G143" s="5"/>
      <c r="H143" s="5"/>
      <c r="I143" s="5"/>
      <c r="J143" s="5"/>
      <c r="K143" s="5"/>
      <c r="L143" s="5"/>
    </row>
    <row r="144" spans="1:12">
      <c r="A144" s="3" t="s">
        <v>342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357</v>
      </c>
      <c r="G144" s="5"/>
      <c r="H144" s="5"/>
      <c r="I144" s="5"/>
      <c r="J144" s="5"/>
      <c r="K144" s="5"/>
      <c r="L144" s="5"/>
    </row>
    <row r="145" spans="1:12">
      <c r="A145" s="3" t="s">
        <v>343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357</v>
      </c>
      <c r="G145" s="5"/>
      <c r="H145" s="5"/>
      <c r="I145" s="5"/>
      <c r="J145" s="5"/>
      <c r="K145" s="5"/>
      <c r="L145" s="5"/>
    </row>
    <row r="146" spans="1:12">
      <c r="A146" s="3" t="s">
        <v>344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357</v>
      </c>
      <c r="G146" s="5"/>
      <c r="H146" s="5"/>
      <c r="I146" s="5"/>
      <c r="J146" s="5"/>
      <c r="K146" s="5"/>
      <c r="L146" s="5"/>
    </row>
    <row r="147" spans="1:12">
      <c r="A147" s="3" t="s">
        <v>345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357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357</v>
      </c>
      <c r="G148" s="5"/>
      <c r="H148" s="5"/>
      <c r="I148" s="5"/>
      <c r="J148" s="5"/>
      <c r="K148" s="5"/>
      <c r="L148" s="5"/>
    </row>
    <row r="149" spans="1:12">
      <c r="A149" s="3" t="s">
        <v>346</v>
      </c>
      <c r="B149" s="3" t="s">
        <v>17</v>
      </c>
      <c r="C149" s="3" t="s">
        <v>32</v>
      </c>
      <c r="D149" s="3" t="s">
        <v>284</v>
      </c>
      <c r="E149" s="3">
        <v>3</v>
      </c>
      <c r="F149" s="7" t="s">
        <v>357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222</v>
      </c>
      <c r="E150" s="3">
        <v>3</v>
      </c>
      <c r="F150" s="7" t="s">
        <v>357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2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  <outlinePr summaryBelow="0" summaryRight="0"/>
  </sheetPr>
  <dimension ref="A1:Z999"/>
  <sheetViews>
    <sheetView showGridLines="0" workbookViewId="0">
      <pane ySplit="2" topLeftCell="A34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98" customWidth="1"/>
    <col min="2" max="2" width="7.5" style="98" customWidth="1"/>
    <col min="3" max="3" width="0.875" style="98" customWidth="1"/>
    <col min="4" max="4" width="4" style="98" customWidth="1"/>
    <col min="5" max="5" width="5.875" style="98" customWidth="1"/>
    <col min="6" max="6" width="5.625" style="98" customWidth="1"/>
    <col min="7" max="7" width="11.25" style="98" customWidth="1"/>
    <col min="8" max="8" width="9.125" style="98" customWidth="1"/>
    <col min="9" max="9" width="12.75" style="98" customWidth="1"/>
    <col min="10" max="10" width="1.375" style="98" customWidth="1"/>
    <col min="11" max="11" width="1" style="98" customWidth="1"/>
    <col min="12" max="12" width="10.75" style="98" customWidth="1"/>
    <col min="13" max="13" width="10.125" style="98" customWidth="1"/>
    <col min="14" max="14" width="16.625" style="98" customWidth="1"/>
    <col min="15" max="15" width="8.375" style="98" customWidth="1"/>
    <col min="16" max="16" width="9.5" style="98" customWidth="1"/>
    <col min="17" max="17" width="1.25" style="98" customWidth="1"/>
    <col min="18" max="18" width="0.5" style="98" customWidth="1"/>
    <col min="19" max="26" width="0" style="98" hidden="1" customWidth="1"/>
    <col min="27" max="16384" width="11" style="98" hidden="1"/>
  </cols>
  <sheetData>
    <row r="1" spans="2:26" ht="13.5"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2:26" ht="39" thickBot="1">
      <c r="B2" s="652" t="s">
        <v>377</v>
      </c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3"/>
      <c r="R2" s="97"/>
      <c r="S2" s="97"/>
      <c r="T2" s="97"/>
      <c r="U2" s="97"/>
      <c r="V2" s="97"/>
      <c r="W2" s="97"/>
      <c r="X2" s="97"/>
      <c r="Y2" s="97"/>
      <c r="Z2" s="97"/>
    </row>
    <row r="3" spans="2:26" ht="24" customHeight="1" thickBot="1">
      <c r="B3" s="99" t="s">
        <v>378</v>
      </c>
      <c r="C3" s="654" t="s">
        <v>379</v>
      </c>
      <c r="D3" s="655"/>
      <c r="E3" s="655"/>
      <c r="F3" s="655"/>
      <c r="G3" s="655"/>
      <c r="H3" s="655"/>
      <c r="I3" s="655"/>
      <c r="J3" s="656"/>
      <c r="K3" s="657" t="s">
        <v>380</v>
      </c>
      <c r="L3" s="658"/>
      <c r="M3" s="658"/>
      <c r="N3" s="658"/>
      <c r="O3" s="658"/>
      <c r="P3" s="658"/>
      <c r="Q3" s="659"/>
      <c r="R3" s="97"/>
      <c r="S3" s="97"/>
      <c r="T3" s="97"/>
      <c r="U3" s="97"/>
      <c r="V3" s="97"/>
      <c r="W3" s="97"/>
      <c r="X3" s="97"/>
      <c r="Y3" s="97"/>
      <c r="Z3" s="97"/>
    </row>
    <row r="4" spans="2:26" ht="13.5">
      <c r="B4" s="617" t="s">
        <v>381</v>
      </c>
      <c r="C4" s="100" t="s">
        <v>382</v>
      </c>
      <c r="D4" s="101"/>
      <c r="E4" s="101"/>
      <c r="F4" s="101"/>
      <c r="G4" s="101"/>
      <c r="H4" s="101"/>
      <c r="I4" s="101"/>
      <c r="J4" s="102"/>
      <c r="K4" s="103" t="s">
        <v>382</v>
      </c>
      <c r="L4" s="101"/>
      <c r="M4" s="101"/>
      <c r="N4" s="101"/>
      <c r="O4" s="101"/>
      <c r="P4" s="101"/>
      <c r="Q4" s="102"/>
      <c r="R4" s="97"/>
      <c r="S4" s="97"/>
      <c r="T4" s="97"/>
      <c r="U4" s="97"/>
      <c r="V4" s="97"/>
      <c r="W4" s="97"/>
      <c r="X4" s="97"/>
      <c r="Y4" s="97"/>
      <c r="Z4" s="97"/>
    </row>
    <row r="5" spans="2:26" ht="18.75" customHeight="1">
      <c r="B5" s="604"/>
      <c r="C5" s="104"/>
      <c r="D5" s="623" t="s">
        <v>383</v>
      </c>
      <c r="E5" s="612"/>
      <c r="F5" s="612"/>
      <c r="G5" s="611"/>
      <c r="H5" s="627" t="s">
        <v>384</v>
      </c>
      <c r="I5" s="612"/>
      <c r="J5" s="105"/>
      <c r="K5" s="106"/>
      <c r="L5" s="623" t="s">
        <v>383</v>
      </c>
      <c r="M5" s="612"/>
      <c r="N5" s="611"/>
      <c r="O5" s="627" t="s">
        <v>385</v>
      </c>
      <c r="P5" s="612"/>
      <c r="Q5" s="105"/>
      <c r="R5" s="97"/>
      <c r="S5" s="97"/>
      <c r="T5" s="97"/>
      <c r="U5" s="97"/>
      <c r="V5" s="97"/>
      <c r="W5" s="97"/>
      <c r="X5" s="97"/>
      <c r="Y5" s="97"/>
      <c r="Z5" s="97"/>
    </row>
    <row r="6" spans="2:26" ht="18.75" customHeight="1">
      <c r="B6" s="604"/>
      <c r="C6" s="104"/>
      <c r="D6" s="623" t="s">
        <v>386</v>
      </c>
      <c r="E6" s="612"/>
      <c r="F6" s="612"/>
      <c r="G6" s="611"/>
      <c r="H6" s="627" t="s">
        <v>387</v>
      </c>
      <c r="I6" s="612"/>
      <c r="J6" s="105"/>
      <c r="K6" s="106"/>
      <c r="L6" s="623" t="s">
        <v>386</v>
      </c>
      <c r="M6" s="612"/>
      <c r="N6" s="611"/>
      <c r="O6" s="627" t="s">
        <v>388</v>
      </c>
      <c r="P6" s="612"/>
      <c r="Q6" s="105"/>
      <c r="R6" s="97"/>
      <c r="S6" s="97"/>
      <c r="T6" s="97"/>
      <c r="U6" s="97"/>
      <c r="V6" s="97"/>
      <c r="W6" s="97"/>
      <c r="X6" s="97"/>
      <c r="Y6" s="97"/>
      <c r="Z6" s="97"/>
    </row>
    <row r="7" spans="2:26" ht="18.75" customHeight="1">
      <c r="B7" s="604"/>
      <c r="C7" s="104"/>
      <c r="D7" s="623" t="s">
        <v>389</v>
      </c>
      <c r="E7" s="612"/>
      <c r="F7" s="612"/>
      <c r="G7" s="611"/>
      <c r="H7" s="627" t="s">
        <v>390</v>
      </c>
      <c r="I7" s="612"/>
      <c r="J7" s="105"/>
      <c r="K7" s="106"/>
      <c r="L7" s="623" t="s">
        <v>389</v>
      </c>
      <c r="M7" s="612"/>
      <c r="N7" s="611"/>
      <c r="O7" s="627" t="s">
        <v>391</v>
      </c>
      <c r="P7" s="612"/>
      <c r="Q7" s="105"/>
      <c r="R7" s="97"/>
      <c r="S7" s="97"/>
      <c r="T7" s="97"/>
      <c r="U7" s="97"/>
      <c r="V7" s="97"/>
      <c r="W7" s="97"/>
      <c r="X7" s="97"/>
      <c r="Y7" s="97"/>
      <c r="Z7" s="97"/>
    </row>
    <row r="8" spans="2:26" ht="18.75" customHeight="1">
      <c r="B8" s="604"/>
      <c r="C8" s="104"/>
      <c r="D8" s="623" t="s">
        <v>392</v>
      </c>
      <c r="E8" s="612"/>
      <c r="F8" s="612"/>
      <c r="G8" s="611"/>
      <c r="H8" s="627" t="s">
        <v>393</v>
      </c>
      <c r="I8" s="612"/>
      <c r="J8" s="105"/>
      <c r="K8" s="106"/>
      <c r="L8" s="623" t="s">
        <v>392</v>
      </c>
      <c r="M8" s="612"/>
      <c r="N8" s="611"/>
      <c r="O8" s="627" t="s">
        <v>393</v>
      </c>
      <c r="P8" s="612"/>
      <c r="Q8" s="105"/>
      <c r="R8" s="97"/>
      <c r="S8" s="97"/>
      <c r="T8" s="97"/>
      <c r="U8" s="97"/>
      <c r="V8" s="97"/>
      <c r="W8" s="97"/>
      <c r="X8" s="97"/>
      <c r="Y8" s="97"/>
      <c r="Z8" s="97"/>
    </row>
    <row r="9" spans="2:26" ht="8.25" customHeight="1" thickBot="1">
      <c r="B9" s="605"/>
      <c r="C9" s="107"/>
      <c r="D9" s="108"/>
      <c r="E9" s="108"/>
      <c r="F9" s="108"/>
      <c r="G9" s="108"/>
      <c r="H9" s="108"/>
      <c r="I9" s="108"/>
      <c r="J9" s="109"/>
      <c r="K9" s="110"/>
      <c r="L9" s="108"/>
      <c r="M9" s="108"/>
      <c r="N9" s="108"/>
      <c r="O9" s="108"/>
      <c r="P9" s="108"/>
      <c r="Q9" s="109"/>
      <c r="R9" s="97"/>
      <c r="S9" s="97"/>
      <c r="T9" s="97"/>
      <c r="U9" s="97"/>
      <c r="V9" s="97"/>
      <c r="W9" s="97"/>
      <c r="X9" s="97"/>
      <c r="Y9" s="97"/>
      <c r="Z9" s="97"/>
    </row>
    <row r="10" spans="2:26" ht="6.75" customHeight="1">
      <c r="B10" s="617" t="s">
        <v>394</v>
      </c>
      <c r="C10" s="100"/>
      <c r="D10" s="101"/>
      <c r="E10" s="101"/>
      <c r="F10" s="101"/>
      <c r="G10" s="101"/>
      <c r="H10" s="101"/>
      <c r="I10" s="101"/>
      <c r="J10" s="102"/>
      <c r="K10" s="103"/>
      <c r="L10" s="101"/>
      <c r="M10" s="101"/>
      <c r="N10" s="101"/>
      <c r="O10" s="101"/>
      <c r="P10" s="101"/>
      <c r="Q10" s="102"/>
      <c r="R10" s="97"/>
      <c r="S10" s="97"/>
      <c r="T10" s="97"/>
      <c r="U10" s="97"/>
      <c r="V10" s="97"/>
      <c r="W10" s="97"/>
      <c r="X10" s="97"/>
      <c r="Y10" s="97"/>
      <c r="Z10" s="97"/>
    </row>
    <row r="11" spans="2:26" ht="16.5" customHeight="1">
      <c r="B11" s="604"/>
      <c r="C11" s="104"/>
      <c r="D11" s="623" t="s">
        <v>331</v>
      </c>
      <c r="E11" s="612"/>
      <c r="F11" s="612"/>
      <c r="G11" s="627" t="s">
        <v>395</v>
      </c>
      <c r="H11" s="612"/>
      <c r="I11" s="612"/>
      <c r="J11" s="105"/>
      <c r="K11" s="106"/>
      <c r="L11" s="648" t="s">
        <v>331</v>
      </c>
      <c r="M11" s="649"/>
      <c r="N11" s="650" t="s">
        <v>396</v>
      </c>
      <c r="O11" s="651"/>
      <c r="P11" s="651"/>
      <c r="Q11" s="105"/>
      <c r="R11" s="97"/>
      <c r="S11" s="97"/>
      <c r="T11" s="97"/>
      <c r="U11" s="97"/>
      <c r="V11" s="97"/>
      <c r="W11" s="97"/>
      <c r="X11" s="97"/>
      <c r="Y11" s="97"/>
      <c r="Z11" s="97"/>
    </row>
    <row r="12" spans="2:26" ht="16.5" customHeight="1">
      <c r="B12" s="604"/>
      <c r="C12" s="104"/>
      <c r="D12" s="623" t="s">
        <v>397</v>
      </c>
      <c r="E12" s="612"/>
      <c r="F12" s="612"/>
      <c r="G12" s="627" t="s">
        <v>398</v>
      </c>
      <c r="H12" s="612"/>
      <c r="I12" s="612"/>
      <c r="J12" s="105"/>
      <c r="K12" s="106"/>
      <c r="L12" s="632"/>
      <c r="M12" s="609"/>
      <c r="N12" s="626"/>
      <c r="O12" s="632"/>
      <c r="P12" s="632"/>
      <c r="Q12" s="105"/>
      <c r="R12" s="97"/>
      <c r="S12" s="97"/>
      <c r="T12" s="97"/>
      <c r="U12" s="97"/>
      <c r="V12" s="97"/>
      <c r="W12" s="97"/>
      <c r="X12" s="97"/>
      <c r="Y12" s="97"/>
      <c r="Z12" s="97"/>
    </row>
    <row r="13" spans="2:26" ht="16.5" customHeight="1">
      <c r="B13" s="604"/>
      <c r="C13" s="104"/>
      <c r="D13" s="623" t="s">
        <v>399</v>
      </c>
      <c r="E13" s="612"/>
      <c r="F13" s="612"/>
      <c r="G13" s="627" t="s">
        <v>400</v>
      </c>
      <c r="H13" s="612"/>
      <c r="I13" s="612"/>
      <c r="J13" s="105"/>
      <c r="K13" s="106"/>
      <c r="L13" s="623" t="s">
        <v>401</v>
      </c>
      <c r="M13" s="611"/>
      <c r="N13" s="627" t="s">
        <v>400</v>
      </c>
      <c r="O13" s="612"/>
      <c r="P13" s="612"/>
      <c r="Q13" s="105"/>
      <c r="R13" s="97"/>
      <c r="S13" s="97"/>
      <c r="T13" s="97"/>
      <c r="U13" s="97"/>
      <c r="V13" s="97"/>
      <c r="W13" s="97"/>
      <c r="X13" s="97"/>
      <c r="Y13" s="97"/>
      <c r="Z13" s="97"/>
    </row>
    <row r="14" spans="2:26" ht="6.75" customHeight="1" thickBot="1">
      <c r="B14" s="605"/>
      <c r="C14" s="107"/>
      <c r="D14" s="108"/>
      <c r="E14" s="108"/>
      <c r="F14" s="108"/>
      <c r="G14" s="108"/>
      <c r="H14" s="108"/>
      <c r="I14" s="108"/>
      <c r="J14" s="109"/>
      <c r="K14" s="110"/>
      <c r="L14" s="108"/>
      <c r="M14" s="108"/>
      <c r="N14" s="108"/>
      <c r="O14" s="108"/>
      <c r="P14" s="108"/>
      <c r="Q14" s="109"/>
      <c r="R14" s="97"/>
      <c r="S14" s="97"/>
      <c r="T14" s="97"/>
      <c r="U14" s="97"/>
      <c r="V14" s="97"/>
      <c r="W14" s="97"/>
      <c r="X14" s="97"/>
      <c r="Y14" s="97"/>
      <c r="Z14" s="97"/>
    </row>
    <row r="15" spans="2:26" ht="6.75" customHeight="1">
      <c r="B15" s="617" t="s">
        <v>402</v>
      </c>
      <c r="C15" s="100"/>
      <c r="D15" s="101"/>
      <c r="E15" s="101"/>
      <c r="F15" s="101"/>
      <c r="G15" s="101"/>
      <c r="H15" s="101"/>
      <c r="I15" s="101"/>
      <c r="J15" s="102"/>
      <c r="K15" s="103"/>
      <c r="L15" s="101"/>
      <c r="M15" s="101"/>
      <c r="N15" s="101"/>
      <c r="O15" s="101"/>
      <c r="P15" s="101"/>
      <c r="Q15" s="102"/>
      <c r="R15" s="97"/>
      <c r="S15" s="97"/>
      <c r="T15" s="97"/>
      <c r="U15" s="97"/>
      <c r="V15" s="97"/>
      <c r="W15" s="97"/>
      <c r="X15" s="97"/>
      <c r="Y15" s="97"/>
      <c r="Z15" s="97"/>
    </row>
    <row r="16" spans="2:26" ht="20.25" customHeight="1">
      <c r="B16" s="604"/>
      <c r="C16" s="104"/>
      <c r="D16" s="623" t="s">
        <v>403</v>
      </c>
      <c r="E16" s="612"/>
      <c r="F16" s="612"/>
      <c r="G16" s="611"/>
      <c r="H16" s="627">
        <v>1</v>
      </c>
      <c r="I16" s="612"/>
      <c r="J16" s="105"/>
      <c r="K16" s="106"/>
      <c r="L16" s="623" t="s">
        <v>403</v>
      </c>
      <c r="M16" s="612"/>
      <c r="N16" s="611"/>
      <c r="O16" s="627" t="s">
        <v>404</v>
      </c>
      <c r="P16" s="612"/>
      <c r="Q16" s="105"/>
      <c r="R16" s="97"/>
      <c r="S16" s="97"/>
      <c r="T16" s="97"/>
      <c r="U16" s="97"/>
      <c r="V16" s="97"/>
      <c r="W16" s="97"/>
      <c r="X16" s="97"/>
      <c r="Y16" s="97"/>
      <c r="Z16" s="97"/>
    </row>
    <row r="17" spans="2:26" ht="20.25" customHeight="1">
      <c r="B17" s="604"/>
      <c r="C17" s="104"/>
      <c r="D17" s="623" t="s">
        <v>405</v>
      </c>
      <c r="E17" s="612"/>
      <c r="F17" s="612"/>
      <c r="G17" s="611"/>
      <c r="H17" s="627">
        <v>179</v>
      </c>
      <c r="I17" s="612"/>
      <c r="J17" s="105"/>
      <c r="K17" s="106"/>
      <c r="L17" s="623" t="s">
        <v>406</v>
      </c>
      <c r="M17" s="612"/>
      <c r="N17" s="611"/>
      <c r="O17" s="627" t="s">
        <v>407</v>
      </c>
      <c r="P17" s="612"/>
      <c r="Q17" s="105"/>
      <c r="R17" s="97"/>
      <c r="S17" s="97"/>
      <c r="T17" s="97"/>
      <c r="U17" s="97"/>
      <c r="V17" s="97"/>
      <c r="W17" s="97"/>
      <c r="X17" s="97"/>
      <c r="Y17" s="97"/>
      <c r="Z17" s="97"/>
    </row>
    <row r="18" spans="2:26" ht="20.25" customHeight="1">
      <c r="B18" s="604"/>
      <c r="C18" s="104"/>
      <c r="D18" s="623" t="s">
        <v>408</v>
      </c>
      <c r="E18" s="612"/>
      <c r="F18" s="612"/>
      <c r="G18" s="611"/>
      <c r="H18" s="627">
        <v>368</v>
      </c>
      <c r="I18" s="612"/>
      <c r="J18" s="105"/>
      <c r="K18" s="106"/>
      <c r="L18" s="623" t="s">
        <v>409</v>
      </c>
      <c r="M18" s="612"/>
      <c r="N18" s="611"/>
      <c r="O18" s="627" t="s">
        <v>410</v>
      </c>
      <c r="P18" s="612"/>
      <c r="Q18" s="105"/>
      <c r="R18" s="97"/>
      <c r="S18" s="97"/>
      <c r="T18" s="97"/>
      <c r="U18" s="97"/>
      <c r="V18" s="97"/>
      <c r="W18" s="97"/>
      <c r="X18" s="97"/>
      <c r="Y18" s="97"/>
      <c r="Z18" s="97"/>
    </row>
    <row r="19" spans="2:26" ht="20.25" customHeight="1">
      <c r="B19" s="604"/>
      <c r="C19" s="104"/>
      <c r="D19" s="623" t="s">
        <v>411</v>
      </c>
      <c r="E19" s="612"/>
      <c r="F19" s="612"/>
      <c r="G19" s="611"/>
      <c r="H19" s="627">
        <v>548</v>
      </c>
      <c r="I19" s="612"/>
      <c r="J19" s="105"/>
      <c r="K19" s="106"/>
      <c r="L19" s="623" t="s">
        <v>411</v>
      </c>
      <c r="M19" s="612"/>
      <c r="N19" s="611"/>
      <c r="O19" s="627" t="s">
        <v>412</v>
      </c>
      <c r="P19" s="612"/>
      <c r="Q19" s="105"/>
      <c r="R19" s="97"/>
      <c r="S19" s="97"/>
      <c r="T19" s="97"/>
      <c r="U19" s="97"/>
      <c r="V19" s="97"/>
      <c r="W19" s="97"/>
      <c r="X19" s="97"/>
      <c r="Y19" s="97"/>
      <c r="Z19" s="97"/>
    </row>
    <row r="20" spans="2:26" ht="5.25" customHeight="1" thickBot="1">
      <c r="B20" s="605"/>
      <c r="C20" s="107"/>
      <c r="D20" s="108"/>
      <c r="E20" s="108"/>
      <c r="F20" s="108"/>
      <c r="G20" s="108"/>
      <c r="H20" s="108"/>
      <c r="I20" s="108"/>
      <c r="J20" s="109"/>
      <c r="K20" s="110"/>
      <c r="L20" s="108"/>
      <c r="M20" s="108"/>
      <c r="N20" s="108"/>
      <c r="O20" s="108"/>
      <c r="P20" s="108"/>
      <c r="Q20" s="109"/>
      <c r="R20" s="97"/>
      <c r="S20" s="97"/>
      <c r="T20" s="97"/>
      <c r="U20" s="97"/>
      <c r="V20" s="97"/>
      <c r="W20" s="97"/>
      <c r="X20" s="97"/>
      <c r="Y20" s="97"/>
      <c r="Z20" s="97"/>
    </row>
    <row r="21" spans="2:26" ht="5.25" customHeight="1">
      <c r="B21" s="617" t="s">
        <v>413</v>
      </c>
      <c r="C21" s="100"/>
      <c r="D21" s="101"/>
      <c r="E21" s="101"/>
      <c r="F21" s="101"/>
      <c r="G21" s="101"/>
      <c r="H21" s="101"/>
      <c r="I21" s="101"/>
      <c r="J21" s="102"/>
      <c r="K21" s="103"/>
      <c r="L21" s="101"/>
      <c r="M21" s="101"/>
      <c r="N21" s="101"/>
      <c r="O21" s="101"/>
      <c r="P21" s="101"/>
      <c r="Q21" s="102"/>
      <c r="R21" s="97"/>
      <c r="S21" s="97"/>
      <c r="T21" s="97"/>
      <c r="U21" s="97"/>
      <c r="V21" s="97"/>
      <c r="W21" s="97"/>
      <c r="X21" s="97"/>
      <c r="Y21" s="97"/>
      <c r="Z21" s="97"/>
    </row>
    <row r="22" spans="2:26" ht="27.75" thickBot="1">
      <c r="B22" s="604"/>
      <c r="C22" s="104"/>
      <c r="D22" s="111"/>
      <c r="E22" s="112"/>
      <c r="F22" s="113" t="s">
        <v>414</v>
      </c>
      <c r="G22" s="113" t="s">
        <v>415</v>
      </c>
      <c r="H22" s="113" t="s">
        <v>416</v>
      </c>
      <c r="I22" s="114" t="s">
        <v>417</v>
      </c>
      <c r="J22" s="115"/>
      <c r="K22" s="116"/>
      <c r="L22" s="111"/>
      <c r="M22" s="113" t="s">
        <v>415</v>
      </c>
      <c r="N22" s="113" t="s">
        <v>418</v>
      </c>
      <c r="O22" s="640" t="s">
        <v>417</v>
      </c>
      <c r="P22" s="641"/>
      <c r="Q22" s="105"/>
      <c r="R22" s="97"/>
      <c r="S22" s="97"/>
      <c r="T22" s="97"/>
      <c r="U22" s="97"/>
      <c r="V22" s="97"/>
      <c r="W22" s="97"/>
      <c r="X22" s="97"/>
      <c r="Y22" s="97"/>
      <c r="Z22" s="97"/>
    </row>
    <row r="23" spans="2:26" ht="14.25" thickTop="1">
      <c r="B23" s="604"/>
      <c r="C23" s="104"/>
      <c r="D23" s="628" t="s">
        <v>415</v>
      </c>
      <c r="E23" s="642" t="s">
        <v>419</v>
      </c>
      <c r="F23" s="642" t="s">
        <v>420</v>
      </c>
      <c r="G23" s="117" t="s">
        <v>421</v>
      </c>
      <c r="H23" s="117" t="s">
        <v>422</v>
      </c>
      <c r="I23" s="630">
        <v>24</v>
      </c>
      <c r="J23" s="115"/>
      <c r="K23" s="116"/>
      <c r="L23" s="628" t="s">
        <v>423</v>
      </c>
      <c r="M23" s="118" t="s">
        <v>421</v>
      </c>
      <c r="N23" s="118" t="s">
        <v>424</v>
      </c>
      <c r="O23" s="630">
        <v>24</v>
      </c>
      <c r="P23" s="631"/>
      <c r="Q23" s="105"/>
      <c r="R23" s="97"/>
      <c r="S23" s="97"/>
      <c r="T23" s="97"/>
      <c r="U23" s="97"/>
      <c r="V23" s="97"/>
      <c r="W23" s="97"/>
      <c r="X23" s="97"/>
      <c r="Y23" s="97"/>
      <c r="Z23" s="97"/>
    </row>
    <row r="24" spans="2:26" ht="13.5">
      <c r="B24" s="604"/>
      <c r="C24" s="104"/>
      <c r="D24" s="629"/>
      <c r="E24" s="643"/>
      <c r="F24" s="643"/>
      <c r="G24" s="119" t="s">
        <v>425</v>
      </c>
      <c r="H24" s="119" t="s">
        <v>426</v>
      </c>
      <c r="I24" s="625"/>
      <c r="J24" s="115"/>
      <c r="K24" s="116"/>
      <c r="L24" s="629"/>
      <c r="M24" s="120" t="s">
        <v>425</v>
      </c>
      <c r="N24" s="120" t="s">
        <v>427</v>
      </c>
      <c r="O24" s="625"/>
      <c r="P24" s="602"/>
      <c r="Q24" s="105"/>
      <c r="R24" s="97"/>
      <c r="S24" s="97"/>
      <c r="T24" s="97"/>
      <c r="U24" s="97"/>
      <c r="V24" s="97"/>
      <c r="W24" s="97"/>
      <c r="X24" s="97"/>
      <c r="Y24" s="97"/>
      <c r="Z24" s="97"/>
    </row>
    <row r="25" spans="2:26" ht="13.5">
      <c r="B25" s="604"/>
      <c r="C25" s="104"/>
      <c r="D25" s="629"/>
      <c r="E25" s="643"/>
      <c r="F25" s="643"/>
      <c r="G25" s="119" t="s">
        <v>428</v>
      </c>
      <c r="H25" s="119" t="s">
        <v>429</v>
      </c>
      <c r="I25" s="644"/>
      <c r="J25" s="115"/>
      <c r="K25" s="116"/>
      <c r="L25" s="629"/>
      <c r="M25" s="120" t="s">
        <v>428</v>
      </c>
      <c r="N25" s="120" t="s">
        <v>430</v>
      </c>
      <c r="O25" s="626"/>
      <c r="P25" s="632"/>
      <c r="Q25" s="105"/>
      <c r="R25" s="97"/>
      <c r="S25" s="97"/>
      <c r="T25" s="97"/>
      <c r="U25" s="97"/>
      <c r="V25" s="97"/>
      <c r="W25" s="97"/>
      <c r="X25" s="97"/>
      <c r="Y25" s="97"/>
      <c r="Z25" s="97"/>
    </row>
    <row r="26" spans="2:26" ht="13.5">
      <c r="B26" s="604"/>
      <c r="C26" s="104"/>
      <c r="D26" s="629"/>
      <c r="E26" s="643"/>
      <c r="F26" s="600"/>
      <c r="G26" s="121" t="s">
        <v>431</v>
      </c>
      <c r="H26" s="121" t="s">
        <v>432</v>
      </c>
      <c r="I26" s="122">
        <v>6</v>
      </c>
      <c r="J26" s="115"/>
      <c r="K26" s="116"/>
      <c r="L26" s="629"/>
      <c r="M26" s="633" t="s">
        <v>433</v>
      </c>
      <c r="N26" s="123" t="s">
        <v>434</v>
      </c>
      <c r="O26" s="634">
        <v>6</v>
      </c>
      <c r="P26" s="635"/>
      <c r="Q26" s="105"/>
      <c r="R26" s="97"/>
      <c r="S26" s="97"/>
      <c r="T26" s="97"/>
      <c r="U26" s="97"/>
      <c r="V26" s="97"/>
      <c r="W26" s="97"/>
      <c r="X26" s="97"/>
      <c r="Y26" s="97"/>
      <c r="Z26" s="97"/>
    </row>
    <row r="27" spans="2:26" ht="40.5">
      <c r="B27" s="604"/>
      <c r="C27" s="104"/>
      <c r="D27" s="629"/>
      <c r="E27" s="643"/>
      <c r="F27" s="633" t="s">
        <v>435</v>
      </c>
      <c r="G27" s="123" t="s">
        <v>433</v>
      </c>
      <c r="H27" s="123" t="s">
        <v>436</v>
      </c>
      <c r="I27" s="636">
        <v>12</v>
      </c>
      <c r="J27" s="115"/>
      <c r="K27" s="116"/>
      <c r="L27" s="629"/>
      <c r="M27" s="600"/>
      <c r="N27" s="121" t="s">
        <v>437</v>
      </c>
      <c r="O27" s="637">
        <v>12</v>
      </c>
      <c r="P27" s="638"/>
      <c r="Q27" s="105"/>
      <c r="R27" s="97"/>
      <c r="S27" s="97"/>
      <c r="T27" s="97"/>
      <c r="U27" s="97"/>
      <c r="V27" s="97"/>
      <c r="W27" s="97"/>
      <c r="X27" s="97"/>
      <c r="Y27" s="97"/>
      <c r="Z27" s="97"/>
    </row>
    <row r="28" spans="2:26" ht="13.5">
      <c r="B28" s="604"/>
      <c r="C28" s="104"/>
      <c r="D28" s="629"/>
      <c r="E28" s="643"/>
      <c r="F28" s="600"/>
      <c r="G28" s="121" t="s">
        <v>438</v>
      </c>
      <c r="H28" s="121" t="s">
        <v>439</v>
      </c>
      <c r="I28" s="626"/>
      <c r="J28" s="115"/>
      <c r="K28" s="116"/>
      <c r="L28" s="629"/>
      <c r="M28" s="120" t="s">
        <v>438</v>
      </c>
      <c r="N28" s="120" t="s">
        <v>440</v>
      </c>
      <c r="O28" s="626"/>
      <c r="P28" s="632"/>
      <c r="Q28" s="105"/>
      <c r="R28" s="97"/>
      <c r="S28" s="97"/>
      <c r="T28" s="97"/>
      <c r="U28" s="97"/>
      <c r="V28" s="97"/>
      <c r="W28" s="97"/>
      <c r="X28" s="97"/>
      <c r="Y28" s="97"/>
      <c r="Z28" s="97"/>
    </row>
    <row r="29" spans="2:26" ht="13.5">
      <c r="B29" s="604"/>
      <c r="C29" s="104"/>
      <c r="D29" s="629"/>
      <c r="E29" s="643"/>
      <c r="F29" s="633" t="s">
        <v>441</v>
      </c>
      <c r="G29" s="123" t="s">
        <v>442</v>
      </c>
      <c r="H29" s="124"/>
      <c r="I29" s="125">
        <v>8</v>
      </c>
      <c r="J29" s="115"/>
      <c r="K29" s="116"/>
      <c r="L29" s="629"/>
      <c r="M29" s="120" t="s">
        <v>442</v>
      </c>
      <c r="N29" s="126"/>
      <c r="O29" s="639">
        <v>8</v>
      </c>
      <c r="P29" s="612"/>
      <c r="Q29" s="105"/>
      <c r="R29" s="97"/>
      <c r="S29" s="97"/>
      <c r="T29" s="97"/>
      <c r="U29" s="97"/>
      <c r="V29" s="97"/>
      <c r="W29" s="97"/>
      <c r="X29" s="97"/>
      <c r="Y29" s="97"/>
      <c r="Z29" s="97"/>
    </row>
    <row r="30" spans="2:26" ht="13.5">
      <c r="B30" s="604"/>
      <c r="C30" s="104"/>
      <c r="D30" s="629"/>
      <c r="E30" s="643"/>
      <c r="F30" s="600"/>
      <c r="G30" s="121" t="s">
        <v>443</v>
      </c>
      <c r="H30" s="127"/>
      <c r="I30" s="122">
        <v>6</v>
      </c>
      <c r="J30" s="115"/>
      <c r="K30" s="116"/>
      <c r="L30" s="629"/>
      <c r="M30" s="120" t="s">
        <v>443</v>
      </c>
      <c r="N30" s="126"/>
      <c r="O30" s="639">
        <v>6</v>
      </c>
      <c r="P30" s="612"/>
      <c r="Q30" s="105"/>
      <c r="R30" s="97"/>
      <c r="S30" s="97"/>
      <c r="T30" s="97"/>
      <c r="U30" s="97"/>
      <c r="V30" s="97"/>
      <c r="W30" s="97"/>
      <c r="X30" s="97"/>
      <c r="Y30" s="97"/>
      <c r="Z30" s="97"/>
    </row>
    <row r="31" spans="2:26" ht="54">
      <c r="B31" s="604"/>
      <c r="C31" s="104"/>
      <c r="D31" s="629"/>
      <c r="E31" s="643"/>
      <c r="F31" s="120" t="s">
        <v>444</v>
      </c>
      <c r="G31" s="120" t="s">
        <v>445</v>
      </c>
      <c r="H31" s="126"/>
      <c r="I31" s="128">
        <v>10</v>
      </c>
      <c r="J31" s="115"/>
      <c r="K31" s="116"/>
      <c r="L31" s="629"/>
      <c r="M31" s="120" t="s">
        <v>446</v>
      </c>
      <c r="N31" s="126"/>
      <c r="O31" s="639">
        <v>8</v>
      </c>
      <c r="P31" s="612"/>
      <c r="Q31" s="105"/>
      <c r="R31" s="97"/>
      <c r="S31" s="97"/>
      <c r="T31" s="97"/>
      <c r="U31" s="97"/>
      <c r="V31" s="97"/>
      <c r="W31" s="97"/>
      <c r="X31" s="97"/>
      <c r="Y31" s="97"/>
      <c r="Z31" s="97"/>
    </row>
    <row r="32" spans="2:26" ht="18.75" customHeight="1">
      <c r="B32" s="604"/>
      <c r="C32" s="104"/>
      <c r="D32" s="629"/>
      <c r="E32" s="600"/>
      <c r="F32" s="647" t="s">
        <v>411</v>
      </c>
      <c r="G32" s="612"/>
      <c r="H32" s="611"/>
      <c r="I32" s="129">
        <v>66</v>
      </c>
      <c r="J32" s="115"/>
      <c r="K32" s="116"/>
      <c r="L32" s="609"/>
      <c r="M32" s="647" t="s">
        <v>411</v>
      </c>
      <c r="N32" s="611"/>
      <c r="O32" s="620">
        <v>64</v>
      </c>
      <c r="P32" s="612"/>
      <c r="Q32" s="105"/>
      <c r="R32" s="97"/>
      <c r="S32" s="97"/>
      <c r="T32" s="97"/>
      <c r="U32" s="97"/>
      <c r="V32" s="97"/>
      <c r="W32" s="97"/>
      <c r="X32" s="97"/>
      <c r="Y32" s="97"/>
      <c r="Z32" s="97"/>
    </row>
    <row r="33" spans="2:26" ht="35.25" customHeight="1">
      <c r="B33" s="604"/>
      <c r="C33" s="104"/>
      <c r="D33" s="609"/>
      <c r="E33" s="130" t="s">
        <v>447</v>
      </c>
      <c r="F33" s="647" t="s">
        <v>448</v>
      </c>
      <c r="G33" s="612"/>
      <c r="H33" s="611"/>
      <c r="I33" s="129">
        <v>86</v>
      </c>
      <c r="J33" s="115"/>
      <c r="K33" s="116"/>
      <c r="L33" s="131" t="s">
        <v>449</v>
      </c>
      <c r="M33" s="647" t="s">
        <v>450</v>
      </c>
      <c r="N33" s="611"/>
      <c r="O33" s="620">
        <v>80</v>
      </c>
      <c r="P33" s="612"/>
      <c r="Q33" s="105"/>
      <c r="R33" s="97"/>
      <c r="S33" s="97"/>
      <c r="T33" s="97"/>
      <c r="U33" s="97"/>
      <c r="V33" s="97"/>
      <c r="W33" s="97"/>
      <c r="X33" s="97"/>
      <c r="Y33" s="97"/>
      <c r="Z33" s="97"/>
    </row>
    <row r="34" spans="2:26" ht="21.75" customHeight="1">
      <c r="B34" s="604"/>
      <c r="C34" s="104"/>
      <c r="D34" s="645" t="s">
        <v>389</v>
      </c>
      <c r="E34" s="612"/>
      <c r="F34" s="612"/>
      <c r="G34" s="612"/>
      <c r="H34" s="611"/>
      <c r="I34" s="132">
        <v>22</v>
      </c>
      <c r="J34" s="115"/>
      <c r="K34" s="116"/>
      <c r="L34" s="645" t="s">
        <v>389</v>
      </c>
      <c r="M34" s="612"/>
      <c r="N34" s="611"/>
      <c r="O34" s="646">
        <v>30</v>
      </c>
      <c r="P34" s="612"/>
      <c r="Q34" s="105"/>
      <c r="R34" s="97"/>
      <c r="S34" s="97"/>
      <c r="T34" s="97"/>
      <c r="U34" s="97"/>
      <c r="V34" s="97"/>
      <c r="W34" s="97"/>
      <c r="X34" s="97"/>
      <c r="Y34" s="97"/>
      <c r="Z34" s="97"/>
    </row>
    <row r="35" spans="2:26" ht="24" customHeight="1">
      <c r="B35" s="604"/>
      <c r="C35" s="104"/>
      <c r="D35" s="645" t="s">
        <v>392</v>
      </c>
      <c r="E35" s="612"/>
      <c r="F35" s="612"/>
      <c r="G35" s="612"/>
      <c r="H35" s="611"/>
      <c r="I35" s="132">
        <v>18</v>
      </c>
      <c r="J35" s="115"/>
      <c r="K35" s="116"/>
      <c r="L35" s="645" t="s">
        <v>392</v>
      </c>
      <c r="M35" s="612"/>
      <c r="N35" s="611"/>
      <c r="O35" s="646">
        <v>18</v>
      </c>
      <c r="P35" s="612"/>
      <c r="Q35" s="105"/>
      <c r="R35" s="97"/>
      <c r="S35" s="97"/>
      <c r="T35" s="97"/>
      <c r="U35" s="97"/>
      <c r="V35" s="97"/>
      <c r="W35" s="97"/>
      <c r="X35" s="97"/>
      <c r="Y35" s="97"/>
      <c r="Z35" s="97"/>
    </row>
    <row r="36" spans="2:26" ht="13.5">
      <c r="B36" s="604"/>
      <c r="C36" s="104"/>
      <c r="D36" s="619" t="s">
        <v>451</v>
      </c>
      <c r="E36" s="612"/>
      <c r="F36" s="612"/>
      <c r="G36" s="612"/>
      <c r="H36" s="611"/>
      <c r="I36" s="129">
        <v>192</v>
      </c>
      <c r="J36" s="115"/>
      <c r="K36" s="116"/>
      <c r="L36" s="619" t="s">
        <v>451</v>
      </c>
      <c r="M36" s="612"/>
      <c r="N36" s="611"/>
      <c r="O36" s="620">
        <v>192</v>
      </c>
      <c r="P36" s="612"/>
      <c r="Q36" s="105"/>
      <c r="R36" s="97"/>
      <c r="S36" s="97"/>
      <c r="T36" s="97"/>
      <c r="U36" s="97"/>
      <c r="V36" s="97"/>
      <c r="W36" s="97"/>
      <c r="X36" s="97"/>
      <c r="Y36" s="97"/>
      <c r="Z36" s="97"/>
    </row>
    <row r="37" spans="2:26" ht="5.25" customHeight="1" thickBot="1">
      <c r="B37" s="605"/>
      <c r="C37" s="107"/>
      <c r="D37" s="108"/>
      <c r="E37" s="108"/>
      <c r="F37" s="108"/>
      <c r="G37" s="108"/>
      <c r="H37" s="108"/>
      <c r="I37" s="108"/>
      <c r="J37" s="109"/>
      <c r="K37" s="110"/>
      <c r="L37" s="108"/>
      <c r="M37" s="108"/>
      <c r="N37" s="108"/>
      <c r="O37" s="108"/>
      <c r="P37" s="108"/>
      <c r="Q37" s="109"/>
      <c r="R37" s="97"/>
      <c r="S37" s="97"/>
      <c r="T37" s="97"/>
      <c r="U37" s="97"/>
      <c r="V37" s="97"/>
      <c r="W37" s="97"/>
      <c r="X37" s="97"/>
      <c r="Y37" s="97"/>
      <c r="Z37" s="97"/>
    </row>
    <row r="38" spans="2:26" ht="5.25" customHeight="1">
      <c r="B38" s="617" t="s">
        <v>452</v>
      </c>
      <c r="C38" s="100"/>
      <c r="D38" s="101"/>
      <c r="E38" s="101"/>
      <c r="F38" s="101"/>
      <c r="G38" s="101"/>
      <c r="H38" s="101"/>
      <c r="I38" s="101"/>
      <c r="J38" s="102"/>
      <c r="K38" s="103"/>
      <c r="L38" s="101"/>
      <c r="M38" s="101"/>
      <c r="N38" s="101"/>
      <c r="O38" s="101"/>
      <c r="P38" s="101"/>
      <c r="Q38" s="102"/>
      <c r="R38" s="97"/>
      <c r="S38" s="97"/>
      <c r="T38" s="97"/>
      <c r="U38" s="97"/>
      <c r="V38" s="97"/>
      <c r="W38" s="97"/>
      <c r="X38" s="97"/>
      <c r="Y38" s="97"/>
      <c r="Z38" s="97"/>
    </row>
    <row r="39" spans="2:26" ht="13.5">
      <c r="B39" s="604"/>
      <c r="C39" s="104" t="s">
        <v>453</v>
      </c>
      <c r="D39" s="133"/>
      <c r="E39" s="133"/>
      <c r="F39" s="133"/>
      <c r="G39" s="133"/>
      <c r="H39" s="133"/>
      <c r="I39" s="133"/>
      <c r="J39" s="105"/>
      <c r="K39" s="106"/>
      <c r="L39" s="133" t="s">
        <v>454</v>
      </c>
      <c r="M39" s="133"/>
      <c r="N39" s="133"/>
      <c r="O39" s="133"/>
      <c r="P39" s="133"/>
      <c r="Q39" s="105"/>
      <c r="R39" s="97"/>
      <c r="S39" s="97"/>
      <c r="T39" s="97"/>
      <c r="U39" s="97"/>
      <c r="V39" s="97"/>
      <c r="W39" s="97"/>
      <c r="X39" s="97"/>
      <c r="Y39" s="97"/>
      <c r="Z39" s="97"/>
    </row>
    <row r="40" spans="2:26" ht="13.5">
      <c r="B40" s="604"/>
      <c r="C40" s="104" t="s">
        <v>455</v>
      </c>
      <c r="D40" s="133"/>
      <c r="E40" s="133"/>
      <c r="F40" s="133"/>
      <c r="G40" s="133"/>
      <c r="H40" s="133"/>
      <c r="I40" s="133"/>
      <c r="J40" s="105"/>
      <c r="K40" s="106"/>
      <c r="L40" s="133" t="s">
        <v>456</v>
      </c>
      <c r="M40" s="133"/>
      <c r="N40" s="133"/>
      <c r="O40" s="133"/>
      <c r="P40" s="133"/>
      <c r="Q40" s="105"/>
      <c r="R40" s="97"/>
      <c r="S40" s="97"/>
      <c r="T40" s="97"/>
      <c r="U40" s="97"/>
      <c r="V40" s="97"/>
      <c r="W40" s="97"/>
      <c r="X40" s="97"/>
      <c r="Y40" s="97"/>
      <c r="Z40" s="97"/>
    </row>
    <row r="41" spans="2:26" ht="5.25" customHeight="1" thickBot="1">
      <c r="B41" s="605"/>
      <c r="C41" s="107"/>
      <c r="D41" s="108"/>
      <c r="E41" s="108"/>
      <c r="F41" s="108"/>
      <c r="G41" s="108"/>
      <c r="H41" s="108"/>
      <c r="I41" s="108"/>
      <c r="J41" s="109"/>
      <c r="K41" s="110"/>
      <c r="L41" s="108"/>
      <c r="M41" s="108"/>
      <c r="N41" s="108"/>
      <c r="O41" s="108"/>
      <c r="P41" s="108"/>
      <c r="Q41" s="109"/>
      <c r="R41" s="97"/>
      <c r="S41" s="97"/>
      <c r="T41" s="97"/>
      <c r="U41" s="97"/>
      <c r="V41" s="97"/>
      <c r="W41" s="97"/>
      <c r="X41" s="97"/>
      <c r="Y41" s="97"/>
      <c r="Z41" s="97"/>
    </row>
    <row r="42" spans="2:26" ht="5.25" customHeight="1">
      <c r="B42" s="617" t="s">
        <v>457</v>
      </c>
      <c r="C42" s="100"/>
      <c r="D42" s="101"/>
      <c r="E42" s="101"/>
      <c r="F42" s="101"/>
      <c r="G42" s="101"/>
      <c r="H42" s="101"/>
      <c r="I42" s="101"/>
      <c r="J42" s="102"/>
      <c r="K42" s="103"/>
      <c r="L42" s="101"/>
      <c r="M42" s="101"/>
      <c r="N42" s="101"/>
      <c r="O42" s="101"/>
      <c r="P42" s="101"/>
      <c r="Q42" s="102"/>
      <c r="R42" s="97"/>
      <c r="S42" s="97"/>
      <c r="T42" s="97"/>
      <c r="U42" s="97"/>
      <c r="V42" s="97"/>
      <c r="W42" s="97"/>
      <c r="X42" s="97"/>
      <c r="Y42" s="97"/>
      <c r="Z42" s="97"/>
    </row>
    <row r="43" spans="2:26" ht="13.5">
      <c r="B43" s="604"/>
      <c r="C43" s="104"/>
      <c r="D43" s="133" t="s">
        <v>458</v>
      </c>
      <c r="E43" s="133"/>
      <c r="F43" s="133"/>
      <c r="G43" s="133"/>
      <c r="H43" s="133"/>
      <c r="I43" s="133"/>
      <c r="J43" s="105"/>
      <c r="K43" s="106"/>
      <c r="L43" s="133" t="s">
        <v>459</v>
      </c>
      <c r="M43" s="133"/>
      <c r="N43" s="133"/>
      <c r="O43" s="133"/>
      <c r="P43" s="133"/>
      <c r="Q43" s="105"/>
      <c r="R43" s="97"/>
      <c r="S43" s="97"/>
      <c r="T43" s="97"/>
      <c r="U43" s="97"/>
      <c r="V43" s="97"/>
      <c r="W43" s="97"/>
      <c r="X43" s="97"/>
      <c r="Y43" s="97"/>
      <c r="Z43" s="97"/>
    </row>
    <row r="44" spans="2:26" ht="13.5">
      <c r="B44" s="604"/>
      <c r="C44" s="104"/>
      <c r="D44" s="133" t="s">
        <v>460</v>
      </c>
      <c r="E44" s="134"/>
      <c r="F44" s="134"/>
      <c r="G44" s="134"/>
      <c r="H44" s="134"/>
      <c r="I44" s="134"/>
      <c r="J44" s="105"/>
      <c r="K44" s="106"/>
      <c r="L44" s="133"/>
      <c r="M44" s="133"/>
      <c r="N44" s="133"/>
      <c r="O44" s="133"/>
      <c r="P44" s="133"/>
      <c r="Q44" s="105"/>
      <c r="R44" s="97"/>
      <c r="S44" s="97"/>
      <c r="T44" s="97"/>
      <c r="U44" s="97"/>
      <c r="V44" s="97"/>
      <c r="W44" s="97"/>
      <c r="X44" s="97"/>
      <c r="Y44" s="97"/>
      <c r="Z44" s="97"/>
    </row>
    <row r="45" spans="2:26" ht="13.5">
      <c r="B45" s="604"/>
      <c r="C45" s="104"/>
      <c r="D45" s="621" t="s">
        <v>378</v>
      </c>
      <c r="E45" s="612"/>
      <c r="F45" s="611"/>
      <c r="G45" s="622" t="s">
        <v>461</v>
      </c>
      <c r="H45" s="611"/>
      <c r="I45" s="135" t="s">
        <v>462</v>
      </c>
      <c r="J45" s="105"/>
      <c r="K45" s="106"/>
      <c r="L45" s="621" t="s">
        <v>378</v>
      </c>
      <c r="M45" s="611"/>
      <c r="N45" s="622" t="s">
        <v>461</v>
      </c>
      <c r="O45" s="611"/>
      <c r="P45" s="135" t="s">
        <v>463</v>
      </c>
      <c r="Q45" s="105"/>
      <c r="R45" s="97"/>
      <c r="S45" s="97"/>
      <c r="T45" s="97"/>
      <c r="U45" s="97"/>
      <c r="V45" s="97"/>
      <c r="W45" s="97"/>
      <c r="X45" s="97"/>
      <c r="Y45" s="97"/>
      <c r="Z45" s="97"/>
    </row>
    <row r="46" spans="2:26" ht="38.25" customHeight="1">
      <c r="B46" s="604"/>
      <c r="C46" s="104"/>
      <c r="D46" s="623" t="s">
        <v>464</v>
      </c>
      <c r="E46" s="611"/>
      <c r="F46" s="136">
        <v>1</v>
      </c>
      <c r="G46" s="616" t="s">
        <v>465</v>
      </c>
      <c r="H46" s="611"/>
      <c r="I46" s="624">
        <v>86</v>
      </c>
      <c r="J46" s="105"/>
      <c r="K46" s="106"/>
      <c r="L46" s="137" t="s">
        <v>464</v>
      </c>
      <c r="M46" s="136">
        <v>3</v>
      </c>
      <c r="N46" s="616" t="s">
        <v>466</v>
      </c>
      <c r="O46" s="611"/>
      <c r="P46" s="624">
        <v>80</v>
      </c>
      <c r="Q46" s="105"/>
      <c r="R46" s="97"/>
      <c r="S46" s="97"/>
      <c r="T46" s="97"/>
      <c r="U46" s="97"/>
      <c r="V46" s="97"/>
      <c r="W46" s="97"/>
      <c r="X46" s="97"/>
      <c r="Y46" s="97"/>
      <c r="Z46" s="97"/>
    </row>
    <row r="47" spans="2:26" ht="16.5" customHeight="1">
      <c r="B47" s="604"/>
      <c r="C47" s="104"/>
      <c r="D47" s="623" t="s">
        <v>467</v>
      </c>
      <c r="E47" s="611"/>
      <c r="F47" s="136">
        <v>179</v>
      </c>
      <c r="G47" s="627" t="s">
        <v>450</v>
      </c>
      <c r="H47" s="611"/>
      <c r="I47" s="625"/>
      <c r="J47" s="105"/>
      <c r="K47" s="106"/>
      <c r="L47" s="137" t="s">
        <v>468</v>
      </c>
      <c r="M47" s="136">
        <v>216</v>
      </c>
      <c r="N47" s="627" t="s">
        <v>450</v>
      </c>
      <c r="O47" s="611"/>
      <c r="P47" s="625"/>
      <c r="Q47" s="105"/>
      <c r="R47" s="97"/>
      <c r="S47" s="97"/>
      <c r="T47" s="97"/>
      <c r="U47" s="97"/>
      <c r="V47" s="97"/>
      <c r="W47" s="97"/>
      <c r="X47" s="97"/>
      <c r="Y47" s="97"/>
      <c r="Z47" s="97"/>
    </row>
    <row r="48" spans="2:26" ht="16.5" customHeight="1">
      <c r="B48" s="604"/>
      <c r="C48" s="104"/>
      <c r="D48" s="623" t="s">
        <v>469</v>
      </c>
      <c r="E48" s="611"/>
      <c r="F48" s="136">
        <v>368</v>
      </c>
      <c r="G48" s="627" t="s">
        <v>450</v>
      </c>
      <c r="H48" s="611"/>
      <c r="I48" s="626"/>
      <c r="J48" s="105"/>
      <c r="K48" s="106"/>
      <c r="L48" s="137" t="s">
        <v>470</v>
      </c>
      <c r="M48" s="136">
        <v>309</v>
      </c>
      <c r="N48" s="627" t="s">
        <v>450</v>
      </c>
      <c r="O48" s="611"/>
      <c r="P48" s="626"/>
      <c r="Q48" s="105"/>
      <c r="R48" s="97"/>
      <c r="S48" s="97"/>
      <c r="T48" s="97"/>
      <c r="U48" s="97"/>
      <c r="V48" s="97"/>
      <c r="W48" s="97"/>
      <c r="X48" s="97"/>
      <c r="Y48" s="97"/>
      <c r="Z48" s="97"/>
    </row>
    <row r="49" spans="2:26" ht="5.25" customHeight="1" thickBot="1">
      <c r="B49" s="605"/>
      <c r="C49" s="107"/>
      <c r="D49" s="108"/>
      <c r="E49" s="108"/>
      <c r="F49" s="108"/>
      <c r="G49" s="108"/>
      <c r="H49" s="108"/>
      <c r="I49" s="108"/>
      <c r="J49" s="109"/>
      <c r="K49" s="110"/>
      <c r="L49" s="108"/>
      <c r="M49" s="108"/>
      <c r="N49" s="108"/>
      <c r="O49" s="108"/>
      <c r="P49" s="108"/>
      <c r="Q49" s="109"/>
      <c r="R49" s="97"/>
      <c r="S49" s="97"/>
      <c r="T49" s="97"/>
      <c r="U49" s="97"/>
      <c r="V49" s="97"/>
      <c r="W49" s="97"/>
      <c r="X49" s="97"/>
      <c r="Y49" s="97"/>
      <c r="Z49" s="97"/>
    </row>
    <row r="50" spans="2:26" ht="5.25" customHeight="1">
      <c r="B50" s="617" t="s">
        <v>471</v>
      </c>
      <c r="C50" s="100"/>
      <c r="D50" s="101"/>
      <c r="E50" s="101"/>
      <c r="F50" s="101"/>
      <c r="G50" s="101"/>
      <c r="H50" s="101"/>
      <c r="I50" s="101"/>
      <c r="J50" s="102"/>
      <c r="K50" s="103"/>
      <c r="L50" s="101"/>
      <c r="M50" s="101"/>
      <c r="N50" s="101"/>
      <c r="O50" s="101"/>
      <c r="P50" s="101"/>
      <c r="Q50" s="102"/>
      <c r="R50" s="97"/>
      <c r="S50" s="97"/>
      <c r="T50" s="97"/>
      <c r="U50" s="97"/>
      <c r="V50" s="97"/>
      <c r="W50" s="97"/>
      <c r="X50" s="97"/>
      <c r="Y50" s="97"/>
      <c r="Z50" s="97"/>
    </row>
    <row r="51" spans="2:26" ht="24">
      <c r="B51" s="604"/>
      <c r="C51" s="104"/>
      <c r="D51" s="618" t="s">
        <v>378</v>
      </c>
      <c r="E51" s="612"/>
      <c r="F51" s="611"/>
      <c r="G51" s="138" t="s">
        <v>472</v>
      </c>
      <c r="H51" s="138" t="s">
        <v>473</v>
      </c>
      <c r="I51" s="139" t="s">
        <v>474</v>
      </c>
      <c r="J51" s="115"/>
      <c r="K51" s="116"/>
      <c r="L51" s="618" t="s">
        <v>378</v>
      </c>
      <c r="M51" s="611"/>
      <c r="N51" s="138" t="s">
        <v>472</v>
      </c>
      <c r="O51" s="138" t="s">
        <v>473</v>
      </c>
      <c r="P51" s="139" t="s">
        <v>475</v>
      </c>
      <c r="Q51" s="105"/>
      <c r="R51" s="97"/>
      <c r="S51" s="97"/>
      <c r="T51" s="97"/>
      <c r="U51" s="97"/>
      <c r="V51" s="97"/>
      <c r="W51" s="97"/>
      <c r="X51" s="97"/>
      <c r="Y51" s="97"/>
      <c r="Z51" s="97"/>
    </row>
    <row r="52" spans="2:26" ht="13.5">
      <c r="B52" s="604"/>
      <c r="C52" s="104"/>
      <c r="D52" s="615" t="s">
        <v>476</v>
      </c>
      <c r="E52" s="612"/>
      <c r="F52" s="611"/>
      <c r="G52" s="140">
        <v>8</v>
      </c>
      <c r="H52" s="140">
        <v>-2</v>
      </c>
      <c r="I52" s="141" t="s">
        <v>477</v>
      </c>
      <c r="J52" s="115"/>
      <c r="K52" s="116"/>
      <c r="L52" s="615" t="s">
        <v>476</v>
      </c>
      <c r="M52" s="611"/>
      <c r="N52" s="140">
        <v>4</v>
      </c>
      <c r="O52" s="140">
        <v>-1</v>
      </c>
      <c r="P52" s="141" t="s">
        <v>373</v>
      </c>
      <c r="Q52" s="105"/>
      <c r="R52" s="97"/>
      <c r="S52" s="97"/>
      <c r="T52" s="97"/>
      <c r="U52" s="97"/>
      <c r="V52" s="97"/>
      <c r="W52" s="97"/>
      <c r="X52" s="97"/>
      <c r="Y52" s="97"/>
      <c r="Z52" s="97"/>
    </row>
    <row r="53" spans="2:26" ht="27.75" customHeight="1">
      <c r="B53" s="604"/>
      <c r="C53" s="104"/>
      <c r="D53" s="615" t="s">
        <v>478</v>
      </c>
      <c r="E53" s="612"/>
      <c r="F53" s="611"/>
      <c r="G53" s="140">
        <v>6</v>
      </c>
      <c r="H53" s="142"/>
      <c r="I53" s="141" t="s">
        <v>479</v>
      </c>
      <c r="J53" s="115"/>
      <c r="K53" s="116"/>
      <c r="L53" s="615" t="s">
        <v>480</v>
      </c>
      <c r="M53" s="611"/>
      <c r="N53" s="140">
        <v>3</v>
      </c>
      <c r="O53" s="142"/>
      <c r="P53" s="141">
        <v>3</v>
      </c>
      <c r="Q53" s="105"/>
      <c r="R53" s="97"/>
      <c r="S53" s="97"/>
      <c r="T53" s="97"/>
      <c r="U53" s="97"/>
      <c r="V53" s="97"/>
      <c r="W53" s="97"/>
      <c r="X53" s="97"/>
      <c r="Y53" s="97"/>
      <c r="Z53" s="97"/>
    </row>
    <row r="54" spans="2:26" ht="13.5">
      <c r="B54" s="604"/>
      <c r="C54" s="104"/>
      <c r="D54" s="615" t="s">
        <v>481</v>
      </c>
      <c r="E54" s="612"/>
      <c r="F54" s="611"/>
      <c r="G54" s="140">
        <v>5</v>
      </c>
      <c r="H54" s="140" t="s">
        <v>482</v>
      </c>
      <c r="I54" s="141" t="s">
        <v>483</v>
      </c>
      <c r="J54" s="115"/>
      <c r="K54" s="116"/>
      <c r="L54" s="615" t="s">
        <v>484</v>
      </c>
      <c r="M54" s="611"/>
      <c r="N54" s="140">
        <v>4</v>
      </c>
      <c r="O54" s="140" t="s">
        <v>485</v>
      </c>
      <c r="P54" s="141" t="s">
        <v>375</v>
      </c>
      <c r="Q54" s="105"/>
      <c r="R54" s="97"/>
      <c r="S54" s="97"/>
      <c r="T54" s="97"/>
      <c r="U54" s="97"/>
      <c r="V54" s="97"/>
      <c r="W54" s="97"/>
      <c r="X54" s="97"/>
      <c r="Y54" s="97"/>
      <c r="Z54" s="97"/>
    </row>
    <row r="55" spans="2:26" ht="13.5">
      <c r="B55" s="604"/>
      <c r="C55" s="104"/>
      <c r="D55" s="615" t="s">
        <v>486</v>
      </c>
      <c r="E55" s="612"/>
      <c r="F55" s="611"/>
      <c r="G55" s="140">
        <v>5</v>
      </c>
      <c r="H55" s="140" t="s">
        <v>487</v>
      </c>
      <c r="I55" s="141" t="s">
        <v>488</v>
      </c>
      <c r="J55" s="115"/>
      <c r="K55" s="116"/>
      <c r="L55" s="615" t="s">
        <v>489</v>
      </c>
      <c r="M55" s="611"/>
      <c r="N55" s="140">
        <v>3</v>
      </c>
      <c r="O55" s="140" t="s">
        <v>485</v>
      </c>
      <c r="P55" s="141" t="s">
        <v>376</v>
      </c>
      <c r="Q55" s="105"/>
      <c r="R55" s="97"/>
      <c r="S55" s="97"/>
      <c r="T55" s="97"/>
      <c r="U55" s="97"/>
      <c r="V55" s="97"/>
      <c r="W55" s="97"/>
      <c r="X55" s="97"/>
      <c r="Y55" s="97"/>
      <c r="Z55" s="97"/>
    </row>
    <row r="56" spans="2:26" ht="13.5">
      <c r="B56" s="604"/>
      <c r="C56" s="104"/>
      <c r="D56" s="615" t="s">
        <v>490</v>
      </c>
      <c r="E56" s="612"/>
      <c r="F56" s="611"/>
      <c r="G56" s="140">
        <v>5</v>
      </c>
      <c r="H56" s="140" t="s">
        <v>487</v>
      </c>
      <c r="I56" s="141" t="s">
        <v>488</v>
      </c>
      <c r="J56" s="115"/>
      <c r="K56" s="116"/>
      <c r="L56" s="615" t="s">
        <v>401</v>
      </c>
      <c r="M56" s="611"/>
      <c r="N56" s="616" t="s">
        <v>491</v>
      </c>
      <c r="O56" s="612"/>
      <c r="P56" s="612"/>
      <c r="Q56" s="105"/>
      <c r="R56" s="97"/>
      <c r="S56" s="97"/>
      <c r="T56" s="97"/>
      <c r="U56" s="97"/>
      <c r="V56" s="97"/>
      <c r="W56" s="97"/>
      <c r="X56" s="97"/>
      <c r="Y56" s="97"/>
      <c r="Z56" s="97"/>
    </row>
    <row r="57" spans="2:26" ht="13.5">
      <c r="B57" s="604"/>
      <c r="C57" s="104"/>
      <c r="D57" s="615" t="s">
        <v>399</v>
      </c>
      <c r="E57" s="612"/>
      <c r="F57" s="611"/>
      <c r="G57" s="616" t="s">
        <v>491</v>
      </c>
      <c r="H57" s="612"/>
      <c r="I57" s="612"/>
      <c r="J57" s="115"/>
      <c r="K57" s="116"/>
      <c r="L57" s="143"/>
      <c r="M57" s="133"/>
      <c r="N57" s="133"/>
      <c r="O57" s="133"/>
      <c r="P57" s="133"/>
      <c r="Q57" s="105"/>
      <c r="R57" s="97"/>
      <c r="S57" s="97"/>
      <c r="T57" s="97"/>
      <c r="U57" s="97"/>
      <c r="V57" s="97"/>
      <c r="W57" s="97"/>
      <c r="X57" s="97"/>
      <c r="Y57" s="97"/>
      <c r="Z57" s="97"/>
    </row>
    <row r="58" spans="2:26" ht="13.5">
      <c r="B58" s="604"/>
      <c r="C58" s="104"/>
      <c r="D58" s="133"/>
      <c r="E58" s="133"/>
      <c r="F58" s="133"/>
      <c r="G58" s="133"/>
      <c r="H58" s="133"/>
      <c r="I58" s="133"/>
      <c r="J58" s="105"/>
      <c r="K58" s="106"/>
      <c r="L58" s="133"/>
      <c r="M58" s="133"/>
      <c r="N58" s="133"/>
      <c r="O58" s="133"/>
      <c r="P58" s="133"/>
      <c r="Q58" s="105"/>
      <c r="R58" s="97"/>
      <c r="S58" s="97"/>
      <c r="T58" s="97"/>
      <c r="U58" s="97"/>
      <c r="V58" s="97"/>
      <c r="W58" s="97"/>
      <c r="X58" s="97"/>
      <c r="Y58" s="97"/>
      <c r="Z58" s="97"/>
    </row>
    <row r="59" spans="2:26" ht="33.75" customHeight="1">
      <c r="B59" s="604"/>
      <c r="C59" s="104"/>
      <c r="D59" s="601" t="s">
        <v>492</v>
      </c>
      <c r="E59" s="602"/>
      <c r="F59" s="602"/>
      <c r="G59" s="602"/>
      <c r="H59" s="602"/>
      <c r="I59" s="602"/>
      <c r="J59" s="105"/>
      <c r="K59" s="106"/>
      <c r="L59" s="601" t="s">
        <v>493</v>
      </c>
      <c r="M59" s="601"/>
      <c r="N59" s="601"/>
      <c r="O59" s="601"/>
      <c r="P59" s="601"/>
      <c r="Q59" s="105"/>
      <c r="R59" s="97"/>
      <c r="S59" s="97"/>
      <c r="T59" s="97"/>
      <c r="U59" s="97"/>
      <c r="V59" s="97"/>
      <c r="W59" s="97"/>
      <c r="X59" s="97"/>
      <c r="Y59" s="97"/>
      <c r="Z59" s="97"/>
    </row>
    <row r="60" spans="2:26" ht="5.25" customHeight="1" thickBot="1">
      <c r="B60" s="605"/>
      <c r="C60" s="107"/>
      <c r="D60" s="108"/>
      <c r="E60" s="108"/>
      <c r="F60" s="108"/>
      <c r="G60" s="108"/>
      <c r="H60" s="108"/>
      <c r="I60" s="108"/>
      <c r="J60" s="109"/>
      <c r="K60" s="110"/>
      <c r="L60" s="108"/>
      <c r="M60" s="108"/>
      <c r="N60" s="108"/>
      <c r="O60" s="108"/>
      <c r="P60" s="108"/>
      <c r="Q60" s="109"/>
      <c r="R60" s="97"/>
      <c r="S60" s="97"/>
      <c r="T60" s="97"/>
      <c r="U60" s="97"/>
      <c r="V60" s="97"/>
      <c r="W60" s="97"/>
      <c r="X60" s="97"/>
      <c r="Y60" s="97"/>
      <c r="Z60" s="97"/>
    </row>
    <row r="61" spans="2:26" ht="5.25" customHeight="1">
      <c r="B61" s="606" t="s">
        <v>494</v>
      </c>
      <c r="C61" s="104"/>
      <c r="D61" s="133"/>
      <c r="E61" s="133"/>
      <c r="F61" s="133"/>
      <c r="G61" s="133"/>
      <c r="H61" s="133"/>
      <c r="I61" s="133"/>
      <c r="J61" s="133"/>
      <c r="K61" s="103"/>
      <c r="L61" s="101"/>
      <c r="M61" s="101"/>
      <c r="N61" s="101"/>
      <c r="O61" s="101"/>
      <c r="P61" s="101"/>
      <c r="Q61" s="102"/>
      <c r="R61" s="97"/>
      <c r="S61" s="97"/>
      <c r="T61" s="97"/>
      <c r="U61" s="97"/>
      <c r="V61" s="97"/>
      <c r="W61" s="97"/>
      <c r="X61" s="97"/>
      <c r="Y61" s="97"/>
      <c r="Z61" s="97"/>
    </row>
    <row r="62" spans="2:26" ht="13.5">
      <c r="B62" s="607"/>
      <c r="C62" s="104"/>
      <c r="D62" s="133"/>
      <c r="E62" s="133"/>
      <c r="F62" s="133"/>
      <c r="G62" s="133"/>
      <c r="H62" s="133"/>
      <c r="I62" s="133"/>
      <c r="J62" s="133"/>
      <c r="K62" s="106"/>
      <c r="L62" s="133" t="s">
        <v>495</v>
      </c>
      <c r="M62" s="133"/>
      <c r="N62" s="133"/>
      <c r="O62" s="133"/>
      <c r="P62" s="133"/>
      <c r="Q62" s="105"/>
      <c r="R62" s="97"/>
      <c r="S62" s="97"/>
      <c r="T62" s="97"/>
      <c r="U62" s="97"/>
      <c r="V62" s="97"/>
      <c r="W62" s="97"/>
      <c r="X62" s="97"/>
      <c r="Y62" s="97"/>
      <c r="Z62" s="97"/>
    </row>
    <row r="63" spans="2:26" ht="13.5">
      <c r="B63" s="607"/>
      <c r="C63" s="104"/>
      <c r="D63" s="133"/>
      <c r="E63" s="133"/>
      <c r="F63" s="133"/>
      <c r="G63" s="133"/>
      <c r="H63" s="133"/>
      <c r="I63" s="133"/>
      <c r="J63" s="133"/>
      <c r="K63" s="106"/>
      <c r="L63" s="133" t="s">
        <v>496</v>
      </c>
      <c r="M63" s="133"/>
      <c r="N63" s="133"/>
      <c r="O63" s="133"/>
      <c r="P63" s="133"/>
      <c r="Q63" s="105"/>
      <c r="R63" s="97"/>
      <c r="S63" s="97"/>
      <c r="T63" s="97"/>
      <c r="U63" s="97"/>
      <c r="V63" s="97"/>
      <c r="W63" s="97"/>
      <c r="X63" s="97"/>
      <c r="Y63" s="97"/>
      <c r="Z63" s="97"/>
    </row>
    <row r="64" spans="2:26" ht="13.5">
      <c r="B64" s="607"/>
      <c r="C64" s="104"/>
      <c r="D64" s="133"/>
      <c r="E64" s="133"/>
      <c r="F64" s="133"/>
      <c r="G64" s="133"/>
      <c r="H64" s="133"/>
      <c r="I64" s="133"/>
      <c r="J64" s="133"/>
      <c r="K64" s="106"/>
      <c r="L64" s="608" t="s">
        <v>378</v>
      </c>
      <c r="M64" s="610" t="s">
        <v>497</v>
      </c>
      <c r="N64" s="611"/>
      <c r="O64" s="610" t="s">
        <v>498</v>
      </c>
      <c r="P64" s="612"/>
      <c r="Q64" s="105"/>
      <c r="R64" s="97"/>
      <c r="S64" s="97"/>
      <c r="T64" s="97"/>
      <c r="U64" s="97"/>
      <c r="V64" s="97"/>
      <c r="W64" s="97"/>
      <c r="X64" s="97"/>
      <c r="Y64" s="97"/>
      <c r="Z64" s="97"/>
    </row>
    <row r="65" spans="2:26" ht="13.5">
      <c r="B65" s="607"/>
      <c r="C65" s="104"/>
      <c r="D65" s="133"/>
      <c r="E65" s="133"/>
      <c r="F65" s="133"/>
      <c r="G65" s="133"/>
      <c r="H65" s="133"/>
      <c r="I65" s="133"/>
      <c r="J65" s="133"/>
      <c r="K65" s="106"/>
      <c r="L65" s="609"/>
      <c r="M65" s="136" t="s">
        <v>0</v>
      </c>
      <c r="N65" s="136" t="s">
        <v>499</v>
      </c>
      <c r="O65" s="136" t="s">
        <v>0</v>
      </c>
      <c r="P65" s="144" t="s">
        <v>499</v>
      </c>
      <c r="Q65" s="105"/>
      <c r="R65" s="97"/>
      <c r="S65" s="97"/>
      <c r="T65" s="97"/>
      <c r="U65" s="97"/>
      <c r="V65" s="97"/>
      <c r="W65" s="97"/>
      <c r="X65" s="97"/>
      <c r="Y65" s="97"/>
      <c r="Z65" s="97"/>
    </row>
    <row r="66" spans="2:26" ht="13.5">
      <c r="B66" s="607"/>
      <c r="C66" s="104"/>
      <c r="D66" s="133"/>
      <c r="E66" s="133"/>
      <c r="F66" s="133"/>
      <c r="G66" s="133"/>
      <c r="H66" s="133"/>
      <c r="I66" s="133"/>
      <c r="J66" s="133"/>
      <c r="K66" s="106"/>
      <c r="L66" s="145" t="s">
        <v>210</v>
      </c>
      <c r="M66" s="146">
        <v>2</v>
      </c>
      <c r="N66" s="146">
        <v>2</v>
      </c>
      <c r="O66" s="146">
        <v>4</v>
      </c>
      <c r="P66" s="135">
        <v>0</v>
      </c>
      <c r="Q66" s="105"/>
      <c r="R66" s="97"/>
      <c r="S66" s="97"/>
      <c r="T66" s="97"/>
      <c r="U66" s="97"/>
      <c r="V66" s="97"/>
      <c r="W66" s="97"/>
      <c r="X66" s="97"/>
      <c r="Y66" s="97"/>
      <c r="Z66" s="97"/>
    </row>
    <row r="67" spans="2:26" ht="13.5">
      <c r="B67" s="607"/>
      <c r="C67" s="104"/>
      <c r="D67" s="133"/>
      <c r="E67" s="133"/>
      <c r="F67" s="133"/>
      <c r="G67" s="133"/>
      <c r="H67" s="133"/>
      <c r="I67" s="133"/>
      <c r="J67" s="133"/>
      <c r="K67" s="106"/>
      <c r="L67" s="145" t="s">
        <v>224</v>
      </c>
      <c r="M67" s="146">
        <v>2</v>
      </c>
      <c r="N67" s="146">
        <v>2</v>
      </c>
      <c r="O67" s="146">
        <v>0</v>
      </c>
      <c r="P67" s="135">
        <v>4</v>
      </c>
      <c r="Q67" s="105"/>
      <c r="R67" s="97"/>
      <c r="S67" s="97"/>
      <c r="T67" s="97"/>
      <c r="U67" s="97"/>
      <c r="V67" s="97"/>
      <c r="W67" s="97"/>
      <c r="X67" s="97"/>
      <c r="Y67" s="97"/>
      <c r="Z67" s="97"/>
    </row>
    <row r="68" spans="2:26" ht="13.5">
      <c r="B68" s="607"/>
      <c r="C68" s="104"/>
      <c r="D68" s="133"/>
      <c r="E68" s="133"/>
      <c r="F68" s="133"/>
      <c r="G68" s="133"/>
      <c r="H68" s="133"/>
      <c r="I68" s="133"/>
      <c r="J68" s="133"/>
      <c r="K68" s="106"/>
      <c r="L68" s="145" t="s">
        <v>213</v>
      </c>
      <c r="M68" s="146">
        <v>2</v>
      </c>
      <c r="N68" s="146">
        <v>2</v>
      </c>
      <c r="O68" s="146">
        <v>4</v>
      </c>
      <c r="P68" s="135">
        <v>0</v>
      </c>
      <c r="Q68" s="105"/>
      <c r="R68" s="97"/>
      <c r="S68" s="97"/>
      <c r="T68" s="97"/>
      <c r="U68" s="97"/>
      <c r="V68" s="97"/>
      <c r="W68" s="97"/>
      <c r="X68" s="97"/>
      <c r="Y68" s="97"/>
      <c r="Z68" s="97"/>
    </row>
    <row r="69" spans="2:26" ht="13.5">
      <c r="B69" s="607"/>
      <c r="C69" s="104"/>
      <c r="D69" s="133"/>
      <c r="E69" s="133"/>
      <c r="F69" s="133"/>
      <c r="G69" s="133"/>
      <c r="H69" s="133"/>
      <c r="I69" s="133"/>
      <c r="J69" s="133"/>
      <c r="K69" s="106"/>
      <c r="L69" s="133" t="s">
        <v>500</v>
      </c>
      <c r="M69" s="133"/>
      <c r="N69" s="133"/>
      <c r="O69" s="133"/>
      <c r="P69" s="133"/>
      <c r="Q69" s="105"/>
      <c r="R69" s="97"/>
      <c r="S69" s="97"/>
      <c r="T69" s="97"/>
      <c r="U69" s="97"/>
      <c r="V69" s="97"/>
      <c r="W69" s="97"/>
      <c r="X69" s="97"/>
      <c r="Y69" s="97"/>
      <c r="Z69" s="97"/>
    </row>
    <row r="70" spans="2:26" ht="13.5">
      <c r="B70" s="607"/>
      <c r="C70" s="104"/>
      <c r="D70" s="133"/>
      <c r="E70" s="133"/>
      <c r="F70" s="133"/>
      <c r="G70" s="133"/>
      <c r="H70" s="133"/>
      <c r="I70" s="133"/>
      <c r="J70" s="133"/>
      <c r="K70" s="106"/>
      <c r="L70" s="608" t="s">
        <v>378</v>
      </c>
      <c r="M70" s="610" t="s">
        <v>497</v>
      </c>
      <c r="N70" s="611"/>
      <c r="O70" s="610" t="s">
        <v>498</v>
      </c>
      <c r="P70" s="612"/>
      <c r="Q70" s="105"/>
      <c r="R70" s="97"/>
      <c r="S70" s="97"/>
      <c r="T70" s="97"/>
      <c r="U70" s="97"/>
      <c r="V70" s="97"/>
      <c r="W70" s="97"/>
      <c r="X70" s="97"/>
      <c r="Y70" s="97"/>
      <c r="Z70" s="97"/>
    </row>
    <row r="71" spans="2:26" ht="13.5">
      <c r="B71" s="607"/>
      <c r="C71" s="104"/>
      <c r="D71" s="133"/>
      <c r="E71" s="133"/>
      <c r="F71" s="133"/>
      <c r="G71" s="133"/>
      <c r="H71" s="133"/>
      <c r="I71" s="133"/>
      <c r="J71" s="133"/>
      <c r="K71" s="106"/>
      <c r="L71" s="609"/>
      <c r="M71" s="136" t="s">
        <v>0</v>
      </c>
      <c r="N71" s="136" t="s">
        <v>499</v>
      </c>
      <c r="O71" s="136" t="s">
        <v>0</v>
      </c>
      <c r="P71" s="144" t="s">
        <v>499</v>
      </c>
      <c r="Q71" s="105"/>
      <c r="R71" s="97"/>
      <c r="S71" s="97"/>
      <c r="T71" s="97"/>
      <c r="U71" s="97"/>
      <c r="V71" s="97"/>
      <c r="W71" s="97"/>
      <c r="X71" s="97"/>
      <c r="Y71" s="97"/>
      <c r="Z71" s="97"/>
    </row>
    <row r="72" spans="2:26" ht="13.5">
      <c r="B72" s="607"/>
      <c r="C72" s="104"/>
      <c r="D72" s="133"/>
      <c r="E72" s="133"/>
      <c r="F72" s="133"/>
      <c r="G72" s="133"/>
      <c r="H72" s="133"/>
      <c r="I72" s="133"/>
      <c r="J72" s="133"/>
      <c r="K72" s="106"/>
      <c r="L72" s="145" t="s">
        <v>464</v>
      </c>
      <c r="M72" s="146">
        <v>1</v>
      </c>
      <c r="N72" s="146">
        <v>1</v>
      </c>
      <c r="O72" s="146">
        <v>2</v>
      </c>
      <c r="P72" s="135">
        <v>0</v>
      </c>
      <c r="Q72" s="105"/>
      <c r="R72" s="97"/>
      <c r="S72" s="97"/>
      <c r="T72" s="97"/>
      <c r="U72" s="97"/>
      <c r="V72" s="97"/>
      <c r="W72" s="97"/>
      <c r="X72" s="97"/>
      <c r="Y72" s="97"/>
      <c r="Z72" s="97"/>
    </row>
    <row r="73" spans="2:26" ht="13.5">
      <c r="B73" s="607"/>
      <c r="C73" s="104"/>
      <c r="D73" s="133"/>
      <c r="E73" s="133"/>
      <c r="F73" s="133"/>
      <c r="G73" s="133"/>
      <c r="H73" s="133"/>
      <c r="I73" s="133"/>
      <c r="J73" s="133"/>
      <c r="K73" s="106"/>
      <c r="L73" s="145" t="s">
        <v>468</v>
      </c>
      <c r="M73" s="146">
        <v>2</v>
      </c>
      <c r="N73" s="146">
        <v>2</v>
      </c>
      <c r="O73" s="146">
        <v>0</v>
      </c>
      <c r="P73" s="135">
        <v>4</v>
      </c>
      <c r="Q73" s="105"/>
      <c r="R73" s="97"/>
      <c r="S73" s="97"/>
      <c r="T73" s="97"/>
      <c r="U73" s="97"/>
      <c r="V73" s="97"/>
      <c r="W73" s="97"/>
      <c r="X73" s="97"/>
      <c r="Y73" s="97"/>
      <c r="Z73" s="97"/>
    </row>
    <row r="74" spans="2:26" ht="13.5">
      <c r="B74" s="607"/>
      <c r="C74" s="104"/>
      <c r="D74" s="133"/>
      <c r="E74" s="133"/>
      <c r="F74" s="133"/>
      <c r="G74" s="133"/>
      <c r="H74" s="133"/>
      <c r="I74" s="133"/>
      <c r="J74" s="133"/>
      <c r="K74" s="106"/>
      <c r="L74" s="613" t="s">
        <v>501</v>
      </c>
      <c r="M74" s="599" t="s">
        <v>502</v>
      </c>
      <c r="N74" s="599" t="s">
        <v>502</v>
      </c>
      <c r="O74" s="147">
        <v>8</v>
      </c>
      <c r="P74" s="148">
        <v>0</v>
      </c>
      <c r="Q74" s="105"/>
      <c r="R74" s="97"/>
      <c r="S74" s="97"/>
      <c r="T74" s="97"/>
      <c r="U74" s="97"/>
      <c r="V74" s="97"/>
      <c r="W74" s="97"/>
      <c r="X74" s="97"/>
      <c r="Y74" s="97"/>
      <c r="Z74" s="97"/>
    </row>
    <row r="75" spans="2:26" ht="13.5">
      <c r="B75" s="607"/>
      <c r="C75" s="104"/>
      <c r="D75" s="133"/>
      <c r="E75" s="133"/>
      <c r="F75" s="133"/>
      <c r="G75" s="133"/>
      <c r="H75" s="133"/>
      <c r="I75" s="133"/>
      <c r="J75" s="133"/>
      <c r="K75" s="106"/>
      <c r="L75" s="614"/>
      <c r="M75" s="600"/>
      <c r="N75" s="600"/>
      <c r="O75" s="147">
        <v>4</v>
      </c>
      <c r="P75" s="148">
        <v>4</v>
      </c>
      <c r="Q75" s="105"/>
      <c r="R75" s="97"/>
      <c r="S75" s="97"/>
      <c r="T75" s="97"/>
      <c r="U75" s="97"/>
      <c r="V75" s="97"/>
      <c r="W75" s="97"/>
      <c r="X75" s="97"/>
      <c r="Y75" s="97"/>
      <c r="Z75" s="97"/>
    </row>
    <row r="76" spans="2:26" ht="33.75" customHeight="1">
      <c r="B76" s="607"/>
      <c r="C76" s="104"/>
      <c r="D76" s="133"/>
      <c r="E76" s="133"/>
      <c r="F76" s="133"/>
      <c r="G76" s="133"/>
      <c r="H76" s="133"/>
      <c r="I76" s="133"/>
      <c r="J76" s="133"/>
      <c r="K76" s="106"/>
      <c r="L76" s="601" t="s">
        <v>503</v>
      </c>
      <c r="M76" s="602"/>
      <c r="N76" s="602"/>
      <c r="O76" s="602"/>
      <c r="P76" s="602"/>
      <c r="Q76" s="105"/>
      <c r="R76" s="97"/>
      <c r="S76" s="97"/>
      <c r="T76" s="97"/>
      <c r="U76" s="97"/>
      <c r="V76" s="97"/>
      <c r="W76" s="97"/>
      <c r="X76" s="97"/>
      <c r="Y76" s="97"/>
      <c r="Z76" s="97"/>
    </row>
    <row r="77" spans="2:26" ht="5.25" customHeight="1">
      <c r="B77" s="607"/>
      <c r="C77" s="149"/>
      <c r="D77" s="150"/>
      <c r="E77" s="150"/>
      <c r="F77" s="150"/>
      <c r="G77" s="150"/>
      <c r="H77" s="150"/>
      <c r="I77" s="150"/>
      <c r="J77" s="150"/>
      <c r="K77" s="151"/>
      <c r="L77" s="150"/>
      <c r="M77" s="150"/>
      <c r="N77" s="150"/>
      <c r="O77" s="150"/>
      <c r="P77" s="150"/>
      <c r="Q77" s="152"/>
      <c r="R77" s="97"/>
      <c r="S77" s="97"/>
      <c r="T77" s="97"/>
      <c r="U77" s="97"/>
      <c r="V77" s="97"/>
      <c r="W77" s="97"/>
      <c r="X77" s="97"/>
      <c r="Y77" s="97"/>
      <c r="Z77" s="97"/>
    </row>
    <row r="78" spans="2:26" ht="5.25" customHeight="1">
      <c r="B78" s="603" t="s">
        <v>504</v>
      </c>
      <c r="C78" s="153"/>
      <c r="D78" s="154"/>
      <c r="E78" s="154"/>
      <c r="F78" s="154"/>
      <c r="G78" s="154"/>
      <c r="H78" s="154"/>
      <c r="I78" s="154"/>
      <c r="J78" s="154"/>
      <c r="K78" s="155"/>
      <c r="L78" s="154"/>
      <c r="M78" s="154"/>
      <c r="N78" s="154"/>
      <c r="O78" s="154"/>
      <c r="P78" s="154"/>
      <c r="Q78" s="156"/>
      <c r="R78" s="97"/>
      <c r="S78" s="97"/>
      <c r="T78" s="97"/>
      <c r="U78" s="97"/>
      <c r="V78" s="97"/>
      <c r="W78" s="97"/>
      <c r="X78" s="97"/>
      <c r="Y78" s="97"/>
      <c r="Z78" s="97"/>
    </row>
    <row r="79" spans="2:26" ht="13.5">
      <c r="B79" s="604"/>
      <c r="C79" s="104"/>
      <c r="D79" s="133" t="s">
        <v>505</v>
      </c>
      <c r="E79" s="133"/>
      <c r="F79" s="133"/>
      <c r="G79" s="133"/>
      <c r="H79" s="133"/>
      <c r="I79" s="133"/>
      <c r="J79" s="133"/>
      <c r="K79" s="106"/>
      <c r="L79" s="133" t="s">
        <v>506</v>
      </c>
      <c r="M79" s="133"/>
      <c r="N79" s="133"/>
      <c r="O79" s="133"/>
      <c r="P79" s="133"/>
      <c r="Q79" s="105"/>
      <c r="R79" s="97"/>
      <c r="S79" s="97"/>
      <c r="T79" s="97"/>
      <c r="U79" s="97"/>
      <c r="V79" s="97"/>
      <c r="W79" s="97"/>
      <c r="X79" s="97"/>
      <c r="Y79" s="97"/>
      <c r="Z79" s="97"/>
    </row>
    <row r="80" spans="2:26" ht="13.5">
      <c r="B80" s="604"/>
      <c r="C80" s="104"/>
      <c r="D80" s="133"/>
      <c r="E80" s="133"/>
      <c r="F80" s="133"/>
      <c r="G80" s="133"/>
      <c r="H80" s="133"/>
      <c r="I80" s="133"/>
      <c r="J80" s="133"/>
      <c r="K80" s="106"/>
      <c r="L80" s="133" t="s">
        <v>507</v>
      </c>
      <c r="M80" s="133"/>
      <c r="N80" s="133"/>
      <c r="O80" s="133"/>
      <c r="P80" s="133"/>
      <c r="Q80" s="105"/>
      <c r="R80" s="97"/>
      <c r="S80" s="97"/>
      <c r="T80" s="97"/>
      <c r="U80" s="97"/>
      <c r="V80" s="97"/>
      <c r="W80" s="97"/>
      <c r="X80" s="97"/>
      <c r="Y80" s="97"/>
      <c r="Z80" s="97"/>
    </row>
    <row r="81" spans="2:26" ht="5.25" customHeight="1" thickBot="1">
      <c r="B81" s="605"/>
      <c r="C81" s="107"/>
      <c r="D81" s="108"/>
      <c r="E81" s="108"/>
      <c r="F81" s="108"/>
      <c r="G81" s="108"/>
      <c r="H81" s="108"/>
      <c r="I81" s="108"/>
      <c r="J81" s="108"/>
      <c r="K81" s="110"/>
      <c r="L81" s="108"/>
      <c r="M81" s="108"/>
      <c r="N81" s="108"/>
      <c r="O81" s="108"/>
      <c r="P81" s="108"/>
      <c r="Q81" s="109"/>
      <c r="R81" s="97"/>
      <c r="S81" s="97"/>
      <c r="T81" s="97"/>
      <c r="U81" s="97"/>
      <c r="V81" s="97"/>
      <c r="W81" s="97"/>
      <c r="X81" s="97"/>
      <c r="Y81" s="97"/>
      <c r="Z81" s="97"/>
    </row>
    <row r="82" spans="2:26" ht="4.5" customHeight="1"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2:26" ht="13.5" hidden="1"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2:26" ht="13.5" hidden="1"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2:26" ht="13.5" hidden="1"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2:26" ht="13.5" hidden="1"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2:26" ht="13.5" hidden="1"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2:26" ht="13.5" hidden="1"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2:26" ht="13.5" hidden="1"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2:26" ht="13.5" hidden="1"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2:26" ht="13.5" hidden="1"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2:26" ht="13.5" hidden="1"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2:26" ht="13.5" hidden="1"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2:26" ht="13.5" hidden="1"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2:26" ht="13.5" hidden="1"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2:26" ht="13.5" hidden="1"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2:26" ht="13.5" hidden="1"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2:26" ht="13.5" hidden="1"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2:26" ht="13.5" hidden="1"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2:26" ht="13.5" hidden="1"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2:26" ht="13.5" hidden="1"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2:26" ht="13.5" hidden="1"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2:26" ht="13.5" hidden="1"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2:26" ht="13.5" hidden="1"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2:26" ht="13.5" hidden="1"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2:26" ht="13.5" hidden="1"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2:26" ht="13.5" hidden="1"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2:26" ht="13.5" hidden="1"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2:26" ht="13.5" hidden="1"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2:26" ht="13.5" hidden="1"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2:26" ht="13.5" hidden="1"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2:26" ht="13.5" hidden="1"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2:26" ht="13.5" hidden="1"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2:26" ht="13.5" hidden="1"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2:26" ht="13.5" hidden="1"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2:26" ht="13.5" hidden="1"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2:26" ht="13.5" hidden="1"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2:26" ht="13.5" hidden="1"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2:26" ht="13.5" hidden="1"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2:26" ht="13.5" hidden="1"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2:26" ht="13.5" hidden="1"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2:26" ht="13.5" hidden="1"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2:26" ht="13.5" hidden="1"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2:26" ht="13.5" hidden="1"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2:26" ht="13.5" hidden="1"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2:26" ht="13.5" hidden="1"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2:26" ht="13.5" hidden="1"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2:26" ht="13.5" hidden="1"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2:26" ht="13.5" hidden="1"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2:26" ht="13.5" hidden="1"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2:26" ht="13.5" hidden="1"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2:26" ht="13.5" hidden="1"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2:26" ht="13.5" hidden="1"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2:26" ht="13.5" hidden="1"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2:26" ht="13.5" hidden="1"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2:26" ht="13.5" hidden="1"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2:26" ht="13.5" hidden="1"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2:26" ht="13.5" hidden="1"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2:26" ht="13.5" hidden="1"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2:26" ht="13.5" hidden="1"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2:26" ht="13.5" hidden="1"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2:26" ht="13.5" hidden="1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2:26" ht="13.5" hidden="1"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2:26" ht="13.5" hidden="1"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2:26" ht="13.5" hidden="1"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2:26" ht="13.5" hidden="1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2:26" ht="13.5" hidden="1"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2:26" ht="13.5" hidden="1"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2:26" ht="13.5" hidden="1"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2:26" ht="13.5" hidden="1"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2:26" ht="13.5" hidden="1"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2:26" ht="13.5" hidden="1"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2:26" ht="13.5" hidden="1"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2:26" ht="13.5" hidden="1"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2:26" ht="13.5" hidden="1"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2:26" ht="13.5" hidden="1"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2:26" ht="13.5" hidden="1"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2:26" ht="13.5" hidden="1"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2:26" ht="13.5" hidden="1"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2:26" ht="13.5" hidden="1"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2:26" ht="13.5" hidden="1"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2:26" ht="13.5" hidden="1"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2:26" ht="13.5" hidden="1"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2:26" ht="13.5" hidden="1"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2:26" ht="13.5" hidden="1"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2:26" ht="13.5" hidden="1"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2:26" ht="13.5" hidden="1"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2:26" ht="13.5" hidden="1"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2:26" ht="13.5" hidden="1"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2:26" ht="13.5" hidden="1"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2:26" ht="13.5" hidden="1"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2:26" ht="13.5" hidden="1"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2:26" ht="13.5" hidden="1"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2:26" ht="13.5" hidden="1"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2:26" ht="13.5" hidden="1"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2:26" ht="13.5" hidden="1"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2:26" ht="13.5" hidden="1"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2:26" ht="13.5" hidden="1"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2:26" ht="13.5" hidden="1"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2:26" ht="13.5" hidden="1"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2:26" ht="13.5" hidden="1"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2:26" ht="13.5" hidden="1"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2:26" ht="13.5" hidden="1"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2:26" ht="13.5" hidden="1"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2:26" ht="13.5" hidden="1"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2:26" ht="13.5" hidden="1"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2:26" ht="13.5" hidden="1"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2:26" ht="13.5" hidden="1"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2:26" ht="13.5" hidden="1"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2:26" ht="13.5" hidden="1"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2:26" ht="13.5" hidden="1"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2:26" ht="13.5" hidden="1"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2:26" ht="13.5" hidden="1"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2:26" ht="13.5" hidden="1"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2:26" ht="13.5" hidden="1"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2:26" ht="13.5" hidden="1"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2:26" ht="13.5" hidden="1"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2:26" ht="13.5" hidden="1"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2:26" ht="13.5" hidden="1"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2:26" ht="13.5" hidden="1"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2:26" ht="13.5" hidden="1"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2:26" ht="13.5" hidden="1"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2:26" ht="13.5" hidden="1"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2:26" ht="13.5" hidden="1"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2:26" ht="13.5" hidden="1"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2:26" ht="13.5" hidden="1"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2:26" ht="13.5" hidden="1"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2:26" ht="13.5" hidden="1"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2:26" ht="13.5" hidden="1"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2:26" ht="13.5" hidden="1"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2:26" ht="13.5" hidden="1"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2:26" ht="13.5" hidden="1"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2:26" ht="13.5" hidden="1"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2:26" ht="13.5" hidden="1"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2:26" ht="13.5" hidden="1"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2:26" ht="13.5" hidden="1"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2:26" ht="13.5" hidden="1"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2:26" ht="13.5" hidden="1"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2:26" ht="13.5" hidden="1"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2:26" ht="13.5" hidden="1"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2:26" ht="13.5" hidden="1"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2:26" ht="13.5" hidden="1"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2:26" ht="13.5" hidden="1"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2:26" ht="13.5" hidden="1"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2:26" ht="13.5" hidden="1"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2:26" ht="13.5" hidden="1"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2:26" ht="13.5" hidden="1"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2:26" ht="13.5" hidden="1"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2:26" ht="13.5" hidden="1"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2:26" ht="13.5" hidden="1"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2:26" ht="13.5" hidden="1"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2:26" ht="13.5" hidden="1"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2:26" ht="13.5" hidden="1"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2:26" ht="13.5" hidden="1"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2:26" ht="13.5" hidden="1"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2:26" ht="13.5" hidden="1"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2:26" ht="13.5" hidden="1"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2:26" ht="13.5" hidden="1"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2:26" ht="13.5" hidden="1"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2:26" ht="13.5" hidden="1"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2:26" ht="13.5" hidden="1"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2:26" ht="13.5" hidden="1"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2:26" ht="13.5" hidden="1"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2:26" ht="13.5" hidden="1"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2:26" ht="13.5" hidden="1"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2:26" ht="13.5" hidden="1"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2:26" ht="13.5" hidden="1"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2:26" ht="13.5" hidden="1"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2:26" ht="13.5" hidden="1"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2:26" ht="13.5" hidden="1"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2:26" ht="13.5" hidden="1"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2:26" ht="13.5" hidden="1"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2:26" ht="13.5" hidden="1"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2:26" ht="13.5" hidden="1"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2:26" ht="13.5" hidden="1"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2:26" ht="13.5" hidden="1"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2:26" ht="13.5" hidden="1"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2:26" ht="13.5" hidden="1"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2:26" ht="13.5" hidden="1"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2:26" ht="13.5" hidden="1"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2:26" ht="13.5" hidden="1"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2:26" ht="13.5" hidden="1"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2:26" ht="13.5" hidden="1"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2:26" ht="13.5" hidden="1"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2:26" ht="13.5" hidden="1"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2:26" ht="13.5" hidden="1"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2:26" ht="13.5" hidden="1"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2:26" ht="13.5" hidden="1"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2:26" ht="13.5" hidden="1"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2:26" ht="13.5" hidden="1"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2:26" ht="13.5" hidden="1"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2:26" ht="13.5" hidden="1"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2:26" ht="13.5" hidden="1"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2:26" ht="13.5" hidden="1"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2:26" ht="13.5" hidden="1"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2:26" ht="13.5" hidden="1"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2:26" ht="13.5" hidden="1"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2:26" ht="13.5" hidden="1"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2:26" ht="13.5" hidden="1"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2:26" ht="13.5" hidden="1"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2:26" ht="13.5" hidden="1"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2:26" ht="13.5" hidden="1"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2:26" ht="13.5" hidden="1"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2:26" ht="13.5" hidden="1"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2:26" ht="13.5" hidden="1"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2:26" ht="13.5" hidden="1"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2:26" ht="13.5" hidden="1"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2:26" ht="13.5" hidden="1"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2:26" ht="13.5" hidden="1"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2:26" ht="13.5" hidden="1"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2:26" ht="13.5" hidden="1"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2:26" ht="13.5" hidden="1"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2:26" ht="13.5" hidden="1"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2:26" ht="13.5" hidden="1"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2:26" ht="13.5" hidden="1"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2:26" ht="13.5" hidden="1"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2:26" ht="13.5" hidden="1"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2:26" ht="13.5" hidden="1"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2:26" ht="13.5" hidden="1"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2:26" ht="13.5" hidden="1"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2:26" ht="13.5" hidden="1"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2:26" ht="13.5" hidden="1"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2:26" ht="13.5" hidden="1"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2:26" ht="13.5" hidden="1"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2:26" ht="13.5" hidden="1"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2:26" ht="13.5" hidden="1"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2:26" ht="13.5" hidden="1"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2:26" ht="13.5" hidden="1"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2:26" ht="13.5" hidden="1"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2:26" ht="13.5" hidden="1"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2:26" ht="13.5" hidden="1"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2:26" ht="13.5" hidden="1"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2:26" ht="13.5" hidden="1"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2:26" ht="13.5" hidden="1"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2:26" ht="13.5" hidden="1"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2:26" ht="13.5" hidden="1"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2:26" ht="13.5" hidden="1"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2:26" ht="13.5" hidden="1"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2:26" ht="13.5" hidden="1"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2:26" ht="13.5" hidden="1"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2:26" ht="13.5" hidden="1"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2:26" ht="13.5" hidden="1"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2:26" ht="13.5" hidden="1"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2:26" ht="13.5" hidden="1"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2:26" ht="13.5" hidden="1"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2:26" ht="13.5" hidden="1"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2:26" ht="13.5" hidden="1"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2:26" ht="13.5" hidden="1"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2:26" ht="13.5" hidden="1"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2:26" ht="13.5" hidden="1"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2:26" ht="13.5" hidden="1"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2:26" ht="13.5" hidden="1"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2:26" ht="13.5" hidden="1"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2:26" ht="13.5" hidden="1"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2:26" ht="13.5" hidden="1"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2:26" ht="13.5" hidden="1"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2:26" ht="13.5" hidden="1"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2:26" ht="13.5" hidden="1"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2:26" ht="13.5" hidden="1"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2:26" ht="13.5" hidden="1"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2:26" ht="13.5" hidden="1"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2:26" ht="13.5" hidden="1"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2:26" ht="13.5" hidden="1"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2:26" ht="13.5" hidden="1"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2:26" ht="13.5" hidden="1"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2:26" ht="13.5" hidden="1"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2:26" ht="13.5" hidden="1"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2:26" ht="13.5" hidden="1"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2:26" ht="13.5" hidden="1"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2:26" ht="13.5" hidden="1"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2:26" ht="13.5" hidden="1"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2:26" ht="13.5" hidden="1"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2:26" ht="13.5" hidden="1"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2:26" ht="13.5" hidden="1"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2:26" ht="13.5" hidden="1"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2:26" ht="13.5" hidden="1"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2:26" ht="13.5" hidden="1"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2:26" ht="13.5" hidden="1"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2:26" ht="13.5" hidden="1"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2:26" ht="13.5" hidden="1"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2:26" ht="13.5" hidden="1"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2:26" ht="13.5" hidden="1"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2:26" ht="13.5" hidden="1"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2:26" ht="13.5" hidden="1"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2:26" ht="13.5" hidden="1"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2:26" ht="13.5" hidden="1"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2:26" ht="13.5" hidden="1"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2:26" ht="13.5" hidden="1"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2:26" ht="13.5" hidden="1"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2:26" ht="13.5" hidden="1"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2:26" ht="13.5" hidden="1"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2:26" ht="13.5" hidden="1"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2:26" ht="13.5" hidden="1"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2:26" ht="13.5" hidden="1"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2:26" ht="13.5" hidden="1"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2:26" ht="13.5" hidden="1"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2:26" ht="13.5" hidden="1"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2:26" ht="13.5" hidden="1"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2:26" ht="13.5" hidden="1"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2:26" ht="13.5" hidden="1"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2:26" ht="13.5" hidden="1"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2:26" ht="13.5" hidden="1"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2:26" ht="13.5" hidden="1"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2:26" ht="13.5" hidden="1"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2:26" ht="13.5" hidden="1"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2:26" ht="13.5" hidden="1"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2:26" ht="13.5" hidden="1"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2:26" ht="13.5" hidden="1"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2:26" ht="13.5" hidden="1"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2:26" ht="13.5" hidden="1"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2:26" ht="13.5" hidden="1"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2:26" ht="13.5" hidden="1"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2:26" ht="13.5" hidden="1"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2:26" ht="13.5" hidden="1"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2:26" ht="13.5" hidden="1"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2:26" ht="13.5" hidden="1"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2:26" ht="13.5" hidden="1"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2:26" ht="13.5" hidden="1"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2:26" ht="13.5" hidden="1"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2:26" ht="13.5" hidden="1"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2:26" ht="13.5" hidden="1"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2:26" ht="13.5" hidden="1"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2:26" ht="13.5" hidden="1"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2:26" ht="13.5" hidden="1"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2:26" ht="13.5" hidden="1"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2:26" ht="13.5" hidden="1"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2:26" ht="13.5" hidden="1"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2:26" ht="13.5" hidden="1"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2:26" ht="13.5" hidden="1"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2:26" ht="13.5" hidden="1"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2:26" ht="13.5" hidden="1"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2:26" ht="13.5" hidden="1"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2:26" ht="13.5" hidden="1"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2:26" ht="13.5" hidden="1"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2:26" ht="13.5" hidden="1"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2:26" ht="13.5" hidden="1"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2:26" ht="13.5" hidden="1"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2:26" ht="13.5" hidden="1"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2:26" ht="13.5" hidden="1"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2:26" ht="13.5" hidden="1"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2:26" ht="13.5" hidden="1"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2:26" ht="13.5" hidden="1"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2:26" ht="13.5" hidden="1"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2:26" ht="13.5" hidden="1"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2:26" ht="13.5" hidden="1"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2:26" ht="13.5" hidden="1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2:26" ht="13.5" hidden="1"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2:26" ht="13.5" hidden="1"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2:26" ht="13.5" hidden="1"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2:26" ht="13.5" hidden="1"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2:26" ht="13.5" hidden="1"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2:26" ht="13.5" hidden="1"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2:26" ht="13.5" hidden="1"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2:26" ht="13.5" hidden="1"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2:26" ht="13.5" hidden="1"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2:26" ht="13.5" hidden="1"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2:26" ht="13.5" hidden="1"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2:26" ht="13.5" hidden="1"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2:26" ht="13.5" hidden="1"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2:26" ht="13.5" hidden="1"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2:26" ht="13.5" hidden="1"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2:26" ht="13.5" hidden="1"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2:26" ht="13.5" hidden="1"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2:26" ht="13.5" hidden="1"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2:26" ht="13.5" hidden="1"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2:26" ht="13.5" hidden="1"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2:26" ht="13.5" hidden="1"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2:26" ht="13.5" hidden="1"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2:26" ht="13.5" hidden="1"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2:26" ht="13.5" hidden="1"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2:26" ht="13.5" hidden="1"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2:26" ht="13.5" hidden="1"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2:26" ht="13.5" hidden="1"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2:26" ht="13.5" hidden="1"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2:26" ht="13.5" hidden="1"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2:26" ht="13.5" hidden="1"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2:26" ht="13.5" hidden="1"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2:26" ht="13.5" hidden="1"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2:26" ht="13.5" hidden="1"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2:26" ht="13.5" hidden="1"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2:26" ht="13.5" hidden="1"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2:26" ht="13.5" hidden="1"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2:26" ht="13.5" hidden="1"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2:26" ht="13.5" hidden="1"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2:26" ht="13.5" hidden="1"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2:26" ht="13.5" hidden="1"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2:26" ht="13.5" hidden="1"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2:26" ht="13.5" hidden="1"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2:26" ht="13.5" hidden="1"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2:26" ht="13.5" hidden="1"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2:26" ht="13.5" hidden="1"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2:26" ht="13.5" hidden="1"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2:26" ht="13.5" hidden="1"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2:26" ht="13.5" hidden="1"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2:26" ht="13.5" hidden="1"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2:26" ht="13.5" hidden="1"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2:26" ht="13.5" hidden="1"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2:26" ht="13.5" hidden="1"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2:26" ht="13.5" hidden="1"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2:26" ht="13.5" hidden="1"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2:26" ht="13.5" hidden="1"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2:26" ht="13.5" hidden="1"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2:26" ht="13.5" hidden="1"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2:26" ht="13.5" hidden="1"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2:26" ht="13.5" hidden="1"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2:26" ht="13.5" hidden="1"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2:26" ht="13.5" hidden="1"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2:26" ht="13.5" hidden="1"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2:26" ht="13.5" hidden="1"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2:26" ht="13.5" hidden="1"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2:26" ht="13.5" hidden="1"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2:26" ht="13.5" hidden="1"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2:26" ht="13.5" hidden="1"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2:26" ht="13.5" hidden="1"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2:26" ht="13.5" hidden="1"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2:26" ht="13.5" hidden="1"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2:26" ht="13.5" hidden="1"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2:26" ht="13.5" hidden="1"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2:26" ht="13.5" hidden="1"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2:26" ht="13.5" hidden="1"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2:26" ht="13.5" hidden="1"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2:26" ht="13.5" hidden="1"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2:26" ht="13.5" hidden="1"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2:26" ht="13.5" hidden="1"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2:26" ht="13.5" hidden="1"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2:26" ht="13.5" hidden="1"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2:26" ht="13.5" hidden="1"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2:26" ht="13.5" hidden="1"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2:26" ht="13.5" hidden="1"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2:26" ht="13.5" hidden="1"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2:26" ht="13.5" hidden="1"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2:26" ht="13.5" hidden="1"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2:26" ht="13.5" hidden="1"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2:26" ht="13.5" hidden="1"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2:26" ht="13.5" hidden="1"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2:26" ht="13.5" hidden="1"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2:26" ht="13.5" hidden="1"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2:26" ht="13.5" hidden="1"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2:26" ht="13.5" hidden="1"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2:26" ht="13.5" hidden="1"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2:26" ht="13.5" hidden="1"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2:26" ht="13.5" hidden="1"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2:26" ht="13.5" hidden="1"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2:26" ht="13.5" hidden="1"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2:26" ht="13.5" hidden="1"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2:26" ht="13.5" hidden="1"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2:26" ht="13.5" hidden="1"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2:26" ht="13.5" hidden="1"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2:26" ht="13.5" hidden="1"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2:26" ht="13.5" hidden="1"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2:26" ht="13.5" hidden="1"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2:26" ht="13.5" hidden="1"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2:26" ht="13.5" hidden="1"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2:26" ht="13.5" hidden="1"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2:26" ht="13.5" hidden="1"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2:26" ht="13.5" hidden="1"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2:26" ht="13.5" hidden="1"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2:26" ht="13.5" hidden="1"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2:26" ht="13.5" hidden="1"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2:26" ht="13.5" hidden="1"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2:26" ht="13.5" hidden="1"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2:26" ht="13.5" hidden="1"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2:26" ht="13.5" hidden="1"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2:26" ht="13.5" hidden="1"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2:26" ht="13.5" hidden="1"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2:26" ht="13.5" hidden="1"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2:26" ht="13.5" hidden="1"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2:26" ht="13.5" hidden="1"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2:26" ht="13.5" hidden="1"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2:26" ht="13.5" hidden="1"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2:26" ht="13.5" hidden="1"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2:26" ht="13.5" hidden="1"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2:26" ht="13.5" hidden="1"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2:26" ht="13.5" hidden="1"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2:26" ht="13.5" hidden="1"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2:26" ht="13.5" hidden="1"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2:26" ht="13.5" hidden="1"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2:26" ht="13.5" hidden="1"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2:26" ht="13.5" hidden="1"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2:26" ht="13.5" hidden="1"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2:26" ht="13.5" hidden="1"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2:26" ht="13.5" hidden="1"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2:26" ht="13.5" hidden="1"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2:26" ht="13.5" hidden="1"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2:26" ht="13.5" hidden="1"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2:26" ht="13.5" hidden="1"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2:26" ht="13.5" hidden="1"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2:26" ht="13.5" hidden="1"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2:26" ht="13.5" hidden="1"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2:26" ht="13.5" hidden="1"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2:26" ht="13.5" hidden="1"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2:26" ht="13.5" hidden="1"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2:26" ht="13.5" hidden="1"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2:26" ht="13.5" hidden="1"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2:26" ht="13.5" hidden="1"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2:26" ht="13.5" hidden="1"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2:26" ht="13.5" hidden="1"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2:26" ht="13.5" hidden="1"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2:26" ht="13.5" hidden="1"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2:26" ht="13.5" hidden="1"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2:26" ht="13.5" hidden="1"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2:26" ht="13.5" hidden="1"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2:26" ht="13.5" hidden="1"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2:26" ht="13.5" hidden="1"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2:26" ht="13.5" hidden="1"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2:26" ht="13.5" hidden="1"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2:26" ht="13.5" hidden="1"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2:26" ht="13.5" hidden="1"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2:26" ht="13.5" hidden="1"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2:26" ht="13.5" hidden="1"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2:26" ht="13.5" hidden="1"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2:26" ht="13.5" hidden="1"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2:26" ht="13.5" hidden="1"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2:26" ht="13.5" hidden="1"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2:26" ht="13.5" hidden="1"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2:26" ht="13.5" hidden="1"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2:26" ht="13.5" hidden="1"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2:26" ht="13.5" hidden="1"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2:26" ht="13.5" hidden="1"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2:26" ht="13.5" hidden="1"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2:26" ht="13.5" hidden="1"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2:26" ht="13.5" hidden="1"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2:26" ht="13.5" hidden="1"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2:26" ht="13.5" hidden="1"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2:26" ht="13.5" hidden="1"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2:26" ht="13.5" hidden="1"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2:26" ht="13.5" hidden="1"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2:26" ht="13.5" hidden="1"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2:26" ht="13.5" hidden="1"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2:26" ht="13.5" hidden="1"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2:26" ht="13.5" hidden="1"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2:26" ht="13.5" hidden="1"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2:26" ht="13.5" hidden="1"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2:26" ht="13.5" hidden="1"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2:26" ht="13.5" hidden="1"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2:26" ht="13.5" hidden="1"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2:26" ht="13.5" hidden="1"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2:26" ht="13.5" hidden="1"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2:26" ht="13.5" hidden="1"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2:26" ht="13.5" hidden="1"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2:26" ht="13.5" hidden="1"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2:26" ht="13.5" hidden="1"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2:26" ht="13.5" hidden="1"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2:26" ht="13.5" hidden="1"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2:26" ht="13.5" hidden="1"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2:26" ht="13.5" hidden="1"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2:26" ht="13.5" hidden="1"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2:26" ht="13.5" hidden="1"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2:26" ht="13.5" hidden="1"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2:26" ht="13.5" hidden="1"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2:26" ht="13.5" hidden="1"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2:26" ht="13.5" hidden="1"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2:26" ht="13.5" hidden="1"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2:26" ht="13.5" hidden="1"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2:26" ht="13.5" hidden="1"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2:26" ht="13.5" hidden="1"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2:26" ht="13.5" hidden="1"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2:26" ht="13.5" hidden="1"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2:26" ht="13.5" hidden="1"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2:26" ht="13.5" hidden="1"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2:26" ht="13.5" hidden="1"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2:26" ht="13.5" hidden="1"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2:26" ht="13.5" hidden="1"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2:26" ht="13.5" hidden="1"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2:26" ht="13.5" hidden="1"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2:26" ht="13.5" hidden="1"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2:26" ht="13.5" hidden="1"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2:26" ht="13.5" hidden="1"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2:26" ht="13.5" hidden="1"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2:26" ht="13.5" hidden="1"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2:26" ht="13.5" hidden="1"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2:26" ht="13.5" hidden="1"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2:26" ht="13.5" hidden="1"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2:26" ht="13.5" hidden="1"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2:26" ht="13.5" hidden="1"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2:26" ht="13.5" hidden="1"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2:26" ht="13.5" hidden="1"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2:26" ht="13.5" hidden="1"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2:26" ht="13.5" hidden="1"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2:26" ht="13.5" hidden="1"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2:26" ht="13.5" hidden="1"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2:26" ht="13.5" hidden="1"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2:26" ht="13.5" hidden="1"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2:26" ht="13.5" hidden="1"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2:26" ht="13.5" hidden="1"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2:26" ht="13.5" hidden="1"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2:26" ht="13.5" hidden="1"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2:26" ht="13.5" hidden="1"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2:26" ht="13.5" hidden="1"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2:26" ht="13.5" hidden="1"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2:26" ht="13.5" hidden="1"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2:26" ht="13.5" hidden="1"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2:26" ht="13.5" hidden="1"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2:26" ht="13.5" hidden="1"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2:26" ht="13.5" hidden="1"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2:26" ht="13.5" hidden="1"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2:26" ht="13.5" hidden="1"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2:26" ht="13.5" hidden="1"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2:26" ht="13.5" hidden="1"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2:26" ht="13.5" hidden="1"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2:26" ht="13.5" hidden="1"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2:26" ht="13.5" hidden="1"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2:26" ht="13.5" hidden="1"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2:26" ht="13.5" hidden="1"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2:26" ht="13.5" hidden="1"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2:26" ht="13.5" hidden="1"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2:26" ht="13.5" hidden="1"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2:26" ht="13.5" hidden="1"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2:26" ht="13.5" hidden="1"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2:26" ht="13.5" hidden="1"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2:26" ht="13.5" hidden="1"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2:26" ht="13.5" hidden="1"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2:26" ht="13.5" hidden="1"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2:26" ht="13.5" hidden="1"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2:26" ht="13.5" hidden="1"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2:26" ht="13.5" hidden="1"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2:26" ht="13.5" hidden="1"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2:26" ht="13.5" hidden="1"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2:26" ht="13.5" hidden="1"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2:26" ht="13.5" hidden="1"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2:26" ht="13.5" hidden="1"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2:26" ht="13.5" hidden="1"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2:26" ht="13.5" hidden="1"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2:26" ht="13.5" hidden="1"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2:26" ht="13.5" hidden="1"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2:26" ht="13.5" hidden="1"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2:26" ht="13.5" hidden="1"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2:26" ht="13.5" hidden="1"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2:26" ht="13.5" hidden="1"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2:26" ht="13.5" hidden="1"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2:26" ht="13.5" hidden="1"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2:26" ht="13.5" hidden="1"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2:26" ht="13.5" hidden="1"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2:26" ht="13.5" hidden="1"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2:26" ht="13.5" hidden="1"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2:26" ht="13.5" hidden="1"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2:26" ht="13.5" hidden="1"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2:26" ht="13.5" hidden="1"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2:26" ht="13.5" hidden="1"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2:26" ht="13.5" hidden="1"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2:26" ht="13.5" hidden="1"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2:26" ht="13.5" hidden="1"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2:26" ht="13.5" hidden="1"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2:26" ht="13.5" hidden="1"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2:26" ht="13.5" hidden="1"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2:26" ht="13.5" hidden="1"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2:26" ht="13.5" hidden="1"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2:26" ht="13.5" hidden="1"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2:26" ht="13.5" hidden="1"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2:26" ht="13.5" hidden="1"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2:26" ht="13.5" hidden="1"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2:26" ht="13.5" hidden="1"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2:26" ht="13.5" hidden="1"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2:26" ht="13.5" hidden="1"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2:26" ht="13.5" hidden="1"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2:26" ht="13.5" hidden="1"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2:26" ht="13.5" hidden="1"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2:26" ht="13.5" hidden="1"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2:26" ht="13.5" hidden="1"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2:26" ht="13.5" hidden="1"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2:26" ht="13.5" hidden="1"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2:26" ht="13.5" hidden="1"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2:26" ht="13.5" hidden="1"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2:26" ht="13.5" hidden="1"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2:26" ht="13.5" hidden="1"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2:26" ht="13.5" hidden="1"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2:26" ht="13.5" hidden="1"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2:26" ht="13.5" hidden="1"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2:26" ht="13.5" hidden="1"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2:26" ht="13.5" hidden="1"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2:26" ht="13.5" hidden="1"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2:26" ht="13.5" hidden="1"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2:26" ht="13.5" hidden="1"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2:26" ht="13.5" hidden="1"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2:26" ht="13.5" hidden="1"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2:26" ht="13.5" hidden="1"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2:26" ht="13.5" hidden="1"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2:26" ht="13.5" hidden="1"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2:26" ht="13.5" hidden="1"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2:26" ht="13.5" hidden="1"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2:26" ht="13.5" hidden="1"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2:26" ht="13.5" hidden="1"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2:26" ht="13.5" hidden="1"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2:26" ht="13.5" hidden="1"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2:26" ht="13.5" hidden="1"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2:26" ht="13.5" hidden="1"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2:26" ht="13.5" hidden="1"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2:26" ht="13.5" hidden="1"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2:26" ht="13.5" hidden="1"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2:26" ht="13.5" hidden="1"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2:26" ht="13.5" hidden="1"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2:26" ht="13.5" hidden="1"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2:26" ht="13.5" hidden="1"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2:26" ht="13.5" hidden="1"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2:26" ht="13.5" hidden="1"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2:26" ht="13.5" hidden="1"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2:26" ht="13.5" hidden="1"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2:26" ht="13.5" hidden="1"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2:26" ht="13.5" hidden="1"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2:26" ht="13.5" hidden="1"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2:26" ht="13.5" hidden="1"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2:26" ht="13.5" hidden="1"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2:26" ht="13.5" hidden="1"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2:26" ht="13.5" hidden="1"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2:26" ht="13.5" hidden="1"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2:26" ht="13.5" hidden="1"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2:26" ht="13.5" hidden="1"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2:26" ht="13.5" hidden="1"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2:26" ht="13.5" hidden="1"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2:26" ht="13.5" hidden="1"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2:26" ht="13.5" hidden="1"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2:26" ht="13.5" hidden="1"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2:26" ht="13.5" hidden="1"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2:26" ht="13.5" hidden="1"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2:26" ht="13.5" hidden="1"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2:26" ht="13.5" hidden="1"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2:26" ht="13.5" hidden="1"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2:26" ht="13.5" hidden="1"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2:26" ht="13.5" hidden="1"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2:26" ht="13.5" hidden="1"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2:26" ht="13.5" hidden="1"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2:26" ht="13.5" hidden="1"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2:26" ht="13.5" hidden="1"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2:26" ht="13.5" hidden="1"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2:26" ht="13.5" hidden="1"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2:26" ht="13.5" hidden="1"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2:26" ht="13.5" hidden="1"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2:26" ht="13.5" hidden="1"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2:26" ht="13.5" hidden="1"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2:26" ht="13.5" hidden="1"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2:26" ht="13.5" hidden="1"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2:26" ht="13.5" hidden="1"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2:26" ht="13.5" hidden="1"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2:26" ht="13.5" hidden="1"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2:26" ht="13.5" hidden="1"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2:26" ht="13.5" hidden="1"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2:26" ht="13.5" hidden="1"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2:26" ht="13.5" hidden="1"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2:26" ht="13.5" hidden="1"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2:26" ht="13.5" hidden="1"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2:26" ht="13.5" hidden="1"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2:26" ht="13.5" hidden="1"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2:26" ht="13.5" hidden="1"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2:26" ht="13.5" hidden="1"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2:26" ht="13.5" hidden="1"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2:26" ht="13.5" hidden="1"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2:26" ht="13.5" hidden="1"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2:26" ht="13.5" hidden="1"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2:26" ht="13.5" hidden="1"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2:26" ht="13.5" hidden="1"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2:26" ht="13.5" hidden="1"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2:26" ht="13.5" hidden="1"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2:26" ht="13.5" hidden="1"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2:26" ht="13.5" hidden="1"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2:26" ht="13.5" hidden="1"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2:26" ht="13.5" hidden="1"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2:26" ht="13.5" hidden="1"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2:26" ht="13.5" hidden="1"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2:26" ht="13.5" hidden="1"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2:26" ht="13.5" hidden="1"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2:26" ht="13.5" hidden="1"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2:26" ht="13.5" hidden="1"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2:26" ht="13.5" hidden="1"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2:26" ht="13.5" hidden="1"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2:26" ht="13.5" hidden="1"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2:26" ht="13.5" hidden="1"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2:26" ht="13.5" hidden="1"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2:26" ht="13.5" hidden="1"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2:26" ht="13.5" hidden="1"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2:26" ht="13.5" hidden="1"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2:26" ht="13.5" hidden="1"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2:26" ht="13.5" hidden="1"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2:26" ht="13.5" hidden="1"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2:26" ht="13.5" hidden="1"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2:26" ht="13.5" hidden="1"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2:26" ht="13.5" hidden="1"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2:26" ht="13.5" hidden="1"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2:26" ht="13.5" hidden="1"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2:26" ht="13.5" hidden="1"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2:26" ht="13.5" hidden="1"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2:26" ht="13.5" hidden="1"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2:26" ht="13.5" hidden="1"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2:26" ht="13.5" hidden="1"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2:26" ht="13.5" hidden="1"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2:26" ht="13.5" hidden="1"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2:26" ht="13.5" hidden="1"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2:26" ht="13.5" hidden="1"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2:26" ht="13.5" hidden="1"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2:26" ht="13.5" hidden="1"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2:26" ht="13.5" hidden="1"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2:26" ht="13.5" hidden="1"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2:26" ht="13.5" hidden="1"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2:26" ht="13.5" hidden="1"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2:26" ht="13.5" hidden="1"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2:26" ht="13.5" hidden="1"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2:26" ht="13.5" hidden="1"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2:26" ht="13.5" hidden="1"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2:26" ht="13.5" hidden="1"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2:26" ht="13.5" hidden="1"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2:26" ht="13.5" hidden="1"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2:26" ht="13.5" hidden="1"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2:26" ht="13.5" hidden="1"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2:26" ht="13.5" hidden="1"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2:26" ht="13.5" hidden="1"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2:26" ht="13.5" hidden="1"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2:26" ht="13.5" hidden="1"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2:26" ht="13.5" hidden="1"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2:26" ht="13.5" hidden="1"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2:26" ht="13.5" hidden="1"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2:26" ht="13.5" hidden="1"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2:26" ht="13.5" hidden="1"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2:26" ht="13.5" hidden="1"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2:26" ht="13.5" hidden="1"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2:26" ht="13.5" hidden="1"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2:26" ht="13.5" hidden="1"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2:26" ht="13.5" hidden="1"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2:26" ht="13.5" hidden="1"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2:26" ht="13.5" hidden="1"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2:26" ht="13.5" hidden="1"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2:26" ht="13.5" hidden="1"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2:26" ht="13.5" hidden="1"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2:26" ht="13.5" hidden="1"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2:26" ht="13.5" hidden="1"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2:26" ht="13.5" hidden="1"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2:26" ht="13.5" hidden="1"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2:26" ht="13.5" hidden="1"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2:26" ht="13.5" hidden="1"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2:26" ht="13.5" hidden="1"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2:26" ht="13.5" hidden="1"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2:26" ht="13.5" hidden="1"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2:26" ht="13.5" hidden="1"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2:26" ht="13.5" hidden="1"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2:26" ht="13.5" hidden="1"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2:26" ht="13.5" hidden="1"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2:26" ht="13.5" hidden="1"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2:26" ht="13.5" hidden="1"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2:26" ht="13.5" hidden="1"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2:26" ht="13.5" hidden="1"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2:26" ht="13.5" hidden="1"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2:26" ht="13.5" hidden="1"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2:26" ht="13.5" hidden="1"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2:26" ht="13.5" hidden="1"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2:26" ht="13.5" hidden="1"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2:26" ht="13.5" hidden="1"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2:26" ht="13.5" hidden="1"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2:26" ht="13.5" hidden="1"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2:26" ht="13.5" hidden="1"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2:26" ht="13.5" hidden="1"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2:26" ht="13.5" hidden="1"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2:26" ht="13.5" hidden="1"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2:26" ht="13.5" hidden="1"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2:26" ht="13.5" hidden="1"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2:26" ht="13.5" hidden="1"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2:26" ht="13.5" hidden="1"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2:26" ht="13.5" hidden="1"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2:26" ht="13.5" hidden="1"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2:26" ht="13.5" hidden="1"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2:26" ht="13.5" hidden="1"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2:26" ht="13.5" hidden="1"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2:26" ht="13.5" hidden="1"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2:26" ht="13.5" hidden="1"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2:26" ht="13.5" hidden="1"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2:26" ht="13.5" hidden="1"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2:26" ht="13.5" hidden="1"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2:26" ht="13.5" hidden="1"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2:26" ht="13.5" hidden="1"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2:26" ht="13.5" hidden="1"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2:26" ht="13.5" hidden="1"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2:26" ht="13.5" hidden="1"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2:26" ht="13.5" hidden="1"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2:26" ht="13.5" hidden="1"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2:26" ht="13.5" hidden="1"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2:26" ht="13.5" hidden="1"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2:26" ht="13.5" hidden="1"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2:26" ht="13.5" hidden="1"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2:26" ht="13.5" hidden="1"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2:26" ht="13.5" hidden="1"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2:26" ht="13.5" hidden="1"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2:26" ht="13.5" hidden="1"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2:26" ht="13.5" hidden="1"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2:26" ht="13.5" hidden="1"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2:26" ht="13.5" hidden="1"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2:26" ht="13.5" hidden="1"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2:26" ht="13.5" hidden="1"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2:26" ht="13.5" hidden="1"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2:26" ht="13.5" hidden="1"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2:26" ht="13.5" hidden="1"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2:26" ht="13.5" hidden="1"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2:26" ht="13.5" hidden="1"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2:26" ht="13.5" hidden="1"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2:26" ht="13.5" hidden="1"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2:26" ht="13.5" hidden="1"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2:26" ht="13.5" hidden="1"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2:26" ht="13.5" hidden="1"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2:26" ht="13.5" hidden="1"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2:26" ht="13.5" hidden="1"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2:26" ht="13.5" hidden="1"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2:26" ht="13.5" hidden="1"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2:26" ht="13.5" hidden="1"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2:26" ht="13.5" hidden="1"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2:26" ht="13.5" hidden="1"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2:26" ht="13.5" hidden="1"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2:26" ht="13.5" hidden="1"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2:26" ht="13.5" hidden="1"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2:26" ht="13.5" hidden="1"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2:26" ht="13.5" hidden="1"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2:26" ht="13.5" hidden="1"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2:26" ht="13.5" hidden="1"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2:26" ht="13.5" hidden="1"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2:26" ht="13.5" hidden="1"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2:26" ht="13.5" hidden="1"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2:26" ht="13.5" hidden="1"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2:26" ht="13.5" hidden="1"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2:26" ht="13.5" hidden="1"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2:26" ht="13.5" hidden="1"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2:26" ht="13.5" hidden="1"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2:26" ht="13.5" hidden="1"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2:26" ht="13.5" hidden="1"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2:26" ht="13.5" hidden="1"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교육과정편제표(스마트기계과)</vt:lpstr>
      <vt:lpstr>교육과정편제표(전기시스템제어과)</vt:lpstr>
      <vt:lpstr>교육과정편제표(식품제조공정과)</vt:lpstr>
      <vt:lpstr>실무과목 능력단위(스마트기계과)</vt:lpstr>
      <vt:lpstr>실무과목 능력단위(전기시스템제어과)</vt:lpstr>
      <vt:lpstr>실무과목 능력단위(식품제조공정과)</vt:lpstr>
      <vt:lpstr>삭제금지</vt:lpstr>
      <vt:lpstr>(참고1) 편성 기준🔐</vt:lpstr>
      <vt:lpstr>'교육과정편제표(스마트기계과)'!Print_Area</vt:lpstr>
      <vt:lpstr>'교육과정편제표(식품제조공정과)'!Print_Area</vt:lpstr>
      <vt:lpstr>'교육과정편제표(전기시스템제어과)'!Print_Area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2025-10-17T02:12:21Z</cp:lastPrinted>
  <dcterms:created xsi:type="dcterms:W3CDTF">2020-03-04T02:26:59Z</dcterms:created>
  <dcterms:modified xsi:type="dcterms:W3CDTF">2026-10-22T05:08:49Z</dcterms:modified>
</cp:coreProperties>
</file>