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5A46000-534F-499B-9FA2-EE64715152BE}" xr6:coauthVersionLast="47" xr6:coauthVersionMax="47" xr10:uidLastSave="{00000000-0000-0000-0000-000000000000}"/>
  <bookViews>
    <workbookView xWindow="28680" yWindow="-120" windowWidth="29040" windowHeight="15720" tabRatio="795" activeTab="1" xr2:uid="{00000000-000D-0000-FFFF-FFFF00000000}"/>
  </bookViews>
  <sheets>
    <sheet name="교육과정편제표(농업과)" sheetId="18" r:id="rId1"/>
    <sheet name="실무과목 능력단위(농업과)" sheetId="19" r:id="rId2"/>
    <sheet name="삭제금지" sheetId="4" r:id="rId3"/>
    <sheet name="(참고1) 편성 기준🔐" sheetId="16" r:id="rId4"/>
  </sheets>
  <definedNames>
    <definedName name="_xlnm._FilterDatabase" localSheetId="0" hidden="1">'교육과정편제표(농업과)'!$M$3:$P$4</definedName>
    <definedName name="_xlnm._FilterDatabase" localSheetId="2" hidden="1">삭제금지!$A$1:$F$151</definedName>
    <definedName name="_xlnm._FilterDatabase" localSheetId="1" hidden="1">'실무과목 능력단위(농업과)'!#REF!</definedName>
    <definedName name="_xlnm.Print_Area" localSheetId="0">'교육과정편제표(농업과)'!$A$1:$AE$89</definedName>
    <definedName name="_xlnm.Print_Area" localSheetId="1">'실무과목 능력단위(농업과)'!$A$1:$V$35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9" l="1"/>
  <c r="K9" i="19"/>
  <c r="K15" i="19" s="1"/>
  <c r="T9" i="19"/>
  <c r="I10" i="19"/>
  <c r="I15" i="19" s="1"/>
  <c r="K10" i="19"/>
  <c r="T10" i="19"/>
  <c r="U11" i="19"/>
  <c r="T12" i="19"/>
  <c r="T15" i="19" s="1"/>
  <c r="U12" i="19"/>
  <c r="T13" i="19"/>
  <c r="U13" i="19"/>
  <c r="T14" i="19"/>
  <c r="U14" i="19"/>
  <c r="H15" i="19"/>
  <c r="J15" i="19"/>
  <c r="L15" i="19"/>
  <c r="M15" i="19"/>
  <c r="N15" i="19"/>
  <c r="O15" i="19"/>
  <c r="P15" i="19"/>
  <c r="Q15" i="19"/>
  <c r="R15" i="19"/>
  <c r="S15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L25" i="19"/>
  <c r="L30" i="19" s="1"/>
  <c r="M25" i="19"/>
  <c r="N25" i="19"/>
  <c r="O25" i="19"/>
  <c r="O30" i="19" s="1"/>
  <c r="T25" i="19"/>
  <c r="U25" i="19"/>
  <c r="H30" i="19"/>
  <c r="I30" i="19"/>
  <c r="J30" i="19"/>
  <c r="K30" i="19"/>
  <c r="M30" i="19"/>
  <c r="N30" i="19"/>
  <c r="P30" i="19"/>
  <c r="Q30" i="19"/>
  <c r="R30" i="19"/>
  <c r="S30" i="19"/>
  <c r="T30" i="19"/>
  <c r="U30" i="19"/>
  <c r="W9" i="18"/>
  <c r="X9" i="18" s="1"/>
  <c r="W10" i="18"/>
  <c r="W11" i="18"/>
  <c r="W12" i="18"/>
  <c r="W13" i="18"/>
  <c r="W14" i="18"/>
  <c r="W15" i="18"/>
  <c r="X15" i="18" s="1"/>
  <c r="W16" i="18"/>
  <c r="W17" i="18"/>
  <c r="W18" i="18"/>
  <c r="X18" i="18" s="1"/>
  <c r="W19" i="18"/>
  <c r="W21" i="18"/>
  <c r="W23" i="18"/>
  <c r="X23" i="18" s="1"/>
  <c r="W24" i="18"/>
  <c r="W25" i="18"/>
  <c r="X25" i="18" s="1"/>
  <c r="W27" i="18"/>
  <c r="W28" i="18"/>
  <c r="X28" i="18" s="1"/>
  <c r="W30" i="18"/>
  <c r="W32" i="18"/>
  <c r="X32" i="18" s="1"/>
  <c r="W33" i="18"/>
  <c r="J35" i="18"/>
  <c r="W35" i="18"/>
  <c r="X35" i="18" s="1"/>
  <c r="J36" i="18"/>
  <c r="W36" i="18"/>
  <c r="W37" i="18"/>
  <c r="W38" i="18"/>
  <c r="W39" i="18"/>
  <c r="W40" i="18"/>
  <c r="W41" i="18"/>
  <c r="W44" i="18"/>
  <c r="H58" i="18"/>
  <c r="J58" i="18"/>
  <c r="K58" i="18"/>
  <c r="M58" i="18"/>
  <c r="O58" i="18"/>
  <c r="Q58" i="18"/>
  <c r="S58" i="18"/>
  <c r="U58" i="18"/>
  <c r="W58" i="18"/>
  <c r="Y58" i="18"/>
  <c r="AA58" i="18" s="1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H79" i="18"/>
  <c r="I79" i="18"/>
  <c r="J79" i="18"/>
  <c r="K79" i="18"/>
  <c r="M79" i="18"/>
  <c r="O79" i="18"/>
  <c r="O81" i="18" s="1"/>
  <c r="Q79" i="18"/>
  <c r="S79" i="18"/>
  <c r="U79" i="18"/>
  <c r="Y79" i="18"/>
  <c r="H81" i="18"/>
  <c r="I81" i="18"/>
  <c r="J81" i="18"/>
  <c r="K81" i="18"/>
  <c r="M81" i="18"/>
  <c r="Q81" i="18"/>
  <c r="S81" i="18"/>
  <c r="U81" i="18"/>
  <c r="Y81" i="18"/>
  <c r="W82" i="18"/>
  <c r="Y82" i="18"/>
  <c r="K85" i="18"/>
  <c r="W85" i="18" s="1"/>
  <c r="AA86" i="18" s="1"/>
  <c r="M85" i="18"/>
  <c r="O85" i="18"/>
  <c r="Q85" i="18"/>
  <c r="Q86" i="18" s="1"/>
  <c r="S85" i="18"/>
  <c r="S86" i="18" s="1"/>
  <c r="S87" i="18" s="1"/>
  <c r="U85" i="18"/>
  <c r="M86" i="18"/>
  <c r="U86" i="18"/>
  <c r="U10" i="19" l="1"/>
  <c r="U9" i="19"/>
  <c r="O86" i="18"/>
  <c r="O87" i="18" s="1"/>
  <c r="W81" i="18"/>
  <c r="AA83" i="18" s="1"/>
  <c r="W79" i="18"/>
  <c r="K86" i="18"/>
  <c r="U15" i="19" l="1"/>
  <c r="W86" i="18"/>
  <c r="AA88" i="18" s="1"/>
  <c r="K87" i="18"/>
  <c r="W87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59" authorId="0" shapeId="0" xr:uid="{E6D04742-BC76-4EEF-B442-B61C50CA9622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0" authorId="0" shapeId="0" xr:uid="{546D1A69-6A21-417A-B389-69E34A3EDB4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79" authorId="0" shapeId="0" xr:uid="{A9396124-A5AA-4D8B-84C5-214295CDEA4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<sst xmlns="http://schemas.openxmlformats.org/spreadsheetml/2006/main" count="1483" uniqueCount="586">
  <si>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</si>
  <si>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</si>
  <si>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</si>
  <si>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</si>
  <si>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</si>
  <si>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</si>
  <si>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</si>
  <si>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</si>
  <si>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</si>
  <si>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</si>
  <si>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</si>
  <si>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</si>
  <si>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</si>
  <si>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</si>
  <si>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</si>
  <si>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</si>
  <si>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</si>
  <si>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</si>
  <si>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</si>
  <si>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</si>
  <si>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</si>
  <si>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</si>
  <si>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</si>
  <si>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</si>
  <si>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</si>
  <si>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</si>
  <si>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</si>
  <si>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</si>
  <si>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</si>
  <si>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</si>
  <si>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</si>
  <si>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</si>
  <si>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</si>
  <si>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</si>
  <si>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</si>
  <si>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</si>
  <si>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</si>
  <si>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</si>
  <si>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</si>
  <si>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</si>
  <si>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</si>
  <si>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</si>
  <si>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</si>
  <si>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</si>
  <si>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</si>
  <si>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</si>
  <si>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</si>
  <si>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</si>
  <si>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</si>
  <si>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</si>
  <si>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</si>
  <si>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</si>
  <si>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</si>
  <si>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</si>
  <si>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</si>
  <si>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</si>
  <si>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</si>
  <si>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</si>
  <si>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</si>
  <si>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</si>
  <si>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</si>
  <si>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</si>
  <si>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</si>
  <si>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</si>
  <si>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</si>
  <si>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</si>
  <si>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</si>
  <si>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</si>
  <si>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</si>
  <si>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</si>
  <si>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</si>
  <si>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</si>
  <si>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</si>
  <si>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</si>
  <si>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</si>
  <si>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</si>
  <si>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</si>
  <si>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</si>
  <si>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</si>
  <si>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</si>
  <si>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</si>
  <si>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</si>
  <si>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</si>
  <si>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</si>
  <si>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</si>
  <si>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</si>
  <si>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</si>
  <si>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</si>
  <si>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</si>
  <si>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</si>
  <si>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</si>
  <si>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</si>
  <si>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</si>
  <si>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</si>
  <si>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</si>
  <si>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</si>
  <si>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</si>
  <si>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</si>
  <si>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</si>
  <si>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</si>
  <si>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</si>
  <si>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</si>
  <si>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</si>
  <si>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</si>
  <si>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</si>
  <si>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</si>
  <si>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</si>
  <si>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</si>
  <si>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</si>
  <si>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</si>
  <si>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</si>
  <si>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</si>
  <si>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</si>
  <si>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</si>
  <si>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</si>
  <si>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</si>
  <si>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</si>
  <si>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</si>
  <si>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</si>
  <si>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</si>
  <si>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</si>
  <si>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</si>
  <si>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</si>
  <si>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</si>
  <si>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</si>
  <si>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</si>
  <si>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</si>
  <si>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</si>
  <si>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</si>
  <si>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</si>
  <si>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</si>
  <si>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</si>
  <si>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</si>
  <si>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</si>
  <si>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</si>
  <si>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</si>
  <si>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</si>
  <si>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</si>
  <si>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</si>
  <si>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</si>
  <si>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</si>
  <si>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</si>
  <si>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</si>
  <si>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</si>
  <si>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</si>
  <si>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</si>
  <si>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</si>
  <si>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</si>
  <si>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</si>
  <si>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</si>
  <si>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</si>
  <si>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</si>
  <si>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</si>
  <si>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</si>
  <si>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</si>
  <si>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</si>
  <si>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</si>
  <si>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</si>
  <si>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</si>
  <si>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</si>
  <si>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</si>
  <si>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</si>
  <si>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</si>
  <si>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</si>
  <si>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</si>
  <si>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</si>
  <si>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</si>
  <si>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</si>
  <si>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</si>
  <si>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</si>
  <si>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</si>
  <si>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</si>
  <si>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</si>
  <si>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</si>
  <si>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</si>
  <si>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</si>
  <si>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</si>
  <si>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</si>
  <si>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</si>
  <si>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</si>
  <si>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</si>
  <si>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</si>
  <si>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</si>
  <si>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</si>
  <si>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</si>
  <si>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</si>
  <si>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</si>
  <si>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</si>
  <si>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</si>
  <si>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</si>
  <si>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</si>
  <si>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</si>
  <si>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</si>
  <si>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</si>
  <si>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</si>
  <si>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</si>
  <si>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</si>
  <si>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</si>
  <si>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</si>
  <si>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</si>
  <si>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</si>
  <si>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</si>
  <si>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</si>
  <si>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</si>
  <si>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</si>
  <si>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</si>
  <si>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</si>
  <si>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</si>
  <si>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</si>
  <si>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</si>
  <si>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</si>
  <si>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</si>
  <si>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</si>
  <si>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</si>
  <si>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</si>
  <si>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</si>
  <si>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</si>
  <si>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</si>
  <si>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</si>
  <si>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</si>
  <si>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</si>
  <si>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</si>
  <si>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</si>
  <si>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</si>
  <si>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</si>
  <si>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</si>
  <si>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</si>
  <si>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</si>
  <si>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</si>
  <si>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</si>
  <si>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</si>
  <si>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</si>
  <si>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</si>
  <si>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</si>
  <si>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</si>
  <si>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</si>
  <si>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</si>
  <si>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</si>
  <si>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</si>
  <si>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</si>
  <si>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</si>
  <si>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</si>
  <si>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</si>
  <si>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</si>
  <si>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</si>
  <si>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</si>
  <si>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</si>
  <si>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</si>
  <si>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</si>
  <si>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</si>
  <si>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</si>
  <si>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</si>
  <si>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</si>
  <si>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</si>
  <si>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</si>
  <si>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</si>
  <si>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</si>
  <si>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</si>
  <si>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</si>
  <si>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</si>
  <si>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</si>
  <si>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</si>
  <si>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</si>
  <si>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</si>
  <si>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</si>
  <si>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</si>
  <si>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</si>
  <si>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</si>
  <si>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</si>
  <si>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</si>
  <si>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</si>
  <si>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</si>
  <si>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</si>
  <si>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</si>
  <si>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</si>
  <si>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</si>
  <si>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</si>
  <si>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</si>
  <si>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</si>
  <si>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</si>
  <si>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</si>
  <si>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</si>
  <si>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</si>
  <si>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</si>
  <si>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</si>
  <si>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</si>
  <si>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</si>
  <si>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</si>
  <si>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</si>
  <si>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</si>
  <si>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</si>
  <si>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</si>
  <si>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</si>
  <si>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</si>
  <si>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</si>
  <si>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</si>
  <si>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</si>
  <si>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</si>
  <si>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</si>
  <si>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</si>
  <si>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</si>
  <si>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</si>
  <si>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</si>
  <si>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</si>
  <si>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</si>
  <si>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</si>
  <si>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</si>
  <si>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</si>
  <si>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</si>
  <si>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</si>
  <si>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</si>
  <si>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</si>
  <si>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</si>
  <si>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</si>
  <si>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</si>
  <si>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</si>
  <si>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</si>
  <si>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</si>
  <si>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</si>
  <si>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</si>
  <si>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</si>
  <si>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</si>
  <si>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</si>
  <si>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</si>
  <si>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</si>
  <si>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</si>
  <si>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</si>
  <si>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</si>
  <si>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</si>
  <si>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</si>
  <si>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</si>
  <si>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</si>
  <si>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</si>
  <si>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</si>
  <si>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</si>
  <si>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</si>
  <si>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</si>
  <si>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</si>
  <si>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</si>
  <si>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</si>
  <si>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</si>
  <si>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</si>
  <si>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</si>
  <si>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</si>
  <si>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</si>
  <si>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</si>
  <si>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</si>
  <si>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</si>
  <si>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</si>
  <si>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</si>
  <si>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</si>
  <si>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</si>
  <si>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심화코스1</t>
    <phoneticPr fontId="9" type="noConversion"/>
  </si>
  <si>
    <t>심화코스2</t>
    <phoneticPr fontId="9" type="noConversion"/>
  </si>
  <si>
    <t>식품·조리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</si>
  <si>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</si>
  <si>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</si>
  <si>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</si>
  <si>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</si>
  <si>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</si>
  <si>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</si>
  <si>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</si>
  <si>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</si>
  <si>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</si>
  <si>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</si>
  <si>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</si>
  <si>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</si>
  <si>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</si>
  <si>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</si>
  <si>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</si>
  <si>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</si>
  <si>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</si>
  <si>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</si>
  <si>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</si>
  <si>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</si>
  <si>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</si>
  <si>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</si>
  <si>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</si>
  <si>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</si>
  <si>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</si>
  <si>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</si>
  <si>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</si>
  <si>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</si>
  <si>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</si>
  <si>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</si>
  <si>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</si>
  <si>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</si>
  <si>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</si>
  <si>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</si>
  <si>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</si>
  <si>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</si>
  <si>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</si>
  <si>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</si>
  <si>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</si>
  <si>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</si>
  <si>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</si>
  <si>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</si>
  <si>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</si>
  <si>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</si>
  <si>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</si>
  <si>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</si>
  <si>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</si>
  <si>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</si>
  <si>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</si>
  <si>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</si>
  <si>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</si>
  <si>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</si>
  <si>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</si>
  <si>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</si>
  <si>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</si>
  <si>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</si>
  <si>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</si>
  <si>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</si>
  <si>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</si>
  <si>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</si>
  <si>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</si>
  <si>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</si>
  <si>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</si>
  <si>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</si>
  <si>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</si>
  <si>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</si>
  <si>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</si>
  <si>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</si>
  <si>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</si>
  <si>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</si>
  <si>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</si>
  <si>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</si>
  <si>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</si>
  <si>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</si>
  <si>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</si>
  <si>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</si>
  <si>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</si>
  <si>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</si>
  <si>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</si>
  <si>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</si>
  <si>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</si>
  <si>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</si>
  <si>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</si>
  <si>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</si>
  <si>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</si>
  <si>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</si>
  <si>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</si>
  <si>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</si>
  <si>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</si>
  <si>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</si>
  <si>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</si>
  <si>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</si>
  <si>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</si>
  <si>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</si>
  <si>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</si>
  <si>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</si>
  <si>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</si>
  <si>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</si>
  <si>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</si>
  <si>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</si>
  <si>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</si>
  <si>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</si>
  <si>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</si>
  <si>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</si>
  <si>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</si>
  <si>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</si>
  <si>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</si>
  <si>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</si>
  <si>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</si>
  <si>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</si>
  <si>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</si>
  <si>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</si>
  <si>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</si>
  <si>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</si>
  <si>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</si>
  <si>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</si>
  <si>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</si>
  <si>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</si>
  <si>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</si>
  <si>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</si>
  <si>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</si>
  <si>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</si>
  <si>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</si>
  <si>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</si>
  <si>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</si>
  <si>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</si>
  <si>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</si>
  <si>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</si>
  <si>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</si>
  <si>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</si>
  <si>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</si>
  <si>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</si>
  <si>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</si>
  <si>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</si>
  <si>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</si>
  <si>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</si>
  <si>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</si>
  <si>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</si>
  <si>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</si>
  <si>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</si>
  <si>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</si>
  <si>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</si>
  <si>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</si>
  <si>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</si>
  <si>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</si>
  <si>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</si>
  <si>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</si>
  <si>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</si>
  <si>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</si>
  <si>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</si>
  <si>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</si>
  <si>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</si>
  <si>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</si>
  <si>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</si>
  <si>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동물 자원</t>
    <phoneticPr fontId="9" type="noConversion"/>
  </si>
  <si>
    <t>농림·축산</t>
    <phoneticPr fontId="9" type="noConversion"/>
  </si>
  <si>
    <t>심화코스4</t>
    <phoneticPr fontId="9" type="noConversion"/>
  </si>
  <si>
    <t>재배</t>
    <phoneticPr fontId="9" type="noConversion"/>
  </si>
  <si>
    <t>심화코스3</t>
    <phoneticPr fontId="9" type="noConversion"/>
  </si>
  <si>
    <t>가금 사육</t>
    <phoneticPr fontId="9" type="noConversion"/>
  </si>
  <si>
    <t>친환경 농업</t>
    <phoneticPr fontId="9" type="noConversion"/>
  </si>
  <si>
    <t>채소 재배</t>
    <phoneticPr fontId="9" type="noConversion"/>
  </si>
  <si>
    <t>한국 의복 구성과 생산</t>
    <phoneticPr fontId="9" type="noConversion"/>
  </si>
  <si>
    <t>섬유·의류</t>
    <phoneticPr fontId="9" type="noConversion"/>
  </si>
  <si>
    <t>농업용 기계 설치·정비</t>
    <phoneticPr fontId="9" type="noConversion"/>
  </si>
  <si>
    <t>기초 조리</t>
    <phoneticPr fontId="9" type="noConversion"/>
  </si>
  <si>
    <t>식품 과학</t>
    <phoneticPr fontId="9" type="noConversion"/>
  </si>
  <si>
    <t>조경 식물 관리</t>
    <phoneticPr fontId="9" type="noConversion"/>
  </si>
  <si>
    <t>화훼재배</t>
    <phoneticPr fontId="9" type="noConversion"/>
  </si>
  <si>
    <t>원예</t>
    <phoneticPr fontId="9" type="noConversion"/>
  </si>
  <si>
    <t>환경과 생태</t>
    <phoneticPr fontId="9" type="noConversion"/>
  </si>
  <si>
    <t>환경·안전·소방</t>
    <phoneticPr fontId="9" type="noConversion"/>
  </si>
  <si>
    <t>인간과 환경</t>
    <phoneticPr fontId="9" type="noConversion"/>
  </si>
  <si>
    <t>농산물 유통</t>
    <phoneticPr fontId="9" type="noConversion"/>
  </si>
  <si>
    <t>농업 이해</t>
    <phoneticPr fontId="9" type="noConversion"/>
  </si>
  <si>
    <t>농업 생산 환경 일반</t>
    <phoneticPr fontId="9" type="noConversion"/>
  </si>
  <si>
    <t>농업 기초 기술</t>
    <phoneticPr fontId="5" type="noConversion"/>
  </si>
  <si>
    <t>농업과 직업</t>
    <phoneticPr fontId="5" type="noConversion"/>
  </si>
  <si>
    <t>성공적인 직업생활</t>
    <phoneticPr fontId="9" type="noConversion"/>
  </si>
  <si>
    <t>삶과 종교</t>
    <phoneticPr fontId="9" type="noConversion"/>
  </si>
  <si>
    <t>일반선택</t>
  </si>
  <si>
    <t>진로선택</t>
  </si>
  <si>
    <t>운동과 건강</t>
    <phoneticPr fontId="9" type="noConversion"/>
  </si>
  <si>
    <t>동아시아 역사 기행</t>
    <phoneticPr fontId="9" type="noConversion"/>
  </si>
  <si>
    <t>사회(역사/도덕 포함)</t>
  </si>
  <si>
    <t>기본영어2</t>
    <phoneticPr fontId="9" type="noConversion"/>
  </si>
  <si>
    <t>041-633-3021</t>
    <phoneticPr fontId="9" type="noConversion"/>
  </si>
  <si>
    <t>백원종</t>
    <phoneticPr fontId="9" type="noConversion"/>
  </si>
  <si>
    <t>농업과</t>
  </si>
  <si>
    <t>농림수산</t>
  </si>
  <si>
    <t>풀무농업고등기술학교</t>
    <phoneticPr fontId="9" type="noConversion"/>
  </si>
  <si>
    <t>김우인</t>
    <phoneticPr fontId="9" type="noConversion"/>
  </si>
  <si>
    <t>2402020301_20v3</t>
    <phoneticPr fontId="9" type="noConversion"/>
  </si>
  <si>
    <t>가금 입추전관리</t>
    <phoneticPr fontId="9" type="noConversion"/>
  </si>
  <si>
    <t>2402020303_13v1</t>
  </si>
  <si>
    <t>가금 사료관리</t>
    <phoneticPr fontId="9" type="noConversion"/>
  </si>
  <si>
    <t>2402020312_16v2</t>
  </si>
  <si>
    <t>산란가금 사양관리</t>
    <phoneticPr fontId="9" type="noConversion"/>
  </si>
  <si>
    <t>2402020319_20v1</t>
  </si>
  <si>
    <t>가금 부화관리</t>
    <phoneticPr fontId="9" type="noConversion"/>
  </si>
  <si>
    <t>가금사육</t>
    <phoneticPr fontId="9" type="noConversion"/>
  </si>
  <si>
    <t>2401010510_20v3</t>
    <phoneticPr fontId="9" type="noConversion"/>
  </si>
  <si>
    <t>화훼 이용</t>
    <phoneticPr fontId="9" type="noConversion"/>
  </si>
  <si>
    <t>2401010504_20v3</t>
    <phoneticPr fontId="9" type="noConversion"/>
  </si>
  <si>
    <t>화훼 재배관리</t>
    <phoneticPr fontId="9" type="noConversion"/>
  </si>
  <si>
    <t>2401010502_20v3</t>
    <phoneticPr fontId="9" type="noConversion"/>
  </si>
  <si>
    <t>화훼 번식</t>
    <phoneticPr fontId="9" type="noConversion"/>
  </si>
  <si>
    <t>1802020521_24v2</t>
    <phoneticPr fontId="9" type="noConversion"/>
  </si>
  <si>
    <t>한복 기초 겉·안감 합봉</t>
    <phoneticPr fontId="9" type="noConversion"/>
  </si>
  <si>
    <t>1802020509_18v3</t>
    <phoneticPr fontId="9" type="noConversion"/>
  </si>
  <si>
    <t>한복 완성 바느질</t>
    <phoneticPr fontId="9" type="noConversion"/>
  </si>
  <si>
    <t>1505010616_18v4</t>
  </si>
  <si>
    <t>농업용기계 작업기정비</t>
    <phoneticPr fontId="9" type="noConversion"/>
  </si>
  <si>
    <t>1505010611_14v2</t>
  </si>
  <si>
    <t>농업용기계 운반</t>
  </si>
  <si>
    <t>농업용 기계 설치 정비</t>
    <phoneticPr fontId="9" type="noConversion"/>
  </si>
  <si>
    <t>2401010321_16v3</t>
    <phoneticPr fontId="9" type="noConversion"/>
  </si>
  <si>
    <t>채소 충해 관리</t>
  </si>
  <si>
    <t>2401010320_16v3</t>
    <phoneticPr fontId="9" type="noConversion"/>
  </si>
  <si>
    <t>채소 병해 관리</t>
  </si>
  <si>
    <t>2401010302_14v2</t>
    <phoneticPr fontId="9" type="noConversion"/>
  </si>
  <si>
    <t>채소재배포장관리</t>
    <phoneticPr fontId="9" type="noConversion"/>
  </si>
  <si>
    <t>2401010303_14v2</t>
    <phoneticPr fontId="9" type="noConversion"/>
  </si>
  <si>
    <t>채소재배관리</t>
  </si>
  <si>
    <t>2401010301_14v2</t>
    <phoneticPr fontId="9" type="noConversion"/>
  </si>
  <si>
    <t>채소육묘</t>
  </si>
  <si>
    <t>2401010309_14v2</t>
  </si>
  <si>
    <t>채소재배장비자재관리</t>
    <phoneticPr fontId="9" type="noConversion"/>
  </si>
  <si>
    <t>채소재배</t>
    <phoneticPr fontId="9" type="noConversion"/>
  </si>
  <si>
    <t>이수
학점 
합계</t>
    <phoneticPr fontId="9" type="noConversion"/>
  </si>
  <si>
    <t>이수
시간 
합계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</si>
</sst>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0" fillId="0" borderId="0"/>
  </cellStyleXfs>
  <cellXfs count="5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0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0" fillId="0" borderId="0" xfId="0" applyNumberFormat="1" applyFont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4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13" fillId="10" borderId="95" xfId="6" applyFont="1" applyFill="1" applyBorder="1" applyAlignment="1" applyProtection="1">
      <alignment horizontal="center" vertical="center" wrapText="1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1" fillId="12" borderId="97" xfId="0" applyFont="1" applyFill="1" applyBorder="1" applyAlignment="1" applyProtection="1">
      <alignment horizontal="center" vertical="center"/>
      <protection locked="0"/>
    </xf>
    <xf numFmtId="0" fontId="23" fillId="3" borderId="55" xfId="3" applyFont="1" applyBorder="1" applyAlignment="1" applyProtection="1">
      <alignment horizontal="center" vertical="center"/>
      <protection locked="0"/>
    </xf>
    <xf numFmtId="0" fontId="12" fillId="12" borderId="112" xfId="0" applyFont="1" applyFill="1" applyBorder="1" applyAlignment="1" applyProtection="1">
      <alignment horizontal="center" vertical="center"/>
      <protection locked="0"/>
    </xf>
    <xf numFmtId="0" fontId="27" fillId="15" borderId="40" xfId="4" applyFont="1" applyFill="1" applyBorder="1" applyAlignment="1" applyProtection="1">
      <alignment horizontal="center" vertical="center" wrapText="1"/>
    </xf>
    <xf numFmtId="0" fontId="27" fillId="15" borderId="43" xfId="4" applyFont="1" applyFill="1" applyBorder="1" applyAlignment="1" applyProtection="1">
      <alignment horizontal="center" vertical="center" wrapText="1"/>
    </xf>
    <xf numFmtId="0" fontId="27" fillId="15" borderId="56" xfId="4" applyFont="1" applyFill="1" applyBorder="1" applyAlignment="1" applyProtection="1">
      <alignment horizontal="center" vertical="center" wrapText="1"/>
    </xf>
    <xf numFmtId="0" fontId="27" fillId="0" borderId="57" xfId="4" applyFont="1" applyFill="1" applyBorder="1" applyAlignment="1" applyProtection="1">
      <alignment horizontal="center" vertical="center" wrapText="1"/>
    </xf>
    <xf numFmtId="0" fontId="27" fillId="0" borderId="101" xfId="4" applyFont="1" applyFill="1" applyBorder="1" applyAlignment="1" applyProtection="1">
      <alignment horizontal="center" vertical="center" wrapText="1"/>
    </xf>
    <xf numFmtId="0" fontId="27" fillId="15" borderId="68" xfId="4" applyFont="1" applyFill="1" applyBorder="1" applyAlignment="1" applyProtection="1">
      <alignment horizontal="center" vertical="center" wrapText="1"/>
    </xf>
    <xf numFmtId="0" fontId="27" fillId="15" borderId="45" xfId="4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4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9" xfId="4" applyFont="1" applyFill="1" applyBorder="1" applyAlignment="1" applyProtection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0" fillId="0" borderId="122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8" borderId="123" xfId="16" applyFont="1" applyFill="1" applyBorder="1" applyAlignment="1">
      <alignment horizontal="center" vertical="center"/>
    </xf>
    <xf numFmtId="0" fontId="34" fillId="0" borderId="124" xfId="16" applyFont="1" applyBorder="1" applyAlignment="1">
      <alignment vertical="center"/>
    </xf>
    <xf numFmtId="0" fontId="34" fillId="0" borderId="27" xfId="16" applyFont="1" applyBorder="1" applyAlignment="1">
      <alignment vertical="center"/>
    </xf>
    <xf numFmtId="0" fontId="34" fillId="0" borderId="24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26" xfId="16" applyFont="1" applyBorder="1" applyAlignment="1">
      <alignment vertical="center"/>
    </xf>
    <xf numFmtId="0" fontId="34" fillId="0" borderId="20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31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21" xfId="16" applyFont="1" applyBorder="1" applyAlignment="1">
      <alignment vertical="center"/>
    </xf>
    <xf numFmtId="0" fontId="34" fillId="0" borderId="18" xfId="16" applyFont="1" applyBorder="1" applyAlignment="1">
      <alignment vertical="center"/>
    </xf>
    <xf numFmtId="0" fontId="34" fillId="20" borderId="137" xfId="16" applyFont="1" applyFill="1" applyBorder="1" applyAlignment="1">
      <alignment horizontal="center" vertical="center" wrapText="1"/>
    </xf>
    <xf numFmtId="0" fontId="34" fillId="20" borderId="138" xfId="16" applyFont="1" applyFill="1" applyBorder="1" applyAlignment="1">
      <alignment horizontal="center" vertical="center" wrapText="1"/>
    </xf>
    <xf numFmtId="0" fontId="46" fillId="20" borderId="138" xfId="16" applyFont="1" applyFill="1" applyBorder="1" applyAlignment="1">
      <alignment horizontal="center" vertical="center" wrapText="1"/>
    </xf>
    <xf numFmtId="0" fontId="46" fillId="20" borderId="139" xfId="16" applyFont="1" applyFill="1" applyBorder="1" applyAlignment="1">
      <alignment horizontal="center" vertical="center" wrapText="1"/>
    </xf>
    <xf numFmtId="0" fontId="34" fillId="0" borderId="20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7" fillId="0" borderId="143" xfId="16" applyFont="1" applyBorder="1" applyAlignment="1">
      <alignment horizontal="center" vertical="center" wrapText="1"/>
    </xf>
    <xf numFmtId="0" fontId="47" fillId="0" borderId="145" xfId="16" applyFont="1" applyBorder="1" applyAlignment="1">
      <alignment horizontal="center" vertical="center" wrapText="1"/>
    </xf>
    <xf numFmtId="0" fontId="47" fillId="0" borderId="149" xfId="16" applyFont="1" applyBorder="1" applyAlignment="1">
      <alignment horizontal="center" vertical="center" wrapText="1"/>
    </xf>
    <xf numFmtId="0" fontId="47" fillId="0" borderId="150" xfId="16" applyFont="1" applyBorder="1" applyAlignment="1">
      <alignment horizontal="center" vertical="center" wrapText="1"/>
    </xf>
    <xf numFmtId="0" fontId="47" fillId="0" borderId="153" xfId="16" applyFont="1" applyBorder="1" applyAlignment="1">
      <alignment horizontal="center" vertical="center" wrapText="1"/>
    </xf>
    <xf numFmtId="0" fontId="47" fillId="0" borderId="154" xfId="16" applyFont="1" applyBorder="1" applyAlignment="1">
      <alignment horizontal="center" vertical="center" wrapText="1"/>
    </xf>
    <xf numFmtId="0" fontId="47" fillId="0" borderId="156" xfId="16" applyFont="1" applyBorder="1" applyAlignment="1">
      <alignment horizontal="center" vertical="center" wrapText="1"/>
    </xf>
    <xf numFmtId="0" fontId="34" fillId="0" borderId="156" xfId="16" applyFont="1" applyBorder="1" applyAlignment="1">
      <alignment horizontal="center" vertical="center" wrapText="1"/>
    </xf>
    <xf numFmtId="0" fontId="47" fillId="0" borderId="157" xfId="16" applyFont="1" applyBorder="1" applyAlignment="1">
      <alignment horizontal="center" vertical="center" wrapText="1"/>
    </xf>
    <xf numFmtId="0" fontId="34" fillId="0" borderId="150" xfId="16" applyFont="1" applyBorder="1" applyAlignment="1">
      <alignment horizontal="center" vertical="center" wrapText="1"/>
    </xf>
    <xf numFmtId="0" fontId="34" fillId="0" borderId="153" xfId="16" applyFont="1" applyBorder="1" applyAlignment="1">
      <alignment horizontal="center" vertical="center" wrapText="1"/>
    </xf>
    <xf numFmtId="0" fontId="47" fillId="0" borderId="129" xfId="16" applyFont="1" applyBorder="1" applyAlignment="1">
      <alignment horizontal="center" vertical="center" wrapText="1"/>
    </xf>
    <xf numFmtId="0" fontId="49" fillId="20" borderId="129" xfId="16" applyFont="1" applyFill="1" applyBorder="1" applyAlignment="1">
      <alignment horizontal="center" vertical="center" wrapText="1"/>
    </xf>
    <xf numFmtId="0" fontId="50" fillId="0" borderId="150" xfId="16" applyFont="1" applyBorder="1" applyAlignment="1">
      <alignment horizontal="center" vertical="center" wrapText="1"/>
    </xf>
    <xf numFmtId="0" fontId="50" fillId="0" borderId="128" xfId="16" applyFont="1" applyBorder="1" applyAlignment="1">
      <alignment horizontal="center" vertical="center" wrapText="1"/>
    </xf>
    <xf numFmtId="0" fontId="49" fillId="0" borderId="129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51" fillId="0" borderId="0" xfId="16" applyFont="1" applyBorder="1" applyAlignment="1">
      <alignment horizontal="center" vertical="center"/>
    </xf>
    <xf numFmtId="0" fontId="45" fillId="0" borderId="129" xfId="16" applyFont="1" applyBorder="1" applyAlignment="1">
      <alignment horizontal="center" vertical="center"/>
    </xf>
    <xf numFmtId="0" fontId="45" fillId="19" borderId="150" xfId="16" applyFont="1" applyFill="1" applyBorder="1" applyAlignment="1">
      <alignment horizontal="center" vertical="center"/>
    </xf>
    <xf numFmtId="0" fontId="45" fillId="19" borderId="128" xfId="16" applyFont="1" applyFill="1" applyBorder="1" applyAlignment="1">
      <alignment horizontal="center" vertical="center" wrapText="1"/>
    </xf>
    <xf numFmtId="0" fontId="51" fillId="0" borderId="150" xfId="16" applyFont="1" applyBorder="1" applyAlignment="1">
      <alignment horizontal="center" vertical="center" wrapText="1"/>
    </xf>
    <xf numFmtId="0" fontId="51" fillId="0" borderId="129" xfId="16" applyFont="1" applyBorder="1" applyAlignment="1">
      <alignment horizontal="center" vertical="center" wrapText="1"/>
    </xf>
    <xf numFmtId="0" fontId="45" fillId="0" borderId="150" xfId="16" applyFont="1" applyBorder="1" applyAlignment="1">
      <alignment horizontal="center" vertical="center" wrapText="1"/>
    </xf>
    <xf numFmtId="0" fontId="45" fillId="0" borderId="129" xfId="16" applyFont="1" applyBorder="1" applyAlignment="1">
      <alignment horizontal="center" vertical="center" wrapText="1"/>
    </xf>
    <xf numFmtId="0" fontId="34" fillId="0" borderId="150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5" fillId="19" borderId="129" xfId="16" applyFont="1" applyFill="1" applyBorder="1" applyAlignment="1">
      <alignment horizontal="center" vertical="center"/>
    </xf>
    <xf numFmtId="0" fontId="45" fillId="0" borderId="128" xfId="16" applyFont="1" applyBorder="1" applyAlignment="1">
      <alignment horizontal="center" vertical="center"/>
    </xf>
    <xf numFmtId="0" fontId="45" fillId="0" borderId="150" xfId="16" applyFont="1" applyBorder="1" applyAlignment="1">
      <alignment horizontal="center" vertical="center"/>
    </xf>
    <xf numFmtId="0" fontId="52" fillId="0" borderId="150" xfId="16" applyFont="1" applyBorder="1" applyAlignment="1">
      <alignment horizontal="center" vertical="center"/>
    </xf>
    <xf numFmtId="0" fontId="52" fillId="0" borderId="129" xfId="16" applyFont="1" applyBorder="1" applyAlignment="1">
      <alignment horizontal="center" vertical="center"/>
    </xf>
    <xf numFmtId="0" fontId="34" fillId="0" borderId="136" xfId="16" applyFont="1" applyBorder="1" applyAlignment="1">
      <alignment vertical="center"/>
    </xf>
    <xf numFmtId="0" fontId="34" fillId="0" borderId="134" xfId="16" applyFont="1" applyBorder="1" applyAlignment="1">
      <alignment vertical="center"/>
    </xf>
    <xf numFmtId="0" fontId="34" fillId="0" borderId="161" xfId="16" applyFont="1" applyBorder="1" applyAlignment="1">
      <alignment vertical="center"/>
    </xf>
    <xf numFmtId="0" fontId="34" fillId="0" borderId="162" xfId="16" applyFont="1" applyBorder="1" applyAlignment="1">
      <alignment vertical="center"/>
    </xf>
    <xf numFmtId="0" fontId="34" fillId="0" borderId="111" xfId="16" applyFont="1" applyBorder="1" applyAlignment="1">
      <alignment vertical="center"/>
    </xf>
    <xf numFmtId="0" fontId="34" fillId="0" borderId="132" xfId="16" applyFont="1" applyBorder="1" applyAlignment="1">
      <alignment vertical="center"/>
    </xf>
    <xf numFmtId="0" fontId="34" fillId="0" borderId="164" xfId="16" applyFont="1" applyBorder="1" applyAlignment="1">
      <alignment vertical="center"/>
    </xf>
    <xf numFmtId="0" fontId="34" fillId="0" borderId="165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27" fillId="0" borderId="33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7" fillId="15" borderId="166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169" xfId="4" applyFont="1" applyFill="1" applyBorder="1" applyAlignment="1" applyProtection="1">
      <alignment horizontal="center" vertical="center" wrapText="1"/>
    </xf>
    <xf numFmtId="0" fontId="13" fillId="15" borderId="170" xfId="4" applyFont="1" applyFill="1" applyBorder="1" applyAlignment="1" applyProtection="1">
      <alignment horizontal="center" vertical="center" wrapText="1"/>
    </xf>
    <xf numFmtId="0" fontId="13" fillId="15" borderId="166" xfId="4" applyFont="1" applyFill="1" applyBorder="1" applyAlignment="1" applyProtection="1">
      <alignment horizontal="center"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15" borderId="166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38" xfId="0" applyFont="1" applyFill="1" applyBorder="1" applyAlignment="1">
      <alignment horizontal="center" vertical="center" wrapText="1"/>
    </xf>
    <xf numFmtId="0" fontId="13" fillId="15" borderId="100" xfId="0" applyFont="1" applyFill="1" applyBorder="1" applyAlignment="1">
      <alignment horizontal="center" vertical="center" wrapText="1"/>
    </xf>
    <xf numFmtId="0" fontId="13" fillId="15" borderId="177" xfId="4" applyFont="1" applyFill="1" applyBorder="1" applyAlignment="1" applyProtection="1">
      <alignment horizontal="center" vertical="center" wrapText="1"/>
    </xf>
    <xf numFmtId="176" fontId="13" fillId="15" borderId="13" xfId="0" applyNumberFormat="1" applyFont="1" applyFill="1" applyBorder="1" applyAlignment="1">
      <alignment horizontal="center" vertical="center" wrapText="1"/>
    </xf>
    <xf numFmtId="0" fontId="13" fillId="15" borderId="177" xfId="5" applyFont="1" applyFill="1" applyBorder="1" applyAlignment="1" applyProtection="1">
      <alignment horizontal="center" vertical="center" wrapText="1"/>
    </xf>
    <xf numFmtId="176" fontId="13" fillId="15" borderId="16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 applyProtection="1">
      <alignment horizontal="center" vertical="center"/>
      <protection locked="0"/>
    </xf>
    <xf numFmtId="176" fontId="57" fillId="16" borderId="30" xfId="7" applyNumberFormat="1" applyFont="1" applyFill="1" applyBorder="1" applyAlignment="1">
      <alignment horizontal="center" vertical="center" shrinkToFit="1"/>
    </xf>
    <xf numFmtId="176" fontId="57" fillId="16" borderId="97" xfId="7" applyNumberFormat="1" applyFont="1" applyFill="1" applyBorder="1" applyAlignment="1">
      <alignment horizontal="center" vertical="center" shrinkToFit="1"/>
    </xf>
    <xf numFmtId="0" fontId="57" fillId="16" borderId="97" xfId="7" applyFont="1" applyFill="1" applyBorder="1" applyAlignment="1">
      <alignment horizontal="center" vertical="center" shrinkToFit="1"/>
    </xf>
    <xf numFmtId="176" fontId="57" fillId="9" borderId="11" xfId="7" applyNumberFormat="1" applyFont="1" applyFill="1" applyBorder="1" applyAlignment="1">
      <alignment horizontal="center" vertical="center" shrinkToFit="1"/>
    </xf>
    <xf numFmtId="176" fontId="57" fillId="9" borderId="14" xfId="7" applyNumberFormat="1" applyFont="1" applyFill="1" applyBorder="1" applyAlignment="1">
      <alignment horizontal="center" vertical="center" shrinkToFit="1"/>
    </xf>
    <xf numFmtId="0" fontId="57" fillId="9" borderId="14" xfId="7" applyFont="1" applyFill="1" applyBorder="1" applyAlignment="1">
      <alignment horizontal="center" vertical="center" shrinkToFit="1"/>
    </xf>
    <xf numFmtId="0" fontId="58" fillId="0" borderId="14" xfId="0" applyFont="1" applyBorder="1" applyAlignment="1">
      <alignment horizontal="center" vertical="center"/>
    </xf>
    <xf numFmtId="0" fontId="57" fillId="0" borderId="14" xfId="7" applyFont="1" applyBorder="1" applyAlignment="1">
      <alignment horizontal="center" vertical="center" shrinkToFit="1"/>
    </xf>
    <xf numFmtId="0" fontId="58" fillId="0" borderId="14" xfId="0" applyFont="1" applyBorder="1" applyAlignment="1">
      <alignment horizontal="center" vertical="center" wrapText="1"/>
    </xf>
    <xf numFmtId="176" fontId="57" fillId="9" borderId="29" xfId="7" applyNumberFormat="1" applyFont="1" applyFill="1" applyBorder="1" applyAlignment="1">
      <alignment horizontal="center" vertical="center" shrinkToFit="1"/>
    </xf>
    <xf numFmtId="176" fontId="57" fillId="9" borderId="96" xfId="7" applyNumberFormat="1" applyFont="1" applyFill="1" applyBorder="1" applyAlignment="1">
      <alignment horizontal="center" vertical="center" shrinkToFit="1"/>
    </xf>
    <xf numFmtId="0" fontId="57" fillId="0" borderId="96" xfId="7" applyFont="1" applyBorder="1" applyAlignment="1">
      <alignment horizontal="center" vertical="center" shrinkToFit="1"/>
    </xf>
    <xf numFmtId="0" fontId="57" fillId="9" borderId="96" xfId="7" applyFont="1" applyFill="1" applyBorder="1" applyAlignment="1">
      <alignment horizontal="center" vertical="center" shrinkToFit="1"/>
    </xf>
    <xf numFmtId="0" fontId="58" fillId="0" borderId="96" xfId="0" applyFont="1" applyBorder="1" applyAlignment="1">
      <alignment horizontal="center" vertical="center"/>
    </xf>
    <xf numFmtId="176" fontId="57" fillId="16" borderId="178" xfId="7" applyNumberFormat="1" applyFont="1" applyFill="1" applyBorder="1" applyAlignment="1">
      <alignment horizontal="center" vertical="center" shrinkToFit="1"/>
    </xf>
    <xf numFmtId="176" fontId="57" fillId="16" borderId="10" xfId="7" applyNumberFormat="1" applyFont="1" applyFill="1" applyBorder="1" applyAlignment="1">
      <alignment horizontal="center" vertical="center" shrinkToFit="1"/>
    </xf>
    <xf numFmtId="0" fontId="57" fillId="16" borderId="10" xfId="7" applyFont="1" applyFill="1" applyBorder="1" applyAlignment="1">
      <alignment horizontal="center" vertical="center" shrinkToFit="1"/>
    </xf>
    <xf numFmtId="176" fontId="57" fillId="0" borderId="11" xfId="7" applyNumberFormat="1" applyFont="1" applyBorder="1" applyAlignment="1">
      <alignment horizontal="center" vertical="center" shrinkToFit="1"/>
    </xf>
    <xf numFmtId="176" fontId="57" fillId="0" borderId="14" xfId="7" applyNumberFormat="1" applyFont="1" applyBorder="1" applyAlignment="1">
      <alignment horizontal="center" vertical="center" shrinkToFit="1"/>
    </xf>
    <xf numFmtId="176" fontId="57" fillId="0" borderId="29" xfId="7" applyNumberFormat="1" applyFont="1" applyBorder="1" applyAlignment="1">
      <alignment horizontal="center" vertical="center" shrinkToFit="1"/>
    </xf>
    <xf numFmtId="176" fontId="57" fillId="0" borderId="96" xfId="7" applyNumberFormat="1" applyFont="1" applyBorder="1" applyAlignment="1">
      <alignment horizontal="center" vertical="center" shrinkToFit="1"/>
    </xf>
    <xf numFmtId="176" fontId="57" fillId="0" borderId="11" xfId="0" applyNumberFormat="1" applyFont="1" applyBorder="1" applyAlignment="1">
      <alignment horizontal="center" vertical="center"/>
    </xf>
    <xf numFmtId="176" fontId="57" fillId="0" borderId="14" xfId="0" applyNumberFormat="1" applyFont="1" applyBorder="1" applyAlignment="1">
      <alignment horizontal="center" vertical="center"/>
    </xf>
    <xf numFmtId="0" fontId="59" fillId="0" borderId="14" xfId="0" applyFont="1" applyBorder="1" applyAlignment="1">
      <alignment horizontal="center" vertical="center"/>
    </xf>
    <xf numFmtId="176" fontId="57" fillId="0" borderId="29" xfId="0" applyNumberFormat="1" applyFont="1" applyBorder="1" applyAlignment="1">
      <alignment horizontal="center" vertical="center"/>
    </xf>
    <xf numFmtId="176" fontId="57" fillId="0" borderId="96" xfId="0" applyNumberFormat="1" applyFont="1" applyBorder="1" applyAlignment="1">
      <alignment horizontal="center" vertical="center"/>
    </xf>
    <xf numFmtId="0" fontId="59" fillId="0" borderId="96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30" fillId="0" borderId="0" xfId="0" applyFont="1">
      <alignment vertical="center"/>
    </xf>
    <xf numFmtId="0" fontId="57" fillId="0" borderId="96" xfId="0" applyFont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 wrapText="1"/>
    </xf>
    <xf numFmtId="0" fontId="27" fillId="0" borderId="65" xfId="4" applyFont="1" applyFill="1" applyBorder="1" applyAlignment="1" applyProtection="1">
      <alignment vertical="center" wrapText="1"/>
    </xf>
    <xf numFmtId="0" fontId="27" fillId="0" borderId="54" xfId="4" applyFont="1" applyFill="1" applyBorder="1" applyAlignment="1" applyProtection="1">
      <alignment vertical="center" wrapText="1"/>
    </xf>
    <xf numFmtId="0" fontId="27" fillId="0" borderId="33" xfId="4" applyFont="1" applyFill="1" applyBorder="1" applyAlignment="1" applyProtection="1">
      <alignment vertical="center" wrapText="1"/>
    </xf>
    <xf numFmtId="0" fontId="21" fillId="13" borderId="23" xfId="0" applyFont="1" applyFill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71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179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121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0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36" fillId="15" borderId="16" xfId="4" applyFont="1" applyFill="1" applyBorder="1" applyAlignment="1" applyProtection="1">
      <alignment horizontal="center" vertical="center" wrapText="1"/>
    </xf>
    <xf numFmtId="0" fontId="36" fillId="15" borderId="79" xfId="4" applyFont="1" applyFill="1" applyBorder="1" applyAlignment="1" applyProtection="1">
      <alignment horizontal="center" vertical="center" wrapText="1"/>
    </xf>
    <xf numFmtId="0" fontId="13" fillId="0" borderId="6" xfId="4" applyFont="1" applyFill="1" applyBorder="1" applyAlignment="1" applyProtection="1">
      <alignment horizontal="center" vertical="center" wrapText="1"/>
      <protection locked="0"/>
    </xf>
    <xf numFmtId="0" fontId="13" fillId="0" borderId="90" xfId="4" applyFont="1" applyFill="1" applyBorder="1" applyAlignment="1" applyProtection="1">
      <alignment horizontal="center" vertical="center" wrapText="1"/>
      <protection locked="0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89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36" fillId="15" borderId="13" xfId="4" applyFont="1" applyFill="1" applyBorder="1" applyAlignment="1" applyProtection="1">
      <alignment horizontal="center" vertical="center" wrapText="1"/>
    </xf>
    <xf numFmtId="0" fontId="36" fillId="15" borderId="99" xfId="4" applyFont="1" applyFill="1" applyBorder="1" applyAlignment="1" applyProtection="1">
      <alignment horizontal="center" vertical="center" wrapTex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03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0" borderId="104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56" fillId="0" borderId="49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13" fillId="0" borderId="168" xfId="0" applyFont="1" applyBorder="1" applyAlignment="1">
      <alignment horizontal="center" vertical="center"/>
    </xf>
    <xf numFmtId="0" fontId="13" fillId="0" borderId="167" xfId="0" applyFont="1" applyBorder="1" applyAlignment="1">
      <alignment horizontal="center" vertical="center"/>
    </xf>
    <xf numFmtId="0" fontId="56" fillId="0" borderId="0" xfId="0" applyFont="1">
      <alignment vertical="center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20" fillId="15" borderId="4" xfId="4" applyFont="1" applyFill="1" applyBorder="1" applyAlignment="1" applyProtection="1">
      <alignment horizontal="center" vertical="center" wrapText="1"/>
    </xf>
    <xf numFmtId="0" fontId="20" fillId="15" borderId="24" xfId="4" applyFont="1" applyFill="1" applyBorder="1" applyAlignment="1" applyProtection="1">
      <alignment horizontal="center" vertical="center" wrapText="1"/>
    </xf>
    <xf numFmtId="0" fontId="20" fillId="15" borderId="6" xfId="4" applyFont="1" applyFill="1" applyBorder="1" applyAlignment="1" applyProtection="1">
      <alignment horizontal="center" vertical="center" wrapText="1"/>
    </xf>
    <xf numFmtId="0" fontId="20" fillId="15" borderId="20" xfId="4" applyFont="1" applyFill="1" applyBorder="1" applyAlignment="1" applyProtection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107" xfId="4" applyFont="1" applyFill="1" applyBorder="1" applyAlignment="1" applyProtection="1">
      <alignment horizontal="center" vertical="center" wrapText="1"/>
      <protection locked="0"/>
    </xf>
    <xf numFmtId="0" fontId="13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28" xfId="4" applyFont="1" applyFill="1" applyBorder="1" applyAlignment="1" applyProtection="1">
      <alignment horizontal="center" vertical="center" wrapText="1"/>
      <protection locked="0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10" borderId="86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6" borderId="32" xfId="4" applyFont="1" applyFill="1" applyBorder="1" applyAlignment="1" applyProtection="1">
      <alignment horizontal="center" vertical="center" wrapText="1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176" xfId="4" applyFont="1" applyFill="1" applyBorder="1" applyAlignment="1" applyProtection="1">
      <alignment horizontal="center" vertical="center" wrapText="1"/>
      <protection locked="0"/>
    </xf>
    <xf numFmtId="0" fontId="56" fillId="0" borderId="175" xfId="0" applyFont="1" applyBorder="1" applyAlignment="1" applyProtection="1">
      <alignment horizontal="center" vertical="center"/>
      <protection locked="0"/>
    </xf>
    <xf numFmtId="0" fontId="56" fillId="0" borderId="167" xfId="0" applyFont="1" applyBorder="1" applyAlignment="1" applyProtection="1">
      <alignment horizontal="center" vertical="center"/>
      <protection locked="0"/>
    </xf>
    <xf numFmtId="0" fontId="56" fillId="0" borderId="173" xfId="0" applyFont="1" applyBorder="1" applyAlignment="1" applyProtection="1">
      <alignment horizontal="center" vertical="center"/>
      <protection locked="0"/>
    </xf>
    <xf numFmtId="0" fontId="56" fillId="0" borderId="172" xfId="0" applyFont="1" applyBorder="1" applyAlignment="1" applyProtection="1">
      <alignment horizontal="center" vertical="center"/>
      <protection locked="0"/>
    </xf>
    <xf numFmtId="0" fontId="13" fillId="0" borderId="175" xfId="4" applyFont="1" applyFill="1" applyBorder="1" applyAlignment="1" applyProtection="1">
      <alignment horizontal="center" vertical="center" wrapTex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37" fillId="15" borderId="13" xfId="0" applyFont="1" applyFill="1" applyBorder="1" applyAlignment="1">
      <alignment horizontal="center" vertical="center" wrapText="1"/>
    </xf>
    <xf numFmtId="0" fontId="37" fillId="15" borderId="16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177" xfId="5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166" xfId="5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68" xfId="5" applyFont="1" applyFill="1" applyBorder="1" applyAlignment="1" applyProtection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3" fillId="3" borderId="36" xfId="3" applyFont="1" applyBorder="1" applyAlignment="1" applyProtection="1">
      <alignment horizontal="center" vertical="center"/>
      <protection locked="0"/>
    </xf>
    <xf numFmtId="0" fontId="23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20" fillId="0" borderId="107" xfId="0" applyFont="1" applyBorder="1" applyAlignment="1" applyProtection="1">
      <alignment horizontal="center" vertical="center"/>
      <protection locked="0"/>
    </xf>
    <xf numFmtId="0" fontId="20" fillId="0" borderId="28" xfId="0" applyFont="1" applyBorder="1" applyAlignment="1" applyProtection="1">
      <alignment horizontal="center" vertical="center"/>
      <protection locked="0"/>
    </xf>
    <xf numFmtId="0" fontId="20" fillId="0" borderId="23" xfId="0" applyFont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center" vertical="center" wrapText="1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8" xfId="0" applyFont="1" applyBorder="1" applyAlignment="1" applyProtection="1">
      <alignment horizontal="center" vertical="center" wrapText="1"/>
      <protection locked="0"/>
    </xf>
    <xf numFmtId="0" fontId="17" fillId="9" borderId="98" xfId="7" applyFont="1" applyFill="1" applyBorder="1" applyAlignment="1">
      <alignment horizontal="center" vertical="center" wrapText="1"/>
    </xf>
    <xf numFmtId="0" fontId="17" fillId="9" borderId="25" xfId="7" applyFont="1" applyFill="1" applyBorder="1" applyAlignment="1">
      <alignment horizontal="center" vertical="center" wrapText="1"/>
    </xf>
    <xf numFmtId="0" fontId="17" fillId="9" borderId="26" xfId="7" applyFont="1" applyFill="1" applyBorder="1" applyAlignment="1">
      <alignment horizontal="center" vertical="center" wrapText="1"/>
    </xf>
    <xf numFmtId="176" fontId="17" fillId="9" borderId="109" xfId="7" applyNumberFormat="1" applyFont="1" applyFill="1" applyBorder="1" applyAlignment="1">
      <alignment horizontal="center" vertical="center" wrapText="1"/>
    </xf>
    <xf numFmtId="176" fontId="17" fillId="9" borderId="10" xfId="7" applyNumberFormat="1" applyFont="1" applyFill="1" applyBorder="1" applyAlignment="1">
      <alignment horizontal="center" vertical="center" wrapText="1"/>
    </xf>
    <xf numFmtId="176" fontId="17" fillId="9" borderId="110" xfId="7" applyNumberFormat="1" applyFont="1" applyFill="1" applyBorder="1" applyAlignment="1">
      <alignment horizontal="center" vertical="center" wrapText="1"/>
    </xf>
    <xf numFmtId="0" fontId="57" fillId="16" borderId="97" xfId="7" applyFont="1" applyFill="1" applyBorder="1" applyAlignment="1">
      <alignment horizontal="center" vertical="center" shrinkToFit="1"/>
    </xf>
    <xf numFmtId="0" fontId="17" fillId="9" borderId="109" xfId="7" applyFont="1" applyFill="1" applyBorder="1" applyAlignment="1">
      <alignment horizontal="center" vertical="center" wrapText="1"/>
    </xf>
    <xf numFmtId="0" fontId="17" fillId="9" borderId="10" xfId="7" applyFont="1" applyFill="1" applyBorder="1" applyAlignment="1">
      <alignment horizontal="center" vertical="center" wrapText="1"/>
    </xf>
    <xf numFmtId="0" fontId="17" fillId="9" borderId="110" xfId="7" applyFont="1" applyFill="1" applyBorder="1" applyAlignment="1">
      <alignment horizontal="center" vertical="center" wrapText="1"/>
    </xf>
    <xf numFmtId="0" fontId="35" fillId="9" borderId="5" xfId="7" applyFont="1" applyFill="1" applyBorder="1" applyAlignment="1">
      <alignment horizontal="center" vertical="center" wrapText="1"/>
    </xf>
    <xf numFmtId="0" fontId="35" fillId="9" borderId="12" xfId="7" applyFont="1" applyFill="1" applyBorder="1" applyAlignment="1">
      <alignment horizontal="center" vertical="center" wrapText="1"/>
    </xf>
    <xf numFmtId="0" fontId="35" fillId="9" borderId="9" xfId="7" applyFont="1" applyFill="1" applyBorder="1" applyAlignment="1">
      <alignment horizontal="center" vertical="center" wrapText="1"/>
    </xf>
    <xf numFmtId="176" fontId="35" fillId="9" borderId="96" xfId="7" applyNumberFormat="1" applyFont="1" applyFill="1" applyBorder="1" applyAlignment="1">
      <alignment horizontal="center" vertical="center" wrapText="1"/>
    </xf>
    <xf numFmtId="176" fontId="35" fillId="9" borderId="14" xfId="7" applyNumberFormat="1" applyFont="1" applyFill="1" applyBorder="1" applyAlignment="1">
      <alignment horizontal="center" vertical="center" wrapText="1"/>
    </xf>
    <xf numFmtId="176" fontId="35" fillId="9" borderId="97" xfId="7" applyNumberFormat="1" applyFont="1" applyFill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 shrinkToFit="1"/>
    </xf>
    <xf numFmtId="0" fontId="17" fillId="11" borderId="31" xfId="7" applyFont="1" applyFill="1" applyBorder="1" applyAlignment="1">
      <alignment horizontal="center" vertical="center" shrinkToFit="1"/>
    </xf>
    <xf numFmtId="0" fontId="17" fillId="11" borderId="96" xfId="7" applyFont="1" applyFill="1" applyBorder="1" applyAlignment="1">
      <alignment horizontal="center" vertical="center"/>
    </xf>
    <xf numFmtId="0" fontId="25" fillId="11" borderId="96" xfId="7" applyFont="1" applyFill="1" applyBorder="1" applyAlignment="1">
      <alignment horizontal="center" vertical="center" wrapText="1"/>
    </xf>
    <xf numFmtId="0" fontId="25" fillId="11" borderId="14" xfId="7" applyFont="1" applyFill="1" applyBorder="1" applyAlignment="1">
      <alignment horizontal="center" vertical="center"/>
    </xf>
    <xf numFmtId="0" fontId="25" fillId="11" borderId="31" xfId="7" applyFont="1" applyFill="1" applyBorder="1" applyAlignment="1">
      <alignment horizontal="center" vertical="center"/>
    </xf>
    <xf numFmtId="0" fontId="25" fillId="11" borderId="29" xfId="7" applyFont="1" applyFill="1" applyBorder="1" applyAlignment="1">
      <alignment horizontal="center" vertical="center" wrapText="1"/>
    </xf>
    <xf numFmtId="0" fontId="25" fillId="11" borderId="11" xfId="7" applyFont="1" applyFill="1" applyBorder="1" applyAlignment="1">
      <alignment horizontal="center" vertical="center"/>
    </xf>
    <xf numFmtId="0" fontId="25" fillId="11" borderId="106" xfId="7" applyFont="1" applyFill="1" applyBorder="1" applyAlignment="1">
      <alignment horizontal="center" vertical="center"/>
    </xf>
    <xf numFmtId="0" fontId="17" fillId="11" borderId="14" xfId="7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2" xfId="7" applyFont="1" applyFill="1" applyBorder="1" applyAlignment="1">
      <alignment horizontal="center" vertical="center" wrapText="1"/>
    </xf>
    <xf numFmtId="0" fontId="17" fillId="11" borderId="105" xfId="7" applyFont="1" applyFill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 wrapText="1"/>
    </xf>
    <xf numFmtId="0" fontId="17" fillId="11" borderId="14" xfId="7" applyFont="1" applyFill="1" applyBorder="1" applyAlignment="1">
      <alignment horizontal="center" vertical="center" wrapText="1"/>
    </xf>
    <xf numFmtId="0" fontId="17" fillId="11" borderId="31" xfId="7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4" fillId="8" borderId="83" xfId="0" applyFont="1" applyFill="1" applyBorder="1" applyAlignment="1">
      <alignment horizontal="center" vertical="center"/>
    </xf>
    <xf numFmtId="0" fontId="24" fillId="8" borderId="91" xfId="0" applyFont="1" applyFill="1" applyBorder="1" applyAlignment="1">
      <alignment horizontal="center" vertical="center"/>
    </xf>
    <xf numFmtId="0" fontId="24" fillId="8" borderId="92" xfId="0" applyFont="1" applyFill="1" applyBorder="1" applyAlignment="1">
      <alignment horizontal="center" vertical="center"/>
    </xf>
    <xf numFmtId="0" fontId="24" fillId="8" borderId="56" xfId="0" applyFont="1" applyFill="1" applyBorder="1" applyAlignment="1">
      <alignment horizontal="center" vertical="center"/>
    </xf>
    <xf numFmtId="0" fontId="24" fillId="8" borderId="58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45" fillId="19" borderId="127" xfId="16" applyFont="1" applyFill="1" applyBorder="1" applyAlignment="1">
      <alignment horizontal="center" vertical="center"/>
    </xf>
    <xf numFmtId="0" fontId="38" fillId="0" borderId="127" xfId="16" applyFont="1" applyBorder="1"/>
    <xf numFmtId="0" fontId="38" fillId="0" borderId="128" xfId="16" applyFont="1" applyBorder="1"/>
    <xf numFmtId="0" fontId="45" fillId="0" borderId="129" xfId="16" applyFont="1" applyBorder="1" applyAlignment="1">
      <alignment horizontal="center" vertical="center"/>
    </xf>
    <xf numFmtId="0" fontId="41" fillId="0" borderId="0" xfId="16" applyFont="1" applyAlignment="1">
      <alignment horizontal="center" vertical="center"/>
    </xf>
    <xf numFmtId="0" fontId="43" fillId="0" borderId="0" xfId="16" applyFont="1" applyAlignment="1"/>
    <xf numFmtId="0" fontId="44" fillId="0" borderId="124" xfId="16" applyFont="1" applyBorder="1" applyAlignment="1">
      <alignment horizontal="center" vertical="center"/>
    </xf>
    <xf numFmtId="0" fontId="38" fillId="0" borderId="27" xfId="16" applyFont="1" applyBorder="1"/>
    <xf numFmtId="0" fontId="38" fillId="0" borderId="24" xfId="16" applyFont="1" applyBorder="1"/>
    <xf numFmtId="0" fontId="44" fillId="8" borderId="4" xfId="16" applyFont="1" applyFill="1" applyBorder="1" applyAlignment="1">
      <alignment horizontal="center" vertical="center"/>
    </xf>
    <xf numFmtId="0" fontId="38" fillId="8" borderId="27" xfId="16" applyFont="1" applyFill="1" applyBorder="1"/>
    <xf numFmtId="0" fontId="38" fillId="8" borderId="24" xfId="16" applyFont="1" applyFill="1" applyBorder="1"/>
    <xf numFmtId="0" fontId="34" fillId="18" borderId="123" xfId="16" applyFont="1" applyFill="1" applyBorder="1" applyAlignment="1">
      <alignment horizontal="center" vertical="center" wrapText="1"/>
    </xf>
    <xf numFmtId="0" fontId="38" fillId="0" borderId="125" xfId="16" applyFont="1" applyBorder="1"/>
    <xf numFmtId="0" fontId="38" fillId="0" borderId="130" xfId="16" applyFont="1" applyBorder="1"/>
    <xf numFmtId="0" fontId="45" fillId="19" borderId="132" xfId="16" applyFont="1" applyFill="1" applyBorder="1" applyAlignment="1">
      <alignment horizontal="center" vertical="center"/>
    </xf>
    <xf numFmtId="0" fontId="38" fillId="0" borderId="133" xfId="16" applyFont="1" applyBorder="1"/>
    <xf numFmtId="0" fontId="38" fillId="0" borderId="134" xfId="16" applyFont="1" applyBorder="1"/>
    <xf numFmtId="0" fontId="38" fillId="0" borderId="135" xfId="16" applyFont="1" applyBorder="1"/>
    <xf numFmtId="0" fontId="45" fillId="0" borderId="111" xfId="16" applyFont="1" applyBorder="1" applyAlignment="1">
      <alignment horizontal="center" vertical="center" wrapText="1"/>
    </xf>
    <xf numFmtId="0" fontId="38" fillId="0" borderId="132" xfId="16" applyFont="1" applyBorder="1"/>
    <xf numFmtId="0" fontId="38" fillId="0" borderId="136" xfId="16" applyFont="1" applyBorder="1"/>
    <xf numFmtId="0" fontId="46" fillId="20" borderId="139" xfId="16" applyFont="1" applyFill="1" applyBorder="1" applyAlignment="1">
      <alignment horizontal="center" vertical="center" wrapText="1"/>
    </xf>
    <xf numFmtId="0" fontId="38" fillId="0" borderId="140" xfId="16" applyFont="1" applyBorder="1"/>
    <xf numFmtId="0" fontId="47" fillId="0" borderId="141" xfId="16" applyFont="1" applyBorder="1" applyAlignment="1">
      <alignment horizontal="center" vertical="center" wrapText="1"/>
    </xf>
    <xf numFmtId="0" fontId="38" fillId="0" borderId="147" xfId="16" applyFont="1" applyBorder="1"/>
    <xf numFmtId="0" fontId="47" fillId="0" borderId="142" xfId="16" applyFont="1" applyBorder="1" applyAlignment="1">
      <alignment horizontal="center" vertical="center" wrapText="1"/>
    </xf>
    <xf numFmtId="0" fontId="38" fillId="0" borderId="148" xfId="16" applyFont="1" applyBorder="1"/>
    <xf numFmtId="0" fontId="38" fillId="0" borderId="152" xfId="16" applyFont="1" applyBorder="1"/>
    <xf numFmtId="0" fontId="47" fillId="0" borderId="144" xfId="16" applyFont="1" applyBorder="1" applyAlignment="1">
      <alignment horizontal="center" vertical="center" wrapText="1"/>
    </xf>
    <xf numFmtId="0" fontId="38" fillId="0" borderId="126" xfId="16" applyFont="1" applyBorder="1"/>
    <xf numFmtId="0" fontId="38" fillId="0" borderId="151" xfId="16" applyFont="1" applyBorder="1"/>
    <xf numFmtId="0" fontId="47" fillId="0" borderId="127" xfId="16" applyFont="1" applyBorder="1" applyAlignment="1">
      <alignment horizontal="center" vertical="center" wrapText="1"/>
    </xf>
    <xf numFmtId="0" fontId="49" fillId="0" borderId="129" xfId="16" applyFont="1" applyBorder="1" applyAlignment="1">
      <alignment horizontal="center" vertical="center" wrapText="1"/>
    </xf>
    <xf numFmtId="0" fontId="47" fillId="0" borderId="129" xfId="16" applyFont="1" applyBorder="1" applyAlignment="1">
      <alignment horizontal="center" vertical="center" wrapText="1"/>
    </xf>
    <xf numFmtId="0" fontId="47" fillId="20" borderId="129" xfId="16" applyFont="1" applyFill="1" applyBorder="1" applyAlignment="1">
      <alignment horizontal="center" vertical="center" wrapText="1"/>
    </xf>
    <xf numFmtId="0" fontId="49" fillId="20" borderId="129" xfId="16" applyFont="1" applyFill="1" applyBorder="1" applyAlignment="1">
      <alignment horizontal="center" vertical="center" wrapText="1"/>
    </xf>
    <xf numFmtId="0" fontId="38" fillId="0" borderId="146" xfId="16" applyFont="1" applyBorder="1"/>
    <xf numFmtId="0" fontId="16" fillId="0" borderId="0" xfId="16" applyFont="1" applyBorder="1" applyAlignment="1"/>
    <xf numFmtId="0" fontId="47" fillId="0" borderId="155" xfId="16" applyFont="1" applyBorder="1" applyAlignment="1">
      <alignment horizontal="center" vertical="center" wrapText="1"/>
    </xf>
    <xf numFmtId="0" fontId="47" fillId="0" borderId="157" xfId="16" applyFont="1" applyBorder="1" applyAlignment="1">
      <alignment horizontal="center" vertical="center" wrapText="1"/>
    </xf>
    <xf numFmtId="0" fontId="38" fillId="0" borderId="158" xfId="16" applyFont="1" applyBorder="1"/>
    <xf numFmtId="0" fontId="47" fillId="0" borderId="111" xfId="16" applyFont="1" applyBorder="1" applyAlignment="1">
      <alignment horizontal="center" vertical="center" wrapText="1"/>
    </xf>
    <xf numFmtId="0" fontId="47" fillId="0" borderId="159" xfId="16" applyFont="1" applyBorder="1" applyAlignment="1">
      <alignment horizontal="center" vertical="center" wrapText="1"/>
    </xf>
    <xf numFmtId="0" fontId="38" fillId="0" borderId="160" xfId="16" applyFont="1" applyBorder="1"/>
    <xf numFmtId="0" fontId="47" fillId="20" borderId="127" xfId="16" applyFont="1" applyFill="1" applyBorder="1" applyAlignment="1">
      <alignment horizontal="center" vertical="center" wrapText="1"/>
    </xf>
    <xf numFmtId="0" fontId="51" fillId="19" borderId="127" xfId="16" applyFont="1" applyFill="1" applyBorder="1" applyAlignment="1">
      <alignment horizontal="center" vertical="center"/>
    </xf>
    <xf numFmtId="0" fontId="51" fillId="0" borderId="129" xfId="16" applyFont="1" applyBorder="1" applyAlignment="1">
      <alignment horizontal="center" vertical="center"/>
    </xf>
    <xf numFmtId="0" fontId="45" fillId="0" borderId="129" xfId="16" applyFont="1" applyBorder="1" applyAlignment="1">
      <alignment horizontal="center" vertical="center" wrapText="1"/>
    </xf>
    <xf numFmtId="0" fontId="45" fillId="0" borderId="111" xfId="16" applyFont="1" applyBorder="1" applyAlignment="1">
      <alignment horizontal="center" vertical="center"/>
    </xf>
    <xf numFmtId="0" fontId="45" fillId="19" borderId="127" xfId="16" applyFont="1" applyFill="1" applyBorder="1" applyAlignment="1">
      <alignment horizontal="center" vertical="center" wrapText="1"/>
    </xf>
    <xf numFmtId="0" fontId="51" fillId="19" borderId="127" xfId="16" applyFont="1" applyFill="1" applyBorder="1" applyAlignment="1">
      <alignment horizontal="center" vertical="center" wrapText="1"/>
    </xf>
    <xf numFmtId="0" fontId="53" fillId="0" borderId="155" xfId="16" applyFont="1" applyBorder="1" applyAlignment="1">
      <alignment horizontal="center" vertical="center"/>
    </xf>
    <xf numFmtId="0" fontId="34" fillId="0" borderId="0" xfId="16" applyFont="1" applyBorder="1" applyAlignment="1">
      <alignment vertical="center" wrapText="1"/>
    </xf>
    <xf numFmtId="0" fontId="34" fillId="18" borderId="163" xfId="16" applyFont="1" applyFill="1" applyBorder="1" applyAlignment="1">
      <alignment horizontal="center" vertical="center" wrapText="1"/>
    </xf>
    <xf numFmtId="0" fontId="34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1" fillId="19" borderId="133" xfId="16" applyFont="1" applyFill="1" applyBorder="1" applyAlignment="1">
      <alignment horizontal="center" vertical="center"/>
    </xf>
    <xf numFmtId="0" fontId="51" fillId="19" borderId="129" xfId="16" applyFont="1" applyFill="1" applyBorder="1" applyAlignment="1">
      <alignment horizontal="center" vertical="center"/>
    </xf>
    <xf numFmtId="0" fontId="52" fillId="0" borderId="133" xfId="16" applyFont="1" applyBorder="1" applyAlignment="1">
      <alignment horizontal="center" vertical="center"/>
    </xf>
    <xf numFmtId="0" fontId="54" fillId="0" borderId="135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8D1F-68C8-475A-8F73-916EF353AC1F}">
  <sheetPr>
    <pageSetUpPr fitToPage="1"/>
  </sheetPr>
  <dimension ref="B1:AD120"/>
  <sheetViews>
    <sheetView view="pageBreakPreview" zoomScaleNormal="100" zoomScaleSheetLayoutView="100" workbookViewId="0">
      <pane ySplit="8" topLeftCell="A28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22.25" style="4" bestFit="1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15" t="s">
        <v>508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6"/>
      <c r="V2" s="417" t="s">
        <v>129</v>
      </c>
      <c r="W2" s="418"/>
      <c r="X2" s="419">
        <v>2027</v>
      </c>
      <c r="Y2" s="420"/>
      <c r="AA2" s="421" t="s">
        <v>139</v>
      </c>
      <c r="AB2" s="13" t="s">
        <v>140</v>
      </c>
      <c r="AC2" s="20" t="s">
        <v>147</v>
      </c>
      <c r="AD2" s="14" t="s">
        <v>141</v>
      </c>
    </row>
    <row r="3" spans="2:30" ht="17.25" thickBot="1">
      <c r="B3" s="424" t="s">
        <v>356</v>
      </c>
      <c r="C3" s="426" t="s">
        <v>53</v>
      </c>
      <c r="D3" s="427"/>
      <c r="E3" s="427"/>
      <c r="F3" s="426" t="s">
        <v>64</v>
      </c>
      <c r="G3" s="430"/>
      <c r="H3" s="426" t="s">
        <v>54</v>
      </c>
      <c r="I3" s="427"/>
      <c r="J3" s="427"/>
      <c r="K3" s="426" t="s">
        <v>55</v>
      </c>
      <c r="L3" s="427"/>
      <c r="M3" s="427"/>
      <c r="N3" s="427"/>
      <c r="O3" s="430"/>
      <c r="P3" s="432" t="s">
        <v>56</v>
      </c>
      <c r="Q3" s="433"/>
      <c r="R3" s="433"/>
      <c r="S3" s="433"/>
      <c r="T3" s="433"/>
      <c r="U3" s="433"/>
      <c r="V3" s="433"/>
      <c r="W3" s="433"/>
      <c r="X3" s="433"/>
      <c r="Y3" s="434"/>
      <c r="AA3" s="422"/>
      <c r="AB3" s="15" t="s">
        <v>142</v>
      </c>
      <c r="AC3" s="29"/>
      <c r="AD3" s="16"/>
    </row>
    <row r="4" spans="2:30" ht="17.25" thickBot="1">
      <c r="B4" s="425"/>
      <c r="C4" s="428"/>
      <c r="D4" s="429"/>
      <c r="E4" s="429"/>
      <c r="F4" s="428"/>
      <c r="G4" s="431"/>
      <c r="H4" s="428"/>
      <c r="I4" s="429"/>
      <c r="J4" s="429"/>
      <c r="K4" s="428"/>
      <c r="L4" s="429"/>
      <c r="M4" s="429"/>
      <c r="N4" s="429"/>
      <c r="O4" s="431"/>
      <c r="P4" s="432" t="s">
        <v>126</v>
      </c>
      <c r="Q4" s="433"/>
      <c r="R4" s="433"/>
      <c r="S4" s="433"/>
      <c r="T4" s="432" t="s">
        <v>61</v>
      </c>
      <c r="U4" s="433"/>
      <c r="V4" s="434"/>
      <c r="W4" s="433" t="s">
        <v>127</v>
      </c>
      <c r="X4" s="433"/>
      <c r="Y4" s="434"/>
      <c r="AA4" s="422"/>
      <c r="AB4" s="17" t="s">
        <v>143</v>
      </c>
      <c r="AC4" s="30" t="s">
        <v>546</v>
      </c>
      <c r="AD4" s="16" t="s">
        <v>541</v>
      </c>
    </row>
    <row r="5" spans="2:30" ht="26.25" customHeight="1" thickBot="1">
      <c r="B5" s="64" t="s">
        <v>506</v>
      </c>
      <c r="C5" s="435" t="s">
        <v>545</v>
      </c>
      <c r="D5" s="436"/>
      <c r="E5" s="437"/>
      <c r="F5" s="435" t="s">
        <v>544</v>
      </c>
      <c r="G5" s="438"/>
      <c r="H5" s="439" t="s">
        <v>543</v>
      </c>
      <c r="I5" s="436"/>
      <c r="J5" s="437"/>
      <c r="K5" s="435"/>
      <c r="L5" s="436"/>
      <c r="M5" s="436"/>
      <c r="N5" s="436"/>
      <c r="O5" s="438"/>
      <c r="P5" s="439"/>
      <c r="Q5" s="436"/>
      <c r="R5" s="436"/>
      <c r="S5" s="437"/>
      <c r="T5" s="435"/>
      <c r="U5" s="436"/>
      <c r="V5" s="437"/>
      <c r="W5" s="440"/>
      <c r="X5" s="441"/>
      <c r="Y5" s="442"/>
      <c r="AA5" s="423"/>
      <c r="AB5" s="18" t="s">
        <v>144</v>
      </c>
      <c r="AC5" s="161" t="s">
        <v>542</v>
      </c>
      <c r="AD5" s="131" t="s">
        <v>541</v>
      </c>
    </row>
    <row r="6" spans="2:30" ht="15.75" customHeight="1" thickBot="1">
      <c r="U6" s="401"/>
      <c r="V6" s="401"/>
      <c r="W6" s="401"/>
      <c r="X6" s="401"/>
      <c r="Y6" s="401"/>
    </row>
    <row r="7" spans="2:30" s="10" customFormat="1" ht="22.5" customHeight="1">
      <c r="B7" s="402" t="s">
        <v>2</v>
      </c>
      <c r="C7" s="403"/>
      <c r="D7" s="406" t="s">
        <v>120</v>
      </c>
      <c r="E7" s="408" t="s">
        <v>57</v>
      </c>
      <c r="F7" s="409"/>
      <c r="G7" s="392"/>
      <c r="H7" s="388" t="s">
        <v>130</v>
      </c>
      <c r="I7" s="410" t="s">
        <v>131</v>
      </c>
      <c r="J7" s="389" t="s">
        <v>132</v>
      </c>
      <c r="K7" s="411" t="s">
        <v>58</v>
      </c>
      <c r="L7" s="410"/>
      <c r="M7" s="410"/>
      <c r="N7" s="412"/>
      <c r="O7" s="413" t="s">
        <v>59</v>
      </c>
      <c r="P7" s="410"/>
      <c r="Q7" s="410"/>
      <c r="R7" s="412"/>
      <c r="S7" s="411" t="s">
        <v>60</v>
      </c>
      <c r="T7" s="410"/>
      <c r="U7" s="410"/>
      <c r="V7" s="414"/>
      <c r="W7" s="388" t="s">
        <v>133</v>
      </c>
      <c r="X7" s="389"/>
      <c r="Y7" s="392" t="s">
        <v>134</v>
      </c>
      <c r="Z7" s="9"/>
    </row>
    <row r="8" spans="2:30" s="10" customFormat="1" ht="22.5" customHeight="1" thickBot="1">
      <c r="B8" s="404"/>
      <c r="C8" s="405"/>
      <c r="D8" s="407"/>
      <c r="E8" s="19" t="s">
        <v>18</v>
      </c>
      <c r="F8" s="394" t="s">
        <v>19</v>
      </c>
      <c r="G8" s="395"/>
      <c r="H8" s="390"/>
      <c r="I8" s="397"/>
      <c r="J8" s="391"/>
      <c r="K8" s="396" t="s">
        <v>0</v>
      </c>
      <c r="L8" s="397"/>
      <c r="M8" s="397" t="s">
        <v>62</v>
      </c>
      <c r="N8" s="398"/>
      <c r="O8" s="399" t="s">
        <v>0</v>
      </c>
      <c r="P8" s="397"/>
      <c r="Q8" s="397" t="s">
        <v>62</v>
      </c>
      <c r="R8" s="398"/>
      <c r="S8" s="396" t="s">
        <v>0</v>
      </c>
      <c r="T8" s="397"/>
      <c r="U8" s="397" t="s">
        <v>62</v>
      </c>
      <c r="V8" s="400"/>
      <c r="W8" s="390"/>
      <c r="X8" s="391"/>
      <c r="Y8" s="393"/>
      <c r="AA8" s="383" t="s">
        <v>496</v>
      </c>
      <c r="AB8" s="383"/>
      <c r="AC8" s="383"/>
      <c r="AD8" s="383"/>
    </row>
    <row r="9" spans="2:30" ht="16.5" customHeight="1" thickBot="1">
      <c r="B9" s="384" t="s">
        <v>333</v>
      </c>
      <c r="C9" s="371"/>
      <c r="D9" s="364" t="s">
        <v>21</v>
      </c>
      <c r="E9" s="31" t="s">
        <v>12</v>
      </c>
      <c r="F9" s="235" t="s">
        <v>197</v>
      </c>
      <c r="G9" s="240"/>
      <c r="H9" s="32">
        <v>4</v>
      </c>
      <c r="I9" s="33" t="s">
        <v>334</v>
      </c>
      <c r="J9" s="34">
        <v>3</v>
      </c>
      <c r="K9" s="235">
        <v>3</v>
      </c>
      <c r="L9" s="236"/>
      <c r="M9" s="237"/>
      <c r="N9" s="238"/>
      <c r="O9" s="239"/>
      <c r="P9" s="236"/>
      <c r="Q9" s="237"/>
      <c r="R9" s="238"/>
      <c r="S9" s="239"/>
      <c r="T9" s="236"/>
      <c r="U9" s="237"/>
      <c r="V9" s="240"/>
      <c r="W9" s="35">
        <f t="shared" ref="W9:W18" si="0">SUM(K9:V9)</f>
        <v>3</v>
      </c>
      <c r="X9" s="375">
        <f>SUM(W9:W14)</f>
        <v>18</v>
      </c>
      <c r="Y9" s="351">
        <v>24</v>
      </c>
      <c r="AA9" s="125" t="s">
        <v>18</v>
      </c>
      <c r="AB9" s="126" t="s">
        <v>502</v>
      </c>
      <c r="AC9" s="126" t="s">
        <v>503</v>
      </c>
      <c r="AD9" s="127" t="s">
        <v>504</v>
      </c>
    </row>
    <row r="10" spans="2:30" ht="17.25" thickBot="1">
      <c r="B10" s="385"/>
      <c r="C10" s="372"/>
      <c r="D10" s="365"/>
      <c r="E10" s="36" t="s">
        <v>12</v>
      </c>
      <c r="F10" s="249" t="s">
        <v>198</v>
      </c>
      <c r="G10" s="213"/>
      <c r="H10" s="37">
        <v>4</v>
      </c>
      <c r="I10" s="38" t="s">
        <v>334</v>
      </c>
      <c r="J10" s="39">
        <v>3</v>
      </c>
      <c r="K10" s="249"/>
      <c r="L10" s="211"/>
      <c r="M10" s="212">
        <v>3</v>
      </c>
      <c r="N10" s="250"/>
      <c r="O10" s="210"/>
      <c r="P10" s="211"/>
      <c r="Q10" s="212"/>
      <c r="R10" s="250"/>
      <c r="S10" s="210"/>
      <c r="T10" s="211"/>
      <c r="U10" s="212"/>
      <c r="V10" s="213"/>
      <c r="W10" s="40">
        <f t="shared" si="0"/>
        <v>3</v>
      </c>
      <c r="X10" s="376"/>
      <c r="Y10" s="351"/>
      <c r="AA10" s="128" t="s">
        <v>497</v>
      </c>
      <c r="AB10" s="129">
        <v>4</v>
      </c>
      <c r="AC10" s="129">
        <v>-1</v>
      </c>
      <c r="AD10" s="16" t="s">
        <v>334</v>
      </c>
    </row>
    <row r="11" spans="2:30" ht="17.25" thickBot="1">
      <c r="B11" s="385"/>
      <c r="C11" s="372"/>
      <c r="D11" s="365"/>
      <c r="E11" s="41" t="s">
        <v>340</v>
      </c>
      <c r="F11" s="249" t="s">
        <v>200</v>
      </c>
      <c r="G11" s="213"/>
      <c r="H11" s="37">
        <v>4</v>
      </c>
      <c r="I11" s="38" t="s">
        <v>336</v>
      </c>
      <c r="J11" s="39">
        <v>3</v>
      </c>
      <c r="K11" s="249"/>
      <c r="L11" s="211"/>
      <c r="M11" s="212"/>
      <c r="N11" s="250"/>
      <c r="O11" s="210">
        <v>3</v>
      </c>
      <c r="P11" s="211"/>
      <c r="Q11" s="212"/>
      <c r="R11" s="250"/>
      <c r="S11" s="210"/>
      <c r="T11" s="211"/>
      <c r="U11" s="212"/>
      <c r="V11" s="213"/>
      <c r="W11" s="40">
        <f t="shared" si="0"/>
        <v>3</v>
      </c>
      <c r="X11" s="376"/>
      <c r="Y11" s="351"/>
      <c r="AA11" s="128" t="s">
        <v>498</v>
      </c>
      <c r="AB11" s="129">
        <v>3</v>
      </c>
      <c r="AC11" s="129"/>
      <c r="AD11" s="16">
        <v>3</v>
      </c>
    </row>
    <row r="12" spans="2:30" ht="17.25" thickBot="1">
      <c r="B12" s="385"/>
      <c r="C12" s="372"/>
      <c r="D12" s="365"/>
      <c r="E12" s="41" t="s">
        <v>340</v>
      </c>
      <c r="F12" s="249" t="s">
        <v>4</v>
      </c>
      <c r="G12" s="213"/>
      <c r="H12" s="37">
        <v>4</v>
      </c>
      <c r="I12" s="38" t="s">
        <v>336</v>
      </c>
      <c r="J12" s="39">
        <v>3</v>
      </c>
      <c r="K12" s="249"/>
      <c r="L12" s="211"/>
      <c r="M12" s="212"/>
      <c r="N12" s="250"/>
      <c r="O12" s="210"/>
      <c r="P12" s="211"/>
      <c r="Q12" s="212">
        <v>3</v>
      </c>
      <c r="R12" s="250"/>
      <c r="S12" s="210"/>
      <c r="T12" s="211"/>
      <c r="U12" s="212"/>
      <c r="V12" s="213"/>
      <c r="W12" s="40">
        <f t="shared" si="0"/>
        <v>3</v>
      </c>
      <c r="X12" s="376"/>
      <c r="Y12" s="351"/>
      <c r="AA12" s="128" t="s">
        <v>499</v>
      </c>
      <c r="AB12" s="129">
        <v>4</v>
      </c>
      <c r="AC12" s="129" t="s">
        <v>505</v>
      </c>
      <c r="AD12" s="16" t="s">
        <v>336</v>
      </c>
    </row>
    <row r="13" spans="2:30" ht="17.25" thickBot="1">
      <c r="B13" s="385"/>
      <c r="C13" s="372"/>
      <c r="D13" s="365"/>
      <c r="E13" s="41" t="s">
        <v>340</v>
      </c>
      <c r="F13" s="249" t="s">
        <v>201</v>
      </c>
      <c r="G13" s="213"/>
      <c r="H13" s="37">
        <v>4</v>
      </c>
      <c r="I13" s="38" t="s">
        <v>336</v>
      </c>
      <c r="J13" s="39">
        <v>3</v>
      </c>
      <c r="K13" s="249"/>
      <c r="L13" s="211"/>
      <c r="M13" s="212"/>
      <c r="N13" s="250"/>
      <c r="O13" s="210"/>
      <c r="P13" s="211"/>
      <c r="Q13" s="212"/>
      <c r="R13" s="250"/>
      <c r="S13" s="210">
        <v>3</v>
      </c>
      <c r="T13" s="211"/>
      <c r="U13" s="212"/>
      <c r="V13" s="213"/>
      <c r="W13" s="40">
        <f t="shared" si="0"/>
        <v>3</v>
      </c>
      <c r="X13" s="376"/>
      <c r="Y13" s="351"/>
      <c r="AA13" s="128" t="s">
        <v>500</v>
      </c>
      <c r="AB13" s="129">
        <v>3</v>
      </c>
      <c r="AC13" s="129" t="s">
        <v>505</v>
      </c>
      <c r="AD13" s="16" t="s">
        <v>342</v>
      </c>
    </row>
    <row r="14" spans="2:30" ht="17.25" thickBot="1">
      <c r="B14" s="385"/>
      <c r="C14" s="372"/>
      <c r="D14" s="365"/>
      <c r="E14" s="41" t="s">
        <v>339</v>
      </c>
      <c r="F14" s="249" t="s">
        <v>205</v>
      </c>
      <c r="G14" s="213"/>
      <c r="H14" s="37">
        <v>4</v>
      </c>
      <c r="I14" s="38" t="s">
        <v>336</v>
      </c>
      <c r="J14" s="39">
        <v>3</v>
      </c>
      <c r="K14" s="249"/>
      <c r="L14" s="211"/>
      <c r="M14" s="212"/>
      <c r="N14" s="250"/>
      <c r="O14" s="210"/>
      <c r="P14" s="211"/>
      <c r="Q14" s="212"/>
      <c r="R14" s="250"/>
      <c r="S14" s="210"/>
      <c r="T14" s="211"/>
      <c r="U14" s="212">
        <v>3</v>
      </c>
      <c r="V14" s="213"/>
      <c r="W14" s="40">
        <f t="shared" si="0"/>
        <v>3</v>
      </c>
      <c r="X14" s="376"/>
      <c r="Y14" s="351"/>
      <c r="AA14" s="130" t="s">
        <v>501</v>
      </c>
      <c r="AB14" s="381" t="s">
        <v>507</v>
      </c>
      <c r="AC14" s="381"/>
      <c r="AD14" s="382"/>
    </row>
    <row r="15" spans="2:30" ht="17.25" thickBot="1">
      <c r="B15" s="385"/>
      <c r="C15" s="372"/>
      <c r="D15" s="364" t="s">
        <v>5</v>
      </c>
      <c r="E15" s="31" t="s">
        <v>12</v>
      </c>
      <c r="F15" s="235" t="s">
        <v>209</v>
      </c>
      <c r="G15" s="240"/>
      <c r="H15" s="32">
        <v>4</v>
      </c>
      <c r="I15" s="33" t="s">
        <v>334</v>
      </c>
      <c r="J15" s="34">
        <v>3</v>
      </c>
      <c r="K15" s="235">
        <v>3</v>
      </c>
      <c r="L15" s="236"/>
      <c r="M15" s="237"/>
      <c r="N15" s="238"/>
      <c r="O15" s="239"/>
      <c r="P15" s="236"/>
      <c r="Q15" s="237"/>
      <c r="R15" s="238"/>
      <c r="S15" s="239"/>
      <c r="T15" s="236"/>
      <c r="U15" s="237"/>
      <c r="V15" s="240"/>
      <c r="W15" s="35">
        <f t="shared" si="0"/>
        <v>3</v>
      </c>
      <c r="X15" s="375">
        <f>SUM(W15:W17)</f>
        <v>9</v>
      </c>
      <c r="Y15" s="351"/>
    </row>
    <row r="16" spans="2:30" ht="17.25" thickBot="1">
      <c r="B16" s="385"/>
      <c r="C16" s="372"/>
      <c r="D16" s="365"/>
      <c r="E16" s="36" t="s">
        <v>12</v>
      </c>
      <c r="F16" s="249" t="s">
        <v>211</v>
      </c>
      <c r="G16" s="213"/>
      <c r="H16" s="37">
        <v>4</v>
      </c>
      <c r="I16" s="38" t="s">
        <v>334</v>
      </c>
      <c r="J16" s="39">
        <v>3</v>
      </c>
      <c r="K16" s="352"/>
      <c r="L16" s="353"/>
      <c r="M16" s="354"/>
      <c r="N16" s="355"/>
      <c r="O16" s="360">
        <v>3</v>
      </c>
      <c r="P16" s="353"/>
      <c r="Q16" s="354"/>
      <c r="R16" s="355"/>
      <c r="S16" s="360"/>
      <c r="T16" s="353"/>
      <c r="U16" s="354"/>
      <c r="V16" s="361"/>
      <c r="W16" s="153">
        <f t="shared" si="0"/>
        <v>3</v>
      </c>
      <c r="X16" s="376"/>
      <c r="Y16" s="351"/>
    </row>
    <row r="17" spans="2:30" ht="17.25" thickBot="1">
      <c r="B17" s="385"/>
      <c r="C17" s="372"/>
      <c r="D17" s="365"/>
      <c r="E17" s="41" t="s">
        <v>340</v>
      </c>
      <c r="F17" s="249" t="s">
        <v>212</v>
      </c>
      <c r="G17" s="213"/>
      <c r="H17" s="151">
        <v>4</v>
      </c>
      <c r="I17" s="150" t="s">
        <v>336</v>
      </c>
      <c r="J17" s="39">
        <v>3</v>
      </c>
      <c r="K17" s="352"/>
      <c r="L17" s="353"/>
      <c r="M17" s="354"/>
      <c r="N17" s="355"/>
      <c r="O17" s="360"/>
      <c r="P17" s="353"/>
      <c r="Q17" s="354"/>
      <c r="R17" s="355"/>
      <c r="S17" s="360">
        <v>3</v>
      </c>
      <c r="T17" s="353"/>
      <c r="U17" s="354"/>
      <c r="V17" s="361"/>
      <c r="W17" s="153">
        <f t="shared" si="0"/>
        <v>3</v>
      </c>
      <c r="X17" s="376"/>
      <c r="Y17" s="351"/>
      <c r="AA17" s="143"/>
      <c r="AB17" s="143"/>
      <c r="AC17" s="143"/>
      <c r="AD17" s="143"/>
    </row>
    <row r="18" spans="2:30" ht="17.25" thickBot="1">
      <c r="B18" s="385"/>
      <c r="C18" s="372"/>
      <c r="D18" s="364" t="s">
        <v>6</v>
      </c>
      <c r="E18" s="31" t="s">
        <v>12</v>
      </c>
      <c r="F18" s="235" t="s">
        <v>216</v>
      </c>
      <c r="G18" s="240"/>
      <c r="H18" s="32">
        <v>4</v>
      </c>
      <c r="I18" s="33" t="s">
        <v>334</v>
      </c>
      <c r="J18" s="34">
        <v>3</v>
      </c>
      <c r="K18" s="235"/>
      <c r="L18" s="236"/>
      <c r="M18" s="237">
        <v>3</v>
      </c>
      <c r="N18" s="238"/>
      <c r="O18" s="239"/>
      <c r="P18" s="236"/>
      <c r="Q18" s="237"/>
      <c r="R18" s="238"/>
      <c r="S18" s="239"/>
      <c r="T18" s="236"/>
      <c r="U18" s="237"/>
      <c r="V18" s="240"/>
      <c r="W18" s="35">
        <f t="shared" si="0"/>
        <v>3</v>
      </c>
      <c r="X18" s="375">
        <f>SUM(W18:W21)</f>
        <v>9</v>
      </c>
      <c r="Y18" s="351"/>
    </row>
    <row r="19" spans="2:30" ht="17.25" thickBot="1">
      <c r="B19" s="385"/>
      <c r="C19" s="372"/>
      <c r="D19" s="365"/>
      <c r="E19" s="36" t="s">
        <v>12</v>
      </c>
      <c r="F19" s="249" t="s">
        <v>222</v>
      </c>
      <c r="G19" s="213"/>
      <c r="H19" s="37">
        <v>4</v>
      </c>
      <c r="I19" s="38" t="s">
        <v>334</v>
      </c>
      <c r="J19" s="39">
        <v>3</v>
      </c>
      <c r="K19" s="352"/>
      <c r="L19" s="353"/>
      <c r="M19" s="354"/>
      <c r="N19" s="355"/>
      <c r="O19" s="360"/>
      <c r="P19" s="353"/>
      <c r="Q19" s="354">
        <v>3</v>
      </c>
      <c r="R19" s="355"/>
      <c r="S19" s="360"/>
      <c r="T19" s="353"/>
      <c r="U19" s="354"/>
      <c r="V19" s="361"/>
      <c r="W19" s="377">
        <f>SUM(K19:V20)</f>
        <v>3</v>
      </c>
      <c r="X19" s="376"/>
      <c r="Y19" s="351"/>
    </row>
    <row r="20" spans="2:30" ht="17.25" thickBot="1">
      <c r="B20" s="385"/>
      <c r="C20" s="372"/>
      <c r="D20" s="365"/>
      <c r="E20" s="154" t="s">
        <v>12</v>
      </c>
      <c r="F20" s="249" t="s">
        <v>540</v>
      </c>
      <c r="G20" s="213"/>
      <c r="H20" s="151">
        <v>4</v>
      </c>
      <c r="I20" s="150" t="s">
        <v>334</v>
      </c>
      <c r="J20" s="39">
        <v>3</v>
      </c>
      <c r="K20" s="302"/>
      <c r="L20" s="303"/>
      <c r="M20" s="306"/>
      <c r="N20" s="307"/>
      <c r="O20" s="309"/>
      <c r="P20" s="303"/>
      <c r="Q20" s="306"/>
      <c r="R20" s="307"/>
      <c r="S20" s="309"/>
      <c r="T20" s="303"/>
      <c r="U20" s="306"/>
      <c r="V20" s="311"/>
      <c r="W20" s="379"/>
      <c r="X20" s="376"/>
      <c r="Y20" s="351"/>
    </row>
    <row r="21" spans="2:30" ht="17.25" thickBot="1">
      <c r="B21" s="385"/>
      <c r="C21" s="372"/>
      <c r="D21" s="365"/>
      <c r="E21" s="154" t="s">
        <v>335</v>
      </c>
      <c r="F21" s="249" t="s">
        <v>41</v>
      </c>
      <c r="G21" s="213"/>
      <c r="H21" s="151">
        <v>4</v>
      </c>
      <c r="I21" s="150" t="s">
        <v>336</v>
      </c>
      <c r="J21" s="39">
        <v>3</v>
      </c>
      <c r="K21" s="352"/>
      <c r="L21" s="353"/>
      <c r="M21" s="354"/>
      <c r="N21" s="355"/>
      <c r="O21" s="360"/>
      <c r="P21" s="353"/>
      <c r="Q21" s="354"/>
      <c r="R21" s="355"/>
      <c r="S21" s="360"/>
      <c r="T21" s="353"/>
      <c r="U21" s="354">
        <v>3</v>
      </c>
      <c r="V21" s="361"/>
      <c r="W21" s="377">
        <f>SUM(K21:V22)</f>
        <v>3</v>
      </c>
      <c r="X21" s="376"/>
      <c r="Y21" s="351"/>
    </row>
    <row r="22" spans="2:30" ht="17.25" thickBot="1">
      <c r="B22" s="385"/>
      <c r="C22" s="372"/>
      <c r="D22" s="370"/>
      <c r="E22" s="45" t="s">
        <v>339</v>
      </c>
      <c r="F22" s="346" t="s">
        <v>227</v>
      </c>
      <c r="G22" s="347"/>
      <c r="H22" s="42">
        <v>4</v>
      </c>
      <c r="I22" s="43" t="s">
        <v>336</v>
      </c>
      <c r="J22" s="44">
        <v>3</v>
      </c>
      <c r="K22" s="284"/>
      <c r="L22" s="285"/>
      <c r="M22" s="288"/>
      <c r="N22" s="289"/>
      <c r="O22" s="291"/>
      <c r="P22" s="285"/>
      <c r="Q22" s="288"/>
      <c r="R22" s="289"/>
      <c r="S22" s="291"/>
      <c r="T22" s="285"/>
      <c r="U22" s="288"/>
      <c r="V22" s="293"/>
      <c r="W22" s="380"/>
      <c r="X22" s="376"/>
      <c r="Y22" s="351"/>
    </row>
    <row r="23" spans="2:30" ht="17.25" thickBot="1">
      <c r="B23" s="385"/>
      <c r="C23" s="372"/>
      <c r="D23" s="364" t="s">
        <v>337</v>
      </c>
      <c r="E23" s="31" t="s">
        <v>12</v>
      </c>
      <c r="F23" s="235" t="s">
        <v>230</v>
      </c>
      <c r="G23" s="240"/>
      <c r="H23" s="32">
        <v>3</v>
      </c>
      <c r="I23" s="46" t="s">
        <v>338</v>
      </c>
      <c r="J23" s="34">
        <v>3</v>
      </c>
      <c r="K23" s="300"/>
      <c r="L23" s="301"/>
      <c r="M23" s="304"/>
      <c r="N23" s="305"/>
      <c r="O23" s="308"/>
      <c r="P23" s="301"/>
      <c r="Q23" s="304">
        <v>3</v>
      </c>
      <c r="R23" s="305"/>
      <c r="S23" s="308"/>
      <c r="T23" s="301"/>
      <c r="U23" s="304"/>
      <c r="V23" s="310"/>
      <c r="W23" s="35">
        <f>SUM(K23:V23)</f>
        <v>3</v>
      </c>
      <c r="X23" s="375">
        <f>SUM(W23:W24)</f>
        <v>6</v>
      </c>
      <c r="Y23" s="351">
        <v>6</v>
      </c>
    </row>
    <row r="24" spans="2:30" ht="17.25" thickBot="1">
      <c r="B24" s="385"/>
      <c r="C24" s="372"/>
      <c r="D24" s="365"/>
      <c r="E24" s="47" t="s">
        <v>12</v>
      </c>
      <c r="F24" s="284" t="s">
        <v>231</v>
      </c>
      <c r="G24" s="293"/>
      <c r="H24" s="48">
        <v>3</v>
      </c>
      <c r="I24" s="49" t="s">
        <v>338</v>
      </c>
      <c r="J24" s="142">
        <v>3</v>
      </c>
      <c r="K24" s="346"/>
      <c r="L24" s="348"/>
      <c r="M24" s="349"/>
      <c r="N24" s="350"/>
      <c r="O24" s="366"/>
      <c r="P24" s="348"/>
      <c r="Q24" s="349"/>
      <c r="R24" s="350"/>
      <c r="S24" s="366">
        <v>3</v>
      </c>
      <c r="T24" s="348"/>
      <c r="U24" s="349"/>
      <c r="V24" s="347"/>
      <c r="W24" s="50">
        <f>SUM(K24:V24)</f>
        <v>3</v>
      </c>
      <c r="X24" s="378"/>
      <c r="Y24" s="351"/>
      <c r="AA24" s="205"/>
      <c r="AB24" s="205"/>
      <c r="AC24" s="132"/>
    </row>
    <row r="25" spans="2:30" ht="17.25" thickBot="1">
      <c r="B25" s="385"/>
      <c r="C25" s="372"/>
      <c r="D25" s="365"/>
      <c r="E25" s="31" t="s">
        <v>12</v>
      </c>
      <c r="F25" s="235" t="s">
        <v>233</v>
      </c>
      <c r="G25" s="240"/>
      <c r="H25" s="32">
        <v>4</v>
      </c>
      <c r="I25" s="46" t="s">
        <v>334</v>
      </c>
      <c r="J25" s="34">
        <v>3</v>
      </c>
      <c r="K25" s="235">
        <v>3</v>
      </c>
      <c r="L25" s="236"/>
      <c r="M25" s="237"/>
      <c r="N25" s="238"/>
      <c r="O25" s="239"/>
      <c r="P25" s="236"/>
      <c r="Q25" s="237"/>
      <c r="R25" s="238"/>
      <c r="S25" s="239"/>
      <c r="T25" s="236"/>
      <c r="U25" s="237"/>
      <c r="V25" s="240"/>
      <c r="W25" s="35">
        <f>SUM(K25:V25)</f>
        <v>3</v>
      </c>
      <c r="X25" s="375">
        <f>SUM(W25:W27)</f>
        <v>9</v>
      </c>
      <c r="Y25" s="351">
        <v>12</v>
      </c>
    </row>
    <row r="26" spans="2:30" ht="17.25" thickBot="1">
      <c r="B26" s="385"/>
      <c r="C26" s="372"/>
      <c r="D26" s="365"/>
      <c r="E26" s="160" t="s">
        <v>12</v>
      </c>
      <c r="F26" s="249" t="s">
        <v>234</v>
      </c>
      <c r="G26" s="213"/>
      <c r="H26" s="157">
        <v>4</v>
      </c>
      <c r="I26" s="51" t="s">
        <v>334</v>
      </c>
      <c r="J26" s="141">
        <v>3</v>
      </c>
      <c r="K26" s="249"/>
      <c r="L26" s="211"/>
      <c r="M26" s="212"/>
      <c r="N26" s="250"/>
      <c r="O26" s="210">
        <v>3</v>
      </c>
      <c r="P26" s="211"/>
      <c r="Q26" s="212"/>
      <c r="R26" s="250"/>
      <c r="S26" s="210"/>
      <c r="T26" s="211"/>
      <c r="U26" s="212"/>
      <c r="V26" s="213"/>
      <c r="W26" s="159">
        <v>3</v>
      </c>
      <c r="X26" s="376"/>
      <c r="Y26" s="351"/>
    </row>
    <row r="27" spans="2:30" ht="17.25" thickBot="1">
      <c r="B27" s="385"/>
      <c r="C27" s="372"/>
      <c r="D27" s="370"/>
      <c r="E27" s="45" t="s">
        <v>335</v>
      </c>
      <c r="F27" s="346" t="s">
        <v>235</v>
      </c>
      <c r="G27" s="347"/>
      <c r="H27" s="42">
        <v>4</v>
      </c>
      <c r="I27" s="43" t="s">
        <v>336</v>
      </c>
      <c r="J27" s="44">
        <v>3</v>
      </c>
      <c r="K27" s="346"/>
      <c r="L27" s="348"/>
      <c r="M27" s="349"/>
      <c r="N27" s="350"/>
      <c r="O27" s="366"/>
      <c r="P27" s="348"/>
      <c r="Q27" s="349"/>
      <c r="R27" s="350"/>
      <c r="S27" s="366"/>
      <c r="T27" s="348"/>
      <c r="U27" s="349">
        <v>3</v>
      </c>
      <c r="V27" s="347"/>
      <c r="W27" s="50">
        <f>SUM(K27:V27)</f>
        <v>3</v>
      </c>
      <c r="X27" s="378"/>
      <c r="Y27" s="351"/>
    </row>
    <row r="28" spans="2:30" ht="27.75" thickBot="1">
      <c r="B28" s="385"/>
      <c r="C28" s="372"/>
      <c r="D28" s="139" t="s">
        <v>337</v>
      </c>
      <c r="E28" s="158" t="s">
        <v>340</v>
      </c>
      <c r="F28" s="235" t="s">
        <v>246</v>
      </c>
      <c r="G28" s="240"/>
      <c r="H28" s="157">
        <v>4</v>
      </c>
      <c r="I28" s="51" t="s">
        <v>336</v>
      </c>
      <c r="J28" s="140">
        <v>3</v>
      </c>
      <c r="K28" s="300"/>
      <c r="L28" s="301"/>
      <c r="M28" s="304"/>
      <c r="N28" s="305"/>
      <c r="O28" s="308"/>
      <c r="P28" s="301"/>
      <c r="Q28" s="304"/>
      <c r="R28" s="305"/>
      <c r="S28" s="308">
        <v>3</v>
      </c>
      <c r="T28" s="301"/>
      <c r="U28" s="304"/>
      <c r="V28" s="310"/>
      <c r="W28" s="373">
        <f>SUM(K28:V29)</f>
        <v>3</v>
      </c>
      <c r="X28" s="375">
        <f>SUM(W28:W31)</f>
        <v>6</v>
      </c>
      <c r="Y28" s="351"/>
    </row>
    <row r="29" spans="2:30" ht="17.25" thickBot="1">
      <c r="B29" s="385"/>
      <c r="C29" s="372"/>
      <c r="D29" s="155" t="s">
        <v>26</v>
      </c>
      <c r="E29" s="36" t="s">
        <v>340</v>
      </c>
      <c r="F29" s="282" t="s">
        <v>256</v>
      </c>
      <c r="G29" s="292"/>
      <c r="H29" s="37">
        <v>4</v>
      </c>
      <c r="I29" s="38" t="s">
        <v>336</v>
      </c>
      <c r="J29" s="149">
        <v>3</v>
      </c>
      <c r="K29" s="282"/>
      <c r="L29" s="283"/>
      <c r="M29" s="286"/>
      <c r="N29" s="287"/>
      <c r="O29" s="290"/>
      <c r="P29" s="283"/>
      <c r="Q29" s="286"/>
      <c r="R29" s="287"/>
      <c r="S29" s="290"/>
      <c r="T29" s="283"/>
      <c r="U29" s="286"/>
      <c r="V29" s="292"/>
      <c r="W29" s="374"/>
      <c r="X29" s="376"/>
      <c r="Y29" s="351"/>
    </row>
    <row r="30" spans="2:30" ht="27.75" thickBot="1">
      <c r="B30" s="385"/>
      <c r="C30" s="372"/>
      <c r="D30" s="156" t="s">
        <v>539</v>
      </c>
      <c r="E30" s="36" t="s">
        <v>335</v>
      </c>
      <c r="F30" s="352" t="s">
        <v>538</v>
      </c>
      <c r="G30" s="361"/>
      <c r="H30" s="151">
        <v>4</v>
      </c>
      <c r="I30" s="150" t="s">
        <v>336</v>
      </c>
      <c r="J30" s="149">
        <v>3</v>
      </c>
      <c r="K30" s="352"/>
      <c r="L30" s="353"/>
      <c r="M30" s="354"/>
      <c r="N30" s="355"/>
      <c r="O30" s="360"/>
      <c r="P30" s="353"/>
      <c r="Q30" s="354"/>
      <c r="R30" s="355"/>
      <c r="S30" s="360"/>
      <c r="T30" s="353"/>
      <c r="U30" s="354">
        <v>3</v>
      </c>
      <c r="V30" s="361"/>
      <c r="W30" s="377">
        <f>SUM(K30:V31)</f>
        <v>3</v>
      </c>
      <c r="X30" s="376"/>
      <c r="Y30" s="351"/>
    </row>
    <row r="31" spans="2:30" ht="17.25" thickBot="1">
      <c r="B31" s="385"/>
      <c r="C31" s="372"/>
      <c r="D31" s="155" t="s">
        <v>426</v>
      </c>
      <c r="E31" s="36" t="s">
        <v>340</v>
      </c>
      <c r="F31" s="249" t="s">
        <v>257</v>
      </c>
      <c r="G31" s="213"/>
      <c r="H31" s="37">
        <v>4</v>
      </c>
      <c r="I31" s="38" t="s">
        <v>336</v>
      </c>
      <c r="J31" s="149">
        <v>3</v>
      </c>
      <c r="K31" s="282"/>
      <c r="L31" s="283"/>
      <c r="M31" s="286"/>
      <c r="N31" s="287"/>
      <c r="O31" s="290"/>
      <c r="P31" s="283"/>
      <c r="Q31" s="286"/>
      <c r="R31" s="287"/>
      <c r="S31" s="290"/>
      <c r="T31" s="283"/>
      <c r="U31" s="286"/>
      <c r="V31" s="292"/>
      <c r="W31" s="374"/>
      <c r="X31" s="376"/>
      <c r="Y31" s="351"/>
    </row>
    <row r="32" spans="2:30" ht="17.25" thickBot="1">
      <c r="B32" s="385"/>
      <c r="C32" s="372"/>
      <c r="D32" s="364" t="s">
        <v>26</v>
      </c>
      <c r="E32" s="31" t="s">
        <v>12</v>
      </c>
      <c r="F32" s="235" t="s">
        <v>251</v>
      </c>
      <c r="G32" s="240"/>
      <c r="H32" s="32">
        <v>4</v>
      </c>
      <c r="I32" s="46" t="s">
        <v>334</v>
      </c>
      <c r="J32" s="34">
        <v>3</v>
      </c>
      <c r="K32" s="235"/>
      <c r="L32" s="236"/>
      <c r="M32" s="237">
        <v>3</v>
      </c>
      <c r="N32" s="238"/>
      <c r="O32" s="239"/>
      <c r="P32" s="236"/>
      <c r="Q32" s="237"/>
      <c r="R32" s="238"/>
      <c r="S32" s="239"/>
      <c r="T32" s="236"/>
      <c r="U32" s="237"/>
      <c r="V32" s="240"/>
      <c r="W32" s="35">
        <f>SUM(K32:V32)</f>
        <v>3</v>
      </c>
      <c r="X32" s="371">
        <f>SUM(W32:W34)</f>
        <v>9</v>
      </c>
      <c r="Y32" s="351"/>
    </row>
    <row r="33" spans="2:25" ht="17.25" thickBot="1">
      <c r="B33" s="385"/>
      <c r="C33" s="372"/>
      <c r="D33" s="365"/>
      <c r="E33" s="36" t="s">
        <v>12</v>
      </c>
      <c r="F33" s="249" t="s">
        <v>252</v>
      </c>
      <c r="G33" s="213"/>
      <c r="H33" s="37">
        <v>4</v>
      </c>
      <c r="I33" s="38" t="s">
        <v>334</v>
      </c>
      <c r="J33" s="39">
        <v>3</v>
      </c>
      <c r="K33" s="249"/>
      <c r="L33" s="211"/>
      <c r="M33" s="212"/>
      <c r="N33" s="250"/>
      <c r="O33" s="210">
        <v>3</v>
      </c>
      <c r="P33" s="211"/>
      <c r="Q33" s="212"/>
      <c r="R33" s="250"/>
      <c r="S33" s="210"/>
      <c r="T33" s="211"/>
      <c r="U33" s="212"/>
      <c r="V33" s="213"/>
      <c r="W33" s="40">
        <f>SUM(K33:V33)</f>
        <v>3</v>
      </c>
      <c r="X33" s="372"/>
      <c r="Y33" s="351"/>
    </row>
    <row r="34" spans="2:25" ht="17.25" thickBot="1">
      <c r="B34" s="385"/>
      <c r="C34" s="372"/>
      <c r="D34" s="365"/>
      <c r="E34" s="154" t="s">
        <v>340</v>
      </c>
      <c r="F34" s="249" t="s">
        <v>255</v>
      </c>
      <c r="G34" s="213"/>
      <c r="H34" s="151">
        <v>4</v>
      </c>
      <c r="I34" s="150" t="s">
        <v>336</v>
      </c>
      <c r="J34" s="149">
        <v>3</v>
      </c>
      <c r="K34" s="249"/>
      <c r="L34" s="211"/>
      <c r="M34" s="212"/>
      <c r="N34" s="250"/>
      <c r="O34" s="210"/>
      <c r="P34" s="211"/>
      <c r="Q34" s="212">
        <v>3</v>
      </c>
      <c r="R34" s="250"/>
      <c r="S34" s="210"/>
      <c r="T34" s="211"/>
      <c r="U34" s="212"/>
      <c r="V34" s="213"/>
      <c r="W34" s="153">
        <v>3</v>
      </c>
      <c r="X34" s="372"/>
      <c r="Y34" s="351"/>
    </row>
    <row r="35" spans="2:25" ht="16.5" customHeight="1" thickBot="1">
      <c r="B35" s="385"/>
      <c r="C35" s="372"/>
      <c r="D35" s="364" t="s">
        <v>8</v>
      </c>
      <c r="E35" s="31" t="s">
        <v>340</v>
      </c>
      <c r="F35" s="235" t="s">
        <v>341</v>
      </c>
      <c r="G35" s="240"/>
      <c r="H35" s="32">
        <v>3</v>
      </c>
      <c r="I35" s="46" t="s">
        <v>342</v>
      </c>
      <c r="J35" s="34">
        <f>SUM(K35:V35)</f>
        <v>2</v>
      </c>
      <c r="K35" s="235">
        <v>2</v>
      </c>
      <c r="L35" s="236"/>
      <c r="M35" s="237"/>
      <c r="N35" s="238"/>
      <c r="O35" s="239"/>
      <c r="P35" s="236"/>
      <c r="Q35" s="237"/>
      <c r="R35" s="238"/>
      <c r="S35" s="239"/>
      <c r="T35" s="236"/>
      <c r="U35" s="237"/>
      <c r="V35" s="240"/>
      <c r="W35" s="35">
        <f t="shared" ref="W35:W40" si="1">SUM(K35:V35)</f>
        <v>2</v>
      </c>
      <c r="X35" s="367">
        <f>SUM(W35:W40)</f>
        <v>12</v>
      </c>
      <c r="Y35" s="351">
        <v>8</v>
      </c>
    </row>
    <row r="36" spans="2:25" ht="17.25" thickBot="1">
      <c r="B36" s="385"/>
      <c r="C36" s="372"/>
      <c r="D36" s="365"/>
      <c r="E36" s="36" t="s">
        <v>340</v>
      </c>
      <c r="F36" s="249" t="s">
        <v>343</v>
      </c>
      <c r="G36" s="213"/>
      <c r="H36" s="37">
        <v>3</v>
      </c>
      <c r="I36" s="38" t="s">
        <v>342</v>
      </c>
      <c r="J36" s="39">
        <f>SUM(K36:V36)</f>
        <v>2</v>
      </c>
      <c r="K36" s="249"/>
      <c r="L36" s="211"/>
      <c r="M36" s="212">
        <v>2</v>
      </c>
      <c r="N36" s="250"/>
      <c r="O36" s="210"/>
      <c r="P36" s="211"/>
      <c r="Q36" s="212"/>
      <c r="R36" s="250"/>
      <c r="S36" s="210"/>
      <c r="T36" s="211"/>
      <c r="U36" s="212"/>
      <c r="V36" s="213"/>
      <c r="W36" s="40">
        <f t="shared" si="1"/>
        <v>2</v>
      </c>
      <c r="X36" s="368"/>
      <c r="Y36" s="351"/>
    </row>
    <row r="37" spans="2:25" ht="17.25" thickBot="1">
      <c r="B37" s="385"/>
      <c r="C37" s="372"/>
      <c r="D37" s="365"/>
      <c r="E37" s="36" t="s">
        <v>335</v>
      </c>
      <c r="F37" s="249" t="s">
        <v>537</v>
      </c>
      <c r="G37" s="213"/>
      <c r="H37" s="37">
        <v>3</v>
      </c>
      <c r="I37" s="38" t="s">
        <v>342</v>
      </c>
      <c r="J37" s="39">
        <v>2</v>
      </c>
      <c r="K37" s="249"/>
      <c r="L37" s="211"/>
      <c r="M37" s="212"/>
      <c r="N37" s="250"/>
      <c r="O37" s="210">
        <v>2</v>
      </c>
      <c r="P37" s="211"/>
      <c r="Q37" s="212"/>
      <c r="R37" s="250"/>
      <c r="S37" s="210"/>
      <c r="T37" s="211"/>
      <c r="U37" s="212"/>
      <c r="V37" s="213"/>
      <c r="W37" s="40">
        <f t="shared" si="1"/>
        <v>2</v>
      </c>
      <c r="X37" s="368"/>
      <c r="Y37" s="351"/>
    </row>
    <row r="38" spans="2:25" ht="17.25" thickBot="1">
      <c r="B38" s="385"/>
      <c r="C38" s="372"/>
      <c r="D38" s="365"/>
      <c r="E38" s="36" t="s">
        <v>335</v>
      </c>
      <c r="F38" s="249" t="s">
        <v>364</v>
      </c>
      <c r="G38" s="213"/>
      <c r="H38" s="37">
        <v>2</v>
      </c>
      <c r="I38" s="38" t="s">
        <v>346</v>
      </c>
      <c r="J38" s="39">
        <v>2</v>
      </c>
      <c r="K38" s="249"/>
      <c r="L38" s="211"/>
      <c r="M38" s="212"/>
      <c r="N38" s="250"/>
      <c r="O38" s="210"/>
      <c r="P38" s="211"/>
      <c r="Q38" s="212">
        <v>2</v>
      </c>
      <c r="R38" s="250"/>
      <c r="S38" s="210"/>
      <c r="T38" s="211"/>
      <c r="U38" s="212"/>
      <c r="V38" s="213"/>
      <c r="W38" s="40">
        <f t="shared" si="1"/>
        <v>2</v>
      </c>
      <c r="X38" s="368"/>
      <c r="Y38" s="351"/>
    </row>
    <row r="39" spans="2:25" ht="17.25" thickBot="1">
      <c r="B39" s="385"/>
      <c r="C39" s="372"/>
      <c r="D39" s="365"/>
      <c r="E39" s="36" t="s">
        <v>339</v>
      </c>
      <c r="F39" s="249" t="s">
        <v>344</v>
      </c>
      <c r="G39" s="213"/>
      <c r="H39" s="37">
        <v>3</v>
      </c>
      <c r="I39" s="38" t="s">
        <v>342</v>
      </c>
      <c r="J39" s="39">
        <v>2</v>
      </c>
      <c r="K39" s="249"/>
      <c r="L39" s="211"/>
      <c r="M39" s="212"/>
      <c r="N39" s="250"/>
      <c r="O39" s="210"/>
      <c r="P39" s="211"/>
      <c r="Q39" s="212"/>
      <c r="R39" s="250"/>
      <c r="S39" s="210">
        <v>2</v>
      </c>
      <c r="T39" s="211"/>
      <c r="U39" s="212"/>
      <c r="V39" s="213"/>
      <c r="W39" s="40">
        <f t="shared" si="1"/>
        <v>2</v>
      </c>
      <c r="X39" s="368"/>
      <c r="Y39" s="351"/>
    </row>
    <row r="40" spans="2:25" ht="17.25" thickBot="1">
      <c r="B40" s="385"/>
      <c r="C40" s="372"/>
      <c r="D40" s="370"/>
      <c r="E40" s="45" t="s">
        <v>339</v>
      </c>
      <c r="F40" s="346" t="s">
        <v>345</v>
      </c>
      <c r="G40" s="347"/>
      <c r="H40" s="42">
        <v>3</v>
      </c>
      <c r="I40" s="43" t="s">
        <v>342</v>
      </c>
      <c r="J40" s="44">
        <v>2</v>
      </c>
      <c r="K40" s="346"/>
      <c r="L40" s="348"/>
      <c r="M40" s="349"/>
      <c r="N40" s="350"/>
      <c r="O40" s="366"/>
      <c r="P40" s="348"/>
      <c r="Q40" s="349"/>
      <c r="R40" s="350"/>
      <c r="S40" s="366"/>
      <c r="T40" s="348"/>
      <c r="U40" s="349">
        <v>2</v>
      </c>
      <c r="V40" s="347"/>
      <c r="W40" s="50">
        <f t="shared" si="1"/>
        <v>2</v>
      </c>
      <c r="X40" s="369"/>
      <c r="Y40" s="351"/>
    </row>
    <row r="41" spans="2:25" ht="17.25" thickBot="1">
      <c r="B41" s="385"/>
      <c r="C41" s="372"/>
      <c r="D41" s="364" t="s">
        <v>28</v>
      </c>
      <c r="E41" s="31" t="s">
        <v>340</v>
      </c>
      <c r="F41" s="235" t="s">
        <v>9</v>
      </c>
      <c r="G41" s="240"/>
      <c r="H41" s="32">
        <v>3</v>
      </c>
      <c r="I41" s="51" t="s">
        <v>342</v>
      </c>
      <c r="J41" s="34">
        <v>2</v>
      </c>
      <c r="K41" s="235">
        <v>2</v>
      </c>
      <c r="L41" s="236"/>
      <c r="M41" s="237"/>
      <c r="N41" s="238"/>
      <c r="O41" s="239"/>
      <c r="P41" s="236"/>
      <c r="Q41" s="237"/>
      <c r="R41" s="238"/>
      <c r="S41" s="239"/>
      <c r="T41" s="236"/>
      <c r="U41" s="237"/>
      <c r="V41" s="240"/>
      <c r="W41" s="272">
        <f>SUM(K41:V43)</f>
        <v>7</v>
      </c>
      <c r="X41" s="273"/>
      <c r="Y41" s="351">
        <v>6</v>
      </c>
    </row>
    <row r="42" spans="2:25" ht="17.25" thickBot="1">
      <c r="B42" s="385"/>
      <c r="C42" s="372"/>
      <c r="D42" s="365"/>
      <c r="E42" s="41" t="s">
        <v>340</v>
      </c>
      <c r="F42" s="249" t="s">
        <v>47</v>
      </c>
      <c r="G42" s="213"/>
      <c r="H42" s="152">
        <v>3</v>
      </c>
      <c r="I42" s="38" t="s">
        <v>342</v>
      </c>
      <c r="J42" s="147">
        <v>2</v>
      </c>
      <c r="K42" s="249"/>
      <c r="L42" s="211"/>
      <c r="M42" s="212">
        <v>2</v>
      </c>
      <c r="N42" s="250"/>
      <c r="O42" s="210"/>
      <c r="P42" s="211"/>
      <c r="Q42" s="212"/>
      <c r="R42" s="250"/>
      <c r="S42" s="210"/>
      <c r="T42" s="211"/>
      <c r="U42" s="212"/>
      <c r="V42" s="213"/>
      <c r="W42" s="274"/>
      <c r="X42" s="275"/>
      <c r="Y42" s="351"/>
    </row>
    <row r="43" spans="2:25" ht="17.25" thickBot="1">
      <c r="B43" s="385"/>
      <c r="C43" s="372"/>
      <c r="D43" s="365"/>
      <c r="E43" s="41" t="s">
        <v>339</v>
      </c>
      <c r="F43" s="249" t="s">
        <v>281</v>
      </c>
      <c r="G43" s="213"/>
      <c r="H43" s="37">
        <v>3</v>
      </c>
      <c r="I43" s="38" t="s">
        <v>342</v>
      </c>
      <c r="J43" s="39">
        <v>3</v>
      </c>
      <c r="K43" s="249"/>
      <c r="L43" s="211"/>
      <c r="M43" s="212"/>
      <c r="N43" s="250"/>
      <c r="O43" s="210"/>
      <c r="P43" s="211"/>
      <c r="Q43" s="212">
        <v>3</v>
      </c>
      <c r="R43" s="250"/>
      <c r="S43" s="210"/>
      <c r="T43" s="211"/>
      <c r="U43" s="212"/>
      <c r="V43" s="213"/>
      <c r="W43" s="274"/>
      <c r="X43" s="275"/>
      <c r="Y43" s="351"/>
    </row>
    <row r="44" spans="2:25" ht="16.5" customHeight="1" thickBot="1">
      <c r="B44" s="385"/>
      <c r="C44" s="372"/>
      <c r="D44" s="362" t="s">
        <v>347</v>
      </c>
      <c r="E44" s="31" t="s">
        <v>340</v>
      </c>
      <c r="F44" s="235" t="s">
        <v>295</v>
      </c>
      <c r="G44" s="240"/>
      <c r="H44" s="32">
        <v>3</v>
      </c>
      <c r="I44" s="46" t="s">
        <v>342</v>
      </c>
      <c r="J44" s="34">
        <v>3</v>
      </c>
      <c r="K44" s="300">
        <v>3</v>
      </c>
      <c r="L44" s="301"/>
      <c r="M44" s="304"/>
      <c r="N44" s="305"/>
      <c r="O44" s="308"/>
      <c r="P44" s="301"/>
      <c r="Q44" s="304"/>
      <c r="R44" s="305"/>
      <c r="S44" s="308"/>
      <c r="T44" s="301"/>
      <c r="U44" s="304"/>
      <c r="V44" s="310"/>
      <c r="W44" s="272">
        <f>SUM(K44:V57)</f>
        <v>25</v>
      </c>
      <c r="X44" s="273"/>
      <c r="Y44" s="351">
        <v>8</v>
      </c>
    </row>
    <row r="45" spans="2:25" ht="16.5" customHeight="1" thickBot="1">
      <c r="B45" s="385"/>
      <c r="C45" s="372"/>
      <c r="D45" s="363"/>
      <c r="E45" s="41" t="s">
        <v>340</v>
      </c>
      <c r="F45" s="249" t="s">
        <v>296</v>
      </c>
      <c r="G45" s="213"/>
      <c r="H45" s="37">
        <v>3</v>
      </c>
      <c r="I45" s="38" t="s">
        <v>342</v>
      </c>
      <c r="J45" s="39">
        <v>3</v>
      </c>
      <c r="K45" s="302"/>
      <c r="L45" s="303"/>
      <c r="M45" s="306"/>
      <c r="N45" s="307"/>
      <c r="O45" s="309"/>
      <c r="P45" s="303"/>
      <c r="Q45" s="306"/>
      <c r="R45" s="307"/>
      <c r="S45" s="309"/>
      <c r="T45" s="303"/>
      <c r="U45" s="306"/>
      <c r="V45" s="311"/>
      <c r="W45" s="274"/>
      <c r="X45" s="275"/>
      <c r="Y45" s="351"/>
    </row>
    <row r="46" spans="2:25" ht="16.5" customHeight="1" thickBot="1">
      <c r="B46" s="385"/>
      <c r="C46" s="372"/>
      <c r="D46" s="363"/>
      <c r="E46" s="41" t="s">
        <v>335</v>
      </c>
      <c r="F46" s="249" t="s">
        <v>303</v>
      </c>
      <c r="G46" s="213"/>
      <c r="H46" s="151">
        <v>3</v>
      </c>
      <c r="I46" s="38" t="s">
        <v>342</v>
      </c>
      <c r="J46" s="39">
        <v>3</v>
      </c>
      <c r="K46" s="352"/>
      <c r="L46" s="353"/>
      <c r="M46" s="354">
        <v>3</v>
      </c>
      <c r="N46" s="355"/>
      <c r="O46" s="356"/>
      <c r="P46" s="357"/>
      <c r="Q46" s="354"/>
      <c r="R46" s="355"/>
      <c r="S46" s="360"/>
      <c r="T46" s="353"/>
      <c r="U46" s="354"/>
      <c r="V46" s="361"/>
      <c r="W46" s="274"/>
      <c r="X46" s="275"/>
      <c r="Y46" s="351"/>
    </row>
    <row r="47" spans="2:25" ht="16.5" customHeight="1" thickBot="1">
      <c r="B47" s="385"/>
      <c r="C47" s="372"/>
      <c r="D47" s="363"/>
      <c r="E47" s="41" t="s">
        <v>335</v>
      </c>
      <c r="F47" s="249" t="s">
        <v>304</v>
      </c>
      <c r="G47" s="213"/>
      <c r="H47" s="151">
        <v>3</v>
      </c>
      <c r="I47" s="38" t="s">
        <v>342</v>
      </c>
      <c r="J47" s="39">
        <v>3</v>
      </c>
      <c r="K47" s="302"/>
      <c r="L47" s="303"/>
      <c r="M47" s="306"/>
      <c r="N47" s="307"/>
      <c r="O47" s="358"/>
      <c r="P47" s="359"/>
      <c r="Q47" s="306"/>
      <c r="R47" s="307"/>
      <c r="S47" s="309"/>
      <c r="T47" s="303"/>
      <c r="U47" s="306"/>
      <c r="V47" s="311"/>
      <c r="W47" s="274"/>
      <c r="X47" s="275"/>
      <c r="Y47" s="351"/>
    </row>
    <row r="48" spans="2:25" ht="16.5" customHeight="1" thickBot="1">
      <c r="B48" s="385"/>
      <c r="C48" s="372"/>
      <c r="D48" s="363"/>
      <c r="E48" s="41" t="s">
        <v>335</v>
      </c>
      <c r="F48" s="249" t="s">
        <v>311</v>
      </c>
      <c r="G48" s="213"/>
      <c r="H48" s="151">
        <v>3</v>
      </c>
      <c r="I48" s="38" t="s">
        <v>342</v>
      </c>
      <c r="J48" s="39">
        <v>3</v>
      </c>
      <c r="K48" s="352"/>
      <c r="L48" s="353"/>
      <c r="M48" s="354"/>
      <c r="N48" s="355"/>
      <c r="O48" s="360">
        <v>3</v>
      </c>
      <c r="P48" s="353"/>
      <c r="Q48" s="354"/>
      <c r="R48" s="355"/>
      <c r="S48" s="360"/>
      <c r="T48" s="353"/>
      <c r="U48" s="354"/>
      <c r="V48" s="361"/>
      <c r="W48" s="274"/>
      <c r="X48" s="275"/>
      <c r="Y48" s="351"/>
    </row>
    <row r="49" spans="2:28" ht="16.5" customHeight="1" thickBot="1">
      <c r="B49" s="385"/>
      <c r="C49" s="372"/>
      <c r="D49" s="363"/>
      <c r="E49" s="41" t="s">
        <v>335</v>
      </c>
      <c r="F49" s="249" t="s">
        <v>310</v>
      </c>
      <c r="G49" s="213"/>
      <c r="H49" s="151">
        <v>3</v>
      </c>
      <c r="I49" s="38" t="s">
        <v>342</v>
      </c>
      <c r="J49" s="39">
        <v>3</v>
      </c>
      <c r="K49" s="302"/>
      <c r="L49" s="303"/>
      <c r="M49" s="306"/>
      <c r="N49" s="307"/>
      <c r="O49" s="309"/>
      <c r="P49" s="303"/>
      <c r="Q49" s="306"/>
      <c r="R49" s="307"/>
      <c r="S49" s="309"/>
      <c r="T49" s="303"/>
      <c r="U49" s="306"/>
      <c r="V49" s="311"/>
      <c r="W49" s="274"/>
      <c r="X49" s="275"/>
      <c r="Y49" s="351"/>
    </row>
    <row r="50" spans="2:28" ht="16.5" customHeight="1" thickBot="1">
      <c r="B50" s="385"/>
      <c r="C50" s="372"/>
      <c r="D50" s="363"/>
      <c r="E50" s="41" t="s">
        <v>536</v>
      </c>
      <c r="F50" s="249" t="s">
        <v>330</v>
      </c>
      <c r="G50" s="213"/>
      <c r="H50" s="151">
        <v>3</v>
      </c>
      <c r="I50" s="150" t="s">
        <v>342</v>
      </c>
      <c r="J50" s="149">
        <v>2</v>
      </c>
      <c r="K50" s="249">
        <v>2</v>
      </c>
      <c r="L50" s="211"/>
      <c r="M50" s="212"/>
      <c r="N50" s="250"/>
      <c r="O50" s="210"/>
      <c r="P50" s="211"/>
      <c r="Q50" s="212"/>
      <c r="R50" s="250"/>
      <c r="S50" s="210"/>
      <c r="T50" s="211"/>
      <c r="U50" s="212"/>
      <c r="V50" s="213"/>
      <c r="W50" s="274"/>
      <c r="X50" s="275"/>
      <c r="Y50" s="351"/>
    </row>
    <row r="51" spans="2:28" ht="16.5" customHeight="1" thickBot="1">
      <c r="B51" s="385"/>
      <c r="C51" s="372"/>
      <c r="D51" s="363"/>
      <c r="E51" s="41" t="s">
        <v>535</v>
      </c>
      <c r="F51" s="249" t="s">
        <v>326</v>
      </c>
      <c r="G51" s="213"/>
      <c r="H51" s="151">
        <v>3</v>
      </c>
      <c r="I51" s="150" t="s">
        <v>342</v>
      </c>
      <c r="J51" s="149">
        <v>2</v>
      </c>
      <c r="K51" s="249"/>
      <c r="L51" s="211"/>
      <c r="M51" s="212">
        <v>2</v>
      </c>
      <c r="N51" s="250"/>
      <c r="O51" s="210"/>
      <c r="P51" s="211"/>
      <c r="Q51" s="212"/>
      <c r="R51" s="250"/>
      <c r="S51" s="210"/>
      <c r="T51" s="211"/>
      <c r="U51" s="212"/>
      <c r="V51" s="213"/>
      <c r="W51" s="274"/>
      <c r="X51" s="275"/>
      <c r="Y51" s="351"/>
    </row>
    <row r="52" spans="2:28" ht="16.5" customHeight="1" thickBot="1">
      <c r="B52" s="385"/>
      <c r="C52" s="372"/>
      <c r="D52" s="363"/>
      <c r="E52" s="41" t="s">
        <v>335</v>
      </c>
      <c r="F52" s="249" t="s">
        <v>534</v>
      </c>
      <c r="G52" s="213"/>
      <c r="H52" s="151">
        <v>3</v>
      </c>
      <c r="I52" s="150" t="s">
        <v>342</v>
      </c>
      <c r="J52" s="149">
        <v>2</v>
      </c>
      <c r="K52" s="249">
        <v>2</v>
      </c>
      <c r="L52" s="211"/>
      <c r="M52" s="212"/>
      <c r="N52" s="250"/>
      <c r="O52" s="210"/>
      <c r="P52" s="211"/>
      <c r="Q52" s="212"/>
      <c r="R52" s="250"/>
      <c r="S52" s="210"/>
      <c r="T52" s="211"/>
      <c r="U52" s="212"/>
      <c r="V52" s="213"/>
      <c r="W52" s="274"/>
      <c r="X52" s="275"/>
      <c r="Y52" s="351"/>
    </row>
    <row r="53" spans="2:28" ht="16.5" customHeight="1" thickBot="1">
      <c r="B53" s="385"/>
      <c r="C53" s="372"/>
      <c r="D53" s="363"/>
      <c r="E53" s="41" t="s">
        <v>335</v>
      </c>
      <c r="F53" s="249" t="s">
        <v>329</v>
      </c>
      <c r="G53" s="213"/>
      <c r="H53" s="151">
        <v>3</v>
      </c>
      <c r="I53" s="150" t="s">
        <v>342</v>
      </c>
      <c r="J53" s="149">
        <v>2</v>
      </c>
      <c r="K53" s="249"/>
      <c r="L53" s="211"/>
      <c r="M53" s="212">
        <v>2</v>
      </c>
      <c r="N53" s="250"/>
      <c r="O53" s="210"/>
      <c r="P53" s="211"/>
      <c r="Q53" s="212"/>
      <c r="R53" s="250"/>
      <c r="S53" s="210"/>
      <c r="T53" s="211"/>
      <c r="U53" s="212"/>
      <c r="V53" s="213"/>
      <c r="W53" s="274"/>
      <c r="X53" s="275"/>
      <c r="Y53" s="351"/>
    </row>
    <row r="54" spans="2:28" ht="16.5" customHeight="1" thickBot="1">
      <c r="B54" s="385"/>
      <c r="C54" s="372"/>
      <c r="D54" s="363"/>
      <c r="E54" s="41" t="s">
        <v>335</v>
      </c>
      <c r="F54" s="249" t="s">
        <v>328</v>
      </c>
      <c r="G54" s="213"/>
      <c r="H54" s="151">
        <v>3</v>
      </c>
      <c r="I54" s="150" t="s">
        <v>342</v>
      </c>
      <c r="J54" s="149">
        <v>2</v>
      </c>
      <c r="K54" s="249"/>
      <c r="L54" s="211"/>
      <c r="M54" s="212"/>
      <c r="N54" s="250"/>
      <c r="O54" s="210"/>
      <c r="P54" s="211"/>
      <c r="Q54" s="212"/>
      <c r="R54" s="250"/>
      <c r="S54" s="210">
        <v>2</v>
      </c>
      <c r="T54" s="211"/>
      <c r="U54" s="212"/>
      <c r="V54" s="213"/>
      <c r="W54" s="274"/>
      <c r="X54" s="275"/>
      <c r="Y54" s="351"/>
    </row>
    <row r="55" spans="2:28" ht="16.5" customHeight="1" thickBot="1">
      <c r="B55" s="385"/>
      <c r="C55" s="372"/>
      <c r="D55" s="363"/>
      <c r="E55" s="41" t="s">
        <v>339</v>
      </c>
      <c r="F55" s="249" t="s">
        <v>52</v>
      </c>
      <c r="G55" s="213"/>
      <c r="H55" s="151">
        <v>3</v>
      </c>
      <c r="I55" s="150" t="s">
        <v>342</v>
      </c>
      <c r="J55" s="149">
        <v>2</v>
      </c>
      <c r="K55" s="249"/>
      <c r="L55" s="211"/>
      <c r="M55" s="212"/>
      <c r="N55" s="250"/>
      <c r="O55" s="210"/>
      <c r="P55" s="211"/>
      <c r="Q55" s="212"/>
      <c r="R55" s="250"/>
      <c r="S55" s="210"/>
      <c r="T55" s="211"/>
      <c r="U55" s="212">
        <v>2</v>
      </c>
      <c r="V55" s="213"/>
      <c r="W55" s="274"/>
      <c r="X55" s="275"/>
      <c r="Y55" s="351"/>
    </row>
    <row r="56" spans="2:28" ht="16.5" customHeight="1" thickBot="1">
      <c r="B56" s="385"/>
      <c r="C56" s="372"/>
      <c r="D56" s="363"/>
      <c r="E56" s="41" t="s">
        <v>340</v>
      </c>
      <c r="F56" s="249" t="s">
        <v>50</v>
      </c>
      <c r="G56" s="213"/>
      <c r="H56" s="151">
        <v>3</v>
      </c>
      <c r="I56" s="150" t="s">
        <v>342</v>
      </c>
      <c r="J56" s="149">
        <v>2</v>
      </c>
      <c r="K56" s="249"/>
      <c r="L56" s="211"/>
      <c r="M56" s="212"/>
      <c r="N56" s="250"/>
      <c r="O56" s="210"/>
      <c r="P56" s="211"/>
      <c r="Q56" s="212"/>
      <c r="R56" s="250"/>
      <c r="S56" s="210">
        <v>2</v>
      </c>
      <c r="T56" s="211"/>
      <c r="U56" s="212"/>
      <c r="V56" s="213"/>
      <c r="W56" s="274"/>
      <c r="X56" s="275"/>
      <c r="Y56" s="351"/>
    </row>
    <row r="57" spans="2:28" ht="17.25" thickBot="1">
      <c r="B57" s="386"/>
      <c r="C57" s="387"/>
      <c r="D57" s="363"/>
      <c r="E57" s="41" t="s">
        <v>335</v>
      </c>
      <c r="F57" s="346" t="s">
        <v>327</v>
      </c>
      <c r="G57" s="347"/>
      <c r="H57" s="42">
        <v>3</v>
      </c>
      <c r="I57" s="43" t="s">
        <v>342</v>
      </c>
      <c r="J57" s="149">
        <v>2</v>
      </c>
      <c r="K57" s="346"/>
      <c r="L57" s="348"/>
      <c r="M57" s="349"/>
      <c r="N57" s="350"/>
      <c r="O57" s="210"/>
      <c r="P57" s="211"/>
      <c r="Q57" s="212"/>
      <c r="R57" s="250"/>
      <c r="S57" s="210"/>
      <c r="T57" s="211"/>
      <c r="U57" s="212">
        <v>2</v>
      </c>
      <c r="V57" s="213"/>
      <c r="W57" s="274"/>
      <c r="X57" s="275"/>
      <c r="Y57" s="351"/>
    </row>
    <row r="58" spans="2:28" ht="24.75" customHeight="1" thickBot="1">
      <c r="B58" s="200" t="s">
        <v>357</v>
      </c>
      <c r="C58" s="202"/>
      <c r="D58" s="202"/>
      <c r="E58" s="202"/>
      <c r="F58" s="202"/>
      <c r="G58" s="201"/>
      <c r="H58" s="133">
        <f>SUM(H9:H57)</f>
        <v>170</v>
      </c>
      <c r="I58" s="12"/>
      <c r="J58" s="144">
        <f>SUM(J9:J57)</f>
        <v>131</v>
      </c>
      <c r="K58" s="341">
        <f>SUM(K9:L57)</f>
        <v>20</v>
      </c>
      <c r="L58" s="342"/>
      <c r="M58" s="342">
        <f>SUM(M9:N57)</f>
        <v>20</v>
      </c>
      <c r="N58" s="209"/>
      <c r="O58" s="343">
        <f>SUM(O9:P57)</f>
        <v>17</v>
      </c>
      <c r="P58" s="342"/>
      <c r="Q58" s="342">
        <f>SUM(Q9:R57)</f>
        <v>17</v>
      </c>
      <c r="R58" s="344"/>
      <c r="S58" s="208">
        <f>SUM(S9:T57)</f>
        <v>18</v>
      </c>
      <c r="T58" s="342"/>
      <c r="U58" s="342">
        <f>SUM(U9:V57)</f>
        <v>18</v>
      </c>
      <c r="V58" s="345"/>
      <c r="W58" s="200">
        <f t="shared" ref="W58:W74" si="2">SUM(K58:V58)</f>
        <v>110</v>
      </c>
      <c r="X58" s="208"/>
      <c r="Y58" s="144">
        <f>SUM(Y9:Y57)</f>
        <v>64</v>
      </c>
      <c r="AA58" s="198" t="b">
        <f>W58&gt;=Y58</f>
        <v>1</v>
      </c>
      <c r="AB58" s="199"/>
    </row>
    <row r="59" spans="2:28" ht="17.25" customHeight="1" thickBot="1">
      <c r="B59" s="325" t="s">
        <v>348</v>
      </c>
      <c r="C59" s="326"/>
      <c r="D59" s="329" t="s">
        <v>349</v>
      </c>
      <c r="E59" s="330"/>
      <c r="F59" s="331" t="s">
        <v>533</v>
      </c>
      <c r="G59" s="332"/>
      <c r="H59" s="23"/>
      <c r="I59" s="24"/>
      <c r="J59" s="148">
        <v>2</v>
      </c>
      <c r="K59" s="333">
        <v>2</v>
      </c>
      <c r="L59" s="334"/>
      <c r="M59" s="335"/>
      <c r="N59" s="336"/>
      <c r="O59" s="337"/>
      <c r="P59" s="334"/>
      <c r="Q59" s="335"/>
      <c r="R59" s="336"/>
      <c r="S59" s="337"/>
      <c r="T59" s="334"/>
      <c r="U59" s="335"/>
      <c r="V59" s="338"/>
      <c r="W59" s="339">
        <f t="shared" si="2"/>
        <v>2</v>
      </c>
      <c r="X59" s="340"/>
      <c r="Y59" s="243">
        <v>80</v>
      </c>
    </row>
    <row r="60" spans="2:28" ht="17.25" customHeight="1">
      <c r="B60" s="327"/>
      <c r="C60" s="328"/>
      <c r="D60" s="52" t="s">
        <v>510</v>
      </c>
      <c r="E60" s="53" t="s">
        <v>350</v>
      </c>
      <c r="F60" s="323" t="s">
        <v>532</v>
      </c>
      <c r="G60" s="324"/>
      <c r="H60" s="26"/>
      <c r="I60" s="25"/>
      <c r="J60" s="147">
        <v>2</v>
      </c>
      <c r="K60" s="249"/>
      <c r="L60" s="211"/>
      <c r="M60" s="212">
        <v>2</v>
      </c>
      <c r="N60" s="317"/>
      <c r="O60" s="210"/>
      <c r="P60" s="211"/>
      <c r="Q60" s="212"/>
      <c r="R60" s="250"/>
      <c r="S60" s="317"/>
      <c r="T60" s="211"/>
      <c r="U60" s="212"/>
      <c r="V60" s="213"/>
      <c r="W60" s="314">
        <f t="shared" si="2"/>
        <v>2</v>
      </c>
      <c r="X60" s="315"/>
      <c r="Y60" s="244"/>
    </row>
    <row r="61" spans="2:28" ht="17.25" customHeight="1">
      <c r="B61" s="327"/>
      <c r="C61" s="328"/>
      <c r="D61" s="52" t="s">
        <v>510</v>
      </c>
      <c r="E61" s="53" t="s">
        <v>350</v>
      </c>
      <c r="F61" s="323" t="s">
        <v>531</v>
      </c>
      <c r="G61" s="324"/>
      <c r="H61" s="26"/>
      <c r="I61" s="25"/>
      <c r="J61" s="147">
        <v>2</v>
      </c>
      <c r="K61" s="249">
        <v>2</v>
      </c>
      <c r="L61" s="211"/>
      <c r="M61" s="212"/>
      <c r="N61" s="250"/>
      <c r="O61" s="210"/>
      <c r="P61" s="211"/>
      <c r="Q61" s="212"/>
      <c r="R61" s="250"/>
      <c r="S61" s="210"/>
      <c r="T61" s="211"/>
      <c r="U61" s="212"/>
      <c r="V61" s="213"/>
      <c r="W61" s="314">
        <f t="shared" si="2"/>
        <v>2</v>
      </c>
      <c r="X61" s="315"/>
      <c r="Y61" s="244"/>
    </row>
    <row r="62" spans="2:28" ht="17.25" customHeight="1">
      <c r="B62" s="327"/>
      <c r="C62" s="328"/>
      <c r="D62" s="52" t="s">
        <v>510</v>
      </c>
      <c r="E62" s="53" t="s">
        <v>350</v>
      </c>
      <c r="F62" s="323" t="s">
        <v>530</v>
      </c>
      <c r="G62" s="324"/>
      <c r="H62" s="26"/>
      <c r="I62" s="25"/>
      <c r="J62" s="147">
        <v>2</v>
      </c>
      <c r="K62" s="249"/>
      <c r="L62" s="211"/>
      <c r="M62" s="212">
        <v>2</v>
      </c>
      <c r="N62" s="250"/>
      <c r="O62" s="210"/>
      <c r="P62" s="211"/>
      <c r="Q62" s="212"/>
      <c r="R62" s="250"/>
      <c r="S62" s="210"/>
      <c r="T62" s="211"/>
      <c r="U62" s="212"/>
      <c r="V62" s="213"/>
      <c r="W62" s="314">
        <f t="shared" si="2"/>
        <v>2</v>
      </c>
      <c r="X62" s="315"/>
      <c r="Y62" s="244"/>
    </row>
    <row r="63" spans="2:28" ht="17.25" customHeight="1">
      <c r="B63" s="327"/>
      <c r="C63" s="328"/>
      <c r="D63" s="52" t="s">
        <v>510</v>
      </c>
      <c r="E63" s="53" t="s">
        <v>350</v>
      </c>
      <c r="F63" s="278" t="s">
        <v>529</v>
      </c>
      <c r="G63" s="279"/>
      <c r="H63" s="26"/>
      <c r="I63" s="25"/>
      <c r="J63" s="147">
        <v>2</v>
      </c>
      <c r="K63" s="249"/>
      <c r="L63" s="211"/>
      <c r="M63" s="212"/>
      <c r="N63" s="250"/>
      <c r="O63" s="210">
        <v>2</v>
      </c>
      <c r="P63" s="211"/>
      <c r="Q63" s="212"/>
      <c r="R63" s="250"/>
      <c r="S63" s="210"/>
      <c r="T63" s="211"/>
      <c r="U63" s="212"/>
      <c r="V63" s="213"/>
      <c r="W63" s="314">
        <f t="shared" si="2"/>
        <v>2</v>
      </c>
      <c r="X63" s="315"/>
      <c r="Y63" s="244"/>
    </row>
    <row r="64" spans="2:28" ht="17.25" customHeight="1">
      <c r="B64" s="327"/>
      <c r="C64" s="328"/>
      <c r="D64" s="52" t="s">
        <v>510</v>
      </c>
      <c r="E64" s="53" t="s">
        <v>350</v>
      </c>
      <c r="F64" s="278" t="s">
        <v>528</v>
      </c>
      <c r="G64" s="279"/>
      <c r="H64" s="26"/>
      <c r="I64" s="25"/>
      <c r="J64" s="147">
        <v>2</v>
      </c>
      <c r="K64" s="249"/>
      <c r="L64" s="211"/>
      <c r="M64" s="212"/>
      <c r="N64" s="317"/>
      <c r="O64" s="210"/>
      <c r="P64" s="211"/>
      <c r="Q64" s="212">
        <v>2</v>
      </c>
      <c r="R64" s="250"/>
      <c r="S64" s="317"/>
      <c r="T64" s="211"/>
      <c r="U64" s="212"/>
      <c r="V64" s="213"/>
      <c r="W64" s="314">
        <f t="shared" si="2"/>
        <v>2</v>
      </c>
      <c r="X64" s="315"/>
      <c r="Y64" s="244"/>
    </row>
    <row r="65" spans="2:29" ht="17.25" customHeight="1">
      <c r="B65" s="327"/>
      <c r="C65" s="328"/>
      <c r="D65" s="54" t="s">
        <v>526</v>
      </c>
      <c r="E65" s="53" t="s">
        <v>350</v>
      </c>
      <c r="F65" s="278" t="s">
        <v>527</v>
      </c>
      <c r="G65" s="279"/>
      <c r="H65" s="26"/>
      <c r="I65" s="136"/>
      <c r="J65" s="39">
        <v>2</v>
      </c>
      <c r="K65" s="249"/>
      <c r="L65" s="211"/>
      <c r="M65" s="212"/>
      <c r="N65" s="317"/>
      <c r="O65" s="210">
        <v>3</v>
      </c>
      <c r="P65" s="211"/>
      <c r="Q65" s="212"/>
      <c r="R65" s="250"/>
      <c r="S65" s="317"/>
      <c r="T65" s="211"/>
      <c r="U65" s="212"/>
      <c r="V65" s="213"/>
      <c r="W65" s="314">
        <f t="shared" si="2"/>
        <v>3</v>
      </c>
      <c r="X65" s="315"/>
      <c r="Y65" s="244"/>
    </row>
    <row r="66" spans="2:29" ht="16.5" customHeight="1">
      <c r="B66" s="327"/>
      <c r="C66" s="328"/>
      <c r="D66" s="55" t="s">
        <v>526</v>
      </c>
      <c r="E66" s="53" t="s">
        <v>350</v>
      </c>
      <c r="F66" s="278" t="s">
        <v>525</v>
      </c>
      <c r="G66" s="279"/>
      <c r="H66" s="22"/>
      <c r="I66" s="136"/>
      <c r="J66" s="39">
        <v>2</v>
      </c>
      <c r="K66" s="322"/>
      <c r="L66" s="322"/>
      <c r="M66" s="212"/>
      <c r="N66" s="317"/>
      <c r="O66" s="210"/>
      <c r="P66" s="211"/>
      <c r="Q66" s="212">
        <v>3</v>
      </c>
      <c r="R66" s="250"/>
      <c r="S66" s="317"/>
      <c r="T66" s="211"/>
      <c r="U66" s="212"/>
      <c r="V66" s="213"/>
      <c r="W66" s="314">
        <f t="shared" si="2"/>
        <v>3</v>
      </c>
      <c r="X66" s="315"/>
      <c r="Y66" s="244"/>
    </row>
    <row r="67" spans="2:29" ht="16.5" customHeight="1">
      <c r="B67" s="327"/>
      <c r="C67" s="328"/>
      <c r="D67" s="54" t="s">
        <v>510</v>
      </c>
      <c r="E67" s="53" t="s">
        <v>350</v>
      </c>
      <c r="F67" s="278" t="s">
        <v>524</v>
      </c>
      <c r="G67" s="279"/>
      <c r="H67" s="22"/>
      <c r="I67" s="136"/>
      <c r="J67" s="39">
        <v>4</v>
      </c>
      <c r="K67" s="318"/>
      <c r="L67" s="319"/>
      <c r="M67" s="212"/>
      <c r="N67" s="250"/>
      <c r="O67" s="210">
        <v>4</v>
      </c>
      <c r="P67" s="211"/>
      <c r="Q67" s="212"/>
      <c r="R67" s="250"/>
      <c r="S67" s="210"/>
      <c r="T67" s="211"/>
      <c r="U67" s="212"/>
      <c r="V67" s="213"/>
      <c r="W67" s="314">
        <f t="shared" si="2"/>
        <v>4</v>
      </c>
      <c r="X67" s="315"/>
      <c r="Y67" s="244"/>
    </row>
    <row r="68" spans="2:29" ht="16.5" customHeight="1">
      <c r="B68" s="327"/>
      <c r="C68" s="328"/>
      <c r="D68" s="54" t="s">
        <v>510</v>
      </c>
      <c r="E68" s="53" t="s">
        <v>351</v>
      </c>
      <c r="F68" s="278" t="s">
        <v>523</v>
      </c>
      <c r="G68" s="279"/>
      <c r="H68" s="22"/>
      <c r="I68" s="136"/>
      <c r="J68" s="39">
        <v>8</v>
      </c>
      <c r="K68" s="318"/>
      <c r="L68" s="319"/>
      <c r="M68" s="212"/>
      <c r="N68" s="250"/>
      <c r="O68" s="210">
        <v>8</v>
      </c>
      <c r="P68" s="211"/>
      <c r="Q68" s="212"/>
      <c r="R68" s="250"/>
      <c r="S68" s="210"/>
      <c r="T68" s="211"/>
      <c r="U68" s="212"/>
      <c r="V68" s="213"/>
      <c r="W68" s="314">
        <f t="shared" si="2"/>
        <v>8</v>
      </c>
      <c r="X68" s="315"/>
      <c r="Y68" s="244"/>
    </row>
    <row r="69" spans="2:29" ht="16.5" customHeight="1">
      <c r="B69" s="327"/>
      <c r="C69" s="328"/>
      <c r="D69" s="54" t="s">
        <v>510</v>
      </c>
      <c r="E69" s="53" t="s">
        <v>350</v>
      </c>
      <c r="F69" s="278" t="s">
        <v>522</v>
      </c>
      <c r="G69" s="279"/>
      <c r="H69" s="22"/>
      <c r="I69" s="136"/>
      <c r="J69" s="39">
        <v>8</v>
      </c>
      <c r="K69" s="318"/>
      <c r="L69" s="319"/>
      <c r="M69" s="212"/>
      <c r="N69" s="250"/>
      <c r="O69" s="210"/>
      <c r="P69" s="211"/>
      <c r="Q69" s="212">
        <v>8</v>
      </c>
      <c r="R69" s="250"/>
      <c r="S69" s="210"/>
      <c r="T69" s="211"/>
      <c r="U69" s="212"/>
      <c r="V69" s="213"/>
      <c r="W69" s="314">
        <f t="shared" si="2"/>
        <v>8</v>
      </c>
      <c r="X69" s="315"/>
      <c r="Y69" s="244"/>
    </row>
    <row r="70" spans="2:29" ht="16.5" customHeight="1">
      <c r="B70" s="327"/>
      <c r="C70" s="328"/>
      <c r="D70" s="54" t="s">
        <v>354</v>
      </c>
      <c r="E70" s="53" t="s">
        <v>350</v>
      </c>
      <c r="F70" s="278" t="s">
        <v>521</v>
      </c>
      <c r="G70" s="279"/>
      <c r="H70" s="22"/>
      <c r="I70" s="136"/>
      <c r="J70" s="39">
        <v>2</v>
      </c>
      <c r="K70" s="318"/>
      <c r="L70" s="319"/>
      <c r="M70" s="212"/>
      <c r="N70" s="250"/>
      <c r="O70" s="210"/>
      <c r="P70" s="211"/>
      <c r="Q70" s="212"/>
      <c r="R70" s="250"/>
      <c r="S70" s="210">
        <v>2</v>
      </c>
      <c r="T70" s="211"/>
      <c r="U70" s="212"/>
      <c r="V70" s="213"/>
      <c r="W70" s="314">
        <f t="shared" si="2"/>
        <v>2</v>
      </c>
      <c r="X70" s="315"/>
      <c r="Y70" s="244"/>
    </row>
    <row r="71" spans="2:29" ht="16.5" customHeight="1">
      <c r="B71" s="327"/>
      <c r="C71" s="328"/>
      <c r="D71" s="55" t="s">
        <v>354</v>
      </c>
      <c r="E71" s="53" t="s">
        <v>350</v>
      </c>
      <c r="F71" s="278" t="s">
        <v>520</v>
      </c>
      <c r="G71" s="279"/>
      <c r="H71" s="22"/>
      <c r="I71" s="136"/>
      <c r="J71" s="39">
        <v>2</v>
      </c>
      <c r="K71" s="318"/>
      <c r="L71" s="319"/>
      <c r="M71" s="212"/>
      <c r="N71" s="250"/>
      <c r="O71" s="210"/>
      <c r="P71" s="211"/>
      <c r="Q71" s="212"/>
      <c r="R71" s="250"/>
      <c r="S71" s="210"/>
      <c r="T71" s="211"/>
      <c r="U71" s="212">
        <v>2</v>
      </c>
      <c r="V71" s="213"/>
      <c r="W71" s="314">
        <f t="shared" si="2"/>
        <v>2</v>
      </c>
      <c r="X71" s="315"/>
      <c r="Y71" s="244"/>
    </row>
    <row r="72" spans="2:29" ht="16.5" customHeight="1">
      <c r="B72" s="327"/>
      <c r="C72" s="328"/>
      <c r="D72" s="54" t="s">
        <v>510</v>
      </c>
      <c r="E72" s="53" t="s">
        <v>351</v>
      </c>
      <c r="F72" s="278" t="s">
        <v>519</v>
      </c>
      <c r="G72" s="279"/>
      <c r="H72" s="22"/>
      <c r="I72" s="136"/>
      <c r="J72" s="39">
        <v>2</v>
      </c>
      <c r="K72" s="320">
        <v>1</v>
      </c>
      <c r="L72" s="321"/>
      <c r="M72" s="212">
        <v>1</v>
      </c>
      <c r="N72" s="250"/>
      <c r="O72" s="210"/>
      <c r="P72" s="211"/>
      <c r="Q72" s="212"/>
      <c r="R72" s="250"/>
      <c r="S72" s="210"/>
      <c r="T72" s="211"/>
      <c r="U72" s="212"/>
      <c r="V72" s="213"/>
      <c r="W72" s="314">
        <f t="shared" si="2"/>
        <v>2</v>
      </c>
      <c r="X72" s="315"/>
      <c r="Y72" s="244"/>
    </row>
    <row r="73" spans="2:29" ht="16.5" customHeight="1">
      <c r="B73" s="327"/>
      <c r="C73" s="328"/>
      <c r="D73" s="55" t="s">
        <v>518</v>
      </c>
      <c r="E73" s="53" t="s">
        <v>351</v>
      </c>
      <c r="F73" s="278" t="s">
        <v>517</v>
      </c>
      <c r="G73" s="279"/>
      <c r="H73" s="22"/>
      <c r="I73" s="136"/>
      <c r="J73" s="39">
        <v>2</v>
      </c>
      <c r="K73" s="312">
        <v>1</v>
      </c>
      <c r="L73" s="313"/>
      <c r="M73" s="212">
        <v>1</v>
      </c>
      <c r="N73" s="250"/>
      <c r="O73" s="210"/>
      <c r="P73" s="211"/>
      <c r="Q73" s="212"/>
      <c r="R73" s="250"/>
      <c r="S73" s="210"/>
      <c r="T73" s="211"/>
      <c r="U73" s="212"/>
      <c r="V73" s="213"/>
      <c r="W73" s="314">
        <f t="shared" si="2"/>
        <v>2</v>
      </c>
      <c r="X73" s="315"/>
      <c r="Y73" s="244"/>
    </row>
    <row r="74" spans="2:29" ht="16.5" customHeight="1" thickBot="1">
      <c r="B74" s="327"/>
      <c r="C74" s="328"/>
      <c r="D74" s="54" t="s">
        <v>510</v>
      </c>
      <c r="E74" s="53" t="s">
        <v>351</v>
      </c>
      <c r="F74" s="278" t="s">
        <v>516</v>
      </c>
      <c r="G74" s="279"/>
      <c r="H74" s="22"/>
      <c r="I74" s="136"/>
      <c r="J74" s="39">
        <v>16</v>
      </c>
      <c r="K74" s="316">
        <v>8</v>
      </c>
      <c r="L74" s="316"/>
      <c r="M74" s="212">
        <v>8</v>
      </c>
      <c r="N74" s="317"/>
      <c r="O74" s="210"/>
      <c r="P74" s="211"/>
      <c r="Q74" s="212"/>
      <c r="R74" s="250"/>
      <c r="S74" s="317"/>
      <c r="T74" s="211"/>
      <c r="U74" s="212"/>
      <c r="V74" s="213"/>
      <c r="W74" s="314">
        <f t="shared" si="2"/>
        <v>16</v>
      </c>
      <c r="X74" s="315"/>
      <c r="Y74" s="244"/>
    </row>
    <row r="75" spans="2:29" ht="20.25" customHeight="1">
      <c r="B75" s="296" t="s">
        <v>149</v>
      </c>
      <c r="C75" s="134" t="s">
        <v>352</v>
      </c>
      <c r="D75" s="56" t="s">
        <v>510</v>
      </c>
      <c r="E75" s="57" t="s">
        <v>350</v>
      </c>
      <c r="F75" s="298" t="s">
        <v>515</v>
      </c>
      <c r="G75" s="299"/>
      <c r="H75" s="21"/>
      <c r="I75" s="195"/>
      <c r="J75" s="34">
        <v>10</v>
      </c>
      <c r="K75" s="300"/>
      <c r="L75" s="301"/>
      <c r="M75" s="304"/>
      <c r="N75" s="305"/>
      <c r="O75" s="308"/>
      <c r="P75" s="301"/>
      <c r="Q75" s="304"/>
      <c r="R75" s="305"/>
      <c r="S75" s="308">
        <v>10</v>
      </c>
      <c r="T75" s="301"/>
      <c r="U75" s="304"/>
      <c r="V75" s="310"/>
      <c r="W75" s="272">
        <f>SUM(O75:V78)</f>
        <v>20</v>
      </c>
      <c r="X75" s="273"/>
      <c r="Y75" s="244"/>
    </row>
    <row r="76" spans="2:29" ht="20.25" customHeight="1">
      <c r="B76" s="297"/>
      <c r="C76" s="53" t="s">
        <v>353</v>
      </c>
      <c r="D76" s="62" t="s">
        <v>510</v>
      </c>
      <c r="E76" s="60" t="s">
        <v>351</v>
      </c>
      <c r="F76" s="278" t="s">
        <v>514</v>
      </c>
      <c r="G76" s="279"/>
      <c r="H76" s="146"/>
      <c r="I76" s="197"/>
      <c r="J76" s="39">
        <v>10</v>
      </c>
      <c r="K76" s="302"/>
      <c r="L76" s="303"/>
      <c r="M76" s="306"/>
      <c r="N76" s="307"/>
      <c r="O76" s="309"/>
      <c r="P76" s="303"/>
      <c r="Q76" s="306"/>
      <c r="R76" s="307"/>
      <c r="S76" s="309"/>
      <c r="T76" s="303"/>
      <c r="U76" s="306"/>
      <c r="V76" s="311"/>
      <c r="W76" s="274"/>
      <c r="X76" s="275"/>
      <c r="Y76" s="244"/>
    </row>
    <row r="77" spans="2:29" ht="20.25" customHeight="1">
      <c r="B77" s="280" t="s">
        <v>149</v>
      </c>
      <c r="C77" s="135" t="s">
        <v>513</v>
      </c>
      <c r="D77" s="55" t="s">
        <v>510</v>
      </c>
      <c r="E77" s="60" t="s">
        <v>350</v>
      </c>
      <c r="F77" s="278" t="s">
        <v>512</v>
      </c>
      <c r="G77" s="279"/>
      <c r="H77" s="22"/>
      <c r="I77" s="197"/>
      <c r="J77" s="39">
        <v>10</v>
      </c>
      <c r="K77" s="282"/>
      <c r="L77" s="283"/>
      <c r="M77" s="286"/>
      <c r="N77" s="287"/>
      <c r="O77" s="290"/>
      <c r="P77" s="283"/>
      <c r="Q77" s="286"/>
      <c r="R77" s="287"/>
      <c r="S77" s="290"/>
      <c r="T77" s="283"/>
      <c r="U77" s="286">
        <v>10</v>
      </c>
      <c r="V77" s="292"/>
      <c r="W77" s="274"/>
      <c r="X77" s="275"/>
      <c r="Y77" s="244"/>
    </row>
    <row r="78" spans="2:29" ht="20.25" customHeight="1" thickBot="1">
      <c r="B78" s="281"/>
      <c r="C78" s="58" t="s">
        <v>511</v>
      </c>
      <c r="D78" s="59" t="s">
        <v>510</v>
      </c>
      <c r="E78" s="53" t="s">
        <v>350</v>
      </c>
      <c r="F78" s="294" t="s">
        <v>509</v>
      </c>
      <c r="G78" s="295"/>
      <c r="H78" s="27"/>
      <c r="I78" s="196"/>
      <c r="J78" s="44">
        <v>10</v>
      </c>
      <c r="K78" s="284"/>
      <c r="L78" s="285"/>
      <c r="M78" s="288"/>
      <c r="N78" s="289"/>
      <c r="O78" s="291"/>
      <c r="P78" s="285"/>
      <c r="Q78" s="288"/>
      <c r="R78" s="289"/>
      <c r="S78" s="291"/>
      <c r="T78" s="285"/>
      <c r="U78" s="288"/>
      <c r="V78" s="293"/>
      <c r="W78" s="276"/>
      <c r="X78" s="277"/>
      <c r="Y78" s="244"/>
    </row>
    <row r="79" spans="2:29" ht="24.75" customHeight="1">
      <c r="B79" s="255" t="s">
        <v>358</v>
      </c>
      <c r="C79" s="258"/>
      <c r="D79" s="258"/>
      <c r="E79" s="258"/>
      <c r="F79" s="258"/>
      <c r="G79" s="252"/>
      <c r="H79" s="260">
        <f>SUM(H59:H74)</f>
        <v>0</v>
      </c>
      <c r="I79" s="262">
        <f>SUM(I59:I74)</f>
        <v>0</v>
      </c>
      <c r="J79" s="264">
        <f>SUM(J59:J78)</f>
        <v>100</v>
      </c>
      <c r="K79" s="255">
        <f>SUM(K59:L78)</f>
        <v>14</v>
      </c>
      <c r="L79" s="266"/>
      <c r="M79" s="251">
        <f>SUM(M59:N78)</f>
        <v>14</v>
      </c>
      <c r="N79" s="258"/>
      <c r="O79" s="268">
        <f>SUM(O59:P78)</f>
        <v>17</v>
      </c>
      <c r="P79" s="266"/>
      <c r="Q79" s="251">
        <f>SUM(Q59:R78)</f>
        <v>13</v>
      </c>
      <c r="R79" s="270"/>
      <c r="S79" s="258">
        <f>SUM(S59:T78)</f>
        <v>12</v>
      </c>
      <c r="T79" s="266"/>
      <c r="U79" s="251">
        <f>SUM(U59:V78)</f>
        <v>12</v>
      </c>
      <c r="V79" s="252"/>
      <c r="W79" s="255">
        <f>SUM(K79:V80)</f>
        <v>82</v>
      </c>
      <c r="X79" s="252"/>
      <c r="Y79" s="243">
        <f>SUM(Y59:Y78)</f>
        <v>80</v>
      </c>
      <c r="AC79" s="132"/>
    </row>
    <row r="80" spans="2:29" ht="17.25" thickBot="1">
      <c r="B80" s="256"/>
      <c r="C80" s="259"/>
      <c r="D80" s="259"/>
      <c r="E80" s="259"/>
      <c r="F80" s="259"/>
      <c r="G80" s="254"/>
      <c r="H80" s="261"/>
      <c r="I80" s="263"/>
      <c r="J80" s="265"/>
      <c r="K80" s="256"/>
      <c r="L80" s="267"/>
      <c r="M80" s="253"/>
      <c r="N80" s="259"/>
      <c r="O80" s="269"/>
      <c r="P80" s="267"/>
      <c r="Q80" s="253"/>
      <c r="R80" s="271"/>
      <c r="S80" s="259"/>
      <c r="T80" s="267"/>
      <c r="U80" s="253"/>
      <c r="V80" s="254"/>
      <c r="W80" s="256"/>
      <c r="X80" s="254"/>
      <c r="Y80" s="257"/>
      <c r="AC80" s="61"/>
    </row>
    <row r="81" spans="2:28" ht="17.25" customHeight="1" thickBot="1">
      <c r="B81" s="200"/>
      <c r="C81" s="202"/>
      <c r="D81" s="202"/>
      <c r="E81" s="202"/>
      <c r="F81" s="202"/>
      <c r="G81" s="201"/>
      <c r="H81" s="137">
        <f>SUM(H58,H79)</f>
        <v>170</v>
      </c>
      <c r="I81" s="138">
        <f>SUM(I58,I79)</f>
        <v>0</v>
      </c>
      <c r="J81" s="144">
        <f>SUM(J58,J79)</f>
        <v>231</v>
      </c>
      <c r="K81" s="200">
        <f>SUM(K58,K79)</f>
        <v>34</v>
      </c>
      <c r="L81" s="208"/>
      <c r="M81" s="209">
        <f>SUM(M58,M79)</f>
        <v>34</v>
      </c>
      <c r="N81" s="203"/>
      <c r="O81" s="204">
        <f>SUM(O58,O79)</f>
        <v>34</v>
      </c>
      <c r="P81" s="208"/>
      <c r="Q81" s="209">
        <f>SUM(Q58,Q79)</f>
        <v>30</v>
      </c>
      <c r="R81" s="203"/>
      <c r="S81" s="204">
        <f>SUM(S58,S79)</f>
        <v>30</v>
      </c>
      <c r="T81" s="208"/>
      <c r="U81" s="209">
        <f>SUM(U58,U79)</f>
        <v>30</v>
      </c>
      <c r="V81" s="201"/>
      <c r="W81" s="200">
        <f>SUM(K81:V81)</f>
        <v>192</v>
      </c>
      <c r="X81" s="201"/>
      <c r="Y81" s="11">
        <f>Y79+Y58</f>
        <v>144</v>
      </c>
      <c r="AA81" s="205" t="s">
        <v>150</v>
      </c>
      <c r="AB81" s="205"/>
    </row>
    <row r="82" spans="2:28" ht="18.75" customHeight="1" thickBot="1">
      <c r="B82" s="223" t="s">
        <v>359</v>
      </c>
      <c r="C82" s="224"/>
      <c r="D82" s="224"/>
      <c r="E82" s="225"/>
      <c r="F82" s="232" t="s">
        <v>355</v>
      </c>
      <c r="G82" s="233"/>
      <c r="H82" s="233"/>
      <c r="I82" s="233"/>
      <c r="J82" s="234"/>
      <c r="K82" s="235">
        <v>32</v>
      </c>
      <c r="L82" s="236"/>
      <c r="M82" s="237">
        <v>32</v>
      </c>
      <c r="N82" s="238"/>
      <c r="O82" s="239">
        <v>32</v>
      </c>
      <c r="P82" s="236"/>
      <c r="Q82" s="237">
        <v>32</v>
      </c>
      <c r="R82" s="238"/>
      <c r="S82" s="239">
        <v>32</v>
      </c>
      <c r="T82" s="236"/>
      <c r="U82" s="237">
        <v>32</v>
      </c>
      <c r="V82" s="240"/>
      <c r="W82" s="223">
        <f>SUM(K82:V84)</f>
        <v>630</v>
      </c>
      <c r="X82" s="225"/>
      <c r="Y82" s="243">
        <f>Y85*16</f>
        <v>288</v>
      </c>
      <c r="AA82" s="222"/>
      <c r="AB82" s="222"/>
    </row>
    <row r="83" spans="2:28" ht="17.25" customHeight="1" thickBot="1">
      <c r="B83" s="226"/>
      <c r="C83" s="227"/>
      <c r="D83" s="227"/>
      <c r="E83" s="228"/>
      <c r="F83" s="246" t="s">
        <v>63</v>
      </c>
      <c r="G83" s="247"/>
      <c r="H83" s="247"/>
      <c r="I83" s="247"/>
      <c r="J83" s="248"/>
      <c r="K83" s="249">
        <v>16</v>
      </c>
      <c r="L83" s="211"/>
      <c r="M83" s="212">
        <v>16</v>
      </c>
      <c r="N83" s="250"/>
      <c r="O83" s="210">
        <v>16</v>
      </c>
      <c r="P83" s="211"/>
      <c r="Q83" s="212">
        <v>16</v>
      </c>
      <c r="R83" s="250"/>
      <c r="S83" s="210">
        <v>16</v>
      </c>
      <c r="T83" s="211"/>
      <c r="U83" s="212">
        <v>16</v>
      </c>
      <c r="V83" s="213"/>
      <c r="W83" s="226"/>
      <c r="X83" s="228"/>
      <c r="Y83" s="244"/>
      <c r="AA83" s="198" t="b">
        <f>W81&gt;=Y81</f>
        <v>1</v>
      </c>
      <c r="AB83" s="199"/>
    </row>
    <row r="84" spans="2:28" ht="17.25" customHeight="1">
      <c r="B84" s="226"/>
      <c r="C84" s="227"/>
      <c r="D84" s="227"/>
      <c r="E84" s="228"/>
      <c r="F84" s="246" t="s">
        <v>11</v>
      </c>
      <c r="G84" s="247"/>
      <c r="H84" s="247"/>
      <c r="I84" s="247"/>
      <c r="J84" s="248"/>
      <c r="K84" s="249">
        <v>24</v>
      </c>
      <c r="L84" s="211"/>
      <c r="M84" s="212">
        <v>8</v>
      </c>
      <c r="N84" s="250"/>
      <c r="O84" s="210">
        <v>64</v>
      </c>
      <c r="P84" s="211"/>
      <c r="Q84" s="212">
        <v>104</v>
      </c>
      <c r="R84" s="250"/>
      <c r="S84" s="210">
        <v>64</v>
      </c>
      <c r="T84" s="211"/>
      <c r="U84" s="212">
        <v>78</v>
      </c>
      <c r="V84" s="213"/>
      <c r="W84" s="241"/>
      <c r="X84" s="242"/>
      <c r="Y84" s="245"/>
    </row>
    <row r="85" spans="2:28" ht="17.25" customHeight="1" thickBot="1">
      <c r="B85" s="229"/>
      <c r="C85" s="230"/>
      <c r="D85" s="230"/>
      <c r="E85" s="231"/>
      <c r="F85" s="206" t="s">
        <v>145</v>
      </c>
      <c r="G85" s="214"/>
      <c r="H85" s="214"/>
      <c r="I85" s="214"/>
      <c r="J85" s="207"/>
      <c r="K85" s="215">
        <f>ROUNDDOWN(SUM(K82:L84)/16,0)</f>
        <v>4</v>
      </c>
      <c r="L85" s="216"/>
      <c r="M85" s="217">
        <f>ROUNDDOWN(SUM(M82:N84)/16,0)</f>
        <v>3</v>
      </c>
      <c r="N85" s="218"/>
      <c r="O85" s="219">
        <f>ROUNDDOWN(SUM(O82:P84)/16,0)</f>
        <v>7</v>
      </c>
      <c r="P85" s="220"/>
      <c r="Q85" s="220">
        <f>ROUNDDOWN(SUM(Q82:R84)/16,0)</f>
        <v>9</v>
      </c>
      <c r="R85" s="221"/>
      <c r="S85" s="216">
        <f>ROUNDDOWN(SUM(S82:T84)/16,0)</f>
        <v>7</v>
      </c>
      <c r="T85" s="219"/>
      <c r="U85" s="216">
        <f>ROUNDDOWN(SUM(U82:V84)/16,0)</f>
        <v>7</v>
      </c>
      <c r="V85" s="219"/>
      <c r="W85" s="206">
        <f>SUM(K85:V85)</f>
        <v>37</v>
      </c>
      <c r="X85" s="207"/>
      <c r="Y85" s="63">
        <v>18</v>
      </c>
      <c r="AA85" s="205" t="s">
        <v>151</v>
      </c>
      <c r="AB85" s="205"/>
    </row>
    <row r="86" spans="2:28" ht="17.25" customHeight="1" thickBot="1">
      <c r="B86" s="200"/>
      <c r="C86" s="202"/>
      <c r="D86" s="202"/>
      <c r="E86" s="202"/>
      <c r="F86" s="202"/>
      <c r="G86" s="202"/>
      <c r="H86" s="202"/>
      <c r="I86" s="202"/>
      <c r="J86" s="201"/>
      <c r="K86" s="200">
        <f>K81+K85</f>
        <v>38</v>
      </c>
      <c r="L86" s="208"/>
      <c r="M86" s="209">
        <f>M81+M85</f>
        <v>37</v>
      </c>
      <c r="N86" s="203"/>
      <c r="O86" s="204">
        <f>O81+O85</f>
        <v>41</v>
      </c>
      <c r="P86" s="208"/>
      <c r="Q86" s="209">
        <f>Q81+Q85</f>
        <v>39</v>
      </c>
      <c r="R86" s="203"/>
      <c r="S86" s="204">
        <f>S81+S85</f>
        <v>37</v>
      </c>
      <c r="T86" s="208"/>
      <c r="U86" s="209">
        <f>U81+U85</f>
        <v>37</v>
      </c>
      <c r="V86" s="201"/>
      <c r="W86" s="200">
        <f>SUM(K86:V86)</f>
        <v>229</v>
      </c>
      <c r="X86" s="201"/>
      <c r="Y86" s="28">
        <v>192</v>
      </c>
      <c r="AA86" s="198" t="b">
        <f>W85&gt;=Y85</f>
        <v>1</v>
      </c>
      <c r="AB86" s="199"/>
    </row>
    <row r="87" spans="2:28" ht="17.25" customHeight="1" thickBot="1">
      <c r="B87" s="200"/>
      <c r="C87" s="202"/>
      <c r="D87" s="202"/>
      <c r="E87" s="202"/>
      <c r="F87" s="202"/>
      <c r="G87" s="202"/>
      <c r="H87" s="202"/>
      <c r="I87" s="202"/>
      <c r="J87" s="201"/>
      <c r="K87" s="200">
        <f>SUM(K86:N86)</f>
        <v>75</v>
      </c>
      <c r="L87" s="202"/>
      <c r="M87" s="202"/>
      <c r="N87" s="203"/>
      <c r="O87" s="204">
        <f>SUM(O86:R86)</f>
        <v>80</v>
      </c>
      <c r="P87" s="202"/>
      <c r="Q87" s="202"/>
      <c r="R87" s="203"/>
      <c r="S87" s="204">
        <f>SUM(S86:V86)</f>
        <v>74</v>
      </c>
      <c r="T87" s="202"/>
      <c r="U87" s="202"/>
      <c r="V87" s="201"/>
      <c r="W87" s="200">
        <f>SUM(K87:V87)</f>
        <v>229</v>
      </c>
      <c r="X87" s="201"/>
      <c r="Y87" s="11"/>
      <c r="AA87" s="205" t="s">
        <v>148</v>
      </c>
      <c r="AB87" s="205"/>
    </row>
    <row r="88" spans="2:28" ht="17.25" customHeight="1" thickBot="1">
      <c r="AA88" s="198" t="b">
        <f>W86&gt;=Y86</f>
        <v>1</v>
      </c>
      <c r="AB88" s="199"/>
    </row>
    <row r="89" spans="2:28" ht="17.25" customHeight="1"/>
    <row r="90" spans="2:28" ht="17.25" customHeight="1"/>
    <row r="91" spans="2:28" ht="17.25" customHeight="1"/>
    <row r="93" spans="2:28" ht="24.95" customHeight="1"/>
    <row r="94" spans="2:28" ht="24.95" customHeight="1"/>
    <row r="95" spans="2:28" ht="32.25" customHeight="1"/>
    <row r="96" spans="2:28" ht="24.95" customHeight="1"/>
    <row r="98" s="4" customFormat="1" ht="16.5" customHeight="1"/>
    <row r="99" s="4" customFormat="1" ht="17.25" customHeight="1"/>
    <row r="100" s="4" customFormat="1" ht="16.5" customHeight="1"/>
    <row r="101" s="4" customFormat="1" ht="16.5" customHeight="1"/>
    <row r="102" s="4" customFormat="1" ht="16.5" customHeight="1"/>
    <row r="103" s="4" customFormat="1" ht="16.5" customHeight="1"/>
    <row r="104" s="4" customFormat="1" ht="16.5" customHeight="1"/>
    <row r="105" s="4" customFormat="1" ht="16.5" customHeight="1"/>
    <row r="106" s="4" customFormat="1" ht="16.5" customHeight="1"/>
    <row r="107" s="4" customFormat="1" ht="16.5" customHeight="1"/>
    <row r="108" s="4" customFormat="1" ht="16.5" customHeight="1"/>
    <row r="109" s="4" customFormat="1" ht="16.5" customHeight="1"/>
    <row r="110" s="4" customFormat="1" ht="16.5" customHeight="1"/>
    <row r="111" s="4" customFormat="1" ht="16.5" customHeight="1"/>
    <row r="112" s="4" customFormat="1" ht="16.5" customHeight="1"/>
    <row r="113" s="4" customFormat="1" ht="16.5" customHeight="1"/>
    <row r="114" s="4" customFormat="1" ht="16.5" customHeight="1"/>
    <row r="115" s="4" customFormat="1" ht="16.5" customHeight="1"/>
    <row r="116" s="4" customFormat="1" ht="16.5" customHeight="1"/>
    <row r="117" s="4" customFormat="1" ht="16.5" customHeight="1"/>
    <row r="118" s="4" customFormat="1" ht="16.5" customHeight="1"/>
    <row r="119" s="4" customFormat="1" ht="16.5" customHeight="1"/>
    <row r="120" s="4" customFormat="1" ht="244.5" customHeight="1"/>
  </sheetData>
  <mergeCells count="602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AA8:AD8"/>
    <mergeCell ref="B9:C57"/>
    <mergeCell ref="D9:D14"/>
    <mergeCell ref="F9:G9"/>
    <mergeCell ref="K9:L9"/>
    <mergeCell ref="M9:N9"/>
    <mergeCell ref="O9:P9"/>
    <mergeCell ref="Q9:R9"/>
    <mergeCell ref="S9:T9"/>
    <mergeCell ref="U11:V11"/>
    <mergeCell ref="X9:X14"/>
    <mergeCell ref="Y9:Y22"/>
    <mergeCell ref="F10:G10"/>
    <mergeCell ref="K10:L10"/>
    <mergeCell ref="M10:N10"/>
    <mergeCell ref="O10:P10"/>
    <mergeCell ref="Q10:R10"/>
    <mergeCell ref="S10:T10"/>
    <mergeCell ref="U10:V10"/>
    <mergeCell ref="M12:N12"/>
    <mergeCell ref="O12:P12"/>
    <mergeCell ref="Q12:R12"/>
    <mergeCell ref="S12:T12"/>
    <mergeCell ref="U9:V9"/>
    <mergeCell ref="K11:L11"/>
    <mergeCell ref="M11:N11"/>
    <mergeCell ref="O11:P11"/>
    <mergeCell ref="Q11:R11"/>
    <mergeCell ref="S11:T11"/>
    <mergeCell ref="U12:V12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F11:G11"/>
    <mergeCell ref="F14:G14"/>
    <mergeCell ref="K14:L14"/>
    <mergeCell ref="M14:N14"/>
    <mergeCell ref="O14:P14"/>
    <mergeCell ref="Q14:R14"/>
    <mergeCell ref="S14:T14"/>
    <mergeCell ref="U14:V14"/>
    <mergeCell ref="AB14:AD14"/>
    <mergeCell ref="D15:D17"/>
    <mergeCell ref="F15:G15"/>
    <mergeCell ref="K15:L15"/>
    <mergeCell ref="M15:N15"/>
    <mergeCell ref="O15:P15"/>
    <mergeCell ref="Q15:R15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K17:L17"/>
    <mergeCell ref="M17:N17"/>
    <mergeCell ref="O17:P17"/>
    <mergeCell ref="Q17:R17"/>
    <mergeCell ref="S17:T17"/>
    <mergeCell ref="U17:V17"/>
    <mergeCell ref="D18:D22"/>
    <mergeCell ref="F18:G18"/>
    <mergeCell ref="K18:L18"/>
    <mergeCell ref="M18:N18"/>
    <mergeCell ref="O18:P18"/>
    <mergeCell ref="Q18:R18"/>
    <mergeCell ref="S18:T18"/>
    <mergeCell ref="U18:V18"/>
    <mergeCell ref="X18:X22"/>
    <mergeCell ref="F19:G19"/>
    <mergeCell ref="K19:L20"/>
    <mergeCell ref="M19:N20"/>
    <mergeCell ref="O19:P20"/>
    <mergeCell ref="Q19:R20"/>
    <mergeCell ref="S19:T20"/>
    <mergeCell ref="U19:V20"/>
    <mergeCell ref="W19:W20"/>
    <mergeCell ref="F20:G20"/>
    <mergeCell ref="F21:G21"/>
    <mergeCell ref="K21:L22"/>
    <mergeCell ref="M21:N22"/>
    <mergeCell ref="O21:P22"/>
    <mergeCell ref="Q21:R22"/>
    <mergeCell ref="S21:T22"/>
    <mergeCell ref="U21:V22"/>
    <mergeCell ref="W21:W22"/>
    <mergeCell ref="F22:G22"/>
    <mergeCell ref="S26:T26"/>
    <mergeCell ref="D23:D27"/>
    <mergeCell ref="F23:G23"/>
    <mergeCell ref="K23:L23"/>
    <mergeCell ref="M23:N23"/>
    <mergeCell ref="O23:P23"/>
    <mergeCell ref="Q23:R23"/>
    <mergeCell ref="S23:T23"/>
    <mergeCell ref="U23:V23"/>
    <mergeCell ref="F24:G24"/>
    <mergeCell ref="K24:L24"/>
    <mergeCell ref="M24:N24"/>
    <mergeCell ref="O24:P24"/>
    <mergeCell ref="Q24:R24"/>
    <mergeCell ref="S24:T24"/>
    <mergeCell ref="S25:T25"/>
    <mergeCell ref="U25:V25"/>
    <mergeCell ref="AA24:AB24"/>
    <mergeCell ref="F25:G25"/>
    <mergeCell ref="K25:L25"/>
    <mergeCell ref="M25:N25"/>
    <mergeCell ref="O25:P25"/>
    <mergeCell ref="Q25:R25"/>
    <mergeCell ref="U26:V26"/>
    <mergeCell ref="F27:G27"/>
    <mergeCell ref="K27:L27"/>
    <mergeCell ref="M27:N27"/>
    <mergeCell ref="O27:P27"/>
    <mergeCell ref="Q27:R27"/>
    <mergeCell ref="S27:T27"/>
    <mergeCell ref="U27:V27"/>
    <mergeCell ref="F26:G26"/>
    <mergeCell ref="K26:L26"/>
    <mergeCell ref="X25:X27"/>
    <mergeCell ref="Y25:Y34"/>
    <mergeCell ref="X23:X24"/>
    <mergeCell ref="Y23:Y24"/>
    <mergeCell ref="U24:V24"/>
    <mergeCell ref="M26:N26"/>
    <mergeCell ref="O26:P26"/>
    <mergeCell ref="Q26:R26"/>
    <mergeCell ref="F28:G28"/>
    <mergeCell ref="K28:L29"/>
    <mergeCell ref="M28:N29"/>
    <mergeCell ref="O28:P29"/>
    <mergeCell ref="Q28:R29"/>
    <mergeCell ref="S28:T29"/>
    <mergeCell ref="U28:V29"/>
    <mergeCell ref="W28:W29"/>
    <mergeCell ref="X28:X31"/>
    <mergeCell ref="F29:G29"/>
    <mergeCell ref="F30:G30"/>
    <mergeCell ref="K30:L31"/>
    <mergeCell ref="M30:N31"/>
    <mergeCell ref="O30:P31"/>
    <mergeCell ref="Q30:R31"/>
    <mergeCell ref="S30:T31"/>
    <mergeCell ref="U30:V31"/>
    <mergeCell ref="W30:W31"/>
    <mergeCell ref="F31:G31"/>
    <mergeCell ref="D32:D34"/>
    <mergeCell ref="F32:G32"/>
    <mergeCell ref="K32:L32"/>
    <mergeCell ref="M32:N32"/>
    <mergeCell ref="O32:P32"/>
    <mergeCell ref="Q32:R32"/>
    <mergeCell ref="S32:T32"/>
    <mergeCell ref="U32:V32"/>
    <mergeCell ref="X32:X34"/>
    <mergeCell ref="F33:G33"/>
    <mergeCell ref="K33:L33"/>
    <mergeCell ref="M33:N33"/>
    <mergeCell ref="O33:P33"/>
    <mergeCell ref="Q33:R33"/>
    <mergeCell ref="S33:T33"/>
    <mergeCell ref="U33:V33"/>
    <mergeCell ref="F34:G34"/>
    <mergeCell ref="K34:L34"/>
    <mergeCell ref="M34:N34"/>
    <mergeCell ref="O34:P34"/>
    <mergeCell ref="Q34:R34"/>
    <mergeCell ref="S34:T34"/>
    <mergeCell ref="U34:V34"/>
    <mergeCell ref="D35:D40"/>
    <mergeCell ref="F35:G35"/>
    <mergeCell ref="K35:L35"/>
    <mergeCell ref="M35:N35"/>
    <mergeCell ref="O35:P35"/>
    <mergeCell ref="Q35:R35"/>
    <mergeCell ref="F38:G38"/>
    <mergeCell ref="K38:L38"/>
    <mergeCell ref="M38:N38"/>
    <mergeCell ref="O38:P38"/>
    <mergeCell ref="O39:P39"/>
    <mergeCell ref="Q39:R39"/>
    <mergeCell ref="S35:T35"/>
    <mergeCell ref="U35:V35"/>
    <mergeCell ref="X35:X40"/>
    <mergeCell ref="Y35:Y40"/>
    <mergeCell ref="F36:G36"/>
    <mergeCell ref="K36:L36"/>
    <mergeCell ref="M36:N36"/>
    <mergeCell ref="O36:P36"/>
    <mergeCell ref="Q36:R36"/>
    <mergeCell ref="S36:T36"/>
    <mergeCell ref="U36:V36"/>
    <mergeCell ref="F37:G37"/>
    <mergeCell ref="K37:L37"/>
    <mergeCell ref="M37:N37"/>
    <mergeCell ref="O37:P37"/>
    <mergeCell ref="Q37:R37"/>
    <mergeCell ref="S37:T37"/>
    <mergeCell ref="U37:V37"/>
    <mergeCell ref="Q38:R38"/>
    <mergeCell ref="S38:T38"/>
    <mergeCell ref="U38:V38"/>
    <mergeCell ref="F39:G39"/>
    <mergeCell ref="K39:L39"/>
    <mergeCell ref="M39:N39"/>
    <mergeCell ref="S39:T39"/>
    <mergeCell ref="U39:V39"/>
    <mergeCell ref="F40:G40"/>
    <mergeCell ref="K40:L40"/>
    <mergeCell ref="M40:N40"/>
    <mergeCell ref="O40:P40"/>
    <mergeCell ref="Q40:R40"/>
    <mergeCell ref="S40:T40"/>
    <mergeCell ref="U40:V40"/>
    <mergeCell ref="D41:D43"/>
    <mergeCell ref="F41:G41"/>
    <mergeCell ref="K41:L41"/>
    <mergeCell ref="M41:N41"/>
    <mergeCell ref="O41:P41"/>
    <mergeCell ref="Q41:R41"/>
    <mergeCell ref="S41:T41"/>
    <mergeCell ref="U41:V41"/>
    <mergeCell ref="K43:L43"/>
    <mergeCell ref="W41:X43"/>
    <mergeCell ref="Y41:Y43"/>
    <mergeCell ref="F42:G42"/>
    <mergeCell ref="K42:L42"/>
    <mergeCell ref="M42:N42"/>
    <mergeCell ref="O42:P42"/>
    <mergeCell ref="Q42:R42"/>
    <mergeCell ref="S42:T42"/>
    <mergeCell ref="U42:V42"/>
    <mergeCell ref="F43:G43"/>
    <mergeCell ref="M43:N43"/>
    <mergeCell ref="O43:P43"/>
    <mergeCell ref="Q43:R43"/>
    <mergeCell ref="S43:T43"/>
    <mergeCell ref="U43:V43"/>
    <mergeCell ref="W44:X57"/>
    <mergeCell ref="U50:V50"/>
    <mergeCell ref="S52:T52"/>
    <mergeCell ref="U52:V52"/>
    <mergeCell ref="F51:G51"/>
    <mergeCell ref="K51:L51"/>
    <mergeCell ref="M51:N51"/>
    <mergeCell ref="O51:P51"/>
    <mergeCell ref="Q51:R51"/>
    <mergeCell ref="S51:T51"/>
    <mergeCell ref="M53:N53"/>
    <mergeCell ref="O53:P53"/>
    <mergeCell ref="Q53:R53"/>
    <mergeCell ref="S53:T53"/>
    <mergeCell ref="U51:V51"/>
    <mergeCell ref="F52:G52"/>
    <mergeCell ref="Y44:Y57"/>
    <mergeCell ref="F45:G45"/>
    <mergeCell ref="F46:G46"/>
    <mergeCell ref="K46:L47"/>
    <mergeCell ref="M46:N47"/>
    <mergeCell ref="O46:P47"/>
    <mergeCell ref="Q46:R47"/>
    <mergeCell ref="S46:T47"/>
    <mergeCell ref="U46:V47"/>
    <mergeCell ref="F47:G47"/>
    <mergeCell ref="F48:G48"/>
    <mergeCell ref="K48:L49"/>
    <mergeCell ref="M48:N49"/>
    <mergeCell ref="O48:P49"/>
    <mergeCell ref="Q48:R49"/>
    <mergeCell ref="S48:T49"/>
    <mergeCell ref="U48:V49"/>
    <mergeCell ref="F49:G49"/>
    <mergeCell ref="F50:G50"/>
    <mergeCell ref="K50:L50"/>
    <mergeCell ref="M50:N50"/>
    <mergeCell ref="O50:P50"/>
    <mergeCell ref="Q50:R50"/>
    <mergeCell ref="S50:T50"/>
    <mergeCell ref="K52:L52"/>
    <mergeCell ref="M52:N52"/>
    <mergeCell ref="O52:P52"/>
    <mergeCell ref="Q52:R52"/>
    <mergeCell ref="U53:V53"/>
    <mergeCell ref="F54:G54"/>
    <mergeCell ref="K54:L54"/>
    <mergeCell ref="M54:N54"/>
    <mergeCell ref="O54:P54"/>
    <mergeCell ref="Q54:R54"/>
    <mergeCell ref="S54:T54"/>
    <mergeCell ref="U54:V54"/>
    <mergeCell ref="F53:G53"/>
    <mergeCell ref="K53:L53"/>
    <mergeCell ref="S56:T56"/>
    <mergeCell ref="U56:V56"/>
    <mergeCell ref="F55:G55"/>
    <mergeCell ref="K55:L55"/>
    <mergeCell ref="M55:N55"/>
    <mergeCell ref="O55:P55"/>
    <mergeCell ref="Q55:R55"/>
    <mergeCell ref="S55:T55"/>
    <mergeCell ref="M57:N57"/>
    <mergeCell ref="O57:P57"/>
    <mergeCell ref="Q57:R57"/>
    <mergeCell ref="S57:T57"/>
    <mergeCell ref="U55:V55"/>
    <mergeCell ref="F56:G56"/>
    <mergeCell ref="K56:L56"/>
    <mergeCell ref="M56:N56"/>
    <mergeCell ref="O56:P56"/>
    <mergeCell ref="Q56:R56"/>
    <mergeCell ref="U57:V57"/>
    <mergeCell ref="B58:G58"/>
    <mergeCell ref="K58:L58"/>
    <mergeCell ref="M58:N58"/>
    <mergeCell ref="O58:P58"/>
    <mergeCell ref="Q58:R58"/>
    <mergeCell ref="S58:T58"/>
    <mergeCell ref="U58:V58"/>
    <mergeCell ref="F57:G57"/>
    <mergeCell ref="K57:L57"/>
    <mergeCell ref="D44:D57"/>
    <mergeCell ref="F44:G44"/>
    <mergeCell ref="K44:L45"/>
    <mergeCell ref="M44:N45"/>
    <mergeCell ref="O44:P45"/>
    <mergeCell ref="Q44:R45"/>
    <mergeCell ref="S44:T45"/>
    <mergeCell ref="U44:V45"/>
    <mergeCell ref="W58:X58"/>
    <mergeCell ref="AA58:AB58"/>
    <mergeCell ref="B59:C74"/>
    <mergeCell ref="D59:E59"/>
    <mergeCell ref="F59:G59"/>
    <mergeCell ref="K59:L59"/>
    <mergeCell ref="M59:N59"/>
    <mergeCell ref="O59:P59"/>
    <mergeCell ref="Q59:R59"/>
    <mergeCell ref="S59:T59"/>
    <mergeCell ref="U59:V59"/>
    <mergeCell ref="W59:X59"/>
    <mergeCell ref="Y59:Y78"/>
    <mergeCell ref="F60:G60"/>
    <mergeCell ref="K60:L60"/>
    <mergeCell ref="M60:N60"/>
    <mergeCell ref="O60:P60"/>
    <mergeCell ref="Q60:R60"/>
    <mergeCell ref="S60:T60"/>
    <mergeCell ref="U60:V60"/>
    <mergeCell ref="W60:X60"/>
    <mergeCell ref="F61:G61"/>
    <mergeCell ref="K61:L61"/>
    <mergeCell ref="M61:N61"/>
    <mergeCell ref="O61:P61"/>
    <mergeCell ref="Q61:R61"/>
    <mergeCell ref="S61:T61"/>
    <mergeCell ref="U61:V61"/>
    <mergeCell ref="W61:X61"/>
    <mergeCell ref="F62:G62"/>
    <mergeCell ref="K62:L62"/>
    <mergeCell ref="M62:N62"/>
    <mergeCell ref="O62:P62"/>
    <mergeCell ref="Q62:R62"/>
    <mergeCell ref="S62:T62"/>
    <mergeCell ref="U62:V62"/>
    <mergeCell ref="W62:X62"/>
    <mergeCell ref="F63:G63"/>
    <mergeCell ref="K63:L63"/>
    <mergeCell ref="M63:N63"/>
    <mergeCell ref="O63:P63"/>
    <mergeCell ref="Q63:R63"/>
    <mergeCell ref="S63:T63"/>
    <mergeCell ref="U63:V63"/>
    <mergeCell ref="W63:X63"/>
    <mergeCell ref="F64:G64"/>
    <mergeCell ref="K64:L64"/>
    <mergeCell ref="M64:N64"/>
    <mergeCell ref="O64:P64"/>
    <mergeCell ref="Q64:R64"/>
    <mergeCell ref="S64:T64"/>
    <mergeCell ref="U64:V64"/>
    <mergeCell ref="W64:X64"/>
    <mergeCell ref="F65:G65"/>
    <mergeCell ref="K65:L65"/>
    <mergeCell ref="M65:N65"/>
    <mergeCell ref="O65:P65"/>
    <mergeCell ref="Q65:R65"/>
    <mergeCell ref="S65:T65"/>
    <mergeCell ref="U65:V65"/>
    <mergeCell ref="W65:X65"/>
    <mergeCell ref="F66:G66"/>
    <mergeCell ref="K66:L66"/>
    <mergeCell ref="M66:N66"/>
    <mergeCell ref="O66:P66"/>
    <mergeCell ref="Q66:R66"/>
    <mergeCell ref="S66:T66"/>
    <mergeCell ref="U66:V66"/>
    <mergeCell ref="W66:X66"/>
    <mergeCell ref="F67:G67"/>
    <mergeCell ref="K67:L67"/>
    <mergeCell ref="M67:N67"/>
    <mergeCell ref="O67:P67"/>
    <mergeCell ref="Q67:R67"/>
    <mergeCell ref="S67:T67"/>
    <mergeCell ref="U67:V67"/>
    <mergeCell ref="W67:X67"/>
    <mergeCell ref="F68:G68"/>
    <mergeCell ref="K68:L68"/>
    <mergeCell ref="M68:N68"/>
    <mergeCell ref="O68:P68"/>
    <mergeCell ref="Q68:R68"/>
    <mergeCell ref="S68:T68"/>
    <mergeCell ref="U68:V68"/>
    <mergeCell ref="W68:X68"/>
    <mergeCell ref="F69:G69"/>
    <mergeCell ref="K69:L69"/>
    <mergeCell ref="M69:N69"/>
    <mergeCell ref="O69:P69"/>
    <mergeCell ref="Q69:R69"/>
    <mergeCell ref="S69:T69"/>
    <mergeCell ref="U69:V69"/>
    <mergeCell ref="W69:X69"/>
    <mergeCell ref="F70:G70"/>
    <mergeCell ref="K70:L70"/>
    <mergeCell ref="M70:N70"/>
    <mergeCell ref="O70:P70"/>
    <mergeCell ref="Q70:R70"/>
    <mergeCell ref="S70:T70"/>
    <mergeCell ref="U70:V70"/>
    <mergeCell ref="W70:X70"/>
    <mergeCell ref="F71:G71"/>
    <mergeCell ref="K71:L71"/>
    <mergeCell ref="M71:N71"/>
    <mergeCell ref="O71:P71"/>
    <mergeCell ref="Q71:R71"/>
    <mergeCell ref="S71:T71"/>
    <mergeCell ref="U71:V71"/>
    <mergeCell ref="W71:X71"/>
    <mergeCell ref="F72:G72"/>
    <mergeCell ref="K72:L72"/>
    <mergeCell ref="M72:N72"/>
    <mergeCell ref="O72:P72"/>
    <mergeCell ref="Q72:R72"/>
    <mergeCell ref="S72:T72"/>
    <mergeCell ref="U72:V72"/>
    <mergeCell ref="W72:X72"/>
    <mergeCell ref="F73:G73"/>
    <mergeCell ref="K73:L73"/>
    <mergeCell ref="M73:N73"/>
    <mergeCell ref="O73:P73"/>
    <mergeCell ref="Q73:R73"/>
    <mergeCell ref="S73:T73"/>
    <mergeCell ref="U73:V73"/>
    <mergeCell ref="W73:X73"/>
    <mergeCell ref="F74:G74"/>
    <mergeCell ref="K74:L74"/>
    <mergeCell ref="M74:N74"/>
    <mergeCell ref="O74:P74"/>
    <mergeCell ref="Q74:R74"/>
    <mergeCell ref="S74:T74"/>
    <mergeCell ref="U74:V74"/>
    <mergeCell ref="W74:X74"/>
    <mergeCell ref="W75:X78"/>
    <mergeCell ref="F76:G76"/>
    <mergeCell ref="B77:B78"/>
    <mergeCell ref="F77:G77"/>
    <mergeCell ref="K77:L78"/>
    <mergeCell ref="M77:N78"/>
    <mergeCell ref="O77:P78"/>
    <mergeCell ref="Q77:R78"/>
    <mergeCell ref="S77:T78"/>
    <mergeCell ref="U77:V78"/>
    <mergeCell ref="F78:G78"/>
    <mergeCell ref="B75:B76"/>
    <mergeCell ref="F75:G75"/>
    <mergeCell ref="K75:L76"/>
    <mergeCell ref="M75:N76"/>
    <mergeCell ref="O75:P76"/>
    <mergeCell ref="Q75:R76"/>
    <mergeCell ref="S75:T76"/>
    <mergeCell ref="U75:V76"/>
    <mergeCell ref="U79:V80"/>
    <mergeCell ref="W79:X80"/>
    <mergeCell ref="Y79:Y80"/>
    <mergeCell ref="B81:G81"/>
    <mergeCell ref="K81:L81"/>
    <mergeCell ref="M81:N81"/>
    <mergeCell ref="O81:P81"/>
    <mergeCell ref="Q81:R81"/>
    <mergeCell ref="S81:T81"/>
    <mergeCell ref="U81:V81"/>
    <mergeCell ref="W81:X81"/>
    <mergeCell ref="B79:G80"/>
    <mergeCell ref="H79:H80"/>
    <mergeCell ref="I79:I80"/>
    <mergeCell ref="J79:J80"/>
    <mergeCell ref="K79:L80"/>
    <mergeCell ref="M79:N80"/>
    <mergeCell ref="O79:P80"/>
    <mergeCell ref="Q79:R80"/>
    <mergeCell ref="S79:T80"/>
    <mergeCell ref="AA81:AB82"/>
    <mergeCell ref="B82:E85"/>
    <mergeCell ref="F82:J82"/>
    <mergeCell ref="K82:L82"/>
    <mergeCell ref="M82:N82"/>
    <mergeCell ref="O82:P82"/>
    <mergeCell ref="Q82:R82"/>
    <mergeCell ref="S82:T82"/>
    <mergeCell ref="U82:V82"/>
    <mergeCell ref="W82:X84"/>
    <mergeCell ref="Y82:Y84"/>
    <mergeCell ref="F83:J83"/>
    <mergeCell ref="K83:L83"/>
    <mergeCell ref="M83:N83"/>
    <mergeCell ref="O83:P83"/>
    <mergeCell ref="Q83:R83"/>
    <mergeCell ref="S83:T83"/>
    <mergeCell ref="U83:V83"/>
    <mergeCell ref="AA83:AB83"/>
    <mergeCell ref="F84:J84"/>
    <mergeCell ref="K84:L84"/>
    <mergeCell ref="M84:N84"/>
    <mergeCell ref="O84:P84"/>
    <mergeCell ref="Q84:R84"/>
    <mergeCell ref="S84:T84"/>
    <mergeCell ref="U84:V84"/>
    <mergeCell ref="F85:J85"/>
    <mergeCell ref="K85:L85"/>
    <mergeCell ref="M85:N85"/>
    <mergeCell ref="O85:P85"/>
    <mergeCell ref="Q85:R85"/>
    <mergeCell ref="S85:T85"/>
    <mergeCell ref="U85:V85"/>
    <mergeCell ref="W85:X85"/>
    <mergeCell ref="AA85:AB85"/>
    <mergeCell ref="B86:J86"/>
    <mergeCell ref="K86:L86"/>
    <mergeCell ref="M86:N86"/>
    <mergeCell ref="O86:P86"/>
    <mergeCell ref="Q86:R86"/>
    <mergeCell ref="S86:T86"/>
    <mergeCell ref="U86:V86"/>
    <mergeCell ref="AA88:AB88"/>
    <mergeCell ref="W86:X86"/>
    <mergeCell ref="AA86:AB86"/>
    <mergeCell ref="B87:J87"/>
    <mergeCell ref="K87:N87"/>
    <mergeCell ref="O87:R87"/>
    <mergeCell ref="S87:V87"/>
    <mergeCell ref="W87:X87"/>
    <mergeCell ref="AA87:AB87"/>
  </mergeCells>
  <phoneticPr fontId="9" type="noConversion"/>
  <conditionalFormatting sqref="AA58:AB58 AC80 AA83:AB83 AA86:AB86 AA88:AB88">
    <cfRule type="containsText" dxfId="0" priority="1" operator="containsText" text="FALSE">
      <formula>NOT(ISERROR(SEARCH("FALSE",AA58)))</formula>
    </cfRule>
  </conditionalFormatting>
  <dataValidations count="2">
    <dataValidation type="list" allowBlank="1" showInputMessage="1" showErrorMessage="1" sqref="B5" xr:uid="{F577CF5B-9365-4898-AAD3-BDA161557C9B}">
      <formula1>#REF!</formula1>
    </dataValidation>
    <dataValidation type="list" allowBlank="1" showInputMessage="1" showErrorMessage="1" sqref="T5:V5 F5:O5" xr:uid="{AB71FCA0-8D65-4D19-894C-D0FAFEC22F7C}">
      <formula1>#REF!</formula1>
    </dataValidation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7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8F5-0350-4FCD-A2C9-70C52BCB5D70}">
  <sheetPr>
    <pageSetUpPr fitToPage="1"/>
  </sheetPr>
  <dimension ref="B2:W30"/>
  <sheetViews>
    <sheetView showGridLines="0" tabSelected="1" view="pageBreakPreview" zoomScale="85" zoomScaleNormal="85" zoomScaleSheetLayoutView="85" workbookViewId="0">
      <selection activeCell="B2" sqref="B2:U2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26.875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23" ht="39.75" customHeight="1" thickBot="1">
      <c r="B2" s="477" t="s">
        <v>146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</row>
    <row r="3" spans="2:23" ht="27" customHeight="1" thickBot="1"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478" t="s">
        <v>128</v>
      </c>
      <c r="O3" s="479"/>
      <c r="P3" s="480"/>
      <c r="Q3" s="478" t="s">
        <v>126</v>
      </c>
      <c r="R3" s="479"/>
      <c r="S3" s="480"/>
      <c r="T3" s="481" t="s">
        <v>129</v>
      </c>
      <c r="U3" s="482"/>
    </row>
    <row r="4" spans="2:23" ht="27" customHeight="1" thickBot="1"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483" t="s">
        <v>545</v>
      </c>
      <c r="O4" s="484"/>
      <c r="P4" s="485"/>
      <c r="Q4" s="486" t="s">
        <v>114</v>
      </c>
      <c r="R4" s="487"/>
      <c r="S4" s="488"/>
      <c r="T4" s="489">
        <v>2027</v>
      </c>
      <c r="U4" s="490"/>
    </row>
    <row r="5" spans="2:23" ht="24" customHeight="1" thickBot="1">
      <c r="B5" s="470"/>
      <c r="C5" s="470"/>
    </row>
    <row r="6" spans="2:23" ht="20.25" customHeight="1">
      <c r="B6" s="471" t="s">
        <v>13</v>
      </c>
      <c r="C6" s="474" t="s">
        <v>136</v>
      </c>
      <c r="D6" s="459" t="s">
        <v>14</v>
      </c>
      <c r="E6" s="459" t="s">
        <v>15</v>
      </c>
      <c r="F6" s="459" t="s">
        <v>137</v>
      </c>
      <c r="G6" s="459" t="s">
        <v>138</v>
      </c>
      <c r="H6" s="462" t="s">
        <v>58</v>
      </c>
      <c r="I6" s="462"/>
      <c r="J6" s="462"/>
      <c r="K6" s="462"/>
      <c r="L6" s="462" t="s">
        <v>59</v>
      </c>
      <c r="M6" s="462"/>
      <c r="N6" s="462"/>
      <c r="O6" s="462"/>
      <c r="P6" s="462" t="s">
        <v>60</v>
      </c>
      <c r="Q6" s="462"/>
      <c r="R6" s="462"/>
      <c r="S6" s="462"/>
      <c r="T6" s="463" t="s">
        <v>584</v>
      </c>
      <c r="U6" s="466" t="s">
        <v>585</v>
      </c>
      <c r="W6" s="192"/>
    </row>
    <row r="7" spans="2:23" ht="16.5" customHeight="1">
      <c r="B7" s="472"/>
      <c r="C7" s="475"/>
      <c r="D7" s="460"/>
      <c r="E7" s="460"/>
      <c r="F7" s="460"/>
      <c r="G7" s="460"/>
      <c r="H7" s="469" t="s">
        <v>124</v>
      </c>
      <c r="I7" s="469"/>
      <c r="J7" s="469" t="s">
        <v>62</v>
      </c>
      <c r="K7" s="469"/>
      <c r="L7" s="469" t="s">
        <v>124</v>
      </c>
      <c r="M7" s="469"/>
      <c r="N7" s="469" t="s">
        <v>62</v>
      </c>
      <c r="O7" s="469"/>
      <c r="P7" s="469" t="s">
        <v>124</v>
      </c>
      <c r="Q7" s="469"/>
      <c r="R7" s="469" t="s">
        <v>62</v>
      </c>
      <c r="S7" s="469"/>
      <c r="T7" s="464"/>
      <c r="U7" s="467"/>
      <c r="W7" s="192"/>
    </row>
    <row r="8" spans="2:23" ht="17.25" customHeight="1" thickBot="1">
      <c r="B8" s="473"/>
      <c r="C8" s="476"/>
      <c r="D8" s="461"/>
      <c r="E8" s="461"/>
      <c r="F8" s="461"/>
      <c r="G8" s="461"/>
      <c r="H8" s="194" t="s">
        <v>135</v>
      </c>
      <c r="I8" s="194" t="s">
        <v>125</v>
      </c>
      <c r="J8" s="194" t="s">
        <v>135</v>
      </c>
      <c r="K8" s="194" t="s">
        <v>125</v>
      </c>
      <c r="L8" s="194" t="s">
        <v>135</v>
      </c>
      <c r="M8" s="194" t="s">
        <v>125</v>
      </c>
      <c r="N8" s="194" t="s">
        <v>135</v>
      </c>
      <c r="O8" s="194" t="s">
        <v>125</v>
      </c>
      <c r="P8" s="194" t="s">
        <v>135</v>
      </c>
      <c r="Q8" s="194" t="s">
        <v>125</v>
      </c>
      <c r="R8" s="194" t="s">
        <v>135</v>
      </c>
      <c r="S8" s="194" t="s">
        <v>125</v>
      </c>
      <c r="T8" s="465"/>
      <c r="U8" s="468"/>
      <c r="W8" s="192"/>
    </row>
    <row r="9" spans="2:23" ht="16.5" customHeight="1">
      <c r="B9" s="453" t="s">
        <v>583</v>
      </c>
      <c r="C9" s="456">
        <v>16</v>
      </c>
      <c r="D9" s="174" t="s">
        <v>582</v>
      </c>
      <c r="E9" s="193" t="s">
        <v>581</v>
      </c>
      <c r="F9" s="174">
        <v>32</v>
      </c>
      <c r="G9" s="174">
        <v>2</v>
      </c>
      <c r="H9" s="172">
        <v>2</v>
      </c>
      <c r="I9" s="172">
        <f>H9*16</f>
        <v>32</v>
      </c>
      <c r="J9" s="172"/>
      <c r="K9" s="172">
        <f>J9*16</f>
        <v>0</v>
      </c>
      <c r="L9" s="172"/>
      <c r="M9" s="172"/>
      <c r="N9" s="172"/>
      <c r="O9" s="172"/>
      <c r="P9" s="172"/>
      <c r="Q9" s="172"/>
      <c r="R9" s="172"/>
      <c r="S9" s="172"/>
      <c r="T9" s="187">
        <f>SUM(H9,J9,L9,N9,P9,R9)</f>
        <v>2</v>
      </c>
      <c r="U9" s="186">
        <f>SUM(I9,K9,M9,O9,Q9,S9)</f>
        <v>32</v>
      </c>
      <c r="W9" s="192"/>
    </row>
    <row r="10" spans="2:23" ht="16.5" customHeight="1">
      <c r="B10" s="454"/>
      <c r="C10" s="457"/>
      <c r="D10" s="190" t="s">
        <v>580</v>
      </c>
      <c r="E10" s="189" t="s">
        <v>579</v>
      </c>
      <c r="F10" s="167">
        <v>48</v>
      </c>
      <c r="G10" s="167">
        <v>3</v>
      </c>
      <c r="H10" s="166">
        <v>2</v>
      </c>
      <c r="I10" s="166">
        <f>H10*16</f>
        <v>32</v>
      </c>
      <c r="J10" s="166"/>
      <c r="K10" s="166">
        <f>J10*16</f>
        <v>0</v>
      </c>
      <c r="L10" s="166"/>
      <c r="M10" s="166"/>
      <c r="N10" s="166"/>
      <c r="O10" s="166"/>
      <c r="P10" s="166"/>
      <c r="Q10" s="166"/>
      <c r="R10" s="166"/>
      <c r="S10" s="166"/>
      <c r="T10" s="184">
        <f>SUM(H10,J10,L10,N10,P10,R10)</f>
        <v>2</v>
      </c>
      <c r="U10" s="183">
        <f>SUM(I10,K10,M10,O10,Q10,S10)</f>
        <v>32</v>
      </c>
      <c r="W10" s="192"/>
    </row>
    <row r="11" spans="2:23">
      <c r="B11" s="454"/>
      <c r="C11" s="457"/>
      <c r="D11" s="189" t="s">
        <v>578</v>
      </c>
      <c r="E11" s="189" t="s">
        <v>577</v>
      </c>
      <c r="F11" s="167">
        <v>48</v>
      </c>
      <c r="G11" s="167">
        <v>3</v>
      </c>
      <c r="H11" s="166">
        <v>4</v>
      </c>
      <c r="I11" s="166">
        <v>64</v>
      </c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84">
        <v>4</v>
      </c>
      <c r="U11" s="183">
        <f>SUM(I11,K11,M11,O11,Q11,S11)</f>
        <v>64</v>
      </c>
    </row>
    <row r="12" spans="2:23">
      <c r="B12" s="454"/>
      <c r="C12" s="457"/>
      <c r="D12" s="190" t="s">
        <v>576</v>
      </c>
      <c r="E12" s="190" t="s">
        <v>575</v>
      </c>
      <c r="F12" s="189">
        <v>32</v>
      </c>
      <c r="G12" s="167">
        <v>2</v>
      </c>
      <c r="H12" s="166"/>
      <c r="I12" s="166"/>
      <c r="J12" s="166">
        <v>2</v>
      </c>
      <c r="K12" s="166">
        <v>32</v>
      </c>
      <c r="L12" s="166"/>
      <c r="M12" s="166"/>
      <c r="N12" s="191"/>
      <c r="O12" s="166"/>
      <c r="P12" s="166"/>
      <c r="Q12" s="166"/>
      <c r="R12" s="166"/>
      <c r="S12" s="166"/>
      <c r="T12" s="184">
        <f>SUM(H12,J12,L12,D19,P12,R12)</f>
        <v>2</v>
      </c>
      <c r="U12" s="183">
        <f>SUM(I12,K12,M12,O12,Q12,S12)</f>
        <v>32</v>
      </c>
    </row>
    <row r="13" spans="2:23">
      <c r="B13" s="454"/>
      <c r="C13" s="457"/>
      <c r="D13" s="189" t="s">
        <v>574</v>
      </c>
      <c r="E13" s="189" t="s">
        <v>573</v>
      </c>
      <c r="F13" s="190">
        <v>48</v>
      </c>
      <c r="G13" s="167">
        <v>3</v>
      </c>
      <c r="H13" s="166"/>
      <c r="I13" s="166"/>
      <c r="J13" s="166">
        <v>4</v>
      </c>
      <c r="K13" s="166">
        <v>64</v>
      </c>
      <c r="L13" s="166"/>
      <c r="M13" s="166"/>
      <c r="O13" s="166"/>
      <c r="P13" s="166"/>
      <c r="Q13" s="166"/>
      <c r="R13" s="166"/>
      <c r="S13" s="166"/>
      <c r="T13" s="184">
        <f>SUM(H13,J13,L13,D20,P13,R13)</f>
        <v>4</v>
      </c>
      <c r="U13" s="183">
        <f>SUM(I13,K13,M13,O13,Q13,S13)</f>
        <v>64</v>
      </c>
    </row>
    <row r="14" spans="2:23">
      <c r="B14" s="454"/>
      <c r="C14" s="457"/>
      <c r="D14" s="189" t="s">
        <v>572</v>
      </c>
      <c r="E14" s="189" t="s">
        <v>571</v>
      </c>
      <c r="F14" s="167">
        <v>48</v>
      </c>
      <c r="G14" s="167">
        <v>3</v>
      </c>
      <c r="H14" s="166"/>
      <c r="I14" s="166"/>
      <c r="J14" s="166">
        <v>2</v>
      </c>
      <c r="K14" s="166">
        <v>32</v>
      </c>
      <c r="L14" s="166"/>
      <c r="M14" s="166"/>
      <c r="N14" s="166"/>
      <c r="O14" s="166"/>
      <c r="P14" s="166"/>
      <c r="Q14" s="166"/>
      <c r="R14" s="166"/>
      <c r="S14" s="166"/>
      <c r="T14" s="184">
        <f>SUM(H14,J14,L14,N14,P14,R14)</f>
        <v>2</v>
      </c>
      <c r="U14" s="183">
        <f>SUM(I14,K14,M14,O14,Q14,S14)</f>
        <v>32</v>
      </c>
    </row>
    <row r="15" spans="2:23" ht="17.25" thickBot="1">
      <c r="B15" s="455"/>
      <c r="C15" s="458"/>
      <c r="D15" s="449" t="s">
        <v>16</v>
      </c>
      <c r="E15" s="449"/>
      <c r="F15" s="164"/>
      <c r="G15" s="164"/>
      <c r="H15" s="163">
        <f t="shared" ref="H15:U15" si="0">SUM(H9:H14)</f>
        <v>8</v>
      </c>
      <c r="I15" s="163">
        <f t="shared" si="0"/>
        <v>128</v>
      </c>
      <c r="J15" s="163">
        <f t="shared" si="0"/>
        <v>8</v>
      </c>
      <c r="K15" s="163">
        <f t="shared" si="0"/>
        <v>128</v>
      </c>
      <c r="L15" s="163">
        <f t="shared" si="0"/>
        <v>0</v>
      </c>
      <c r="M15" s="163">
        <f t="shared" si="0"/>
        <v>0</v>
      </c>
      <c r="N15" s="163">
        <f t="shared" si="0"/>
        <v>0</v>
      </c>
      <c r="O15" s="163">
        <f t="shared" si="0"/>
        <v>0</v>
      </c>
      <c r="P15" s="163">
        <f t="shared" si="0"/>
        <v>0</v>
      </c>
      <c r="Q15" s="163">
        <f t="shared" si="0"/>
        <v>0</v>
      </c>
      <c r="R15" s="163">
        <f t="shared" si="0"/>
        <v>0</v>
      </c>
      <c r="S15" s="163">
        <f t="shared" si="0"/>
        <v>0</v>
      </c>
      <c r="T15" s="163">
        <f t="shared" si="0"/>
        <v>16</v>
      </c>
      <c r="U15" s="162">
        <f t="shared" si="0"/>
        <v>256</v>
      </c>
    </row>
    <row r="16" spans="2:23">
      <c r="B16" s="443" t="s">
        <v>570</v>
      </c>
      <c r="C16" s="446">
        <v>2</v>
      </c>
      <c r="D16" s="188" t="s">
        <v>569</v>
      </c>
      <c r="E16" s="188" t="s">
        <v>568</v>
      </c>
      <c r="F16" s="174">
        <v>16</v>
      </c>
      <c r="G16" s="174">
        <v>3</v>
      </c>
      <c r="H16" s="172">
        <v>1</v>
      </c>
      <c r="I16" s="172">
        <v>16</v>
      </c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87">
        <v>1</v>
      </c>
      <c r="U16" s="186">
        <v>16</v>
      </c>
    </row>
    <row r="17" spans="2:21">
      <c r="B17" s="444"/>
      <c r="C17" s="447"/>
      <c r="D17" s="185" t="s">
        <v>567</v>
      </c>
      <c r="E17" s="185" t="s">
        <v>566</v>
      </c>
      <c r="F17" s="167">
        <v>16</v>
      </c>
      <c r="G17" s="167">
        <v>3</v>
      </c>
      <c r="H17" s="166"/>
      <c r="I17" s="166"/>
      <c r="J17" s="166">
        <v>1</v>
      </c>
      <c r="K17" s="166">
        <v>16</v>
      </c>
      <c r="L17" s="166"/>
      <c r="M17" s="166"/>
      <c r="N17" s="166"/>
      <c r="O17" s="166"/>
      <c r="P17" s="166"/>
      <c r="Q17" s="166"/>
      <c r="R17" s="166"/>
      <c r="S17" s="166"/>
      <c r="T17" s="184">
        <v>1</v>
      </c>
      <c r="U17" s="183">
        <v>16</v>
      </c>
    </row>
    <row r="18" spans="2:21" ht="17.25" thickBot="1">
      <c r="B18" s="445"/>
      <c r="C18" s="448"/>
      <c r="D18" s="449" t="s">
        <v>16</v>
      </c>
      <c r="E18" s="449"/>
      <c r="F18" s="164"/>
      <c r="G18" s="164"/>
      <c r="H18" s="163">
        <f t="shared" ref="H18:U18" si="1">SUM(H16:H17)</f>
        <v>1</v>
      </c>
      <c r="I18" s="163">
        <f t="shared" si="1"/>
        <v>16</v>
      </c>
      <c r="J18" s="163">
        <f t="shared" si="1"/>
        <v>1</v>
      </c>
      <c r="K18" s="163">
        <f t="shared" si="1"/>
        <v>16</v>
      </c>
      <c r="L18" s="163">
        <f t="shared" si="1"/>
        <v>0</v>
      </c>
      <c r="M18" s="163">
        <f t="shared" si="1"/>
        <v>0</v>
      </c>
      <c r="N18" s="163">
        <f t="shared" si="1"/>
        <v>0</v>
      </c>
      <c r="O18" s="163">
        <f t="shared" si="1"/>
        <v>0</v>
      </c>
      <c r="P18" s="163">
        <f t="shared" si="1"/>
        <v>0</v>
      </c>
      <c r="Q18" s="163">
        <f t="shared" si="1"/>
        <v>0</v>
      </c>
      <c r="R18" s="163">
        <f t="shared" si="1"/>
        <v>0</v>
      </c>
      <c r="S18" s="163">
        <f t="shared" si="1"/>
        <v>0</v>
      </c>
      <c r="T18" s="163">
        <f t="shared" si="1"/>
        <v>2</v>
      </c>
      <c r="U18" s="162">
        <f t="shared" si="1"/>
        <v>32</v>
      </c>
    </row>
    <row r="19" spans="2:21">
      <c r="B19" s="443" t="s">
        <v>517</v>
      </c>
      <c r="C19" s="450">
        <v>2</v>
      </c>
      <c r="D19" s="188" t="s">
        <v>565</v>
      </c>
      <c r="E19" s="188" t="s">
        <v>564</v>
      </c>
      <c r="F19" s="174">
        <v>16</v>
      </c>
      <c r="G19" s="174">
        <v>3</v>
      </c>
      <c r="H19" s="172">
        <v>1</v>
      </c>
      <c r="I19" s="172">
        <v>16</v>
      </c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87">
        <v>1</v>
      </c>
      <c r="U19" s="186">
        <v>16</v>
      </c>
    </row>
    <row r="20" spans="2:21">
      <c r="B20" s="444"/>
      <c r="C20" s="451"/>
      <c r="D20" s="185" t="s">
        <v>563</v>
      </c>
      <c r="E20" s="185" t="s">
        <v>562</v>
      </c>
      <c r="F20" s="167">
        <v>16</v>
      </c>
      <c r="G20" s="167">
        <v>2</v>
      </c>
      <c r="H20" s="166"/>
      <c r="I20" s="166"/>
      <c r="J20" s="166">
        <v>1</v>
      </c>
      <c r="K20" s="166">
        <v>16</v>
      </c>
      <c r="L20" s="166"/>
      <c r="M20" s="166"/>
      <c r="N20" s="166"/>
      <c r="O20" s="166"/>
      <c r="P20" s="166"/>
      <c r="Q20" s="166"/>
      <c r="R20" s="166"/>
      <c r="S20" s="166"/>
      <c r="T20" s="184">
        <v>1</v>
      </c>
      <c r="U20" s="183">
        <v>16</v>
      </c>
    </row>
    <row r="21" spans="2:21" ht="17.25" thickBot="1">
      <c r="B21" s="445"/>
      <c r="C21" s="452"/>
      <c r="D21" s="449" t="s">
        <v>16</v>
      </c>
      <c r="E21" s="449"/>
      <c r="F21" s="164"/>
      <c r="G21" s="164"/>
      <c r="H21" s="163">
        <f t="shared" ref="H21:U21" si="2">SUM(H19:H20)</f>
        <v>1</v>
      </c>
      <c r="I21" s="163">
        <f t="shared" si="2"/>
        <v>16</v>
      </c>
      <c r="J21" s="163">
        <f t="shared" si="2"/>
        <v>1</v>
      </c>
      <c r="K21" s="163">
        <f t="shared" si="2"/>
        <v>16</v>
      </c>
      <c r="L21" s="163">
        <f t="shared" si="2"/>
        <v>0</v>
      </c>
      <c r="M21" s="163">
        <f t="shared" si="2"/>
        <v>0</v>
      </c>
      <c r="N21" s="163">
        <f t="shared" si="2"/>
        <v>0</v>
      </c>
      <c r="O21" s="163">
        <f t="shared" si="2"/>
        <v>0</v>
      </c>
      <c r="P21" s="163">
        <f t="shared" si="2"/>
        <v>0</v>
      </c>
      <c r="Q21" s="163">
        <f t="shared" si="2"/>
        <v>0</v>
      </c>
      <c r="R21" s="163">
        <f t="shared" si="2"/>
        <v>0</v>
      </c>
      <c r="S21" s="163">
        <f t="shared" si="2"/>
        <v>0</v>
      </c>
      <c r="T21" s="163">
        <f t="shared" si="2"/>
        <v>2</v>
      </c>
      <c r="U21" s="162">
        <f t="shared" si="2"/>
        <v>32</v>
      </c>
    </row>
    <row r="22" spans="2:21">
      <c r="B22" s="443" t="s">
        <v>523</v>
      </c>
      <c r="C22" s="450">
        <v>16</v>
      </c>
      <c r="D22" s="173" t="s">
        <v>561</v>
      </c>
      <c r="E22" s="173" t="s">
        <v>560</v>
      </c>
      <c r="F22" s="173">
        <v>32</v>
      </c>
      <c r="G22" s="173">
        <v>2</v>
      </c>
      <c r="H22" s="182"/>
      <c r="I22" s="182"/>
      <c r="J22" s="182"/>
      <c r="K22" s="182"/>
      <c r="L22" s="182">
        <v>2</v>
      </c>
      <c r="M22" s="182">
        <v>32</v>
      </c>
      <c r="N22" s="182"/>
      <c r="O22" s="182"/>
      <c r="P22" s="182"/>
      <c r="Q22" s="182"/>
      <c r="R22" s="182"/>
      <c r="S22" s="182"/>
      <c r="T22" s="182">
        <v>2</v>
      </c>
      <c r="U22" s="181">
        <v>32</v>
      </c>
    </row>
    <row r="23" spans="2:21">
      <c r="B23" s="444"/>
      <c r="C23" s="451"/>
      <c r="D23" s="169" t="s">
        <v>559</v>
      </c>
      <c r="E23" s="169" t="s">
        <v>558</v>
      </c>
      <c r="F23" s="169">
        <v>48</v>
      </c>
      <c r="G23" s="169">
        <v>2</v>
      </c>
      <c r="H23" s="180"/>
      <c r="I23" s="180"/>
      <c r="J23" s="180"/>
      <c r="K23" s="180"/>
      <c r="L23" s="180">
        <v>3</v>
      </c>
      <c r="M23" s="180">
        <v>48</v>
      </c>
      <c r="N23" s="180"/>
      <c r="O23" s="180"/>
      <c r="P23" s="180"/>
      <c r="Q23" s="180"/>
      <c r="R23" s="180"/>
      <c r="S23" s="180"/>
      <c r="T23" s="180">
        <v>3</v>
      </c>
      <c r="U23" s="179">
        <v>48</v>
      </c>
    </row>
    <row r="24" spans="2:21">
      <c r="B24" s="444"/>
      <c r="C24" s="451"/>
      <c r="D24" s="169" t="s">
        <v>557</v>
      </c>
      <c r="E24" s="169" t="s">
        <v>556</v>
      </c>
      <c r="F24" s="169">
        <v>48</v>
      </c>
      <c r="G24" s="169">
        <v>3</v>
      </c>
      <c r="H24" s="180"/>
      <c r="I24" s="180"/>
      <c r="J24" s="180"/>
      <c r="K24" s="180"/>
      <c r="L24" s="180">
        <v>3</v>
      </c>
      <c r="M24" s="180">
        <v>48</v>
      </c>
      <c r="N24" s="180"/>
      <c r="O24" s="180"/>
      <c r="P24" s="180"/>
      <c r="Q24" s="180"/>
      <c r="R24" s="180"/>
      <c r="S24" s="180"/>
      <c r="T24" s="180">
        <v>3</v>
      </c>
      <c r="U24" s="179">
        <v>48</v>
      </c>
    </row>
    <row r="25" spans="2:21" ht="17.25" thickBot="1">
      <c r="B25" s="445"/>
      <c r="C25" s="452"/>
      <c r="D25" s="449" t="s">
        <v>16</v>
      </c>
      <c r="E25" s="449"/>
      <c r="F25" s="178"/>
      <c r="G25" s="178"/>
      <c r="H25" s="177"/>
      <c r="I25" s="177"/>
      <c r="J25" s="177"/>
      <c r="K25" s="177"/>
      <c r="L25" s="177">
        <f>SUM(L22:L24)</f>
        <v>8</v>
      </c>
      <c r="M25" s="177">
        <f>SUM(M22:M24)</f>
        <v>128</v>
      </c>
      <c r="N25" s="177">
        <f>SUM(N22:N24)</f>
        <v>0</v>
      </c>
      <c r="O25" s="177">
        <f>SUM(O22:O24)</f>
        <v>0</v>
      </c>
      <c r="P25" s="177"/>
      <c r="Q25" s="177"/>
      <c r="R25" s="177"/>
      <c r="S25" s="177"/>
      <c r="T25" s="177">
        <f>SUM(T22:T24)</f>
        <v>8</v>
      </c>
      <c r="U25" s="176">
        <f>SUM(U22:U24)</f>
        <v>128</v>
      </c>
    </row>
    <row r="26" spans="2:21">
      <c r="B26" s="443" t="s">
        <v>555</v>
      </c>
      <c r="C26" s="446">
        <v>10</v>
      </c>
      <c r="D26" s="173" t="s">
        <v>554</v>
      </c>
      <c r="E26" s="175" t="s">
        <v>553</v>
      </c>
      <c r="F26" s="174">
        <v>32</v>
      </c>
      <c r="G26" s="173">
        <v>3</v>
      </c>
      <c r="H26" s="172"/>
      <c r="I26" s="172"/>
      <c r="J26" s="172"/>
      <c r="K26" s="172"/>
      <c r="L26" s="172"/>
      <c r="M26" s="172"/>
      <c r="N26" s="172"/>
      <c r="O26" s="172"/>
      <c r="P26" s="172">
        <v>3</v>
      </c>
      <c r="Q26" s="172">
        <v>48</v>
      </c>
      <c r="R26" s="172"/>
      <c r="S26" s="172"/>
      <c r="T26" s="172">
        <v>3</v>
      </c>
      <c r="U26" s="171">
        <v>48</v>
      </c>
    </row>
    <row r="27" spans="2:21">
      <c r="B27" s="444"/>
      <c r="C27" s="447"/>
      <c r="D27" s="169" t="s">
        <v>552</v>
      </c>
      <c r="E27" s="170" t="s">
        <v>551</v>
      </c>
      <c r="F27" s="167">
        <v>32</v>
      </c>
      <c r="G27" s="167">
        <v>3</v>
      </c>
      <c r="H27" s="166"/>
      <c r="I27" s="166"/>
      <c r="J27" s="166"/>
      <c r="K27" s="166"/>
      <c r="L27" s="166"/>
      <c r="M27" s="166"/>
      <c r="N27" s="166"/>
      <c r="O27" s="166"/>
      <c r="P27" s="166">
        <v>3</v>
      </c>
      <c r="Q27" s="166">
        <v>48</v>
      </c>
      <c r="R27" s="166"/>
      <c r="S27" s="166"/>
      <c r="T27" s="166">
        <v>3</v>
      </c>
      <c r="U27" s="165">
        <v>48</v>
      </c>
    </row>
    <row r="28" spans="2:21">
      <c r="B28" s="444"/>
      <c r="C28" s="447"/>
      <c r="D28" s="169" t="s">
        <v>550</v>
      </c>
      <c r="E28" s="168" t="s">
        <v>549</v>
      </c>
      <c r="F28" s="167">
        <v>32</v>
      </c>
      <c r="G28" s="167">
        <v>2</v>
      </c>
      <c r="H28" s="166"/>
      <c r="I28" s="166"/>
      <c r="J28" s="166"/>
      <c r="K28" s="166"/>
      <c r="L28" s="166"/>
      <c r="M28" s="166"/>
      <c r="N28" s="166"/>
      <c r="O28" s="166"/>
      <c r="P28" s="166">
        <v>2</v>
      </c>
      <c r="Q28" s="166">
        <v>32</v>
      </c>
      <c r="R28" s="166"/>
      <c r="S28" s="166"/>
      <c r="T28" s="166">
        <v>2</v>
      </c>
      <c r="U28" s="165">
        <v>32</v>
      </c>
    </row>
    <row r="29" spans="2:21">
      <c r="B29" s="444"/>
      <c r="C29" s="447"/>
      <c r="D29" s="169" t="s">
        <v>548</v>
      </c>
      <c r="E29" s="168" t="s">
        <v>547</v>
      </c>
      <c r="F29" s="167">
        <v>32</v>
      </c>
      <c r="G29" s="167">
        <v>2</v>
      </c>
      <c r="H29" s="166"/>
      <c r="I29" s="166"/>
      <c r="J29" s="166"/>
      <c r="K29" s="166"/>
      <c r="L29" s="166"/>
      <c r="M29" s="166"/>
      <c r="N29" s="166"/>
      <c r="O29" s="166"/>
      <c r="P29" s="166">
        <v>2</v>
      </c>
      <c r="Q29" s="166">
        <v>32</v>
      </c>
      <c r="R29" s="166"/>
      <c r="S29" s="166"/>
      <c r="T29" s="166">
        <v>2</v>
      </c>
      <c r="U29" s="165">
        <v>32</v>
      </c>
    </row>
    <row r="30" spans="2:21" ht="17.25" thickBot="1">
      <c r="B30" s="445"/>
      <c r="C30" s="448"/>
      <c r="D30" s="449" t="s">
        <v>16</v>
      </c>
      <c r="E30" s="449"/>
      <c r="F30" s="164"/>
      <c r="G30" s="164"/>
      <c r="H30" s="163">
        <f>SUM(H26:H29)</f>
        <v>0</v>
      </c>
      <c r="I30" s="163">
        <f>SUM(I26:I29)</f>
        <v>0</v>
      </c>
      <c r="J30" s="163">
        <f>SUM(J26:J29)</f>
        <v>0</v>
      </c>
      <c r="K30" s="163">
        <f>SUM(K26:K29)</f>
        <v>0</v>
      </c>
      <c r="L30" s="163">
        <f>SUM(L22:L29)</f>
        <v>16</v>
      </c>
      <c r="M30" s="163">
        <f>SUM(M22:M29)</f>
        <v>256</v>
      </c>
      <c r="N30" s="163">
        <f>SUM(N25:N29)</f>
        <v>0</v>
      </c>
      <c r="O30" s="163">
        <f>SUM(O25:O29)</f>
        <v>0</v>
      </c>
      <c r="P30" s="163">
        <f t="shared" ref="P30:U30" si="3">SUM(P26:P29)</f>
        <v>10</v>
      </c>
      <c r="Q30" s="163">
        <f t="shared" si="3"/>
        <v>160</v>
      </c>
      <c r="R30" s="163">
        <f t="shared" si="3"/>
        <v>0</v>
      </c>
      <c r="S30" s="163">
        <f t="shared" si="3"/>
        <v>0</v>
      </c>
      <c r="T30" s="163">
        <f t="shared" si="3"/>
        <v>10</v>
      </c>
      <c r="U30" s="162">
        <f t="shared" si="3"/>
        <v>160</v>
      </c>
    </row>
  </sheetData>
  <mergeCells count="40"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F6:F8"/>
    <mergeCell ref="L6:O6"/>
    <mergeCell ref="P6:S6"/>
    <mergeCell ref="T6:T8"/>
    <mergeCell ref="U6:U8"/>
    <mergeCell ref="H7:I7"/>
    <mergeCell ref="J7:K7"/>
    <mergeCell ref="L7:M7"/>
    <mergeCell ref="N7:O7"/>
    <mergeCell ref="P7:Q7"/>
    <mergeCell ref="R7:S7"/>
    <mergeCell ref="G6:G8"/>
    <mergeCell ref="H6:K6"/>
    <mergeCell ref="B9:B15"/>
    <mergeCell ref="C9:C15"/>
    <mergeCell ref="D15:E15"/>
    <mergeCell ref="B16:B18"/>
    <mergeCell ref="C16:C18"/>
    <mergeCell ref="D18:E18"/>
    <mergeCell ref="B26:B30"/>
    <mergeCell ref="C26:C30"/>
    <mergeCell ref="D30:E30"/>
    <mergeCell ref="B19:B21"/>
    <mergeCell ref="C19:C21"/>
    <mergeCell ref="D21:E21"/>
    <mergeCell ref="B22:B25"/>
    <mergeCell ref="D25:E25"/>
    <mergeCell ref="C22:C25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59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197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334</v>
      </c>
      <c r="G2" s="5"/>
      <c r="H2" s="3" t="s">
        <v>74</v>
      </c>
      <c r="I2" s="3" t="s">
        <v>66</v>
      </c>
      <c r="J2" s="3" t="s">
        <v>162</v>
      </c>
      <c r="K2" s="3" t="s">
        <v>162</v>
      </c>
      <c r="L2" s="3" t="s">
        <v>123</v>
      </c>
    </row>
    <row r="3" spans="1:12">
      <c r="A3" s="3" t="s">
        <v>198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334</v>
      </c>
      <c r="G3" s="5"/>
      <c r="H3" s="3" t="s">
        <v>75</v>
      </c>
      <c r="I3" s="3" t="s">
        <v>67</v>
      </c>
      <c r="J3" s="3" t="s">
        <v>163</v>
      </c>
      <c r="K3" s="3" t="s">
        <v>163</v>
      </c>
      <c r="L3" s="3" t="s">
        <v>118</v>
      </c>
    </row>
    <row r="4" spans="1:12">
      <c r="A4" s="3" t="s">
        <v>200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336</v>
      </c>
      <c r="G4" s="5"/>
      <c r="H4" s="3" t="s">
        <v>76</v>
      </c>
      <c r="I4" s="3" t="s">
        <v>152</v>
      </c>
      <c r="J4" s="3" t="s">
        <v>93</v>
      </c>
      <c r="K4" s="3" t="s">
        <v>93</v>
      </c>
      <c r="L4" s="3" t="s">
        <v>119</v>
      </c>
    </row>
    <row r="5" spans="1:12">
      <c r="A5" s="3" t="s">
        <v>201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336</v>
      </c>
      <c r="G5" s="5"/>
      <c r="H5" s="3" t="s">
        <v>77</v>
      </c>
      <c r="I5" s="3" t="s">
        <v>153</v>
      </c>
      <c r="J5" s="3" t="s">
        <v>164</v>
      </c>
      <c r="K5" s="3" t="s">
        <v>164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336</v>
      </c>
      <c r="G6" s="5"/>
      <c r="H6" s="3" t="s">
        <v>78</v>
      </c>
      <c r="I6" s="3" t="s">
        <v>154</v>
      </c>
      <c r="J6" s="3" t="s">
        <v>165</v>
      </c>
      <c r="K6" s="3" t="s">
        <v>165</v>
      </c>
      <c r="L6" s="8"/>
    </row>
    <row r="7" spans="1:12">
      <c r="A7" s="3" t="s">
        <v>202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336</v>
      </c>
      <c r="G7" s="5"/>
      <c r="H7" s="3" t="s">
        <v>79</v>
      </c>
      <c r="I7" s="3" t="s">
        <v>160</v>
      </c>
      <c r="J7" s="3" t="s">
        <v>94</v>
      </c>
      <c r="K7" s="3" t="s">
        <v>94</v>
      </c>
      <c r="L7" s="5"/>
    </row>
    <row r="8" spans="1:12">
      <c r="A8" s="3" t="s">
        <v>203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336</v>
      </c>
      <c r="G8" s="5"/>
      <c r="H8" s="3" t="s">
        <v>80</v>
      </c>
      <c r="I8" s="3" t="s">
        <v>155</v>
      </c>
      <c r="J8" s="3" t="s">
        <v>166</v>
      </c>
      <c r="K8" s="3" t="s">
        <v>166</v>
      </c>
      <c r="L8" s="5"/>
    </row>
    <row r="9" spans="1:12">
      <c r="A9" s="3" t="s">
        <v>204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336</v>
      </c>
      <c r="G9" s="5"/>
      <c r="H9" s="3" t="s">
        <v>81</v>
      </c>
      <c r="I9" s="3" t="s">
        <v>68</v>
      </c>
      <c r="J9" s="3" t="s">
        <v>167</v>
      </c>
      <c r="K9" s="3" t="s">
        <v>167</v>
      </c>
      <c r="L9" s="5"/>
    </row>
    <row r="10" spans="1:12">
      <c r="A10" s="3" t="s">
        <v>205</v>
      </c>
      <c r="B10" s="3" t="s">
        <v>17</v>
      </c>
      <c r="C10" s="3" t="s">
        <v>21</v>
      </c>
      <c r="D10" s="3" t="s">
        <v>208</v>
      </c>
      <c r="E10" s="3">
        <v>4</v>
      </c>
      <c r="F10" s="7" t="s">
        <v>336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206</v>
      </c>
      <c r="B11" s="3" t="s">
        <v>17</v>
      </c>
      <c r="C11" s="3" t="s">
        <v>21</v>
      </c>
      <c r="D11" s="3" t="s">
        <v>208</v>
      </c>
      <c r="E11" s="3">
        <v>4</v>
      </c>
      <c r="F11" s="7" t="s">
        <v>336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207</v>
      </c>
      <c r="B12" s="3" t="s">
        <v>17</v>
      </c>
      <c r="C12" s="3" t="s">
        <v>21</v>
      </c>
      <c r="D12" s="3" t="s">
        <v>208</v>
      </c>
      <c r="E12" s="3">
        <v>4</v>
      </c>
      <c r="F12" s="7" t="s">
        <v>336</v>
      </c>
      <c r="G12" s="5"/>
      <c r="H12" s="3" t="s">
        <v>84</v>
      </c>
      <c r="I12" s="3" t="s">
        <v>156</v>
      </c>
      <c r="J12" s="3" t="s">
        <v>96</v>
      </c>
      <c r="K12" s="3" t="s">
        <v>96</v>
      </c>
      <c r="L12" s="5"/>
    </row>
    <row r="13" spans="1:12">
      <c r="A13" s="3" t="s">
        <v>209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334</v>
      </c>
      <c r="G13" s="5"/>
      <c r="H13" s="3" t="s">
        <v>85</v>
      </c>
      <c r="I13" s="3" t="s">
        <v>71</v>
      </c>
      <c r="J13" s="3" t="s">
        <v>168</v>
      </c>
      <c r="K13" s="3" t="s">
        <v>168</v>
      </c>
      <c r="L13" s="5"/>
    </row>
    <row r="14" spans="1:12">
      <c r="A14" s="3" t="s">
        <v>211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334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212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336</v>
      </c>
      <c r="G15" s="5"/>
      <c r="H15" s="3" t="s">
        <v>87</v>
      </c>
      <c r="I15" s="3" t="s">
        <v>157</v>
      </c>
      <c r="J15" s="3" t="s">
        <v>169</v>
      </c>
      <c r="K15" s="3" t="s">
        <v>169</v>
      </c>
      <c r="L15" s="5"/>
    </row>
    <row r="16" spans="1:12">
      <c r="A16" s="3" t="s">
        <v>213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336</v>
      </c>
      <c r="G16" s="5"/>
      <c r="H16" s="3" t="s">
        <v>88</v>
      </c>
      <c r="I16" s="3" t="s">
        <v>158</v>
      </c>
      <c r="J16" s="3" t="s">
        <v>170</v>
      </c>
      <c r="K16" s="3" t="s">
        <v>170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336</v>
      </c>
      <c r="G17" s="5"/>
      <c r="H17" s="3" t="s">
        <v>89</v>
      </c>
      <c r="I17" s="3" t="s">
        <v>159</v>
      </c>
      <c r="J17" s="3" t="s">
        <v>171</v>
      </c>
      <c r="K17" s="3" t="s">
        <v>171</v>
      </c>
      <c r="L17" s="5"/>
    </row>
    <row r="18" spans="1:12">
      <c r="A18" s="3" t="s">
        <v>214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336</v>
      </c>
      <c r="G18" s="5"/>
      <c r="H18" s="3" t="s">
        <v>90</v>
      </c>
      <c r="I18" s="3" t="s">
        <v>161</v>
      </c>
      <c r="J18" s="3" t="s">
        <v>172</v>
      </c>
      <c r="K18" s="3" t="s">
        <v>172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336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336</v>
      </c>
      <c r="G20" s="5"/>
      <c r="J20" s="3" t="s">
        <v>173</v>
      </c>
      <c r="K20" s="3" t="s">
        <v>173</v>
      </c>
      <c r="L20" s="5"/>
    </row>
    <row r="21" spans="1:12">
      <c r="A21" s="3" t="s">
        <v>215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336</v>
      </c>
      <c r="G21" s="5"/>
      <c r="J21" s="3" t="s">
        <v>98</v>
      </c>
      <c r="K21" s="3" t="s">
        <v>98</v>
      </c>
      <c r="L21" s="5"/>
    </row>
    <row r="22" spans="1:12">
      <c r="A22" s="3" t="s">
        <v>217</v>
      </c>
      <c r="B22" s="3" t="s">
        <v>17</v>
      </c>
      <c r="C22" s="3" t="s">
        <v>5</v>
      </c>
      <c r="D22" s="3" t="s">
        <v>218</v>
      </c>
      <c r="E22" s="3">
        <v>4</v>
      </c>
      <c r="F22" s="7" t="s">
        <v>336</v>
      </c>
      <c r="G22" s="5"/>
      <c r="H22" s="3"/>
      <c r="I22" s="3"/>
      <c r="J22" s="3" t="s">
        <v>174</v>
      </c>
      <c r="K22" s="3" t="s">
        <v>174</v>
      </c>
      <c r="L22" s="5"/>
    </row>
    <row r="23" spans="1:12">
      <c r="A23" s="3" t="s">
        <v>219</v>
      </c>
      <c r="B23" s="3" t="s">
        <v>17</v>
      </c>
      <c r="C23" s="3" t="s">
        <v>5</v>
      </c>
      <c r="D23" s="3" t="s">
        <v>208</v>
      </c>
      <c r="E23" s="3">
        <v>4</v>
      </c>
      <c r="F23" s="7" t="s">
        <v>336</v>
      </c>
      <c r="G23" s="5"/>
      <c r="H23" s="3"/>
      <c r="I23" s="3"/>
      <c r="J23" s="3" t="s">
        <v>175</v>
      </c>
      <c r="K23" s="3" t="s">
        <v>175</v>
      </c>
      <c r="L23" s="5"/>
    </row>
    <row r="24" spans="1:12">
      <c r="A24" s="3" t="s">
        <v>220</v>
      </c>
      <c r="B24" s="3" t="s">
        <v>17</v>
      </c>
      <c r="C24" s="3" t="s">
        <v>5</v>
      </c>
      <c r="D24" s="3" t="s">
        <v>208</v>
      </c>
      <c r="E24" s="3">
        <v>4</v>
      </c>
      <c r="F24" s="7" t="s">
        <v>336</v>
      </c>
      <c r="G24" s="5"/>
      <c r="H24" s="3"/>
      <c r="I24" s="3"/>
      <c r="J24" s="3" t="s">
        <v>176</v>
      </c>
      <c r="K24" s="3" t="s">
        <v>176</v>
      </c>
      <c r="L24" s="5"/>
    </row>
    <row r="25" spans="1:12">
      <c r="A25" s="3" t="s">
        <v>221</v>
      </c>
      <c r="B25" s="3" t="s">
        <v>17</v>
      </c>
      <c r="C25" s="3" t="s">
        <v>5</v>
      </c>
      <c r="D25" s="3" t="s">
        <v>208</v>
      </c>
      <c r="E25" s="3">
        <v>4</v>
      </c>
      <c r="F25" s="7" t="s">
        <v>336</v>
      </c>
      <c r="G25" s="5"/>
      <c r="H25" s="3"/>
      <c r="I25" s="3"/>
      <c r="J25" s="3" t="s">
        <v>177</v>
      </c>
      <c r="K25" s="3" t="s">
        <v>177</v>
      </c>
      <c r="L25" s="5"/>
    </row>
    <row r="26" spans="1:12">
      <c r="A26" s="3" t="s">
        <v>216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334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222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336</v>
      </c>
      <c r="G27" s="5"/>
      <c r="H27" s="5"/>
      <c r="I27" s="5"/>
      <c r="J27" s="3" t="s">
        <v>178</v>
      </c>
      <c r="K27" s="3" t="s">
        <v>178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336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336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336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336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223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336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224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336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225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336</v>
      </c>
      <c r="G34" s="5"/>
      <c r="H34" s="5"/>
      <c r="I34" s="5"/>
      <c r="J34" s="3" t="s">
        <v>179</v>
      </c>
      <c r="K34" s="3" t="s">
        <v>179</v>
      </c>
      <c r="L34" s="5"/>
    </row>
    <row r="35" spans="1:12">
      <c r="A35" s="3" t="s">
        <v>226</v>
      </c>
      <c r="B35" s="3" t="s">
        <v>17</v>
      </c>
      <c r="C35" s="3" t="s">
        <v>6</v>
      </c>
      <c r="D35" s="3" t="s">
        <v>218</v>
      </c>
      <c r="E35" s="3">
        <v>4</v>
      </c>
      <c r="F35" s="7" t="s">
        <v>336</v>
      </c>
      <c r="G35" s="5"/>
      <c r="H35" s="5"/>
      <c r="I35" s="5"/>
      <c r="J35" s="3" t="s">
        <v>180</v>
      </c>
      <c r="K35" s="3" t="s">
        <v>180</v>
      </c>
      <c r="L35" s="5"/>
    </row>
    <row r="36" spans="1:12">
      <c r="A36" s="3" t="s">
        <v>227</v>
      </c>
      <c r="B36" s="3" t="s">
        <v>17</v>
      </c>
      <c r="C36" s="3" t="s">
        <v>6</v>
      </c>
      <c r="D36" s="3" t="s">
        <v>208</v>
      </c>
      <c r="E36" s="3">
        <v>4</v>
      </c>
      <c r="F36" s="7" t="s">
        <v>336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228</v>
      </c>
      <c r="B37" s="3" t="s">
        <v>17</v>
      </c>
      <c r="C37" s="3" t="s">
        <v>6</v>
      </c>
      <c r="D37" s="3" t="s">
        <v>208</v>
      </c>
      <c r="E37" s="3">
        <v>4</v>
      </c>
      <c r="F37" s="7" t="s">
        <v>336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229</v>
      </c>
      <c r="B38" s="3" t="s">
        <v>17</v>
      </c>
      <c r="C38" s="3" t="s">
        <v>6</v>
      </c>
      <c r="D38" s="3" t="s">
        <v>208</v>
      </c>
      <c r="E38" s="3">
        <v>4</v>
      </c>
      <c r="F38" s="7" t="s">
        <v>336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230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361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231</v>
      </c>
      <c r="B40" s="3" t="s">
        <v>17</v>
      </c>
      <c r="C40" s="3" t="s">
        <v>7</v>
      </c>
      <c r="D40" s="3" t="s">
        <v>232</v>
      </c>
      <c r="E40" s="3">
        <v>3</v>
      </c>
      <c r="F40" s="7" t="s">
        <v>361</v>
      </c>
      <c r="G40" s="5"/>
      <c r="H40" s="5"/>
      <c r="I40" s="5"/>
      <c r="J40" s="3" t="s">
        <v>181</v>
      </c>
      <c r="K40" s="3" t="s">
        <v>181</v>
      </c>
      <c r="L40" s="5"/>
    </row>
    <row r="41" spans="1:12" ht="17.25" customHeight="1">
      <c r="A41" s="3" t="s">
        <v>233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334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234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334</v>
      </c>
      <c r="G42" s="5"/>
      <c r="H42" s="5"/>
      <c r="I42" s="5"/>
      <c r="J42" s="3" t="s">
        <v>182</v>
      </c>
      <c r="K42" s="3" t="s">
        <v>182</v>
      </c>
      <c r="L42" s="5"/>
    </row>
    <row r="43" spans="1:12" ht="17.25" customHeight="1">
      <c r="A43" s="3" t="s">
        <v>246</v>
      </c>
      <c r="B43" s="3" t="s">
        <v>17</v>
      </c>
      <c r="C43" s="3" t="s">
        <v>25</v>
      </c>
      <c r="D43" s="3" t="s">
        <v>250</v>
      </c>
      <c r="E43" s="3">
        <v>4</v>
      </c>
      <c r="F43" s="7" t="s">
        <v>336</v>
      </c>
      <c r="G43" s="5"/>
      <c r="H43" s="5"/>
      <c r="I43" s="5"/>
      <c r="J43" s="3" t="s">
        <v>183</v>
      </c>
      <c r="K43" s="3" t="s">
        <v>183</v>
      </c>
      <c r="L43" s="5"/>
    </row>
    <row r="44" spans="1:12" ht="17.25" customHeight="1">
      <c r="A44" s="3" t="s">
        <v>247</v>
      </c>
      <c r="B44" s="3" t="s">
        <v>17</v>
      </c>
      <c r="C44" s="3" t="s">
        <v>25</v>
      </c>
      <c r="D44" s="3" t="s">
        <v>250</v>
      </c>
      <c r="E44" s="3">
        <v>4</v>
      </c>
      <c r="F44" s="7" t="s">
        <v>336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248</v>
      </c>
      <c r="B45" s="3" t="s">
        <v>17</v>
      </c>
      <c r="C45" s="3" t="s">
        <v>25</v>
      </c>
      <c r="D45" s="3" t="s">
        <v>250</v>
      </c>
      <c r="E45" s="3">
        <v>4</v>
      </c>
      <c r="F45" s="7" t="s">
        <v>336</v>
      </c>
      <c r="G45" s="5"/>
      <c r="H45" s="5"/>
      <c r="I45" s="5"/>
      <c r="J45" s="3" t="s">
        <v>184</v>
      </c>
      <c r="K45" s="3" t="s">
        <v>184</v>
      </c>
      <c r="L45" s="5"/>
    </row>
    <row r="46" spans="1:12" ht="17.25" customHeight="1">
      <c r="A46" s="3" t="s">
        <v>249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336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235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336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236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336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237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336</v>
      </c>
      <c r="G49" s="5"/>
      <c r="H49" s="5"/>
      <c r="I49" s="5"/>
      <c r="J49" s="5" t="s">
        <v>185</v>
      </c>
      <c r="K49" s="5" t="s">
        <v>185</v>
      </c>
      <c r="L49" s="5"/>
    </row>
    <row r="50" spans="1:12">
      <c r="A50" s="3" t="s">
        <v>238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336</v>
      </c>
      <c r="G50" s="5"/>
      <c r="H50" s="5"/>
      <c r="I50" s="5"/>
      <c r="J50" s="5" t="s">
        <v>186</v>
      </c>
      <c r="K50" s="5" t="s">
        <v>186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336</v>
      </c>
      <c r="G51" s="5"/>
      <c r="H51" s="5"/>
      <c r="I51" s="5"/>
      <c r="J51" s="5" t="s">
        <v>187</v>
      </c>
      <c r="K51" s="5" t="s">
        <v>187</v>
      </c>
      <c r="L51" s="5"/>
    </row>
    <row r="52" spans="1:12">
      <c r="A52" s="3" t="s">
        <v>239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336</v>
      </c>
      <c r="G52" s="5"/>
      <c r="H52" s="5"/>
      <c r="I52" s="5"/>
      <c r="J52" s="5" t="s">
        <v>188</v>
      </c>
      <c r="K52" s="5" t="s">
        <v>188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336</v>
      </c>
      <c r="G53" s="5"/>
      <c r="H53" s="5"/>
      <c r="I53" s="5"/>
      <c r="J53" s="5" t="s">
        <v>189</v>
      </c>
      <c r="K53" s="5" t="s">
        <v>189</v>
      </c>
      <c r="L53" s="5"/>
    </row>
    <row r="54" spans="1:12">
      <c r="A54" s="3" t="s">
        <v>240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336</v>
      </c>
      <c r="G54" s="5"/>
      <c r="H54" s="5"/>
      <c r="I54" s="5"/>
      <c r="J54" s="5" t="s">
        <v>190</v>
      </c>
      <c r="K54" s="5" t="s">
        <v>190</v>
      </c>
      <c r="L54" s="5"/>
    </row>
    <row r="55" spans="1:12">
      <c r="A55" s="3" t="s">
        <v>241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336</v>
      </c>
      <c r="G55" s="5"/>
      <c r="H55" s="5"/>
      <c r="I55" s="5"/>
      <c r="J55" s="5" t="s">
        <v>192</v>
      </c>
      <c r="K55" s="5" t="s">
        <v>192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208</v>
      </c>
      <c r="E56" s="3">
        <v>4</v>
      </c>
      <c r="F56" s="7" t="s">
        <v>336</v>
      </c>
      <c r="G56" s="5"/>
      <c r="H56" s="5"/>
      <c r="I56" s="5"/>
      <c r="J56" s="5" t="s">
        <v>191</v>
      </c>
      <c r="K56" s="5" t="s">
        <v>191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208</v>
      </c>
      <c r="E57" s="3">
        <v>4</v>
      </c>
      <c r="F57" s="7" t="s">
        <v>336</v>
      </c>
      <c r="G57" s="5"/>
      <c r="H57" s="5"/>
      <c r="I57" s="5"/>
      <c r="J57" s="5" t="s">
        <v>193</v>
      </c>
      <c r="K57" s="5" t="s">
        <v>193</v>
      </c>
      <c r="L57" s="5"/>
    </row>
    <row r="58" spans="1:12">
      <c r="A58" s="3" t="s">
        <v>242</v>
      </c>
      <c r="B58" s="3" t="s">
        <v>17</v>
      </c>
      <c r="C58" s="3" t="s">
        <v>25</v>
      </c>
      <c r="D58" s="3" t="s">
        <v>208</v>
      </c>
      <c r="E58" s="3">
        <v>4</v>
      </c>
      <c r="F58" s="7" t="s">
        <v>336</v>
      </c>
      <c r="G58" s="5"/>
      <c r="H58" s="5"/>
      <c r="I58" s="5"/>
      <c r="J58" s="5" t="s">
        <v>194</v>
      </c>
      <c r="K58" s="5" t="s">
        <v>194</v>
      </c>
      <c r="L58" s="5"/>
    </row>
    <row r="59" spans="1:12">
      <c r="A59" s="3" t="s">
        <v>243</v>
      </c>
      <c r="B59" s="3" t="s">
        <v>17</v>
      </c>
      <c r="C59" s="3" t="s">
        <v>25</v>
      </c>
      <c r="D59" s="3" t="s">
        <v>208</v>
      </c>
      <c r="E59" s="3">
        <v>4</v>
      </c>
      <c r="F59" s="7" t="s">
        <v>336</v>
      </c>
      <c r="G59" s="5"/>
      <c r="H59" s="5"/>
      <c r="I59" s="5"/>
      <c r="J59" s="5" t="s">
        <v>195</v>
      </c>
      <c r="K59" s="5" t="s">
        <v>195</v>
      </c>
      <c r="L59" s="5"/>
    </row>
    <row r="60" spans="1:12">
      <c r="A60" s="3" t="s">
        <v>244</v>
      </c>
      <c r="B60" s="3" t="s">
        <v>17</v>
      </c>
      <c r="C60" s="3" t="s">
        <v>25</v>
      </c>
      <c r="D60" s="3" t="s">
        <v>208</v>
      </c>
      <c r="E60" s="3">
        <v>4</v>
      </c>
      <c r="F60" s="7" t="s">
        <v>336</v>
      </c>
      <c r="G60" s="5"/>
      <c r="H60" s="5"/>
      <c r="I60" s="5"/>
      <c r="J60" s="3"/>
      <c r="K60" s="3"/>
      <c r="L60" s="5"/>
    </row>
    <row r="61" spans="1:12">
      <c r="A61" s="3" t="s">
        <v>245</v>
      </c>
      <c r="B61" s="3" t="s">
        <v>17</v>
      </c>
      <c r="C61" s="3" t="s">
        <v>25</v>
      </c>
      <c r="D61" s="3" t="s">
        <v>208</v>
      </c>
      <c r="E61" s="3">
        <v>4</v>
      </c>
      <c r="F61" s="7" t="s">
        <v>336</v>
      </c>
      <c r="G61" s="5"/>
      <c r="H61" s="5"/>
      <c r="I61" s="5"/>
      <c r="J61" s="3"/>
      <c r="K61" s="3"/>
      <c r="L61" s="5"/>
    </row>
    <row r="62" spans="1:12">
      <c r="A62" s="3" t="s">
        <v>251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334</v>
      </c>
      <c r="G62" s="5"/>
      <c r="H62" s="5"/>
      <c r="I62" s="5"/>
      <c r="L62" s="5"/>
    </row>
    <row r="63" spans="1:12">
      <c r="A63" s="3" t="s">
        <v>252</v>
      </c>
      <c r="B63" s="3" t="s">
        <v>17</v>
      </c>
      <c r="C63" s="3" t="s">
        <v>26</v>
      </c>
      <c r="D63" s="3" t="s">
        <v>232</v>
      </c>
      <c r="E63" s="3">
        <v>4</v>
      </c>
      <c r="F63" s="7" t="s">
        <v>334</v>
      </c>
      <c r="G63" s="5"/>
      <c r="H63" s="5"/>
      <c r="I63" s="5"/>
      <c r="J63" s="3"/>
      <c r="K63" s="3"/>
      <c r="L63" s="5"/>
    </row>
    <row r="64" spans="1:12">
      <c r="A64" s="3" t="s">
        <v>253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334</v>
      </c>
      <c r="G64" s="5"/>
      <c r="H64" s="5"/>
      <c r="I64" s="5"/>
      <c r="L64" s="5"/>
    </row>
    <row r="65" spans="1:12">
      <c r="A65" s="3" t="s">
        <v>254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334</v>
      </c>
      <c r="G65" s="5"/>
      <c r="H65" s="5"/>
      <c r="I65" s="5"/>
      <c r="J65" s="3"/>
      <c r="K65" s="3"/>
      <c r="L65" s="5"/>
    </row>
    <row r="66" spans="1:12">
      <c r="A66" s="3" t="s">
        <v>255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336</v>
      </c>
      <c r="G66" s="5"/>
      <c r="H66" s="5"/>
      <c r="I66" s="5"/>
      <c r="J66" s="3"/>
      <c r="K66" s="3"/>
      <c r="L66" s="5"/>
    </row>
    <row r="67" spans="1:12">
      <c r="A67" s="3" t="s">
        <v>256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336</v>
      </c>
      <c r="G67" s="5"/>
      <c r="H67" s="5"/>
      <c r="I67" s="5"/>
      <c r="J67" s="3"/>
      <c r="K67" s="3"/>
      <c r="L67" s="5"/>
    </row>
    <row r="68" spans="1:12">
      <c r="A68" s="3" t="s">
        <v>257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336</v>
      </c>
      <c r="G68" s="5"/>
      <c r="H68" s="5"/>
      <c r="I68" s="5"/>
      <c r="J68" s="3"/>
      <c r="K68" s="3"/>
      <c r="L68" s="5"/>
    </row>
    <row r="69" spans="1:12">
      <c r="A69" s="3" t="s">
        <v>258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336</v>
      </c>
      <c r="G69" s="5"/>
      <c r="H69" s="5"/>
      <c r="I69" s="5"/>
      <c r="L69" s="5"/>
    </row>
    <row r="70" spans="1:12">
      <c r="A70" s="3" t="s">
        <v>259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336</v>
      </c>
      <c r="G70" s="5"/>
      <c r="H70" s="5"/>
      <c r="I70" s="5"/>
      <c r="L70" s="5"/>
    </row>
    <row r="71" spans="1:12">
      <c r="A71" s="3" t="s">
        <v>260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336</v>
      </c>
      <c r="G71" s="5"/>
      <c r="H71" s="5"/>
      <c r="I71" s="5"/>
      <c r="L71" s="5"/>
    </row>
    <row r="72" spans="1:12">
      <c r="A72" s="3" t="s">
        <v>261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336</v>
      </c>
      <c r="G72" s="5"/>
      <c r="H72" s="5"/>
      <c r="I72" s="5"/>
      <c r="L72" s="5"/>
    </row>
    <row r="73" spans="1:12">
      <c r="A73" s="3" t="s">
        <v>262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336</v>
      </c>
      <c r="G73" s="5"/>
      <c r="H73" s="5"/>
      <c r="I73" s="5"/>
      <c r="L73" s="5"/>
    </row>
    <row r="74" spans="1:12">
      <c r="A74" s="3" t="s">
        <v>263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336</v>
      </c>
      <c r="G74" s="5"/>
      <c r="H74" s="5"/>
      <c r="I74" s="5"/>
      <c r="L74" s="5"/>
    </row>
    <row r="75" spans="1:12">
      <c r="A75" s="3" t="s">
        <v>264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336</v>
      </c>
      <c r="G75" s="5"/>
      <c r="H75" s="5"/>
      <c r="I75" s="5"/>
      <c r="L75" s="5"/>
    </row>
    <row r="76" spans="1:12">
      <c r="A76" s="3" t="s">
        <v>265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336</v>
      </c>
      <c r="G76" s="5"/>
      <c r="H76" s="5"/>
      <c r="I76" s="5"/>
      <c r="L76" s="5"/>
    </row>
    <row r="77" spans="1:12">
      <c r="A77" s="3" t="s">
        <v>266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336</v>
      </c>
      <c r="G77" s="5"/>
      <c r="H77" s="5"/>
      <c r="I77" s="5"/>
      <c r="L77" s="5"/>
    </row>
    <row r="78" spans="1:12">
      <c r="A78" s="3" t="s">
        <v>267</v>
      </c>
      <c r="B78" s="3" t="s">
        <v>17</v>
      </c>
      <c r="C78" s="3" t="s">
        <v>26</v>
      </c>
      <c r="D78" s="3" t="s">
        <v>270</v>
      </c>
      <c r="E78" s="3">
        <v>4</v>
      </c>
      <c r="F78" s="7" t="s">
        <v>336</v>
      </c>
      <c r="G78" s="5"/>
      <c r="H78" s="5"/>
      <c r="I78" s="5"/>
      <c r="L78" s="5"/>
    </row>
    <row r="79" spans="1:12">
      <c r="A79" s="3" t="s">
        <v>268</v>
      </c>
      <c r="B79" s="3" t="s">
        <v>17</v>
      </c>
      <c r="C79" s="3" t="s">
        <v>26</v>
      </c>
      <c r="D79" s="3" t="s">
        <v>208</v>
      </c>
      <c r="E79" s="3">
        <v>4</v>
      </c>
      <c r="F79" s="7" t="s">
        <v>336</v>
      </c>
      <c r="G79" s="5"/>
      <c r="H79" s="5"/>
      <c r="I79" s="5"/>
      <c r="L79" s="5"/>
    </row>
    <row r="80" spans="1:12">
      <c r="A80" s="3" t="s">
        <v>269</v>
      </c>
      <c r="B80" s="3" t="s">
        <v>17</v>
      </c>
      <c r="C80" s="3" t="s">
        <v>26</v>
      </c>
      <c r="D80" s="3" t="s">
        <v>208</v>
      </c>
      <c r="E80" s="3">
        <v>4</v>
      </c>
      <c r="F80" s="7" t="s">
        <v>336</v>
      </c>
      <c r="G80" s="5"/>
      <c r="H80" s="5"/>
      <c r="I80" s="5"/>
      <c r="L80" s="5"/>
    </row>
    <row r="81" spans="1:12">
      <c r="A81" s="3" t="s">
        <v>271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342</v>
      </c>
      <c r="G81" s="5"/>
      <c r="H81" s="5"/>
      <c r="I81" s="5"/>
      <c r="L81" s="5"/>
    </row>
    <row r="82" spans="1:12">
      <c r="A82" s="3" t="s">
        <v>272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342</v>
      </c>
      <c r="G82" s="5"/>
      <c r="H82" s="5"/>
      <c r="I82" s="5"/>
      <c r="L82" s="5"/>
    </row>
    <row r="83" spans="1:12">
      <c r="A83" s="3" t="s">
        <v>273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342</v>
      </c>
      <c r="G83" s="5"/>
      <c r="H83" s="5"/>
      <c r="I83" s="5"/>
      <c r="L83" s="5"/>
    </row>
    <row r="84" spans="1:12">
      <c r="A84" s="3" t="s">
        <v>274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342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346</v>
      </c>
      <c r="G85" s="5"/>
      <c r="H85" s="5"/>
      <c r="I85" s="5"/>
      <c r="J85" s="5"/>
      <c r="K85" s="5"/>
      <c r="L85" s="5"/>
    </row>
    <row r="86" spans="1:12">
      <c r="A86" s="3" t="s">
        <v>275</v>
      </c>
      <c r="B86" s="3" t="s">
        <v>17</v>
      </c>
      <c r="C86" s="3" t="s">
        <v>8</v>
      </c>
      <c r="D86" s="3" t="s">
        <v>208</v>
      </c>
      <c r="E86" s="3">
        <v>3</v>
      </c>
      <c r="F86" s="7" t="s">
        <v>342</v>
      </c>
      <c r="G86" s="5"/>
      <c r="H86" s="5"/>
      <c r="I86" s="5"/>
      <c r="J86" s="5"/>
      <c r="K86" s="5"/>
      <c r="L86" s="5"/>
    </row>
    <row r="87" spans="1:12">
      <c r="A87" s="3" t="s">
        <v>276</v>
      </c>
      <c r="B87" s="3" t="s">
        <v>17</v>
      </c>
      <c r="C87" s="3" t="s">
        <v>8</v>
      </c>
      <c r="D87" s="3" t="s">
        <v>208</v>
      </c>
      <c r="E87" s="3">
        <v>2</v>
      </c>
      <c r="F87" s="7" t="s">
        <v>346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342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342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342</v>
      </c>
      <c r="G90" s="5"/>
      <c r="H90" s="5"/>
      <c r="I90" s="5"/>
      <c r="J90" s="5"/>
      <c r="K90" s="5"/>
      <c r="L90" s="5"/>
    </row>
    <row r="91" spans="1:12">
      <c r="A91" s="3" t="s">
        <v>277</v>
      </c>
      <c r="B91" s="3" t="s">
        <v>17</v>
      </c>
      <c r="C91" s="3" t="s">
        <v>28</v>
      </c>
      <c r="D91" s="3" t="s">
        <v>218</v>
      </c>
      <c r="E91" s="3">
        <v>3</v>
      </c>
      <c r="F91" s="7" t="s">
        <v>342</v>
      </c>
      <c r="G91" s="5"/>
      <c r="H91" s="5"/>
      <c r="I91" s="5"/>
      <c r="J91" s="5"/>
      <c r="K91" s="5"/>
      <c r="L91" s="5"/>
    </row>
    <row r="92" spans="1:12">
      <c r="A92" s="3" t="s">
        <v>278</v>
      </c>
      <c r="B92" s="3" t="s">
        <v>17</v>
      </c>
      <c r="C92" s="3" t="s">
        <v>28</v>
      </c>
      <c r="D92" s="3" t="s">
        <v>218</v>
      </c>
      <c r="E92" s="3">
        <v>3</v>
      </c>
      <c r="F92" s="7" t="s">
        <v>342</v>
      </c>
      <c r="G92" s="5"/>
      <c r="H92" s="5"/>
      <c r="I92" s="5"/>
      <c r="J92" s="5"/>
      <c r="K92" s="5"/>
      <c r="L92" s="5"/>
    </row>
    <row r="93" spans="1:12">
      <c r="A93" s="3" t="s">
        <v>279</v>
      </c>
      <c r="B93" s="3" t="s">
        <v>17</v>
      </c>
      <c r="C93" s="3" t="s">
        <v>28</v>
      </c>
      <c r="D93" s="3" t="s">
        <v>218</v>
      </c>
      <c r="E93" s="3">
        <v>3</v>
      </c>
      <c r="F93" s="7" t="s">
        <v>342</v>
      </c>
      <c r="G93" s="5"/>
      <c r="H93" s="5"/>
      <c r="I93" s="5"/>
      <c r="J93" s="5"/>
      <c r="K93" s="5"/>
      <c r="L93" s="5"/>
    </row>
    <row r="94" spans="1:12">
      <c r="A94" s="3" t="s">
        <v>280</v>
      </c>
      <c r="B94" s="3" t="s">
        <v>17</v>
      </c>
      <c r="C94" s="3" t="s">
        <v>28</v>
      </c>
      <c r="D94" s="3" t="s">
        <v>218</v>
      </c>
      <c r="E94" s="3">
        <v>3</v>
      </c>
      <c r="F94" s="7" t="s">
        <v>342</v>
      </c>
      <c r="G94" s="5"/>
      <c r="H94" s="5"/>
      <c r="I94" s="5"/>
      <c r="J94" s="5"/>
      <c r="K94" s="5"/>
      <c r="L94" s="5"/>
    </row>
    <row r="95" spans="1:12">
      <c r="A95" s="3" t="s">
        <v>281</v>
      </c>
      <c r="B95" s="3" t="s">
        <v>17</v>
      </c>
      <c r="C95" s="3" t="s">
        <v>28</v>
      </c>
      <c r="D95" s="3" t="s">
        <v>208</v>
      </c>
      <c r="E95" s="3">
        <v>3</v>
      </c>
      <c r="F95" s="7" t="s">
        <v>342</v>
      </c>
      <c r="G95" s="5"/>
      <c r="H95" s="5"/>
      <c r="I95" s="5"/>
      <c r="J95" s="5"/>
      <c r="K95" s="5"/>
      <c r="L95" s="5"/>
    </row>
    <row r="96" spans="1:12">
      <c r="A96" s="3" t="s">
        <v>282</v>
      </c>
      <c r="B96" s="3" t="s">
        <v>17</v>
      </c>
      <c r="C96" s="3" t="s">
        <v>28</v>
      </c>
      <c r="D96" s="3" t="s">
        <v>208</v>
      </c>
      <c r="E96" s="3">
        <v>3</v>
      </c>
      <c r="F96" s="7" t="s">
        <v>342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336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336</v>
      </c>
      <c r="G98" s="5"/>
      <c r="H98" s="5"/>
      <c r="I98" s="5"/>
      <c r="J98" s="5"/>
      <c r="K98" s="5"/>
      <c r="L98" s="5"/>
    </row>
    <row r="99" spans="1:12">
      <c r="A99" s="3" t="s">
        <v>283</v>
      </c>
      <c r="B99" s="3" t="s">
        <v>17</v>
      </c>
      <c r="C99" s="3" t="s">
        <v>10</v>
      </c>
      <c r="D99" s="3" t="s">
        <v>218</v>
      </c>
      <c r="E99" s="3">
        <v>4</v>
      </c>
      <c r="F99" s="7" t="s">
        <v>336</v>
      </c>
      <c r="G99" s="5"/>
      <c r="H99" s="5"/>
      <c r="I99" s="5"/>
      <c r="J99" s="5"/>
      <c r="K99" s="5"/>
      <c r="L99" s="5"/>
    </row>
    <row r="100" spans="1:12">
      <c r="A100" s="3" t="s">
        <v>284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336</v>
      </c>
      <c r="G100" s="5"/>
      <c r="H100" s="5"/>
      <c r="I100" s="5"/>
      <c r="J100" s="5"/>
      <c r="K100" s="5"/>
      <c r="L100" s="5"/>
    </row>
    <row r="101" spans="1:12">
      <c r="A101" s="3" t="s">
        <v>285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336</v>
      </c>
      <c r="G101" s="5"/>
      <c r="H101" s="5"/>
      <c r="I101" s="5"/>
      <c r="J101" s="5"/>
      <c r="K101" s="5"/>
      <c r="L101" s="5"/>
    </row>
    <row r="102" spans="1:12">
      <c r="A102" s="3" t="s">
        <v>286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336</v>
      </c>
      <c r="G102" s="5"/>
      <c r="H102" s="5"/>
      <c r="I102" s="5"/>
      <c r="J102" s="5"/>
      <c r="K102" s="5"/>
      <c r="L102" s="5"/>
    </row>
    <row r="103" spans="1:12">
      <c r="A103" s="3" t="s">
        <v>287</v>
      </c>
      <c r="B103" s="3" t="s">
        <v>17</v>
      </c>
      <c r="C103" s="3" t="s">
        <v>10</v>
      </c>
      <c r="D103" s="3" t="s">
        <v>208</v>
      </c>
      <c r="E103" s="3">
        <v>4</v>
      </c>
      <c r="F103" s="7" t="s">
        <v>336</v>
      </c>
      <c r="G103" s="5"/>
      <c r="H103" s="5"/>
      <c r="I103" s="5"/>
      <c r="J103" s="5"/>
      <c r="K103" s="5"/>
      <c r="L103" s="5"/>
    </row>
    <row r="104" spans="1:12">
      <c r="A104" s="3" t="s">
        <v>288</v>
      </c>
      <c r="B104" s="3" t="s">
        <v>17</v>
      </c>
      <c r="C104" s="3" t="s">
        <v>10</v>
      </c>
      <c r="D104" s="3" t="s">
        <v>208</v>
      </c>
      <c r="E104" s="3">
        <v>4</v>
      </c>
      <c r="F104" s="7" t="s">
        <v>336</v>
      </c>
      <c r="G104" s="5"/>
      <c r="H104" s="5"/>
      <c r="I104" s="5"/>
      <c r="J104" s="5"/>
      <c r="K104" s="5"/>
      <c r="L104" s="5"/>
    </row>
    <row r="105" spans="1:12">
      <c r="A105" s="3" t="s">
        <v>289</v>
      </c>
      <c r="B105" s="3" t="s">
        <v>17</v>
      </c>
      <c r="C105" s="3" t="s">
        <v>10</v>
      </c>
      <c r="D105" s="3" t="s">
        <v>208</v>
      </c>
      <c r="E105" s="3">
        <v>4</v>
      </c>
      <c r="F105" s="7" t="s">
        <v>336</v>
      </c>
      <c r="G105" s="5"/>
      <c r="H105" s="5"/>
      <c r="I105" s="5"/>
      <c r="J105" s="5"/>
      <c r="K105" s="5"/>
      <c r="L105" s="5"/>
    </row>
    <row r="106" spans="1:12">
      <c r="A106" s="3" t="s">
        <v>290</v>
      </c>
      <c r="B106" s="3" t="s">
        <v>17</v>
      </c>
      <c r="C106" s="3" t="s">
        <v>10</v>
      </c>
      <c r="D106" s="3" t="s">
        <v>208</v>
      </c>
      <c r="E106" s="3">
        <v>2</v>
      </c>
      <c r="F106" s="7" t="s">
        <v>346</v>
      </c>
      <c r="G106" s="5"/>
      <c r="H106" s="5"/>
      <c r="I106" s="5"/>
      <c r="J106" s="5"/>
      <c r="K106" s="5"/>
      <c r="L106" s="5"/>
    </row>
    <row r="107" spans="1:12">
      <c r="A107" s="3" t="s">
        <v>291</v>
      </c>
      <c r="B107" s="3" t="s">
        <v>17</v>
      </c>
      <c r="C107" s="3" t="s">
        <v>10</v>
      </c>
      <c r="D107" s="3" t="s">
        <v>208</v>
      </c>
      <c r="E107" s="3">
        <v>4</v>
      </c>
      <c r="F107" s="7" t="s">
        <v>336</v>
      </c>
      <c r="G107" s="5"/>
      <c r="H107" s="5"/>
      <c r="I107" s="5"/>
      <c r="J107" s="5"/>
      <c r="K107" s="5"/>
      <c r="L107" s="5"/>
    </row>
    <row r="108" spans="1:12">
      <c r="A108" s="3" t="s">
        <v>292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336</v>
      </c>
      <c r="G108" s="5"/>
      <c r="H108" s="5"/>
      <c r="I108" s="5"/>
      <c r="J108" s="5"/>
      <c r="K108" s="5"/>
      <c r="L108" s="5"/>
    </row>
    <row r="109" spans="1:12">
      <c r="A109" s="3" t="s">
        <v>293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336</v>
      </c>
      <c r="G109" s="5"/>
      <c r="H109" s="5"/>
      <c r="I109" s="5"/>
      <c r="J109" s="5"/>
      <c r="K109" s="5"/>
      <c r="L109" s="5"/>
    </row>
    <row r="110" spans="1:12">
      <c r="A110" s="3" t="s">
        <v>294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336</v>
      </c>
      <c r="G110" s="5"/>
      <c r="H110" s="5"/>
      <c r="I110" s="5"/>
      <c r="J110" s="5"/>
      <c r="K110" s="5"/>
      <c r="L110" s="5"/>
    </row>
    <row r="111" spans="1:12">
      <c r="A111" s="3" t="s">
        <v>295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336</v>
      </c>
      <c r="G111" s="5"/>
      <c r="H111" s="5"/>
      <c r="I111" s="5"/>
      <c r="J111" s="5"/>
      <c r="K111" s="5"/>
      <c r="L111" s="5"/>
    </row>
    <row r="112" spans="1:12">
      <c r="A112" s="3" t="s">
        <v>296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336</v>
      </c>
      <c r="G112" s="5"/>
      <c r="H112" s="5"/>
      <c r="I112" s="5"/>
      <c r="J112" s="5"/>
      <c r="K112" s="5"/>
      <c r="L112" s="5"/>
    </row>
    <row r="113" spans="1:12">
      <c r="A113" s="3" t="s">
        <v>297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336</v>
      </c>
      <c r="G113" s="5"/>
      <c r="H113" s="5"/>
      <c r="I113" s="5"/>
      <c r="J113" s="5"/>
      <c r="K113" s="5"/>
      <c r="L113" s="5"/>
    </row>
    <row r="114" spans="1:12">
      <c r="A114" s="3" t="s">
        <v>298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336</v>
      </c>
      <c r="G114" s="5"/>
      <c r="H114" s="5"/>
      <c r="I114" s="5"/>
      <c r="J114" s="5"/>
      <c r="K114" s="5"/>
      <c r="L114" s="5"/>
    </row>
    <row r="115" spans="1:12">
      <c r="A115" s="3" t="s">
        <v>299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336</v>
      </c>
      <c r="G115" s="5"/>
      <c r="H115" s="5"/>
      <c r="I115" s="5"/>
      <c r="J115" s="5"/>
      <c r="K115" s="5"/>
      <c r="L115" s="5"/>
    </row>
    <row r="116" spans="1:12">
      <c r="A116" s="3" t="s">
        <v>300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336</v>
      </c>
      <c r="G116" s="5"/>
      <c r="H116" s="5"/>
      <c r="I116" s="5"/>
      <c r="J116" s="5"/>
      <c r="K116" s="5"/>
      <c r="L116" s="5"/>
    </row>
    <row r="117" spans="1:12">
      <c r="A117" s="3" t="s">
        <v>301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336</v>
      </c>
      <c r="G117" s="5"/>
      <c r="H117" s="5"/>
      <c r="I117" s="5"/>
      <c r="J117" s="5"/>
      <c r="K117" s="5"/>
      <c r="L117" s="5"/>
    </row>
    <row r="118" spans="1:12">
      <c r="A118" s="3" t="s">
        <v>302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336</v>
      </c>
      <c r="G118" s="5"/>
      <c r="H118" s="5"/>
      <c r="I118" s="5"/>
      <c r="J118" s="5"/>
      <c r="K118" s="5"/>
      <c r="L118" s="5"/>
    </row>
    <row r="119" spans="1:12">
      <c r="A119" s="3" t="s">
        <v>303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336</v>
      </c>
      <c r="G119" s="5"/>
      <c r="H119" s="5"/>
      <c r="I119" s="5"/>
      <c r="J119" s="5"/>
      <c r="K119" s="5"/>
      <c r="L119" s="5"/>
    </row>
    <row r="120" spans="1:12">
      <c r="A120" s="3" t="s">
        <v>304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336</v>
      </c>
      <c r="G120" s="5"/>
      <c r="H120" s="5"/>
      <c r="I120" s="5"/>
      <c r="J120" s="5"/>
      <c r="K120" s="5"/>
      <c r="L120" s="5"/>
    </row>
    <row r="121" spans="1:12">
      <c r="A121" s="3" t="s">
        <v>305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336</v>
      </c>
      <c r="G121" s="5"/>
      <c r="H121" s="5"/>
      <c r="I121" s="5"/>
      <c r="J121" s="5"/>
      <c r="K121" s="5"/>
      <c r="L121" s="5"/>
    </row>
    <row r="122" spans="1:12">
      <c r="A122" s="3" t="s">
        <v>306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336</v>
      </c>
      <c r="G122" s="5"/>
      <c r="H122" s="5"/>
      <c r="I122" s="5"/>
      <c r="J122" s="5"/>
      <c r="K122" s="5"/>
      <c r="L122" s="5"/>
    </row>
    <row r="123" spans="1:12">
      <c r="A123" s="3" t="s">
        <v>307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336</v>
      </c>
      <c r="G123" s="5"/>
      <c r="H123" s="5"/>
      <c r="I123" s="5"/>
      <c r="J123" s="5"/>
      <c r="K123" s="5"/>
      <c r="L123" s="5"/>
    </row>
    <row r="124" spans="1:12">
      <c r="A124" s="3" t="s">
        <v>308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336</v>
      </c>
      <c r="G124" s="5"/>
      <c r="H124" s="5"/>
      <c r="I124" s="5"/>
      <c r="J124" s="5"/>
      <c r="K124" s="5"/>
      <c r="L124" s="5"/>
    </row>
    <row r="125" spans="1:12">
      <c r="A125" s="3" t="s">
        <v>309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336</v>
      </c>
      <c r="G125" s="5"/>
      <c r="H125" s="5"/>
      <c r="I125" s="5"/>
      <c r="J125" s="5"/>
      <c r="K125" s="5"/>
      <c r="L125" s="5"/>
    </row>
    <row r="126" spans="1:12">
      <c r="A126" s="3" t="s">
        <v>311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336</v>
      </c>
      <c r="G126" s="5"/>
      <c r="H126" s="5"/>
      <c r="I126" s="5"/>
      <c r="J126" s="5"/>
      <c r="K126" s="5"/>
      <c r="L126" s="5"/>
    </row>
    <row r="127" spans="1:12">
      <c r="A127" s="3" t="s">
        <v>310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336</v>
      </c>
      <c r="G127" s="5"/>
      <c r="H127" s="5"/>
      <c r="I127" s="5"/>
      <c r="J127" s="5"/>
      <c r="K127" s="5"/>
      <c r="L127" s="5"/>
    </row>
    <row r="128" spans="1:12">
      <c r="A128" s="3" t="s">
        <v>312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336</v>
      </c>
      <c r="G128" s="5"/>
      <c r="H128" s="5"/>
      <c r="I128" s="5"/>
      <c r="J128" s="5"/>
      <c r="K128" s="5"/>
      <c r="L128" s="5"/>
    </row>
    <row r="129" spans="1:12">
      <c r="A129" s="3" t="s">
        <v>313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336</v>
      </c>
      <c r="G129" s="5"/>
      <c r="H129" s="5"/>
      <c r="I129" s="5"/>
      <c r="J129" s="5"/>
      <c r="K129" s="5"/>
      <c r="L129" s="5"/>
    </row>
    <row r="130" spans="1:12">
      <c r="A130" s="3" t="s">
        <v>314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336</v>
      </c>
      <c r="G130" s="5"/>
      <c r="H130" s="5"/>
      <c r="I130" s="5"/>
      <c r="J130" s="5"/>
      <c r="K130" s="5"/>
      <c r="L130" s="5"/>
    </row>
    <row r="131" spans="1:12">
      <c r="A131" s="3" t="s">
        <v>318</v>
      </c>
      <c r="B131" s="3" t="s">
        <v>17</v>
      </c>
      <c r="C131" s="3" t="s">
        <v>30</v>
      </c>
      <c r="D131" s="3" t="s">
        <v>208</v>
      </c>
      <c r="E131" s="3">
        <v>4</v>
      </c>
      <c r="F131" s="7" t="s">
        <v>336</v>
      </c>
      <c r="G131" s="5"/>
      <c r="H131" s="5"/>
      <c r="I131" s="5"/>
      <c r="J131" s="5"/>
      <c r="K131" s="5"/>
      <c r="L131" s="5"/>
    </row>
    <row r="132" spans="1:12">
      <c r="A132" s="3" t="s">
        <v>319</v>
      </c>
      <c r="B132" s="3" t="s">
        <v>17</v>
      </c>
      <c r="C132" s="3" t="s">
        <v>30</v>
      </c>
      <c r="D132" s="3" t="s">
        <v>208</v>
      </c>
      <c r="E132" s="3">
        <v>4</v>
      </c>
      <c r="F132" s="7" t="s">
        <v>336</v>
      </c>
      <c r="G132" s="5"/>
      <c r="H132" s="5"/>
      <c r="I132" s="5"/>
      <c r="J132" s="5"/>
      <c r="K132" s="5"/>
      <c r="L132" s="5"/>
    </row>
    <row r="133" spans="1:12">
      <c r="A133" s="3" t="s">
        <v>320</v>
      </c>
      <c r="B133" s="3" t="s">
        <v>17</v>
      </c>
      <c r="C133" s="3" t="s">
        <v>30</v>
      </c>
      <c r="D133" s="3" t="s">
        <v>208</v>
      </c>
      <c r="E133" s="3">
        <v>4</v>
      </c>
      <c r="F133" s="7" t="s">
        <v>336</v>
      </c>
      <c r="G133" s="5"/>
      <c r="H133" s="5"/>
      <c r="I133" s="5"/>
      <c r="J133" s="5"/>
      <c r="K133" s="5"/>
      <c r="L133" s="5"/>
    </row>
    <row r="134" spans="1:12">
      <c r="A134" s="3" t="s">
        <v>321</v>
      </c>
      <c r="B134" s="3" t="s">
        <v>17</v>
      </c>
      <c r="C134" s="3" t="s">
        <v>30</v>
      </c>
      <c r="D134" s="3" t="s">
        <v>208</v>
      </c>
      <c r="E134" s="3">
        <v>4</v>
      </c>
      <c r="F134" s="7" t="s">
        <v>336</v>
      </c>
      <c r="G134" s="5"/>
      <c r="H134" s="5"/>
      <c r="I134" s="5"/>
      <c r="J134" s="5"/>
      <c r="K134" s="5"/>
      <c r="L134" s="5"/>
    </row>
    <row r="135" spans="1:12">
      <c r="A135" s="3" t="s">
        <v>322</v>
      </c>
      <c r="B135" s="3" t="s">
        <v>17</v>
      </c>
      <c r="C135" s="3" t="s">
        <v>30</v>
      </c>
      <c r="D135" s="3" t="s">
        <v>208</v>
      </c>
      <c r="E135" s="3">
        <v>4</v>
      </c>
      <c r="F135" s="7" t="s">
        <v>336</v>
      </c>
      <c r="G135" s="5"/>
      <c r="H135" s="5"/>
      <c r="I135" s="5"/>
      <c r="J135" s="5"/>
      <c r="K135" s="5"/>
      <c r="L135" s="5"/>
    </row>
    <row r="136" spans="1:12">
      <c r="A136" s="3" t="s">
        <v>323</v>
      </c>
      <c r="B136" s="3" t="s">
        <v>17</v>
      </c>
      <c r="C136" s="3" t="s">
        <v>30</v>
      </c>
      <c r="D136" s="3" t="s">
        <v>208</v>
      </c>
      <c r="E136" s="3">
        <v>4</v>
      </c>
      <c r="F136" s="7" t="s">
        <v>336</v>
      </c>
      <c r="G136" s="5"/>
      <c r="H136" s="5"/>
      <c r="I136" s="5"/>
      <c r="J136" s="5"/>
      <c r="K136" s="5"/>
      <c r="L136" s="5"/>
    </row>
    <row r="137" spans="1:12">
      <c r="A137" s="3" t="s">
        <v>324</v>
      </c>
      <c r="B137" s="3" t="s">
        <v>17</v>
      </c>
      <c r="C137" s="3" t="s">
        <v>30</v>
      </c>
      <c r="D137" s="3" t="s">
        <v>208</v>
      </c>
      <c r="E137" s="3">
        <v>4</v>
      </c>
      <c r="F137" s="7" t="s">
        <v>336</v>
      </c>
      <c r="G137" s="5"/>
      <c r="H137" s="5"/>
      <c r="I137" s="5"/>
      <c r="J137" s="5"/>
      <c r="K137" s="5"/>
      <c r="L137" s="5"/>
    </row>
    <row r="138" spans="1:12">
      <c r="A138" s="3" t="s">
        <v>325</v>
      </c>
      <c r="B138" s="3" t="s">
        <v>17</v>
      </c>
      <c r="C138" s="3" t="s">
        <v>30</v>
      </c>
      <c r="D138" s="3" t="s">
        <v>208</v>
      </c>
      <c r="E138" s="3">
        <v>4</v>
      </c>
      <c r="F138" s="7" t="s">
        <v>336</v>
      </c>
      <c r="G138" s="5"/>
      <c r="H138" s="5"/>
      <c r="I138" s="5"/>
      <c r="J138" s="5"/>
      <c r="K138" s="5"/>
      <c r="L138" s="5"/>
    </row>
    <row r="139" spans="1:12">
      <c r="A139" s="3" t="s">
        <v>316</v>
      </c>
      <c r="B139" s="3" t="s">
        <v>17</v>
      </c>
      <c r="C139" s="3" t="s">
        <v>316</v>
      </c>
      <c r="D139" s="3" t="s">
        <v>250</v>
      </c>
      <c r="E139" s="3">
        <v>4</v>
      </c>
      <c r="F139" s="7" t="s">
        <v>336</v>
      </c>
      <c r="G139" s="5"/>
      <c r="H139" s="5"/>
      <c r="I139" s="5"/>
      <c r="J139" s="5"/>
      <c r="K139" s="5"/>
      <c r="L139" s="5"/>
    </row>
    <row r="140" spans="1:12">
      <c r="A140" s="3" t="s">
        <v>315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336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342</v>
      </c>
      <c r="G141" s="5"/>
      <c r="H141" s="5"/>
      <c r="I141" s="5"/>
      <c r="J141" s="5"/>
      <c r="K141" s="5"/>
      <c r="L141" s="5"/>
    </row>
    <row r="142" spans="1:12">
      <c r="A142" s="3" t="s">
        <v>326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342</v>
      </c>
      <c r="G142" s="5"/>
      <c r="H142" s="5"/>
      <c r="I142" s="5"/>
      <c r="J142" s="5"/>
      <c r="K142" s="5"/>
      <c r="L142" s="5"/>
    </row>
    <row r="143" spans="1:12">
      <c r="A143" s="3" t="s">
        <v>327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342</v>
      </c>
      <c r="G143" s="5"/>
      <c r="H143" s="5"/>
      <c r="I143" s="5"/>
      <c r="J143" s="5"/>
      <c r="K143" s="5"/>
      <c r="L143" s="5"/>
    </row>
    <row r="144" spans="1:12">
      <c r="A144" s="3" t="s">
        <v>328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342</v>
      </c>
      <c r="G144" s="5"/>
      <c r="H144" s="5"/>
      <c r="I144" s="5"/>
      <c r="J144" s="5"/>
      <c r="K144" s="5"/>
      <c r="L144" s="5"/>
    </row>
    <row r="145" spans="1:12">
      <c r="A145" s="3" t="s">
        <v>329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342</v>
      </c>
      <c r="G145" s="5"/>
      <c r="H145" s="5"/>
      <c r="I145" s="5"/>
      <c r="J145" s="5"/>
      <c r="K145" s="5"/>
      <c r="L145" s="5"/>
    </row>
    <row r="146" spans="1:12">
      <c r="A146" s="3" t="s">
        <v>330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342</v>
      </c>
      <c r="G146" s="5"/>
      <c r="H146" s="5"/>
      <c r="I146" s="5"/>
      <c r="J146" s="5"/>
      <c r="K146" s="5"/>
      <c r="L146" s="5"/>
    </row>
    <row r="147" spans="1:12">
      <c r="A147" s="3" t="s">
        <v>331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342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342</v>
      </c>
      <c r="G148" s="5"/>
      <c r="H148" s="5"/>
      <c r="I148" s="5"/>
      <c r="J148" s="5"/>
      <c r="K148" s="5"/>
      <c r="L148" s="5"/>
    </row>
    <row r="149" spans="1:12">
      <c r="A149" s="3" t="s">
        <v>332</v>
      </c>
      <c r="B149" s="3" t="s">
        <v>17</v>
      </c>
      <c r="C149" s="3" t="s">
        <v>32</v>
      </c>
      <c r="D149" s="3" t="s">
        <v>270</v>
      </c>
      <c r="E149" s="3">
        <v>3</v>
      </c>
      <c r="F149" s="7" t="s">
        <v>342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208</v>
      </c>
      <c r="E150" s="3">
        <v>3</v>
      </c>
      <c r="F150" s="7" t="s">
        <v>342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66" customWidth="1"/>
    <col min="2" max="2" width="7.5" style="66" customWidth="1"/>
    <col min="3" max="3" width="0.875" style="66" customWidth="1"/>
    <col min="4" max="4" width="4" style="66" customWidth="1"/>
    <col min="5" max="5" width="5.875" style="66" customWidth="1"/>
    <col min="6" max="6" width="5.625" style="66" customWidth="1"/>
    <col min="7" max="7" width="11.25" style="66" customWidth="1"/>
    <col min="8" max="8" width="9.125" style="66" customWidth="1"/>
    <col min="9" max="9" width="12.75" style="66" customWidth="1"/>
    <col min="10" max="10" width="1.375" style="66" customWidth="1"/>
    <col min="11" max="11" width="1" style="66" customWidth="1"/>
    <col min="12" max="12" width="10.75" style="66" customWidth="1"/>
    <col min="13" max="13" width="10.125" style="66" customWidth="1"/>
    <col min="14" max="14" width="16.625" style="66" customWidth="1"/>
    <col min="15" max="15" width="8.375" style="66" customWidth="1"/>
    <col min="16" max="16" width="9.5" style="66" customWidth="1"/>
    <col min="17" max="17" width="1.25" style="66" customWidth="1"/>
    <col min="18" max="18" width="0.5" style="66" customWidth="1"/>
    <col min="19" max="26" width="0" style="66" hidden="1" customWidth="1"/>
    <col min="27" max="16384" width="11" style="66" hidden="1"/>
  </cols>
  <sheetData>
    <row r="1" spans="2:26" ht="13.5"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2:26" ht="39" thickBot="1">
      <c r="B2" s="495" t="s">
        <v>365</v>
      </c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65"/>
      <c r="S2" s="65"/>
      <c r="T2" s="65"/>
      <c r="U2" s="65"/>
      <c r="V2" s="65"/>
      <c r="W2" s="65"/>
      <c r="X2" s="65"/>
      <c r="Y2" s="65"/>
      <c r="Z2" s="65"/>
    </row>
    <row r="3" spans="2:26" ht="24" customHeight="1" thickBot="1">
      <c r="B3" s="67" t="s">
        <v>366</v>
      </c>
      <c r="C3" s="497" t="s">
        <v>367</v>
      </c>
      <c r="D3" s="498"/>
      <c r="E3" s="498"/>
      <c r="F3" s="498"/>
      <c r="G3" s="498"/>
      <c r="H3" s="498"/>
      <c r="I3" s="498"/>
      <c r="J3" s="499"/>
      <c r="K3" s="500" t="s">
        <v>368</v>
      </c>
      <c r="L3" s="501"/>
      <c r="M3" s="501"/>
      <c r="N3" s="501"/>
      <c r="O3" s="501"/>
      <c r="P3" s="501"/>
      <c r="Q3" s="502"/>
      <c r="R3" s="65"/>
      <c r="S3" s="65"/>
      <c r="T3" s="65"/>
      <c r="U3" s="65"/>
      <c r="V3" s="65"/>
      <c r="W3" s="65"/>
      <c r="X3" s="65"/>
      <c r="Y3" s="65"/>
      <c r="Z3" s="65"/>
    </row>
    <row r="4" spans="2:26" ht="13.5">
      <c r="B4" s="503" t="s">
        <v>369</v>
      </c>
      <c r="C4" s="68" t="s">
        <v>370</v>
      </c>
      <c r="D4" s="69"/>
      <c r="E4" s="69"/>
      <c r="F4" s="69"/>
      <c r="G4" s="69"/>
      <c r="H4" s="69"/>
      <c r="I4" s="69"/>
      <c r="J4" s="70"/>
      <c r="K4" s="71" t="s">
        <v>370</v>
      </c>
      <c r="L4" s="69"/>
      <c r="M4" s="69"/>
      <c r="N4" s="69"/>
      <c r="O4" s="69"/>
      <c r="P4" s="69"/>
      <c r="Q4" s="70"/>
      <c r="R4" s="65"/>
      <c r="S4" s="65"/>
      <c r="T4" s="65"/>
      <c r="U4" s="65"/>
      <c r="V4" s="65"/>
      <c r="W4" s="65"/>
      <c r="X4" s="65"/>
      <c r="Y4" s="65"/>
      <c r="Z4" s="65"/>
    </row>
    <row r="5" spans="2:26" ht="18.75" customHeight="1">
      <c r="B5" s="504"/>
      <c r="C5" s="72"/>
      <c r="D5" s="491" t="s">
        <v>371</v>
      </c>
      <c r="E5" s="492"/>
      <c r="F5" s="492"/>
      <c r="G5" s="493"/>
      <c r="H5" s="494" t="s">
        <v>372</v>
      </c>
      <c r="I5" s="492"/>
      <c r="J5" s="73"/>
      <c r="K5" s="74"/>
      <c r="L5" s="491" t="s">
        <v>371</v>
      </c>
      <c r="M5" s="492"/>
      <c r="N5" s="493"/>
      <c r="O5" s="494" t="s">
        <v>373</v>
      </c>
      <c r="P5" s="492"/>
      <c r="Q5" s="73"/>
      <c r="R5" s="65"/>
      <c r="S5" s="65"/>
      <c r="T5" s="65"/>
      <c r="U5" s="65"/>
      <c r="V5" s="65"/>
      <c r="W5" s="65"/>
      <c r="X5" s="65"/>
      <c r="Y5" s="65"/>
      <c r="Z5" s="65"/>
    </row>
    <row r="6" spans="2:26" ht="18.75" customHeight="1">
      <c r="B6" s="504"/>
      <c r="C6" s="72"/>
      <c r="D6" s="491" t="s">
        <v>374</v>
      </c>
      <c r="E6" s="492"/>
      <c r="F6" s="492"/>
      <c r="G6" s="493"/>
      <c r="H6" s="494" t="s">
        <v>375</v>
      </c>
      <c r="I6" s="492"/>
      <c r="J6" s="73"/>
      <c r="K6" s="74"/>
      <c r="L6" s="491" t="s">
        <v>374</v>
      </c>
      <c r="M6" s="492"/>
      <c r="N6" s="493"/>
      <c r="O6" s="494" t="s">
        <v>376</v>
      </c>
      <c r="P6" s="492"/>
      <c r="Q6" s="73"/>
      <c r="R6" s="65"/>
      <c r="S6" s="65"/>
      <c r="T6" s="65"/>
      <c r="U6" s="65"/>
      <c r="V6" s="65"/>
      <c r="W6" s="65"/>
      <c r="X6" s="65"/>
      <c r="Y6" s="65"/>
      <c r="Z6" s="65"/>
    </row>
    <row r="7" spans="2:26" ht="18.75" customHeight="1">
      <c r="B7" s="504"/>
      <c r="C7" s="72"/>
      <c r="D7" s="491" t="s">
        <v>377</v>
      </c>
      <c r="E7" s="492"/>
      <c r="F7" s="492"/>
      <c r="G7" s="493"/>
      <c r="H7" s="494" t="s">
        <v>378</v>
      </c>
      <c r="I7" s="492"/>
      <c r="J7" s="73"/>
      <c r="K7" s="74"/>
      <c r="L7" s="491" t="s">
        <v>377</v>
      </c>
      <c r="M7" s="492"/>
      <c r="N7" s="493"/>
      <c r="O7" s="494" t="s">
        <v>379</v>
      </c>
      <c r="P7" s="492"/>
      <c r="Q7" s="73"/>
      <c r="R7" s="65"/>
      <c r="S7" s="65"/>
      <c r="T7" s="65"/>
      <c r="U7" s="65"/>
      <c r="V7" s="65"/>
      <c r="W7" s="65"/>
      <c r="X7" s="65"/>
      <c r="Y7" s="65"/>
      <c r="Z7" s="65"/>
    </row>
    <row r="8" spans="2:26" ht="18.75" customHeight="1">
      <c r="B8" s="504"/>
      <c r="C8" s="72"/>
      <c r="D8" s="491" t="s">
        <v>380</v>
      </c>
      <c r="E8" s="492"/>
      <c r="F8" s="492"/>
      <c r="G8" s="493"/>
      <c r="H8" s="494" t="s">
        <v>381</v>
      </c>
      <c r="I8" s="492"/>
      <c r="J8" s="73"/>
      <c r="K8" s="74"/>
      <c r="L8" s="491" t="s">
        <v>380</v>
      </c>
      <c r="M8" s="492"/>
      <c r="N8" s="493"/>
      <c r="O8" s="494" t="s">
        <v>381</v>
      </c>
      <c r="P8" s="492"/>
      <c r="Q8" s="73"/>
      <c r="R8" s="65"/>
      <c r="S8" s="65"/>
      <c r="T8" s="65"/>
      <c r="U8" s="65"/>
      <c r="V8" s="65"/>
      <c r="W8" s="65"/>
      <c r="X8" s="65"/>
      <c r="Y8" s="65"/>
      <c r="Z8" s="65"/>
    </row>
    <row r="9" spans="2:26" ht="8.25" customHeight="1" thickBot="1">
      <c r="B9" s="505"/>
      <c r="C9" s="75"/>
      <c r="D9" s="76"/>
      <c r="E9" s="76"/>
      <c r="F9" s="76"/>
      <c r="G9" s="76"/>
      <c r="H9" s="76"/>
      <c r="I9" s="76"/>
      <c r="J9" s="77"/>
      <c r="K9" s="78"/>
      <c r="L9" s="76"/>
      <c r="M9" s="76"/>
      <c r="N9" s="76"/>
      <c r="O9" s="76"/>
      <c r="P9" s="76"/>
      <c r="Q9" s="77"/>
      <c r="R9" s="65"/>
      <c r="S9" s="65"/>
      <c r="T9" s="65"/>
      <c r="U9" s="65"/>
      <c r="V9" s="65"/>
      <c r="W9" s="65"/>
      <c r="X9" s="65"/>
      <c r="Y9" s="65"/>
      <c r="Z9" s="65"/>
    </row>
    <row r="10" spans="2:26" ht="6.75" customHeight="1">
      <c r="B10" s="503" t="s">
        <v>382</v>
      </c>
      <c r="C10" s="68"/>
      <c r="D10" s="69"/>
      <c r="E10" s="69"/>
      <c r="F10" s="69"/>
      <c r="G10" s="69"/>
      <c r="H10" s="69"/>
      <c r="I10" s="69"/>
      <c r="J10" s="70"/>
      <c r="K10" s="71"/>
      <c r="L10" s="69"/>
      <c r="M10" s="69"/>
      <c r="N10" s="69"/>
      <c r="O10" s="69"/>
      <c r="P10" s="69"/>
      <c r="Q10" s="70"/>
      <c r="R10" s="65"/>
      <c r="S10" s="65"/>
      <c r="T10" s="65"/>
      <c r="U10" s="65"/>
      <c r="V10" s="65"/>
      <c r="W10" s="65"/>
      <c r="X10" s="65"/>
      <c r="Y10" s="65"/>
      <c r="Z10" s="65"/>
    </row>
    <row r="11" spans="2:26" ht="16.5" customHeight="1">
      <c r="B11" s="504"/>
      <c r="C11" s="72"/>
      <c r="D11" s="491" t="s">
        <v>317</v>
      </c>
      <c r="E11" s="492"/>
      <c r="F11" s="492"/>
      <c r="G11" s="494" t="s">
        <v>383</v>
      </c>
      <c r="H11" s="492"/>
      <c r="I11" s="492"/>
      <c r="J11" s="73"/>
      <c r="K11" s="74"/>
      <c r="L11" s="506" t="s">
        <v>317</v>
      </c>
      <c r="M11" s="507"/>
      <c r="N11" s="510" t="s">
        <v>384</v>
      </c>
      <c r="O11" s="511"/>
      <c r="P11" s="511"/>
      <c r="Q11" s="73"/>
      <c r="R11" s="65"/>
      <c r="S11" s="65"/>
      <c r="T11" s="65"/>
      <c r="U11" s="65"/>
      <c r="V11" s="65"/>
      <c r="W11" s="65"/>
      <c r="X11" s="65"/>
      <c r="Y11" s="65"/>
      <c r="Z11" s="65"/>
    </row>
    <row r="12" spans="2:26" ht="16.5" customHeight="1">
      <c r="B12" s="504"/>
      <c r="C12" s="72"/>
      <c r="D12" s="491" t="s">
        <v>385</v>
      </c>
      <c r="E12" s="492"/>
      <c r="F12" s="492"/>
      <c r="G12" s="494" t="s">
        <v>386</v>
      </c>
      <c r="H12" s="492"/>
      <c r="I12" s="492"/>
      <c r="J12" s="73"/>
      <c r="K12" s="74"/>
      <c r="L12" s="508"/>
      <c r="M12" s="509"/>
      <c r="N12" s="512"/>
      <c r="O12" s="508"/>
      <c r="P12" s="508"/>
      <c r="Q12" s="73"/>
      <c r="R12" s="65"/>
      <c r="S12" s="65"/>
      <c r="T12" s="65"/>
      <c r="U12" s="65"/>
      <c r="V12" s="65"/>
      <c r="W12" s="65"/>
      <c r="X12" s="65"/>
      <c r="Y12" s="65"/>
      <c r="Z12" s="65"/>
    </row>
    <row r="13" spans="2:26" ht="16.5" customHeight="1">
      <c r="B13" s="504"/>
      <c r="C13" s="72"/>
      <c r="D13" s="491" t="s">
        <v>387</v>
      </c>
      <c r="E13" s="492"/>
      <c r="F13" s="492"/>
      <c r="G13" s="494" t="s">
        <v>388</v>
      </c>
      <c r="H13" s="492"/>
      <c r="I13" s="492"/>
      <c r="J13" s="73"/>
      <c r="K13" s="74"/>
      <c r="L13" s="491" t="s">
        <v>389</v>
      </c>
      <c r="M13" s="493"/>
      <c r="N13" s="494" t="s">
        <v>388</v>
      </c>
      <c r="O13" s="492"/>
      <c r="P13" s="492"/>
      <c r="Q13" s="73"/>
      <c r="R13" s="65"/>
      <c r="S13" s="65"/>
      <c r="T13" s="65"/>
      <c r="U13" s="65"/>
      <c r="V13" s="65"/>
      <c r="W13" s="65"/>
      <c r="X13" s="65"/>
      <c r="Y13" s="65"/>
      <c r="Z13" s="65"/>
    </row>
    <row r="14" spans="2:26" ht="6.75" customHeight="1" thickBot="1">
      <c r="B14" s="505"/>
      <c r="C14" s="75"/>
      <c r="D14" s="76"/>
      <c r="E14" s="76"/>
      <c r="F14" s="76"/>
      <c r="G14" s="76"/>
      <c r="H14" s="76"/>
      <c r="I14" s="76"/>
      <c r="J14" s="77"/>
      <c r="K14" s="78"/>
      <c r="L14" s="76"/>
      <c r="M14" s="76"/>
      <c r="N14" s="76"/>
      <c r="O14" s="76"/>
      <c r="P14" s="76"/>
      <c r="Q14" s="77"/>
      <c r="R14" s="65"/>
      <c r="S14" s="65"/>
      <c r="T14" s="65"/>
      <c r="U14" s="65"/>
      <c r="V14" s="65"/>
      <c r="W14" s="65"/>
      <c r="X14" s="65"/>
      <c r="Y14" s="65"/>
      <c r="Z14" s="65"/>
    </row>
    <row r="15" spans="2:26" ht="6.75" customHeight="1">
      <c r="B15" s="503" t="s">
        <v>390</v>
      </c>
      <c r="C15" s="68"/>
      <c r="D15" s="69"/>
      <c r="E15" s="69"/>
      <c r="F15" s="69"/>
      <c r="G15" s="69"/>
      <c r="H15" s="69"/>
      <c r="I15" s="69"/>
      <c r="J15" s="70"/>
      <c r="K15" s="71"/>
      <c r="L15" s="69"/>
      <c r="M15" s="69"/>
      <c r="N15" s="69"/>
      <c r="O15" s="69"/>
      <c r="P15" s="69"/>
      <c r="Q15" s="70"/>
      <c r="R15" s="65"/>
      <c r="S15" s="65"/>
      <c r="T15" s="65"/>
      <c r="U15" s="65"/>
      <c r="V15" s="65"/>
      <c r="W15" s="65"/>
      <c r="X15" s="65"/>
      <c r="Y15" s="65"/>
      <c r="Z15" s="65"/>
    </row>
    <row r="16" spans="2:26" ht="20.25" customHeight="1">
      <c r="B16" s="504"/>
      <c r="C16" s="72"/>
      <c r="D16" s="491" t="s">
        <v>391</v>
      </c>
      <c r="E16" s="492"/>
      <c r="F16" s="492"/>
      <c r="G16" s="493"/>
      <c r="H16" s="494">
        <v>1</v>
      </c>
      <c r="I16" s="492"/>
      <c r="J16" s="73"/>
      <c r="K16" s="74"/>
      <c r="L16" s="491" t="s">
        <v>391</v>
      </c>
      <c r="M16" s="492"/>
      <c r="N16" s="493"/>
      <c r="O16" s="494" t="s">
        <v>392</v>
      </c>
      <c r="P16" s="492"/>
      <c r="Q16" s="73"/>
      <c r="R16" s="65"/>
      <c r="S16" s="65"/>
      <c r="T16" s="65"/>
      <c r="U16" s="65"/>
      <c r="V16" s="65"/>
      <c r="W16" s="65"/>
      <c r="X16" s="65"/>
      <c r="Y16" s="65"/>
      <c r="Z16" s="65"/>
    </row>
    <row r="17" spans="2:26" ht="20.25" customHeight="1">
      <c r="B17" s="504"/>
      <c r="C17" s="72"/>
      <c r="D17" s="491" t="s">
        <v>393</v>
      </c>
      <c r="E17" s="492"/>
      <c r="F17" s="492"/>
      <c r="G17" s="493"/>
      <c r="H17" s="494">
        <v>179</v>
      </c>
      <c r="I17" s="492"/>
      <c r="J17" s="73"/>
      <c r="K17" s="74"/>
      <c r="L17" s="491" t="s">
        <v>394</v>
      </c>
      <c r="M17" s="492"/>
      <c r="N17" s="493"/>
      <c r="O17" s="494" t="s">
        <v>395</v>
      </c>
      <c r="P17" s="492"/>
      <c r="Q17" s="73"/>
      <c r="R17" s="65"/>
      <c r="S17" s="65"/>
      <c r="T17" s="65"/>
      <c r="U17" s="65"/>
      <c r="V17" s="65"/>
      <c r="W17" s="65"/>
      <c r="X17" s="65"/>
      <c r="Y17" s="65"/>
      <c r="Z17" s="65"/>
    </row>
    <row r="18" spans="2:26" ht="20.25" customHeight="1">
      <c r="B18" s="504"/>
      <c r="C18" s="72"/>
      <c r="D18" s="491" t="s">
        <v>396</v>
      </c>
      <c r="E18" s="492"/>
      <c r="F18" s="492"/>
      <c r="G18" s="493"/>
      <c r="H18" s="494">
        <v>368</v>
      </c>
      <c r="I18" s="492"/>
      <c r="J18" s="73"/>
      <c r="K18" s="74"/>
      <c r="L18" s="491" t="s">
        <v>397</v>
      </c>
      <c r="M18" s="492"/>
      <c r="N18" s="493"/>
      <c r="O18" s="494" t="s">
        <v>398</v>
      </c>
      <c r="P18" s="492"/>
      <c r="Q18" s="73"/>
      <c r="R18" s="65"/>
      <c r="S18" s="65"/>
      <c r="T18" s="65"/>
      <c r="U18" s="65"/>
      <c r="V18" s="65"/>
      <c r="W18" s="65"/>
      <c r="X18" s="65"/>
      <c r="Y18" s="65"/>
      <c r="Z18" s="65"/>
    </row>
    <row r="19" spans="2:26" ht="20.25" customHeight="1">
      <c r="B19" s="504"/>
      <c r="C19" s="72"/>
      <c r="D19" s="491" t="s">
        <v>399</v>
      </c>
      <c r="E19" s="492"/>
      <c r="F19" s="492"/>
      <c r="G19" s="493"/>
      <c r="H19" s="494">
        <v>548</v>
      </c>
      <c r="I19" s="492"/>
      <c r="J19" s="73"/>
      <c r="K19" s="74"/>
      <c r="L19" s="491" t="s">
        <v>399</v>
      </c>
      <c r="M19" s="492"/>
      <c r="N19" s="493"/>
      <c r="O19" s="494" t="s">
        <v>400</v>
      </c>
      <c r="P19" s="492"/>
      <c r="Q19" s="73"/>
      <c r="R19" s="65"/>
      <c r="S19" s="65"/>
      <c r="T19" s="65"/>
      <c r="U19" s="65"/>
      <c r="V19" s="65"/>
      <c r="W19" s="65"/>
      <c r="X19" s="65"/>
      <c r="Y19" s="65"/>
      <c r="Z19" s="65"/>
    </row>
    <row r="20" spans="2:26" ht="5.25" customHeight="1" thickBot="1">
      <c r="B20" s="505"/>
      <c r="C20" s="75"/>
      <c r="D20" s="76"/>
      <c r="E20" s="76"/>
      <c r="F20" s="76"/>
      <c r="G20" s="76"/>
      <c r="H20" s="76"/>
      <c r="I20" s="76"/>
      <c r="J20" s="77"/>
      <c r="K20" s="78"/>
      <c r="L20" s="76"/>
      <c r="M20" s="76"/>
      <c r="N20" s="76"/>
      <c r="O20" s="76"/>
      <c r="P20" s="76"/>
      <c r="Q20" s="77"/>
      <c r="R20" s="65"/>
      <c r="S20" s="65"/>
      <c r="T20" s="65"/>
      <c r="U20" s="65"/>
      <c r="V20" s="65"/>
      <c r="W20" s="65"/>
      <c r="X20" s="65"/>
      <c r="Y20" s="65"/>
      <c r="Z20" s="65"/>
    </row>
    <row r="21" spans="2:26" ht="5.25" customHeight="1">
      <c r="B21" s="503" t="s">
        <v>401</v>
      </c>
      <c r="C21" s="68"/>
      <c r="D21" s="69"/>
      <c r="E21" s="69"/>
      <c r="F21" s="69"/>
      <c r="G21" s="69"/>
      <c r="H21" s="69"/>
      <c r="I21" s="69"/>
      <c r="J21" s="70"/>
      <c r="K21" s="71"/>
      <c r="L21" s="69"/>
      <c r="M21" s="69"/>
      <c r="N21" s="69"/>
      <c r="O21" s="69"/>
      <c r="P21" s="69"/>
      <c r="Q21" s="70"/>
      <c r="R21" s="65"/>
      <c r="S21" s="65"/>
      <c r="T21" s="65"/>
      <c r="U21" s="65"/>
      <c r="V21" s="65"/>
      <c r="W21" s="65"/>
      <c r="X21" s="65"/>
      <c r="Y21" s="65"/>
      <c r="Z21" s="65"/>
    </row>
    <row r="22" spans="2:26" ht="27.75" thickBot="1">
      <c r="B22" s="504"/>
      <c r="C22" s="72"/>
      <c r="D22" s="79"/>
      <c r="E22" s="80"/>
      <c r="F22" s="81" t="s">
        <v>402</v>
      </c>
      <c r="G22" s="81" t="s">
        <v>403</v>
      </c>
      <c r="H22" s="81" t="s">
        <v>404</v>
      </c>
      <c r="I22" s="82" t="s">
        <v>405</v>
      </c>
      <c r="J22" s="83"/>
      <c r="K22" s="84"/>
      <c r="L22" s="79"/>
      <c r="M22" s="81" t="s">
        <v>403</v>
      </c>
      <c r="N22" s="81" t="s">
        <v>406</v>
      </c>
      <c r="O22" s="513" t="s">
        <v>405</v>
      </c>
      <c r="P22" s="514"/>
      <c r="Q22" s="73"/>
      <c r="R22" s="65"/>
      <c r="S22" s="65"/>
      <c r="T22" s="65"/>
      <c r="U22" s="65"/>
      <c r="V22" s="65"/>
      <c r="W22" s="65"/>
      <c r="X22" s="65"/>
      <c r="Y22" s="65"/>
      <c r="Z22" s="65"/>
    </row>
    <row r="23" spans="2:26" ht="14.25" thickTop="1">
      <c r="B23" s="504"/>
      <c r="C23" s="72"/>
      <c r="D23" s="515" t="s">
        <v>403</v>
      </c>
      <c r="E23" s="517" t="s">
        <v>407</v>
      </c>
      <c r="F23" s="517" t="s">
        <v>408</v>
      </c>
      <c r="G23" s="85" t="s">
        <v>409</v>
      </c>
      <c r="H23" s="85" t="s">
        <v>410</v>
      </c>
      <c r="I23" s="520">
        <v>24</v>
      </c>
      <c r="J23" s="83"/>
      <c r="K23" s="84"/>
      <c r="L23" s="515" t="s">
        <v>411</v>
      </c>
      <c r="M23" s="86" t="s">
        <v>409</v>
      </c>
      <c r="N23" s="86" t="s">
        <v>412</v>
      </c>
      <c r="O23" s="520">
        <v>24</v>
      </c>
      <c r="P23" s="528"/>
      <c r="Q23" s="73"/>
      <c r="R23" s="65"/>
      <c r="S23" s="65"/>
      <c r="T23" s="65"/>
      <c r="U23" s="65"/>
      <c r="V23" s="65"/>
      <c r="W23" s="65"/>
      <c r="X23" s="65"/>
      <c r="Y23" s="65"/>
      <c r="Z23" s="65"/>
    </row>
    <row r="24" spans="2:26" ht="13.5">
      <c r="B24" s="504"/>
      <c r="C24" s="72"/>
      <c r="D24" s="516"/>
      <c r="E24" s="518"/>
      <c r="F24" s="518"/>
      <c r="G24" s="87" t="s">
        <v>413</v>
      </c>
      <c r="H24" s="87" t="s">
        <v>414</v>
      </c>
      <c r="I24" s="521"/>
      <c r="J24" s="83"/>
      <c r="K24" s="84"/>
      <c r="L24" s="516"/>
      <c r="M24" s="88" t="s">
        <v>413</v>
      </c>
      <c r="N24" s="88" t="s">
        <v>415</v>
      </c>
      <c r="O24" s="521"/>
      <c r="P24" s="529"/>
      <c r="Q24" s="73"/>
      <c r="R24" s="65"/>
      <c r="S24" s="65"/>
      <c r="T24" s="65"/>
      <c r="U24" s="65"/>
      <c r="V24" s="65"/>
      <c r="W24" s="65"/>
      <c r="X24" s="65"/>
      <c r="Y24" s="65"/>
      <c r="Z24" s="65"/>
    </row>
    <row r="25" spans="2:26" ht="13.5">
      <c r="B25" s="504"/>
      <c r="C25" s="72"/>
      <c r="D25" s="516"/>
      <c r="E25" s="518"/>
      <c r="F25" s="518"/>
      <c r="G25" s="87" t="s">
        <v>416</v>
      </c>
      <c r="H25" s="87" t="s">
        <v>417</v>
      </c>
      <c r="I25" s="522"/>
      <c r="J25" s="83"/>
      <c r="K25" s="84"/>
      <c r="L25" s="516"/>
      <c r="M25" s="88" t="s">
        <v>416</v>
      </c>
      <c r="N25" s="88" t="s">
        <v>418</v>
      </c>
      <c r="O25" s="512"/>
      <c r="P25" s="508"/>
      <c r="Q25" s="73"/>
      <c r="R25" s="65"/>
      <c r="S25" s="65"/>
      <c r="T25" s="65"/>
      <c r="U25" s="65"/>
      <c r="V25" s="65"/>
      <c r="W25" s="65"/>
      <c r="X25" s="65"/>
      <c r="Y25" s="65"/>
      <c r="Z25" s="65"/>
    </row>
    <row r="26" spans="2:26" ht="13.5">
      <c r="B26" s="504"/>
      <c r="C26" s="72"/>
      <c r="D26" s="516"/>
      <c r="E26" s="518"/>
      <c r="F26" s="519"/>
      <c r="G26" s="89" t="s">
        <v>419</v>
      </c>
      <c r="H26" s="89" t="s">
        <v>420</v>
      </c>
      <c r="I26" s="90">
        <v>6</v>
      </c>
      <c r="J26" s="83"/>
      <c r="K26" s="84"/>
      <c r="L26" s="516"/>
      <c r="M26" s="530" t="s">
        <v>421</v>
      </c>
      <c r="N26" s="91" t="s">
        <v>422</v>
      </c>
      <c r="O26" s="531">
        <v>6</v>
      </c>
      <c r="P26" s="532"/>
      <c r="Q26" s="73"/>
      <c r="R26" s="65"/>
      <c r="S26" s="65"/>
      <c r="T26" s="65"/>
      <c r="U26" s="65"/>
      <c r="V26" s="65"/>
      <c r="W26" s="65"/>
      <c r="X26" s="65"/>
      <c r="Y26" s="65"/>
      <c r="Z26" s="65"/>
    </row>
    <row r="27" spans="2:26" ht="40.5">
      <c r="B27" s="504"/>
      <c r="C27" s="72"/>
      <c r="D27" s="516"/>
      <c r="E27" s="518"/>
      <c r="F27" s="530" t="s">
        <v>423</v>
      </c>
      <c r="G27" s="91" t="s">
        <v>421</v>
      </c>
      <c r="H27" s="91" t="s">
        <v>424</v>
      </c>
      <c r="I27" s="533">
        <v>12</v>
      </c>
      <c r="J27" s="83"/>
      <c r="K27" s="84"/>
      <c r="L27" s="516"/>
      <c r="M27" s="519"/>
      <c r="N27" s="89" t="s">
        <v>425</v>
      </c>
      <c r="O27" s="534">
        <v>12</v>
      </c>
      <c r="P27" s="535"/>
      <c r="Q27" s="73"/>
      <c r="R27" s="65"/>
      <c r="S27" s="65"/>
      <c r="T27" s="65"/>
      <c r="U27" s="65"/>
      <c r="V27" s="65"/>
      <c r="W27" s="65"/>
      <c r="X27" s="65"/>
      <c r="Y27" s="65"/>
      <c r="Z27" s="65"/>
    </row>
    <row r="28" spans="2:26" ht="13.5">
      <c r="B28" s="504"/>
      <c r="C28" s="72"/>
      <c r="D28" s="516"/>
      <c r="E28" s="518"/>
      <c r="F28" s="519"/>
      <c r="G28" s="89" t="s">
        <v>426</v>
      </c>
      <c r="H28" s="89" t="s">
        <v>427</v>
      </c>
      <c r="I28" s="512"/>
      <c r="J28" s="83"/>
      <c r="K28" s="84"/>
      <c r="L28" s="516"/>
      <c r="M28" s="88" t="s">
        <v>426</v>
      </c>
      <c r="N28" s="88" t="s">
        <v>428</v>
      </c>
      <c r="O28" s="512"/>
      <c r="P28" s="508"/>
      <c r="Q28" s="73"/>
      <c r="R28" s="65"/>
      <c r="S28" s="65"/>
      <c r="T28" s="65"/>
      <c r="U28" s="65"/>
      <c r="V28" s="65"/>
      <c r="W28" s="65"/>
      <c r="X28" s="65"/>
      <c r="Y28" s="65"/>
      <c r="Z28" s="65"/>
    </row>
    <row r="29" spans="2:26" ht="13.5">
      <c r="B29" s="504"/>
      <c r="C29" s="72"/>
      <c r="D29" s="516"/>
      <c r="E29" s="518"/>
      <c r="F29" s="530" t="s">
        <v>429</v>
      </c>
      <c r="G29" s="91" t="s">
        <v>430</v>
      </c>
      <c r="H29" s="92"/>
      <c r="I29" s="93">
        <v>8</v>
      </c>
      <c r="J29" s="83"/>
      <c r="K29" s="84"/>
      <c r="L29" s="516"/>
      <c r="M29" s="88" t="s">
        <v>430</v>
      </c>
      <c r="N29" s="94"/>
      <c r="O29" s="525">
        <v>8</v>
      </c>
      <c r="P29" s="492"/>
      <c r="Q29" s="73"/>
      <c r="R29" s="65"/>
      <c r="S29" s="65"/>
      <c r="T29" s="65"/>
      <c r="U29" s="65"/>
      <c r="V29" s="65"/>
      <c r="W29" s="65"/>
      <c r="X29" s="65"/>
      <c r="Y29" s="65"/>
      <c r="Z29" s="65"/>
    </row>
    <row r="30" spans="2:26" ht="13.5">
      <c r="B30" s="504"/>
      <c r="C30" s="72"/>
      <c r="D30" s="516"/>
      <c r="E30" s="518"/>
      <c r="F30" s="519"/>
      <c r="G30" s="89" t="s">
        <v>431</v>
      </c>
      <c r="H30" s="95"/>
      <c r="I30" s="90">
        <v>6</v>
      </c>
      <c r="J30" s="83"/>
      <c r="K30" s="84"/>
      <c r="L30" s="516"/>
      <c r="M30" s="88" t="s">
        <v>431</v>
      </c>
      <c r="N30" s="94"/>
      <c r="O30" s="525">
        <v>6</v>
      </c>
      <c r="P30" s="492"/>
      <c r="Q30" s="73"/>
      <c r="R30" s="65"/>
      <c r="S30" s="65"/>
      <c r="T30" s="65"/>
      <c r="U30" s="65"/>
      <c r="V30" s="65"/>
      <c r="W30" s="65"/>
      <c r="X30" s="65"/>
      <c r="Y30" s="65"/>
      <c r="Z30" s="65"/>
    </row>
    <row r="31" spans="2:26" ht="54">
      <c r="B31" s="504"/>
      <c r="C31" s="72"/>
      <c r="D31" s="516"/>
      <c r="E31" s="518"/>
      <c r="F31" s="88" t="s">
        <v>432</v>
      </c>
      <c r="G31" s="88" t="s">
        <v>433</v>
      </c>
      <c r="H31" s="94"/>
      <c r="I31" s="96">
        <v>10</v>
      </c>
      <c r="J31" s="83"/>
      <c r="K31" s="84"/>
      <c r="L31" s="516"/>
      <c r="M31" s="88" t="s">
        <v>434</v>
      </c>
      <c r="N31" s="94"/>
      <c r="O31" s="525">
        <v>8</v>
      </c>
      <c r="P31" s="492"/>
      <c r="Q31" s="73"/>
      <c r="R31" s="65"/>
      <c r="S31" s="65"/>
      <c r="T31" s="65"/>
      <c r="U31" s="65"/>
      <c r="V31" s="65"/>
      <c r="W31" s="65"/>
      <c r="X31" s="65"/>
      <c r="Y31" s="65"/>
      <c r="Z31" s="65"/>
    </row>
    <row r="32" spans="2:26" ht="18.75" customHeight="1">
      <c r="B32" s="504"/>
      <c r="C32" s="72"/>
      <c r="D32" s="516"/>
      <c r="E32" s="519"/>
      <c r="F32" s="526" t="s">
        <v>399</v>
      </c>
      <c r="G32" s="492"/>
      <c r="H32" s="493"/>
      <c r="I32" s="97">
        <v>66</v>
      </c>
      <c r="J32" s="83"/>
      <c r="K32" s="84"/>
      <c r="L32" s="509"/>
      <c r="M32" s="526" t="s">
        <v>399</v>
      </c>
      <c r="N32" s="493"/>
      <c r="O32" s="527">
        <v>64</v>
      </c>
      <c r="P32" s="492"/>
      <c r="Q32" s="73"/>
      <c r="R32" s="65"/>
      <c r="S32" s="65"/>
      <c r="T32" s="65"/>
      <c r="U32" s="65"/>
      <c r="V32" s="65"/>
      <c r="W32" s="65"/>
      <c r="X32" s="65"/>
      <c r="Y32" s="65"/>
      <c r="Z32" s="65"/>
    </row>
    <row r="33" spans="2:26" ht="35.25" customHeight="1">
      <c r="B33" s="504"/>
      <c r="C33" s="72"/>
      <c r="D33" s="509"/>
      <c r="E33" s="98" t="s">
        <v>435</v>
      </c>
      <c r="F33" s="526" t="s">
        <v>436</v>
      </c>
      <c r="G33" s="492"/>
      <c r="H33" s="493"/>
      <c r="I33" s="97">
        <v>86</v>
      </c>
      <c r="J33" s="83"/>
      <c r="K33" s="84"/>
      <c r="L33" s="99" t="s">
        <v>437</v>
      </c>
      <c r="M33" s="526" t="s">
        <v>438</v>
      </c>
      <c r="N33" s="493"/>
      <c r="O33" s="527">
        <v>80</v>
      </c>
      <c r="P33" s="492"/>
      <c r="Q33" s="73"/>
      <c r="R33" s="65"/>
      <c r="S33" s="65"/>
      <c r="T33" s="65"/>
      <c r="U33" s="65"/>
      <c r="V33" s="65"/>
      <c r="W33" s="65"/>
      <c r="X33" s="65"/>
      <c r="Y33" s="65"/>
      <c r="Z33" s="65"/>
    </row>
    <row r="34" spans="2:26" ht="21.75" customHeight="1">
      <c r="B34" s="504"/>
      <c r="C34" s="72"/>
      <c r="D34" s="523" t="s">
        <v>377</v>
      </c>
      <c r="E34" s="492"/>
      <c r="F34" s="492"/>
      <c r="G34" s="492"/>
      <c r="H34" s="493"/>
      <c r="I34" s="100">
        <v>22</v>
      </c>
      <c r="J34" s="83"/>
      <c r="K34" s="84"/>
      <c r="L34" s="523" t="s">
        <v>377</v>
      </c>
      <c r="M34" s="492"/>
      <c r="N34" s="493"/>
      <c r="O34" s="524">
        <v>30</v>
      </c>
      <c r="P34" s="492"/>
      <c r="Q34" s="73"/>
      <c r="R34" s="65"/>
      <c r="S34" s="65"/>
      <c r="T34" s="65"/>
      <c r="U34" s="65"/>
      <c r="V34" s="65"/>
      <c r="W34" s="65"/>
      <c r="X34" s="65"/>
      <c r="Y34" s="65"/>
      <c r="Z34" s="65"/>
    </row>
    <row r="35" spans="2:26" ht="24" customHeight="1">
      <c r="B35" s="504"/>
      <c r="C35" s="72"/>
      <c r="D35" s="523" t="s">
        <v>380</v>
      </c>
      <c r="E35" s="492"/>
      <c r="F35" s="492"/>
      <c r="G35" s="492"/>
      <c r="H35" s="493"/>
      <c r="I35" s="100">
        <v>18</v>
      </c>
      <c r="J35" s="83"/>
      <c r="K35" s="84"/>
      <c r="L35" s="523" t="s">
        <v>380</v>
      </c>
      <c r="M35" s="492"/>
      <c r="N35" s="493"/>
      <c r="O35" s="524">
        <v>18</v>
      </c>
      <c r="P35" s="492"/>
      <c r="Q35" s="73"/>
      <c r="R35" s="65"/>
      <c r="S35" s="65"/>
      <c r="T35" s="65"/>
      <c r="U35" s="65"/>
      <c r="V35" s="65"/>
      <c r="W35" s="65"/>
      <c r="X35" s="65"/>
      <c r="Y35" s="65"/>
      <c r="Z35" s="65"/>
    </row>
    <row r="36" spans="2:26" ht="13.5">
      <c r="B36" s="504"/>
      <c r="C36" s="72"/>
      <c r="D36" s="536" t="s">
        <v>439</v>
      </c>
      <c r="E36" s="492"/>
      <c r="F36" s="492"/>
      <c r="G36" s="492"/>
      <c r="H36" s="493"/>
      <c r="I36" s="97">
        <v>192</v>
      </c>
      <c r="J36" s="83"/>
      <c r="K36" s="84"/>
      <c r="L36" s="536" t="s">
        <v>439</v>
      </c>
      <c r="M36" s="492"/>
      <c r="N36" s="493"/>
      <c r="O36" s="527">
        <v>192</v>
      </c>
      <c r="P36" s="492"/>
      <c r="Q36" s="73"/>
      <c r="R36" s="65"/>
      <c r="S36" s="65"/>
      <c r="T36" s="65"/>
      <c r="U36" s="65"/>
      <c r="V36" s="65"/>
      <c r="W36" s="65"/>
      <c r="X36" s="65"/>
      <c r="Y36" s="65"/>
      <c r="Z36" s="65"/>
    </row>
    <row r="37" spans="2:26" ht="5.25" customHeight="1" thickBot="1">
      <c r="B37" s="505"/>
      <c r="C37" s="75"/>
      <c r="D37" s="76"/>
      <c r="E37" s="76"/>
      <c r="F37" s="76"/>
      <c r="G37" s="76"/>
      <c r="H37" s="76"/>
      <c r="I37" s="76"/>
      <c r="J37" s="77"/>
      <c r="K37" s="78"/>
      <c r="L37" s="76"/>
      <c r="M37" s="76"/>
      <c r="N37" s="76"/>
      <c r="O37" s="76"/>
      <c r="P37" s="76"/>
      <c r="Q37" s="77"/>
      <c r="R37" s="65"/>
      <c r="S37" s="65"/>
      <c r="T37" s="65"/>
      <c r="U37" s="65"/>
      <c r="V37" s="65"/>
      <c r="W37" s="65"/>
      <c r="X37" s="65"/>
      <c r="Y37" s="65"/>
      <c r="Z37" s="65"/>
    </row>
    <row r="38" spans="2:26" ht="5.25" customHeight="1">
      <c r="B38" s="503" t="s">
        <v>440</v>
      </c>
      <c r="C38" s="68"/>
      <c r="D38" s="69"/>
      <c r="E38" s="69"/>
      <c r="F38" s="69"/>
      <c r="G38" s="69"/>
      <c r="H38" s="69"/>
      <c r="I38" s="69"/>
      <c r="J38" s="70"/>
      <c r="K38" s="71"/>
      <c r="L38" s="69"/>
      <c r="M38" s="69"/>
      <c r="N38" s="69"/>
      <c r="O38" s="69"/>
      <c r="P38" s="69"/>
      <c r="Q38" s="70"/>
      <c r="R38" s="65"/>
      <c r="S38" s="65"/>
      <c r="T38" s="65"/>
      <c r="U38" s="65"/>
      <c r="V38" s="65"/>
      <c r="W38" s="65"/>
      <c r="X38" s="65"/>
      <c r="Y38" s="65"/>
      <c r="Z38" s="65"/>
    </row>
    <row r="39" spans="2:26" ht="13.5">
      <c r="B39" s="504"/>
      <c r="C39" s="72" t="s">
        <v>441</v>
      </c>
      <c r="D39" s="101"/>
      <c r="E39" s="101"/>
      <c r="F39" s="101"/>
      <c r="G39" s="101"/>
      <c r="H39" s="101"/>
      <c r="I39" s="101"/>
      <c r="J39" s="73"/>
      <c r="K39" s="74"/>
      <c r="L39" s="101" t="s">
        <v>442</v>
      </c>
      <c r="M39" s="101"/>
      <c r="N39" s="101"/>
      <c r="O39" s="101"/>
      <c r="P39" s="101"/>
      <c r="Q39" s="73"/>
      <c r="R39" s="65"/>
      <c r="S39" s="65"/>
      <c r="T39" s="65"/>
      <c r="U39" s="65"/>
      <c r="V39" s="65"/>
      <c r="W39" s="65"/>
      <c r="X39" s="65"/>
      <c r="Y39" s="65"/>
      <c r="Z39" s="65"/>
    </row>
    <row r="40" spans="2:26" ht="13.5">
      <c r="B40" s="504"/>
      <c r="C40" s="72" t="s">
        <v>443</v>
      </c>
      <c r="D40" s="101"/>
      <c r="E40" s="101"/>
      <c r="F40" s="101"/>
      <c r="G40" s="101"/>
      <c r="H40" s="101"/>
      <c r="I40" s="101"/>
      <c r="J40" s="73"/>
      <c r="K40" s="74"/>
      <c r="L40" s="101" t="s">
        <v>444</v>
      </c>
      <c r="M40" s="101"/>
      <c r="N40" s="101"/>
      <c r="O40" s="101"/>
      <c r="P40" s="101"/>
      <c r="Q40" s="73"/>
      <c r="R40" s="65"/>
      <c r="S40" s="65"/>
      <c r="T40" s="65"/>
      <c r="U40" s="65"/>
      <c r="V40" s="65"/>
      <c r="W40" s="65"/>
      <c r="X40" s="65"/>
      <c r="Y40" s="65"/>
      <c r="Z40" s="65"/>
    </row>
    <row r="41" spans="2:26" ht="5.25" customHeight="1" thickBot="1">
      <c r="B41" s="505"/>
      <c r="C41" s="75"/>
      <c r="D41" s="76"/>
      <c r="E41" s="76"/>
      <c r="F41" s="76"/>
      <c r="G41" s="76"/>
      <c r="H41" s="76"/>
      <c r="I41" s="76"/>
      <c r="J41" s="77"/>
      <c r="K41" s="78"/>
      <c r="L41" s="76"/>
      <c r="M41" s="76"/>
      <c r="N41" s="76"/>
      <c r="O41" s="76"/>
      <c r="P41" s="76"/>
      <c r="Q41" s="77"/>
      <c r="R41" s="65"/>
      <c r="S41" s="65"/>
      <c r="T41" s="65"/>
      <c r="U41" s="65"/>
      <c r="V41" s="65"/>
      <c r="W41" s="65"/>
      <c r="X41" s="65"/>
      <c r="Y41" s="65"/>
      <c r="Z41" s="65"/>
    </row>
    <row r="42" spans="2:26" ht="5.25" customHeight="1">
      <c r="B42" s="503" t="s">
        <v>445</v>
      </c>
      <c r="C42" s="68"/>
      <c r="D42" s="69"/>
      <c r="E42" s="69"/>
      <c r="F42" s="69"/>
      <c r="G42" s="69"/>
      <c r="H42" s="69"/>
      <c r="I42" s="69"/>
      <c r="J42" s="70"/>
      <c r="K42" s="71"/>
      <c r="L42" s="69"/>
      <c r="M42" s="69"/>
      <c r="N42" s="69"/>
      <c r="O42" s="69"/>
      <c r="P42" s="69"/>
      <c r="Q42" s="70"/>
      <c r="R42" s="65"/>
      <c r="S42" s="65"/>
      <c r="T42" s="65"/>
      <c r="U42" s="65"/>
      <c r="V42" s="65"/>
      <c r="W42" s="65"/>
      <c r="X42" s="65"/>
      <c r="Y42" s="65"/>
      <c r="Z42" s="65"/>
    </row>
    <row r="43" spans="2:26" ht="13.5">
      <c r="B43" s="504"/>
      <c r="C43" s="72"/>
      <c r="D43" s="101" t="s">
        <v>446</v>
      </c>
      <c r="E43" s="101"/>
      <c r="F43" s="101"/>
      <c r="G43" s="101"/>
      <c r="H43" s="101"/>
      <c r="I43" s="101"/>
      <c r="J43" s="73"/>
      <c r="K43" s="74"/>
      <c r="L43" s="101" t="s">
        <v>447</v>
      </c>
      <c r="M43" s="101"/>
      <c r="N43" s="101"/>
      <c r="O43" s="101"/>
      <c r="P43" s="101"/>
      <c r="Q43" s="73"/>
      <c r="R43" s="65"/>
      <c r="S43" s="65"/>
      <c r="T43" s="65"/>
      <c r="U43" s="65"/>
      <c r="V43" s="65"/>
      <c r="W43" s="65"/>
      <c r="X43" s="65"/>
      <c r="Y43" s="65"/>
      <c r="Z43" s="65"/>
    </row>
    <row r="44" spans="2:26" ht="13.5">
      <c r="B44" s="504"/>
      <c r="C44" s="72"/>
      <c r="D44" s="101" t="s">
        <v>448</v>
      </c>
      <c r="E44" s="102"/>
      <c r="F44" s="102"/>
      <c r="G44" s="102"/>
      <c r="H44" s="102"/>
      <c r="I44" s="102"/>
      <c r="J44" s="73"/>
      <c r="K44" s="74"/>
      <c r="L44" s="101"/>
      <c r="M44" s="101"/>
      <c r="N44" s="101"/>
      <c r="O44" s="101"/>
      <c r="P44" s="101"/>
      <c r="Q44" s="73"/>
      <c r="R44" s="65"/>
      <c r="S44" s="65"/>
      <c r="T44" s="65"/>
      <c r="U44" s="65"/>
      <c r="V44" s="65"/>
      <c r="W44" s="65"/>
      <c r="X44" s="65"/>
      <c r="Y44" s="65"/>
      <c r="Z44" s="65"/>
    </row>
    <row r="45" spans="2:26" ht="13.5">
      <c r="B45" s="504"/>
      <c r="C45" s="72"/>
      <c r="D45" s="537" t="s">
        <v>366</v>
      </c>
      <c r="E45" s="492"/>
      <c r="F45" s="493"/>
      <c r="G45" s="538" t="s">
        <v>449</v>
      </c>
      <c r="H45" s="493"/>
      <c r="I45" s="103" t="s">
        <v>450</v>
      </c>
      <c r="J45" s="73"/>
      <c r="K45" s="74"/>
      <c r="L45" s="537" t="s">
        <v>366</v>
      </c>
      <c r="M45" s="493"/>
      <c r="N45" s="538" t="s">
        <v>449</v>
      </c>
      <c r="O45" s="493"/>
      <c r="P45" s="103" t="s">
        <v>451</v>
      </c>
      <c r="Q45" s="73"/>
      <c r="R45" s="65"/>
      <c r="S45" s="65"/>
      <c r="T45" s="65"/>
      <c r="U45" s="65"/>
      <c r="V45" s="65"/>
      <c r="W45" s="65"/>
      <c r="X45" s="65"/>
      <c r="Y45" s="65"/>
      <c r="Z45" s="65"/>
    </row>
    <row r="46" spans="2:26" ht="38.25" customHeight="1">
      <c r="B46" s="504"/>
      <c r="C46" s="72"/>
      <c r="D46" s="491" t="s">
        <v>452</v>
      </c>
      <c r="E46" s="493"/>
      <c r="F46" s="104">
        <v>1</v>
      </c>
      <c r="G46" s="539" t="s">
        <v>453</v>
      </c>
      <c r="H46" s="493"/>
      <c r="I46" s="540">
        <v>86</v>
      </c>
      <c r="J46" s="73"/>
      <c r="K46" s="74"/>
      <c r="L46" s="105" t="s">
        <v>452</v>
      </c>
      <c r="M46" s="104">
        <v>3</v>
      </c>
      <c r="N46" s="539" t="s">
        <v>454</v>
      </c>
      <c r="O46" s="493"/>
      <c r="P46" s="540">
        <v>80</v>
      </c>
      <c r="Q46" s="73"/>
      <c r="R46" s="65"/>
      <c r="S46" s="65"/>
      <c r="T46" s="65"/>
      <c r="U46" s="65"/>
      <c r="V46" s="65"/>
      <c r="W46" s="65"/>
      <c r="X46" s="65"/>
      <c r="Y46" s="65"/>
      <c r="Z46" s="65"/>
    </row>
    <row r="47" spans="2:26" ht="16.5" customHeight="1">
      <c r="B47" s="504"/>
      <c r="C47" s="72"/>
      <c r="D47" s="491" t="s">
        <v>455</v>
      </c>
      <c r="E47" s="493"/>
      <c r="F47" s="104">
        <v>179</v>
      </c>
      <c r="G47" s="494" t="s">
        <v>438</v>
      </c>
      <c r="H47" s="493"/>
      <c r="I47" s="521"/>
      <c r="J47" s="73"/>
      <c r="K47" s="74"/>
      <c r="L47" s="105" t="s">
        <v>456</v>
      </c>
      <c r="M47" s="104">
        <v>216</v>
      </c>
      <c r="N47" s="494" t="s">
        <v>438</v>
      </c>
      <c r="O47" s="493"/>
      <c r="P47" s="521"/>
      <c r="Q47" s="73"/>
      <c r="R47" s="65"/>
      <c r="S47" s="65"/>
      <c r="T47" s="65"/>
      <c r="U47" s="65"/>
      <c r="V47" s="65"/>
      <c r="W47" s="65"/>
      <c r="X47" s="65"/>
      <c r="Y47" s="65"/>
      <c r="Z47" s="65"/>
    </row>
    <row r="48" spans="2:26" ht="16.5" customHeight="1">
      <c r="B48" s="504"/>
      <c r="C48" s="72"/>
      <c r="D48" s="491" t="s">
        <v>457</v>
      </c>
      <c r="E48" s="493"/>
      <c r="F48" s="104">
        <v>368</v>
      </c>
      <c r="G48" s="494" t="s">
        <v>438</v>
      </c>
      <c r="H48" s="493"/>
      <c r="I48" s="512"/>
      <c r="J48" s="73"/>
      <c r="K48" s="74"/>
      <c r="L48" s="105" t="s">
        <v>458</v>
      </c>
      <c r="M48" s="104">
        <v>309</v>
      </c>
      <c r="N48" s="494" t="s">
        <v>438</v>
      </c>
      <c r="O48" s="493"/>
      <c r="P48" s="512"/>
      <c r="Q48" s="73"/>
      <c r="R48" s="65"/>
      <c r="S48" s="65"/>
      <c r="T48" s="65"/>
      <c r="U48" s="65"/>
      <c r="V48" s="65"/>
      <c r="W48" s="65"/>
      <c r="X48" s="65"/>
      <c r="Y48" s="65"/>
      <c r="Z48" s="65"/>
    </row>
    <row r="49" spans="2:26" ht="5.25" customHeight="1" thickBot="1">
      <c r="B49" s="505"/>
      <c r="C49" s="75"/>
      <c r="D49" s="76"/>
      <c r="E49" s="76"/>
      <c r="F49" s="76"/>
      <c r="G49" s="76"/>
      <c r="H49" s="76"/>
      <c r="I49" s="76"/>
      <c r="J49" s="77"/>
      <c r="K49" s="78"/>
      <c r="L49" s="76"/>
      <c r="M49" s="76"/>
      <c r="N49" s="76"/>
      <c r="O49" s="76"/>
      <c r="P49" s="76"/>
      <c r="Q49" s="77"/>
      <c r="R49" s="65"/>
      <c r="S49" s="65"/>
      <c r="T49" s="65"/>
      <c r="U49" s="65"/>
      <c r="V49" s="65"/>
      <c r="W49" s="65"/>
      <c r="X49" s="65"/>
      <c r="Y49" s="65"/>
      <c r="Z49" s="65"/>
    </row>
    <row r="50" spans="2:26" ht="5.25" customHeight="1">
      <c r="B50" s="503" t="s">
        <v>459</v>
      </c>
      <c r="C50" s="68"/>
      <c r="D50" s="69"/>
      <c r="E50" s="69"/>
      <c r="F50" s="69"/>
      <c r="G50" s="69"/>
      <c r="H50" s="69"/>
      <c r="I50" s="69"/>
      <c r="J50" s="70"/>
      <c r="K50" s="71"/>
      <c r="L50" s="69"/>
      <c r="M50" s="69"/>
      <c r="N50" s="69"/>
      <c r="O50" s="69"/>
      <c r="P50" s="69"/>
      <c r="Q50" s="70"/>
      <c r="R50" s="65"/>
      <c r="S50" s="65"/>
      <c r="T50" s="65"/>
      <c r="U50" s="65"/>
      <c r="V50" s="65"/>
      <c r="W50" s="65"/>
      <c r="X50" s="65"/>
      <c r="Y50" s="65"/>
      <c r="Z50" s="65"/>
    </row>
    <row r="51" spans="2:26" ht="24">
      <c r="B51" s="504"/>
      <c r="C51" s="72"/>
      <c r="D51" s="542" t="s">
        <v>366</v>
      </c>
      <c r="E51" s="492"/>
      <c r="F51" s="493"/>
      <c r="G51" s="106" t="s">
        <v>460</v>
      </c>
      <c r="H51" s="106" t="s">
        <v>461</v>
      </c>
      <c r="I51" s="107" t="s">
        <v>462</v>
      </c>
      <c r="J51" s="83"/>
      <c r="K51" s="84"/>
      <c r="L51" s="542" t="s">
        <v>366</v>
      </c>
      <c r="M51" s="493"/>
      <c r="N51" s="106" t="s">
        <v>460</v>
      </c>
      <c r="O51" s="106" t="s">
        <v>461</v>
      </c>
      <c r="P51" s="107" t="s">
        <v>463</v>
      </c>
      <c r="Q51" s="73"/>
      <c r="R51" s="65"/>
      <c r="S51" s="65"/>
      <c r="T51" s="65"/>
      <c r="U51" s="65"/>
      <c r="V51" s="65"/>
      <c r="W51" s="65"/>
      <c r="X51" s="65"/>
      <c r="Y51" s="65"/>
      <c r="Z51" s="65"/>
    </row>
    <row r="52" spans="2:26" ht="13.5">
      <c r="B52" s="504"/>
      <c r="C52" s="72"/>
      <c r="D52" s="541" t="s">
        <v>464</v>
      </c>
      <c r="E52" s="492"/>
      <c r="F52" s="493"/>
      <c r="G52" s="108">
        <v>8</v>
      </c>
      <c r="H52" s="108">
        <v>-2</v>
      </c>
      <c r="I52" s="109" t="s">
        <v>465</v>
      </c>
      <c r="J52" s="83"/>
      <c r="K52" s="84"/>
      <c r="L52" s="541" t="s">
        <v>464</v>
      </c>
      <c r="M52" s="493"/>
      <c r="N52" s="108">
        <v>4</v>
      </c>
      <c r="O52" s="108">
        <v>-1</v>
      </c>
      <c r="P52" s="109" t="s">
        <v>360</v>
      </c>
      <c r="Q52" s="73"/>
      <c r="R52" s="65"/>
      <c r="S52" s="65"/>
      <c r="T52" s="65"/>
      <c r="U52" s="65"/>
      <c r="V52" s="65"/>
      <c r="W52" s="65"/>
      <c r="X52" s="65"/>
      <c r="Y52" s="65"/>
      <c r="Z52" s="65"/>
    </row>
    <row r="53" spans="2:26" ht="27.75" customHeight="1">
      <c r="B53" s="504"/>
      <c r="C53" s="72"/>
      <c r="D53" s="541" t="s">
        <v>466</v>
      </c>
      <c r="E53" s="492"/>
      <c r="F53" s="493"/>
      <c r="G53" s="108">
        <v>6</v>
      </c>
      <c r="H53" s="110"/>
      <c r="I53" s="109" t="s">
        <v>467</v>
      </c>
      <c r="J53" s="83"/>
      <c r="K53" s="84"/>
      <c r="L53" s="541" t="s">
        <v>468</v>
      </c>
      <c r="M53" s="493"/>
      <c r="N53" s="108">
        <v>3</v>
      </c>
      <c r="O53" s="110"/>
      <c r="P53" s="109">
        <v>3</v>
      </c>
      <c r="Q53" s="73"/>
      <c r="R53" s="65"/>
      <c r="S53" s="65"/>
      <c r="T53" s="65"/>
      <c r="U53" s="65"/>
      <c r="V53" s="65"/>
      <c r="W53" s="65"/>
      <c r="X53" s="65"/>
      <c r="Y53" s="65"/>
      <c r="Z53" s="65"/>
    </row>
    <row r="54" spans="2:26" ht="13.5">
      <c r="B54" s="504"/>
      <c r="C54" s="72"/>
      <c r="D54" s="541" t="s">
        <v>469</v>
      </c>
      <c r="E54" s="492"/>
      <c r="F54" s="493"/>
      <c r="G54" s="108">
        <v>5</v>
      </c>
      <c r="H54" s="108" t="s">
        <v>470</v>
      </c>
      <c r="I54" s="109" t="s">
        <v>471</v>
      </c>
      <c r="J54" s="83"/>
      <c r="K54" s="84"/>
      <c r="L54" s="541" t="s">
        <v>472</v>
      </c>
      <c r="M54" s="493"/>
      <c r="N54" s="108">
        <v>4</v>
      </c>
      <c r="O54" s="108" t="s">
        <v>473</v>
      </c>
      <c r="P54" s="109" t="s">
        <v>362</v>
      </c>
      <c r="Q54" s="73"/>
      <c r="R54" s="65"/>
      <c r="S54" s="65"/>
      <c r="T54" s="65"/>
      <c r="U54" s="65"/>
      <c r="V54" s="65"/>
      <c r="W54" s="65"/>
      <c r="X54" s="65"/>
      <c r="Y54" s="65"/>
      <c r="Z54" s="65"/>
    </row>
    <row r="55" spans="2:26" ht="13.5">
      <c r="B55" s="504"/>
      <c r="C55" s="72"/>
      <c r="D55" s="541" t="s">
        <v>474</v>
      </c>
      <c r="E55" s="492"/>
      <c r="F55" s="493"/>
      <c r="G55" s="108">
        <v>5</v>
      </c>
      <c r="H55" s="108" t="s">
        <v>475</v>
      </c>
      <c r="I55" s="109" t="s">
        <v>476</v>
      </c>
      <c r="J55" s="83"/>
      <c r="K55" s="84"/>
      <c r="L55" s="541" t="s">
        <v>477</v>
      </c>
      <c r="M55" s="493"/>
      <c r="N55" s="108">
        <v>3</v>
      </c>
      <c r="O55" s="108" t="s">
        <v>473</v>
      </c>
      <c r="P55" s="109" t="s">
        <v>363</v>
      </c>
      <c r="Q55" s="73"/>
      <c r="R55" s="65"/>
      <c r="S55" s="65"/>
      <c r="T55" s="65"/>
      <c r="U55" s="65"/>
      <c r="V55" s="65"/>
      <c r="W55" s="65"/>
      <c r="X55" s="65"/>
      <c r="Y55" s="65"/>
      <c r="Z55" s="65"/>
    </row>
    <row r="56" spans="2:26" ht="13.5">
      <c r="B56" s="504"/>
      <c r="C56" s="72"/>
      <c r="D56" s="541" t="s">
        <v>478</v>
      </c>
      <c r="E56" s="492"/>
      <c r="F56" s="493"/>
      <c r="G56" s="108">
        <v>5</v>
      </c>
      <c r="H56" s="108" t="s">
        <v>475</v>
      </c>
      <c r="I56" s="109" t="s">
        <v>476</v>
      </c>
      <c r="J56" s="83"/>
      <c r="K56" s="84"/>
      <c r="L56" s="541" t="s">
        <v>389</v>
      </c>
      <c r="M56" s="493"/>
      <c r="N56" s="539" t="s">
        <v>479</v>
      </c>
      <c r="O56" s="492"/>
      <c r="P56" s="492"/>
      <c r="Q56" s="73"/>
      <c r="R56" s="65"/>
      <c r="S56" s="65"/>
      <c r="T56" s="65"/>
      <c r="U56" s="65"/>
      <c r="V56" s="65"/>
      <c r="W56" s="65"/>
      <c r="X56" s="65"/>
      <c r="Y56" s="65"/>
      <c r="Z56" s="65"/>
    </row>
    <row r="57" spans="2:26" ht="13.5">
      <c r="B57" s="504"/>
      <c r="C57" s="72"/>
      <c r="D57" s="541" t="s">
        <v>387</v>
      </c>
      <c r="E57" s="492"/>
      <c r="F57" s="493"/>
      <c r="G57" s="539" t="s">
        <v>479</v>
      </c>
      <c r="H57" s="492"/>
      <c r="I57" s="492"/>
      <c r="J57" s="83"/>
      <c r="K57" s="84"/>
      <c r="L57" s="111"/>
      <c r="M57" s="101"/>
      <c r="N57" s="101"/>
      <c r="O57" s="101"/>
      <c r="P57" s="101"/>
      <c r="Q57" s="73"/>
      <c r="R57" s="65"/>
      <c r="S57" s="65"/>
      <c r="T57" s="65"/>
      <c r="U57" s="65"/>
      <c r="V57" s="65"/>
      <c r="W57" s="65"/>
      <c r="X57" s="65"/>
      <c r="Y57" s="65"/>
      <c r="Z57" s="65"/>
    </row>
    <row r="58" spans="2:26" ht="13.5">
      <c r="B58" s="504"/>
      <c r="C58" s="72"/>
      <c r="D58" s="101"/>
      <c r="E58" s="101"/>
      <c r="F58" s="101"/>
      <c r="G58" s="101"/>
      <c r="H58" s="101"/>
      <c r="I58" s="101"/>
      <c r="J58" s="73"/>
      <c r="K58" s="74"/>
      <c r="L58" s="101"/>
      <c r="M58" s="101"/>
      <c r="N58" s="101"/>
      <c r="O58" s="101"/>
      <c r="P58" s="101"/>
      <c r="Q58" s="73"/>
      <c r="R58" s="65"/>
      <c r="S58" s="65"/>
      <c r="T58" s="65"/>
      <c r="U58" s="65"/>
      <c r="V58" s="65"/>
      <c r="W58" s="65"/>
      <c r="X58" s="65"/>
      <c r="Y58" s="65"/>
      <c r="Z58" s="65"/>
    </row>
    <row r="59" spans="2:26" ht="33.75" customHeight="1">
      <c r="B59" s="504"/>
      <c r="C59" s="72"/>
      <c r="D59" s="544" t="s">
        <v>480</v>
      </c>
      <c r="E59" s="529"/>
      <c r="F59" s="529"/>
      <c r="G59" s="529"/>
      <c r="H59" s="529"/>
      <c r="I59" s="529"/>
      <c r="J59" s="73"/>
      <c r="K59" s="74"/>
      <c r="L59" s="544" t="s">
        <v>481</v>
      </c>
      <c r="M59" s="544"/>
      <c r="N59" s="544"/>
      <c r="O59" s="544"/>
      <c r="P59" s="544"/>
      <c r="Q59" s="73"/>
      <c r="R59" s="65"/>
      <c r="S59" s="65"/>
      <c r="T59" s="65"/>
      <c r="U59" s="65"/>
      <c r="V59" s="65"/>
      <c r="W59" s="65"/>
      <c r="X59" s="65"/>
      <c r="Y59" s="65"/>
      <c r="Z59" s="65"/>
    </row>
    <row r="60" spans="2:26" ht="5.25" customHeight="1" thickBot="1">
      <c r="B60" s="505"/>
      <c r="C60" s="75"/>
      <c r="D60" s="76"/>
      <c r="E60" s="76"/>
      <c r="F60" s="76"/>
      <c r="G60" s="76"/>
      <c r="H60" s="76"/>
      <c r="I60" s="76"/>
      <c r="J60" s="77"/>
      <c r="K60" s="78"/>
      <c r="L60" s="76"/>
      <c r="M60" s="76"/>
      <c r="N60" s="76"/>
      <c r="O60" s="76"/>
      <c r="P60" s="76"/>
      <c r="Q60" s="77"/>
      <c r="R60" s="65"/>
      <c r="S60" s="65"/>
      <c r="T60" s="65"/>
      <c r="U60" s="65"/>
      <c r="V60" s="65"/>
      <c r="W60" s="65"/>
      <c r="X60" s="65"/>
      <c r="Y60" s="65"/>
      <c r="Z60" s="65"/>
    </row>
    <row r="61" spans="2:26" ht="5.25" customHeight="1">
      <c r="B61" s="546" t="s">
        <v>482</v>
      </c>
      <c r="C61" s="72"/>
      <c r="D61" s="101"/>
      <c r="E61" s="101"/>
      <c r="F61" s="101"/>
      <c r="G61" s="101"/>
      <c r="H61" s="101"/>
      <c r="I61" s="101"/>
      <c r="J61" s="101"/>
      <c r="K61" s="71"/>
      <c r="L61" s="69"/>
      <c r="M61" s="69"/>
      <c r="N61" s="69"/>
      <c r="O61" s="69"/>
      <c r="P61" s="69"/>
      <c r="Q61" s="70"/>
      <c r="R61" s="65"/>
      <c r="S61" s="65"/>
      <c r="T61" s="65"/>
      <c r="U61" s="65"/>
      <c r="V61" s="65"/>
      <c r="W61" s="65"/>
      <c r="X61" s="65"/>
      <c r="Y61" s="65"/>
      <c r="Z61" s="65"/>
    </row>
    <row r="62" spans="2:26" ht="13.5">
      <c r="B62" s="547"/>
      <c r="C62" s="72"/>
      <c r="D62" s="101"/>
      <c r="E62" s="101"/>
      <c r="F62" s="101"/>
      <c r="G62" s="101"/>
      <c r="H62" s="101"/>
      <c r="I62" s="101"/>
      <c r="J62" s="101"/>
      <c r="K62" s="74"/>
      <c r="L62" s="101" t="s">
        <v>483</v>
      </c>
      <c r="M62" s="101"/>
      <c r="N62" s="101"/>
      <c r="O62" s="101"/>
      <c r="P62" s="101"/>
      <c r="Q62" s="73"/>
      <c r="R62" s="65"/>
      <c r="S62" s="65"/>
      <c r="T62" s="65"/>
      <c r="U62" s="65"/>
      <c r="V62" s="65"/>
      <c r="W62" s="65"/>
      <c r="X62" s="65"/>
      <c r="Y62" s="65"/>
      <c r="Z62" s="65"/>
    </row>
    <row r="63" spans="2:26" ht="13.5">
      <c r="B63" s="547"/>
      <c r="C63" s="72"/>
      <c r="D63" s="101"/>
      <c r="E63" s="101"/>
      <c r="F63" s="101"/>
      <c r="G63" s="101"/>
      <c r="H63" s="101"/>
      <c r="I63" s="101"/>
      <c r="J63" s="101"/>
      <c r="K63" s="74"/>
      <c r="L63" s="101" t="s">
        <v>484</v>
      </c>
      <c r="M63" s="101"/>
      <c r="N63" s="101"/>
      <c r="O63" s="101"/>
      <c r="P63" s="101"/>
      <c r="Q63" s="73"/>
      <c r="R63" s="65"/>
      <c r="S63" s="65"/>
      <c r="T63" s="65"/>
      <c r="U63" s="65"/>
      <c r="V63" s="65"/>
      <c r="W63" s="65"/>
      <c r="X63" s="65"/>
      <c r="Y63" s="65"/>
      <c r="Z63" s="65"/>
    </row>
    <row r="64" spans="2:26" ht="13.5">
      <c r="B64" s="547"/>
      <c r="C64" s="72"/>
      <c r="D64" s="101"/>
      <c r="E64" s="101"/>
      <c r="F64" s="101"/>
      <c r="G64" s="101"/>
      <c r="H64" s="101"/>
      <c r="I64" s="101"/>
      <c r="J64" s="101"/>
      <c r="K64" s="74"/>
      <c r="L64" s="548" t="s">
        <v>366</v>
      </c>
      <c r="M64" s="549" t="s">
        <v>485</v>
      </c>
      <c r="N64" s="493"/>
      <c r="O64" s="549" t="s">
        <v>486</v>
      </c>
      <c r="P64" s="492"/>
      <c r="Q64" s="73"/>
      <c r="R64" s="65"/>
      <c r="S64" s="65"/>
      <c r="T64" s="65"/>
      <c r="U64" s="65"/>
      <c r="V64" s="65"/>
      <c r="W64" s="65"/>
      <c r="X64" s="65"/>
      <c r="Y64" s="65"/>
      <c r="Z64" s="65"/>
    </row>
    <row r="65" spans="2:26" ht="13.5">
      <c r="B65" s="547"/>
      <c r="C65" s="72"/>
      <c r="D65" s="101"/>
      <c r="E65" s="101"/>
      <c r="F65" s="101"/>
      <c r="G65" s="101"/>
      <c r="H65" s="101"/>
      <c r="I65" s="101"/>
      <c r="J65" s="101"/>
      <c r="K65" s="74"/>
      <c r="L65" s="509"/>
      <c r="M65" s="104" t="s">
        <v>0</v>
      </c>
      <c r="N65" s="104" t="s">
        <v>487</v>
      </c>
      <c r="O65" s="104" t="s">
        <v>0</v>
      </c>
      <c r="P65" s="112" t="s">
        <v>487</v>
      </c>
      <c r="Q65" s="73"/>
      <c r="R65" s="65"/>
      <c r="S65" s="65"/>
      <c r="T65" s="65"/>
      <c r="U65" s="65"/>
      <c r="V65" s="65"/>
      <c r="W65" s="65"/>
      <c r="X65" s="65"/>
      <c r="Y65" s="65"/>
      <c r="Z65" s="65"/>
    </row>
    <row r="66" spans="2:26" ht="13.5">
      <c r="B66" s="547"/>
      <c r="C66" s="72"/>
      <c r="D66" s="101"/>
      <c r="E66" s="101"/>
      <c r="F66" s="101"/>
      <c r="G66" s="101"/>
      <c r="H66" s="101"/>
      <c r="I66" s="101"/>
      <c r="J66" s="101"/>
      <c r="K66" s="74"/>
      <c r="L66" s="113" t="s">
        <v>196</v>
      </c>
      <c r="M66" s="114">
        <v>2</v>
      </c>
      <c r="N66" s="114">
        <v>2</v>
      </c>
      <c r="O66" s="114">
        <v>4</v>
      </c>
      <c r="P66" s="103">
        <v>0</v>
      </c>
      <c r="Q66" s="73"/>
      <c r="R66" s="65"/>
      <c r="S66" s="65"/>
      <c r="T66" s="65"/>
      <c r="U66" s="65"/>
      <c r="V66" s="65"/>
      <c r="W66" s="65"/>
      <c r="X66" s="65"/>
      <c r="Y66" s="65"/>
      <c r="Z66" s="65"/>
    </row>
    <row r="67" spans="2:26" ht="13.5">
      <c r="B67" s="547"/>
      <c r="C67" s="72"/>
      <c r="D67" s="101"/>
      <c r="E67" s="101"/>
      <c r="F67" s="101"/>
      <c r="G67" s="101"/>
      <c r="H67" s="101"/>
      <c r="I67" s="101"/>
      <c r="J67" s="101"/>
      <c r="K67" s="74"/>
      <c r="L67" s="113" t="s">
        <v>210</v>
      </c>
      <c r="M67" s="114">
        <v>2</v>
      </c>
      <c r="N67" s="114">
        <v>2</v>
      </c>
      <c r="O67" s="114">
        <v>0</v>
      </c>
      <c r="P67" s="103">
        <v>4</v>
      </c>
      <c r="Q67" s="73"/>
      <c r="R67" s="65"/>
      <c r="S67" s="65"/>
      <c r="T67" s="65"/>
      <c r="U67" s="65"/>
      <c r="V67" s="65"/>
      <c r="W67" s="65"/>
      <c r="X67" s="65"/>
      <c r="Y67" s="65"/>
      <c r="Z67" s="65"/>
    </row>
    <row r="68" spans="2:26" ht="13.5">
      <c r="B68" s="547"/>
      <c r="C68" s="72"/>
      <c r="D68" s="101"/>
      <c r="E68" s="101"/>
      <c r="F68" s="101"/>
      <c r="G68" s="101"/>
      <c r="H68" s="101"/>
      <c r="I68" s="101"/>
      <c r="J68" s="101"/>
      <c r="K68" s="74"/>
      <c r="L68" s="113" t="s">
        <v>199</v>
      </c>
      <c r="M68" s="114">
        <v>2</v>
      </c>
      <c r="N68" s="114">
        <v>2</v>
      </c>
      <c r="O68" s="114">
        <v>4</v>
      </c>
      <c r="P68" s="103">
        <v>0</v>
      </c>
      <c r="Q68" s="73"/>
      <c r="R68" s="65"/>
      <c r="S68" s="65"/>
      <c r="T68" s="65"/>
      <c r="U68" s="65"/>
      <c r="V68" s="65"/>
      <c r="W68" s="65"/>
      <c r="X68" s="65"/>
      <c r="Y68" s="65"/>
      <c r="Z68" s="65"/>
    </row>
    <row r="69" spans="2:26" ht="13.5">
      <c r="B69" s="547"/>
      <c r="C69" s="72"/>
      <c r="D69" s="101"/>
      <c r="E69" s="101"/>
      <c r="F69" s="101"/>
      <c r="G69" s="101"/>
      <c r="H69" s="101"/>
      <c r="I69" s="101"/>
      <c r="J69" s="101"/>
      <c r="K69" s="74"/>
      <c r="L69" s="101" t="s">
        <v>488</v>
      </c>
      <c r="M69" s="101"/>
      <c r="N69" s="101"/>
      <c r="O69" s="101"/>
      <c r="P69" s="101"/>
      <c r="Q69" s="73"/>
      <c r="R69" s="65"/>
      <c r="S69" s="65"/>
      <c r="T69" s="65"/>
      <c r="U69" s="65"/>
      <c r="V69" s="65"/>
      <c r="W69" s="65"/>
      <c r="X69" s="65"/>
      <c r="Y69" s="65"/>
      <c r="Z69" s="65"/>
    </row>
    <row r="70" spans="2:26" ht="13.5">
      <c r="B70" s="547"/>
      <c r="C70" s="72"/>
      <c r="D70" s="101"/>
      <c r="E70" s="101"/>
      <c r="F70" s="101"/>
      <c r="G70" s="101"/>
      <c r="H70" s="101"/>
      <c r="I70" s="101"/>
      <c r="J70" s="101"/>
      <c r="K70" s="74"/>
      <c r="L70" s="548" t="s">
        <v>366</v>
      </c>
      <c r="M70" s="549" t="s">
        <v>485</v>
      </c>
      <c r="N70" s="493"/>
      <c r="O70" s="549" t="s">
        <v>486</v>
      </c>
      <c r="P70" s="492"/>
      <c r="Q70" s="73"/>
      <c r="R70" s="65"/>
      <c r="S70" s="65"/>
      <c r="T70" s="65"/>
      <c r="U70" s="65"/>
      <c r="V70" s="65"/>
      <c r="W70" s="65"/>
      <c r="X70" s="65"/>
      <c r="Y70" s="65"/>
      <c r="Z70" s="65"/>
    </row>
    <row r="71" spans="2:26" ht="13.5">
      <c r="B71" s="547"/>
      <c r="C71" s="72"/>
      <c r="D71" s="101"/>
      <c r="E71" s="101"/>
      <c r="F71" s="101"/>
      <c r="G71" s="101"/>
      <c r="H71" s="101"/>
      <c r="I71" s="101"/>
      <c r="J71" s="101"/>
      <c r="K71" s="74"/>
      <c r="L71" s="509"/>
      <c r="M71" s="104" t="s">
        <v>0</v>
      </c>
      <c r="N71" s="104" t="s">
        <v>487</v>
      </c>
      <c r="O71" s="104" t="s">
        <v>0</v>
      </c>
      <c r="P71" s="112" t="s">
        <v>487</v>
      </c>
      <c r="Q71" s="73"/>
      <c r="R71" s="65"/>
      <c r="S71" s="65"/>
      <c r="T71" s="65"/>
      <c r="U71" s="65"/>
      <c r="V71" s="65"/>
      <c r="W71" s="65"/>
      <c r="X71" s="65"/>
      <c r="Y71" s="65"/>
      <c r="Z71" s="65"/>
    </row>
    <row r="72" spans="2:26" ht="13.5">
      <c r="B72" s="547"/>
      <c r="C72" s="72"/>
      <c r="D72" s="101"/>
      <c r="E72" s="101"/>
      <c r="F72" s="101"/>
      <c r="G72" s="101"/>
      <c r="H72" s="101"/>
      <c r="I72" s="101"/>
      <c r="J72" s="101"/>
      <c r="K72" s="74"/>
      <c r="L72" s="113" t="s">
        <v>452</v>
      </c>
      <c r="M72" s="114">
        <v>1</v>
      </c>
      <c r="N72" s="114">
        <v>1</v>
      </c>
      <c r="O72" s="114">
        <v>2</v>
      </c>
      <c r="P72" s="103">
        <v>0</v>
      </c>
      <c r="Q72" s="73"/>
      <c r="R72" s="65"/>
      <c r="S72" s="65"/>
      <c r="T72" s="65"/>
      <c r="U72" s="65"/>
      <c r="V72" s="65"/>
      <c r="W72" s="65"/>
      <c r="X72" s="65"/>
      <c r="Y72" s="65"/>
      <c r="Z72" s="65"/>
    </row>
    <row r="73" spans="2:26" ht="13.5">
      <c r="B73" s="547"/>
      <c r="C73" s="72"/>
      <c r="D73" s="101"/>
      <c r="E73" s="101"/>
      <c r="F73" s="101"/>
      <c r="G73" s="101"/>
      <c r="H73" s="101"/>
      <c r="I73" s="101"/>
      <c r="J73" s="101"/>
      <c r="K73" s="74"/>
      <c r="L73" s="113" t="s">
        <v>456</v>
      </c>
      <c r="M73" s="114">
        <v>2</v>
      </c>
      <c r="N73" s="114">
        <v>2</v>
      </c>
      <c r="O73" s="114">
        <v>0</v>
      </c>
      <c r="P73" s="103">
        <v>4</v>
      </c>
      <c r="Q73" s="73"/>
      <c r="R73" s="65"/>
      <c r="S73" s="65"/>
      <c r="T73" s="65"/>
      <c r="U73" s="65"/>
      <c r="V73" s="65"/>
      <c r="W73" s="65"/>
      <c r="X73" s="65"/>
      <c r="Y73" s="65"/>
      <c r="Z73" s="65"/>
    </row>
    <row r="74" spans="2:26" ht="13.5">
      <c r="B74" s="547"/>
      <c r="C74" s="72"/>
      <c r="D74" s="101"/>
      <c r="E74" s="101"/>
      <c r="F74" s="101"/>
      <c r="G74" s="101"/>
      <c r="H74" s="101"/>
      <c r="I74" s="101"/>
      <c r="J74" s="101"/>
      <c r="K74" s="74"/>
      <c r="L74" s="550" t="s">
        <v>489</v>
      </c>
      <c r="M74" s="543" t="s">
        <v>490</v>
      </c>
      <c r="N74" s="543" t="s">
        <v>490</v>
      </c>
      <c r="O74" s="115">
        <v>8</v>
      </c>
      <c r="P74" s="116">
        <v>0</v>
      </c>
      <c r="Q74" s="73"/>
      <c r="R74" s="65"/>
      <c r="S74" s="65"/>
      <c r="T74" s="65"/>
      <c r="U74" s="65"/>
      <c r="V74" s="65"/>
      <c r="W74" s="65"/>
      <c r="X74" s="65"/>
      <c r="Y74" s="65"/>
      <c r="Z74" s="65"/>
    </row>
    <row r="75" spans="2:26" ht="13.5">
      <c r="B75" s="547"/>
      <c r="C75" s="72"/>
      <c r="D75" s="101"/>
      <c r="E75" s="101"/>
      <c r="F75" s="101"/>
      <c r="G75" s="101"/>
      <c r="H75" s="101"/>
      <c r="I75" s="101"/>
      <c r="J75" s="101"/>
      <c r="K75" s="74"/>
      <c r="L75" s="551"/>
      <c r="M75" s="519"/>
      <c r="N75" s="519"/>
      <c r="O75" s="115">
        <v>4</v>
      </c>
      <c r="P75" s="116">
        <v>4</v>
      </c>
      <c r="Q75" s="73"/>
      <c r="R75" s="65"/>
      <c r="S75" s="65"/>
      <c r="T75" s="65"/>
      <c r="U75" s="65"/>
      <c r="V75" s="65"/>
      <c r="W75" s="65"/>
      <c r="X75" s="65"/>
      <c r="Y75" s="65"/>
      <c r="Z75" s="65"/>
    </row>
    <row r="76" spans="2:26" ht="33.75" customHeight="1">
      <c r="B76" s="547"/>
      <c r="C76" s="72"/>
      <c r="D76" s="101"/>
      <c r="E76" s="101"/>
      <c r="F76" s="101"/>
      <c r="G76" s="101"/>
      <c r="H76" s="101"/>
      <c r="I76" s="101"/>
      <c r="J76" s="101"/>
      <c r="K76" s="74"/>
      <c r="L76" s="544" t="s">
        <v>491</v>
      </c>
      <c r="M76" s="529"/>
      <c r="N76" s="529"/>
      <c r="O76" s="529"/>
      <c r="P76" s="529"/>
      <c r="Q76" s="73"/>
      <c r="R76" s="65"/>
      <c r="S76" s="65"/>
      <c r="T76" s="65"/>
      <c r="U76" s="65"/>
      <c r="V76" s="65"/>
      <c r="W76" s="65"/>
      <c r="X76" s="65"/>
      <c r="Y76" s="65"/>
      <c r="Z76" s="65"/>
    </row>
    <row r="77" spans="2:26" ht="5.25" customHeight="1">
      <c r="B77" s="547"/>
      <c r="C77" s="117"/>
      <c r="D77" s="118"/>
      <c r="E77" s="118"/>
      <c r="F77" s="118"/>
      <c r="G77" s="118"/>
      <c r="H77" s="118"/>
      <c r="I77" s="118"/>
      <c r="J77" s="118"/>
      <c r="K77" s="119"/>
      <c r="L77" s="118"/>
      <c r="M77" s="118"/>
      <c r="N77" s="118"/>
      <c r="O77" s="118"/>
      <c r="P77" s="118"/>
      <c r="Q77" s="120"/>
      <c r="R77" s="65"/>
      <c r="S77" s="65"/>
      <c r="T77" s="65"/>
      <c r="U77" s="65"/>
      <c r="V77" s="65"/>
      <c r="W77" s="65"/>
      <c r="X77" s="65"/>
      <c r="Y77" s="65"/>
      <c r="Z77" s="65"/>
    </row>
    <row r="78" spans="2:26" ht="5.25" customHeight="1">
      <c r="B78" s="545" t="s">
        <v>492</v>
      </c>
      <c r="C78" s="121"/>
      <c r="D78" s="122"/>
      <c r="E78" s="122"/>
      <c r="F78" s="122"/>
      <c r="G78" s="122"/>
      <c r="H78" s="122"/>
      <c r="I78" s="122"/>
      <c r="J78" s="122"/>
      <c r="K78" s="123"/>
      <c r="L78" s="122"/>
      <c r="M78" s="122"/>
      <c r="N78" s="122"/>
      <c r="O78" s="122"/>
      <c r="P78" s="122"/>
      <c r="Q78" s="124"/>
      <c r="R78" s="65"/>
      <c r="S78" s="65"/>
      <c r="T78" s="65"/>
      <c r="U78" s="65"/>
      <c r="V78" s="65"/>
      <c r="W78" s="65"/>
      <c r="X78" s="65"/>
      <c r="Y78" s="65"/>
      <c r="Z78" s="65"/>
    </row>
    <row r="79" spans="2:26" ht="13.5">
      <c r="B79" s="504"/>
      <c r="C79" s="72"/>
      <c r="D79" s="101" t="s">
        <v>493</v>
      </c>
      <c r="E79" s="101"/>
      <c r="F79" s="101"/>
      <c r="G79" s="101"/>
      <c r="H79" s="101"/>
      <c r="I79" s="101"/>
      <c r="J79" s="101"/>
      <c r="K79" s="74"/>
      <c r="L79" s="101" t="s">
        <v>494</v>
      </c>
      <c r="M79" s="101"/>
      <c r="N79" s="101"/>
      <c r="O79" s="101"/>
      <c r="P79" s="101"/>
      <c r="Q79" s="73"/>
      <c r="R79" s="65"/>
      <c r="S79" s="65"/>
      <c r="T79" s="65"/>
      <c r="U79" s="65"/>
      <c r="V79" s="65"/>
      <c r="W79" s="65"/>
      <c r="X79" s="65"/>
      <c r="Y79" s="65"/>
      <c r="Z79" s="65"/>
    </row>
    <row r="80" spans="2:26" ht="13.5">
      <c r="B80" s="504"/>
      <c r="C80" s="72"/>
      <c r="D80" s="101"/>
      <c r="E80" s="101"/>
      <c r="F80" s="101"/>
      <c r="G80" s="101"/>
      <c r="H80" s="101"/>
      <c r="I80" s="101"/>
      <c r="J80" s="101"/>
      <c r="K80" s="74"/>
      <c r="L80" s="101" t="s">
        <v>495</v>
      </c>
      <c r="M80" s="101"/>
      <c r="N80" s="101"/>
      <c r="O80" s="101"/>
      <c r="P80" s="101"/>
      <c r="Q80" s="73"/>
      <c r="R80" s="65"/>
      <c r="S80" s="65"/>
      <c r="T80" s="65"/>
      <c r="U80" s="65"/>
      <c r="V80" s="65"/>
      <c r="W80" s="65"/>
      <c r="X80" s="65"/>
      <c r="Y80" s="65"/>
      <c r="Z80" s="65"/>
    </row>
    <row r="81" spans="2:26" ht="5.25" customHeight="1" thickBot="1">
      <c r="B81" s="505"/>
      <c r="C81" s="75"/>
      <c r="D81" s="76"/>
      <c r="E81" s="76"/>
      <c r="F81" s="76"/>
      <c r="G81" s="76"/>
      <c r="H81" s="76"/>
      <c r="I81" s="76"/>
      <c r="J81" s="76"/>
      <c r="K81" s="78"/>
      <c r="L81" s="76"/>
      <c r="M81" s="76"/>
      <c r="N81" s="76"/>
      <c r="O81" s="76"/>
      <c r="P81" s="76"/>
      <c r="Q81" s="77"/>
      <c r="R81" s="65"/>
      <c r="S81" s="65"/>
      <c r="T81" s="65"/>
      <c r="U81" s="65"/>
      <c r="V81" s="65"/>
      <c r="W81" s="65"/>
      <c r="X81" s="65"/>
      <c r="Y81" s="65"/>
      <c r="Z81" s="65"/>
    </row>
    <row r="82" spans="2:26" ht="4.5" customHeight="1"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2:26" ht="13.5" hidden="1"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2:26" ht="13.5" hidden="1"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2:26" ht="13.5" hidden="1"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2:26" ht="13.5" hidden="1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2:26" ht="13.5" hidden="1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2:26" ht="13.5" hidden="1"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2:26" ht="13.5" hidden="1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2:26" ht="13.5" hidden="1"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2:26" ht="13.5" hidden="1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2:26" ht="13.5" hidden="1"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2:26" ht="13.5" hidden="1"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2:26" ht="13.5" hidden="1"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2:26" ht="13.5" hidden="1"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2:26" ht="13.5" hidden="1"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2:26" ht="13.5" hidden="1"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2:26" ht="13.5" hidden="1"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2:26" ht="13.5" hidden="1"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2:26" ht="13.5" hidden="1"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2:26" ht="13.5" hidden="1"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2:26" ht="13.5" hidden="1"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2:26" ht="13.5" hidden="1"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2:26" ht="13.5" hidden="1"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2:26" ht="13.5" hidden="1"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2:26" ht="13.5" hidden="1"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2:26" ht="13.5" hidden="1"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2:26" ht="13.5" hidden="1"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2:26" ht="13.5" hidden="1"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2:26" ht="13.5" hidden="1"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2:26" ht="13.5" hidden="1"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2:26" ht="13.5" hidden="1"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2:26" ht="13.5" hidden="1"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2:26" ht="13.5" hidden="1"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2:26" ht="13.5" hidden="1"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2:26" ht="13.5" hidden="1"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2:26" ht="13.5" hidden="1"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2:26" ht="13.5" hidden="1"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2:26" ht="13.5" hidden="1"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2:26" ht="13.5" hidden="1"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2:26" ht="13.5" hidden="1"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2:26" ht="13.5" hidden="1"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2:26" ht="13.5" hidden="1"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2:26" ht="13.5" hidden="1"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2:26" ht="13.5" hidden="1"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2:26" ht="13.5" hidden="1"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2:26" ht="13.5" hidden="1"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2:26" ht="13.5" hidden="1"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2:26" ht="13.5" hidden="1"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2:26" ht="13.5" hidden="1"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2:26" ht="13.5" hidden="1"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2:26" ht="13.5" hidden="1"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2:26" ht="13.5" hidden="1"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2:26" ht="13.5" hidden="1"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2:26" ht="13.5" hidden="1"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2:26" ht="13.5" hidden="1"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2:26" ht="13.5" hidden="1"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2:26" ht="13.5" hidden="1"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2:26" ht="13.5" hidden="1"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2:26" ht="13.5" hidden="1"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2:26" ht="13.5" hidden="1"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2:26" ht="13.5" hidden="1"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2:26" ht="13.5" hidden="1"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2:26" ht="13.5" hidden="1"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2:26" ht="13.5" hidden="1"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2:26" ht="13.5" hidden="1"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2:26" ht="13.5" hidden="1"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2:26" ht="13.5" hidden="1"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2:26" ht="13.5" hidden="1"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2:26" ht="13.5" hidden="1"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2:26" ht="13.5" hidden="1"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2:26" ht="13.5" hidden="1"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2:26" ht="13.5" hidden="1"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2:26" ht="13.5" hidden="1"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2:26" ht="13.5" hidden="1"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2:26" ht="13.5" hidden="1"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2:26" ht="13.5" hidden="1"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2:26" ht="13.5" hidden="1"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2:26" ht="13.5" hidden="1"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2:26" ht="13.5" hidden="1"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2:26" ht="13.5" hidden="1"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2:26" ht="13.5" hidden="1"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2:26" ht="13.5" hidden="1"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2:26" ht="13.5" hidden="1"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2:26" ht="13.5" hidden="1"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2:26" ht="13.5" hidden="1"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2:26" ht="13.5" hidden="1"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2:26" ht="13.5" hidden="1"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2:26" ht="13.5" hidden="1"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2:26" ht="13.5" hidden="1"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2:26" ht="13.5" hidden="1"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2:26" ht="13.5" hidden="1"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2:26" ht="13.5" hidden="1"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2:26" ht="13.5" hidden="1"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2:26" ht="13.5" hidden="1"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2:26" ht="13.5" hidden="1"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2:26" ht="13.5" hidden="1"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2:26" ht="13.5" hidden="1"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2:26" ht="13.5" hidden="1"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2:26" ht="13.5" hidden="1"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2:26" ht="13.5" hidden="1"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2:26" ht="13.5" hidden="1"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2:26" ht="13.5" hidden="1"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2:26" ht="13.5" hidden="1"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2:26" ht="13.5" hidden="1"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2:26" ht="13.5" hidden="1"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2:26" ht="13.5" hidden="1"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2:26" ht="13.5" hidden="1"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2:26" ht="13.5" hidden="1"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2:26" ht="13.5" hidden="1"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2:26" ht="13.5" hidden="1"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2:26" ht="13.5" hidden="1"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2:26" ht="13.5" hidden="1"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2:26" ht="13.5" hidden="1"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2:26" ht="13.5" hidden="1"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2:26" ht="13.5" hidden="1"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2:26" ht="13.5" hidden="1"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2:26" ht="13.5" hidden="1"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2:26" ht="13.5" hidden="1"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2:26" ht="13.5" hidden="1"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2:26" ht="13.5" hidden="1"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2:26" ht="13.5" hidden="1"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2:26" ht="13.5" hidden="1"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2:26" ht="13.5" hidden="1"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2:26" ht="13.5" hidden="1"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2:26" ht="13.5" hidden="1"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2:26" ht="13.5" hidden="1"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2:26" ht="13.5" hidden="1"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2:26" ht="13.5" hidden="1"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2:26" ht="13.5" hidden="1"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2:26" ht="13.5" hidden="1"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2:26" ht="13.5" hidden="1"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2:26" ht="13.5" hidden="1"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2:26" ht="13.5" hidden="1"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2:26" ht="13.5" hidden="1"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2:26" ht="13.5" hidden="1"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2:26" ht="13.5" hidden="1"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2:26" ht="13.5" hidden="1"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2:26" ht="13.5" hidden="1"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2:26" ht="13.5" hidden="1"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2:26" ht="13.5" hidden="1"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2:26" ht="13.5" hidden="1"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2:26" ht="13.5" hidden="1"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2:26" ht="13.5" hidden="1"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2:26" ht="13.5" hidden="1"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2:26" ht="13.5" hidden="1"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2:26" ht="13.5" hidden="1"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2:26" ht="13.5" hidden="1"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2:26" ht="13.5" hidden="1"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2:26" ht="13.5" hidden="1"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2:26" ht="13.5" hidden="1"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2:26" ht="13.5" hidden="1"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2:26" ht="13.5" hidden="1"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2:26" ht="13.5" hidden="1"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2:26" ht="13.5" hidden="1"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2:26" ht="13.5" hidden="1"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2:26" ht="13.5" hidden="1"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2:26" ht="13.5" hidden="1"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2:26" ht="13.5" hidden="1"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2:26" ht="13.5" hidden="1"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2:26" ht="13.5" hidden="1"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2:26" ht="13.5" hidden="1"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2:26" ht="13.5" hidden="1"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2:26" ht="13.5" hidden="1"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2:26" ht="13.5" hidden="1"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2:26" ht="13.5" hidden="1"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2:26" ht="13.5" hidden="1"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2:26" ht="13.5" hidden="1"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2:26" ht="13.5" hidden="1"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2:26" ht="13.5" hidden="1"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2:26" ht="13.5" hidden="1"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2:26" ht="13.5" hidden="1"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2:26" ht="13.5" hidden="1"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2:26" ht="13.5" hidden="1"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2:26" ht="13.5" hidden="1"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2:26" ht="13.5" hidden="1"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2:26" ht="13.5" hidden="1"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2:26" ht="13.5" hidden="1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2:26" ht="13.5" hidden="1"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2:26" ht="13.5" hidden="1"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2:26" ht="13.5" hidden="1"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2:26" ht="13.5" hidden="1"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2:26" ht="13.5" hidden="1"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2:26" ht="13.5" hidden="1"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2:26" ht="13.5" hidden="1"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2:26" ht="13.5" hidden="1"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2:26" ht="13.5" hidden="1"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2:26" ht="13.5" hidden="1"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2:26" ht="13.5" hidden="1"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2:26" ht="13.5" hidden="1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2:26" ht="13.5" hidden="1"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2:26" ht="13.5" hidden="1"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2:26" ht="13.5" hidden="1"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2:26" ht="13.5" hidden="1"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2:26" ht="13.5" hidden="1"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2:26" ht="13.5" hidden="1"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2:26" ht="13.5" hidden="1"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2:26" ht="13.5" hidden="1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2:26" ht="13.5" hidden="1"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2:26" ht="13.5" hidden="1"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2:26" ht="13.5" hidden="1"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2:26" ht="13.5" hidden="1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2:26" ht="13.5" hidden="1"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2:26" ht="13.5" hidden="1"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2:26" ht="13.5" hidden="1"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2:26" ht="13.5" hidden="1"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2:26" ht="13.5" hidden="1"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2:26" ht="13.5" hidden="1"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2:26" ht="13.5" hidden="1"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2:26" ht="13.5" hidden="1"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2:26" ht="13.5" hidden="1"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2:26" ht="13.5" hidden="1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2:26" ht="13.5" hidden="1"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2:26" ht="13.5" hidden="1"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2:26" ht="13.5" hidden="1"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2:26" ht="13.5" hidden="1"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2:26" ht="13.5" hidden="1"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2:26" ht="13.5" hidden="1"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2:26" ht="13.5" hidden="1"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2:26" ht="13.5" hidden="1"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2:26" ht="13.5" hidden="1"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2:26" ht="13.5" hidden="1"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2:26" ht="13.5" hidden="1"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2:26" ht="13.5" hidden="1"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2:26" ht="13.5" hidden="1"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2:26" ht="13.5" hidden="1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2:26" ht="13.5" hidden="1"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2:26" ht="13.5" hidden="1"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2:26" ht="13.5" hidden="1"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2:26" ht="13.5" hidden="1"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2:26" ht="13.5" hidden="1"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2:26" ht="13.5" hidden="1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2:26" ht="13.5" hidden="1"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2:26" ht="13.5" hidden="1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2:26" ht="13.5" hidden="1"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2:26" ht="13.5" hidden="1"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2:26" ht="13.5" hidden="1"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2:26" ht="13.5" hidden="1"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2:26" ht="13.5" hidden="1"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2:26" ht="13.5" hidden="1"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2:26" ht="13.5" hidden="1"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2:26" ht="13.5" hidden="1"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2:26" ht="13.5" hidden="1"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2:26" ht="13.5" hidden="1"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2:26" ht="13.5" hidden="1"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2:26" ht="13.5" hidden="1"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2:26" ht="13.5" hidden="1"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2:26" ht="13.5" hidden="1"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2:26" ht="13.5" hidden="1"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2:26" ht="13.5" hidden="1"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2:26" ht="13.5" hidden="1"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2:26" ht="13.5" hidden="1"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2:26" ht="13.5" hidden="1"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2:26" ht="13.5" hidden="1"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2:26" ht="13.5" hidden="1"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2:26" ht="13.5" hidden="1"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2:26" ht="13.5" hidden="1"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2:26" ht="13.5" hidden="1"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2:26" ht="13.5" hidden="1"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2:26" ht="13.5" hidden="1"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2:26" ht="13.5" hidden="1"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2:26" ht="13.5" hidden="1"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2:26" ht="13.5" hidden="1"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2:26" ht="13.5" hidden="1"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2:26" ht="13.5" hidden="1"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2:26" ht="13.5" hidden="1"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2:26" ht="13.5" hidden="1"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2:26" ht="13.5" hidden="1"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2:26" ht="13.5" hidden="1"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2:26" ht="13.5" hidden="1"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2:26" ht="13.5" hidden="1"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2:26" ht="13.5" hidden="1"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2:26" ht="13.5" hidden="1"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2:26" ht="13.5" hidden="1"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2:26" ht="13.5" hidden="1"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2:26" ht="13.5" hidden="1"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2:26" ht="13.5" hidden="1"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2:26" ht="13.5" hidden="1"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2:26" ht="13.5" hidden="1"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2:26" ht="13.5" hidden="1"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2:26" ht="13.5" hidden="1"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2:26" ht="13.5" hidden="1"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2:26" ht="13.5" hidden="1"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2:26" ht="13.5" hidden="1"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2:26" ht="13.5" hidden="1"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2:26" ht="13.5" hidden="1"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2:26" ht="13.5" hidden="1"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2:26" ht="13.5" hidden="1"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2:26" ht="13.5" hidden="1"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2:26" ht="13.5" hidden="1"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2:26" ht="13.5" hidden="1"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2:26" ht="13.5" hidden="1"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2:26" ht="13.5" hidden="1"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2:26" ht="13.5" hidden="1"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2:26" ht="13.5" hidden="1"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2:26" ht="13.5" hidden="1"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2:26" ht="13.5" hidden="1"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2:26" ht="13.5" hidden="1"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2:26" ht="13.5" hidden="1"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2:26" ht="13.5" hidden="1"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2:26" ht="13.5" hidden="1"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2:26" ht="13.5" hidden="1"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2:26" ht="13.5" hidden="1"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2:26" ht="13.5" hidden="1"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2:26" ht="13.5" hidden="1"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2:26" ht="13.5" hidden="1"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2:26" ht="13.5" hidden="1"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2:26" ht="13.5" hidden="1"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2:26" ht="13.5" hidden="1"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2:26" ht="13.5" hidden="1"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2:26" ht="13.5" hidden="1"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2:26" ht="13.5" hidden="1"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2:26" ht="13.5" hidden="1"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2:26" ht="13.5" hidden="1"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2:26" ht="13.5" hidden="1"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2:26" ht="13.5" hidden="1"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2:26" ht="13.5" hidden="1"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2:26" ht="13.5" hidden="1"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2:26" ht="13.5" hidden="1"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2:26" ht="13.5" hidden="1"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2:26" ht="13.5" hidden="1"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2:26" ht="13.5" hidden="1"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2:26" ht="13.5" hidden="1"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2:26" ht="13.5" hidden="1"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2:26" ht="13.5" hidden="1"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2:26" ht="13.5" hidden="1"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2:26" ht="13.5" hidden="1"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2:26" ht="13.5" hidden="1"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2:26" ht="13.5" hidden="1"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2:26" ht="13.5" hidden="1"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2:26" ht="13.5" hidden="1"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2:26" ht="13.5" hidden="1"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2:26" ht="13.5" hidden="1"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2:26" ht="13.5" hidden="1"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2:26" ht="13.5" hidden="1"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2:26" ht="13.5" hidden="1"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2:26" ht="13.5" hidden="1"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2:26" ht="13.5" hidden="1"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2:26" ht="13.5" hidden="1"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2:26" ht="13.5" hidden="1"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2:26" ht="13.5" hidden="1"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2:26" ht="13.5" hidden="1"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2:26" ht="13.5" hidden="1"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2:26" ht="13.5" hidden="1"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2:26" ht="13.5" hidden="1"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2:26" ht="13.5" hidden="1"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2:26" ht="13.5" hidden="1"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2:26" ht="13.5" hidden="1"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2:26" ht="13.5" hidden="1"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2:26" ht="13.5" hidden="1"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2:26" ht="13.5" hidden="1"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2:26" ht="13.5" hidden="1"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2:26" ht="13.5" hidden="1"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2:26" ht="13.5" hidden="1"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2:26" ht="13.5" hidden="1"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2:26" ht="13.5" hidden="1"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2:26" ht="13.5" hidden="1"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2:26" ht="13.5" hidden="1"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2:26" ht="13.5" hidden="1"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2:26" ht="13.5" hidden="1"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2:26" ht="13.5" hidden="1"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2:26" ht="13.5" hidden="1"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2:26" ht="13.5" hidden="1"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2:26" ht="13.5" hidden="1"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2:26" ht="13.5" hidden="1"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2:26" ht="13.5" hidden="1"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2:26" ht="13.5" hidden="1"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2:26" ht="13.5" hidden="1"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2:26" ht="13.5" hidden="1"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2:26" ht="13.5" hidden="1"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2:26" ht="13.5" hidden="1"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2:26" ht="13.5" hidden="1"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2:26" ht="13.5" hidden="1"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2:26" ht="13.5" hidden="1"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2:26" ht="13.5" hidden="1"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2:26" ht="13.5" hidden="1"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2:26" ht="13.5" hidden="1"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2:26" ht="13.5" hidden="1"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2:26" ht="13.5" hidden="1"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2:26" ht="13.5" hidden="1"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2:26" ht="13.5" hidden="1"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2:26" ht="13.5" hidden="1"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2:26" ht="13.5" hidden="1"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2:26" ht="13.5" hidden="1"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2:26" ht="13.5" hidden="1"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2:26" ht="13.5" hidden="1"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2:26" ht="13.5" hidden="1"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2:26" ht="13.5" hidden="1"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2:26" ht="13.5" hidden="1"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2:26" ht="13.5" hidden="1"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2:26" ht="13.5" hidden="1"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2:26" ht="13.5" hidden="1"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2:26" ht="13.5" hidden="1"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2:26" ht="13.5" hidden="1"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2:26" ht="13.5" hidden="1"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2:26" ht="13.5" hidden="1"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2:26" ht="13.5" hidden="1"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2:26" ht="13.5" hidden="1"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2:26" ht="13.5" hidden="1"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2:26" ht="13.5" hidden="1"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2:26" ht="13.5" hidden="1"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2:26" ht="13.5" hidden="1"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2:26" ht="13.5" hidden="1"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2:26" ht="13.5" hidden="1"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2:26" ht="13.5" hidden="1"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2:26" ht="13.5" hidden="1"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2:26" ht="13.5" hidden="1"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2:26" ht="13.5" hidden="1"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2:26" ht="13.5" hidden="1"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2:26" ht="13.5" hidden="1"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2:26" ht="13.5" hidden="1"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2:26" ht="13.5" hidden="1"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2:26" ht="13.5" hidden="1"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2:26" ht="13.5" hidden="1"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2:26" ht="13.5" hidden="1"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2:26" ht="13.5" hidden="1"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2:26" ht="13.5" hidden="1"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2:26" ht="13.5" hidden="1"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2:26" ht="13.5" hidden="1"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2:26" ht="13.5" hidden="1"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2:26" ht="13.5" hidden="1"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2:26" ht="13.5" hidden="1"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2:26" ht="13.5" hidden="1"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2:26" ht="13.5" hidden="1"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2:26" ht="13.5" hidden="1"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2:26" ht="13.5" hidden="1"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2:26" ht="13.5" hidden="1"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2:26" ht="13.5" hidden="1"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2:26" ht="13.5" hidden="1"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2:26" ht="13.5" hidden="1"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2:26" ht="13.5" hidden="1"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2:26" ht="13.5" hidden="1"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2:26" ht="13.5" hidden="1"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2:26" ht="13.5" hidden="1"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2:26" ht="13.5" hidden="1"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2:26" ht="13.5" hidden="1"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2:26" ht="13.5" hidden="1"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2:26" ht="13.5" hidden="1"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2:26" ht="13.5" hidden="1"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2:26" ht="13.5" hidden="1"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2:26" ht="13.5" hidden="1"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2:26" ht="13.5" hidden="1"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2:26" ht="13.5" hidden="1"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2:26" ht="13.5" hidden="1"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2:26" ht="13.5" hidden="1"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2:26" ht="13.5" hidden="1"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2:26" ht="13.5" hidden="1"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2:26" ht="13.5" hidden="1"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2:26" ht="13.5" hidden="1"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2:26" ht="13.5" hidden="1"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2:26" ht="13.5" hidden="1"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2:26" ht="13.5" hidden="1"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2:26" ht="13.5" hidden="1"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2:26" ht="13.5" hidden="1"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2:26" ht="13.5" hidden="1"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2:26" ht="13.5" hidden="1"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2:26" ht="13.5" hidden="1"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2:26" ht="13.5" hidden="1"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2:26" ht="13.5" hidden="1"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2:26" ht="13.5" hidden="1"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2:26" ht="13.5" hidden="1"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2:26" ht="13.5" hidden="1"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2:26" ht="13.5" hidden="1"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2:26" ht="13.5" hidden="1"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2:26" ht="13.5" hidden="1"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2:26" ht="13.5" hidden="1"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2:26" ht="13.5" hidden="1"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2:26" ht="13.5" hidden="1"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2:26" ht="13.5" hidden="1"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2:26" ht="13.5" hidden="1"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2:26" ht="13.5" hidden="1"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2:26" ht="13.5" hidden="1"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2:26" ht="13.5" hidden="1"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2:26" ht="13.5" hidden="1"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2:26" ht="13.5" hidden="1"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2:26" ht="13.5" hidden="1"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2:26" ht="13.5" hidden="1"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2:26" ht="13.5" hidden="1"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2:26" ht="13.5" hidden="1"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2:26" ht="13.5" hidden="1"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2:26" ht="13.5" hidden="1"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2:26" ht="13.5" hidden="1"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2:26" ht="13.5" hidden="1"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2:26" ht="13.5" hidden="1"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2:26" ht="13.5" hidden="1"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2:26" ht="13.5" hidden="1"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2:26" ht="13.5" hidden="1"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2:26" ht="13.5" hidden="1"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2:26" ht="13.5" hidden="1"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2:26" ht="13.5" hidden="1"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2:26" ht="13.5" hidden="1"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2:26" ht="13.5" hidden="1"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2:26" ht="13.5" hidden="1"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2:26" ht="13.5" hidden="1"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2:26" ht="13.5" hidden="1"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2:26" ht="13.5" hidden="1"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2:26" ht="13.5" hidden="1"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2:26" ht="13.5" hidden="1"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2:26" ht="13.5" hidden="1"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2:26" ht="13.5" hidden="1"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2:26" ht="13.5" hidden="1"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2:26" ht="13.5" hidden="1"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2:26" ht="13.5" hidden="1"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2:26" ht="13.5" hidden="1"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2:26" ht="13.5" hidden="1"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2:26" ht="13.5" hidden="1"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2:26" ht="13.5" hidden="1"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2:26" ht="13.5" hidden="1"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2:26" ht="13.5" hidden="1"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2:26" ht="13.5" hidden="1"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2:26" ht="13.5" hidden="1"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2:26" ht="13.5" hidden="1"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2:26" ht="13.5" hidden="1"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2:26" ht="13.5" hidden="1"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2:26" ht="13.5" hidden="1"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2:26" ht="13.5" hidden="1"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2:26" ht="13.5" hidden="1"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2:26" ht="13.5" hidden="1"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2:26" ht="13.5" hidden="1"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2:26" ht="13.5" hidden="1"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2:26" ht="13.5" hidden="1"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2:26" ht="13.5" hidden="1"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2:26" ht="13.5" hidden="1"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2:26" ht="13.5" hidden="1"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2:26" ht="13.5" hidden="1"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2:26" ht="13.5" hidden="1"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2:26" ht="13.5" hidden="1"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2:26" ht="13.5" hidden="1"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2:26" ht="13.5" hidden="1"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2:26" ht="13.5" hidden="1"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2:26" ht="13.5" hidden="1"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2:26" ht="13.5" hidden="1"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2:26" ht="13.5" hidden="1"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2:26" ht="13.5" hidden="1"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2:26" ht="13.5" hidden="1"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2:26" ht="13.5" hidden="1"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2:26" ht="13.5" hidden="1"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2:26" ht="13.5" hidden="1"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2:26" ht="13.5" hidden="1"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2:26" ht="13.5" hidden="1"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2:26" ht="13.5" hidden="1"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2:26" ht="13.5" hidden="1"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2:26" ht="13.5" hidden="1"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2:26" ht="13.5" hidden="1"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2:26" ht="13.5" hidden="1"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2:26" ht="13.5" hidden="1"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2:26" ht="13.5" hidden="1"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2:26" ht="13.5" hidden="1"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2:26" ht="13.5" hidden="1"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2:26" ht="13.5" hidden="1"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2:26" ht="13.5" hidden="1"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2:26" ht="13.5" hidden="1"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2:26" ht="13.5" hidden="1"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2:26" ht="13.5" hidden="1"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2:26" ht="13.5" hidden="1"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2:26" ht="13.5" hidden="1"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2:26" ht="13.5" hidden="1"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2:26" ht="13.5" hidden="1"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2:26" ht="13.5" hidden="1"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2:26" ht="13.5" hidden="1"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2:26" ht="13.5" hidden="1"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2:26" ht="13.5" hidden="1"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2:26" ht="13.5" hidden="1"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2:26" ht="13.5" hidden="1"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2:26" ht="13.5" hidden="1"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2:26" ht="13.5" hidden="1"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2:26" ht="13.5" hidden="1"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2:26" ht="13.5" hidden="1"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2:26" ht="13.5" hidden="1"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2:26" ht="13.5" hidden="1"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2:26" ht="13.5" hidden="1"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2:26" ht="13.5" hidden="1"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2:26" ht="13.5" hidden="1"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2:26" ht="13.5" hidden="1"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2:26" ht="13.5" hidden="1"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2:26" ht="13.5" hidden="1"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2:26" ht="13.5" hidden="1"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2:26" ht="13.5" hidden="1"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2:26" ht="13.5" hidden="1"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2:26" ht="13.5" hidden="1"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2:26" ht="13.5" hidden="1"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2:26" ht="13.5" hidden="1"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2:26" ht="13.5" hidden="1"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2:26" ht="13.5" hidden="1"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2:26" ht="13.5" hidden="1"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2:26" ht="13.5" hidden="1"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2:26" ht="13.5" hidden="1"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2:26" ht="13.5" hidden="1"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2:26" ht="13.5" hidden="1"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2:26" ht="13.5" hidden="1"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2:26" ht="13.5" hidden="1"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2:26" ht="13.5" hidden="1"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2:26" ht="13.5" hidden="1"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2:26" ht="13.5" hidden="1"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2:26" ht="13.5" hidden="1"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2:26" ht="13.5" hidden="1"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2:26" ht="13.5" hidden="1"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2:26" ht="13.5" hidden="1"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2:26" ht="13.5" hidden="1"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2:26" ht="13.5" hidden="1"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2:26" ht="13.5" hidden="1"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2:26" ht="13.5" hidden="1"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2:26" ht="13.5" hidden="1"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2:26" ht="13.5" hidden="1"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2:26" ht="13.5" hidden="1"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2:26" ht="13.5" hidden="1"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2:26" ht="13.5" hidden="1"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2:26" ht="13.5" hidden="1"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2:26" ht="13.5" hidden="1"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2:26" ht="13.5" hidden="1"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2:26" ht="13.5" hidden="1"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2:26" ht="13.5" hidden="1"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2:26" ht="13.5" hidden="1"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2:26" ht="13.5" hidden="1"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2:26" ht="13.5" hidden="1"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2:26" ht="13.5" hidden="1"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2:26" ht="13.5" hidden="1"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2:26" ht="13.5" hidden="1"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2:26" ht="13.5" hidden="1"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2:26" ht="13.5" hidden="1"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2:26" ht="13.5" hidden="1"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2:26" ht="13.5" hidden="1"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2:26" ht="13.5" hidden="1"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2:26" ht="13.5" hidden="1"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2:26" ht="13.5" hidden="1"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2:26" ht="13.5" hidden="1"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2:26" ht="13.5" hidden="1"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2:26" ht="13.5" hidden="1"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2:26" ht="13.5" hidden="1"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2:26" ht="13.5" hidden="1"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2:26" ht="13.5" hidden="1"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2:26" ht="13.5" hidden="1"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2:26" ht="13.5" hidden="1"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2:26" ht="13.5" hidden="1"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2:26" ht="13.5" hidden="1"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2:26" ht="13.5" hidden="1"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2:26" ht="13.5" hidden="1"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2:26" ht="13.5" hidden="1"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2:26" ht="13.5" hidden="1"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2:26" ht="13.5" hidden="1"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2:26" ht="13.5" hidden="1"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2:26" ht="13.5" hidden="1"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2:26" ht="13.5" hidden="1"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2:26" ht="13.5" hidden="1"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2:26" ht="13.5" hidden="1"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2:26" ht="13.5" hidden="1"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2:26" ht="13.5" hidden="1"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2:26" ht="13.5" hidden="1"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2:26" ht="13.5" hidden="1"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2:26" ht="13.5" hidden="1"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2:26" ht="13.5" hidden="1"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2:26" ht="13.5" hidden="1"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2:26" ht="13.5" hidden="1"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2:26" ht="13.5" hidden="1"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2:26" ht="13.5" hidden="1"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2:26" ht="13.5" hidden="1"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2:26" ht="13.5" hidden="1"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2:26" ht="13.5" hidden="1"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2:26" ht="13.5" hidden="1"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2:26" ht="13.5" hidden="1"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2:26" ht="13.5" hidden="1"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2:26" ht="13.5" hidden="1"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2:26" ht="13.5" hidden="1"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2:26" ht="13.5" hidden="1"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2:26" ht="13.5" hidden="1"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2:26" ht="13.5" hidden="1"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2:26" ht="13.5" hidden="1"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2:26" ht="13.5" hidden="1"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2:26" ht="13.5" hidden="1"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2:26" ht="13.5" hidden="1"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2:26" ht="13.5" hidden="1"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2:26" ht="13.5" hidden="1"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2:26" ht="13.5" hidden="1"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2:26" ht="13.5" hidden="1"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2:26" ht="13.5" hidden="1"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2:26" ht="13.5" hidden="1"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2:26" ht="13.5" hidden="1"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2:26" ht="13.5" hidden="1"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2:26" ht="13.5" hidden="1"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2:26" ht="13.5" hidden="1"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2:26" ht="13.5" hidden="1"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2:26" ht="13.5" hidden="1"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2:26" ht="13.5" hidden="1"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2:26" ht="13.5" hidden="1"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2:26" ht="13.5" hidden="1"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2:26" ht="13.5" hidden="1"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2:26" ht="13.5" hidden="1"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2:26" ht="13.5" hidden="1"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2:26" ht="13.5" hidden="1"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2:26" ht="13.5" hidden="1"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2:26" ht="13.5" hidden="1"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2:26" ht="13.5" hidden="1"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2:26" ht="13.5" hidden="1"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2:26" ht="13.5" hidden="1"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2:26" ht="13.5" hidden="1"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2:26" ht="13.5" hidden="1"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2:26" ht="13.5" hidden="1"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2:26" ht="13.5" hidden="1"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2:26" ht="13.5" hidden="1"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2:26" ht="13.5" hidden="1"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2:26" ht="13.5" hidden="1"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2:26" ht="13.5" hidden="1"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2:26" ht="13.5" hidden="1"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2:26" ht="13.5" hidden="1"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2:26" ht="13.5" hidden="1"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2:26" ht="13.5" hidden="1"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2:26" ht="13.5" hidden="1"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2:26" ht="13.5" hidden="1"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2:26" ht="13.5" hidden="1"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2:26" ht="13.5" hidden="1"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2:26" ht="13.5" hidden="1"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2:26" ht="13.5" hidden="1"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2:26" ht="13.5" hidden="1"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2:26" ht="13.5" hidden="1"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2:26" ht="13.5" hidden="1"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2:26" ht="13.5" hidden="1"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2:26" ht="13.5" hidden="1"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2:26" ht="13.5" hidden="1"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2:26" ht="13.5" hidden="1"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2:26" ht="13.5" hidden="1"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2:26" ht="13.5" hidden="1"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2:26" ht="13.5" hidden="1"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2:26" ht="13.5" hidden="1"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2:26" ht="13.5" hidden="1"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2:26" ht="13.5" hidden="1"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2:26" ht="13.5" hidden="1"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2:26" ht="13.5" hidden="1"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2:26" ht="13.5" hidden="1"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2:26" ht="13.5" hidden="1"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2:26" ht="13.5" hidden="1"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2:26" ht="13.5" hidden="1"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2:26" ht="13.5" hidden="1"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2:26" ht="13.5" hidden="1"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2:26" ht="13.5" hidden="1"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2:26" ht="13.5" hidden="1"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2:26" ht="13.5" hidden="1"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2:26" ht="13.5" hidden="1"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2:26" ht="13.5" hidden="1"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2:26" ht="13.5" hidden="1"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2:26" ht="13.5" hidden="1"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2:26" ht="13.5" hidden="1"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2:26" ht="13.5" hidden="1"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2:26" ht="13.5" hidden="1"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2:26" ht="13.5" hidden="1"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2:26" ht="13.5" hidden="1"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2:26" ht="13.5" hidden="1"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2:26" ht="13.5" hidden="1"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2:26" ht="13.5" hidden="1"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2:26" ht="13.5" hidden="1"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2:26" ht="13.5" hidden="1"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2:26" ht="13.5" hidden="1"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2:26" ht="13.5" hidden="1"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2:26" ht="13.5" hidden="1"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2:26" ht="13.5" hidden="1"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2:26" ht="13.5" hidden="1"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2:26" ht="13.5" hidden="1"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2:26" ht="13.5" hidden="1"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2:26" ht="13.5" hidden="1"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2:26" ht="13.5" hidden="1"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2:26" ht="13.5" hidden="1"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2:26" ht="13.5" hidden="1"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2:26" ht="13.5" hidden="1"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2:26" ht="13.5" hidden="1"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2:26" ht="13.5" hidden="1"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2:26" ht="13.5" hidden="1"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2:26" ht="13.5" hidden="1"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2:26" ht="13.5" hidden="1"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2:26" ht="13.5" hidden="1"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2:26" ht="13.5" hidden="1"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2:26" ht="13.5" hidden="1"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2:26" ht="13.5" hidden="1"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2:26" ht="13.5" hidden="1"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2:26" ht="13.5" hidden="1"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2:26" ht="13.5" hidden="1"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2:26" ht="13.5" hidden="1"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2:26" ht="13.5" hidden="1"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2:26" ht="13.5" hidden="1"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2:26" ht="13.5" hidden="1"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2:26" ht="13.5" hidden="1"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2:26" ht="13.5" hidden="1"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2:26" ht="13.5" hidden="1"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2:26" ht="13.5" hidden="1"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2:26" ht="13.5" hidden="1"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2:26" ht="13.5" hidden="1"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2:26" ht="13.5" hidden="1"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2:26" ht="13.5" hidden="1"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2:26" ht="13.5" hidden="1"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2:26" ht="13.5" hidden="1"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2:26" ht="13.5" hidden="1"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2:26" ht="13.5" hidden="1"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2:26" ht="13.5" hidden="1"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2:26" ht="13.5" hidden="1"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2:26" ht="13.5" hidden="1"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2:26" ht="13.5" hidden="1"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2:26" ht="13.5" hidden="1"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2:26" ht="13.5" hidden="1"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2:26" ht="13.5" hidden="1"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2:26" ht="13.5" hidden="1"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2:26" ht="13.5" hidden="1"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2:26" ht="13.5" hidden="1"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2:26" ht="13.5" hidden="1"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2:26" ht="13.5" hidden="1"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2:26" ht="13.5" hidden="1"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2:26" ht="13.5" hidden="1"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2:26" ht="13.5" hidden="1"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2:26" ht="13.5" hidden="1"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2:26" ht="13.5" hidden="1"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2:26" ht="13.5" hidden="1"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2:26" ht="13.5" hidden="1"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2:26" ht="13.5" hidden="1"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2:26" ht="13.5" hidden="1"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2:26" ht="13.5" hidden="1"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2:26" ht="13.5" hidden="1"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2:26" ht="13.5" hidden="1"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2:26" ht="13.5" hidden="1"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2:26" ht="13.5" hidden="1"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2:26" ht="13.5" hidden="1"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2:26" ht="13.5" hidden="1"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2:26" ht="13.5" hidden="1"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2:26" ht="13.5" hidden="1"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2:26" ht="13.5" hidden="1"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2:26" ht="13.5" hidden="1"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2:26" ht="13.5" hidden="1"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2:26" ht="13.5" hidden="1"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2:26" ht="13.5" hidden="1"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2:26" ht="13.5" hidden="1"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2:26" ht="13.5" hidden="1"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2:26" ht="13.5" hidden="1"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2:26" ht="13.5" hidden="1"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2:26" ht="13.5" hidden="1"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2:26" ht="13.5" hidden="1"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2:26" ht="13.5" hidden="1"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2:26" ht="13.5" hidden="1"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2:26" ht="13.5" hidden="1"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2:26" ht="13.5" hidden="1"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2:26" ht="13.5" hidden="1"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2:26" ht="13.5" hidden="1"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2:26" ht="13.5" hidden="1"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2:26" ht="13.5" hidden="1"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2:26" ht="13.5" hidden="1"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2:26" ht="13.5" hidden="1"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2:26" ht="13.5" hidden="1"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2:26" ht="13.5" hidden="1"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2:26" ht="13.5" hidden="1"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2:26" ht="13.5" hidden="1"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2:26" ht="13.5" hidden="1"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2:26" ht="13.5" hidden="1"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2:26" ht="13.5" hidden="1"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2:26" ht="13.5" hidden="1"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2:26" ht="13.5" hidden="1"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2:26" ht="13.5" hidden="1"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2:26" ht="13.5" hidden="1"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2:26" ht="13.5" hidden="1"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2:26" ht="13.5" hidden="1"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2:26" ht="13.5" hidden="1"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2:26" ht="13.5" hidden="1"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2:26" ht="13.5" hidden="1"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2:26" ht="13.5" hidden="1"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2:26" ht="13.5" hidden="1"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2:26" ht="13.5" hidden="1"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2:26" ht="13.5" hidden="1"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2:26" ht="13.5" hidden="1"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2:26" ht="13.5" hidden="1"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2:26" ht="13.5" hidden="1"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2:26" ht="13.5" hidden="1"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2:26" ht="13.5" hidden="1"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2:26" ht="13.5" hidden="1"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2:26" ht="13.5" hidden="1"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2:26" ht="13.5" hidden="1"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2:26" ht="13.5" hidden="1"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2:26" ht="13.5" hidden="1"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2:26" ht="13.5" hidden="1"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2:26" ht="13.5" hidden="1"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2:26" ht="13.5" hidden="1"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2:26" ht="13.5" hidden="1"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2:26" ht="13.5" hidden="1"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2:26" ht="13.5" hidden="1"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2:26" ht="13.5" hidden="1"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2:26" ht="13.5" hidden="1"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2:26" ht="13.5" hidden="1"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2:26" ht="13.5" hidden="1"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2:26" ht="13.5" hidden="1"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2:26" ht="13.5" hidden="1"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2:26" ht="13.5" hidden="1"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2:26" ht="13.5" hidden="1"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2:26" ht="13.5" hidden="1"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2:26" ht="13.5" hidden="1"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2:26" ht="13.5" hidden="1"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2:26" ht="13.5" hidden="1"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2:26" ht="13.5" hidden="1"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2:26" ht="13.5" hidden="1"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2:26" ht="13.5" hidden="1"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2:26" ht="13.5" hidden="1"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2:26" ht="13.5" hidden="1"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2:26" ht="13.5" hidden="1"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2:26" ht="13.5" hidden="1"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2:26" ht="13.5" hidden="1"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2:26" ht="13.5" hidden="1"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2:26" ht="13.5" hidden="1"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2:26" ht="13.5" hidden="1"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2:26" ht="13.5" hidden="1"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2:26" ht="13.5" hidden="1"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2:26" ht="13.5" hidden="1"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2:26" ht="13.5" hidden="1"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2:26" ht="13.5" hidden="1"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2:26" ht="13.5" hidden="1"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2:26" ht="13.5" hidden="1"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2:26" ht="13.5" hidden="1"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2:26" ht="13.5" hidden="1"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2:26" ht="13.5" hidden="1"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2:26" ht="13.5" hidden="1"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2:26" ht="13.5" hidden="1"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2:26" ht="13.5" hidden="1"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2:26" ht="13.5" hidden="1"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2:26" ht="13.5" hidden="1"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2:26" ht="13.5" hidden="1"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2:26" ht="13.5" hidden="1"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2:26" ht="13.5" hidden="1"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2:26" ht="13.5" hidden="1"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교육과정편제표(농업과)</vt:lpstr>
      <vt:lpstr>실무과목 능력단위(농업과)</vt:lpstr>
      <vt:lpstr>삭제금지</vt:lpstr>
      <vt:lpstr>(참고1) 편성 기준🔐</vt:lpstr>
      <vt:lpstr>'교육과정편제표(농업과)'!Print_Area</vt:lpstr>
      <vt:lpstr>'실무과목 능력단위(농업과)'!Print_Area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원종 백</cp:lastModifiedBy>
  <cp:lastPrinted>2026-10-06T00:37:33Z</cp:lastPrinted>
  <dcterms:created xsi:type="dcterms:W3CDTF">2020-03-04T02:26:59Z</dcterms:created>
  <dcterms:modified xsi:type="dcterms:W3CDTF">2026-10-06T00:46:01Z</dcterms:modified>
</cp:coreProperties>
</file>