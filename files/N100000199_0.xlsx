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FB48A4-CAA2-40E2-BCE5-D910A023738C}" xr6:coauthVersionLast="47" xr6:coauthVersionMax="47" xr10:uidLastSave="{00000000-0000-0000-0000-000000000000}"/>
  <bookViews>
    <workbookView xWindow="28680" yWindow="-120" windowWidth="29040" windowHeight="15720" tabRatio="795" firstSheet="1" activeTab="3" xr2:uid="{00000000-000D-0000-FFFF-FFFF00000000}"/>
  </bookViews>
  <sheets>
    <sheet name="교육과정편제표(미래자동차부품가공과)" sheetId="18" r:id="rId1"/>
    <sheet name="실무과목 능력단위(미래자동차부품가공과)" sheetId="20" r:id="rId2"/>
    <sheet name="교육과정편제표(미래자동차금형과)" sheetId="23" r:id="rId3"/>
    <sheet name="실무과목 능력단위(미래자동차금형과)" sheetId="25" r:id="rId4"/>
    <sheet name="교육과정편제표(미래자동차전기전자과)" sheetId="24" r:id="rId5"/>
    <sheet name="실무과목 능력단위(미래자동차전기전자과)" sheetId="26" r:id="rId6"/>
    <sheet name="삭제금지" sheetId="4" r:id="rId7"/>
    <sheet name="(참고1) 편성 기준🔐" sheetId="16" r:id="rId8"/>
  </sheets>
  <definedNames>
    <definedName name="_xlnm._FilterDatabase" localSheetId="2" hidden="1">'교육과정편제표(미래자동차금형과)'!$M$3:$P$4</definedName>
    <definedName name="_xlnm._FilterDatabase" localSheetId="0" hidden="1">'교육과정편제표(미래자동차부품가공과)'!$M$3:$P$4</definedName>
    <definedName name="_xlnm._FilterDatabase" localSheetId="4" hidden="1">'교육과정편제표(미래자동차전기전자과)'!$M$3:$P$4</definedName>
    <definedName name="_xlnm._FilterDatabase" localSheetId="6" hidden="1">삭제금지!$A$1:$F$151</definedName>
    <definedName name="_xlnm._FilterDatabase" localSheetId="3" hidden="1">'실무과목 능력단위(미래자동차금형과)'!#REF!</definedName>
    <definedName name="_xlnm._FilterDatabase" localSheetId="1" hidden="1">'실무과목 능력단위(미래자동차부품가공과)'!#REF!</definedName>
    <definedName name="_xlnm._FilterDatabase" localSheetId="5" hidden="1">'실무과목 능력단위(미래자동차전기전자과)'!#REF!</definedName>
    <definedName name="_xlnm.Print_Area" localSheetId="2">'교육과정편제표(미래자동차금형과)'!$A$1:$AE$61</definedName>
    <definedName name="_xlnm.Print_Area" localSheetId="0">'교육과정편제표(미래자동차부품가공과)'!$A$1:$AE$59</definedName>
    <definedName name="_xlnm.Print_Area" localSheetId="4">'교육과정편제표(미래자동차전기전자과)'!$A$1:$AE$65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0" i="26" l="1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F60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F55" i="26"/>
  <c r="U48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F48" i="26"/>
  <c r="U43" i="26"/>
  <c r="T43" i="26"/>
  <c r="S43" i="26"/>
  <c r="R43" i="26"/>
  <c r="Q43" i="26"/>
  <c r="P43" i="26"/>
  <c r="N43" i="26"/>
  <c r="M43" i="26"/>
  <c r="L43" i="26"/>
  <c r="K43" i="26"/>
  <c r="J43" i="26"/>
  <c r="I43" i="26"/>
  <c r="H43" i="26"/>
  <c r="F43" i="26"/>
  <c r="U36" i="26"/>
  <c r="T36" i="26"/>
  <c r="S36" i="26"/>
  <c r="R36" i="26"/>
  <c r="Q36" i="26"/>
  <c r="O36" i="26"/>
  <c r="N36" i="26"/>
  <c r="L36" i="26"/>
  <c r="K36" i="26"/>
  <c r="J36" i="26"/>
  <c r="I36" i="26"/>
  <c r="H36" i="26"/>
  <c r="F36" i="26"/>
  <c r="U32" i="26"/>
  <c r="T32" i="26"/>
  <c r="S32" i="26"/>
  <c r="R32" i="26"/>
  <c r="Q32" i="26"/>
  <c r="P32" i="26"/>
  <c r="O32" i="26"/>
  <c r="N32" i="26"/>
  <c r="L32" i="26"/>
  <c r="K32" i="26"/>
  <c r="J32" i="26"/>
  <c r="I32" i="26"/>
  <c r="H32" i="26"/>
  <c r="F32" i="26"/>
  <c r="U29" i="26"/>
  <c r="T29" i="26"/>
  <c r="S29" i="26"/>
  <c r="R29" i="26"/>
  <c r="Q29" i="26"/>
  <c r="P29" i="26"/>
  <c r="P36" i="26" s="1"/>
  <c r="O29" i="26"/>
  <c r="N29" i="26"/>
  <c r="M29" i="26"/>
  <c r="L29" i="26"/>
  <c r="K29" i="26"/>
  <c r="J29" i="26"/>
  <c r="I29" i="26"/>
  <c r="H29" i="26"/>
  <c r="F29" i="26"/>
  <c r="U22" i="26"/>
  <c r="T22" i="26"/>
  <c r="S22" i="26"/>
  <c r="R22" i="26"/>
  <c r="Q22" i="26"/>
  <c r="P22" i="26"/>
  <c r="M22" i="26"/>
  <c r="L22" i="26"/>
  <c r="K22" i="26"/>
  <c r="J22" i="26"/>
  <c r="H22" i="26"/>
  <c r="F22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I22" i="26" s="1"/>
  <c r="H19" i="26"/>
  <c r="F19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F12" i="26"/>
  <c r="K10" i="26"/>
  <c r="I10" i="26"/>
  <c r="K9" i="26"/>
  <c r="I9" i="26"/>
  <c r="U40" i="25"/>
  <c r="T40" i="25"/>
  <c r="S40" i="25"/>
  <c r="R40" i="25"/>
  <c r="Q40" i="25"/>
  <c r="P40" i="25"/>
  <c r="F40" i="25"/>
  <c r="U35" i="25"/>
  <c r="T35" i="25"/>
  <c r="S35" i="25"/>
  <c r="R35" i="25"/>
  <c r="Q35" i="25"/>
  <c r="P35" i="25"/>
  <c r="F35" i="25"/>
  <c r="U32" i="25"/>
  <c r="T32" i="25"/>
  <c r="S32" i="25"/>
  <c r="R32" i="25"/>
  <c r="Q32" i="25"/>
  <c r="P32" i="25"/>
  <c r="F32" i="25"/>
  <c r="U27" i="25"/>
  <c r="T27" i="25"/>
  <c r="S27" i="25"/>
  <c r="R27" i="25"/>
  <c r="Q27" i="25"/>
  <c r="P27" i="25"/>
  <c r="F27" i="25"/>
  <c r="U22" i="25"/>
  <c r="T22" i="25"/>
  <c r="O22" i="25"/>
  <c r="N22" i="25"/>
  <c r="M22" i="25"/>
  <c r="F22" i="25"/>
  <c r="R17" i="25"/>
  <c r="P17" i="25"/>
  <c r="N17" i="25"/>
  <c r="M17" i="25"/>
  <c r="L17" i="25"/>
  <c r="K17" i="25"/>
  <c r="J17" i="25"/>
  <c r="I17" i="25"/>
  <c r="H17" i="25"/>
  <c r="F17" i="25"/>
  <c r="T12" i="25"/>
  <c r="S12" i="25"/>
  <c r="Q12" i="25"/>
  <c r="U12" i="25" s="1"/>
  <c r="Q11" i="25"/>
  <c r="T10" i="25"/>
  <c r="S10" i="25"/>
  <c r="Q10" i="25"/>
  <c r="Q17" i="25" s="1"/>
  <c r="O10" i="25"/>
  <c r="O17" i="25" s="1"/>
  <c r="K10" i="25"/>
  <c r="I10" i="25"/>
  <c r="U10" i="25" s="1"/>
  <c r="T9" i="25"/>
  <c r="T17" i="25" s="1"/>
  <c r="S9" i="25"/>
  <c r="U9" i="25" s="1"/>
  <c r="Q9" i="25"/>
  <c r="O9" i="25"/>
  <c r="K9" i="25"/>
  <c r="I9" i="25"/>
  <c r="U41" i="20"/>
  <c r="T41" i="20"/>
  <c r="F41" i="20"/>
  <c r="U36" i="20"/>
  <c r="T36" i="20"/>
  <c r="F36" i="20"/>
  <c r="U32" i="20"/>
  <c r="T32" i="20"/>
  <c r="F32" i="20"/>
  <c r="U29" i="20"/>
  <c r="T29" i="20"/>
  <c r="F29" i="20"/>
  <c r="Q27" i="20"/>
  <c r="U26" i="20"/>
  <c r="T26" i="20"/>
  <c r="F26" i="20"/>
  <c r="Q24" i="20"/>
  <c r="U23" i="20"/>
  <c r="T23" i="20"/>
  <c r="F23" i="20"/>
  <c r="S22" i="20"/>
  <c r="Q21" i="20"/>
  <c r="O20" i="20"/>
  <c r="F20" i="20"/>
  <c r="T19" i="20"/>
  <c r="O19" i="20"/>
  <c r="U19" i="20" s="1"/>
  <c r="T18" i="20"/>
  <c r="O18" i="20"/>
  <c r="U18" i="20" s="1"/>
  <c r="U17" i="20"/>
  <c r="T17" i="20"/>
  <c r="O17" i="20"/>
  <c r="T16" i="20"/>
  <c r="O16" i="20"/>
  <c r="U16" i="20" s="1"/>
  <c r="T15" i="20"/>
  <c r="O15" i="20"/>
  <c r="U15" i="20" s="1"/>
  <c r="T14" i="20"/>
  <c r="M14" i="20"/>
  <c r="U14" i="20" s="1"/>
  <c r="T13" i="20"/>
  <c r="M13" i="20"/>
  <c r="U13" i="20" s="1"/>
  <c r="U12" i="20"/>
  <c r="T12" i="20"/>
  <c r="M12" i="20"/>
  <c r="T11" i="20"/>
  <c r="M11" i="20"/>
  <c r="U11" i="20" s="1"/>
  <c r="T10" i="20"/>
  <c r="M10" i="20"/>
  <c r="U10" i="20" s="1"/>
  <c r="T9" i="20"/>
  <c r="T20" i="20" s="1"/>
  <c r="M9" i="20"/>
  <c r="U9" i="20" s="1"/>
  <c r="U17" i="25" l="1"/>
  <c r="S17" i="25"/>
  <c r="U20" i="20"/>
  <c r="S63" i="24" l="1"/>
  <c r="O63" i="24"/>
  <c r="K63" i="24"/>
  <c r="W62" i="24"/>
  <c r="Y62" i="24" s="1"/>
  <c r="AA64" i="24" s="1"/>
  <c r="W61" i="24"/>
  <c r="AA62" i="24" s="1"/>
  <c r="Y58" i="24"/>
  <c r="W58" i="24"/>
  <c r="Y55" i="24"/>
  <c r="Y57" i="24" s="1"/>
  <c r="Q55" i="24"/>
  <c r="O55" i="24"/>
  <c r="M55" i="24"/>
  <c r="K55" i="24"/>
  <c r="I55" i="24"/>
  <c r="I57" i="24" s="1"/>
  <c r="W48" i="24"/>
  <c r="W47" i="24"/>
  <c r="W46" i="24"/>
  <c r="W39" i="24"/>
  <c r="W38" i="24"/>
  <c r="W37" i="24"/>
  <c r="W36" i="24"/>
  <c r="W35" i="24"/>
  <c r="W34" i="24"/>
  <c r="Y33" i="24"/>
  <c r="U33" i="24"/>
  <c r="U57" i="24" s="1"/>
  <c r="S33" i="24"/>
  <c r="S57" i="24" s="1"/>
  <c r="Q33" i="24"/>
  <c r="O33" i="24"/>
  <c r="M33" i="24"/>
  <c r="K33" i="24"/>
  <c r="H33" i="24"/>
  <c r="W30" i="24"/>
  <c r="W28" i="24"/>
  <c r="W27" i="24"/>
  <c r="W26" i="24"/>
  <c r="W25" i="24"/>
  <c r="J25" i="24"/>
  <c r="W24" i="24"/>
  <c r="J24" i="24"/>
  <c r="W23" i="24"/>
  <c r="W22" i="24"/>
  <c r="W21" i="24"/>
  <c r="W20" i="24"/>
  <c r="W19" i="24"/>
  <c r="W18" i="24"/>
  <c r="W17" i="24"/>
  <c r="W16" i="24"/>
  <c r="W15" i="24"/>
  <c r="W14" i="24"/>
  <c r="W13" i="24"/>
  <c r="W12" i="24"/>
  <c r="W11" i="24"/>
  <c r="W10" i="24"/>
  <c r="W9" i="24"/>
  <c r="S59" i="23"/>
  <c r="O59" i="23"/>
  <c r="K59" i="23"/>
  <c r="W58" i="23"/>
  <c r="W57" i="23"/>
  <c r="AA58" i="23" s="1"/>
  <c r="Y54" i="23"/>
  <c r="W54" i="23"/>
  <c r="Y51" i="23"/>
  <c r="Q51" i="23"/>
  <c r="O51" i="23"/>
  <c r="M51" i="23"/>
  <c r="K51" i="23"/>
  <c r="I51" i="23"/>
  <c r="I53" i="23" s="1"/>
  <c r="W41" i="23"/>
  <c r="W40" i="23"/>
  <c r="W39" i="23"/>
  <c r="W38" i="23"/>
  <c r="W37" i="23"/>
  <c r="W36" i="23"/>
  <c r="W35" i="23"/>
  <c r="W34" i="23"/>
  <c r="Y33" i="23"/>
  <c r="U33" i="23"/>
  <c r="U53" i="23" s="1"/>
  <c r="S33" i="23"/>
  <c r="S53" i="23" s="1"/>
  <c r="Q33" i="23"/>
  <c r="O33" i="23"/>
  <c r="M33" i="23"/>
  <c r="K33" i="23"/>
  <c r="H33" i="23"/>
  <c r="W30" i="23"/>
  <c r="W28" i="23"/>
  <c r="W27" i="23"/>
  <c r="W26" i="23"/>
  <c r="W25" i="23"/>
  <c r="J25" i="23"/>
  <c r="W24" i="23"/>
  <c r="J24" i="23"/>
  <c r="W23" i="23"/>
  <c r="W22" i="23"/>
  <c r="W21" i="23"/>
  <c r="W20" i="23"/>
  <c r="W19" i="23"/>
  <c r="W18" i="23"/>
  <c r="W17" i="23"/>
  <c r="W16" i="23"/>
  <c r="W15" i="23"/>
  <c r="W14" i="23"/>
  <c r="W13" i="23"/>
  <c r="W12" i="23"/>
  <c r="W11" i="23"/>
  <c r="W10" i="23"/>
  <c r="W9" i="23"/>
  <c r="H33" i="18"/>
  <c r="W42" i="18"/>
  <c r="S57" i="18"/>
  <c r="O57" i="18"/>
  <c r="K57" i="18"/>
  <c r="W56" i="18"/>
  <c r="W55" i="18"/>
  <c r="AA56" i="18" s="1"/>
  <c r="Y52" i="18"/>
  <c r="W52" i="18"/>
  <c r="Y49" i="18"/>
  <c r="Q49" i="18"/>
  <c r="O49" i="18"/>
  <c r="M49" i="18"/>
  <c r="K49" i="18"/>
  <c r="I49" i="18"/>
  <c r="I51" i="18" s="1"/>
  <c r="W41" i="18"/>
  <c r="W40" i="18"/>
  <c r="W39" i="18"/>
  <c r="W38" i="18"/>
  <c r="W37" i="18"/>
  <c r="W36" i="18"/>
  <c r="W35" i="18"/>
  <c r="W34" i="18"/>
  <c r="Y33" i="18"/>
  <c r="U33" i="18"/>
  <c r="S33" i="18"/>
  <c r="Q33" i="18"/>
  <c r="O33" i="18"/>
  <c r="M33" i="18"/>
  <c r="K33" i="18"/>
  <c r="W30" i="18"/>
  <c r="W28" i="18"/>
  <c r="W27" i="18"/>
  <c r="W26" i="18"/>
  <c r="W25" i="18"/>
  <c r="J25" i="18"/>
  <c r="W24" i="18"/>
  <c r="J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X22" i="24" l="1"/>
  <c r="X18" i="24"/>
  <c r="X20" i="23"/>
  <c r="X24" i="23"/>
  <c r="J33" i="23"/>
  <c r="J53" i="23" s="1"/>
  <c r="X22" i="23"/>
  <c r="J33" i="18"/>
  <c r="M57" i="24"/>
  <c r="X24" i="24"/>
  <c r="W63" i="24"/>
  <c r="X12" i="24"/>
  <c r="X20" i="24"/>
  <c r="K57" i="24"/>
  <c r="J33" i="24"/>
  <c r="J57" i="24" s="1"/>
  <c r="X15" i="24"/>
  <c r="W33" i="24"/>
  <c r="AA33" i="24" s="1"/>
  <c r="Q57" i="24"/>
  <c r="O57" i="24"/>
  <c r="X9" i="24"/>
  <c r="W55" i="24"/>
  <c r="M53" i="23"/>
  <c r="W33" i="23"/>
  <c r="AA33" i="23" s="1"/>
  <c r="X12" i="23"/>
  <c r="X15" i="23"/>
  <c r="X9" i="23"/>
  <c r="Y53" i="23"/>
  <c r="W59" i="23"/>
  <c r="X18" i="23"/>
  <c r="Q53" i="23"/>
  <c r="W51" i="23"/>
  <c r="O53" i="23"/>
  <c r="Y58" i="23"/>
  <c r="AA60" i="23" s="1"/>
  <c r="K53" i="23"/>
  <c r="X20" i="18"/>
  <c r="Q51" i="18"/>
  <c r="O51" i="18"/>
  <c r="M51" i="18"/>
  <c r="U51" i="18"/>
  <c r="S51" i="18"/>
  <c r="X24" i="18"/>
  <c r="W49" i="18"/>
  <c r="W57" i="18"/>
  <c r="Y51" i="18"/>
  <c r="X22" i="18"/>
  <c r="X18" i="18"/>
  <c r="X15" i="18"/>
  <c r="X12" i="18"/>
  <c r="X9" i="18"/>
  <c r="Y56" i="18"/>
  <c r="AA58" i="18" s="1"/>
  <c r="W33" i="18"/>
  <c r="AA33" i="18" s="1"/>
  <c r="K51" i="18"/>
  <c r="W57" i="24" l="1"/>
  <c r="AA59" i="24" s="1"/>
  <c r="W53" i="23"/>
  <c r="AA55" i="23" s="1"/>
  <c r="J51" i="18"/>
  <c r="W51" i="18"/>
  <c r="AA5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4" authorId="0" shapeId="0" xr:uid="{CEF44D3B-53D8-411E-99C0-680780B61AA9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E405C93F-15E7-445E-A779-C9B4209B938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9" authorId="0" shapeId="0" xr:uid="{53440AEC-23ED-4017-8C25-0D59AB8CB191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4" authorId="0" shapeId="0" xr:uid="{DD93AE5D-90A0-415D-8241-19524DD19DF4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57A732F5-137D-4404-9C45-FBCF3546446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1" authorId="0" shapeId="0" xr:uid="{EB6DCE97-4755-4C84-BE98-5FCC2D35054E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4" authorId="0" shapeId="0" xr:uid="{9D8E0F64-9540-40DE-8910-A3CC7A33F875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258FD325-195A-4D84-83F0-78F4F80209E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5" authorId="0" shapeId="0" xr:uid="{DCA92BE6-2A3F-4FC2-B766-F22EF44AA16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<sst xmlns="http://schemas.openxmlformats.org/spreadsheetml/2006/main" count="2102" uniqueCount="781">
  <si>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</si>
  <si>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</si>
  <si>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</si>
  <si>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</si>
  <si>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</si>
  <si>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</si>
  <si>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</si>
  <si>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</si>
  <si>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</si>
  <si>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</si>
  <si>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</si>
  <si>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</si>
  <si>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</si>
  <si>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</si>
  <si>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</si>
  <si>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</si>
  <si>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</si>
  <si>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</si>
  <si>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</si>
  <si>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</si>
  <si>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</si>
  <si>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</si>
  <si>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</si>
  <si>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</si>
  <si>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</si>
  <si>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</si>
  <si>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</si>
  <si>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</si>
  <si>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</si>
  <si>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</si>
  <si>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</si>
  <si>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</si>
  <si>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</si>
  <si>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</si>
  <si>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</si>
  <si>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</si>
  <si>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</si>
  <si>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</si>
  <si>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</si>
  <si>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</si>
  <si>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</si>
  <si>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</si>
  <si>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</si>
  <si>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</si>
  <si>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</si>
  <si>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</si>
  <si>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</si>
  <si>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</si>
  <si>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</si>
  <si>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</si>
  <si>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</si>
  <si>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</si>
  <si>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</si>
  <si>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</si>
  <si>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</si>
  <si>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</si>
  <si>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</si>
  <si>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</si>
  <si>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</si>
  <si>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</si>
  <si>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</si>
  <si>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</si>
  <si>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</si>
  <si>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</si>
  <si>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</si>
  <si>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</si>
  <si>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</si>
  <si>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</si>
  <si>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</si>
  <si>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</si>
  <si>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</si>
  <si>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</si>
  <si>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</si>
  <si>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</si>
  <si>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</si>
  <si>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</si>
  <si>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</si>
  <si>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</si>
  <si>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</si>
  <si>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</si>
  <si>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</si>
  <si>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</si>
  <si>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</si>
  <si>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</si>
  <si>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</si>
  <si>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</si>
  <si>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</si>
  <si>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</si>
  <si>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</si>
  <si>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</si>
  <si>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</si>
  <si>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</si>
  <si>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</si>
  <si>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</si>
  <si>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</si>
  <si>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</si>
  <si>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</si>
  <si>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</si>
  <si>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</si>
  <si>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</si>
  <si>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</si>
  <si>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</si>
  <si>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</si>
  <si>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</si>
  <si>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</si>
  <si>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</si>
  <si>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</si>
  <si>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</si>
  <si>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</si>
  <si>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</si>
  <si>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</si>
  <si>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</si>
  <si>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</si>
  <si>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</si>
  <si>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</si>
  <si>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</si>
  <si>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</si>
  <si>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</si>
  <si>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</si>
  <si>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</si>
  <si>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</si>
  <si>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</si>
  <si>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</si>
  <si>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</si>
  <si>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</si>
  <si>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</si>
  <si>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</si>
  <si>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</si>
  <si>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</si>
  <si>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</si>
  <si>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</si>
  <si>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</si>
  <si>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</si>
  <si>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</si>
  <si>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</si>
  <si>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</si>
  <si>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</si>
  <si>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</si>
  <si>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</si>
  <si>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</si>
  <si>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</si>
  <si>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</si>
  <si>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</si>
  <si>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</si>
  <si>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</si>
  <si>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</si>
  <si>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</si>
  <si>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</si>
  <si>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</si>
  <si>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</si>
  <si>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</si>
  <si>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</si>
  <si>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</si>
  <si>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</si>
  <si>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</si>
  <si>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학과
융합
(택1)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</si>
  <si>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</si>
  <si>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</si>
  <si>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</si>
  <si>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</si>
  <si>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</si>
  <si>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</si>
  <si>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</si>
  <si>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</si>
  <si>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</si>
  <si>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</si>
  <si>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</si>
  <si>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</si>
  <si>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</si>
  <si>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</si>
  <si>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</si>
  <si>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</si>
  <si>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</si>
  <si>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</si>
  <si>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</si>
  <si>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</si>
  <si>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</si>
  <si>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</si>
  <si>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</si>
  <si>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</si>
  <si>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</si>
  <si>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</si>
  <si>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</si>
  <si>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</si>
  <si>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</si>
  <si>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</si>
  <si>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</si>
  <si>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</si>
  <si>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전기과</t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</si>
  <si>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</si>
  <si>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</si>
  <si>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</si>
  <si>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</si>
  <si>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</si>
  <si>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</si>
  <si>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</si>
  <si>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</si>
  <si>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</si>
  <si>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</si>
  <si>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</si>
  <si>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</si>
  <si>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</si>
  <si>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</si>
  <si>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</si>
  <si>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</si>
  <si>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</si>
  <si>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</si>
  <si>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</si>
  <si>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</si>
  <si>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</si>
  <si>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</si>
  <si>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</si>
  <si>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</si>
  <si>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</si>
  <si>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</si>
  <si>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</si>
  <si>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</si>
  <si>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</si>
  <si>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</si>
  <si>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</si>
  <si>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</si>
  <si>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</si>
  <si>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</si>
  <si>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</si>
  <si>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</si>
  <si>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</si>
  <si>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</si>
  <si>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</si>
  <si>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</si>
  <si>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</si>
  <si>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</si>
  <si>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</si>
  <si>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</si>
  <si>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</si>
  <si>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</si>
  <si>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</si>
  <si>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</si>
  <si>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</si>
  <si>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</si>
  <si>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</si>
  <si>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</si>
  <si>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</si>
  <si>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</si>
  <si>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</si>
  <si>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</si>
  <si>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</si>
  <si>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</si>
  <si>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</si>
  <si>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</si>
  <si>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</si>
  <si>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</si>
  <si>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</si>
  <si>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</si>
  <si>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</si>
  <si>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</si>
  <si>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</si>
  <si>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</si>
  <si>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</si>
  <si>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</si>
  <si>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</si>
  <si>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</si>
  <si>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</si>
  <si>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</si>
  <si>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</si>
  <si>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</si>
  <si>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</si>
  <si>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</si>
  <si>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</si>
  <si>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</si>
  <si>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</si>
  <si>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</si>
  <si>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</si>
  <si>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</si>
  <si>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</si>
  <si>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</si>
  <si>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</si>
  <si>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</si>
  <si>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</si>
  <si>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</si>
  <si>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</si>
  <si>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</si>
  <si>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</si>
  <si>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</si>
  <si>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</si>
  <si>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</si>
  <si>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</si>
  <si>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</si>
  <si>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</si>
  <si>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</si>
  <si>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</si>
  <si>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</si>
  <si>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</si>
  <si>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</si>
  <si>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</si>
  <si>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</si>
  <si>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</si>
  <si>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</si>
  <si>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</si>
  <si>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</si>
  <si>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</si>
  <si>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</si>
  <si>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</si>
  <si>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</si>
  <si>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</si>
  <si>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</si>
  <si>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</si>
  <si>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</si>
  <si>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</si>
  <si>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</si>
  <si>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</si>
  <si>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</si>
  <si>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</si>
  <si>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</si>
  <si>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</si>
  <si>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</si>
  <si>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</si>
  <si>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</si>
  <si>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</si>
  <si>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</si>
  <si>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</si>
  <si>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</si>
  <si>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</si>
  <si>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</si>
  <si>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</si>
  <si>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</si>
  <si>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</si>
  <si>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</si>
  <si>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</si>
  <si>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</si>
  <si>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</si>
  <si>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</si>
  <si>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</si>
  <si>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</si>
  <si>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</si>
  <si>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</si>
  <si>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</si>
  <si>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</si>
  <si>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</si>
  <si>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</si>
  <si>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</si>
  <si>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</si>
  <si>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</si>
  <si>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</si>
  <si>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</si>
  <si>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</si>
  <si>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</si>
  <si>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</si>
  <si>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</si>
  <si>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</si>
  <si>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</si>
  <si>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</si>
  <si>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</si>
  <si>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</si>
  <si>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</si>
  <si>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</si>
  <si>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</si>
  <si>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</si>
  <si>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</si>
  <si>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디지털과 직업생활</t>
    <phoneticPr fontId="9" type="noConversion"/>
  </si>
  <si>
    <t>전공일반</t>
    <phoneticPr fontId="9" type="noConversion"/>
  </si>
  <si>
    <t>전공실무</t>
    <phoneticPr fontId="9" type="noConversion"/>
  </si>
  <si>
    <t>심화코스1</t>
    <phoneticPr fontId="9" type="noConversion"/>
  </si>
  <si>
    <t>심화코스2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</si>
  <si>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</si>
  <si>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</si>
  <si>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</si>
  <si>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</si>
  <si>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</si>
  <si>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</si>
  <si>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</si>
  <si>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</si>
  <si>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</si>
  <si>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</si>
  <si>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</si>
  <si>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</si>
  <si>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</si>
  <si>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</si>
  <si>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</si>
  <si>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</si>
  <si>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</si>
  <si>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</si>
  <si>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</si>
  <si>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</si>
  <si>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</si>
  <si>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</si>
  <si>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</si>
  <si>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</si>
  <si>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</si>
  <si>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</si>
  <si>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</si>
  <si>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</si>
  <si>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</si>
  <si>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</si>
  <si>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</si>
  <si>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</si>
  <si>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</si>
  <si>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</si>
  <si>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</si>
  <si>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</si>
  <si>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</si>
  <si>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</si>
  <si>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</si>
  <si>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</si>
  <si>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</si>
  <si>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</si>
  <si>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</si>
  <si>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</si>
  <si>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</si>
  <si>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</si>
  <si>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</si>
  <si>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</si>
  <si>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</si>
  <si>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</si>
  <si>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</si>
  <si>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</si>
  <si>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</si>
  <si>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</si>
  <si>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</si>
  <si>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</si>
  <si>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</si>
  <si>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</si>
  <si>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</si>
  <si>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</si>
  <si>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</si>
  <si>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</si>
  <si>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</si>
  <si>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</si>
  <si>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</si>
  <si>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</si>
  <si>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</si>
  <si>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</si>
  <si>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</si>
  <si>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</si>
  <si>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</si>
  <si>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</si>
  <si>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</si>
  <si>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</si>
  <si>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</si>
  <si>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</si>
  <si>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</si>
  <si>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</si>
  <si>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</si>
  <si>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</si>
  <si>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</si>
  <si>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</si>
  <si>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</si>
  <si>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</si>
  <si>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</si>
  <si>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</si>
  <si>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</si>
  <si>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</si>
  <si>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</si>
  <si>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</si>
  <si>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</si>
  <si>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</si>
  <si>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</si>
  <si>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</si>
  <si>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</si>
  <si>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</si>
  <si>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</si>
  <si>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</si>
  <si>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</si>
  <si>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</si>
  <si>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</si>
  <si>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</si>
  <si>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</si>
  <si>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</si>
  <si>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</si>
  <si>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</si>
  <si>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</si>
  <si>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</si>
  <si>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</si>
  <si>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</si>
  <si>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</si>
  <si>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</si>
  <si>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</si>
  <si>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</si>
  <si>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</si>
  <si>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</si>
  <si>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</si>
  <si>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</si>
  <si>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</si>
  <si>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</si>
  <si>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</si>
  <si>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</si>
  <si>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</si>
  <si>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</si>
  <si>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</si>
  <si>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</si>
  <si>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</si>
  <si>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</si>
  <si>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</si>
  <si>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</si>
  <si>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</si>
  <si>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</si>
  <si>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</si>
  <si>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</si>
  <si>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</si>
  <si>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</si>
  <si>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</si>
  <si>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</si>
  <si>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</si>
  <si>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</si>
  <si>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</si>
  <si>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</si>
  <si>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</si>
  <si>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</si>
  <si>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</si>
  <si>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</si>
  <si>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</si>
  <si>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</si>
  <si>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</si>
  <si>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</si>
  <si>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</si>
  <si>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</si>
  <si>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학교장</t>
    <phoneticPr fontId="9" type="noConversion"/>
  </si>
  <si>
    <t>041-742-7309</t>
    <phoneticPr fontId="9" type="noConversion"/>
  </si>
  <si>
    <t>연무마이스터고등학교</t>
    <phoneticPr fontId="9" type="noConversion"/>
  </si>
  <si>
    <t>기계과</t>
  </si>
  <si>
    <t>미래자동차부품가공과</t>
    <phoneticPr fontId="9" type="noConversion"/>
  </si>
  <si>
    <t>미래자동차금형과</t>
    <phoneticPr fontId="9" type="noConversion"/>
  </si>
  <si>
    <t>미래자동차전기전자과</t>
    <phoneticPr fontId="9" type="noConversion"/>
  </si>
  <si>
    <t>미래자동차 부품 가공원, 기계 부품 설계 기술원, 임기제 부사관(총포/무기)</t>
    <phoneticPr fontId="9" type="noConversion"/>
  </si>
  <si>
    <t>미래자동차 금형제작원, 미래자동차 금형설계원, 임기제 부사관(총포/무기/방공)</t>
    <phoneticPr fontId="9" type="noConversion"/>
  </si>
  <si>
    <t xml:space="preserve">미래자동차 전기·전자(전기차, 수소차) 부품·제품 조립원, 자동조립라인·산업용로봇 조작원, 임기제 부사관(방공무기) </t>
    <phoneticPr fontId="9" type="noConversion"/>
  </si>
  <si>
    <t>운동과 건강</t>
    <phoneticPr fontId="9" type="noConversion"/>
  </si>
  <si>
    <t>기계 제도</t>
    <phoneticPr fontId="9" type="noConversion"/>
  </si>
  <si>
    <t>노동 인권과 산업 안전</t>
    <phoneticPr fontId="9" type="noConversion"/>
  </si>
  <si>
    <t>기계 기초 공작</t>
    <phoneticPr fontId="5" type="noConversion"/>
  </si>
  <si>
    <t>기계 일반</t>
    <phoneticPr fontId="5" type="noConversion"/>
  </si>
  <si>
    <t>미래 자동차 일반</t>
    <phoneticPr fontId="9" type="noConversion"/>
  </si>
  <si>
    <t>컴퓨터 활용 생산</t>
    <phoneticPr fontId="9" type="noConversion"/>
  </si>
  <si>
    <t>자동 제어 시스템 운영</t>
    <phoneticPr fontId="9" type="noConversion"/>
  </si>
  <si>
    <t>기계 소프트웨어 개발</t>
    <phoneticPr fontId="9" type="noConversion"/>
  </si>
  <si>
    <t>이산화탄소가스 메탈 아크 용접</t>
    <phoneticPr fontId="9" type="noConversion"/>
  </si>
  <si>
    <t>내선 공사</t>
    <phoneticPr fontId="9" type="noConversion"/>
  </si>
  <si>
    <t>부품 개설</t>
    <phoneticPr fontId="9" type="noConversion"/>
  </si>
  <si>
    <t>금형 개설</t>
    <phoneticPr fontId="9" type="noConversion"/>
  </si>
  <si>
    <t>전기 개설</t>
    <phoneticPr fontId="9" type="noConversion"/>
  </si>
  <si>
    <t>기계</t>
    <phoneticPr fontId="9" type="noConversion"/>
  </si>
  <si>
    <t>피복 아크 용접</t>
    <phoneticPr fontId="9" type="noConversion"/>
  </si>
  <si>
    <t>사출 금형 제작</t>
    <phoneticPr fontId="9" type="noConversion"/>
  </si>
  <si>
    <t>군특 개설</t>
    <phoneticPr fontId="9" type="noConversion"/>
  </si>
  <si>
    <t>군특성화</t>
    <phoneticPr fontId="9" type="noConversion"/>
  </si>
  <si>
    <t>군 리더십1,2</t>
    <phoneticPr fontId="9" type="noConversion"/>
  </si>
  <si>
    <t>특수 가공</t>
    <phoneticPr fontId="9" type="noConversion"/>
  </si>
  <si>
    <t>로봇 유지 보수</t>
    <phoneticPr fontId="9" type="noConversion"/>
  </si>
  <si>
    <t>군특성화</t>
    <phoneticPr fontId="9" type="noConversion"/>
  </si>
  <si>
    <t>전공실무</t>
    <phoneticPr fontId="9" type="noConversion"/>
  </si>
  <si>
    <t>총기 장비</t>
    <phoneticPr fontId="9" type="noConversion"/>
  </si>
  <si>
    <t>재료 일반</t>
    <phoneticPr fontId="5" type="noConversion"/>
  </si>
  <si>
    <t>사출 금형 설계</t>
    <phoneticPr fontId="9" type="noConversion"/>
  </si>
  <si>
    <t>스마트 금형 제작</t>
    <phoneticPr fontId="9" type="noConversion"/>
  </si>
  <si>
    <t>사출 금형 조립</t>
    <phoneticPr fontId="9" type="noConversion"/>
  </si>
  <si>
    <t>심화코스3</t>
    <phoneticPr fontId="9" type="noConversion"/>
  </si>
  <si>
    <t>총기 장비</t>
    <phoneticPr fontId="9" type="noConversion"/>
  </si>
  <si>
    <t>로봇 유지 보수</t>
    <phoneticPr fontId="9" type="noConversion"/>
  </si>
  <si>
    <t>방공 무기 운용 II</t>
    <phoneticPr fontId="9" type="noConversion"/>
  </si>
  <si>
    <t>방공 무기 운용 I</t>
    <phoneticPr fontId="9" type="noConversion"/>
  </si>
  <si>
    <t>전자과</t>
  </si>
  <si>
    <t>전기 회로</t>
    <phoneticPr fontId="5" type="noConversion"/>
  </si>
  <si>
    <t>디지털 논리 회로</t>
    <phoneticPr fontId="5" type="noConversion"/>
  </si>
  <si>
    <t>전기 기기</t>
    <phoneticPr fontId="9" type="noConversion"/>
  </si>
  <si>
    <t>전기 설비</t>
    <phoneticPr fontId="9" type="noConversion"/>
  </si>
  <si>
    <t>기계 수동 조립</t>
    <phoneticPr fontId="9" type="noConversion"/>
  </si>
  <si>
    <t>산업용 전자 기기 소프트웨어 개발</t>
    <phoneticPr fontId="9" type="noConversion"/>
  </si>
  <si>
    <t>전기·전자</t>
    <phoneticPr fontId="9" type="noConversion"/>
  </si>
  <si>
    <t>전자 회로</t>
    <phoneticPr fontId="9" type="noConversion"/>
  </si>
  <si>
    <t>커넥티드카 소프트웨어 개발</t>
    <phoneticPr fontId="9" type="noConversion"/>
  </si>
  <si>
    <t>CNC밀링(머시닝센터) 가공 프로그래밍(60H)</t>
    <phoneticPr fontId="5" type="noConversion"/>
  </si>
  <si>
    <t>CNC선반 가공 프로그래밍(60H)</t>
    <phoneticPr fontId="5" type="noConversion"/>
  </si>
  <si>
    <t>도면검토(30H)</t>
    <phoneticPr fontId="5" type="noConversion"/>
  </si>
  <si>
    <t>측정기 유지관리(15H)</t>
    <phoneticPr fontId="5" type="noConversion"/>
  </si>
  <si>
    <t>탭·드릴·보링 가공(30H)</t>
    <phoneticPr fontId="5" type="noConversion"/>
  </si>
  <si>
    <t>정밀측정(15H)</t>
    <phoneticPr fontId="5" type="noConversion"/>
  </si>
  <si>
    <t>3D형상모델링작업(60H)</t>
    <phoneticPr fontId="5" type="noConversion"/>
  </si>
  <si>
    <t>CNC밀링(머시닝센터) 가공 CAM프로그래밍(45H)</t>
    <phoneticPr fontId="5" type="noConversion"/>
  </si>
  <si>
    <t>CNC밀링(머시닝센터) 조작(60H)</t>
    <phoneticPr fontId="5" type="noConversion"/>
  </si>
  <si>
    <t>CNC선반 조작(60H)</t>
    <phoneticPr fontId="5" type="noConversion"/>
  </si>
  <si>
    <t>편심·나사 작업(30H)</t>
    <phoneticPr fontId="5" type="noConversion"/>
  </si>
  <si>
    <t>1501020116_19v4</t>
    <phoneticPr fontId="5" type="noConversion"/>
  </si>
  <si>
    <t>1502010508_20v4</t>
    <phoneticPr fontId="5" type="noConversion"/>
  </si>
  <si>
    <t>1502010206_14v2</t>
    <phoneticPr fontId="5" type="noConversion"/>
  </si>
  <si>
    <t>1502010505_20v4</t>
    <phoneticPr fontId="5" type="noConversion"/>
  </si>
  <si>
    <t>1501020113_16v3</t>
    <phoneticPr fontId="5" type="noConversion"/>
  </si>
  <si>
    <t>1502010107_14v2</t>
    <phoneticPr fontId="5" type="noConversion"/>
  </si>
  <si>
    <t>PLC제어 기본 모듈 프로그램 개발</t>
    <phoneticPr fontId="5" type="noConversion"/>
  </si>
  <si>
    <t>공기압제어</t>
  </si>
  <si>
    <t>센서활용기술</t>
  </si>
  <si>
    <t>모터제어</t>
  </si>
  <si>
    <t>1503010210_14v3</t>
    <phoneticPr fontId="5" type="noConversion"/>
  </si>
  <si>
    <t>1503010215_16v4</t>
    <phoneticPr fontId="5" type="noConversion"/>
  </si>
  <si>
    <t>1503010204_14v3</t>
    <phoneticPr fontId="5" type="noConversion"/>
  </si>
  <si>
    <t>1503010205_14v3</t>
    <phoneticPr fontId="5" type="noConversion"/>
  </si>
  <si>
    <t>솔리드와이어 맞대기용접</t>
    <phoneticPr fontId="5" type="noConversion"/>
  </si>
  <si>
    <t>솔리드와이어 필릿용접</t>
    <phoneticPr fontId="5" type="noConversion"/>
  </si>
  <si>
    <t>플럭스코어드와이어 맞대기용접</t>
    <phoneticPr fontId="5" type="noConversion"/>
  </si>
  <si>
    <t>1601050213_21v4</t>
    <phoneticPr fontId="5" type="noConversion"/>
  </si>
  <si>
    <t>1601050212_21v4</t>
    <phoneticPr fontId="5" type="noConversion"/>
  </si>
  <si>
    <t>1601050216_21v4</t>
    <phoneticPr fontId="5" type="noConversion"/>
  </si>
  <si>
    <t>1502020104_18v3</t>
    <phoneticPr fontId="5" type="noConversion"/>
  </si>
  <si>
    <t>로봇유지관리</t>
    <phoneticPr fontId="5" type="noConversion"/>
  </si>
  <si>
    <t>로봇기구부보수</t>
  </si>
  <si>
    <t>1903080503_16v1</t>
    <phoneticPr fontId="5" type="noConversion"/>
  </si>
  <si>
    <t>1903080506_16v1</t>
    <phoneticPr fontId="5" type="noConversion"/>
  </si>
  <si>
    <t>피복아크용접 비드쌓기</t>
  </si>
  <si>
    <t>피복아크용접 맞대기용접</t>
  </si>
  <si>
    <t>1601050110_21v3</t>
    <phoneticPr fontId="5" type="noConversion"/>
  </si>
  <si>
    <t>1601050111_21v3</t>
    <phoneticPr fontId="5" type="noConversion"/>
  </si>
  <si>
    <t>사출금형 2D 도면 작성</t>
    <phoneticPr fontId="5" type="noConversion"/>
  </si>
  <si>
    <t>사출금형 기초 제품도 분석</t>
    <phoneticPr fontId="5" type="noConversion"/>
  </si>
  <si>
    <t>사출금형 기초 3D 모델링</t>
    <phoneticPr fontId="5" type="noConversion"/>
  </si>
  <si>
    <t>사출금형 부품 CNC가공</t>
    <phoneticPr fontId="5" type="noConversion"/>
  </si>
  <si>
    <t>사출금형 응용 부품가공 프로그램</t>
    <phoneticPr fontId="5" type="noConversion"/>
  </si>
  <si>
    <t>사출금형 측정기 사용</t>
    <phoneticPr fontId="5" type="noConversion"/>
  </si>
  <si>
    <t>사출금형시제품검사</t>
    <phoneticPr fontId="5" type="noConversion"/>
  </si>
  <si>
    <t>1510010109_19v3</t>
    <phoneticPr fontId="5" type="noConversion"/>
  </si>
  <si>
    <t>1510010114_19v4</t>
    <phoneticPr fontId="5" type="noConversion"/>
  </si>
  <si>
    <t>1510010118_19v1</t>
    <phoneticPr fontId="5" type="noConversion"/>
  </si>
  <si>
    <t>1510010220_19v4</t>
    <phoneticPr fontId="5" type="noConversion"/>
  </si>
  <si>
    <t>1510010223_19v4</t>
    <phoneticPr fontId="5" type="noConversion"/>
  </si>
  <si>
    <t>1510010311_24v2</t>
    <phoneticPr fontId="5" type="noConversion"/>
  </si>
  <si>
    <t>1510010305_24v4</t>
    <phoneticPr fontId="5" type="noConversion"/>
  </si>
  <si>
    <t>공기압제어</t>
    <phoneticPr fontId="5" type="noConversion"/>
  </si>
  <si>
    <t>CNC 가공 최적화</t>
    <phoneticPr fontId="5" type="noConversion"/>
  </si>
  <si>
    <t>가공준비 자동화</t>
    <phoneticPr fontId="5" type="noConversion"/>
  </si>
  <si>
    <t>CAM 프로그램 자동화</t>
    <phoneticPr fontId="5" type="noConversion"/>
  </si>
  <si>
    <t>스마트금형유지관리</t>
    <phoneticPr fontId="5" type="noConversion"/>
  </si>
  <si>
    <t>1510000104_20v1</t>
    <phoneticPr fontId="5" type="noConversion"/>
  </si>
  <si>
    <t>1510000105_20v1</t>
    <phoneticPr fontId="5" type="noConversion"/>
  </si>
  <si>
    <t>1510000103_20v1</t>
  </si>
  <si>
    <t>1510000110_20v1</t>
  </si>
  <si>
    <t>사출금형 다듬질</t>
    <phoneticPr fontId="5" type="noConversion"/>
  </si>
  <si>
    <t>사출금형 부품 형조방전가공</t>
  </si>
  <si>
    <t>사출금형경면래핑</t>
    <phoneticPr fontId="5" type="noConversion"/>
  </si>
  <si>
    <t>단순 사출금형 조립</t>
  </si>
  <si>
    <t>1510010403_24v4</t>
    <phoneticPr fontId="5" type="noConversion"/>
  </si>
  <si>
    <t>1510010221_19v4</t>
    <phoneticPr fontId="5" type="noConversion"/>
  </si>
  <si>
    <t>1510010404_24v4</t>
  </si>
  <si>
    <t>1510010411_24v4</t>
  </si>
  <si>
    <t>로봇기구부 보수</t>
    <phoneticPr fontId="5" type="noConversion"/>
  </si>
  <si>
    <t>사출 성형 설비점검</t>
    <phoneticPr fontId="5" type="noConversion"/>
  </si>
  <si>
    <t>사출금형 유지보수</t>
    <phoneticPr fontId="5" type="noConversion"/>
  </si>
  <si>
    <t>사출금형 3D 프린팅 활용
 시제품 제작</t>
    <phoneticPr fontId="5" type="noConversion"/>
  </si>
  <si>
    <t>사출금형 3D 프린팅 활용
 시제품 후처리</t>
    <phoneticPr fontId="5" type="noConversion"/>
  </si>
  <si>
    <t>1510010224_19v1</t>
    <phoneticPr fontId="5" type="noConversion"/>
  </si>
  <si>
    <t>1510010225_19v1</t>
    <phoneticPr fontId="5" type="noConversion"/>
  </si>
  <si>
    <t>체결요소설계</t>
  </si>
  <si>
    <t>조립도면작성</t>
  </si>
  <si>
    <t>전기전자장치조립</t>
  </si>
  <si>
    <t>PLC제어특수모듈 프로그램개발</t>
  </si>
  <si>
    <t>HMI프로그램개발</t>
  </si>
  <si>
    <t>유압제어</t>
  </si>
  <si>
    <t>1503010205_14v3</t>
  </si>
  <si>
    <t>1503010211_14v3</t>
  </si>
  <si>
    <t>1503010213_14v3</t>
  </si>
  <si>
    <t>1503010215_16v4</t>
  </si>
  <si>
    <t>1503010216_16v4</t>
  </si>
  <si>
    <t>로봇설치</t>
  </si>
  <si>
    <t>로봇유지관리</t>
  </si>
  <si>
    <t>로봇문제점분석</t>
  </si>
  <si>
    <t>로봇제어부보수</t>
  </si>
  <si>
    <t>로봇시스템인터페이스보수</t>
    <phoneticPr fontId="5" type="noConversion"/>
  </si>
  <si>
    <t>타깃 시스템 분석</t>
    <phoneticPr fontId="5" type="noConversion"/>
  </si>
  <si>
    <t>시스템 소프트웨어 설계</t>
  </si>
  <si>
    <t>펌웨어 개발</t>
  </si>
  <si>
    <t>응용 소프트웨어 개발</t>
  </si>
  <si>
    <t>프로그램 테스트</t>
    <phoneticPr fontId="5" type="noConversion"/>
  </si>
  <si>
    <t>소프트웨어 사후 관리</t>
  </si>
  <si>
    <t>1903020302_14v1</t>
    <phoneticPr fontId="5" type="noConversion"/>
  </si>
  <si>
    <t>1903020303_17v2</t>
    <phoneticPr fontId="5" type="noConversion"/>
  </si>
  <si>
    <t>1903020304_17v2</t>
    <phoneticPr fontId="5" type="noConversion"/>
  </si>
  <si>
    <t>1903020306_17v2</t>
    <phoneticPr fontId="5" type="noConversion"/>
  </si>
  <si>
    <t>1903020307_17v2</t>
    <phoneticPr fontId="5" type="noConversion"/>
  </si>
  <si>
    <t>커넥티드카 OS기반 미들웨어 설계</t>
  </si>
  <si>
    <t>커넥티드카 HMI/UX 개발</t>
  </si>
  <si>
    <t>커넥티드카 애플리케이션 소프트웨어 개발</t>
    <phoneticPr fontId="5" type="noConversion"/>
  </si>
  <si>
    <t>커넥티드카 소프트웨어 기능테스트</t>
  </si>
  <si>
    <t>1903170105_18v1</t>
  </si>
  <si>
    <t>1903170106_18v1</t>
  </si>
  <si>
    <t>1903170108_18v1</t>
  </si>
  <si>
    <t>배관공사</t>
    <phoneticPr fontId="9" type="noConversion"/>
  </si>
  <si>
    <t>배선공사</t>
    <phoneticPr fontId="9" type="noConversion"/>
  </si>
  <si>
    <t>옥내 조명공사</t>
    <phoneticPr fontId="9" type="noConversion"/>
  </si>
  <si>
    <t>전열공사</t>
    <phoneticPr fontId="9" type="noConversion"/>
  </si>
  <si>
    <t>1901070119_22v4</t>
    <phoneticPr fontId="9" type="noConversion"/>
  </si>
  <si>
    <t>탄약 개론</t>
    <phoneticPr fontId="9" type="noConversion"/>
  </si>
  <si>
    <t>송현창</t>
    <phoneticPr fontId="9" type="noConversion"/>
  </si>
  <si>
    <t>이유경</t>
    <phoneticPr fontId="9" type="noConversion"/>
  </si>
  <si>
    <t>신찬용</t>
    <phoneticPr fontId="9" type="noConversion"/>
  </si>
  <si>
    <t>2027학년도 교육과정 편제 및 학점배당표(마이스터고/특성화고)</t>
    <phoneticPr fontId="9" type="noConversion"/>
  </si>
  <si>
    <t>송현창</t>
    <phoneticPr fontId="9" type="noConversion"/>
  </si>
  <si>
    <t>이유경</t>
    <phoneticPr fontId="9" type="noConversion"/>
  </si>
  <si>
    <t>신찬용</t>
    <phoneticPr fontId="9" type="noConversion"/>
  </si>
  <si>
    <t>전기 공사 관리</t>
    <phoneticPr fontId="9" type="noConversion"/>
  </si>
  <si>
    <t>내선 공사</t>
    <phoneticPr fontId="9" type="noConversion"/>
  </si>
  <si>
    <t>외선 공사</t>
    <phoneticPr fontId="9" type="noConversion"/>
  </si>
  <si>
    <t>자동제어 시스템 운영</t>
    <phoneticPr fontId="9" type="noConversion"/>
  </si>
  <si>
    <t>070-7858-0921</t>
  </si>
  <si>
    <t>070-7858-0921</t>
    <phoneticPr fontId="9" type="noConversion"/>
  </si>
  <si>
    <t>070-7858-0933</t>
  </si>
  <si>
    <t>070-7858-0933</t>
    <phoneticPr fontId="9" type="noConversion"/>
  </si>
  <si>
    <t>연무마이스터고</t>
    <phoneticPr fontId="9" type="noConversion"/>
  </si>
  <si>
    <t xml:space="preserve">	1502010406_18v5</t>
    <phoneticPr fontId="5" type="noConversion"/>
  </si>
  <si>
    <t>1502010404_18v5</t>
    <phoneticPr fontId="5" type="noConversion"/>
  </si>
  <si>
    <t>1502010408_18v5</t>
    <phoneticPr fontId="5" type="noConversion"/>
  </si>
  <si>
    <t>1502010405_18v3</t>
    <phoneticPr fontId="5" type="noConversion"/>
  </si>
  <si>
    <t>1502010403_18v3</t>
    <phoneticPr fontId="5" type="noConversion"/>
  </si>
  <si>
    <t>시퀀스 회로 제어 운영</t>
    <phoneticPr fontId="5" type="noConversion"/>
  </si>
  <si>
    <t>1901080411_20v3</t>
    <phoneticPr fontId="5" type="noConversion"/>
  </si>
  <si>
    <t>프로그램조직제어(PLC) 기본 운영</t>
    <phoneticPr fontId="9" type="noConversion"/>
  </si>
  <si>
    <t>1901080412_20v3</t>
    <phoneticPr fontId="5" type="noConversion"/>
  </si>
  <si>
    <t>CNC밀링 5축 가공 프로그래밍</t>
    <phoneticPr fontId="9" type="noConversion"/>
  </si>
  <si>
    <t>1502010410_18v3</t>
    <phoneticPr fontId="5" type="noConversion"/>
  </si>
  <si>
    <t>와이어 방전가공</t>
    <phoneticPr fontId="9" type="noConversion"/>
  </si>
  <si>
    <t>이산화탄소 가스 메탈 아크 용접</t>
    <phoneticPr fontId="9" type="noConversion"/>
  </si>
  <si>
    <t>기초2단 사출금형설계</t>
  </si>
  <si>
    <t>1510010120_19v1</t>
    <phoneticPr fontId="9" type="noConversion"/>
  </si>
  <si>
    <t>기계 소프트
웨어 개발</t>
    <phoneticPr fontId="9" type="noConversion"/>
  </si>
  <si>
    <t>1510010303_18v3</t>
    <phoneticPr fontId="5" type="noConversion"/>
  </si>
  <si>
    <t>1510010308_18v3</t>
    <phoneticPr fontId="5" type="noConversion"/>
  </si>
  <si>
    <t>사출금형 조립</t>
    <phoneticPr fontId="9" type="noConversion"/>
  </si>
  <si>
    <t>사출금형제작(학점제)</t>
    <phoneticPr fontId="9" type="noConversion"/>
  </si>
  <si>
    <t>스마트금형제작</t>
    <phoneticPr fontId="9" type="noConversion"/>
  </si>
  <si>
    <t>기계 수동 조립</t>
    <phoneticPr fontId="5" type="noConversion"/>
  </si>
  <si>
    <t>1501020106_16v3</t>
  </si>
  <si>
    <t>자동화설비  산업기사 과정</t>
    <phoneticPr fontId="9" type="noConversion"/>
  </si>
  <si>
    <t>1503010112_16v4</t>
  </si>
  <si>
    <t>1503010119_16v4</t>
  </si>
  <si>
    <t>기계 소프트웨어 개발</t>
    <phoneticPr fontId="5" type="noConversion"/>
  </si>
  <si>
    <t>1503010204_14v3</t>
  </si>
  <si>
    <t>전기공사관리</t>
    <phoneticPr fontId="5" type="noConversion"/>
  </si>
  <si>
    <t>내선공사견적</t>
    <phoneticPr fontId="5" type="noConversion"/>
  </si>
  <si>
    <t>1901070114_22v4</t>
  </si>
  <si>
    <t>내선공사 산업기사 과정</t>
    <phoneticPr fontId="9" type="noConversion"/>
  </si>
  <si>
    <t>전기공사 문서관리</t>
    <phoneticPr fontId="5" type="noConversion"/>
  </si>
  <si>
    <t>1901070402_22v1</t>
  </si>
  <si>
    <t>내선공사</t>
    <phoneticPr fontId="5" type="noConversion"/>
  </si>
  <si>
    <t>배관공사</t>
    <phoneticPr fontId="5" type="noConversion"/>
  </si>
  <si>
    <t>1901070116_22v4</t>
  </si>
  <si>
    <t>배선공사</t>
    <phoneticPr fontId="5" type="noConversion"/>
  </si>
  <si>
    <t>1901070117_22v4</t>
  </si>
  <si>
    <t>옥내조명공사</t>
    <phoneticPr fontId="5" type="noConversion"/>
  </si>
  <si>
    <t>1901070119_22v4</t>
  </si>
  <si>
    <t>동력설비공사</t>
    <phoneticPr fontId="5" type="noConversion"/>
  </si>
  <si>
    <t>1901070122_22v4</t>
    <phoneticPr fontId="5" type="noConversion"/>
  </si>
  <si>
    <t>수변전설비검사</t>
    <phoneticPr fontId="5" type="noConversion"/>
  </si>
  <si>
    <t>1901070127_22v4</t>
  </si>
  <si>
    <t>접지설비공사</t>
    <phoneticPr fontId="5" type="noConversion"/>
  </si>
  <si>
    <t>1901070128_22v4</t>
  </si>
  <si>
    <t>외선공사</t>
    <phoneticPr fontId="5" type="noConversion"/>
  </si>
  <si>
    <t>가공배전선로공사</t>
    <phoneticPr fontId="5" type="noConversion"/>
  </si>
  <si>
    <t>1901070212_22v4</t>
  </si>
  <si>
    <t>개폐장치 정밀유지보수공사</t>
    <phoneticPr fontId="5" type="noConversion"/>
  </si>
  <si>
    <t>1901070311_22v2</t>
  </si>
  <si>
    <t>자동제어시스템운영</t>
    <phoneticPr fontId="5" type="noConversion"/>
  </si>
  <si>
    <t>HMI운영</t>
    <phoneticPr fontId="5" type="noConversion"/>
  </si>
  <si>
    <t>1901080406_14v2</t>
  </si>
  <si>
    <t>프로그램로직제어(PLC)기본 운영</t>
    <phoneticPr fontId="5" type="noConversion"/>
  </si>
  <si>
    <t>1901080412_20v3</t>
  </si>
  <si>
    <t>프로그램로직제어(PLC) 확장모듈 운영</t>
  </si>
  <si>
    <t>1901080413_20v3</t>
  </si>
  <si>
    <t>로봇 유지 보수</t>
    <phoneticPr fontId="5" type="noConversion"/>
  </si>
  <si>
    <t>16</t>
    <phoneticPr fontId="9" type="noConversion"/>
  </si>
  <si>
    <t>1903080502_16v1</t>
  </si>
  <si>
    <t>1903080503_16v1</t>
  </si>
  <si>
    <t>1903080505_16v1</t>
  </si>
  <si>
    <t>1903080506_16v1</t>
  </si>
  <si>
    <t>1903080507_16v1</t>
  </si>
  <si>
    <t>1903080508_16v1</t>
  </si>
  <si>
    <t>커넥티드카 개발</t>
    <phoneticPr fontId="5" type="noConversion"/>
  </si>
  <si>
    <t>1903170103_18v1</t>
  </si>
  <si>
    <t>산업용 전자 기기 소프트웨어 개발</t>
    <phoneticPr fontId="5" type="noConversion"/>
  </si>
  <si>
    <t>18</t>
    <phoneticPr fontId="9" type="noConversion"/>
  </si>
  <si>
    <t>1903020310_14v1</t>
  </si>
  <si>
    <t>내선 공사(학점제)</t>
    <phoneticPr fontId="5" type="noConversion"/>
  </si>
  <si>
    <t>4</t>
    <phoneticPr fontId="9" type="noConversion"/>
  </si>
  <si>
    <t>1901070116_16v3</t>
    <phoneticPr fontId="9" type="noConversion"/>
  </si>
  <si>
    <t>1901070117_16v3</t>
    <phoneticPr fontId="5" type="noConversion"/>
  </si>
  <si>
    <t>1901070120_16v3</t>
    <phoneticPr fontId="9" type="noConversion"/>
  </si>
  <si>
    <t>피복아크용접(학점제)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</si>
</sst>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b/>
      <i/>
      <sz val="11"/>
      <color rgb="FF0070C0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ajor"/>
    </font>
    <font>
      <i/>
      <sz val="11"/>
      <color rgb="FF0070C0"/>
      <name val="맑은 고딕"/>
      <family val="3"/>
      <charset val="129"/>
    </font>
    <font>
      <sz val="9"/>
      <name val="Inherit"/>
      <family val="2"/>
    </font>
    <font>
      <b/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10"/>
      <color rgb="FF000000"/>
      <name val="Arial"/>
      <family val="2"/>
    </font>
    <font>
      <i/>
      <sz val="11"/>
      <color rgb="FF0070C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1" fillId="0" borderId="0"/>
  </cellStyleXfs>
  <cellXfs count="7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13" fillId="10" borderId="94" xfId="6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0" fontId="12" fillId="12" borderId="112" xfId="0" applyFont="1" applyFill="1" applyBorder="1" applyAlignment="1" applyProtection="1">
      <alignment horizontal="center" vertical="center"/>
      <protection locked="0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8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2" xfId="4" applyFont="1" applyFill="1" applyBorder="1" applyAlignment="1" applyProtection="1">
      <alignment horizontal="center" vertical="center" wrapText="1"/>
    </xf>
    <xf numFmtId="0" fontId="22" fillId="0" borderId="122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3" xfId="16" applyFont="1" applyFill="1" applyBorder="1" applyAlignment="1">
      <alignment horizontal="center" vertical="center"/>
    </xf>
    <xf numFmtId="0" fontId="35" fillId="0" borderId="124" xfId="16" applyFont="1" applyBorder="1" applyAlignment="1">
      <alignment vertical="center"/>
    </xf>
    <xf numFmtId="0" fontId="35" fillId="0" borderId="27" xfId="16" applyFont="1" applyBorder="1" applyAlignment="1">
      <alignment vertical="center"/>
    </xf>
    <xf numFmtId="0" fontId="35" fillId="0" borderId="24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26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21" borderId="137" xfId="16" applyFont="1" applyFill="1" applyBorder="1" applyAlignment="1">
      <alignment horizontal="center" vertical="center" wrapText="1"/>
    </xf>
    <xf numFmtId="0" fontId="35" fillId="21" borderId="138" xfId="16" applyFont="1" applyFill="1" applyBorder="1" applyAlignment="1">
      <alignment horizontal="center" vertical="center" wrapText="1"/>
    </xf>
    <xf numFmtId="0" fontId="47" fillId="21" borderId="138" xfId="16" applyFont="1" applyFill="1" applyBorder="1" applyAlignment="1">
      <alignment horizontal="center" vertical="center" wrapText="1"/>
    </xf>
    <xf numFmtId="0" fontId="47" fillId="21" borderId="139" xfId="16" applyFont="1" applyFill="1" applyBorder="1" applyAlignment="1">
      <alignment horizontal="center" vertical="center" wrapText="1"/>
    </xf>
    <xf numFmtId="0" fontId="35" fillId="0" borderId="20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8" fillId="0" borderId="143" xfId="16" applyFont="1" applyBorder="1" applyAlignment="1">
      <alignment horizontal="center" vertical="center" wrapText="1"/>
    </xf>
    <xf numFmtId="0" fontId="48" fillId="0" borderId="145" xfId="16" applyFont="1" applyBorder="1" applyAlignment="1">
      <alignment horizontal="center" vertical="center" wrapText="1"/>
    </xf>
    <xf numFmtId="0" fontId="48" fillId="0" borderId="149" xfId="16" applyFont="1" applyBorder="1" applyAlignment="1">
      <alignment horizontal="center" vertical="center" wrapText="1"/>
    </xf>
    <xf numFmtId="0" fontId="48" fillId="0" borderId="150" xfId="16" applyFont="1" applyBorder="1" applyAlignment="1">
      <alignment horizontal="center" vertical="center" wrapText="1"/>
    </xf>
    <xf numFmtId="0" fontId="48" fillId="0" borderId="153" xfId="16" applyFont="1" applyBorder="1" applyAlignment="1">
      <alignment horizontal="center" vertical="center" wrapText="1"/>
    </xf>
    <xf numFmtId="0" fontId="48" fillId="0" borderId="154" xfId="16" applyFont="1" applyBorder="1" applyAlignment="1">
      <alignment horizontal="center" vertical="center" wrapText="1"/>
    </xf>
    <xf numFmtId="0" fontId="48" fillId="0" borderId="156" xfId="16" applyFont="1" applyBorder="1" applyAlignment="1">
      <alignment horizontal="center" vertical="center" wrapText="1"/>
    </xf>
    <xf numFmtId="0" fontId="35" fillId="0" borderId="156" xfId="16" applyFont="1" applyBorder="1" applyAlignment="1">
      <alignment horizontal="center" vertical="center" wrapText="1"/>
    </xf>
    <xf numFmtId="0" fontId="48" fillId="0" borderId="157" xfId="16" applyFont="1" applyBorder="1" applyAlignment="1">
      <alignment horizontal="center" vertical="center" wrapText="1"/>
    </xf>
    <xf numFmtId="0" fontId="35" fillId="0" borderId="150" xfId="16" applyFont="1" applyBorder="1" applyAlignment="1">
      <alignment horizontal="center" vertical="center" wrapText="1"/>
    </xf>
    <xf numFmtId="0" fontId="35" fillId="0" borderId="153" xfId="16" applyFont="1" applyBorder="1" applyAlignment="1">
      <alignment horizontal="center" vertical="center" wrapText="1"/>
    </xf>
    <xf numFmtId="0" fontId="48" fillId="0" borderId="129" xfId="16" applyFont="1" applyBorder="1" applyAlignment="1">
      <alignment horizontal="center" vertical="center" wrapText="1"/>
    </xf>
    <xf numFmtId="0" fontId="50" fillId="21" borderId="129" xfId="16" applyFont="1" applyFill="1" applyBorder="1" applyAlignment="1">
      <alignment horizontal="center" vertical="center" wrapText="1"/>
    </xf>
    <xf numFmtId="0" fontId="51" fillId="0" borderId="150" xfId="16" applyFont="1" applyBorder="1" applyAlignment="1">
      <alignment horizontal="center" vertical="center" wrapText="1"/>
    </xf>
    <xf numFmtId="0" fontId="51" fillId="0" borderId="128" xfId="16" applyFont="1" applyBorder="1" applyAlignment="1">
      <alignment horizontal="center" vertical="center" wrapText="1"/>
    </xf>
    <xf numFmtId="0" fontId="50" fillId="0" borderId="129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2" fillId="0" borderId="0" xfId="16" applyFont="1" applyBorder="1" applyAlignment="1">
      <alignment horizontal="center" vertical="center"/>
    </xf>
    <xf numFmtId="0" fontId="46" fillId="0" borderId="129" xfId="16" applyFont="1" applyBorder="1" applyAlignment="1">
      <alignment horizontal="center" vertical="center"/>
    </xf>
    <xf numFmtId="0" fontId="46" fillId="20" borderId="150" xfId="16" applyFont="1" applyFill="1" applyBorder="1" applyAlignment="1">
      <alignment horizontal="center" vertical="center"/>
    </xf>
    <xf numFmtId="0" fontId="46" fillId="20" borderId="128" xfId="16" applyFont="1" applyFill="1" applyBorder="1" applyAlignment="1">
      <alignment horizontal="center" vertical="center" wrapText="1"/>
    </xf>
    <xf numFmtId="0" fontId="52" fillId="0" borderId="150" xfId="16" applyFont="1" applyBorder="1" applyAlignment="1">
      <alignment horizontal="center" vertical="center" wrapText="1"/>
    </xf>
    <xf numFmtId="0" fontId="52" fillId="0" borderId="129" xfId="16" applyFont="1" applyBorder="1" applyAlignment="1">
      <alignment horizontal="center" vertical="center" wrapText="1"/>
    </xf>
    <xf numFmtId="0" fontId="46" fillId="0" borderId="150" xfId="16" applyFont="1" applyBorder="1" applyAlignment="1">
      <alignment horizontal="center" vertical="center" wrapText="1"/>
    </xf>
    <xf numFmtId="0" fontId="46" fillId="0" borderId="129" xfId="16" applyFont="1" applyBorder="1" applyAlignment="1">
      <alignment horizontal="center" vertical="center" wrapText="1"/>
    </xf>
    <xf numFmtId="0" fontId="35" fillId="0" borderId="150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6" fillId="20" borderId="129" xfId="16" applyFont="1" applyFill="1" applyBorder="1" applyAlignment="1">
      <alignment horizontal="center" vertical="center"/>
    </xf>
    <xf numFmtId="0" fontId="46" fillId="0" borderId="128" xfId="16" applyFont="1" applyBorder="1" applyAlignment="1">
      <alignment horizontal="center" vertical="center"/>
    </xf>
    <xf numFmtId="0" fontId="46" fillId="0" borderId="150" xfId="16" applyFont="1" applyBorder="1" applyAlignment="1">
      <alignment horizontal="center" vertical="center"/>
    </xf>
    <xf numFmtId="0" fontId="53" fillId="0" borderId="150" xfId="16" applyFont="1" applyBorder="1" applyAlignment="1">
      <alignment horizontal="center" vertical="center"/>
    </xf>
    <xf numFmtId="0" fontId="53" fillId="0" borderId="129" xfId="16" applyFont="1" applyBorder="1" applyAlignment="1">
      <alignment horizontal="center" vertical="center"/>
    </xf>
    <xf numFmtId="0" fontId="35" fillId="0" borderId="136" xfId="16" applyFont="1" applyBorder="1" applyAlignment="1">
      <alignment vertical="center"/>
    </xf>
    <xf numFmtId="0" fontId="35" fillId="0" borderId="134" xfId="16" applyFont="1" applyBorder="1" applyAlignment="1">
      <alignment vertical="center"/>
    </xf>
    <xf numFmtId="0" fontId="35" fillId="0" borderId="161" xfId="16" applyFont="1" applyBorder="1" applyAlignment="1">
      <alignment vertical="center"/>
    </xf>
    <xf numFmtId="0" fontId="35" fillId="0" borderId="162" xfId="16" applyFont="1" applyBorder="1" applyAlignment="1">
      <alignment vertical="center"/>
    </xf>
    <xf numFmtId="0" fontId="35" fillId="0" borderId="111" xfId="16" applyFont="1" applyBorder="1" applyAlignment="1">
      <alignment vertical="center"/>
    </xf>
    <xf numFmtId="0" fontId="35" fillId="0" borderId="132" xfId="16" applyFont="1" applyBorder="1" applyAlignment="1">
      <alignment vertical="center"/>
    </xf>
    <xf numFmtId="0" fontId="35" fillId="0" borderId="164" xfId="16" applyFont="1" applyBorder="1" applyAlignment="1">
      <alignment vertical="center"/>
    </xf>
    <xf numFmtId="0" fontId="35" fillId="0" borderId="165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29" fillId="0" borderId="41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0" fillId="0" borderId="30" xfId="0" applyBorder="1" applyAlignment="1" applyProtection="1">
      <alignment horizontal="center" vertical="center"/>
      <protection locked="0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33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22" fillId="15" borderId="45" xfId="4" applyFont="1" applyFill="1" applyBorder="1" applyAlignment="1" applyProtection="1">
      <alignment horizontal="center" vertical="center" wrapText="1"/>
    </xf>
    <xf numFmtId="0" fontId="22" fillId="15" borderId="46" xfId="4" applyFont="1" applyFill="1" applyBorder="1" applyAlignment="1" applyProtection="1">
      <alignment horizontal="center" vertical="center" wrapText="1"/>
    </xf>
    <xf numFmtId="0" fontId="22" fillId="15" borderId="47" xfId="4" applyFont="1" applyFill="1" applyBorder="1" applyAlignment="1" applyProtection="1">
      <alignment horizontal="center" vertical="center" wrapText="1"/>
    </xf>
    <xf numFmtId="0" fontId="22" fillId="15" borderId="40" xfId="4" applyFont="1" applyFill="1" applyBorder="1" applyAlignment="1" applyProtection="1">
      <alignment horizontal="center" vertical="center" wrapText="1"/>
    </xf>
    <xf numFmtId="0" fontId="22" fillId="15" borderId="65" xfId="4" applyFont="1" applyFill="1" applyBorder="1" applyAlignment="1" applyProtection="1">
      <alignment horizontal="center" vertical="center" wrapText="1"/>
    </xf>
    <xf numFmtId="0" fontId="22" fillId="15" borderId="42" xfId="4" applyFont="1" applyFill="1" applyBorder="1" applyAlignment="1" applyProtection="1">
      <alignment horizontal="center" vertical="center" wrapText="1"/>
    </xf>
    <xf numFmtId="0" fontId="22" fillId="15" borderId="41" xfId="4" applyFont="1" applyFill="1" applyBorder="1" applyAlignment="1" applyProtection="1">
      <alignment horizontal="center" vertical="center" wrapText="1"/>
    </xf>
    <xf numFmtId="0" fontId="22" fillId="15" borderId="73" xfId="4" applyFont="1" applyFill="1" applyBorder="1" applyAlignment="1" applyProtection="1">
      <alignment horizontal="center" vertical="center" wrapText="1"/>
    </xf>
    <xf numFmtId="0" fontId="22" fillId="15" borderId="54" xfId="4" applyFont="1" applyFill="1" applyBorder="1" applyAlignment="1" applyProtection="1">
      <alignment horizontal="center" vertical="center" wrapText="1"/>
    </xf>
    <xf numFmtId="0" fontId="22" fillId="15" borderId="61" xfId="4" applyFont="1" applyFill="1" applyBorder="1" applyAlignment="1" applyProtection="1">
      <alignment horizontal="center" vertical="center" wrapText="1"/>
    </xf>
    <xf numFmtId="0" fontId="22" fillId="15" borderId="93" xfId="4" applyFont="1" applyFill="1" applyBorder="1" applyAlignment="1" applyProtection="1">
      <alignment horizontal="center" vertical="center" wrapText="1"/>
    </xf>
    <xf numFmtId="0" fontId="22" fillId="15" borderId="56" xfId="4" applyFont="1" applyFill="1" applyBorder="1" applyAlignment="1" applyProtection="1">
      <alignment horizontal="center" vertical="center" wrapText="1"/>
    </xf>
    <xf numFmtId="0" fontId="22" fillId="0" borderId="57" xfId="4" applyFont="1" applyFill="1" applyBorder="1" applyAlignment="1" applyProtection="1">
      <alignment horizontal="center" vertical="center" wrapText="1"/>
    </xf>
    <xf numFmtId="0" fontId="22" fillId="15" borderId="58" xfId="4" applyFont="1" applyFill="1" applyBorder="1" applyAlignment="1" applyProtection="1">
      <alignment horizontal="center" vertical="center" wrapText="1"/>
    </xf>
    <xf numFmtId="0" fontId="22" fillId="15" borderId="68" xfId="4" applyFont="1" applyFill="1" applyBorder="1" applyAlignment="1" applyProtection="1">
      <alignment horizontal="center" vertical="center" wrapText="1"/>
    </xf>
    <xf numFmtId="0" fontId="22" fillId="0" borderId="100" xfId="4" applyFont="1" applyFill="1" applyBorder="1" applyAlignment="1" applyProtection="1">
      <alignment horizontal="center" vertical="center" wrapText="1"/>
    </xf>
    <xf numFmtId="0" fontId="22" fillId="15" borderId="101" xfId="4" applyFont="1" applyFill="1" applyBorder="1" applyAlignment="1" applyProtection="1">
      <alignment horizontal="center" vertical="center" wrapText="1"/>
    </xf>
    <xf numFmtId="0" fontId="22" fillId="0" borderId="33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wrapText="1"/>
    </xf>
    <xf numFmtId="0" fontId="29" fillId="0" borderId="41" xfId="4" applyFont="1" applyFill="1" applyBorder="1" applyAlignment="1" applyProtection="1">
      <alignment vertical="center" wrapText="1"/>
    </xf>
    <xf numFmtId="0" fontId="29" fillId="0" borderId="46" xfId="4" applyFont="1" applyFill="1" applyBorder="1" applyAlignment="1" applyProtection="1">
      <alignment vertical="center" wrapText="1"/>
    </xf>
    <xf numFmtId="0" fontId="29" fillId="0" borderId="100" xfId="4" applyFont="1" applyFill="1" applyBorder="1" applyAlignment="1" applyProtection="1">
      <alignment vertical="center" wrapText="1"/>
    </xf>
    <xf numFmtId="0" fontId="13" fillId="15" borderId="32" xfId="4" applyFont="1" applyFill="1" applyBorder="1" applyAlignment="1" applyProtection="1">
      <alignment horizontal="center" vertical="center" shrinkToFit="1"/>
    </xf>
    <xf numFmtId="0" fontId="22" fillId="15" borderId="32" xfId="4" applyFont="1" applyFill="1" applyBorder="1" applyAlignment="1" applyProtection="1">
      <alignment horizontal="center"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3" fillId="15" borderId="17" xfId="4" applyFont="1" applyFill="1" applyBorder="1" applyAlignment="1" applyProtection="1">
      <alignment horizontal="center" vertical="center" shrinkToFit="1"/>
    </xf>
    <xf numFmtId="0" fontId="0" fillId="0" borderId="30" xfId="0" applyBorder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wrapText="1"/>
    </xf>
    <xf numFmtId="0" fontId="22" fillId="15" borderId="167" xfId="4" applyFont="1" applyFill="1" applyBorder="1" applyAlignment="1" applyProtection="1">
      <alignment horizontal="center" vertical="center" wrapText="1"/>
    </xf>
    <xf numFmtId="0" fontId="22" fillId="0" borderId="93" xfId="4" applyFont="1" applyFill="1" applyBorder="1" applyAlignment="1" applyProtection="1">
      <alignment horizontal="center" vertical="center" wrapText="1"/>
    </xf>
    <xf numFmtId="0" fontId="22" fillId="15" borderId="77" xfId="4" applyFont="1" applyFill="1" applyBorder="1" applyAlignment="1" applyProtection="1">
      <alignment horizontal="center" vertical="center" wrapText="1"/>
    </xf>
    <xf numFmtId="0" fontId="22" fillId="0" borderId="41" xfId="4" applyFont="1" applyFill="1" applyBorder="1" applyAlignment="1" applyProtection="1">
      <alignment horizontal="center" vertical="center" wrapText="1"/>
    </xf>
    <xf numFmtId="0" fontId="22" fillId="0" borderId="54" xfId="4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28" fillId="11" borderId="96" xfId="7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22" fillId="0" borderId="12" xfId="0" applyFont="1" applyBorder="1" applyAlignment="1">
      <alignment horizontal="center" vertical="center" shrinkToFit="1"/>
    </xf>
    <xf numFmtId="0" fontId="37" fillId="9" borderId="95" xfId="7" applyFont="1" applyFill="1" applyBorder="1" applyAlignment="1">
      <alignment horizontal="center" vertical="center" shrinkToFit="1"/>
    </xf>
    <xf numFmtId="0" fontId="13" fillId="0" borderId="95" xfId="0" applyFont="1" applyBorder="1" applyAlignment="1">
      <alignment horizontal="center" vertical="center" shrinkToFit="1"/>
    </xf>
    <xf numFmtId="176" fontId="37" fillId="9" borderId="95" xfId="7" applyNumberFormat="1" applyFont="1" applyFill="1" applyBorder="1" applyAlignment="1">
      <alignment horizontal="center" vertical="center" shrinkToFit="1"/>
    </xf>
    <xf numFmtId="176" fontId="7" fillId="0" borderId="95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0" fontId="32" fillId="0" borderId="6" xfId="0" applyFont="1" applyBorder="1">
      <alignment vertical="center"/>
    </xf>
    <xf numFmtId="0" fontId="32" fillId="0" borderId="20" xfId="0" applyFont="1" applyBorder="1">
      <alignment vertical="center"/>
    </xf>
    <xf numFmtId="0" fontId="22" fillId="0" borderId="15" xfId="0" applyFont="1" applyBorder="1" applyAlignment="1">
      <alignment horizontal="center" vertical="center" shrinkToFit="1"/>
    </xf>
    <xf numFmtId="0" fontId="37" fillId="9" borderId="12" xfId="7" applyFont="1" applyFill="1" applyBorder="1" applyAlignment="1">
      <alignment horizontal="center" vertical="center" shrinkToFit="1"/>
    </xf>
    <xf numFmtId="176" fontId="37" fillId="9" borderId="12" xfId="7" applyNumberFormat="1" applyFont="1" applyFill="1" applyBorder="1" applyAlignment="1">
      <alignment horizontal="center" vertical="center" shrinkToFit="1"/>
    </xf>
    <xf numFmtId="176" fontId="37" fillId="9" borderId="15" xfId="7" applyNumberFormat="1" applyFont="1" applyFill="1" applyBorder="1" applyAlignment="1">
      <alignment horizontal="center" vertical="center" shrinkToFit="1"/>
    </xf>
    <xf numFmtId="0" fontId="0" fillId="0" borderId="15" xfId="0" applyBorder="1">
      <alignment vertical="center"/>
    </xf>
    <xf numFmtId="176" fontId="7" fillId="0" borderId="12" xfId="0" applyNumberFormat="1" applyFont="1" applyBorder="1" applyAlignment="1">
      <alignment horizontal="right" vertical="center"/>
    </xf>
    <xf numFmtId="176" fontId="7" fillId="0" borderId="105" xfId="0" applyNumberFormat="1" applyFont="1" applyBorder="1" applyAlignment="1">
      <alignment horizontal="right" vertical="center"/>
    </xf>
    <xf numFmtId="0" fontId="20" fillId="9" borderId="0" xfId="7" applyFont="1" applyFill="1" applyAlignment="1">
      <alignment horizontal="center" vertical="center" shrinkToFit="1"/>
    </xf>
    <xf numFmtId="0" fontId="36" fillId="16" borderId="96" xfId="7" applyFont="1" applyFill="1" applyBorder="1" applyAlignment="1">
      <alignment horizontal="center" vertical="center" shrinkToFit="1"/>
    </xf>
    <xf numFmtId="0" fontId="36" fillId="16" borderId="110" xfId="7" applyFont="1" applyFill="1" applyBorder="1" applyAlignment="1">
      <alignment horizontal="center" vertical="center" shrinkToFit="1"/>
    </xf>
    <xf numFmtId="176" fontId="36" fillId="16" borderId="110" xfId="7" applyNumberFormat="1" applyFont="1" applyFill="1" applyBorder="1" applyAlignment="1">
      <alignment horizontal="center" vertical="center" shrinkToFit="1"/>
    </xf>
    <xf numFmtId="176" fontId="36" fillId="16" borderId="96" xfId="7" applyNumberFormat="1" applyFont="1" applyFill="1" applyBorder="1" applyAlignment="1">
      <alignment horizontal="center" vertical="center" shrinkToFit="1"/>
    </xf>
    <xf numFmtId="176" fontId="12" fillId="16" borderId="96" xfId="0" applyNumberFormat="1" applyFont="1" applyFill="1" applyBorder="1" applyAlignment="1">
      <alignment horizontal="right" vertical="center"/>
    </xf>
    <xf numFmtId="176" fontId="12" fillId="16" borderId="30" xfId="0" applyNumberFormat="1" applyFont="1" applyFill="1" applyBorder="1" applyAlignment="1">
      <alignment horizontal="right" vertical="center"/>
    </xf>
    <xf numFmtId="0" fontId="22" fillId="0" borderId="95" xfId="0" applyFont="1" applyBorder="1" applyAlignment="1">
      <alignment horizontal="center" vertical="center" shrinkToFit="1"/>
    </xf>
    <xf numFmtId="0" fontId="22" fillId="0" borderId="96" xfId="0" applyFont="1" applyBorder="1" applyAlignment="1">
      <alignment horizontal="center" vertical="center" shrinkToFit="1"/>
    </xf>
    <xf numFmtId="0" fontId="36" fillId="16" borderId="31" xfId="7" applyFont="1" applyFill="1" applyBorder="1" applyAlignment="1">
      <alignment horizontal="center" vertical="center" shrinkToFit="1"/>
    </xf>
    <xf numFmtId="176" fontId="36" fillId="16" borderId="31" xfId="7" applyNumberFormat="1" applyFont="1" applyFill="1" applyBorder="1" applyAlignment="1">
      <alignment horizontal="center" vertical="center" shrinkToFit="1"/>
    </xf>
    <xf numFmtId="176" fontId="12" fillId="16" borderId="31" xfId="0" applyNumberFormat="1" applyFont="1" applyFill="1" applyBorder="1" applyAlignment="1">
      <alignment horizontal="right" vertical="center"/>
    </xf>
    <xf numFmtId="176" fontId="12" fillId="16" borderId="106" xfId="0" applyNumberFormat="1" applyFont="1" applyFill="1" applyBorder="1" applyAlignment="1">
      <alignment horizontal="right" vertical="center"/>
    </xf>
    <xf numFmtId="0" fontId="38" fillId="0" borderId="95" xfId="0" applyFont="1" applyBorder="1" applyAlignment="1">
      <alignment horizontal="center" vertical="center"/>
    </xf>
    <xf numFmtId="0" fontId="37" fillId="0" borderId="95" xfId="7" applyFont="1" applyBorder="1" applyAlignment="1">
      <alignment horizontal="center" vertical="center" shrinkToFit="1"/>
    </xf>
    <xf numFmtId="0" fontId="38" fillId="0" borderId="15" xfId="0" applyFont="1" applyBorder="1" applyAlignment="1">
      <alignment horizontal="center" vertical="center"/>
    </xf>
    <xf numFmtId="0" fontId="37" fillId="0" borderId="177" xfId="7" applyFont="1" applyBorder="1" applyAlignment="1">
      <alignment horizontal="center" vertical="center" shrinkToFit="1"/>
    </xf>
    <xf numFmtId="0" fontId="37" fillId="9" borderId="15" xfId="7" applyFont="1" applyFill="1" applyBorder="1" applyAlignment="1">
      <alignment horizontal="center" vertical="center" shrinkToFit="1"/>
    </xf>
    <xf numFmtId="176" fontId="58" fillId="18" borderId="12" xfId="0" applyNumberFormat="1" applyFont="1" applyFill="1" applyBorder="1" applyAlignment="1">
      <alignment horizontal="center" vertical="center" shrinkToFit="1"/>
    </xf>
    <xf numFmtId="0" fontId="37" fillId="0" borderId="178" xfId="7" applyFont="1" applyBorder="1" applyAlignment="1">
      <alignment horizontal="center" vertical="center" shrinkToFit="1"/>
    </xf>
    <xf numFmtId="0" fontId="13" fillId="0" borderId="96" xfId="0" applyFont="1" applyBorder="1" applyAlignment="1">
      <alignment horizontal="center" vertical="center" shrinkToFit="1"/>
    </xf>
    <xf numFmtId="0" fontId="18" fillId="16" borderId="96" xfId="7" applyFont="1" applyFill="1" applyBorder="1" applyAlignment="1">
      <alignment horizontal="center" vertical="center" shrinkToFit="1"/>
    </xf>
    <xf numFmtId="176" fontId="18" fillId="16" borderId="96" xfId="7" applyNumberFormat="1" applyFont="1" applyFill="1" applyBorder="1" applyAlignment="1">
      <alignment horizontal="center" vertical="center" shrinkToFit="1"/>
    </xf>
    <xf numFmtId="0" fontId="22" fillId="9" borderId="95" xfId="0" applyFont="1" applyFill="1" applyBorder="1" applyAlignment="1">
      <alignment horizontal="center" vertical="center" shrinkToFit="1"/>
    </xf>
    <xf numFmtId="0" fontId="22" fillId="9" borderId="96" xfId="0" applyFont="1" applyFill="1" applyBorder="1" applyAlignment="1">
      <alignment horizontal="center" vertical="center" shrinkToFit="1"/>
    </xf>
    <xf numFmtId="176" fontId="7" fillId="0" borderId="10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shrinkToFit="1"/>
    </xf>
    <xf numFmtId="176" fontId="55" fillId="0" borderId="15" xfId="7" applyNumberFormat="1" applyFont="1" applyBorder="1" applyAlignment="1">
      <alignment horizontal="center" vertical="center" shrinkToFit="1"/>
    </xf>
    <xf numFmtId="176" fontId="55" fillId="0" borderId="96" xfId="7" applyNumberFormat="1" applyFont="1" applyBorder="1" applyAlignment="1">
      <alignment horizontal="center" vertical="center" shrinkToFit="1"/>
    </xf>
    <xf numFmtId="176" fontId="7" fillId="0" borderId="11" xfId="0" applyNumberFormat="1" applyFont="1" applyBorder="1" applyAlignment="1">
      <alignment horizontal="center" vertical="center"/>
    </xf>
    <xf numFmtId="176" fontId="58" fillId="18" borderId="15" xfId="0" applyNumberFormat="1" applyFont="1" applyFill="1" applyBorder="1" applyAlignment="1">
      <alignment horizontal="center" vertical="center" shrinkToFit="1"/>
    </xf>
    <xf numFmtId="176" fontId="7" fillId="0" borderId="15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0" fontId="59" fillId="0" borderId="180" xfId="0" applyFont="1" applyBorder="1" applyAlignment="1">
      <alignment horizontal="center" vertical="center" wrapText="1"/>
    </xf>
    <xf numFmtId="0" fontId="59" fillId="0" borderId="12" xfId="0" applyFont="1" applyBorder="1" applyAlignment="1">
      <alignment horizontal="center" vertical="center" wrapText="1"/>
    </xf>
    <xf numFmtId="0" fontId="37" fillId="9" borderId="181" xfId="7" applyFont="1" applyFill="1" applyBorder="1" applyAlignment="1">
      <alignment horizontal="center" vertical="center" shrinkToFit="1"/>
    </xf>
    <xf numFmtId="176" fontId="60" fillId="9" borderId="95" xfId="7" applyNumberFormat="1" applyFont="1" applyFill="1" applyBorder="1" applyAlignment="1">
      <alignment horizontal="center" vertical="center" shrinkToFit="1"/>
    </xf>
    <xf numFmtId="176" fontId="0" fillId="0" borderId="95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0" fontId="59" fillId="0" borderId="108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 wrapText="1"/>
    </xf>
    <xf numFmtId="0" fontId="37" fillId="9" borderId="177" xfId="7" applyFont="1" applyFill="1" applyBorder="1" applyAlignment="1">
      <alignment horizontal="center" vertical="center" shrinkToFit="1"/>
    </xf>
    <xf numFmtId="176" fontId="60" fillId="9" borderId="15" xfId="7" applyNumberFormat="1" applyFont="1" applyFill="1" applyBorder="1" applyAlignment="1">
      <alignment horizontal="center" vertical="center" shrinkToFit="1"/>
    </xf>
    <xf numFmtId="176" fontId="0" fillId="0" borderId="15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37" fillId="9" borderId="178" xfId="7" applyFont="1" applyFill="1" applyBorder="1" applyAlignment="1">
      <alignment horizontal="center" vertical="center" shrinkToFit="1"/>
    </xf>
    <xf numFmtId="176" fontId="60" fillId="9" borderId="12" xfId="7" applyNumberFormat="1" applyFont="1" applyFill="1" applyBorder="1" applyAlignment="1">
      <alignment horizontal="center" vertical="center" shrinkToFit="1"/>
    </xf>
    <xf numFmtId="176" fontId="0" fillId="0" borderId="12" xfId="0" applyNumberFormat="1" applyBorder="1" applyAlignment="1">
      <alignment horizontal="center" vertical="center"/>
    </xf>
    <xf numFmtId="176" fontId="0" fillId="0" borderId="105" xfId="0" applyNumberFormat="1" applyBorder="1" applyAlignment="1">
      <alignment horizontal="center" vertical="center"/>
    </xf>
    <xf numFmtId="0" fontId="46" fillId="9" borderId="180" xfId="7" applyFont="1" applyFill="1" applyBorder="1" applyAlignment="1">
      <alignment horizontal="center" vertical="center" shrinkToFit="1"/>
    </xf>
    <xf numFmtId="0" fontId="46" fillId="9" borderId="12" xfId="7" applyFont="1" applyFill="1" applyBorder="1" applyAlignment="1">
      <alignment horizontal="center" vertical="center" shrinkToFit="1"/>
    </xf>
    <xf numFmtId="0" fontId="59" fillId="0" borderId="108" xfId="0" applyFont="1" applyBorder="1" applyAlignment="1">
      <alignment horizontal="center" vertical="center" wrapText="1"/>
    </xf>
    <xf numFmtId="176" fontId="57" fillId="16" borderId="96" xfId="7" applyNumberFormat="1" applyFont="1" applyFill="1" applyBorder="1" applyAlignment="1">
      <alignment horizontal="center" vertical="center" shrinkToFit="1"/>
    </xf>
    <xf numFmtId="0" fontId="13" fillId="0" borderId="112" xfId="0" applyFont="1" applyBorder="1" applyAlignment="1">
      <alignment horizontal="center" vertical="center" shrinkToFit="1"/>
    </xf>
    <xf numFmtId="176" fontId="55" fillId="0" borderId="108" xfId="7" applyNumberFormat="1" applyFont="1" applyBorder="1" applyAlignment="1">
      <alignment horizontal="center" vertical="center" shrinkToFit="1"/>
    </xf>
    <xf numFmtId="176" fontId="39" fillId="0" borderId="15" xfId="7" applyNumberFormat="1" applyFont="1" applyBorder="1" applyAlignment="1">
      <alignment horizontal="center" vertical="center" shrinkToFit="1"/>
    </xf>
    <xf numFmtId="176" fontId="55" fillId="0" borderId="180" xfId="7" applyNumberFormat="1" applyFont="1" applyBorder="1" applyAlignment="1">
      <alignment horizontal="center" vertical="center" shrinkToFit="1"/>
    </xf>
    <xf numFmtId="176" fontId="39" fillId="0" borderId="12" xfId="7" applyNumberFormat="1" applyFont="1" applyBorder="1" applyAlignment="1">
      <alignment horizontal="center" vertical="center" shrinkToFit="1"/>
    </xf>
    <xf numFmtId="176" fontId="12" fillId="16" borderId="96" xfId="0" applyNumberFormat="1" applyFont="1" applyFill="1" applyBorder="1" applyAlignment="1">
      <alignment horizontal="center" vertical="center"/>
    </xf>
    <xf numFmtId="176" fontId="12" fillId="16" borderId="30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38" fillId="0" borderId="108" xfId="0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12" fillId="16" borderId="106" xfId="0" applyNumberFormat="1" applyFont="1" applyFill="1" applyBorder="1" applyAlignment="1">
      <alignment horizontal="center" vertical="center"/>
    </xf>
    <xf numFmtId="176" fontId="12" fillId="16" borderId="31" xfId="0" applyNumberFormat="1" applyFont="1" applyFill="1" applyBorder="1" applyAlignment="1">
      <alignment horizontal="center" vertical="center"/>
    </xf>
    <xf numFmtId="0" fontId="59" fillId="0" borderId="12" xfId="0" applyFont="1" applyBorder="1" applyAlignment="1">
      <alignment horizontal="center" vertical="center" shrinkToFi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95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59" fillId="0" borderId="15" xfId="0" applyFont="1" applyBorder="1" applyAlignment="1">
      <alignment horizontal="center" vertical="center" shrinkToFit="1"/>
    </xf>
    <xf numFmtId="176" fontId="7" fillId="0" borderId="15" xfId="0" applyNumberFormat="1" applyFont="1" applyBorder="1" applyAlignment="1">
      <alignment horizontal="center" vertical="center"/>
    </xf>
    <xf numFmtId="0" fontId="59" fillId="0" borderId="95" xfId="0" applyFont="1" applyBorder="1" applyAlignment="1">
      <alignment horizontal="center" vertical="center" wrapText="1"/>
    </xf>
    <xf numFmtId="0" fontId="59" fillId="0" borderId="95" xfId="0" applyFont="1" applyBorder="1" applyAlignment="1">
      <alignment horizontal="center" vertical="center" shrinkToFit="1"/>
    </xf>
    <xf numFmtId="0" fontId="61" fillId="0" borderId="15" xfId="0" applyFont="1" applyBorder="1" applyAlignment="1">
      <alignment horizontal="center" vertical="center" wrapText="1"/>
    </xf>
    <xf numFmtId="176" fontId="55" fillId="8" borderId="184" xfId="7" applyNumberFormat="1" applyFont="1" applyFill="1" applyBorder="1" applyAlignment="1">
      <alignment horizontal="center" vertical="center" shrinkToFit="1"/>
    </xf>
    <xf numFmtId="176" fontId="60" fillId="9" borderId="181" xfId="7" applyNumberFormat="1" applyFont="1" applyFill="1" applyBorder="1" applyAlignment="1">
      <alignment horizontal="center" vertical="center" shrinkToFit="1"/>
    </xf>
    <xf numFmtId="176" fontId="55" fillId="8" borderId="15" xfId="7" applyNumberFormat="1" applyFont="1" applyFill="1" applyBorder="1" applyAlignment="1">
      <alignment horizontal="center" vertical="center" shrinkToFit="1"/>
    </xf>
    <xf numFmtId="176" fontId="60" fillId="9" borderId="177" xfId="7" applyNumberFormat="1" applyFont="1" applyFill="1" applyBorder="1" applyAlignment="1">
      <alignment horizontal="center" vertical="center" shrinkToFit="1"/>
    </xf>
    <xf numFmtId="176" fontId="55" fillId="8" borderId="96" xfId="7" applyNumberFormat="1" applyFont="1" applyFill="1" applyBorder="1" applyAlignment="1">
      <alignment horizontal="center" vertical="center" shrinkToFit="1"/>
    </xf>
    <xf numFmtId="176" fontId="60" fillId="9" borderId="178" xfId="7" applyNumberFormat="1" applyFont="1" applyFill="1" applyBorder="1" applyAlignment="1">
      <alignment horizontal="center" vertical="center" shrinkToFit="1"/>
    </xf>
    <xf numFmtId="176" fontId="37" fillId="16" borderId="96" xfId="7" applyNumberFormat="1" applyFont="1" applyFill="1" applyBorder="1" applyAlignment="1">
      <alignment horizontal="center" vertical="center" shrinkToFit="1"/>
    </xf>
    <xf numFmtId="0" fontId="37" fillId="16" borderId="96" xfId="7" applyFont="1" applyFill="1" applyBorder="1" applyAlignment="1">
      <alignment horizontal="center" vertical="center" shrinkToFit="1"/>
    </xf>
    <xf numFmtId="176" fontId="55" fillId="8" borderId="95" xfId="7" applyNumberFormat="1" applyFont="1" applyFill="1" applyBorder="1" applyAlignment="1">
      <alignment horizontal="center" vertical="center" shrinkToFit="1"/>
    </xf>
    <xf numFmtId="176" fontId="37" fillId="9" borderId="178" xfId="7" applyNumberFormat="1" applyFont="1" applyFill="1" applyBorder="1" applyAlignment="1">
      <alignment horizontal="center" vertical="center" shrinkToFit="1"/>
    </xf>
    <xf numFmtId="0" fontId="22" fillId="12" borderId="95" xfId="0" applyFont="1" applyFill="1" applyBorder="1" applyAlignment="1">
      <alignment horizontal="center" vertical="center" wrapText="1"/>
    </xf>
    <xf numFmtId="0" fontId="22" fillId="12" borderId="31" xfId="0" applyFont="1" applyFill="1" applyBorder="1" applyAlignment="1">
      <alignment horizontal="center" vertical="center"/>
    </xf>
    <xf numFmtId="176" fontId="37" fillId="9" borderId="177" xfId="7" applyNumberFormat="1" applyFont="1" applyFill="1" applyBorder="1" applyAlignment="1">
      <alignment horizontal="center" vertical="center" shrinkToFit="1"/>
    </xf>
    <xf numFmtId="0" fontId="22" fillId="12" borderId="95" xfId="0" applyFont="1" applyFill="1" applyBorder="1" applyAlignment="1">
      <alignment horizontal="center" vertical="center"/>
    </xf>
    <xf numFmtId="0" fontId="22" fillId="12" borderId="15" xfId="0" applyFont="1" applyFill="1" applyBorder="1" applyAlignment="1">
      <alignment horizontal="center" vertical="center"/>
    </xf>
    <xf numFmtId="0" fontId="22" fillId="12" borderId="96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center" vertical="center"/>
    </xf>
    <xf numFmtId="0" fontId="22" fillId="12" borderId="177" xfId="0" applyFont="1" applyFill="1" applyBorder="1" applyAlignment="1">
      <alignment horizontal="center" vertical="center"/>
    </xf>
    <xf numFmtId="176" fontId="58" fillId="18" borderId="178" xfId="0" applyNumberFormat="1" applyFont="1" applyFill="1" applyBorder="1" applyAlignment="1">
      <alignment horizontal="center" vertical="center" shrinkToFit="1"/>
    </xf>
    <xf numFmtId="0" fontId="64" fillId="12" borderId="3" xfId="0" applyFont="1" applyFill="1" applyBorder="1">
      <alignment vertical="center"/>
    </xf>
    <xf numFmtId="49" fontId="55" fillId="0" borderId="12" xfId="7" applyNumberFormat="1" applyFont="1" applyBorder="1" applyAlignment="1">
      <alignment horizontal="center" vertical="center" shrinkToFit="1"/>
    </xf>
    <xf numFmtId="49" fontId="55" fillId="0" borderId="15" xfId="7" applyNumberFormat="1" applyFont="1" applyBorder="1" applyAlignment="1">
      <alignment horizontal="center" vertical="center" shrinkToFit="1"/>
    </xf>
    <xf numFmtId="0" fontId="38" fillId="0" borderId="15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49" fontId="55" fillId="0" borderId="31" xfId="7" applyNumberFormat="1" applyFont="1" applyBorder="1" applyAlignment="1">
      <alignment horizontal="center" vertical="center" shrinkToFit="1"/>
    </xf>
    <xf numFmtId="49" fontId="55" fillId="0" borderId="96" xfId="7" applyNumberFormat="1" applyFont="1" applyBorder="1" applyAlignment="1">
      <alignment horizontal="center" vertical="center" shrinkToFit="1"/>
    </xf>
    <xf numFmtId="0" fontId="38" fillId="0" borderId="12" xfId="0" applyFont="1" applyBorder="1" applyAlignment="1">
      <alignment horizontal="center" vertical="center"/>
    </xf>
    <xf numFmtId="176" fontId="0" fillId="9" borderId="15" xfId="0" applyNumberFormat="1" applyFill="1" applyBorder="1" applyAlignment="1">
      <alignment horizontal="center" vertical="center"/>
    </xf>
    <xf numFmtId="176" fontId="0" fillId="9" borderId="12" xfId="0" applyNumberFormat="1" applyFill="1" applyBorder="1" applyAlignment="1">
      <alignment horizontal="center" vertical="center"/>
    </xf>
    <xf numFmtId="0" fontId="38" fillId="0" borderId="110" xfId="0" applyFont="1" applyBorder="1" applyAlignment="1">
      <alignment horizontal="center" vertical="center"/>
    </xf>
    <xf numFmtId="0" fontId="38" fillId="0" borderId="96" xfId="0" applyFont="1" applyBorder="1" applyAlignment="1">
      <alignment horizontal="center" vertical="center"/>
    </xf>
    <xf numFmtId="49" fontId="55" fillId="0" borderId="181" xfId="7" applyNumberFormat="1" applyFont="1" applyBorder="1" applyAlignment="1">
      <alignment horizontal="center" vertical="center" shrinkToFit="1"/>
    </xf>
    <xf numFmtId="49" fontId="55" fillId="0" borderId="95" xfId="7" applyNumberFormat="1" applyFont="1" applyBorder="1" applyAlignment="1">
      <alignment horizontal="center" vertical="center" shrinkToFit="1"/>
    </xf>
    <xf numFmtId="49" fontId="55" fillId="0" borderId="177" xfId="7" applyNumberFormat="1" applyFont="1" applyBorder="1" applyAlignment="1">
      <alignment horizontal="center" vertical="center" shrinkToFit="1"/>
    </xf>
    <xf numFmtId="49" fontId="55" fillId="0" borderId="178" xfId="7" applyNumberFormat="1" applyFont="1" applyBorder="1" applyAlignment="1">
      <alignment horizontal="center" vertical="center" shrinkToFit="1"/>
    </xf>
    <xf numFmtId="49" fontId="55" fillId="9" borderId="12" xfId="7" applyNumberFormat="1" applyFont="1" applyFill="1" applyBorder="1" applyAlignment="1">
      <alignment horizontal="center" vertical="center" shrinkToFit="1"/>
    </xf>
    <xf numFmtId="49" fontId="55" fillId="0" borderId="18" xfId="7" applyNumberFormat="1" applyFont="1" applyBorder="1" applyAlignment="1">
      <alignment horizontal="center" vertical="center" shrinkToFit="1"/>
    </xf>
    <xf numFmtId="0" fontId="38" fillId="0" borderId="110" xfId="0" applyFont="1" applyBorder="1" applyAlignment="1">
      <alignment horizontal="center" vertical="center" wrapText="1"/>
    </xf>
    <xf numFmtId="0" fontId="60" fillId="9" borderId="12" xfId="7" applyFont="1" applyFill="1" applyBorder="1" applyAlignment="1">
      <alignment horizontal="center" vertical="center" shrinkToFit="1"/>
    </xf>
    <xf numFmtId="176" fontId="65" fillId="0" borderId="12" xfId="0" applyNumberFormat="1" applyFont="1" applyBorder="1">
      <alignment vertical="center"/>
    </xf>
    <xf numFmtId="176" fontId="65" fillId="0" borderId="105" xfId="0" applyNumberFormat="1" applyFont="1" applyBorder="1">
      <alignment vertical="center"/>
    </xf>
    <xf numFmtId="0" fontId="13" fillId="15" borderId="14" xfId="4" applyFont="1" applyFill="1" applyBorder="1" applyAlignment="1" applyProtection="1">
      <alignment horizontal="center" vertical="center" shrinkToFi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0" borderId="100" xfId="4" applyFont="1" applyFill="1" applyBorder="1" applyAlignment="1" applyProtection="1">
      <alignment horizontal="center" vertical="center" wrapText="1"/>
      <protection locked="0"/>
    </xf>
    <xf numFmtId="0" fontId="13" fillId="0" borderId="41" xfId="4" applyFont="1" applyFill="1" applyBorder="1" applyAlignment="1" applyProtection="1">
      <alignment horizontal="center" vertical="center" wrapText="1"/>
      <protection locked="0"/>
    </xf>
    <xf numFmtId="0" fontId="13" fillId="0" borderId="42" xfId="4" applyFont="1" applyFill="1" applyBorder="1" applyAlignment="1" applyProtection="1">
      <alignment horizontal="center" vertical="center" wrapText="1"/>
      <protection locked="0"/>
    </xf>
    <xf numFmtId="0" fontId="13" fillId="0" borderId="46" xfId="4" applyFont="1" applyFill="1" applyBorder="1" applyAlignment="1" applyProtection="1">
      <alignment horizontal="center" vertical="center" wrapText="1"/>
      <protection locked="0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101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28" xfId="4" applyFont="1" applyFill="1" applyBorder="1" applyAlignment="1" applyProtection="1">
      <alignment horizontal="center" vertical="center" wrapText="1"/>
      <protection locked="0"/>
    </xf>
    <xf numFmtId="0" fontId="13" fillId="0" borderId="57" xfId="4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23" fillId="13" borderId="23" xfId="0" applyFont="1" applyFill="1" applyBorder="1" applyAlignment="1" applyProtection="1">
      <alignment horizontal="center" vertical="center"/>
      <protection locked="0"/>
    </xf>
    <xf numFmtId="0" fontId="23" fillId="13" borderId="28" xfId="0" applyFont="1" applyFill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98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10" borderId="12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120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22" fillId="15" borderId="14" xfId="4" applyFont="1" applyFill="1" applyBorder="1" applyAlignment="1" applyProtection="1">
      <alignment horizontal="center" vertical="center" wrapText="1"/>
    </xf>
    <xf numFmtId="0" fontId="22" fillId="15" borderId="17" xfId="4" applyFont="1" applyFill="1" applyBorder="1" applyAlignment="1" applyProtection="1">
      <alignment horizontal="center" vertical="center" wrapText="1"/>
    </xf>
    <xf numFmtId="0" fontId="22" fillId="15" borderId="79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79" xfId="4" applyFont="1" applyFill="1" applyBorder="1" applyAlignment="1" applyProtection="1">
      <alignment horizontal="center" vertical="center" shrinkToFit="1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3" fillId="0" borderId="102" xfId="0" applyFont="1" applyBorder="1" applyAlignment="1" applyProtection="1">
      <alignment horizontal="center" vertical="center" shrinkToFit="1"/>
      <protection locked="0"/>
    </xf>
    <xf numFmtId="0" fontId="13" fillId="0" borderId="103" xfId="0" applyFont="1" applyBorder="1" applyAlignment="1" applyProtection="1">
      <alignment horizontal="center" vertical="center" shrinkToFit="1"/>
      <protection locked="0"/>
    </xf>
    <xf numFmtId="0" fontId="13" fillId="0" borderId="45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40" xfId="0" applyFont="1" applyBorder="1" applyAlignment="1" applyProtection="1">
      <alignment horizontal="center" vertical="center" shrinkToFit="1"/>
      <protection locked="0"/>
    </xf>
    <xf numFmtId="0" fontId="13" fillId="0" borderId="42" xfId="0" applyFont="1" applyBorder="1" applyAlignment="1" applyProtection="1">
      <alignment horizontal="center" vertical="center" shrinkToFit="1"/>
      <protection locked="0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40" xfId="0" applyFont="1" applyFill="1" applyBorder="1" applyAlignment="1" applyProtection="1">
      <alignment horizontal="center" vertical="center" shrinkToFit="1"/>
      <protection locked="0"/>
    </xf>
    <xf numFmtId="0" fontId="13" fillId="0" borderId="42" xfId="0" applyFont="1" applyFill="1" applyBorder="1" applyAlignment="1" applyProtection="1">
      <alignment horizontal="center" vertical="center" shrinkToFit="1"/>
      <protection locked="0"/>
    </xf>
    <xf numFmtId="0" fontId="13" fillId="0" borderId="56" xfId="0" applyFont="1" applyFill="1" applyBorder="1" applyAlignment="1" applyProtection="1">
      <alignment horizontal="center" vertical="center" shrinkToFit="1"/>
      <protection locked="0"/>
    </xf>
    <xf numFmtId="0" fontId="13" fillId="0" borderId="63" xfId="0" applyFont="1" applyFill="1" applyBorder="1" applyAlignment="1" applyProtection="1">
      <alignment horizontal="center" vertical="center" shrinkToFi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2" fillId="0" borderId="49" xfId="0" applyFont="1" applyBorder="1" applyAlignment="1" applyProtection="1">
      <alignment horizontal="center" vertical="center" shrinkToFit="1"/>
      <protection locked="0"/>
    </xf>
    <xf numFmtId="0" fontId="22" fillId="0" borderId="53" xfId="0" applyFont="1" applyBorder="1" applyAlignment="1" applyProtection="1">
      <alignment horizontal="center" vertical="center" shrinkToFit="1"/>
      <protection locked="0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22" fillId="0" borderId="116" xfId="4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0" borderId="40" xfId="4" applyFont="1" applyFill="1" applyBorder="1" applyAlignment="1" applyProtection="1">
      <alignment horizontal="center" vertical="center" wrapText="1"/>
      <protection locked="0"/>
    </xf>
    <xf numFmtId="0" fontId="22" fillId="0" borderId="49" xfId="0" applyFont="1" applyFill="1" applyBorder="1" applyAlignment="1" applyProtection="1">
      <alignment horizontal="center" vertical="center" shrinkToFit="1"/>
      <protection locked="0"/>
    </xf>
    <xf numFmtId="0" fontId="22" fillId="0" borderId="53" xfId="0" applyFont="1" applyFill="1" applyBorder="1" applyAlignment="1" applyProtection="1">
      <alignment horizontal="center" vertical="center" shrinkToFi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49" xfId="2" applyFont="1" applyBorder="1" applyAlignment="1" applyProtection="1">
      <alignment horizontal="center" vertical="center" wrapText="1"/>
      <protection locked="0"/>
    </xf>
    <xf numFmtId="0" fontId="22" fillId="0" borderId="53" xfId="2" applyFont="1" applyBorder="1" applyAlignment="1" applyProtection="1">
      <alignment horizontal="center" vertical="center" wrapText="1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4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22" fillId="0" borderId="23" xfId="4" applyFont="1" applyFill="1" applyBorder="1" applyAlignment="1" applyProtection="1">
      <alignment horizontal="center" vertical="center" wrapText="1"/>
      <protection locked="0"/>
    </xf>
    <xf numFmtId="0" fontId="22" fillId="0" borderId="64" xfId="4" applyFont="1" applyFill="1" applyBorder="1" applyAlignment="1" applyProtection="1">
      <alignment horizontal="center" vertical="center" wrapText="1"/>
      <protection locked="0"/>
    </xf>
    <xf numFmtId="0" fontId="22" fillId="0" borderId="63" xfId="4" applyFont="1" applyFill="1" applyBorder="1" applyAlignment="1" applyProtection="1">
      <alignment horizontal="center" vertical="center" wrapText="1"/>
      <protection locked="0"/>
    </xf>
    <xf numFmtId="0" fontId="22" fillId="0" borderId="107" xfId="4" applyFont="1" applyFill="1" applyBorder="1" applyAlignment="1" applyProtection="1">
      <alignment horizontal="center" vertical="center" wrapText="1"/>
      <protection locked="0"/>
    </xf>
    <xf numFmtId="0" fontId="22" fillId="0" borderId="16" xfId="4" applyFont="1" applyFill="1" applyBorder="1" applyAlignment="1" applyProtection="1">
      <alignment horizontal="center" vertical="center" wrapText="1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10" borderId="86" xfId="6" applyFont="1" applyFill="1" applyBorder="1" applyAlignment="1" applyProtection="1">
      <alignment horizontal="center" vertical="center" wrapText="1"/>
    </xf>
    <xf numFmtId="0" fontId="22" fillId="0" borderId="28" xfId="4" applyFont="1" applyFill="1" applyBorder="1" applyAlignment="1" applyProtection="1">
      <alignment horizontal="center" vertical="center" wrapText="1"/>
      <protection locked="0"/>
    </xf>
    <xf numFmtId="0" fontId="13" fillId="6" borderId="32" xfId="4" applyFont="1" applyFill="1" applyBorder="1" applyAlignment="1" applyProtection="1">
      <alignment horizontal="center" vertical="center" wrapText="1"/>
    </xf>
    <xf numFmtId="0" fontId="38" fillId="15" borderId="14" xfId="0" applyFont="1" applyFill="1" applyBorder="1" applyAlignment="1">
      <alignment horizontal="center" vertical="center" wrapText="1"/>
    </xf>
    <xf numFmtId="0" fontId="38" fillId="15" borderId="17" xfId="0" applyFont="1" applyFill="1" applyBorder="1" applyAlignment="1">
      <alignment horizontal="center" vertical="center" wrapText="1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59" xfId="4" applyFont="1" applyFill="1" applyBorder="1" applyAlignment="1" applyProtection="1">
      <alignment horizontal="center" vertical="center" wrapTex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22" fillId="0" borderId="113" xfId="4" applyFont="1" applyFill="1" applyBorder="1" applyAlignment="1" applyProtection="1">
      <alignment horizontal="center" vertical="center" wrapText="1"/>
      <protection locked="0"/>
    </xf>
    <xf numFmtId="0" fontId="22" fillId="0" borderId="114" xfId="4" applyFont="1" applyFill="1" applyBorder="1" applyAlignment="1" applyProtection="1">
      <alignment horizontal="center" vertical="center" wrapText="1"/>
      <protection locked="0"/>
    </xf>
    <xf numFmtId="0" fontId="22" fillId="0" borderId="55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13" fillId="15" borderId="79" xfId="0" applyFont="1" applyFill="1" applyBorder="1" applyAlignment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22" fillId="9" borderId="48" xfId="4" applyFont="1" applyFill="1" applyBorder="1" applyAlignment="1" applyProtection="1">
      <alignment horizontal="center" vertical="center" wrapText="1"/>
      <protection locked="0"/>
    </xf>
    <xf numFmtId="0" fontId="22" fillId="9" borderId="59" xfId="4" applyFont="1" applyFill="1" applyBorder="1" applyAlignment="1" applyProtection="1">
      <alignment horizontal="center" vertical="center" wrapText="1"/>
      <protection locked="0"/>
    </xf>
    <xf numFmtId="0" fontId="22" fillId="9" borderId="19" xfId="4" applyFont="1" applyFill="1" applyBorder="1" applyAlignment="1" applyProtection="1">
      <alignment horizontal="center" vertical="center" wrapText="1"/>
      <protection locked="0"/>
    </xf>
    <xf numFmtId="0" fontId="22" fillId="9" borderId="21" xfId="4" applyFont="1" applyFill="1" applyBorder="1" applyAlignment="1" applyProtection="1">
      <alignment horizontal="center" vertical="center" wrapText="1"/>
      <protection locked="0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67" xfId="4" applyFont="1" applyFill="1" applyBorder="1" applyAlignment="1" applyProtection="1">
      <alignment horizontal="center" vertical="center" wrapText="1"/>
      <protection locked="0"/>
    </xf>
    <xf numFmtId="0" fontId="22" fillId="0" borderId="66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22" fillId="0" borderId="24" xfId="4" applyFont="1" applyFill="1" applyBorder="1" applyAlignment="1" applyProtection="1">
      <alignment horizontal="center" vertical="center" wrapText="1"/>
      <protection locked="0"/>
    </xf>
    <xf numFmtId="0" fontId="22" fillId="9" borderId="55" xfId="4" applyFont="1" applyFill="1" applyBorder="1" applyAlignment="1" applyProtection="1">
      <alignment horizontal="center" vertical="center" wrapText="1"/>
      <protection locked="0"/>
    </xf>
    <xf numFmtId="0" fontId="22" fillId="9" borderId="52" xfId="4" applyFont="1" applyFill="1" applyBorder="1" applyAlignment="1" applyProtection="1">
      <alignment horizontal="center" vertical="center" wrapText="1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22" fillId="9" borderId="49" xfId="4" applyFont="1" applyFill="1" applyBorder="1" applyAlignment="1" applyProtection="1">
      <alignment horizontal="center" vertical="center" wrapText="1"/>
      <protection locked="0"/>
    </xf>
    <xf numFmtId="0" fontId="22" fillId="9" borderId="53" xfId="4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29" fillId="0" borderId="114" xfId="4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29" fillId="0" borderId="70" xfId="4" applyFont="1" applyFill="1" applyBorder="1" applyAlignment="1" applyProtection="1">
      <alignment horizontal="center" vertical="center" wrapText="1"/>
      <protection locked="0"/>
    </xf>
    <xf numFmtId="0" fontId="29" fillId="0" borderId="59" xfId="4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5" fillId="3" borderId="36" xfId="3" applyFont="1" applyBorder="1" applyAlignment="1" applyProtection="1">
      <alignment horizontal="center" vertical="center"/>
      <protection locked="0"/>
    </xf>
    <xf numFmtId="0" fontId="25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12" fillId="8" borderId="97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07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57" fillId="16" borderId="96" xfId="7" applyFont="1" applyFill="1" applyBorder="1" applyAlignment="1">
      <alignment horizontal="center" vertical="center" shrinkToFi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3" xfId="7" applyFont="1" applyFill="1" applyBorder="1" applyAlignment="1">
      <alignment horizontal="center" vertical="center" wrapText="1"/>
    </xf>
    <xf numFmtId="0" fontId="17" fillId="9" borderId="9" xfId="7" applyFont="1" applyFill="1" applyBorder="1" applyAlignment="1">
      <alignment horizontal="center" vertical="center" wrapText="1"/>
    </xf>
    <xf numFmtId="0" fontId="17" fillId="9" borderId="104" xfId="7" applyFont="1" applyFill="1" applyBorder="1" applyAlignment="1">
      <alignment horizontal="center" vertical="center" wrapText="1"/>
    </xf>
    <xf numFmtId="176" fontId="17" fillId="9" borderId="95" xfId="7" applyNumberFormat="1" applyFont="1" applyFill="1" applyBorder="1" applyAlignment="1">
      <alignment horizontal="center" vertical="center" wrapText="1"/>
    </xf>
    <xf numFmtId="176" fontId="17" fillId="9" borderId="12" xfId="7" applyNumberFormat="1" applyFont="1" applyFill="1" applyBorder="1" applyAlignment="1">
      <alignment horizontal="center" vertical="center" wrapText="1"/>
    </xf>
    <xf numFmtId="0" fontId="17" fillId="9" borderId="96" xfId="7" applyFont="1" applyFill="1" applyBorder="1" applyAlignment="1">
      <alignment horizontal="center" vertical="center" wrapText="1"/>
    </xf>
    <xf numFmtId="0" fontId="17" fillId="9" borderId="25" xfId="7" applyFont="1" applyFill="1" applyBorder="1" applyAlignment="1">
      <alignment horizontal="center" vertical="center" wrapText="1"/>
    </xf>
    <xf numFmtId="0" fontId="17" fillId="9" borderId="26" xfId="7" applyFont="1" applyFill="1" applyBorder="1" applyAlignment="1">
      <alignment horizontal="center" vertical="center" wrapText="1"/>
    </xf>
    <xf numFmtId="0" fontId="17" fillId="9" borderId="109" xfId="7" applyFont="1" applyFill="1" applyBorder="1" applyAlignment="1">
      <alignment horizontal="center" vertical="center" wrapText="1"/>
    </xf>
    <xf numFmtId="0" fontId="17" fillId="9" borderId="10" xfId="7" applyFont="1" applyFill="1" applyBorder="1" applyAlignment="1">
      <alignment horizontal="center" vertical="center" wrapText="1"/>
    </xf>
    <xf numFmtId="0" fontId="17" fillId="9" borderId="110" xfId="7" applyFont="1" applyFill="1" applyBorder="1" applyAlignment="1">
      <alignment horizontal="center" vertical="center" wrapText="1"/>
    </xf>
    <xf numFmtId="0" fontId="17" fillId="11" borderId="95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6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7" fillId="11" borderId="29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/>
    </xf>
    <xf numFmtId="0" fontId="17" fillId="11" borderId="95" xfId="7" applyFont="1" applyFill="1" applyBorder="1" applyAlignment="1">
      <alignment horizontal="center" vertical="center" shrinkToFit="1"/>
    </xf>
    <xf numFmtId="0" fontId="17" fillId="11" borderId="15" xfId="7" applyFont="1" applyFill="1" applyBorder="1" applyAlignment="1">
      <alignment horizontal="center" vertical="center" shrinkToFit="1"/>
    </xf>
    <xf numFmtId="0" fontId="17" fillId="11" borderId="96" xfId="7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6" fillId="8" borderId="83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91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8" xfId="0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3" xfId="7" applyFont="1" applyFill="1" applyBorder="1" applyAlignment="1">
      <alignment horizontal="center" vertical="center" wrapText="1"/>
    </xf>
    <xf numFmtId="0" fontId="17" fillId="11" borderId="9" xfId="7" applyFont="1" applyFill="1" applyBorder="1" applyAlignment="1">
      <alignment horizontal="center" vertical="center" wrapText="1"/>
    </xf>
    <xf numFmtId="0" fontId="17" fillId="11" borderId="95" xfId="7" applyFont="1" applyFill="1" applyBorder="1" applyAlignment="1">
      <alignment horizontal="center" vertical="center" wrapText="1"/>
    </xf>
    <xf numFmtId="0" fontId="17" fillId="11" borderId="15" xfId="7" applyFont="1" applyFill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 wrapText="1"/>
    </xf>
    <xf numFmtId="0" fontId="17" fillId="9" borderId="15" xfId="7" applyFont="1" applyFill="1" applyBorder="1" applyAlignment="1">
      <alignment horizontal="center" vertical="center" wrapText="1"/>
    </xf>
    <xf numFmtId="0" fontId="17" fillId="9" borderId="179" xfId="7" applyFont="1" applyFill="1" applyBorder="1" applyAlignment="1">
      <alignment horizontal="center" vertical="center" wrapText="1"/>
    </xf>
    <xf numFmtId="0" fontId="17" fillId="9" borderId="31" xfId="7" applyFont="1" applyFill="1" applyBorder="1" applyAlignment="1">
      <alignment horizontal="center" vertical="center" wrapText="1"/>
    </xf>
    <xf numFmtId="176" fontId="17" fillId="9" borderId="109" xfId="7" applyNumberFormat="1" applyFont="1" applyFill="1" applyBorder="1" applyAlignment="1">
      <alignment horizontal="center" vertical="center" wrapText="1"/>
    </xf>
    <xf numFmtId="176" fontId="17" fillId="9" borderId="10" xfId="7" applyNumberFormat="1" applyFont="1" applyFill="1" applyBorder="1" applyAlignment="1">
      <alignment horizontal="center" vertical="center" wrapText="1"/>
    </xf>
    <xf numFmtId="176" fontId="17" fillId="9" borderId="110" xfId="7" applyNumberFormat="1" applyFont="1" applyFill="1" applyBorder="1" applyAlignment="1">
      <alignment horizontal="center" vertical="center" wrapText="1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15" borderId="14" xfId="4" applyFont="1" applyFill="1" applyBorder="1" applyAlignment="1" applyProtection="1">
      <alignment horizontal="center" vertical="center" shrinkToFit="1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29" fillId="0" borderId="41" xfId="4" applyFont="1" applyFill="1" applyBorder="1" applyAlignment="1" applyProtection="1">
      <alignment horizontal="center" vertical="center" wrapText="1"/>
    </xf>
    <xf numFmtId="0" fontId="29" fillId="0" borderId="46" xfId="4" applyFont="1" applyFill="1" applyBorder="1" applyAlignment="1" applyProtection="1">
      <alignment horizontal="center" vertical="center" wrapText="1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176" fontId="17" fillId="9" borderId="180" xfId="7" applyNumberFormat="1" applyFont="1" applyFill="1" applyBorder="1" applyAlignment="1">
      <alignment horizontal="center" vertical="center" wrapText="1"/>
    </xf>
    <xf numFmtId="0" fontId="37" fillId="9" borderId="97" xfId="7" applyFont="1" applyFill="1" applyBorder="1" applyAlignment="1">
      <alignment horizontal="center" vertical="center" wrapText="1"/>
    </xf>
    <xf numFmtId="0" fontId="37" fillId="9" borderId="25" xfId="7" applyFont="1" applyFill="1" applyBorder="1" applyAlignment="1">
      <alignment horizontal="center" vertical="center" wrapText="1"/>
    </xf>
    <xf numFmtId="0" fontId="37" fillId="9" borderId="26" xfId="7" applyFont="1" applyFill="1" applyBorder="1" applyAlignment="1">
      <alignment horizontal="center" vertical="center" wrapText="1"/>
    </xf>
    <xf numFmtId="176" fontId="36" fillId="9" borderId="109" xfId="7" applyNumberFormat="1" applyFont="1" applyFill="1" applyBorder="1" applyAlignment="1">
      <alignment horizontal="center" vertical="center" wrapText="1"/>
    </xf>
    <xf numFmtId="176" fontId="36" fillId="9" borderId="10" xfId="7" applyNumberFormat="1" applyFont="1" applyFill="1" applyBorder="1" applyAlignment="1">
      <alignment horizontal="center" vertical="center" wrapText="1"/>
    </xf>
    <xf numFmtId="176" fontId="36" fillId="9" borderId="110" xfId="7" applyNumberFormat="1" applyFont="1" applyFill="1" applyBorder="1" applyAlignment="1">
      <alignment horizontal="center" vertical="center" wrapText="1"/>
    </xf>
    <xf numFmtId="0" fontId="22" fillId="0" borderId="55" xfId="0" applyFont="1" applyFill="1" applyBorder="1" applyAlignment="1" applyProtection="1">
      <alignment horizontal="center" vertical="center" shrinkToFit="1"/>
      <protection locked="0"/>
    </xf>
    <xf numFmtId="0" fontId="22" fillId="0" borderId="52" xfId="0" applyFont="1" applyFill="1" applyBorder="1" applyAlignment="1" applyProtection="1">
      <alignment horizontal="center" vertical="center" shrinkToFit="1"/>
      <protection locked="0"/>
    </xf>
    <xf numFmtId="0" fontId="22" fillId="0" borderId="48" xfId="0" applyFont="1" applyFill="1" applyBorder="1" applyAlignment="1" applyProtection="1">
      <alignment horizontal="center" vertical="center" shrinkToFit="1"/>
      <protection locked="0"/>
    </xf>
    <xf numFmtId="0" fontId="22" fillId="0" borderId="59" xfId="0" applyFont="1" applyFill="1" applyBorder="1" applyAlignment="1" applyProtection="1">
      <alignment horizontal="center" vertical="center" shrinkToFit="1"/>
      <protection locked="0"/>
    </xf>
    <xf numFmtId="0" fontId="22" fillId="0" borderId="36" xfId="4" applyFont="1" applyFill="1" applyBorder="1" applyAlignment="1" applyProtection="1">
      <alignment horizontal="center" vertical="center" wrapText="1"/>
      <protection locked="0"/>
    </xf>
    <xf numFmtId="0" fontId="22" fillId="0" borderId="72" xfId="4" applyFont="1" applyFill="1" applyBorder="1" applyAlignment="1" applyProtection="1">
      <alignment horizontal="center" vertical="center" wrapText="1"/>
      <protection locked="0"/>
    </xf>
    <xf numFmtId="0" fontId="13" fillId="15" borderId="166" xfId="5" applyFont="1" applyFill="1" applyBorder="1" applyAlignment="1" applyProtection="1">
      <alignment horizontal="center" vertical="center" wrapText="1"/>
    </xf>
    <xf numFmtId="0" fontId="13" fillId="15" borderId="72" xfId="5" applyFont="1" applyFill="1" applyBorder="1" applyAlignment="1" applyProtection="1">
      <alignment horizontal="center" vertical="center" wrapText="1"/>
    </xf>
    <xf numFmtId="0" fontId="22" fillId="0" borderId="102" xfId="0" applyFont="1" applyFill="1" applyBorder="1" applyAlignment="1" applyProtection="1">
      <alignment horizontal="center" vertical="center" shrinkToFit="1"/>
      <protection locked="0"/>
    </xf>
    <xf numFmtId="0" fontId="22" fillId="0" borderId="103" xfId="0" applyFont="1" applyFill="1" applyBorder="1" applyAlignment="1" applyProtection="1">
      <alignment horizontal="center" vertical="center" shrinkToFit="1"/>
      <protection locked="0"/>
    </xf>
    <xf numFmtId="0" fontId="22" fillId="0" borderId="102" xfId="4" applyFont="1" applyFill="1" applyBorder="1" applyAlignment="1" applyProtection="1">
      <alignment horizontal="center" vertical="center" wrapText="1"/>
      <protection locked="0"/>
    </xf>
    <xf numFmtId="0" fontId="22" fillId="0" borderId="172" xfId="4" applyFont="1" applyFill="1" applyBorder="1" applyAlignment="1" applyProtection="1">
      <alignment horizontal="center" vertical="center" wrapText="1"/>
      <protection locked="0"/>
    </xf>
    <xf numFmtId="0" fontId="22" fillId="0" borderId="173" xfId="4" applyFont="1" applyFill="1" applyBorder="1" applyAlignment="1" applyProtection="1">
      <alignment horizontal="center" vertical="center" wrapText="1"/>
      <protection locked="0"/>
    </xf>
    <xf numFmtId="0" fontId="22" fillId="0" borderId="176" xfId="4" applyFont="1" applyFill="1" applyBorder="1" applyAlignment="1" applyProtection="1">
      <alignment horizontal="center" vertical="center" wrapText="1"/>
      <protection locked="0"/>
    </xf>
    <xf numFmtId="0" fontId="22" fillId="0" borderId="175" xfId="4" applyFont="1" applyFill="1" applyBorder="1" applyAlignment="1" applyProtection="1">
      <alignment horizontal="center" vertical="center" wrapText="1"/>
      <protection locked="0"/>
    </xf>
    <xf numFmtId="0" fontId="22" fillId="0" borderId="174" xfId="4" applyFont="1" applyFill="1" applyBorder="1" applyAlignment="1" applyProtection="1">
      <alignment horizontal="center" vertical="center" wrapText="1"/>
      <protection locked="0"/>
    </xf>
    <xf numFmtId="0" fontId="22" fillId="0" borderId="103" xfId="4" applyFont="1" applyFill="1" applyBorder="1" applyAlignment="1" applyProtection="1">
      <alignment horizontal="center" vertical="center" wrapText="1"/>
      <protection locked="0"/>
    </xf>
    <xf numFmtId="0" fontId="13" fillId="15" borderId="102" xfId="5" applyFont="1" applyFill="1" applyBorder="1" applyAlignment="1" applyProtection="1">
      <alignment horizontal="center" vertical="center" wrapText="1"/>
    </xf>
    <xf numFmtId="0" fontId="13" fillId="15" borderId="103" xfId="5" applyFont="1" applyFill="1" applyBorder="1" applyAlignment="1" applyProtection="1">
      <alignment horizontal="center" vertical="center" wrapText="1"/>
    </xf>
    <xf numFmtId="0" fontId="22" fillId="0" borderId="166" xfId="0" applyFont="1" applyFill="1" applyBorder="1" applyAlignment="1" applyProtection="1">
      <alignment horizontal="center" vertical="center" shrinkToFit="1"/>
      <protection locked="0"/>
    </xf>
    <xf numFmtId="0" fontId="22" fillId="0" borderId="72" xfId="0" applyFont="1" applyFill="1" applyBorder="1" applyAlignment="1" applyProtection="1">
      <alignment horizontal="center" vertical="center" shrinkToFit="1"/>
      <protection locked="0"/>
    </xf>
    <xf numFmtId="0" fontId="22" fillId="0" borderId="166" xfId="4" applyFont="1" applyFill="1" applyBorder="1" applyAlignment="1" applyProtection="1">
      <alignment horizontal="center" vertical="center" wrapText="1"/>
      <protection locked="0"/>
    </xf>
    <xf numFmtId="0" fontId="22" fillId="0" borderId="168" xfId="4" applyFont="1" applyFill="1" applyBorder="1" applyAlignment="1" applyProtection="1">
      <alignment horizontal="center" vertical="center" wrapText="1"/>
      <protection locked="0"/>
    </xf>
    <xf numFmtId="0" fontId="22" fillId="0" borderId="169" xfId="4" applyFont="1" applyFill="1" applyBorder="1" applyAlignment="1" applyProtection="1">
      <alignment horizontal="center" vertical="center" wrapText="1"/>
      <protection locked="0"/>
    </xf>
    <xf numFmtId="0" fontId="22" fillId="0" borderId="170" xfId="4" applyFont="1" applyFill="1" applyBorder="1" applyAlignment="1" applyProtection="1">
      <alignment horizontal="center" vertical="center" wrapText="1"/>
      <protection locked="0"/>
    </xf>
    <xf numFmtId="0" fontId="22" fillId="0" borderId="171" xfId="4" applyFont="1" applyFill="1" applyBorder="1" applyAlignment="1" applyProtection="1">
      <alignment horizontal="center" vertical="center" wrapText="1"/>
      <protection locked="0"/>
    </xf>
    <xf numFmtId="0" fontId="62" fillId="8" borderId="97" xfId="0" applyFont="1" applyFill="1" applyBorder="1" applyAlignment="1">
      <alignment horizontal="center" vertical="center"/>
    </xf>
    <xf numFmtId="0" fontId="62" fillId="8" borderId="25" xfId="0" applyFont="1" applyFill="1" applyBorder="1" applyAlignment="1">
      <alignment horizontal="center" vertical="center"/>
    </xf>
    <xf numFmtId="0" fontId="62" fillId="8" borderId="26" xfId="0" applyFont="1" applyFill="1" applyBorder="1" applyAlignment="1">
      <alignment horizontal="center" vertical="center"/>
    </xf>
    <xf numFmtId="176" fontId="63" fillId="8" borderId="109" xfId="7" applyNumberFormat="1" applyFont="1" applyFill="1" applyBorder="1" applyAlignment="1">
      <alignment horizontal="center" vertical="center" shrinkToFit="1"/>
    </xf>
    <xf numFmtId="176" fontId="63" fillId="8" borderId="10" xfId="7" applyNumberFormat="1" applyFont="1" applyFill="1" applyBorder="1" applyAlignment="1">
      <alignment horizontal="center" vertical="center" shrinkToFit="1"/>
    </xf>
    <xf numFmtId="176" fontId="63" fillId="8" borderId="110" xfId="7" applyNumberFormat="1" applyFont="1" applyFill="1" applyBorder="1" applyAlignment="1">
      <alignment horizontal="center" vertical="center" shrinkToFit="1"/>
    </xf>
    <xf numFmtId="0" fontId="62" fillId="9" borderId="120" xfId="0" applyFont="1" applyFill="1" applyBorder="1" applyAlignment="1">
      <alignment horizontal="center" vertical="center"/>
    </xf>
    <xf numFmtId="0" fontId="62" fillId="9" borderId="7" xfId="0" applyFont="1" applyFill="1" applyBorder="1" applyAlignment="1">
      <alignment horizontal="center" vertical="center"/>
    </xf>
    <xf numFmtId="0" fontId="62" fillId="9" borderId="89" xfId="0" applyFont="1" applyFill="1" applyBorder="1" applyAlignment="1">
      <alignment horizontal="center" vertical="center"/>
    </xf>
    <xf numFmtId="49" fontId="63" fillId="9" borderId="109" xfId="7" applyNumberFormat="1" applyFont="1" applyFill="1" applyBorder="1" applyAlignment="1">
      <alignment horizontal="center" vertical="center" shrinkToFit="1"/>
    </xf>
    <xf numFmtId="49" fontId="63" fillId="9" borderId="10" xfId="7" applyNumberFormat="1" applyFont="1" applyFill="1" applyBorder="1" applyAlignment="1">
      <alignment horizontal="center" vertical="center" shrinkToFit="1"/>
    </xf>
    <xf numFmtId="49" fontId="63" fillId="9" borderId="110" xfId="7" applyNumberFormat="1" applyFont="1" applyFill="1" applyBorder="1" applyAlignment="1">
      <alignment horizontal="center" vertical="center" shrinkToFit="1"/>
    </xf>
    <xf numFmtId="0" fontId="9" fillId="8" borderId="27" xfId="0" applyFont="1" applyFill="1" applyBorder="1" applyAlignment="1">
      <alignment horizontal="center" vertical="center" wrapText="1"/>
    </xf>
    <xf numFmtId="0" fontId="9" fillId="8" borderId="12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185" xfId="0" applyFont="1" applyFill="1" applyBorder="1" applyAlignment="1">
      <alignment horizontal="center" vertical="center" wrapText="1"/>
    </xf>
    <xf numFmtId="0" fontId="9" fillId="8" borderId="178" xfId="0" applyFont="1" applyFill="1" applyBorder="1" applyAlignment="1">
      <alignment horizontal="center" vertical="center" wrapText="1"/>
    </xf>
    <xf numFmtId="0" fontId="15" fillId="12" borderId="120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15" fillId="12" borderId="89" xfId="0" applyFont="1" applyFill="1" applyBorder="1" applyAlignment="1">
      <alignment horizontal="center" vertical="center"/>
    </xf>
    <xf numFmtId="0" fontId="15" fillId="12" borderId="109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0" fontId="15" fillId="12" borderId="110" xfId="0" applyFont="1" applyFill="1" applyBorder="1" applyAlignment="1">
      <alignment horizontal="center" vertical="center" wrapText="1"/>
    </xf>
    <xf numFmtId="0" fontId="38" fillId="12" borderId="186" xfId="0" applyFont="1" applyFill="1" applyBorder="1" applyAlignment="1">
      <alignment horizontal="center" vertical="center"/>
    </xf>
    <xf numFmtId="0" fontId="38" fillId="12" borderId="187" xfId="0" applyFont="1" applyFill="1" applyBorder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0" fontId="38" fillId="12" borderId="7" xfId="0" applyFont="1" applyFill="1" applyBorder="1" applyAlignment="1">
      <alignment horizontal="center" vertical="center"/>
    </xf>
    <xf numFmtId="0" fontId="38" fillId="12" borderId="185" xfId="0" applyFont="1" applyFill="1" applyBorder="1" applyAlignment="1">
      <alignment horizontal="center" vertical="center"/>
    </xf>
    <xf numFmtId="0" fontId="38" fillId="12" borderId="178" xfId="0" applyFont="1" applyFill="1" applyBorder="1" applyAlignment="1">
      <alignment horizontal="center" vertical="center"/>
    </xf>
    <xf numFmtId="0" fontId="62" fillId="12" borderId="120" xfId="0" applyFont="1" applyFill="1" applyBorder="1" applyAlignment="1">
      <alignment horizontal="center" vertical="center"/>
    </xf>
    <xf numFmtId="0" fontId="62" fillId="12" borderId="7" xfId="0" applyFont="1" applyFill="1" applyBorder="1" applyAlignment="1">
      <alignment horizontal="center" vertical="center"/>
    </xf>
    <xf numFmtId="0" fontId="62" fillId="12" borderId="89" xfId="0" applyFont="1" applyFill="1" applyBorder="1" applyAlignment="1">
      <alignment horizontal="center" vertical="center"/>
    </xf>
    <xf numFmtId="0" fontId="15" fillId="12" borderId="109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110" xfId="0" applyFont="1" applyFill="1" applyBorder="1" applyAlignment="1">
      <alignment horizontal="center" vertical="center"/>
    </xf>
    <xf numFmtId="0" fontId="62" fillId="8" borderId="182" xfId="0" applyFont="1" applyFill="1" applyBorder="1" applyAlignment="1">
      <alignment horizontal="center" vertical="center"/>
    </xf>
    <xf numFmtId="176" fontId="63" fillId="8" borderId="183" xfId="7" applyNumberFormat="1" applyFont="1" applyFill="1" applyBorder="1" applyAlignment="1">
      <alignment horizontal="center" vertical="center" shrinkToFit="1"/>
    </xf>
    <xf numFmtId="0" fontId="62" fillId="0" borderId="120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62" fillId="0" borderId="89" xfId="0" applyFont="1" applyBorder="1" applyAlignment="1">
      <alignment horizontal="center" vertical="center"/>
    </xf>
    <xf numFmtId="49" fontId="63" fillId="0" borderId="109" xfId="7" applyNumberFormat="1" applyFont="1" applyBorder="1" applyAlignment="1">
      <alignment horizontal="center" vertical="center" shrinkToFit="1"/>
    </xf>
    <xf numFmtId="49" fontId="63" fillId="0" borderId="10" xfId="7" applyNumberFormat="1" applyFont="1" applyBorder="1" applyAlignment="1">
      <alignment horizontal="center" vertical="center" shrinkToFit="1"/>
    </xf>
    <xf numFmtId="49" fontId="63" fillId="0" borderId="12" xfId="7" applyNumberFormat="1" applyFont="1" applyBorder="1" applyAlignment="1">
      <alignment horizontal="center" vertical="center" shrinkToFit="1"/>
    </xf>
    <xf numFmtId="0" fontId="62" fillId="0" borderId="109" xfId="0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0" fontId="62" fillId="0" borderId="110" xfId="0" applyFont="1" applyBorder="1" applyAlignment="1">
      <alignment horizontal="center" vertical="center"/>
    </xf>
    <xf numFmtId="49" fontId="63" fillId="0" borderId="110" xfId="7" applyNumberFormat="1" applyFont="1" applyBorder="1" applyAlignment="1">
      <alignment horizontal="center" vertical="center" shrinkToFit="1"/>
    </xf>
    <xf numFmtId="0" fontId="46" fillId="20" borderId="127" xfId="16" applyFont="1" applyFill="1" applyBorder="1" applyAlignment="1">
      <alignment horizontal="center" vertical="center"/>
    </xf>
    <xf numFmtId="0" fontId="39" fillId="0" borderId="127" xfId="16" applyFont="1" applyBorder="1"/>
    <xf numFmtId="0" fontId="39" fillId="0" borderId="128" xfId="16" applyFont="1" applyBorder="1"/>
    <xf numFmtId="0" fontId="46" fillId="0" borderId="129" xfId="16" applyFont="1" applyBorder="1" applyAlignment="1">
      <alignment horizontal="center" vertical="center"/>
    </xf>
    <xf numFmtId="0" fontId="42" fillId="0" borderId="0" xfId="16" applyFont="1" applyAlignment="1">
      <alignment horizontal="center" vertical="center"/>
    </xf>
    <xf numFmtId="0" fontId="44" fillId="0" borderId="0" xfId="16" applyFont="1" applyAlignment="1"/>
    <xf numFmtId="0" fontId="45" fillId="0" borderId="124" xfId="16" applyFont="1" applyBorder="1" applyAlignment="1">
      <alignment horizontal="center" vertical="center"/>
    </xf>
    <xf numFmtId="0" fontId="39" fillId="0" borderId="27" xfId="16" applyFont="1" applyBorder="1"/>
    <xf numFmtId="0" fontId="39" fillId="0" borderId="24" xfId="16" applyFont="1" applyBorder="1"/>
    <xf numFmtId="0" fontId="45" fillId="8" borderId="4" xfId="16" applyFont="1" applyFill="1" applyBorder="1" applyAlignment="1">
      <alignment horizontal="center" vertical="center"/>
    </xf>
    <xf numFmtId="0" fontId="39" fillId="8" borderId="27" xfId="16" applyFont="1" applyFill="1" applyBorder="1"/>
    <xf numFmtId="0" fontId="39" fillId="8" borderId="24" xfId="16" applyFont="1" applyFill="1" applyBorder="1"/>
    <xf numFmtId="0" fontId="35" fillId="19" borderId="123" xfId="16" applyFont="1" applyFill="1" applyBorder="1" applyAlignment="1">
      <alignment horizontal="center" vertical="center" wrapText="1"/>
    </xf>
    <xf numFmtId="0" fontId="39" fillId="0" borderId="125" xfId="16" applyFont="1" applyBorder="1"/>
    <xf numFmtId="0" fontId="39" fillId="0" borderId="130" xfId="16" applyFont="1" applyBorder="1"/>
    <xf numFmtId="0" fontId="46" fillId="20" borderId="132" xfId="16" applyFont="1" applyFill="1" applyBorder="1" applyAlignment="1">
      <alignment horizontal="center" vertical="center"/>
    </xf>
    <xf numFmtId="0" fontId="39" fillId="0" borderId="133" xfId="16" applyFont="1" applyBorder="1"/>
    <xf numFmtId="0" fontId="39" fillId="0" borderId="134" xfId="16" applyFont="1" applyBorder="1"/>
    <xf numFmtId="0" fontId="39" fillId="0" borderId="135" xfId="16" applyFont="1" applyBorder="1"/>
    <xf numFmtId="0" fontId="46" fillId="0" borderId="111" xfId="16" applyFont="1" applyBorder="1" applyAlignment="1">
      <alignment horizontal="center" vertical="center" wrapText="1"/>
    </xf>
    <xf numFmtId="0" fontId="39" fillId="0" borderId="132" xfId="16" applyFont="1" applyBorder="1"/>
    <xf numFmtId="0" fontId="39" fillId="0" borderId="136" xfId="16" applyFont="1" applyBorder="1"/>
    <xf numFmtId="0" fontId="47" fillId="21" borderId="139" xfId="16" applyFont="1" applyFill="1" applyBorder="1" applyAlignment="1">
      <alignment horizontal="center" vertical="center" wrapText="1"/>
    </xf>
    <xf numFmtId="0" fontId="39" fillId="0" borderId="140" xfId="16" applyFont="1" applyBorder="1"/>
    <xf numFmtId="0" fontId="48" fillId="0" borderId="141" xfId="16" applyFont="1" applyBorder="1" applyAlignment="1">
      <alignment horizontal="center" vertical="center" wrapText="1"/>
    </xf>
    <xf numFmtId="0" fontId="39" fillId="0" borderId="147" xfId="16" applyFont="1" applyBorder="1"/>
    <xf numFmtId="0" fontId="48" fillId="0" borderId="142" xfId="16" applyFont="1" applyBorder="1" applyAlignment="1">
      <alignment horizontal="center" vertical="center" wrapText="1"/>
    </xf>
    <xf numFmtId="0" fontId="39" fillId="0" borderId="148" xfId="16" applyFont="1" applyBorder="1"/>
    <xf numFmtId="0" fontId="39" fillId="0" borderId="152" xfId="16" applyFont="1" applyBorder="1"/>
    <xf numFmtId="0" fontId="48" fillId="0" borderId="144" xfId="16" applyFont="1" applyBorder="1" applyAlignment="1">
      <alignment horizontal="center" vertical="center" wrapText="1"/>
    </xf>
    <xf numFmtId="0" fontId="39" fillId="0" borderId="126" xfId="16" applyFont="1" applyBorder="1"/>
    <xf numFmtId="0" fontId="39" fillId="0" borderId="151" xfId="16" applyFont="1" applyBorder="1"/>
    <xf numFmtId="0" fontId="48" fillId="0" borderId="127" xfId="16" applyFont="1" applyBorder="1" applyAlignment="1">
      <alignment horizontal="center" vertical="center" wrapText="1"/>
    </xf>
    <xf numFmtId="0" fontId="50" fillId="0" borderId="129" xfId="16" applyFont="1" applyBorder="1" applyAlignment="1">
      <alignment horizontal="center" vertical="center" wrapText="1"/>
    </xf>
    <xf numFmtId="0" fontId="48" fillId="0" borderId="129" xfId="16" applyFont="1" applyBorder="1" applyAlignment="1">
      <alignment horizontal="center" vertical="center" wrapText="1"/>
    </xf>
    <xf numFmtId="0" fontId="48" fillId="21" borderId="129" xfId="16" applyFont="1" applyFill="1" applyBorder="1" applyAlignment="1">
      <alignment horizontal="center" vertical="center" wrapText="1"/>
    </xf>
    <xf numFmtId="0" fontId="50" fillId="21" borderId="129" xfId="16" applyFont="1" applyFill="1" applyBorder="1" applyAlignment="1">
      <alignment horizontal="center" vertical="center" wrapText="1"/>
    </xf>
    <xf numFmtId="0" fontId="39" fillId="0" borderId="146" xfId="16" applyFont="1" applyBorder="1"/>
    <xf numFmtId="0" fontId="16" fillId="0" borderId="0" xfId="16" applyFont="1" applyBorder="1" applyAlignment="1"/>
    <xf numFmtId="0" fontId="48" fillId="0" borderId="155" xfId="16" applyFont="1" applyBorder="1" applyAlignment="1">
      <alignment horizontal="center" vertical="center" wrapText="1"/>
    </xf>
    <xf numFmtId="0" fontId="48" fillId="0" borderId="157" xfId="16" applyFont="1" applyBorder="1" applyAlignment="1">
      <alignment horizontal="center" vertical="center" wrapText="1"/>
    </xf>
    <xf numFmtId="0" fontId="39" fillId="0" borderId="158" xfId="16" applyFont="1" applyBorder="1"/>
    <xf numFmtId="0" fontId="48" fillId="0" borderId="111" xfId="16" applyFont="1" applyBorder="1" applyAlignment="1">
      <alignment horizontal="center" vertical="center" wrapText="1"/>
    </xf>
    <xf numFmtId="0" fontId="48" fillId="0" borderId="159" xfId="16" applyFont="1" applyBorder="1" applyAlignment="1">
      <alignment horizontal="center" vertical="center" wrapText="1"/>
    </xf>
    <xf numFmtId="0" fontId="39" fillId="0" borderId="160" xfId="16" applyFont="1" applyBorder="1"/>
    <xf numFmtId="0" fontId="48" fillId="21" borderId="127" xfId="16" applyFont="1" applyFill="1" applyBorder="1" applyAlignment="1">
      <alignment horizontal="center" vertical="center" wrapText="1"/>
    </xf>
    <xf numFmtId="0" fontId="52" fillId="20" borderId="127" xfId="16" applyFont="1" applyFill="1" applyBorder="1" applyAlignment="1">
      <alignment horizontal="center" vertical="center"/>
    </xf>
    <xf numFmtId="0" fontId="52" fillId="0" borderId="129" xfId="16" applyFont="1" applyBorder="1" applyAlignment="1">
      <alignment horizontal="center" vertical="center"/>
    </xf>
    <xf numFmtId="0" fontId="46" fillId="0" borderId="129" xfId="16" applyFont="1" applyBorder="1" applyAlignment="1">
      <alignment horizontal="center" vertical="center" wrapText="1"/>
    </xf>
    <xf numFmtId="0" fontId="46" fillId="0" borderId="111" xfId="16" applyFont="1" applyBorder="1" applyAlignment="1">
      <alignment horizontal="center" vertical="center"/>
    </xf>
    <xf numFmtId="0" fontId="46" fillId="20" borderId="127" xfId="16" applyFont="1" applyFill="1" applyBorder="1" applyAlignment="1">
      <alignment horizontal="center" vertical="center" wrapText="1"/>
    </xf>
    <xf numFmtId="0" fontId="52" fillId="20" borderId="127" xfId="16" applyFont="1" applyFill="1" applyBorder="1" applyAlignment="1">
      <alignment horizontal="center" vertical="center" wrapText="1"/>
    </xf>
    <xf numFmtId="0" fontId="54" fillId="0" borderId="155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9" borderId="163" xfId="16" applyFont="1" applyFill="1" applyBorder="1" applyAlignment="1">
      <alignment horizontal="center" vertical="center" wrapText="1"/>
    </xf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2" fillId="20" borderId="133" xfId="16" applyFont="1" applyFill="1" applyBorder="1" applyAlignment="1">
      <alignment horizontal="center" vertical="center"/>
    </xf>
    <xf numFmtId="0" fontId="52" fillId="20" borderId="129" xfId="16" applyFont="1" applyFill="1" applyBorder="1" applyAlignment="1">
      <alignment horizontal="center" vertical="center"/>
    </xf>
    <xf numFmtId="0" fontId="53" fillId="0" borderId="133" xfId="16" applyFont="1" applyBorder="1" applyAlignment="1">
      <alignment horizontal="center" vertical="center"/>
    </xf>
    <xf numFmtId="0" fontId="55" fillId="0" borderId="135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41BF1196-440C-49EF-A3FD-93B33981E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A2DE4240-7476-4643-9C6D-0B65E60F1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4485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BA6224D5-4F72-4A2E-994C-05166D03B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903DDC3C-EF9C-43DD-B9F9-3F529B8F3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29CCBA68-9F28-4189-8C7C-61CE714E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0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1D12-AC1E-42C1-A993-20D88C643336}">
  <sheetPr>
    <pageSetUpPr fitToPage="1"/>
  </sheetPr>
  <dimension ref="B1:AD90"/>
  <sheetViews>
    <sheetView view="pageBreakPreview" zoomScale="75" zoomScaleNormal="100" zoomScaleSheetLayoutView="75" workbookViewId="0">
      <pane ySplit="8" topLeftCell="A17" activePane="bottomLeft" state="frozen"/>
      <selection pane="bottomLeft" activeCell="F38" sqref="F38:G38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22.25" style="4" bestFit="1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531" t="s">
        <v>690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2"/>
      <c r="V2" s="533" t="s">
        <v>130</v>
      </c>
      <c r="W2" s="534"/>
      <c r="X2" s="535">
        <v>2027</v>
      </c>
      <c r="Y2" s="536"/>
      <c r="AA2" s="537" t="s">
        <v>143</v>
      </c>
      <c r="AB2" s="15" t="s">
        <v>144</v>
      </c>
      <c r="AC2" s="21" t="s">
        <v>152</v>
      </c>
      <c r="AD2" s="16" t="s">
        <v>145</v>
      </c>
    </row>
    <row r="3" spans="2:30" ht="17.25" thickBot="1">
      <c r="B3" s="540" t="s">
        <v>364</v>
      </c>
      <c r="C3" s="542" t="s">
        <v>53</v>
      </c>
      <c r="D3" s="543"/>
      <c r="E3" s="543"/>
      <c r="F3" s="542" t="s">
        <v>64</v>
      </c>
      <c r="G3" s="546"/>
      <c r="H3" s="542" t="s">
        <v>54</v>
      </c>
      <c r="I3" s="543"/>
      <c r="J3" s="543"/>
      <c r="K3" s="542" t="s">
        <v>55</v>
      </c>
      <c r="L3" s="543"/>
      <c r="M3" s="543"/>
      <c r="N3" s="543"/>
      <c r="O3" s="546"/>
      <c r="P3" s="548" t="s">
        <v>56</v>
      </c>
      <c r="Q3" s="549"/>
      <c r="R3" s="549"/>
      <c r="S3" s="549"/>
      <c r="T3" s="549"/>
      <c r="U3" s="549"/>
      <c r="V3" s="549"/>
      <c r="W3" s="549"/>
      <c r="X3" s="549"/>
      <c r="Y3" s="550"/>
      <c r="AA3" s="538"/>
      <c r="AB3" s="17" t="s">
        <v>146</v>
      </c>
      <c r="AC3" s="23" t="s">
        <v>687</v>
      </c>
      <c r="AD3" s="18" t="s">
        <v>516</v>
      </c>
    </row>
    <row r="4" spans="2:30" ht="17.25" thickBot="1">
      <c r="B4" s="541"/>
      <c r="C4" s="544"/>
      <c r="D4" s="545"/>
      <c r="E4" s="545"/>
      <c r="F4" s="544"/>
      <c r="G4" s="547"/>
      <c r="H4" s="544"/>
      <c r="I4" s="545"/>
      <c r="J4" s="545"/>
      <c r="K4" s="544"/>
      <c r="L4" s="545"/>
      <c r="M4" s="545"/>
      <c r="N4" s="545"/>
      <c r="O4" s="547"/>
      <c r="P4" s="548" t="s">
        <v>127</v>
      </c>
      <c r="Q4" s="549"/>
      <c r="R4" s="549"/>
      <c r="S4" s="549"/>
      <c r="T4" s="548" t="s">
        <v>61</v>
      </c>
      <c r="U4" s="549"/>
      <c r="V4" s="550"/>
      <c r="W4" s="549" t="s">
        <v>128</v>
      </c>
      <c r="X4" s="549"/>
      <c r="Y4" s="550"/>
      <c r="AA4" s="538"/>
      <c r="AB4" s="19" t="s">
        <v>147</v>
      </c>
      <c r="AC4" s="24" t="s">
        <v>688</v>
      </c>
      <c r="AD4" s="18" t="s">
        <v>698</v>
      </c>
    </row>
    <row r="5" spans="2:30" ht="26.25" customHeight="1" thickBot="1">
      <c r="B5" s="48" t="s">
        <v>514</v>
      </c>
      <c r="C5" s="551" t="s">
        <v>517</v>
      </c>
      <c r="D5" s="552"/>
      <c r="E5" s="553"/>
      <c r="F5" s="551" t="s">
        <v>150</v>
      </c>
      <c r="G5" s="554"/>
      <c r="H5" s="555" t="s">
        <v>518</v>
      </c>
      <c r="I5" s="552"/>
      <c r="J5" s="553"/>
      <c r="K5" s="551"/>
      <c r="L5" s="552"/>
      <c r="M5" s="552"/>
      <c r="N5" s="552"/>
      <c r="O5" s="554"/>
      <c r="P5" s="555" t="s">
        <v>519</v>
      </c>
      <c r="Q5" s="552"/>
      <c r="R5" s="552"/>
      <c r="S5" s="553"/>
      <c r="T5" s="551" t="s">
        <v>34</v>
      </c>
      <c r="U5" s="552"/>
      <c r="V5" s="553"/>
      <c r="W5" s="556" t="s">
        <v>522</v>
      </c>
      <c r="X5" s="557"/>
      <c r="Y5" s="446"/>
      <c r="AA5" s="539"/>
      <c r="AB5" s="155" t="s">
        <v>148</v>
      </c>
      <c r="AC5" s="156" t="s">
        <v>689</v>
      </c>
      <c r="AD5" s="158" t="s">
        <v>700</v>
      </c>
    </row>
    <row r="6" spans="2:30" ht="15.75" customHeight="1" thickBot="1">
      <c r="U6" s="517"/>
      <c r="V6" s="517"/>
      <c r="W6" s="517"/>
      <c r="X6" s="517"/>
      <c r="Y6" s="517"/>
    </row>
    <row r="7" spans="2:30" s="10" customFormat="1" ht="22.5" customHeight="1">
      <c r="B7" s="518" t="s">
        <v>2</v>
      </c>
      <c r="C7" s="519"/>
      <c r="D7" s="522" t="s">
        <v>120</v>
      </c>
      <c r="E7" s="524" t="s">
        <v>57</v>
      </c>
      <c r="F7" s="525"/>
      <c r="G7" s="508"/>
      <c r="H7" s="504" t="s">
        <v>133</v>
      </c>
      <c r="I7" s="526" t="s">
        <v>134</v>
      </c>
      <c r="J7" s="505" t="s">
        <v>135</v>
      </c>
      <c r="K7" s="527" t="s">
        <v>58</v>
      </c>
      <c r="L7" s="526"/>
      <c r="M7" s="526"/>
      <c r="N7" s="528"/>
      <c r="O7" s="529" t="s">
        <v>59</v>
      </c>
      <c r="P7" s="526"/>
      <c r="Q7" s="526"/>
      <c r="R7" s="528"/>
      <c r="S7" s="527" t="s">
        <v>60</v>
      </c>
      <c r="T7" s="526"/>
      <c r="U7" s="526"/>
      <c r="V7" s="530"/>
      <c r="W7" s="504" t="s">
        <v>136</v>
      </c>
      <c r="X7" s="505"/>
      <c r="Y7" s="508" t="s">
        <v>137</v>
      </c>
      <c r="Z7" s="9"/>
    </row>
    <row r="8" spans="2:30" s="10" customFormat="1" ht="22.5" customHeight="1" thickBot="1">
      <c r="B8" s="520"/>
      <c r="C8" s="521"/>
      <c r="D8" s="523"/>
      <c r="E8" s="20" t="s">
        <v>18</v>
      </c>
      <c r="F8" s="510" t="s">
        <v>19</v>
      </c>
      <c r="G8" s="511"/>
      <c r="H8" s="506"/>
      <c r="I8" s="513"/>
      <c r="J8" s="507"/>
      <c r="K8" s="512" t="s">
        <v>0</v>
      </c>
      <c r="L8" s="513"/>
      <c r="M8" s="513" t="s">
        <v>62</v>
      </c>
      <c r="N8" s="514"/>
      <c r="O8" s="515" t="s">
        <v>0</v>
      </c>
      <c r="P8" s="513"/>
      <c r="Q8" s="513" t="s">
        <v>62</v>
      </c>
      <c r="R8" s="514"/>
      <c r="S8" s="512" t="s">
        <v>0</v>
      </c>
      <c r="T8" s="513"/>
      <c r="U8" s="513" t="s">
        <v>62</v>
      </c>
      <c r="V8" s="516"/>
      <c r="W8" s="506"/>
      <c r="X8" s="507"/>
      <c r="Y8" s="509"/>
      <c r="AA8" s="495" t="s">
        <v>504</v>
      </c>
      <c r="AB8" s="495"/>
      <c r="AC8" s="495"/>
      <c r="AD8" s="495"/>
    </row>
    <row r="9" spans="2:30" ht="18" customHeight="1" thickBot="1">
      <c r="B9" s="496" t="s">
        <v>341</v>
      </c>
      <c r="C9" s="481"/>
      <c r="D9" s="470" t="s">
        <v>21</v>
      </c>
      <c r="E9" s="25" t="s">
        <v>12</v>
      </c>
      <c r="F9" s="477" t="s">
        <v>205</v>
      </c>
      <c r="G9" s="478"/>
      <c r="H9" s="26">
        <v>4</v>
      </c>
      <c r="I9" s="27" t="s">
        <v>342</v>
      </c>
      <c r="J9" s="28">
        <v>3</v>
      </c>
      <c r="K9" s="459">
        <v>3</v>
      </c>
      <c r="L9" s="461"/>
      <c r="M9" s="462"/>
      <c r="N9" s="463"/>
      <c r="O9" s="464"/>
      <c r="P9" s="461"/>
      <c r="Q9" s="462"/>
      <c r="R9" s="463"/>
      <c r="S9" s="500"/>
      <c r="T9" s="501"/>
      <c r="U9" s="502"/>
      <c r="V9" s="503"/>
      <c r="W9" s="29">
        <f>SUM(K9:V9)</f>
        <v>3</v>
      </c>
      <c r="X9" s="322">
        <f>SUM(W9:W11)</f>
        <v>11</v>
      </c>
      <c r="Y9" s="456">
        <v>24</v>
      </c>
      <c r="AA9" s="109" t="s">
        <v>18</v>
      </c>
      <c r="AB9" s="110" t="s">
        <v>510</v>
      </c>
      <c r="AC9" s="110" t="s">
        <v>511</v>
      </c>
      <c r="AD9" s="111" t="s">
        <v>512</v>
      </c>
    </row>
    <row r="10" spans="2:30" ht="18" customHeight="1" thickBot="1">
      <c r="B10" s="497"/>
      <c r="C10" s="482"/>
      <c r="D10" s="471"/>
      <c r="E10" s="30" t="s">
        <v>12</v>
      </c>
      <c r="F10" s="493" t="s">
        <v>206</v>
      </c>
      <c r="G10" s="494"/>
      <c r="H10" s="127">
        <v>4</v>
      </c>
      <c r="I10" s="128" t="s">
        <v>342</v>
      </c>
      <c r="J10" s="129">
        <v>4</v>
      </c>
      <c r="K10" s="434"/>
      <c r="L10" s="427"/>
      <c r="M10" s="419">
        <v>4</v>
      </c>
      <c r="N10" s="428"/>
      <c r="O10" s="426"/>
      <c r="P10" s="427"/>
      <c r="Q10" s="419"/>
      <c r="R10" s="428"/>
      <c r="S10" s="426"/>
      <c r="T10" s="427"/>
      <c r="U10" s="419"/>
      <c r="V10" s="420"/>
      <c r="W10" s="31">
        <f t="shared" ref="W10:W23" si="0">SUM(K10:V10)</f>
        <v>4</v>
      </c>
      <c r="X10" s="324"/>
      <c r="Y10" s="456"/>
      <c r="AA10" s="112" t="s">
        <v>505</v>
      </c>
      <c r="AB10" s="113">
        <v>4</v>
      </c>
      <c r="AC10" s="113">
        <v>-1</v>
      </c>
      <c r="AD10" s="18" t="s">
        <v>342</v>
      </c>
    </row>
    <row r="11" spans="2:30" ht="18" customHeight="1" thickBot="1">
      <c r="B11" s="497"/>
      <c r="C11" s="482"/>
      <c r="D11" s="473"/>
      <c r="E11" s="32" t="s">
        <v>343</v>
      </c>
      <c r="F11" s="489" t="s">
        <v>344</v>
      </c>
      <c r="G11" s="490"/>
      <c r="H11" s="130">
        <v>4</v>
      </c>
      <c r="I11" s="131" t="s">
        <v>345</v>
      </c>
      <c r="J11" s="132">
        <v>4</v>
      </c>
      <c r="K11" s="465"/>
      <c r="L11" s="467"/>
      <c r="M11" s="468"/>
      <c r="N11" s="469"/>
      <c r="O11" s="472">
        <v>4</v>
      </c>
      <c r="P11" s="467"/>
      <c r="Q11" s="468"/>
      <c r="R11" s="469"/>
      <c r="S11" s="472"/>
      <c r="T11" s="467"/>
      <c r="U11" s="468"/>
      <c r="V11" s="466"/>
      <c r="W11" s="31">
        <f t="shared" si="0"/>
        <v>4</v>
      </c>
      <c r="X11" s="324"/>
      <c r="Y11" s="456"/>
      <c r="AA11" s="112" t="s">
        <v>506</v>
      </c>
      <c r="AB11" s="113">
        <v>3</v>
      </c>
      <c r="AC11" s="113"/>
      <c r="AD11" s="18">
        <v>3</v>
      </c>
    </row>
    <row r="12" spans="2:30" ht="18" customHeight="1" thickBot="1">
      <c r="B12" s="497"/>
      <c r="C12" s="482"/>
      <c r="D12" s="470" t="s">
        <v>5</v>
      </c>
      <c r="E12" s="25" t="s">
        <v>12</v>
      </c>
      <c r="F12" s="477" t="s">
        <v>217</v>
      </c>
      <c r="G12" s="478"/>
      <c r="H12" s="133">
        <v>4</v>
      </c>
      <c r="I12" s="134" t="s">
        <v>342</v>
      </c>
      <c r="J12" s="135">
        <v>4</v>
      </c>
      <c r="K12" s="459">
        <v>4</v>
      </c>
      <c r="L12" s="461"/>
      <c r="M12" s="462"/>
      <c r="N12" s="463"/>
      <c r="O12" s="464"/>
      <c r="P12" s="461"/>
      <c r="Q12" s="462"/>
      <c r="R12" s="463"/>
      <c r="S12" s="464"/>
      <c r="T12" s="461"/>
      <c r="U12" s="462"/>
      <c r="V12" s="460"/>
      <c r="W12" s="29">
        <f t="shared" si="0"/>
        <v>4</v>
      </c>
      <c r="X12" s="322">
        <f t="shared" ref="X12" si="1">SUM(W12:W14)</f>
        <v>11</v>
      </c>
      <c r="Y12" s="456"/>
      <c r="AA12" s="112" t="s">
        <v>507</v>
      </c>
      <c r="AB12" s="113">
        <v>4</v>
      </c>
      <c r="AC12" s="113" t="s">
        <v>513</v>
      </c>
      <c r="AD12" s="18" t="s">
        <v>345</v>
      </c>
    </row>
    <row r="13" spans="2:30" ht="18" customHeight="1" thickBot="1">
      <c r="B13" s="497"/>
      <c r="C13" s="482"/>
      <c r="D13" s="471"/>
      <c r="E13" s="30" t="s">
        <v>12</v>
      </c>
      <c r="F13" s="493" t="s">
        <v>219</v>
      </c>
      <c r="G13" s="494"/>
      <c r="H13" s="127">
        <v>4</v>
      </c>
      <c r="I13" s="128" t="s">
        <v>342</v>
      </c>
      <c r="J13" s="129">
        <v>4</v>
      </c>
      <c r="K13" s="434"/>
      <c r="L13" s="427"/>
      <c r="M13" s="419">
        <v>4</v>
      </c>
      <c r="N13" s="428"/>
      <c r="O13" s="426"/>
      <c r="P13" s="427"/>
      <c r="Q13" s="419"/>
      <c r="R13" s="428"/>
      <c r="S13" s="426"/>
      <c r="T13" s="427"/>
      <c r="U13" s="419"/>
      <c r="V13" s="420"/>
      <c r="W13" s="31">
        <f t="shared" si="0"/>
        <v>4</v>
      </c>
      <c r="X13" s="324"/>
      <c r="Y13" s="456"/>
      <c r="AA13" s="112" t="s">
        <v>508</v>
      </c>
      <c r="AB13" s="113">
        <v>3</v>
      </c>
      <c r="AC13" s="113" t="s">
        <v>513</v>
      </c>
      <c r="AD13" s="18" t="s">
        <v>352</v>
      </c>
    </row>
    <row r="14" spans="2:30" ht="18" customHeight="1" thickBot="1">
      <c r="B14" s="497"/>
      <c r="C14" s="482"/>
      <c r="D14" s="473"/>
      <c r="E14" s="32" t="s">
        <v>343</v>
      </c>
      <c r="F14" s="489" t="s">
        <v>346</v>
      </c>
      <c r="G14" s="490"/>
      <c r="H14" s="130">
        <v>4</v>
      </c>
      <c r="I14" s="131" t="s">
        <v>345</v>
      </c>
      <c r="J14" s="132">
        <v>3</v>
      </c>
      <c r="K14" s="465"/>
      <c r="L14" s="467"/>
      <c r="M14" s="468"/>
      <c r="N14" s="469"/>
      <c r="O14" s="472"/>
      <c r="P14" s="467"/>
      <c r="Q14" s="468">
        <v>3</v>
      </c>
      <c r="R14" s="469"/>
      <c r="S14" s="472"/>
      <c r="T14" s="467"/>
      <c r="U14" s="468"/>
      <c r="V14" s="466"/>
      <c r="W14" s="31">
        <f t="shared" si="0"/>
        <v>3</v>
      </c>
      <c r="X14" s="324"/>
      <c r="Y14" s="456"/>
      <c r="AA14" s="114" t="s">
        <v>509</v>
      </c>
      <c r="AB14" s="491" t="s">
        <v>515</v>
      </c>
      <c r="AC14" s="491"/>
      <c r="AD14" s="492"/>
    </row>
    <row r="15" spans="2:30" ht="18" customHeight="1" thickBot="1">
      <c r="B15" s="497"/>
      <c r="C15" s="482"/>
      <c r="D15" s="470" t="s">
        <v>6</v>
      </c>
      <c r="E15" s="25" t="s">
        <v>12</v>
      </c>
      <c r="F15" s="477" t="s">
        <v>224</v>
      </c>
      <c r="G15" s="478"/>
      <c r="H15" s="133">
        <v>4</v>
      </c>
      <c r="I15" s="134" t="s">
        <v>342</v>
      </c>
      <c r="J15" s="135">
        <v>3</v>
      </c>
      <c r="K15" s="459">
        <v>3</v>
      </c>
      <c r="L15" s="461"/>
      <c r="M15" s="462"/>
      <c r="N15" s="463"/>
      <c r="O15" s="464"/>
      <c r="P15" s="461"/>
      <c r="Q15" s="462"/>
      <c r="R15" s="463"/>
      <c r="S15" s="464"/>
      <c r="T15" s="461"/>
      <c r="U15" s="462"/>
      <c r="V15" s="460"/>
      <c r="W15" s="29">
        <f t="shared" si="0"/>
        <v>3</v>
      </c>
      <c r="X15" s="322">
        <f t="shared" ref="X15" si="2">SUM(W15:W17)</f>
        <v>11</v>
      </c>
      <c r="Y15" s="456"/>
    </row>
    <row r="16" spans="2:30" ht="18" customHeight="1" thickBot="1">
      <c r="B16" s="497"/>
      <c r="C16" s="482"/>
      <c r="D16" s="471"/>
      <c r="E16" s="30" t="s">
        <v>12</v>
      </c>
      <c r="F16" s="493" t="s">
        <v>230</v>
      </c>
      <c r="G16" s="494"/>
      <c r="H16" s="127">
        <v>4</v>
      </c>
      <c r="I16" s="128" t="s">
        <v>342</v>
      </c>
      <c r="J16" s="129">
        <v>4</v>
      </c>
      <c r="K16" s="434"/>
      <c r="L16" s="427"/>
      <c r="M16" s="419">
        <v>4</v>
      </c>
      <c r="N16" s="428"/>
      <c r="O16" s="426"/>
      <c r="P16" s="427"/>
      <c r="Q16" s="419"/>
      <c r="R16" s="428"/>
      <c r="S16" s="426"/>
      <c r="T16" s="427"/>
      <c r="U16" s="419"/>
      <c r="V16" s="420"/>
      <c r="W16" s="31">
        <f t="shared" si="0"/>
        <v>4</v>
      </c>
      <c r="X16" s="324"/>
      <c r="Y16" s="456"/>
    </row>
    <row r="17" spans="2:29" ht="18" customHeight="1" thickBot="1">
      <c r="B17" s="497"/>
      <c r="C17" s="482"/>
      <c r="D17" s="473"/>
      <c r="E17" s="34" t="s">
        <v>343</v>
      </c>
      <c r="F17" s="489" t="s">
        <v>347</v>
      </c>
      <c r="G17" s="490"/>
      <c r="H17" s="130">
        <v>4</v>
      </c>
      <c r="I17" s="131" t="s">
        <v>345</v>
      </c>
      <c r="J17" s="132">
        <v>4</v>
      </c>
      <c r="K17" s="465"/>
      <c r="L17" s="467"/>
      <c r="M17" s="468"/>
      <c r="N17" s="469"/>
      <c r="O17" s="472"/>
      <c r="P17" s="467"/>
      <c r="Q17" s="468">
        <v>4</v>
      </c>
      <c r="R17" s="469"/>
      <c r="S17" s="472"/>
      <c r="T17" s="467"/>
      <c r="U17" s="468"/>
      <c r="V17" s="466"/>
      <c r="W17" s="31">
        <f t="shared" si="0"/>
        <v>4</v>
      </c>
      <c r="X17" s="324"/>
      <c r="Y17" s="456"/>
    </row>
    <row r="18" spans="2:29" ht="18" customHeight="1" thickBot="1">
      <c r="B18" s="497"/>
      <c r="C18" s="482"/>
      <c r="D18" s="470" t="s">
        <v>348</v>
      </c>
      <c r="E18" s="25" t="s">
        <v>12</v>
      </c>
      <c r="F18" s="477" t="s">
        <v>238</v>
      </c>
      <c r="G18" s="478"/>
      <c r="H18" s="133">
        <v>3</v>
      </c>
      <c r="I18" s="136" t="s">
        <v>349</v>
      </c>
      <c r="J18" s="135">
        <v>3</v>
      </c>
      <c r="K18" s="483"/>
      <c r="L18" s="484"/>
      <c r="M18" s="485"/>
      <c r="N18" s="486"/>
      <c r="O18" s="487">
        <v>3</v>
      </c>
      <c r="P18" s="484"/>
      <c r="Q18" s="485"/>
      <c r="R18" s="486"/>
      <c r="S18" s="487"/>
      <c r="T18" s="484"/>
      <c r="U18" s="485"/>
      <c r="V18" s="488"/>
      <c r="W18" s="29">
        <f t="shared" si="0"/>
        <v>3</v>
      </c>
      <c r="X18" s="322">
        <f>SUM(W18:W19)</f>
        <v>6</v>
      </c>
      <c r="Y18" s="456">
        <v>6</v>
      </c>
    </row>
    <row r="19" spans="2:29" ht="18" customHeight="1" thickBot="1">
      <c r="B19" s="497"/>
      <c r="C19" s="482"/>
      <c r="D19" s="471"/>
      <c r="E19" s="35" t="s">
        <v>12</v>
      </c>
      <c r="F19" s="479" t="s">
        <v>239</v>
      </c>
      <c r="G19" s="480"/>
      <c r="H19" s="137">
        <v>3</v>
      </c>
      <c r="I19" s="138" t="s">
        <v>349</v>
      </c>
      <c r="J19" s="139">
        <v>3</v>
      </c>
      <c r="K19" s="465"/>
      <c r="L19" s="467"/>
      <c r="M19" s="468"/>
      <c r="N19" s="469"/>
      <c r="O19" s="472"/>
      <c r="P19" s="467"/>
      <c r="Q19" s="468">
        <v>3</v>
      </c>
      <c r="R19" s="469"/>
      <c r="S19" s="472"/>
      <c r="T19" s="467"/>
      <c r="U19" s="468"/>
      <c r="V19" s="466"/>
      <c r="W19" s="36">
        <f t="shared" si="0"/>
        <v>3</v>
      </c>
      <c r="X19" s="323"/>
      <c r="Y19" s="456"/>
      <c r="AA19" s="332"/>
      <c r="AB19" s="332"/>
      <c r="AC19" s="118"/>
    </row>
    <row r="20" spans="2:29" ht="18" customHeight="1" thickBot="1">
      <c r="B20" s="497"/>
      <c r="C20" s="482"/>
      <c r="D20" s="471"/>
      <c r="E20" s="25" t="s">
        <v>12</v>
      </c>
      <c r="F20" s="477" t="s">
        <v>241</v>
      </c>
      <c r="G20" s="478"/>
      <c r="H20" s="133">
        <v>4</v>
      </c>
      <c r="I20" s="136" t="s">
        <v>342</v>
      </c>
      <c r="J20" s="135">
        <v>3</v>
      </c>
      <c r="K20" s="459">
        <v>3</v>
      </c>
      <c r="L20" s="461"/>
      <c r="M20" s="462"/>
      <c r="N20" s="463"/>
      <c r="O20" s="464"/>
      <c r="P20" s="461"/>
      <c r="Q20" s="462"/>
      <c r="R20" s="463"/>
      <c r="S20" s="464"/>
      <c r="T20" s="461"/>
      <c r="U20" s="462"/>
      <c r="V20" s="460"/>
      <c r="W20" s="29">
        <f t="shared" si="0"/>
        <v>3</v>
      </c>
      <c r="X20" s="322">
        <f>SUM(W20:W21)</f>
        <v>6</v>
      </c>
      <c r="Y20" s="456">
        <v>12</v>
      </c>
    </row>
    <row r="21" spans="2:29" ht="18" customHeight="1" thickBot="1">
      <c r="B21" s="497"/>
      <c r="C21" s="482"/>
      <c r="D21" s="473"/>
      <c r="E21" s="34" t="s">
        <v>12</v>
      </c>
      <c r="F21" s="489" t="s">
        <v>242</v>
      </c>
      <c r="G21" s="490"/>
      <c r="H21" s="130">
        <v>4</v>
      </c>
      <c r="I21" s="131" t="s">
        <v>342</v>
      </c>
      <c r="J21" s="132">
        <v>3</v>
      </c>
      <c r="K21" s="465"/>
      <c r="L21" s="467"/>
      <c r="M21" s="468">
        <v>3</v>
      </c>
      <c r="N21" s="469"/>
      <c r="O21" s="472"/>
      <c r="P21" s="467"/>
      <c r="Q21" s="468"/>
      <c r="R21" s="469"/>
      <c r="S21" s="472"/>
      <c r="T21" s="467"/>
      <c r="U21" s="468"/>
      <c r="V21" s="466"/>
      <c r="W21" s="36">
        <f t="shared" si="0"/>
        <v>3</v>
      </c>
      <c r="X21" s="323"/>
      <c r="Y21" s="456"/>
    </row>
    <row r="22" spans="2:29" ht="18" customHeight="1" thickBot="1">
      <c r="B22" s="497"/>
      <c r="C22" s="482"/>
      <c r="D22" s="470" t="s">
        <v>26</v>
      </c>
      <c r="E22" s="25" t="s">
        <v>12</v>
      </c>
      <c r="F22" s="459" t="s">
        <v>259</v>
      </c>
      <c r="G22" s="460"/>
      <c r="H22" s="133">
        <v>4</v>
      </c>
      <c r="I22" s="136" t="s">
        <v>342</v>
      </c>
      <c r="J22" s="135">
        <v>3</v>
      </c>
      <c r="K22" s="459">
        <v>3</v>
      </c>
      <c r="L22" s="461"/>
      <c r="M22" s="462"/>
      <c r="N22" s="463"/>
      <c r="O22" s="464"/>
      <c r="P22" s="461"/>
      <c r="Q22" s="462"/>
      <c r="R22" s="463"/>
      <c r="S22" s="464"/>
      <c r="T22" s="461"/>
      <c r="U22" s="462"/>
      <c r="V22" s="460"/>
      <c r="W22" s="29">
        <f t="shared" si="0"/>
        <v>3</v>
      </c>
      <c r="X22" s="481">
        <f>SUM(W22:W23)</f>
        <v>6</v>
      </c>
      <c r="Y22" s="456"/>
    </row>
    <row r="23" spans="2:29" ht="18" customHeight="1" thickBot="1">
      <c r="B23" s="497"/>
      <c r="C23" s="482"/>
      <c r="D23" s="471"/>
      <c r="E23" s="30" t="s">
        <v>12</v>
      </c>
      <c r="F23" s="434" t="s">
        <v>260</v>
      </c>
      <c r="G23" s="420"/>
      <c r="H23" s="127">
        <v>4</v>
      </c>
      <c r="I23" s="128" t="s">
        <v>342</v>
      </c>
      <c r="J23" s="129">
        <v>3</v>
      </c>
      <c r="K23" s="434"/>
      <c r="L23" s="427"/>
      <c r="M23" s="419">
        <v>3</v>
      </c>
      <c r="N23" s="428"/>
      <c r="O23" s="426"/>
      <c r="P23" s="427"/>
      <c r="Q23" s="419"/>
      <c r="R23" s="428"/>
      <c r="S23" s="426"/>
      <c r="T23" s="427"/>
      <c r="U23" s="419"/>
      <c r="V23" s="420"/>
      <c r="W23" s="31">
        <f t="shared" si="0"/>
        <v>3</v>
      </c>
      <c r="X23" s="482"/>
      <c r="Y23" s="456"/>
    </row>
    <row r="24" spans="2:29" ht="18" customHeight="1" thickBot="1">
      <c r="B24" s="497"/>
      <c r="C24" s="482"/>
      <c r="D24" s="470" t="s">
        <v>8</v>
      </c>
      <c r="E24" s="25" t="s">
        <v>350</v>
      </c>
      <c r="F24" s="459" t="s">
        <v>351</v>
      </c>
      <c r="G24" s="460"/>
      <c r="H24" s="133">
        <v>3</v>
      </c>
      <c r="I24" s="136" t="s">
        <v>352</v>
      </c>
      <c r="J24" s="135">
        <f t="shared" ref="J24:J25" si="3">SUM(K24:V24)</f>
        <v>2</v>
      </c>
      <c r="K24" s="459">
        <v>2</v>
      </c>
      <c r="L24" s="461"/>
      <c r="M24" s="462"/>
      <c r="N24" s="463"/>
      <c r="O24" s="464"/>
      <c r="P24" s="461"/>
      <c r="Q24" s="462"/>
      <c r="R24" s="463"/>
      <c r="S24" s="464"/>
      <c r="T24" s="461"/>
      <c r="U24" s="462"/>
      <c r="V24" s="460"/>
      <c r="W24" s="29">
        <f>SUM(K24:V24)</f>
        <v>2</v>
      </c>
      <c r="X24" s="474">
        <f>SUM(W24:W27)</f>
        <v>8</v>
      </c>
      <c r="Y24" s="456">
        <v>8</v>
      </c>
    </row>
    <row r="25" spans="2:29" ht="18" customHeight="1" thickBot="1">
      <c r="B25" s="497"/>
      <c r="C25" s="482"/>
      <c r="D25" s="471"/>
      <c r="E25" s="30" t="s">
        <v>350</v>
      </c>
      <c r="F25" s="434" t="s">
        <v>353</v>
      </c>
      <c r="G25" s="420"/>
      <c r="H25" s="127">
        <v>3</v>
      </c>
      <c r="I25" s="128" t="s">
        <v>352</v>
      </c>
      <c r="J25" s="129">
        <f t="shared" si="3"/>
        <v>2</v>
      </c>
      <c r="K25" s="434"/>
      <c r="L25" s="427"/>
      <c r="M25" s="419">
        <v>2</v>
      </c>
      <c r="N25" s="428"/>
      <c r="O25" s="426"/>
      <c r="P25" s="427"/>
      <c r="Q25" s="419"/>
      <c r="R25" s="428"/>
      <c r="S25" s="426"/>
      <c r="T25" s="427"/>
      <c r="U25" s="419"/>
      <c r="V25" s="420"/>
      <c r="W25" s="31">
        <f t="shared" ref="W25:W27" si="4">SUM(K25:V25)</f>
        <v>2</v>
      </c>
      <c r="X25" s="475"/>
      <c r="Y25" s="456"/>
    </row>
    <row r="26" spans="2:29" ht="18" customHeight="1" thickBot="1">
      <c r="B26" s="497"/>
      <c r="C26" s="482"/>
      <c r="D26" s="471"/>
      <c r="E26" s="30" t="s">
        <v>343</v>
      </c>
      <c r="F26" s="434" t="s">
        <v>525</v>
      </c>
      <c r="G26" s="420"/>
      <c r="H26" s="127">
        <v>3</v>
      </c>
      <c r="I26" s="128" t="s">
        <v>352</v>
      </c>
      <c r="J26" s="129">
        <v>2</v>
      </c>
      <c r="K26" s="434"/>
      <c r="L26" s="427"/>
      <c r="M26" s="419"/>
      <c r="N26" s="428"/>
      <c r="O26" s="426">
        <v>2</v>
      </c>
      <c r="P26" s="427"/>
      <c r="Q26" s="419"/>
      <c r="R26" s="428"/>
      <c r="S26" s="426"/>
      <c r="T26" s="427"/>
      <c r="U26" s="419"/>
      <c r="V26" s="420"/>
      <c r="W26" s="31">
        <f t="shared" si="4"/>
        <v>2</v>
      </c>
      <c r="X26" s="475"/>
      <c r="Y26" s="456"/>
    </row>
    <row r="27" spans="2:29" ht="18" customHeight="1" thickBot="1">
      <c r="B27" s="497"/>
      <c r="C27" s="482"/>
      <c r="D27" s="473"/>
      <c r="E27" s="34" t="s">
        <v>343</v>
      </c>
      <c r="F27" s="465" t="s">
        <v>372</v>
      </c>
      <c r="G27" s="466"/>
      <c r="H27" s="130">
        <v>2</v>
      </c>
      <c r="I27" s="131" t="s">
        <v>354</v>
      </c>
      <c r="J27" s="132">
        <v>2</v>
      </c>
      <c r="K27" s="465"/>
      <c r="L27" s="467"/>
      <c r="M27" s="468"/>
      <c r="N27" s="469"/>
      <c r="O27" s="472"/>
      <c r="P27" s="467"/>
      <c r="Q27" s="468">
        <v>2</v>
      </c>
      <c r="R27" s="469"/>
      <c r="S27" s="472"/>
      <c r="T27" s="467"/>
      <c r="U27" s="468"/>
      <c r="V27" s="466"/>
      <c r="W27" s="36">
        <f t="shared" si="4"/>
        <v>2</v>
      </c>
      <c r="X27" s="476"/>
      <c r="Y27" s="456"/>
    </row>
    <row r="28" spans="2:29" ht="18" customHeight="1" thickBot="1">
      <c r="B28" s="497"/>
      <c r="C28" s="482"/>
      <c r="D28" s="470" t="s">
        <v>28</v>
      </c>
      <c r="E28" s="25" t="s">
        <v>350</v>
      </c>
      <c r="F28" s="459" t="s">
        <v>9</v>
      </c>
      <c r="G28" s="460"/>
      <c r="H28" s="133">
        <v>3</v>
      </c>
      <c r="I28" s="140" t="s">
        <v>352</v>
      </c>
      <c r="J28" s="135">
        <v>3</v>
      </c>
      <c r="K28" s="459">
        <v>3</v>
      </c>
      <c r="L28" s="461"/>
      <c r="M28" s="462"/>
      <c r="N28" s="463"/>
      <c r="O28" s="464"/>
      <c r="P28" s="461"/>
      <c r="Q28" s="462"/>
      <c r="R28" s="463"/>
      <c r="S28" s="464"/>
      <c r="T28" s="461"/>
      <c r="U28" s="462"/>
      <c r="V28" s="460"/>
      <c r="W28" s="301">
        <f>SUM(K28:V29)</f>
        <v>6</v>
      </c>
      <c r="X28" s="302"/>
      <c r="Y28" s="456">
        <v>6</v>
      </c>
    </row>
    <row r="29" spans="2:29" ht="18" customHeight="1" thickBot="1">
      <c r="B29" s="497"/>
      <c r="C29" s="482"/>
      <c r="D29" s="471"/>
      <c r="E29" s="32" t="s">
        <v>343</v>
      </c>
      <c r="F29" s="434" t="s">
        <v>286</v>
      </c>
      <c r="G29" s="420"/>
      <c r="H29" s="127">
        <v>3</v>
      </c>
      <c r="I29" s="128" t="s">
        <v>352</v>
      </c>
      <c r="J29" s="129">
        <v>3</v>
      </c>
      <c r="K29" s="434"/>
      <c r="L29" s="427"/>
      <c r="M29" s="419">
        <v>3</v>
      </c>
      <c r="N29" s="428"/>
      <c r="O29" s="426"/>
      <c r="P29" s="427"/>
      <c r="Q29" s="419"/>
      <c r="R29" s="428"/>
      <c r="S29" s="426"/>
      <c r="T29" s="427"/>
      <c r="U29" s="419"/>
      <c r="V29" s="420"/>
      <c r="W29" s="305"/>
      <c r="X29" s="306"/>
      <c r="Y29" s="456"/>
    </row>
    <row r="30" spans="2:29" ht="18" customHeight="1" thickBot="1">
      <c r="B30" s="497"/>
      <c r="C30" s="482"/>
      <c r="D30" s="457" t="s">
        <v>355</v>
      </c>
      <c r="E30" s="25" t="s">
        <v>343</v>
      </c>
      <c r="F30" s="459" t="s">
        <v>51</v>
      </c>
      <c r="G30" s="460"/>
      <c r="H30" s="133">
        <v>3</v>
      </c>
      <c r="I30" s="136" t="s">
        <v>352</v>
      </c>
      <c r="J30" s="135">
        <v>2</v>
      </c>
      <c r="K30" s="459"/>
      <c r="L30" s="461"/>
      <c r="M30" s="462"/>
      <c r="N30" s="463"/>
      <c r="O30" s="464">
        <v>2</v>
      </c>
      <c r="P30" s="461"/>
      <c r="Q30" s="462"/>
      <c r="R30" s="463"/>
      <c r="S30" s="464"/>
      <c r="T30" s="461"/>
      <c r="U30" s="462"/>
      <c r="V30" s="460"/>
      <c r="W30" s="301">
        <f>SUM(K30:V32)</f>
        <v>9</v>
      </c>
      <c r="X30" s="302"/>
      <c r="Y30" s="456">
        <v>8</v>
      </c>
    </row>
    <row r="31" spans="2:29" ht="18" customHeight="1" thickBot="1">
      <c r="B31" s="497"/>
      <c r="C31" s="482"/>
      <c r="D31" s="458"/>
      <c r="E31" s="32" t="s">
        <v>350</v>
      </c>
      <c r="F31" s="434" t="s">
        <v>526</v>
      </c>
      <c r="G31" s="420"/>
      <c r="H31" s="127">
        <v>3</v>
      </c>
      <c r="I31" s="128" t="s">
        <v>352</v>
      </c>
      <c r="J31" s="129">
        <v>4</v>
      </c>
      <c r="K31" s="434"/>
      <c r="L31" s="427"/>
      <c r="M31" s="419">
        <v>4</v>
      </c>
      <c r="N31" s="428"/>
      <c r="O31" s="426"/>
      <c r="P31" s="427"/>
      <c r="Q31" s="419"/>
      <c r="R31" s="428"/>
      <c r="S31" s="426"/>
      <c r="T31" s="427"/>
      <c r="U31" s="419"/>
      <c r="V31" s="420"/>
      <c r="W31" s="305"/>
      <c r="X31" s="306"/>
      <c r="Y31" s="456"/>
    </row>
    <row r="32" spans="2:29" ht="18" customHeight="1" thickBot="1">
      <c r="B32" s="498"/>
      <c r="C32" s="499"/>
      <c r="D32" s="458"/>
      <c r="E32" s="32" t="s">
        <v>350</v>
      </c>
      <c r="F32" s="465" t="s">
        <v>358</v>
      </c>
      <c r="G32" s="466"/>
      <c r="H32" s="130">
        <v>3</v>
      </c>
      <c r="I32" s="131" t="s">
        <v>352</v>
      </c>
      <c r="J32" s="132">
        <v>3</v>
      </c>
      <c r="K32" s="465"/>
      <c r="L32" s="467"/>
      <c r="M32" s="468"/>
      <c r="N32" s="469"/>
      <c r="O32" s="426">
        <v>3</v>
      </c>
      <c r="P32" s="427"/>
      <c r="Q32" s="419"/>
      <c r="R32" s="428"/>
      <c r="S32" s="426"/>
      <c r="T32" s="427"/>
      <c r="U32" s="419"/>
      <c r="V32" s="420"/>
      <c r="W32" s="305"/>
      <c r="X32" s="306"/>
      <c r="Y32" s="456"/>
    </row>
    <row r="33" spans="2:29" ht="18" customHeight="1" thickBot="1">
      <c r="B33" s="327" t="s">
        <v>365</v>
      </c>
      <c r="C33" s="329"/>
      <c r="D33" s="329"/>
      <c r="E33" s="329"/>
      <c r="F33" s="329"/>
      <c r="G33" s="328"/>
      <c r="H33" s="117">
        <f>SUM(H9:H32)</f>
        <v>84</v>
      </c>
      <c r="I33" s="14"/>
      <c r="J33" s="116">
        <f>SUM(J9:J32)</f>
        <v>74</v>
      </c>
      <c r="K33" s="452">
        <f>SUM(K9:L32)</f>
        <v>21</v>
      </c>
      <c r="L33" s="437"/>
      <c r="M33" s="437">
        <f>SUM(M9:N32)</f>
        <v>27</v>
      </c>
      <c r="N33" s="338"/>
      <c r="O33" s="453">
        <f>SUM(O9:P32)</f>
        <v>14</v>
      </c>
      <c r="P33" s="437"/>
      <c r="Q33" s="437">
        <f>SUM(Q9:R32)</f>
        <v>12</v>
      </c>
      <c r="R33" s="454"/>
      <c r="S33" s="337">
        <f>SUM(S9:T32)</f>
        <v>0</v>
      </c>
      <c r="T33" s="437"/>
      <c r="U33" s="437">
        <f>SUM(U9:V32)</f>
        <v>0</v>
      </c>
      <c r="V33" s="438"/>
      <c r="W33" s="327">
        <f>SUM(K33:V33)</f>
        <v>74</v>
      </c>
      <c r="X33" s="337"/>
      <c r="Y33" s="116">
        <f>SUM(Y9:Y32)</f>
        <v>64</v>
      </c>
      <c r="AA33" s="325" t="b">
        <f>W33&gt;=Y33</f>
        <v>1</v>
      </c>
      <c r="AB33" s="326"/>
    </row>
    <row r="34" spans="2:29" ht="18" customHeight="1" thickBot="1">
      <c r="B34" s="439" t="s">
        <v>356</v>
      </c>
      <c r="C34" s="440"/>
      <c r="D34" s="443" t="s">
        <v>357</v>
      </c>
      <c r="E34" s="444"/>
      <c r="F34" s="445" t="s">
        <v>527</v>
      </c>
      <c r="G34" s="446"/>
      <c r="H34" s="141"/>
      <c r="I34" s="142"/>
      <c r="J34" s="143">
        <v>2</v>
      </c>
      <c r="K34" s="447"/>
      <c r="L34" s="448"/>
      <c r="M34" s="449"/>
      <c r="N34" s="450"/>
      <c r="O34" s="451"/>
      <c r="P34" s="448"/>
      <c r="Q34" s="449"/>
      <c r="R34" s="450"/>
      <c r="S34" s="451">
        <v>2</v>
      </c>
      <c r="T34" s="448"/>
      <c r="U34" s="449"/>
      <c r="V34" s="455"/>
      <c r="W34" s="307">
        <f>SUM(K34:V34)</f>
        <v>2</v>
      </c>
      <c r="X34" s="308"/>
      <c r="Y34" s="352">
        <v>80</v>
      </c>
    </row>
    <row r="35" spans="2:29" ht="18" customHeight="1">
      <c r="B35" s="441"/>
      <c r="C35" s="442"/>
      <c r="D35" s="37" t="s">
        <v>68</v>
      </c>
      <c r="E35" s="38" t="s">
        <v>359</v>
      </c>
      <c r="F35" s="435" t="s">
        <v>528</v>
      </c>
      <c r="G35" s="436"/>
      <c r="H35" s="144"/>
      <c r="I35" s="145"/>
      <c r="J35" s="146">
        <v>6</v>
      </c>
      <c r="K35" s="434">
        <v>6</v>
      </c>
      <c r="L35" s="427"/>
      <c r="M35" s="419"/>
      <c r="N35" s="425"/>
      <c r="O35" s="426"/>
      <c r="P35" s="427"/>
      <c r="Q35" s="419"/>
      <c r="R35" s="428"/>
      <c r="S35" s="425"/>
      <c r="T35" s="427"/>
      <c r="U35" s="419"/>
      <c r="V35" s="420"/>
      <c r="W35" s="421">
        <f t="shared" ref="W35:W41" si="5">SUM(K35:V35)</f>
        <v>6</v>
      </c>
      <c r="X35" s="422"/>
      <c r="Y35" s="353"/>
    </row>
    <row r="36" spans="2:29" ht="18" customHeight="1">
      <c r="B36" s="441"/>
      <c r="C36" s="442"/>
      <c r="D36" s="37" t="s">
        <v>68</v>
      </c>
      <c r="E36" s="38" t="s">
        <v>359</v>
      </c>
      <c r="F36" s="435" t="s">
        <v>529</v>
      </c>
      <c r="G36" s="436"/>
      <c r="H36" s="144"/>
      <c r="I36" s="145"/>
      <c r="J36" s="146">
        <v>3</v>
      </c>
      <c r="K36" s="434">
        <v>3</v>
      </c>
      <c r="L36" s="427"/>
      <c r="M36" s="419"/>
      <c r="N36" s="428"/>
      <c r="O36" s="426"/>
      <c r="P36" s="427"/>
      <c r="Q36" s="419"/>
      <c r="R36" s="428"/>
      <c r="S36" s="426"/>
      <c r="T36" s="427"/>
      <c r="U36" s="419"/>
      <c r="V36" s="420"/>
      <c r="W36" s="421">
        <f t="shared" si="5"/>
        <v>3</v>
      </c>
      <c r="X36" s="422"/>
      <c r="Y36" s="353"/>
    </row>
    <row r="37" spans="2:29" ht="18" customHeight="1">
      <c r="B37" s="441"/>
      <c r="C37" s="442"/>
      <c r="D37" s="37" t="s">
        <v>68</v>
      </c>
      <c r="E37" s="38" t="s">
        <v>359</v>
      </c>
      <c r="F37" s="435" t="s">
        <v>530</v>
      </c>
      <c r="G37" s="436"/>
      <c r="H37" s="144"/>
      <c r="I37" s="145"/>
      <c r="J37" s="146">
        <v>3</v>
      </c>
      <c r="K37" s="434"/>
      <c r="L37" s="427"/>
      <c r="M37" s="419">
        <v>3</v>
      </c>
      <c r="N37" s="428"/>
      <c r="O37" s="426"/>
      <c r="P37" s="427"/>
      <c r="Q37" s="419"/>
      <c r="R37" s="428"/>
      <c r="S37" s="426"/>
      <c r="T37" s="427"/>
      <c r="U37" s="419"/>
      <c r="V37" s="420"/>
      <c r="W37" s="421">
        <f t="shared" si="5"/>
        <v>3</v>
      </c>
      <c r="X37" s="422"/>
      <c r="Y37" s="353"/>
    </row>
    <row r="38" spans="2:29" ht="18" customHeight="1">
      <c r="B38" s="441"/>
      <c r="C38" s="442"/>
      <c r="D38" s="37" t="s">
        <v>68</v>
      </c>
      <c r="E38" s="38" t="s">
        <v>360</v>
      </c>
      <c r="F38" s="432" t="s">
        <v>531</v>
      </c>
      <c r="G38" s="433"/>
      <c r="H38" s="144"/>
      <c r="I38" s="145"/>
      <c r="J38" s="146">
        <v>34</v>
      </c>
      <c r="K38" s="434"/>
      <c r="L38" s="427"/>
      <c r="M38" s="419"/>
      <c r="N38" s="428"/>
      <c r="O38" s="426">
        <v>16</v>
      </c>
      <c r="P38" s="427"/>
      <c r="Q38" s="419">
        <v>18</v>
      </c>
      <c r="R38" s="428"/>
      <c r="S38" s="426"/>
      <c r="T38" s="427"/>
      <c r="U38" s="419"/>
      <c r="V38" s="420"/>
      <c r="W38" s="421">
        <f t="shared" si="5"/>
        <v>34</v>
      </c>
      <c r="X38" s="422"/>
      <c r="Y38" s="353"/>
    </row>
    <row r="39" spans="2:29" ht="18" customHeight="1">
      <c r="B39" s="441"/>
      <c r="C39" s="442"/>
      <c r="D39" s="37" t="s">
        <v>156</v>
      </c>
      <c r="E39" s="38" t="s">
        <v>360</v>
      </c>
      <c r="F39" s="432" t="s">
        <v>532</v>
      </c>
      <c r="G39" s="433"/>
      <c r="H39" s="144"/>
      <c r="I39" s="145"/>
      <c r="J39" s="146">
        <v>8</v>
      </c>
      <c r="K39" s="434"/>
      <c r="L39" s="427"/>
      <c r="M39" s="419"/>
      <c r="N39" s="425"/>
      <c r="O39" s="426"/>
      <c r="P39" s="427"/>
      <c r="Q39" s="419"/>
      <c r="R39" s="428"/>
      <c r="S39" s="425">
        <v>4</v>
      </c>
      <c r="T39" s="427"/>
      <c r="U39" s="419">
        <v>4</v>
      </c>
      <c r="V39" s="420"/>
      <c r="W39" s="421">
        <f t="shared" si="5"/>
        <v>8</v>
      </c>
      <c r="X39" s="422"/>
      <c r="Y39" s="353"/>
    </row>
    <row r="40" spans="2:29" ht="18" customHeight="1">
      <c r="B40" s="441"/>
      <c r="C40" s="442"/>
      <c r="D40" s="37" t="s">
        <v>68</v>
      </c>
      <c r="E40" s="38" t="s">
        <v>360</v>
      </c>
      <c r="F40" s="432" t="s">
        <v>533</v>
      </c>
      <c r="G40" s="433"/>
      <c r="H40" s="144"/>
      <c r="I40" s="147"/>
      <c r="J40" s="129">
        <v>16</v>
      </c>
      <c r="K40" s="434"/>
      <c r="L40" s="427"/>
      <c r="M40" s="419"/>
      <c r="N40" s="425"/>
      <c r="O40" s="426"/>
      <c r="P40" s="427"/>
      <c r="Q40" s="419"/>
      <c r="R40" s="428"/>
      <c r="S40" s="425">
        <v>8</v>
      </c>
      <c r="T40" s="427"/>
      <c r="U40" s="419">
        <v>8</v>
      </c>
      <c r="V40" s="420"/>
      <c r="W40" s="421">
        <f t="shared" si="5"/>
        <v>16</v>
      </c>
      <c r="X40" s="422"/>
      <c r="Y40" s="353"/>
    </row>
    <row r="41" spans="2:29" ht="18" customHeight="1" thickBot="1">
      <c r="B41" s="441"/>
      <c r="C41" s="442"/>
      <c r="D41" s="39" t="s">
        <v>68</v>
      </c>
      <c r="E41" s="38" t="s">
        <v>360</v>
      </c>
      <c r="F41" s="423" t="s">
        <v>534</v>
      </c>
      <c r="G41" s="424"/>
      <c r="H41" s="127"/>
      <c r="I41" s="147"/>
      <c r="J41" s="129">
        <v>10</v>
      </c>
      <c r="K41" s="419"/>
      <c r="L41" s="425"/>
      <c r="M41" s="419"/>
      <c r="N41" s="425"/>
      <c r="O41" s="426"/>
      <c r="P41" s="427"/>
      <c r="Q41" s="419"/>
      <c r="R41" s="428"/>
      <c r="S41" s="425">
        <v>4</v>
      </c>
      <c r="T41" s="427"/>
      <c r="U41" s="419">
        <v>6</v>
      </c>
      <c r="V41" s="420"/>
      <c r="W41" s="421">
        <f t="shared" si="5"/>
        <v>10</v>
      </c>
      <c r="X41" s="422"/>
      <c r="Y41" s="353"/>
    </row>
    <row r="42" spans="2:29" ht="18" customHeight="1">
      <c r="B42" s="398" t="s">
        <v>154</v>
      </c>
      <c r="C42" s="401" t="s">
        <v>361</v>
      </c>
      <c r="D42" s="40" t="s">
        <v>68</v>
      </c>
      <c r="E42" s="41" t="s">
        <v>360</v>
      </c>
      <c r="F42" s="429" t="s">
        <v>545</v>
      </c>
      <c r="G42" s="430"/>
      <c r="H42" s="26"/>
      <c r="I42" s="149"/>
      <c r="J42" s="322">
        <v>20</v>
      </c>
      <c r="K42" s="431"/>
      <c r="L42" s="310"/>
      <c r="M42" s="310"/>
      <c r="N42" s="310"/>
      <c r="O42" s="310"/>
      <c r="P42" s="310"/>
      <c r="Q42" s="310"/>
      <c r="R42" s="310"/>
      <c r="S42" s="310">
        <v>5</v>
      </c>
      <c r="T42" s="310"/>
      <c r="U42" s="310">
        <v>5</v>
      </c>
      <c r="V42" s="311"/>
      <c r="W42" s="301">
        <f>SUM(O42:V43)</f>
        <v>20</v>
      </c>
      <c r="X42" s="302"/>
      <c r="Y42" s="353"/>
    </row>
    <row r="43" spans="2:29" ht="18" customHeight="1" thickBot="1">
      <c r="B43" s="399"/>
      <c r="C43" s="402"/>
      <c r="D43" s="43" t="s">
        <v>566</v>
      </c>
      <c r="E43" s="148" t="s">
        <v>548</v>
      </c>
      <c r="F43" s="406" t="s">
        <v>546</v>
      </c>
      <c r="G43" s="407"/>
      <c r="H43" s="33"/>
      <c r="I43" s="150"/>
      <c r="J43" s="323"/>
      <c r="K43" s="410"/>
      <c r="L43" s="312"/>
      <c r="M43" s="312"/>
      <c r="N43" s="312"/>
      <c r="O43" s="312"/>
      <c r="P43" s="312"/>
      <c r="Q43" s="312"/>
      <c r="R43" s="312"/>
      <c r="S43" s="312">
        <v>5</v>
      </c>
      <c r="T43" s="312"/>
      <c r="U43" s="312">
        <v>5</v>
      </c>
      <c r="V43" s="313"/>
      <c r="W43" s="303"/>
      <c r="X43" s="304"/>
      <c r="Y43" s="353"/>
    </row>
    <row r="44" spans="2:29" ht="18" customHeight="1">
      <c r="B44" s="399"/>
      <c r="C44" s="403" t="s">
        <v>362</v>
      </c>
      <c r="D44" s="404" t="s">
        <v>547</v>
      </c>
      <c r="E44" s="44" t="s">
        <v>548</v>
      </c>
      <c r="F44" s="408" t="s">
        <v>549</v>
      </c>
      <c r="G44" s="409"/>
      <c r="H44" s="154"/>
      <c r="I44" s="151"/>
      <c r="J44" s="324">
        <v>20</v>
      </c>
      <c r="K44" s="411"/>
      <c r="L44" s="309"/>
      <c r="M44" s="309"/>
      <c r="N44" s="309"/>
      <c r="O44" s="309"/>
      <c r="P44" s="309"/>
      <c r="Q44" s="309"/>
      <c r="R44" s="309"/>
      <c r="S44" s="309">
        <v>10</v>
      </c>
      <c r="T44" s="309"/>
      <c r="U44" s="309"/>
      <c r="V44" s="314"/>
      <c r="W44" s="305">
        <v>20</v>
      </c>
      <c r="X44" s="306"/>
      <c r="Y44" s="353"/>
    </row>
    <row r="45" spans="2:29" ht="18" customHeight="1" thickBot="1">
      <c r="B45" s="400"/>
      <c r="C45" s="402"/>
      <c r="D45" s="405"/>
      <c r="E45" s="38" t="s">
        <v>360</v>
      </c>
      <c r="F45" s="406" t="s">
        <v>686</v>
      </c>
      <c r="G45" s="407"/>
      <c r="H45" s="33"/>
      <c r="I45" s="150"/>
      <c r="J45" s="323"/>
      <c r="K45" s="410"/>
      <c r="L45" s="312"/>
      <c r="M45" s="312"/>
      <c r="N45" s="312"/>
      <c r="O45" s="312"/>
      <c r="P45" s="312"/>
      <c r="Q45" s="312"/>
      <c r="R45" s="312"/>
      <c r="S45" s="312"/>
      <c r="T45" s="312"/>
      <c r="U45" s="312">
        <v>10</v>
      </c>
      <c r="V45" s="313"/>
      <c r="W45" s="303"/>
      <c r="X45" s="304"/>
      <c r="Y45" s="353"/>
    </row>
    <row r="46" spans="2:29" ht="18" customHeight="1" thickBot="1">
      <c r="B46" s="398" t="s">
        <v>155</v>
      </c>
      <c r="C46" s="41" t="s">
        <v>537</v>
      </c>
      <c r="D46" s="40" t="s">
        <v>539</v>
      </c>
      <c r="E46" s="41" t="s">
        <v>360</v>
      </c>
      <c r="F46" s="412" t="s">
        <v>541</v>
      </c>
      <c r="G46" s="413"/>
      <c r="H46" s="26"/>
      <c r="I46" s="122"/>
      <c r="J46" s="28">
        <v>4</v>
      </c>
      <c r="K46" s="414"/>
      <c r="L46" s="321"/>
      <c r="M46" s="321"/>
      <c r="N46" s="321"/>
      <c r="O46" s="321"/>
      <c r="P46" s="321"/>
      <c r="Q46" s="321"/>
      <c r="R46" s="321"/>
      <c r="S46" s="318">
        <v>2</v>
      </c>
      <c r="T46" s="319"/>
      <c r="U46" s="318">
        <v>2</v>
      </c>
      <c r="V46" s="320"/>
      <c r="W46" s="307">
        <v>4</v>
      </c>
      <c r="X46" s="308"/>
      <c r="Y46" s="353"/>
    </row>
    <row r="47" spans="2:29" ht="18" customHeight="1" thickBot="1">
      <c r="B47" s="399"/>
      <c r="C47" s="41" t="s">
        <v>538</v>
      </c>
      <c r="D47" s="40" t="s">
        <v>71</v>
      </c>
      <c r="E47" s="45" t="s">
        <v>360</v>
      </c>
      <c r="F47" s="415" t="s">
        <v>535</v>
      </c>
      <c r="G47" s="416"/>
      <c r="H47" s="26"/>
      <c r="I47" s="122"/>
      <c r="J47" s="28">
        <v>4</v>
      </c>
      <c r="K47" s="414"/>
      <c r="L47" s="321"/>
      <c r="M47" s="321"/>
      <c r="N47" s="321"/>
      <c r="O47" s="321"/>
      <c r="P47" s="321"/>
      <c r="Q47" s="321"/>
      <c r="R47" s="321"/>
      <c r="S47" s="318">
        <v>2</v>
      </c>
      <c r="T47" s="319"/>
      <c r="U47" s="318">
        <v>2</v>
      </c>
      <c r="V47" s="320"/>
      <c r="W47" s="307">
        <v>4</v>
      </c>
      <c r="X47" s="308"/>
      <c r="Y47" s="353"/>
    </row>
    <row r="48" spans="2:29" ht="18" customHeight="1" thickBot="1">
      <c r="B48" s="399"/>
      <c r="C48" s="41" t="s">
        <v>542</v>
      </c>
      <c r="D48" s="152" t="s">
        <v>543</v>
      </c>
      <c r="E48" s="153" t="s">
        <v>359</v>
      </c>
      <c r="F48" s="417" t="s">
        <v>544</v>
      </c>
      <c r="G48" s="418"/>
      <c r="H48" s="26"/>
      <c r="I48" s="122"/>
      <c r="J48" s="28">
        <v>4</v>
      </c>
      <c r="K48" s="410"/>
      <c r="L48" s="312"/>
      <c r="M48" s="312"/>
      <c r="N48" s="312"/>
      <c r="O48" s="312"/>
      <c r="P48" s="312"/>
      <c r="Q48" s="312"/>
      <c r="R48" s="312"/>
      <c r="S48" s="315">
        <v>2</v>
      </c>
      <c r="T48" s="316"/>
      <c r="U48" s="315">
        <v>2</v>
      </c>
      <c r="V48" s="317"/>
      <c r="W48" s="305">
        <v>4</v>
      </c>
      <c r="X48" s="306"/>
      <c r="Y48" s="353"/>
      <c r="AC48" s="118"/>
    </row>
    <row r="49" spans="2:29" ht="18" customHeight="1">
      <c r="B49" s="389" t="s">
        <v>366</v>
      </c>
      <c r="C49" s="385"/>
      <c r="D49" s="385"/>
      <c r="E49" s="385"/>
      <c r="F49" s="385"/>
      <c r="G49" s="387"/>
      <c r="H49" s="392"/>
      <c r="I49" s="394">
        <f>SUM(I34:I41)</f>
        <v>0</v>
      </c>
      <c r="J49" s="396">
        <v>106</v>
      </c>
      <c r="K49" s="389">
        <f>SUM(K34:L48)</f>
        <v>9</v>
      </c>
      <c r="L49" s="378"/>
      <c r="M49" s="381">
        <f>SUM(M34:N46)</f>
        <v>3</v>
      </c>
      <c r="N49" s="385"/>
      <c r="O49" s="377">
        <f>SUM(O34:P46)</f>
        <v>16</v>
      </c>
      <c r="P49" s="378"/>
      <c r="Q49" s="381">
        <f>SUM(Q34:R46)</f>
        <v>18</v>
      </c>
      <c r="R49" s="382"/>
      <c r="S49" s="385">
        <v>30</v>
      </c>
      <c r="T49" s="378"/>
      <c r="U49" s="381">
        <v>30</v>
      </c>
      <c r="V49" s="387"/>
      <c r="W49" s="389">
        <f>SUM(K49:V50)</f>
        <v>106</v>
      </c>
      <c r="X49" s="387"/>
      <c r="Y49" s="352">
        <f>SUM(Y34:Y47)</f>
        <v>80</v>
      </c>
      <c r="AC49" s="118"/>
    </row>
    <row r="50" spans="2:29" ht="18" customHeight="1" thickBot="1">
      <c r="B50" s="390"/>
      <c r="C50" s="386"/>
      <c r="D50" s="386"/>
      <c r="E50" s="386"/>
      <c r="F50" s="386"/>
      <c r="G50" s="388"/>
      <c r="H50" s="393"/>
      <c r="I50" s="395"/>
      <c r="J50" s="397"/>
      <c r="K50" s="390"/>
      <c r="L50" s="380"/>
      <c r="M50" s="383"/>
      <c r="N50" s="386"/>
      <c r="O50" s="379"/>
      <c r="P50" s="380"/>
      <c r="Q50" s="383"/>
      <c r="R50" s="384"/>
      <c r="S50" s="386"/>
      <c r="T50" s="380"/>
      <c r="U50" s="383"/>
      <c r="V50" s="388"/>
      <c r="W50" s="390"/>
      <c r="X50" s="388"/>
      <c r="Y50" s="391"/>
      <c r="AC50" s="46"/>
    </row>
    <row r="51" spans="2:29" ht="18" customHeight="1" thickBot="1">
      <c r="B51" s="327"/>
      <c r="C51" s="329"/>
      <c r="D51" s="329"/>
      <c r="E51" s="329"/>
      <c r="F51" s="329"/>
      <c r="G51" s="328"/>
      <c r="H51" s="119"/>
      <c r="I51" s="115">
        <f>SUM(I33,I49)</f>
        <v>0</v>
      </c>
      <c r="J51" s="116">
        <f>SUM(J33,J49)</f>
        <v>180</v>
      </c>
      <c r="K51" s="327">
        <f>SUM(K33,K49)</f>
        <v>30</v>
      </c>
      <c r="L51" s="337"/>
      <c r="M51" s="338">
        <f>SUM(M33,M49)</f>
        <v>30</v>
      </c>
      <c r="N51" s="330"/>
      <c r="O51" s="331">
        <f>SUM(O33,O49)</f>
        <v>30</v>
      </c>
      <c r="P51" s="337"/>
      <c r="Q51" s="338">
        <f>SUM(Q33,Q49)</f>
        <v>30</v>
      </c>
      <c r="R51" s="330"/>
      <c r="S51" s="331">
        <f>SUM(S33,S49)</f>
        <v>30</v>
      </c>
      <c r="T51" s="337"/>
      <c r="U51" s="338">
        <f>SUM(U33,U49)</f>
        <v>30</v>
      </c>
      <c r="V51" s="328"/>
      <c r="W51" s="327">
        <f>SUM(K51:V51)</f>
        <v>180</v>
      </c>
      <c r="X51" s="328"/>
      <c r="Y51" s="11">
        <f>Y49+Y33</f>
        <v>144</v>
      </c>
      <c r="AA51" s="332" t="s">
        <v>157</v>
      </c>
      <c r="AB51" s="332"/>
    </row>
    <row r="52" spans="2:29" ht="18" customHeight="1" thickBot="1">
      <c r="B52" s="346" t="s">
        <v>367</v>
      </c>
      <c r="C52" s="365"/>
      <c r="D52" s="365"/>
      <c r="E52" s="347"/>
      <c r="F52" s="370" t="s">
        <v>363</v>
      </c>
      <c r="G52" s="371"/>
      <c r="H52" s="371"/>
      <c r="I52" s="371"/>
      <c r="J52" s="372"/>
      <c r="K52" s="373">
        <v>16</v>
      </c>
      <c r="L52" s="374"/>
      <c r="M52" s="344">
        <v>16</v>
      </c>
      <c r="N52" s="375"/>
      <c r="O52" s="376">
        <v>16</v>
      </c>
      <c r="P52" s="374"/>
      <c r="Q52" s="344">
        <v>16</v>
      </c>
      <c r="R52" s="375"/>
      <c r="S52" s="376">
        <v>16</v>
      </c>
      <c r="T52" s="374"/>
      <c r="U52" s="344">
        <v>16</v>
      </c>
      <c r="V52" s="345"/>
      <c r="W52" s="346">
        <f>SUM(K52:V54)</f>
        <v>288</v>
      </c>
      <c r="X52" s="347"/>
      <c r="Y52" s="352">
        <f>Y55*16</f>
        <v>288</v>
      </c>
      <c r="AA52" s="364"/>
      <c r="AB52" s="364"/>
    </row>
    <row r="53" spans="2:29" ht="18" customHeight="1" thickBot="1">
      <c r="B53" s="348"/>
      <c r="C53" s="366"/>
      <c r="D53" s="366"/>
      <c r="E53" s="349"/>
      <c r="F53" s="355" t="s">
        <v>63</v>
      </c>
      <c r="G53" s="356"/>
      <c r="H53" s="356"/>
      <c r="I53" s="356"/>
      <c r="J53" s="357"/>
      <c r="K53" s="358">
        <v>16</v>
      </c>
      <c r="L53" s="359"/>
      <c r="M53" s="360">
        <v>16</v>
      </c>
      <c r="N53" s="361"/>
      <c r="O53" s="362">
        <v>16</v>
      </c>
      <c r="P53" s="359"/>
      <c r="Q53" s="360">
        <v>16</v>
      </c>
      <c r="R53" s="361"/>
      <c r="S53" s="362">
        <v>16</v>
      </c>
      <c r="T53" s="359"/>
      <c r="U53" s="360">
        <v>16</v>
      </c>
      <c r="V53" s="363"/>
      <c r="W53" s="348"/>
      <c r="X53" s="349"/>
      <c r="Y53" s="353"/>
      <c r="AA53" s="325" t="b">
        <f>W51&gt;=Y51</f>
        <v>1</v>
      </c>
      <c r="AB53" s="326"/>
    </row>
    <row r="54" spans="2:29" ht="18" customHeight="1">
      <c r="B54" s="348"/>
      <c r="C54" s="366"/>
      <c r="D54" s="366"/>
      <c r="E54" s="349"/>
      <c r="F54" s="355" t="s">
        <v>11</v>
      </c>
      <c r="G54" s="356"/>
      <c r="H54" s="356"/>
      <c r="I54" s="356"/>
      <c r="J54" s="357"/>
      <c r="K54" s="358">
        <v>16</v>
      </c>
      <c r="L54" s="359"/>
      <c r="M54" s="360">
        <v>16</v>
      </c>
      <c r="N54" s="361"/>
      <c r="O54" s="362">
        <v>16</v>
      </c>
      <c r="P54" s="359"/>
      <c r="Q54" s="360">
        <v>16</v>
      </c>
      <c r="R54" s="361"/>
      <c r="S54" s="362">
        <v>16</v>
      </c>
      <c r="T54" s="359"/>
      <c r="U54" s="360">
        <v>16</v>
      </c>
      <c r="V54" s="363"/>
      <c r="W54" s="350"/>
      <c r="X54" s="351"/>
      <c r="Y54" s="354"/>
    </row>
    <row r="55" spans="2:29" ht="18" customHeight="1" thickBot="1">
      <c r="B55" s="367"/>
      <c r="C55" s="368"/>
      <c r="D55" s="368"/>
      <c r="E55" s="369"/>
      <c r="F55" s="335" t="s">
        <v>149</v>
      </c>
      <c r="G55" s="339"/>
      <c r="H55" s="339"/>
      <c r="I55" s="339"/>
      <c r="J55" s="336"/>
      <c r="K55" s="340">
        <v>3</v>
      </c>
      <c r="L55" s="341"/>
      <c r="M55" s="333">
        <v>3</v>
      </c>
      <c r="N55" s="342"/>
      <c r="O55" s="343">
        <v>3</v>
      </c>
      <c r="P55" s="341"/>
      <c r="Q55" s="333">
        <v>3</v>
      </c>
      <c r="R55" s="342"/>
      <c r="S55" s="343">
        <v>3</v>
      </c>
      <c r="T55" s="341"/>
      <c r="U55" s="333">
        <v>3</v>
      </c>
      <c r="V55" s="334"/>
      <c r="W55" s="335">
        <f>SUM(K55:V55)</f>
        <v>18</v>
      </c>
      <c r="X55" s="336"/>
      <c r="Y55" s="47">
        <v>18</v>
      </c>
      <c r="AA55" s="332" t="s">
        <v>158</v>
      </c>
      <c r="AB55" s="332"/>
    </row>
    <row r="56" spans="2:29" ht="18" customHeight="1" thickBot="1">
      <c r="B56" s="327"/>
      <c r="C56" s="329"/>
      <c r="D56" s="329"/>
      <c r="E56" s="329"/>
      <c r="F56" s="329"/>
      <c r="G56" s="329"/>
      <c r="H56" s="329"/>
      <c r="I56" s="329"/>
      <c r="J56" s="328"/>
      <c r="K56" s="327">
        <v>33</v>
      </c>
      <c r="L56" s="337"/>
      <c r="M56" s="338">
        <v>33</v>
      </c>
      <c r="N56" s="330"/>
      <c r="O56" s="331">
        <v>33</v>
      </c>
      <c r="P56" s="337"/>
      <c r="Q56" s="338">
        <v>33</v>
      </c>
      <c r="R56" s="330"/>
      <c r="S56" s="331">
        <v>33</v>
      </c>
      <c r="T56" s="337"/>
      <c r="U56" s="338">
        <v>33</v>
      </c>
      <c r="V56" s="328"/>
      <c r="W56" s="327">
        <f>SUM(K56:V56)</f>
        <v>198</v>
      </c>
      <c r="X56" s="328"/>
      <c r="Y56" s="22">
        <f>W56</f>
        <v>198</v>
      </c>
      <c r="AA56" s="325" t="b">
        <f>W55&gt;=Y55</f>
        <v>1</v>
      </c>
      <c r="AB56" s="326"/>
    </row>
    <row r="57" spans="2:29" ht="18" customHeight="1" thickBot="1">
      <c r="B57" s="327"/>
      <c r="C57" s="329"/>
      <c r="D57" s="329"/>
      <c r="E57" s="329"/>
      <c r="F57" s="329"/>
      <c r="G57" s="329"/>
      <c r="H57" s="329"/>
      <c r="I57" s="329"/>
      <c r="J57" s="328"/>
      <c r="K57" s="327">
        <f>SUM(K56:N56)</f>
        <v>66</v>
      </c>
      <c r="L57" s="329"/>
      <c r="M57" s="329"/>
      <c r="N57" s="330"/>
      <c r="O57" s="331">
        <f>SUM(O56:R56)</f>
        <v>66</v>
      </c>
      <c r="P57" s="329"/>
      <c r="Q57" s="329"/>
      <c r="R57" s="330"/>
      <c r="S57" s="331">
        <f>SUM(S56:V56)</f>
        <v>66</v>
      </c>
      <c r="T57" s="329"/>
      <c r="U57" s="329"/>
      <c r="V57" s="328"/>
      <c r="W57" s="327">
        <f>SUM(K57:V57)</f>
        <v>198</v>
      </c>
      <c r="X57" s="328"/>
      <c r="Y57" s="11"/>
      <c r="AA57" s="332" t="s">
        <v>153</v>
      </c>
      <c r="AB57" s="332"/>
    </row>
    <row r="58" spans="2:29" ht="17.25" customHeight="1" thickBot="1">
      <c r="AA58" s="325" t="b">
        <f>W56&gt;=Y56</f>
        <v>1</v>
      </c>
      <c r="AB58" s="326"/>
    </row>
    <row r="59" spans="2:29" ht="17.25" customHeight="1"/>
    <row r="60" spans="2:29" ht="17.25" customHeight="1"/>
    <row r="61" spans="2:29" ht="17.25" customHeight="1"/>
    <row r="63" spans="2:29" ht="24.95" customHeight="1"/>
    <row r="64" spans="2:29" ht="24.95" customHeight="1"/>
    <row r="65" ht="32.25" customHeight="1"/>
    <row r="66" ht="24.95" customHeight="1"/>
    <row r="68" ht="16.5" customHeight="1"/>
    <row r="69" ht="17.2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244.5" customHeight="1"/>
  </sheetData>
  <mergeCells count="442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F12:G12"/>
    <mergeCell ref="K12:L12"/>
    <mergeCell ref="M12:N12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O12:P12"/>
    <mergeCell ref="Q12:R12"/>
    <mergeCell ref="F14:G14"/>
    <mergeCell ref="K14:L14"/>
    <mergeCell ref="M14:N14"/>
    <mergeCell ref="O14:P14"/>
    <mergeCell ref="U19:V19"/>
    <mergeCell ref="U17:V17"/>
    <mergeCell ref="D18:D21"/>
    <mergeCell ref="F18:G18"/>
    <mergeCell ref="K18:L18"/>
    <mergeCell ref="M18:N18"/>
    <mergeCell ref="O18:P18"/>
    <mergeCell ref="Q18:R18"/>
    <mergeCell ref="S18:T18"/>
    <mergeCell ref="U18:V18"/>
    <mergeCell ref="F21:G21"/>
    <mergeCell ref="F17:G17"/>
    <mergeCell ref="K17:L17"/>
    <mergeCell ref="M17:N17"/>
    <mergeCell ref="O17:P17"/>
    <mergeCell ref="Q17:R17"/>
    <mergeCell ref="S17:T17"/>
    <mergeCell ref="K21:L21"/>
    <mergeCell ref="M21:N21"/>
    <mergeCell ref="O21:P21"/>
    <mergeCell ref="Q21:R21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S22:T22"/>
    <mergeCell ref="U22:V22"/>
    <mergeCell ref="X22:X23"/>
    <mergeCell ref="F23:G23"/>
    <mergeCell ref="K23:L23"/>
    <mergeCell ref="M23:N23"/>
    <mergeCell ref="D22:D23"/>
    <mergeCell ref="U24:V24"/>
    <mergeCell ref="O23:P23"/>
    <mergeCell ref="Q23:R23"/>
    <mergeCell ref="S23:T23"/>
    <mergeCell ref="U23:V23"/>
    <mergeCell ref="F22:G22"/>
    <mergeCell ref="K22:L22"/>
    <mergeCell ref="M22:N22"/>
    <mergeCell ref="O22:P22"/>
    <mergeCell ref="Q22:R22"/>
    <mergeCell ref="X24:X27"/>
    <mergeCell ref="Y24:Y27"/>
    <mergeCell ref="F25:G25"/>
    <mergeCell ref="K25:L25"/>
    <mergeCell ref="M25:N25"/>
    <mergeCell ref="O25:P25"/>
    <mergeCell ref="Q25:R25"/>
    <mergeCell ref="S25:T25"/>
    <mergeCell ref="U25:V25"/>
    <mergeCell ref="U26:V26"/>
    <mergeCell ref="F26:G26"/>
    <mergeCell ref="K26:L26"/>
    <mergeCell ref="M26:N26"/>
    <mergeCell ref="O26:P26"/>
    <mergeCell ref="Q26:R26"/>
    <mergeCell ref="S26:T26"/>
    <mergeCell ref="U27:V27"/>
    <mergeCell ref="F24:G24"/>
    <mergeCell ref="K24:L24"/>
    <mergeCell ref="M24:N24"/>
    <mergeCell ref="O24:P24"/>
    <mergeCell ref="Q24:R24"/>
    <mergeCell ref="S24:T24"/>
    <mergeCell ref="D28:D29"/>
    <mergeCell ref="F28:G28"/>
    <mergeCell ref="K28:L28"/>
    <mergeCell ref="M28:N28"/>
    <mergeCell ref="O28:P28"/>
    <mergeCell ref="Q28:R28"/>
    <mergeCell ref="S28:T28"/>
    <mergeCell ref="U28:V28"/>
    <mergeCell ref="F27:G27"/>
    <mergeCell ref="K27:L27"/>
    <mergeCell ref="M27:N27"/>
    <mergeCell ref="O27:P27"/>
    <mergeCell ref="Q27:R27"/>
    <mergeCell ref="S27:T27"/>
    <mergeCell ref="D24:D27"/>
    <mergeCell ref="W28:X29"/>
    <mergeCell ref="Y28:Y29"/>
    <mergeCell ref="F29:G29"/>
    <mergeCell ref="K29:L29"/>
    <mergeCell ref="M29:N29"/>
    <mergeCell ref="O29:P29"/>
    <mergeCell ref="Q29:R29"/>
    <mergeCell ref="S29:T29"/>
    <mergeCell ref="U29:V29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U33:V33"/>
    <mergeCell ref="W33:X33"/>
    <mergeCell ref="AA33:AB33"/>
    <mergeCell ref="B34:C41"/>
    <mergeCell ref="D34:E34"/>
    <mergeCell ref="F34:G34"/>
    <mergeCell ref="K34:L34"/>
    <mergeCell ref="M34:N34"/>
    <mergeCell ref="O34:P34"/>
    <mergeCell ref="Q34:R34"/>
    <mergeCell ref="B33:G33"/>
    <mergeCell ref="K33:L33"/>
    <mergeCell ref="M33:N33"/>
    <mergeCell ref="O33:P33"/>
    <mergeCell ref="Q33:R33"/>
    <mergeCell ref="S33:T33"/>
    <mergeCell ref="S34:T34"/>
    <mergeCell ref="U34:V34"/>
    <mergeCell ref="W34:X34"/>
    <mergeCell ref="Y34:Y48"/>
    <mergeCell ref="F35:G35"/>
    <mergeCell ref="K35:L35"/>
    <mergeCell ref="M35:N35"/>
    <mergeCell ref="O35:P35"/>
    <mergeCell ref="Q35:R35"/>
    <mergeCell ref="S35:T35"/>
    <mergeCell ref="U35:V35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F48:G48"/>
    <mergeCell ref="K48:L48"/>
    <mergeCell ref="M48:N48"/>
    <mergeCell ref="O48:P48"/>
    <mergeCell ref="Q48:R48"/>
    <mergeCell ref="U41:V41"/>
    <mergeCell ref="W41:X41"/>
    <mergeCell ref="F41:G41"/>
    <mergeCell ref="K41:L41"/>
    <mergeCell ref="M41:N41"/>
    <mergeCell ref="O41:P41"/>
    <mergeCell ref="Q41:R41"/>
    <mergeCell ref="S41:T41"/>
    <mergeCell ref="O42:P42"/>
    <mergeCell ref="Q42:R42"/>
    <mergeCell ref="S42:T42"/>
    <mergeCell ref="F45:G45"/>
    <mergeCell ref="K45:L45"/>
    <mergeCell ref="M45:N45"/>
    <mergeCell ref="O45:P45"/>
    <mergeCell ref="Q45:R45"/>
    <mergeCell ref="F42:G42"/>
    <mergeCell ref="K42:L42"/>
    <mergeCell ref="M42:N42"/>
    <mergeCell ref="B42:B45"/>
    <mergeCell ref="S46:T46"/>
    <mergeCell ref="U46:V46"/>
    <mergeCell ref="C42:C43"/>
    <mergeCell ref="C44:C45"/>
    <mergeCell ref="D44:D45"/>
    <mergeCell ref="F43:G43"/>
    <mergeCell ref="F44:G44"/>
    <mergeCell ref="K43:L43"/>
    <mergeCell ref="M43:N43"/>
    <mergeCell ref="O43:P43"/>
    <mergeCell ref="Q43:R43"/>
    <mergeCell ref="S43:T43"/>
    <mergeCell ref="K44:L44"/>
    <mergeCell ref="B46:B48"/>
    <mergeCell ref="F46:G46"/>
    <mergeCell ref="K46:L46"/>
    <mergeCell ref="M46:N46"/>
    <mergeCell ref="O46:P46"/>
    <mergeCell ref="Q46:R46"/>
    <mergeCell ref="F47:G47"/>
    <mergeCell ref="K47:L47"/>
    <mergeCell ref="M47:N47"/>
    <mergeCell ref="O47:P47"/>
    <mergeCell ref="O49:P50"/>
    <mergeCell ref="Q49:R50"/>
    <mergeCell ref="S49:T50"/>
    <mergeCell ref="U49:V50"/>
    <mergeCell ref="W49:X50"/>
    <mergeCell ref="Y49:Y50"/>
    <mergeCell ref="B49:G50"/>
    <mergeCell ref="H49:H50"/>
    <mergeCell ref="I49:I50"/>
    <mergeCell ref="J49:J50"/>
    <mergeCell ref="K49:L50"/>
    <mergeCell ref="M49:N50"/>
    <mergeCell ref="U51:V51"/>
    <mergeCell ref="W51:X51"/>
    <mergeCell ref="AA51:AB52"/>
    <mergeCell ref="B52:E55"/>
    <mergeCell ref="F52:J52"/>
    <mergeCell ref="K52:L52"/>
    <mergeCell ref="M52:N52"/>
    <mergeCell ref="O52:P52"/>
    <mergeCell ref="Q52:R52"/>
    <mergeCell ref="S52:T52"/>
    <mergeCell ref="B51:G51"/>
    <mergeCell ref="K51:L51"/>
    <mergeCell ref="M51:N51"/>
    <mergeCell ref="O51:P51"/>
    <mergeCell ref="Q51:R51"/>
    <mergeCell ref="S51:T51"/>
    <mergeCell ref="AA53:AB53"/>
    <mergeCell ref="F54:J54"/>
    <mergeCell ref="K54:L54"/>
    <mergeCell ref="M54:N54"/>
    <mergeCell ref="O54:P54"/>
    <mergeCell ref="Q54:R54"/>
    <mergeCell ref="S54:T54"/>
    <mergeCell ref="U54:V54"/>
    <mergeCell ref="O55:P55"/>
    <mergeCell ref="Q55:R55"/>
    <mergeCell ref="S55:T55"/>
    <mergeCell ref="U52:V52"/>
    <mergeCell ref="W52:X54"/>
    <mergeCell ref="Y52:Y54"/>
    <mergeCell ref="F53:J53"/>
    <mergeCell ref="K53:L53"/>
    <mergeCell ref="M53:N53"/>
    <mergeCell ref="O53:P53"/>
    <mergeCell ref="Q53:R53"/>
    <mergeCell ref="S53:T53"/>
    <mergeCell ref="U53:V53"/>
    <mergeCell ref="J42:J43"/>
    <mergeCell ref="J44:J45"/>
    <mergeCell ref="AA58:AB58"/>
    <mergeCell ref="W56:X56"/>
    <mergeCell ref="AA56:AB56"/>
    <mergeCell ref="B57:J57"/>
    <mergeCell ref="K57:N57"/>
    <mergeCell ref="O57:R57"/>
    <mergeCell ref="S57:V57"/>
    <mergeCell ref="W57:X57"/>
    <mergeCell ref="AA57:AB57"/>
    <mergeCell ref="U55:V55"/>
    <mergeCell ref="W55:X55"/>
    <mergeCell ref="AA55:AB55"/>
    <mergeCell ref="B56:J56"/>
    <mergeCell ref="K56:L56"/>
    <mergeCell ref="M56:N56"/>
    <mergeCell ref="O56:P56"/>
    <mergeCell ref="Q56:R56"/>
    <mergeCell ref="S56:T56"/>
    <mergeCell ref="U56:V56"/>
    <mergeCell ref="F55:J55"/>
    <mergeCell ref="K55:L55"/>
    <mergeCell ref="M55:N55"/>
    <mergeCell ref="W42:X43"/>
    <mergeCell ref="W44:X45"/>
    <mergeCell ref="W46:X46"/>
    <mergeCell ref="W47:X47"/>
    <mergeCell ref="W48:X48"/>
    <mergeCell ref="M44:N44"/>
    <mergeCell ref="O44:P44"/>
    <mergeCell ref="Q44:R44"/>
    <mergeCell ref="S44:T44"/>
    <mergeCell ref="U42:V42"/>
    <mergeCell ref="U43:V43"/>
    <mergeCell ref="U44:V44"/>
    <mergeCell ref="U45:V45"/>
    <mergeCell ref="S48:T48"/>
    <mergeCell ref="U48:V48"/>
    <mergeCell ref="S47:T47"/>
    <mergeCell ref="U47:V47"/>
    <mergeCell ref="Q47:R47"/>
    <mergeCell ref="S45:T45"/>
  </mergeCells>
  <phoneticPr fontId="9" type="noConversion"/>
  <conditionalFormatting sqref="AA33:AB33 AC50 AA53:AB53 AA56:AB56 AA58:AB58">
    <cfRule type="containsText" dxfId="2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12" scale="56" orientation="landscape" cellComments="asDisplayed" r:id="rId1"/>
  <rowBreaks count="1" manualBreakCount="1">
    <brk id="4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724CC9-91E8-468C-9959-D5491B23B1DF}">
          <x14:formula1>
            <xm:f>삭제금지!$H$2:$H$18</xm:f>
          </x14:formula1>
          <xm:sqref>B5</xm:sqref>
        </x14:dataValidation>
        <x14:dataValidation type="list" allowBlank="1" showInputMessage="1" showErrorMessage="1" xr:uid="{2B33FDC2-B7FB-4BC9-8E1D-EDB3859D093B}">
          <x14:formula1>
            <xm:f>삭제금지!$L$2:$L$4</xm:f>
          </x14:formula1>
          <xm:sqref>T5:V5</xm:sqref>
        </x14:dataValidation>
        <x14:dataValidation type="list" allowBlank="1" showInputMessage="1" showErrorMessage="1" xr:uid="{F6415918-D0A2-495A-9A1D-C7771DDF0048}">
          <x14:formula1>
            <xm:f>삭제금지!$K$2:$K$59</xm:f>
          </x14:formula1>
          <xm:sqref>K5:O5</xm:sqref>
        </x14:dataValidation>
        <x14:dataValidation type="list" allowBlank="1" showInputMessage="1" showErrorMessage="1" xr:uid="{598CA678-4E86-410A-9389-C3AE5F4FA9F3}">
          <x14:formula1>
            <xm:f>삭제금지!$I$2:$I$18</xm:f>
          </x14:formula1>
          <xm:sqref>F5:G5</xm:sqref>
        </x14:dataValidation>
        <x14:dataValidation type="list" allowBlank="1" showInputMessage="1" showErrorMessage="1" xr:uid="{F6E5238B-1B40-405A-A9C2-4BCC8CA31A7E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A155-4185-423E-8A5C-95F59162A456}">
  <sheetPr>
    <pageSetUpPr fitToPage="1"/>
  </sheetPr>
  <dimension ref="B2:AG41"/>
  <sheetViews>
    <sheetView showGridLines="0" view="pageBreakPreview" zoomScale="90" zoomScaleNormal="85" zoomScaleSheetLayoutView="90" workbookViewId="0">
      <selection activeCell="B24" sqref="B24:B26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33.25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88" t="s">
        <v>151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8"/>
      <c r="U2" s="588"/>
    </row>
    <row r="3" spans="2:33" ht="27" customHeight="1" thickBot="1"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589" t="s">
        <v>129</v>
      </c>
      <c r="O3" s="590"/>
      <c r="P3" s="591"/>
      <c r="Q3" s="589" t="s">
        <v>127</v>
      </c>
      <c r="R3" s="590"/>
      <c r="S3" s="591"/>
      <c r="T3" s="592" t="s">
        <v>130</v>
      </c>
      <c r="U3" s="593"/>
    </row>
    <row r="4" spans="2:33" ht="27" customHeight="1" thickBot="1"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594" t="s">
        <v>702</v>
      </c>
      <c r="O4" s="595"/>
      <c r="P4" s="596"/>
      <c r="Q4" s="597" t="s">
        <v>519</v>
      </c>
      <c r="R4" s="598"/>
      <c r="S4" s="599"/>
      <c r="T4" s="600">
        <v>2027</v>
      </c>
      <c r="U4" s="601"/>
    </row>
    <row r="5" spans="2:33" ht="24" customHeight="1" thickBot="1">
      <c r="B5" s="602"/>
      <c r="C5" s="602"/>
    </row>
    <row r="6" spans="2:33" ht="20.25" customHeight="1">
      <c r="B6" s="603" t="s">
        <v>13</v>
      </c>
      <c r="C6" s="606" t="s">
        <v>140</v>
      </c>
      <c r="D6" s="585" t="s">
        <v>14</v>
      </c>
      <c r="E6" s="585" t="s">
        <v>15</v>
      </c>
      <c r="F6" s="585" t="s">
        <v>141</v>
      </c>
      <c r="G6" s="585" t="s">
        <v>142</v>
      </c>
      <c r="H6" s="571" t="s">
        <v>58</v>
      </c>
      <c r="I6" s="571"/>
      <c r="J6" s="571"/>
      <c r="K6" s="571"/>
      <c r="L6" s="571" t="s">
        <v>59</v>
      </c>
      <c r="M6" s="571"/>
      <c r="N6" s="571"/>
      <c r="O6" s="571"/>
      <c r="P6" s="571" t="s">
        <v>60</v>
      </c>
      <c r="Q6" s="571"/>
      <c r="R6" s="571"/>
      <c r="S6" s="571"/>
      <c r="T6" s="572" t="s">
        <v>139</v>
      </c>
      <c r="U6" s="582" t="s">
        <v>126</v>
      </c>
      <c r="W6" s="575" t="s">
        <v>131</v>
      </c>
      <c r="X6" s="576"/>
      <c r="Y6" s="576"/>
      <c r="Z6" s="576"/>
      <c r="AA6" s="576"/>
      <c r="AB6" s="576"/>
      <c r="AC6" s="576"/>
      <c r="AD6" s="576"/>
      <c r="AE6" s="576"/>
      <c r="AF6" s="577"/>
      <c r="AG6" s="166"/>
    </row>
    <row r="7" spans="2:33" ht="16.5" customHeight="1">
      <c r="B7" s="604"/>
      <c r="C7" s="607"/>
      <c r="D7" s="586"/>
      <c r="E7" s="586"/>
      <c r="F7" s="586"/>
      <c r="G7" s="586"/>
      <c r="H7" s="578" t="s">
        <v>124</v>
      </c>
      <c r="I7" s="578"/>
      <c r="J7" s="578" t="s">
        <v>62</v>
      </c>
      <c r="K7" s="578"/>
      <c r="L7" s="578" t="s">
        <v>124</v>
      </c>
      <c r="M7" s="578"/>
      <c r="N7" s="578" t="s">
        <v>62</v>
      </c>
      <c r="O7" s="578"/>
      <c r="P7" s="578" t="s">
        <v>124</v>
      </c>
      <c r="Q7" s="578"/>
      <c r="R7" s="578" t="s">
        <v>62</v>
      </c>
      <c r="S7" s="578"/>
      <c r="T7" s="573"/>
      <c r="U7" s="583"/>
      <c r="W7" s="579" t="s">
        <v>132</v>
      </c>
      <c r="X7" s="580"/>
      <c r="Y7" s="580"/>
      <c r="Z7" s="580"/>
      <c r="AA7" s="580"/>
      <c r="AB7" s="580"/>
      <c r="AC7" s="580"/>
      <c r="AD7" s="580"/>
      <c r="AE7" s="580"/>
      <c r="AF7" s="581"/>
      <c r="AG7" s="166"/>
    </row>
    <row r="8" spans="2:33" ht="17.25" customHeight="1" thickBot="1">
      <c r="B8" s="605"/>
      <c r="C8" s="608"/>
      <c r="D8" s="587"/>
      <c r="E8" s="587"/>
      <c r="F8" s="587"/>
      <c r="G8" s="587"/>
      <c r="H8" s="167" t="s">
        <v>138</v>
      </c>
      <c r="I8" s="167" t="s">
        <v>125</v>
      </c>
      <c r="J8" s="167" t="s">
        <v>138</v>
      </c>
      <c r="K8" s="167" t="s">
        <v>125</v>
      </c>
      <c r="L8" s="167" t="s">
        <v>138</v>
      </c>
      <c r="M8" s="167" t="s">
        <v>125</v>
      </c>
      <c r="N8" s="167" t="s">
        <v>138</v>
      </c>
      <c r="O8" s="167" t="s">
        <v>125</v>
      </c>
      <c r="P8" s="167" t="s">
        <v>138</v>
      </c>
      <c r="Q8" s="167" t="s">
        <v>125</v>
      </c>
      <c r="R8" s="167" t="s">
        <v>138</v>
      </c>
      <c r="S8" s="167" t="s">
        <v>125</v>
      </c>
      <c r="T8" s="574"/>
      <c r="U8" s="584"/>
      <c r="W8" s="12"/>
      <c r="X8" s="168"/>
      <c r="Y8" s="168"/>
      <c r="Z8" s="168"/>
      <c r="AA8" s="168"/>
      <c r="AB8" s="168"/>
      <c r="AC8" s="168"/>
      <c r="AD8" s="168"/>
      <c r="AE8" s="168"/>
      <c r="AF8" s="13"/>
      <c r="AG8" s="166"/>
    </row>
    <row r="9" spans="2:33" ht="18" customHeight="1" thickBot="1">
      <c r="B9" s="559" t="s">
        <v>531</v>
      </c>
      <c r="C9" s="563">
        <v>34</v>
      </c>
      <c r="D9" s="169" t="s">
        <v>569</v>
      </c>
      <c r="E9" s="169" t="s">
        <v>703</v>
      </c>
      <c r="F9" s="170">
        <v>80</v>
      </c>
      <c r="G9" s="171">
        <v>3</v>
      </c>
      <c r="H9" s="172"/>
      <c r="I9" s="172"/>
      <c r="J9" s="172"/>
      <c r="K9" s="172"/>
      <c r="L9" s="171">
        <v>5</v>
      </c>
      <c r="M9" s="172">
        <f t="shared" ref="M9:M14" si="0">L9*16</f>
        <v>80</v>
      </c>
      <c r="N9" s="172"/>
      <c r="O9" s="172"/>
      <c r="P9" s="172"/>
      <c r="Q9" s="172"/>
      <c r="R9" s="172"/>
      <c r="S9" s="172"/>
      <c r="T9" s="173">
        <f>L9</f>
        <v>5</v>
      </c>
      <c r="U9" s="174">
        <f>M9</f>
        <v>80</v>
      </c>
      <c r="W9" s="175"/>
      <c r="X9" s="166"/>
      <c r="Y9" s="166"/>
      <c r="Z9" s="166"/>
      <c r="AA9" s="166"/>
      <c r="AB9" s="166"/>
      <c r="AC9" s="166"/>
      <c r="AD9" s="166"/>
      <c r="AE9" s="166"/>
      <c r="AF9" s="176"/>
      <c r="AG9" s="166"/>
    </row>
    <row r="10" spans="2:33" ht="18" customHeight="1" thickBot="1">
      <c r="B10" s="562"/>
      <c r="C10" s="564"/>
      <c r="D10" s="177" t="s">
        <v>570</v>
      </c>
      <c r="E10" s="177" t="s">
        <v>704</v>
      </c>
      <c r="F10" s="178">
        <v>80</v>
      </c>
      <c r="G10" s="177">
        <v>3</v>
      </c>
      <c r="H10" s="179"/>
      <c r="I10" s="179"/>
      <c r="J10" s="179"/>
      <c r="K10" s="179"/>
      <c r="L10" s="177">
        <v>5</v>
      </c>
      <c r="M10" s="180">
        <f t="shared" si="0"/>
        <v>80</v>
      </c>
      <c r="N10" s="179"/>
      <c r="O10" s="179"/>
      <c r="P10" s="179"/>
      <c r="Q10" s="179"/>
      <c r="R10" s="179"/>
      <c r="S10" s="180"/>
      <c r="T10" s="173">
        <f t="shared" ref="T10:U14" si="1">L10</f>
        <v>5</v>
      </c>
      <c r="U10" s="174">
        <f t="shared" si="1"/>
        <v>80</v>
      </c>
      <c r="W10" s="175"/>
      <c r="X10" s="166"/>
      <c r="Y10" s="166"/>
      <c r="Z10" s="166"/>
      <c r="AA10" s="166"/>
      <c r="AB10" s="166"/>
      <c r="AC10" s="166"/>
      <c r="AD10" s="166"/>
      <c r="AE10" s="166"/>
      <c r="AF10" s="176"/>
      <c r="AG10" s="166"/>
    </row>
    <row r="11" spans="2:33" ht="18" customHeight="1" thickBot="1">
      <c r="B11" s="562"/>
      <c r="C11" s="564"/>
      <c r="D11" s="177" t="s">
        <v>571</v>
      </c>
      <c r="E11" s="177" t="s">
        <v>580</v>
      </c>
      <c r="F11" s="178">
        <v>32</v>
      </c>
      <c r="G11" s="177">
        <v>2</v>
      </c>
      <c r="H11" s="179"/>
      <c r="I11" s="179"/>
      <c r="J11" s="179"/>
      <c r="K11" s="179"/>
      <c r="L11" s="177">
        <v>2</v>
      </c>
      <c r="M11" s="180">
        <f t="shared" si="0"/>
        <v>32</v>
      </c>
      <c r="N11" s="179"/>
      <c r="O11" s="179"/>
      <c r="P11" s="179"/>
      <c r="Q11" s="179"/>
      <c r="R11" s="179"/>
      <c r="S11" s="180"/>
      <c r="T11" s="173">
        <f t="shared" si="1"/>
        <v>2</v>
      </c>
      <c r="U11" s="174">
        <f t="shared" si="1"/>
        <v>32</v>
      </c>
    </row>
    <row r="12" spans="2:33" ht="18" customHeight="1" thickBot="1">
      <c r="B12" s="562"/>
      <c r="C12" s="564"/>
      <c r="D12" s="177" t="s">
        <v>572</v>
      </c>
      <c r="E12" s="177" t="s">
        <v>581</v>
      </c>
      <c r="F12" s="178">
        <v>16</v>
      </c>
      <c r="G12" s="177">
        <v>2</v>
      </c>
      <c r="H12" s="179"/>
      <c r="I12" s="179"/>
      <c r="J12" s="179"/>
      <c r="K12" s="179"/>
      <c r="L12" s="177">
        <v>1</v>
      </c>
      <c r="M12" s="180">
        <f t="shared" si="0"/>
        <v>16</v>
      </c>
      <c r="N12" s="179"/>
      <c r="O12" s="179"/>
      <c r="P12" s="179"/>
      <c r="Q12" s="179"/>
      <c r="R12" s="179"/>
      <c r="S12" s="180"/>
      <c r="T12" s="173">
        <f t="shared" si="1"/>
        <v>1</v>
      </c>
      <c r="U12" s="174">
        <f t="shared" si="1"/>
        <v>16</v>
      </c>
    </row>
    <row r="13" spans="2:33" ht="18" customHeight="1" thickBot="1">
      <c r="B13" s="562"/>
      <c r="C13" s="564"/>
      <c r="D13" s="177" t="s">
        <v>573</v>
      </c>
      <c r="E13" s="169" t="s">
        <v>582</v>
      </c>
      <c r="F13" s="178">
        <v>32</v>
      </c>
      <c r="G13" s="177">
        <v>3</v>
      </c>
      <c r="H13" s="179"/>
      <c r="I13" s="179"/>
      <c r="J13" s="179"/>
      <c r="K13" s="179"/>
      <c r="L13" s="177">
        <v>2</v>
      </c>
      <c r="M13" s="180">
        <f t="shared" si="0"/>
        <v>32</v>
      </c>
      <c r="N13" s="179"/>
      <c r="O13" s="179"/>
      <c r="P13" s="179"/>
      <c r="Q13" s="179"/>
      <c r="R13" s="179"/>
      <c r="S13" s="180"/>
      <c r="T13" s="173">
        <f t="shared" si="1"/>
        <v>2</v>
      </c>
      <c r="U13" s="174">
        <f t="shared" si="1"/>
        <v>32</v>
      </c>
    </row>
    <row r="14" spans="2:33" ht="18" customHeight="1">
      <c r="B14" s="562"/>
      <c r="C14" s="564"/>
      <c r="D14" s="177" t="s">
        <v>574</v>
      </c>
      <c r="E14" s="177" t="s">
        <v>583</v>
      </c>
      <c r="F14" s="178">
        <v>16</v>
      </c>
      <c r="G14" s="177">
        <v>2</v>
      </c>
      <c r="H14" s="180"/>
      <c r="I14" s="180"/>
      <c r="J14" s="180"/>
      <c r="K14" s="180"/>
      <c r="L14" s="177">
        <v>1</v>
      </c>
      <c r="M14" s="180">
        <f t="shared" si="0"/>
        <v>16</v>
      </c>
      <c r="N14" s="179"/>
      <c r="O14" s="179"/>
      <c r="P14" s="179"/>
      <c r="Q14" s="179"/>
      <c r="R14" s="179"/>
      <c r="S14" s="180"/>
      <c r="T14" s="173">
        <f t="shared" si="1"/>
        <v>1</v>
      </c>
      <c r="U14" s="174">
        <f t="shared" si="1"/>
        <v>16</v>
      </c>
    </row>
    <row r="15" spans="2:33" ht="18" customHeight="1">
      <c r="B15" s="562"/>
      <c r="C15" s="564"/>
      <c r="D15" s="169" t="s">
        <v>575</v>
      </c>
      <c r="E15" s="169" t="s">
        <v>584</v>
      </c>
      <c r="F15" s="178">
        <v>80</v>
      </c>
      <c r="G15" s="169">
        <v>3</v>
      </c>
      <c r="H15" s="179"/>
      <c r="I15" s="179"/>
      <c r="J15" s="179"/>
      <c r="K15" s="179"/>
      <c r="L15" s="179"/>
      <c r="M15" s="181"/>
      <c r="N15" s="169">
        <v>5</v>
      </c>
      <c r="O15" s="179">
        <f t="shared" ref="O15:O20" si="2">N15*16</f>
        <v>80</v>
      </c>
      <c r="P15" s="179"/>
      <c r="Q15" s="179"/>
      <c r="R15" s="179"/>
      <c r="S15" s="180"/>
      <c r="T15" s="182">
        <f>N15</f>
        <v>5</v>
      </c>
      <c r="U15" s="183">
        <f>O15</f>
        <v>80</v>
      </c>
    </row>
    <row r="16" spans="2:33" ht="18" customHeight="1">
      <c r="B16" s="562"/>
      <c r="C16" s="564"/>
      <c r="D16" s="177" t="s">
        <v>576</v>
      </c>
      <c r="E16" s="177" t="s">
        <v>705</v>
      </c>
      <c r="F16" s="178">
        <v>48</v>
      </c>
      <c r="G16" s="177">
        <v>3</v>
      </c>
      <c r="H16" s="179"/>
      <c r="I16" s="179"/>
      <c r="J16" s="179"/>
      <c r="K16" s="179"/>
      <c r="L16" s="179"/>
      <c r="M16" s="181"/>
      <c r="N16" s="177">
        <v>3</v>
      </c>
      <c r="O16" s="179">
        <f t="shared" si="2"/>
        <v>48</v>
      </c>
      <c r="P16" s="179"/>
      <c r="Q16" s="179"/>
      <c r="R16" s="179"/>
      <c r="S16" s="180"/>
      <c r="T16" s="182">
        <f t="shared" ref="T16:U19" si="3">N16</f>
        <v>3</v>
      </c>
      <c r="U16" s="183">
        <f t="shared" si="3"/>
        <v>48</v>
      </c>
      <c r="W16" s="184"/>
    </row>
    <row r="17" spans="2:21" ht="18" customHeight="1">
      <c r="B17" s="562"/>
      <c r="C17" s="564"/>
      <c r="D17" s="177" t="s">
        <v>577</v>
      </c>
      <c r="E17" s="177" t="s">
        <v>706</v>
      </c>
      <c r="F17" s="178">
        <v>64</v>
      </c>
      <c r="G17" s="177">
        <v>3</v>
      </c>
      <c r="H17" s="179"/>
      <c r="I17" s="179"/>
      <c r="J17" s="179"/>
      <c r="K17" s="179"/>
      <c r="L17" s="179"/>
      <c r="M17" s="181"/>
      <c r="N17" s="177">
        <v>4</v>
      </c>
      <c r="O17" s="179">
        <f t="shared" si="2"/>
        <v>64</v>
      </c>
      <c r="P17" s="179"/>
      <c r="Q17" s="179"/>
      <c r="R17" s="179"/>
      <c r="S17" s="180"/>
      <c r="T17" s="182">
        <f t="shared" si="3"/>
        <v>4</v>
      </c>
      <c r="U17" s="183">
        <f t="shared" si="3"/>
        <v>64</v>
      </c>
    </row>
    <row r="18" spans="2:21" ht="18" customHeight="1">
      <c r="B18" s="562"/>
      <c r="C18" s="564"/>
      <c r="D18" s="177" t="s">
        <v>578</v>
      </c>
      <c r="E18" s="177" t="s">
        <v>707</v>
      </c>
      <c r="F18" s="178">
        <v>64</v>
      </c>
      <c r="G18" s="177">
        <v>3</v>
      </c>
      <c r="H18" s="179"/>
      <c r="I18" s="179"/>
      <c r="J18" s="179"/>
      <c r="K18" s="179"/>
      <c r="L18" s="179"/>
      <c r="M18" s="181"/>
      <c r="N18" s="177">
        <v>4</v>
      </c>
      <c r="O18" s="179">
        <f t="shared" si="2"/>
        <v>64</v>
      </c>
      <c r="P18" s="179"/>
      <c r="Q18" s="179"/>
      <c r="R18" s="179"/>
      <c r="S18" s="180"/>
      <c r="T18" s="182">
        <f t="shared" si="3"/>
        <v>4</v>
      </c>
      <c r="U18" s="183">
        <f t="shared" si="3"/>
        <v>64</v>
      </c>
    </row>
    <row r="19" spans="2:21" ht="18" customHeight="1">
      <c r="B19" s="562"/>
      <c r="C19" s="564"/>
      <c r="D19" s="177" t="s">
        <v>579</v>
      </c>
      <c r="E19" s="177" t="s">
        <v>585</v>
      </c>
      <c r="F19" s="178">
        <v>32</v>
      </c>
      <c r="G19" s="177">
        <v>3</v>
      </c>
      <c r="H19" s="180"/>
      <c r="I19" s="180"/>
      <c r="J19" s="180"/>
      <c r="K19" s="180"/>
      <c r="L19" s="180"/>
      <c r="M19" s="181"/>
      <c r="N19" s="177">
        <v>2</v>
      </c>
      <c r="O19" s="179">
        <f t="shared" si="2"/>
        <v>32</v>
      </c>
      <c r="P19" s="179"/>
      <c r="Q19" s="179"/>
      <c r="R19" s="179"/>
      <c r="S19" s="180"/>
      <c r="T19" s="182">
        <f t="shared" si="3"/>
        <v>2</v>
      </c>
      <c r="U19" s="183">
        <f t="shared" si="3"/>
        <v>32</v>
      </c>
    </row>
    <row r="20" spans="2:21" ht="18" customHeight="1" thickBot="1">
      <c r="B20" s="561"/>
      <c r="C20" s="565"/>
      <c r="D20" s="558" t="s">
        <v>16</v>
      </c>
      <c r="E20" s="558"/>
      <c r="F20" s="185">
        <f>SUM(F9:F19)</f>
        <v>544</v>
      </c>
      <c r="G20" s="186"/>
      <c r="H20" s="187"/>
      <c r="I20" s="187"/>
      <c r="J20" s="187"/>
      <c r="K20" s="187"/>
      <c r="L20" s="187">
        <v>16</v>
      </c>
      <c r="M20" s="187">
        <v>256</v>
      </c>
      <c r="N20" s="187">
        <v>18</v>
      </c>
      <c r="O20" s="188">
        <f t="shared" si="2"/>
        <v>288</v>
      </c>
      <c r="P20" s="188"/>
      <c r="Q20" s="188"/>
      <c r="R20" s="188"/>
      <c r="S20" s="188"/>
      <c r="T20" s="189">
        <f>SUM(T9:T19)</f>
        <v>34</v>
      </c>
      <c r="U20" s="190">
        <f>SUM(U9:U19)</f>
        <v>544</v>
      </c>
    </row>
    <row r="21" spans="2:21" ht="18" customHeight="1">
      <c r="B21" s="566" t="s">
        <v>780</v>
      </c>
      <c r="C21" s="568">
        <v>4</v>
      </c>
      <c r="D21" s="191" t="s">
        <v>605</v>
      </c>
      <c r="E21" s="191" t="s">
        <v>607</v>
      </c>
      <c r="F21" s="178">
        <v>32</v>
      </c>
      <c r="G21" s="178">
        <v>2</v>
      </c>
      <c r="H21" s="179"/>
      <c r="I21" s="179"/>
      <c r="J21" s="179"/>
      <c r="K21" s="179"/>
      <c r="L21" s="179"/>
      <c r="M21" s="179"/>
      <c r="N21" s="179"/>
      <c r="O21" s="179"/>
      <c r="P21" s="179">
        <v>2</v>
      </c>
      <c r="Q21" s="179">
        <f>P21*16</f>
        <v>32</v>
      </c>
      <c r="R21" s="179"/>
      <c r="S21" s="179"/>
      <c r="T21" s="182">
        <v>2</v>
      </c>
      <c r="U21" s="183">
        <v>32</v>
      </c>
    </row>
    <row r="22" spans="2:21" ht="18" customHeight="1" thickBot="1">
      <c r="B22" s="566"/>
      <c r="C22" s="569"/>
      <c r="D22" s="192" t="s">
        <v>606</v>
      </c>
      <c r="E22" s="192" t="s">
        <v>608</v>
      </c>
      <c r="F22" s="178">
        <v>32</v>
      </c>
      <c r="G22" s="178">
        <v>3</v>
      </c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>
        <v>2</v>
      </c>
      <c r="S22" s="180">
        <f>R22*16</f>
        <v>32</v>
      </c>
      <c r="T22" s="182">
        <v>2</v>
      </c>
      <c r="U22" s="183">
        <v>32</v>
      </c>
    </row>
    <row r="23" spans="2:21" ht="18" customHeight="1" thickBot="1">
      <c r="B23" s="567"/>
      <c r="C23" s="570"/>
      <c r="D23" s="558" t="s">
        <v>16</v>
      </c>
      <c r="E23" s="558"/>
      <c r="F23" s="193">
        <f>SUM(F21:F22)</f>
        <v>64</v>
      </c>
      <c r="G23" s="193"/>
      <c r="H23" s="194"/>
      <c r="I23" s="194"/>
      <c r="J23" s="194"/>
      <c r="K23" s="194"/>
      <c r="L23" s="194"/>
      <c r="M23" s="194"/>
      <c r="N23" s="194"/>
      <c r="O23" s="194"/>
      <c r="P23" s="194">
        <v>2</v>
      </c>
      <c r="Q23" s="194">
        <v>32</v>
      </c>
      <c r="R23" s="194">
        <v>2</v>
      </c>
      <c r="S23" s="194">
        <v>32</v>
      </c>
      <c r="T23" s="195">
        <f>SUM(T21:T22)</f>
        <v>4</v>
      </c>
      <c r="U23" s="196">
        <f>SUM(U21:U22)</f>
        <v>64</v>
      </c>
    </row>
    <row r="24" spans="2:21" ht="18" customHeight="1" thickBot="1">
      <c r="B24" s="559" t="s">
        <v>532</v>
      </c>
      <c r="C24" s="563">
        <v>8</v>
      </c>
      <c r="D24" s="197" t="s">
        <v>708</v>
      </c>
      <c r="E24" s="197" t="s">
        <v>709</v>
      </c>
      <c r="F24" s="170">
        <v>64</v>
      </c>
      <c r="G24" s="198">
        <v>3</v>
      </c>
      <c r="H24" s="172"/>
      <c r="I24" s="172"/>
      <c r="J24" s="172"/>
      <c r="K24" s="172"/>
      <c r="L24" s="172"/>
      <c r="M24" s="172"/>
      <c r="N24" s="172"/>
      <c r="O24" s="172"/>
      <c r="P24" s="172">
        <v>4</v>
      </c>
      <c r="Q24" s="172">
        <f>P24*16</f>
        <v>64</v>
      </c>
      <c r="R24" s="172"/>
      <c r="S24" s="172"/>
      <c r="T24" s="173">
        <v>4</v>
      </c>
      <c r="U24" s="174">
        <v>64</v>
      </c>
    </row>
    <row r="25" spans="2:21" ht="18" customHeight="1">
      <c r="B25" s="560"/>
      <c r="C25" s="609"/>
      <c r="D25" s="199" t="s">
        <v>710</v>
      </c>
      <c r="E25" s="197" t="s">
        <v>711</v>
      </c>
      <c r="F25" s="178">
        <v>64</v>
      </c>
      <c r="G25" s="178">
        <v>3</v>
      </c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>
        <v>4</v>
      </c>
      <c r="S25" s="179">
        <v>64</v>
      </c>
      <c r="T25" s="182">
        <v>4</v>
      </c>
      <c r="U25" s="183">
        <v>64</v>
      </c>
    </row>
    <row r="26" spans="2:21" ht="18" customHeight="1" thickBot="1">
      <c r="B26" s="561"/>
      <c r="C26" s="565"/>
      <c r="D26" s="558" t="s">
        <v>16</v>
      </c>
      <c r="E26" s="558"/>
      <c r="F26" s="185">
        <f>SUM(F24:F25)</f>
        <v>128</v>
      </c>
      <c r="G26" s="185"/>
      <c r="H26" s="188"/>
      <c r="I26" s="188"/>
      <c r="J26" s="188"/>
      <c r="K26" s="188"/>
      <c r="L26" s="188"/>
      <c r="M26" s="188"/>
      <c r="N26" s="188"/>
      <c r="O26" s="188"/>
      <c r="P26" s="188">
        <v>4</v>
      </c>
      <c r="Q26" s="188">
        <v>64</v>
      </c>
      <c r="R26" s="188">
        <v>4</v>
      </c>
      <c r="S26" s="188">
        <v>64</v>
      </c>
      <c r="T26" s="189">
        <f>SUM(T24:T25)</f>
        <v>8</v>
      </c>
      <c r="U26" s="190">
        <f>SUM(U24:U25)</f>
        <v>128</v>
      </c>
    </row>
    <row r="27" spans="2:21" ht="18" customHeight="1">
      <c r="B27" s="562" t="s">
        <v>545</v>
      </c>
      <c r="C27" s="564">
        <v>10</v>
      </c>
      <c r="D27" s="200" t="s">
        <v>712</v>
      </c>
      <c r="E27" s="171" t="s">
        <v>713</v>
      </c>
      <c r="F27" s="201">
        <v>80</v>
      </c>
      <c r="G27" s="178">
        <v>3</v>
      </c>
      <c r="H27" s="179"/>
      <c r="I27" s="179"/>
      <c r="J27" s="179"/>
      <c r="K27" s="179"/>
      <c r="L27" s="179"/>
      <c r="M27" s="179"/>
      <c r="N27" s="179"/>
      <c r="O27" s="179"/>
      <c r="P27" s="202">
        <v>5</v>
      </c>
      <c r="Q27" s="202">
        <f>P27*16</f>
        <v>80</v>
      </c>
      <c r="R27" s="202"/>
      <c r="S27" s="202"/>
      <c r="T27" s="182">
        <v>5</v>
      </c>
      <c r="U27" s="183">
        <v>80</v>
      </c>
    </row>
    <row r="28" spans="2:21" ht="18" customHeight="1" thickBot="1">
      <c r="B28" s="562"/>
      <c r="C28" s="564"/>
      <c r="D28" s="203" t="s">
        <v>714</v>
      </c>
      <c r="E28" s="204" t="s">
        <v>600</v>
      </c>
      <c r="F28" s="178">
        <v>80</v>
      </c>
      <c r="G28" s="178">
        <v>3</v>
      </c>
      <c r="H28" s="179"/>
      <c r="I28" s="179"/>
      <c r="J28" s="179"/>
      <c r="K28" s="179"/>
      <c r="L28" s="179"/>
      <c r="M28" s="179"/>
      <c r="N28" s="179"/>
      <c r="O28" s="179"/>
      <c r="P28" s="202"/>
      <c r="Q28" s="202"/>
      <c r="R28" s="202">
        <v>5</v>
      </c>
      <c r="S28" s="202">
        <v>80</v>
      </c>
      <c r="T28" s="182">
        <v>5</v>
      </c>
      <c r="U28" s="183">
        <v>80</v>
      </c>
    </row>
    <row r="29" spans="2:21" ht="18" customHeight="1" thickBot="1">
      <c r="B29" s="561"/>
      <c r="C29" s="565"/>
      <c r="D29" s="558" t="s">
        <v>16</v>
      </c>
      <c r="E29" s="558"/>
      <c r="F29" s="205">
        <f>SUM(F27:F28)</f>
        <v>160</v>
      </c>
      <c r="G29" s="205"/>
      <c r="H29" s="206"/>
      <c r="I29" s="206"/>
      <c r="J29" s="206"/>
      <c r="K29" s="206"/>
      <c r="L29" s="206"/>
      <c r="M29" s="206"/>
      <c r="N29" s="206"/>
      <c r="O29" s="206"/>
      <c r="P29" s="206">
        <v>5</v>
      </c>
      <c r="Q29" s="206">
        <v>80</v>
      </c>
      <c r="R29" s="206">
        <v>5</v>
      </c>
      <c r="S29" s="206">
        <v>80</v>
      </c>
      <c r="T29" s="189">
        <f>SUM(T27:T28)</f>
        <v>10</v>
      </c>
      <c r="U29" s="190">
        <f>SUM(U27:U28)</f>
        <v>160</v>
      </c>
    </row>
    <row r="30" spans="2:21" ht="18" customHeight="1">
      <c r="B30" s="562" t="s">
        <v>546</v>
      </c>
      <c r="C30" s="612">
        <v>10</v>
      </c>
      <c r="D30" s="191" t="s">
        <v>601</v>
      </c>
      <c r="E30" s="207" t="s">
        <v>603</v>
      </c>
      <c r="F30" s="201">
        <v>80</v>
      </c>
      <c r="G30" s="178">
        <v>3</v>
      </c>
      <c r="H30" s="179"/>
      <c r="I30" s="179"/>
      <c r="J30" s="179"/>
      <c r="K30" s="179"/>
      <c r="L30" s="179"/>
      <c r="M30" s="179"/>
      <c r="N30" s="179"/>
      <c r="O30" s="179"/>
      <c r="P30" s="202">
        <v>5</v>
      </c>
      <c r="Q30" s="202">
        <v>80</v>
      </c>
      <c r="R30" s="202"/>
      <c r="S30" s="202"/>
      <c r="T30" s="182">
        <v>5</v>
      </c>
      <c r="U30" s="183">
        <v>80</v>
      </c>
    </row>
    <row r="31" spans="2:21" ht="18" customHeight="1" thickBot="1">
      <c r="B31" s="562"/>
      <c r="C31" s="613"/>
      <c r="D31" s="192" t="s">
        <v>602</v>
      </c>
      <c r="E31" s="208" t="s">
        <v>604</v>
      </c>
      <c r="F31" s="178">
        <v>80</v>
      </c>
      <c r="G31" s="178">
        <v>3</v>
      </c>
      <c r="H31" s="179"/>
      <c r="I31" s="179"/>
      <c r="J31" s="179"/>
      <c r="K31" s="179"/>
      <c r="L31" s="179"/>
      <c r="M31" s="179"/>
      <c r="N31" s="179"/>
      <c r="O31" s="179"/>
      <c r="P31" s="202"/>
      <c r="Q31" s="202"/>
      <c r="R31" s="202">
        <v>5</v>
      </c>
      <c r="S31" s="202">
        <v>80</v>
      </c>
      <c r="T31" s="182">
        <v>5</v>
      </c>
      <c r="U31" s="183">
        <v>80</v>
      </c>
    </row>
    <row r="32" spans="2:21" ht="18" customHeight="1" thickBot="1">
      <c r="B32" s="561"/>
      <c r="C32" s="614"/>
      <c r="D32" s="558" t="s">
        <v>16</v>
      </c>
      <c r="E32" s="558"/>
      <c r="F32" s="205">
        <f>SUM(F30:F31)</f>
        <v>160</v>
      </c>
      <c r="G32" s="205"/>
      <c r="H32" s="206"/>
      <c r="I32" s="206"/>
      <c r="J32" s="206"/>
      <c r="K32" s="206"/>
      <c r="L32" s="206"/>
      <c r="M32" s="206"/>
      <c r="N32" s="206"/>
      <c r="O32" s="206"/>
      <c r="P32" s="206">
        <v>5</v>
      </c>
      <c r="Q32" s="206">
        <v>80</v>
      </c>
      <c r="R32" s="206">
        <v>5</v>
      </c>
      <c r="S32" s="206">
        <v>80</v>
      </c>
      <c r="T32" s="189">
        <f>SUM(T30:T31)</f>
        <v>10</v>
      </c>
      <c r="U32" s="190">
        <f>SUM(U30:U31)</f>
        <v>160</v>
      </c>
    </row>
    <row r="33" spans="2:21" ht="18" customHeight="1">
      <c r="B33" s="562" t="s">
        <v>715</v>
      </c>
      <c r="C33" s="564">
        <v>10</v>
      </c>
      <c r="D33" s="191" t="s">
        <v>594</v>
      </c>
      <c r="E33" s="171" t="s">
        <v>597</v>
      </c>
      <c r="F33" s="209">
        <v>64</v>
      </c>
      <c r="G33" s="178">
        <v>3</v>
      </c>
      <c r="H33" s="179"/>
      <c r="I33" s="179"/>
      <c r="J33" s="179"/>
      <c r="K33" s="179"/>
      <c r="L33" s="179"/>
      <c r="M33" s="179"/>
      <c r="N33" s="179"/>
      <c r="O33" s="179"/>
      <c r="P33" s="202">
        <v>4</v>
      </c>
      <c r="Q33" s="202">
        <v>64</v>
      </c>
      <c r="R33" s="202"/>
      <c r="S33" s="202"/>
      <c r="T33" s="182">
        <v>4</v>
      </c>
      <c r="U33" s="183">
        <v>64</v>
      </c>
    </row>
    <row r="34" spans="2:21" ht="18" customHeight="1">
      <c r="B34" s="562"/>
      <c r="C34" s="564"/>
      <c r="D34" s="177" t="s">
        <v>595</v>
      </c>
      <c r="E34" s="210" t="s">
        <v>598</v>
      </c>
      <c r="F34" s="209">
        <v>32</v>
      </c>
      <c r="G34" s="178">
        <v>3</v>
      </c>
      <c r="H34" s="179"/>
      <c r="I34" s="179"/>
      <c r="J34" s="179"/>
      <c r="K34" s="179"/>
      <c r="L34" s="179"/>
      <c r="M34" s="179"/>
      <c r="N34" s="179"/>
      <c r="O34" s="179"/>
      <c r="P34" s="202"/>
      <c r="Q34" s="202"/>
      <c r="R34" s="202">
        <v>2</v>
      </c>
      <c r="S34" s="202">
        <v>32</v>
      </c>
      <c r="T34" s="182">
        <v>2</v>
      </c>
      <c r="U34" s="183">
        <v>32</v>
      </c>
    </row>
    <row r="35" spans="2:21" ht="18" customHeight="1" thickBot="1">
      <c r="B35" s="610"/>
      <c r="C35" s="611"/>
      <c r="D35" s="192" t="s">
        <v>596</v>
      </c>
      <c r="E35" s="204" t="s">
        <v>599</v>
      </c>
      <c r="F35" s="209">
        <v>64</v>
      </c>
      <c r="G35" s="178">
        <v>3</v>
      </c>
      <c r="H35" s="179"/>
      <c r="I35" s="179"/>
      <c r="J35" s="179"/>
      <c r="K35" s="179"/>
      <c r="L35" s="179"/>
      <c r="M35" s="179"/>
      <c r="N35" s="179"/>
      <c r="O35" s="179"/>
      <c r="P35" s="202"/>
      <c r="Q35" s="202"/>
      <c r="R35" s="202">
        <v>4</v>
      </c>
      <c r="S35" s="202">
        <v>64</v>
      </c>
      <c r="T35" s="182">
        <v>4</v>
      </c>
      <c r="U35" s="183">
        <v>64</v>
      </c>
    </row>
    <row r="36" spans="2:21" ht="18" customHeight="1" thickBot="1">
      <c r="B36" s="561"/>
      <c r="C36" s="565"/>
      <c r="D36" s="558" t="s">
        <v>16</v>
      </c>
      <c r="E36" s="558"/>
      <c r="F36" s="206">
        <f>SUM(F33:F35)</f>
        <v>160</v>
      </c>
      <c r="G36" s="205"/>
      <c r="H36" s="206"/>
      <c r="I36" s="206"/>
      <c r="J36" s="206"/>
      <c r="K36" s="206"/>
      <c r="L36" s="206"/>
      <c r="M36" s="206"/>
      <c r="N36" s="206"/>
      <c r="O36" s="206"/>
      <c r="P36" s="206">
        <v>4</v>
      </c>
      <c r="Q36" s="206">
        <v>64</v>
      </c>
      <c r="R36" s="206">
        <v>6</v>
      </c>
      <c r="S36" s="206">
        <v>96</v>
      </c>
      <c r="T36" s="189">
        <f>SUM(T33:T35)</f>
        <v>10</v>
      </c>
      <c r="U36" s="190">
        <f>SUM(U33:U35)</f>
        <v>160</v>
      </c>
    </row>
    <row r="37" spans="2:21" ht="18" customHeight="1">
      <c r="B37" s="562" t="s">
        <v>533</v>
      </c>
      <c r="C37" s="564">
        <v>16</v>
      </c>
      <c r="D37" s="191" t="s">
        <v>586</v>
      </c>
      <c r="E37" s="171" t="s">
        <v>590</v>
      </c>
      <c r="F37" s="209">
        <v>64</v>
      </c>
      <c r="G37" s="178">
        <v>2</v>
      </c>
      <c r="H37" s="179"/>
      <c r="I37" s="179"/>
      <c r="J37" s="179"/>
      <c r="K37" s="179"/>
      <c r="L37" s="179"/>
      <c r="M37" s="179"/>
      <c r="N37" s="179"/>
      <c r="O37" s="179"/>
      <c r="P37" s="202">
        <v>4</v>
      </c>
      <c r="Q37" s="202">
        <v>64</v>
      </c>
      <c r="R37" s="202"/>
      <c r="S37" s="202"/>
      <c r="T37" s="182">
        <v>4</v>
      </c>
      <c r="U37" s="183">
        <v>64</v>
      </c>
    </row>
    <row r="38" spans="2:21" ht="18" customHeight="1">
      <c r="B38" s="562"/>
      <c r="C38" s="564"/>
      <c r="D38" s="211" t="s">
        <v>587</v>
      </c>
      <c r="E38" s="211" t="s">
        <v>591</v>
      </c>
      <c r="F38" s="209">
        <v>64</v>
      </c>
      <c r="G38" s="178">
        <v>2</v>
      </c>
      <c r="H38" s="179"/>
      <c r="I38" s="179"/>
      <c r="J38" s="179"/>
      <c r="K38" s="179"/>
      <c r="L38" s="179"/>
      <c r="M38" s="179"/>
      <c r="N38" s="179"/>
      <c r="O38" s="179"/>
      <c r="P38" s="202"/>
      <c r="Q38" s="202"/>
      <c r="R38" s="202">
        <v>4</v>
      </c>
      <c r="S38" s="202">
        <v>64</v>
      </c>
      <c r="T38" s="182">
        <v>4</v>
      </c>
      <c r="U38" s="183">
        <v>64</v>
      </c>
    </row>
    <row r="39" spans="2:21" ht="18" customHeight="1">
      <c r="B39" s="610"/>
      <c r="C39" s="611"/>
      <c r="D39" s="211" t="s">
        <v>588</v>
      </c>
      <c r="E39" s="211" t="s">
        <v>592</v>
      </c>
      <c r="F39" s="209">
        <v>64</v>
      </c>
      <c r="G39" s="178">
        <v>3</v>
      </c>
      <c r="H39" s="179"/>
      <c r="I39" s="179"/>
      <c r="J39" s="179"/>
      <c r="K39" s="179"/>
      <c r="L39" s="179"/>
      <c r="M39" s="179"/>
      <c r="N39" s="179"/>
      <c r="O39" s="179"/>
      <c r="P39" s="202">
        <v>4</v>
      </c>
      <c r="Q39" s="202">
        <v>64</v>
      </c>
      <c r="R39" s="202"/>
      <c r="S39" s="202"/>
      <c r="T39" s="182">
        <v>4</v>
      </c>
      <c r="U39" s="183">
        <v>64</v>
      </c>
    </row>
    <row r="40" spans="2:21" ht="18" customHeight="1" thickBot="1">
      <c r="B40" s="610"/>
      <c r="C40" s="611"/>
      <c r="D40" s="212" t="s">
        <v>589</v>
      </c>
      <c r="E40" s="212" t="s">
        <v>593</v>
      </c>
      <c r="F40" s="213">
        <v>64</v>
      </c>
      <c r="G40" s="201">
        <v>3</v>
      </c>
      <c r="H40" s="180"/>
      <c r="I40" s="180"/>
      <c r="J40" s="180"/>
      <c r="K40" s="180"/>
      <c r="L40" s="180"/>
      <c r="M40" s="180"/>
      <c r="N40" s="180"/>
      <c r="O40" s="180"/>
      <c r="P40" s="214"/>
      <c r="Q40" s="214"/>
      <c r="R40" s="214">
        <v>4</v>
      </c>
      <c r="S40" s="214">
        <v>64</v>
      </c>
      <c r="T40" s="215">
        <v>4</v>
      </c>
      <c r="U40" s="216">
        <v>64</v>
      </c>
    </row>
    <row r="41" spans="2:21" ht="18" customHeight="1" thickBot="1">
      <c r="B41" s="561"/>
      <c r="C41" s="565"/>
      <c r="D41" s="558" t="s">
        <v>16</v>
      </c>
      <c r="E41" s="558"/>
      <c r="F41" s="206">
        <f>SUM(F37:F40)</f>
        <v>256</v>
      </c>
      <c r="G41" s="205"/>
      <c r="H41" s="206"/>
      <c r="I41" s="206"/>
      <c r="J41" s="206"/>
      <c r="K41" s="206"/>
      <c r="L41" s="206"/>
      <c r="M41" s="206"/>
      <c r="N41" s="206"/>
      <c r="O41" s="206"/>
      <c r="P41" s="206">
        <v>8</v>
      </c>
      <c r="Q41" s="206">
        <v>128</v>
      </c>
      <c r="R41" s="206">
        <v>8</v>
      </c>
      <c r="S41" s="206">
        <v>128</v>
      </c>
      <c r="T41" s="189">
        <f>SUM(T37:T40)</f>
        <v>16</v>
      </c>
      <c r="U41" s="190">
        <f>SUM(U37:U40)</f>
        <v>256</v>
      </c>
    </row>
  </sheetData>
  <mergeCells count="48">
    <mergeCell ref="C37:C41"/>
    <mergeCell ref="B30:B32"/>
    <mergeCell ref="C30:C32"/>
    <mergeCell ref="B33:B36"/>
    <mergeCell ref="C33:C36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D41:E41"/>
    <mergeCell ref="D32:E32"/>
    <mergeCell ref="B24:B26"/>
    <mergeCell ref="B9:B20"/>
    <mergeCell ref="C9:C20"/>
    <mergeCell ref="D20:E20"/>
    <mergeCell ref="B21:B23"/>
    <mergeCell ref="C21:C23"/>
    <mergeCell ref="D23:E23"/>
    <mergeCell ref="D36:E36"/>
    <mergeCell ref="C24:C26"/>
    <mergeCell ref="D26:E26"/>
    <mergeCell ref="B27:B29"/>
    <mergeCell ref="C27:C29"/>
    <mergeCell ref="D29:E29"/>
    <mergeCell ref="B37:B41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0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7B0B-D2E2-40B1-9D04-EE5DBC633379}">
  <sheetPr>
    <pageSetUpPr fitToPage="1"/>
  </sheetPr>
  <dimension ref="B1:AD92"/>
  <sheetViews>
    <sheetView view="pageBreakPreview" topLeftCell="E1" zoomScaleNormal="100" zoomScaleSheetLayoutView="100" workbookViewId="0">
      <pane ySplit="8" topLeftCell="A24" activePane="bottomLeft" state="frozen"/>
      <selection pane="bottomLeft" activeCell="F45" sqref="F45:G45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22.25" style="4" bestFit="1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531" t="s">
        <v>690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2"/>
      <c r="V2" s="533" t="s">
        <v>130</v>
      </c>
      <c r="W2" s="534"/>
      <c r="X2" s="535">
        <v>2027</v>
      </c>
      <c r="Y2" s="536"/>
      <c r="AA2" s="537" t="s">
        <v>143</v>
      </c>
      <c r="AB2" s="15" t="s">
        <v>144</v>
      </c>
      <c r="AC2" s="21" t="s">
        <v>152</v>
      </c>
      <c r="AD2" s="16" t="s">
        <v>145</v>
      </c>
    </row>
    <row r="3" spans="2:30" ht="17.25" thickBot="1">
      <c r="B3" s="540" t="s">
        <v>364</v>
      </c>
      <c r="C3" s="542" t="s">
        <v>53</v>
      </c>
      <c r="D3" s="543"/>
      <c r="E3" s="543"/>
      <c r="F3" s="542" t="s">
        <v>64</v>
      </c>
      <c r="G3" s="546"/>
      <c r="H3" s="542" t="s">
        <v>54</v>
      </c>
      <c r="I3" s="543"/>
      <c r="J3" s="543"/>
      <c r="K3" s="542" t="s">
        <v>55</v>
      </c>
      <c r="L3" s="543"/>
      <c r="M3" s="543"/>
      <c r="N3" s="543"/>
      <c r="O3" s="546"/>
      <c r="P3" s="548" t="s">
        <v>56</v>
      </c>
      <c r="Q3" s="549"/>
      <c r="R3" s="549"/>
      <c r="S3" s="549"/>
      <c r="T3" s="549"/>
      <c r="U3" s="549"/>
      <c r="V3" s="549"/>
      <c r="W3" s="549"/>
      <c r="X3" s="549"/>
      <c r="Y3" s="550"/>
      <c r="AA3" s="538"/>
      <c r="AB3" s="17" t="s">
        <v>146</v>
      </c>
      <c r="AC3" s="23" t="s">
        <v>691</v>
      </c>
      <c r="AD3" s="18" t="s">
        <v>516</v>
      </c>
    </row>
    <row r="4" spans="2:30" ht="17.25" thickBot="1">
      <c r="B4" s="541"/>
      <c r="C4" s="544"/>
      <c r="D4" s="545"/>
      <c r="E4" s="545"/>
      <c r="F4" s="544"/>
      <c r="G4" s="547"/>
      <c r="H4" s="544"/>
      <c r="I4" s="545"/>
      <c r="J4" s="545"/>
      <c r="K4" s="544"/>
      <c r="L4" s="545"/>
      <c r="M4" s="545"/>
      <c r="N4" s="545"/>
      <c r="O4" s="547"/>
      <c r="P4" s="548" t="s">
        <v>127</v>
      </c>
      <c r="Q4" s="549"/>
      <c r="R4" s="549"/>
      <c r="S4" s="549"/>
      <c r="T4" s="548" t="s">
        <v>61</v>
      </c>
      <c r="U4" s="549"/>
      <c r="V4" s="550"/>
      <c r="W4" s="549" t="s">
        <v>128</v>
      </c>
      <c r="X4" s="549"/>
      <c r="Y4" s="550"/>
      <c r="AA4" s="538"/>
      <c r="AB4" s="19" t="s">
        <v>147</v>
      </c>
      <c r="AC4" s="24" t="s">
        <v>692</v>
      </c>
      <c r="AD4" s="18" t="s">
        <v>698</v>
      </c>
    </row>
    <row r="5" spans="2:30" ht="26.25" customHeight="1" thickBot="1">
      <c r="B5" s="48" t="s">
        <v>514</v>
      </c>
      <c r="C5" s="551" t="s">
        <v>517</v>
      </c>
      <c r="D5" s="552"/>
      <c r="E5" s="553"/>
      <c r="F5" s="551" t="s">
        <v>150</v>
      </c>
      <c r="G5" s="554"/>
      <c r="H5" s="555" t="s">
        <v>518</v>
      </c>
      <c r="I5" s="552"/>
      <c r="J5" s="553"/>
      <c r="K5" s="551"/>
      <c r="L5" s="552"/>
      <c r="M5" s="552"/>
      <c r="N5" s="552"/>
      <c r="O5" s="554"/>
      <c r="P5" s="555" t="s">
        <v>520</v>
      </c>
      <c r="Q5" s="552"/>
      <c r="R5" s="552"/>
      <c r="S5" s="553"/>
      <c r="T5" s="551" t="s">
        <v>34</v>
      </c>
      <c r="U5" s="552"/>
      <c r="V5" s="553"/>
      <c r="W5" s="556" t="s">
        <v>523</v>
      </c>
      <c r="X5" s="557"/>
      <c r="Y5" s="446"/>
      <c r="AA5" s="539"/>
      <c r="AB5" s="155" t="s">
        <v>148</v>
      </c>
      <c r="AC5" s="156" t="s">
        <v>693</v>
      </c>
      <c r="AD5" s="158" t="s">
        <v>700</v>
      </c>
    </row>
    <row r="6" spans="2:30" ht="15.75" customHeight="1" thickBot="1">
      <c r="U6" s="517"/>
      <c r="V6" s="517"/>
      <c r="W6" s="517"/>
      <c r="X6" s="517"/>
      <c r="Y6" s="517"/>
    </row>
    <row r="7" spans="2:30" s="10" customFormat="1" ht="22.5" customHeight="1">
      <c r="B7" s="518" t="s">
        <v>2</v>
      </c>
      <c r="C7" s="519"/>
      <c r="D7" s="522" t="s">
        <v>120</v>
      </c>
      <c r="E7" s="524" t="s">
        <v>57</v>
      </c>
      <c r="F7" s="525"/>
      <c r="G7" s="508"/>
      <c r="H7" s="504" t="s">
        <v>133</v>
      </c>
      <c r="I7" s="526" t="s">
        <v>134</v>
      </c>
      <c r="J7" s="505" t="s">
        <v>135</v>
      </c>
      <c r="K7" s="527" t="s">
        <v>58</v>
      </c>
      <c r="L7" s="526"/>
      <c r="M7" s="526"/>
      <c r="N7" s="528"/>
      <c r="O7" s="529" t="s">
        <v>59</v>
      </c>
      <c r="P7" s="526"/>
      <c r="Q7" s="526"/>
      <c r="R7" s="528"/>
      <c r="S7" s="527" t="s">
        <v>60</v>
      </c>
      <c r="T7" s="526"/>
      <c r="U7" s="526"/>
      <c r="V7" s="530"/>
      <c r="W7" s="504" t="s">
        <v>136</v>
      </c>
      <c r="X7" s="505"/>
      <c r="Y7" s="508" t="s">
        <v>137</v>
      </c>
      <c r="Z7" s="9"/>
    </row>
    <row r="8" spans="2:30" s="10" customFormat="1" ht="22.5" customHeight="1" thickBot="1">
      <c r="B8" s="520"/>
      <c r="C8" s="521"/>
      <c r="D8" s="523"/>
      <c r="E8" s="20" t="s">
        <v>18</v>
      </c>
      <c r="F8" s="510" t="s">
        <v>19</v>
      </c>
      <c r="G8" s="511"/>
      <c r="H8" s="506"/>
      <c r="I8" s="513"/>
      <c r="J8" s="507"/>
      <c r="K8" s="512" t="s">
        <v>0</v>
      </c>
      <c r="L8" s="513"/>
      <c r="M8" s="513" t="s">
        <v>62</v>
      </c>
      <c r="N8" s="514"/>
      <c r="O8" s="515" t="s">
        <v>0</v>
      </c>
      <c r="P8" s="513"/>
      <c r="Q8" s="513" t="s">
        <v>62</v>
      </c>
      <c r="R8" s="514"/>
      <c r="S8" s="512" t="s">
        <v>0</v>
      </c>
      <c r="T8" s="513"/>
      <c r="U8" s="513" t="s">
        <v>62</v>
      </c>
      <c r="V8" s="516"/>
      <c r="W8" s="506"/>
      <c r="X8" s="507"/>
      <c r="Y8" s="509"/>
      <c r="AA8" s="495" t="s">
        <v>504</v>
      </c>
      <c r="AB8" s="495"/>
      <c r="AC8" s="495"/>
      <c r="AD8" s="495"/>
    </row>
    <row r="9" spans="2:30" ht="18" customHeight="1" thickBot="1">
      <c r="B9" s="496" t="s">
        <v>341</v>
      </c>
      <c r="C9" s="481"/>
      <c r="D9" s="470" t="s">
        <v>21</v>
      </c>
      <c r="E9" s="25" t="s">
        <v>12</v>
      </c>
      <c r="F9" s="477" t="s">
        <v>205</v>
      </c>
      <c r="G9" s="478"/>
      <c r="H9" s="26">
        <v>4</v>
      </c>
      <c r="I9" s="27" t="s">
        <v>342</v>
      </c>
      <c r="J9" s="28">
        <v>3</v>
      </c>
      <c r="K9" s="459">
        <v>3</v>
      </c>
      <c r="L9" s="461"/>
      <c r="M9" s="462"/>
      <c r="N9" s="463"/>
      <c r="O9" s="464"/>
      <c r="P9" s="461"/>
      <c r="Q9" s="462"/>
      <c r="R9" s="463"/>
      <c r="S9" s="500"/>
      <c r="T9" s="501"/>
      <c r="U9" s="502"/>
      <c r="V9" s="503"/>
      <c r="W9" s="29">
        <f>SUM(K9:V9)</f>
        <v>3</v>
      </c>
      <c r="X9" s="322">
        <f>SUM(W9:W11)</f>
        <v>11</v>
      </c>
      <c r="Y9" s="456">
        <v>24</v>
      </c>
      <c r="AA9" s="109" t="s">
        <v>18</v>
      </c>
      <c r="AB9" s="110" t="s">
        <v>510</v>
      </c>
      <c r="AC9" s="110" t="s">
        <v>511</v>
      </c>
      <c r="AD9" s="111" t="s">
        <v>512</v>
      </c>
    </row>
    <row r="10" spans="2:30" ht="18" customHeight="1" thickBot="1">
      <c r="B10" s="497"/>
      <c r="C10" s="482"/>
      <c r="D10" s="471"/>
      <c r="E10" s="30" t="s">
        <v>12</v>
      </c>
      <c r="F10" s="493" t="s">
        <v>206</v>
      </c>
      <c r="G10" s="494"/>
      <c r="H10" s="127">
        <v>4</v>
      </c>
      <c r="I10" s="128" t="s">
        <v>342</v>
      </c>
      <c r="J10" s="129">
        <v>4</v>
      </c>
      <c r="K10" s="434"/>
      <c r="L10" s="427"/>
      <c r="M10" s="419">
        <v>4</v>
      </c>
      <c r="N10" s="428"/>
      <c r="O10" s="426"/>
      <c r="P10" s="427"/>
      <c r="Q10" s="419"/>
      <c r="R10" s="428"/>
      <c r="S10" s="426"/>
      <c r="T10" s="427"/>
      <c r="U10" s="419"/>
      <c r="V10" s="420"/>
      <c r="W10" s="31">
        <f t="shared" ref="W10:W23" si="0">SUM(K10:V10)</f>
        <v>4</v>
      </c>
      <c r="X10" s="324"/>
      <c r="Y10" s="456"/>
      <c r="AA10" s="112" t="s">
        <v>505</v>
      </c>
      <c r="AB10" s="113">
        <v>4</v>
      </c>
      <c r="AC10" s="113">
        <v>-1</v>
      </c>
      <c r="AD10" s="18" t="s">
        <v>342</v>
      </c>
    </row>
    <row r="11" spans="2:30" ht="18" customHeight="1" thickBot="1">
      <c r="B11" s="497"/>
      <c r="C11" s="482"/>
      <c r="D11" s="473"/>
      <c r="E11" s="32" t="s">
        <v>343</v>
      </c>
      <c r="F11" s="489" t="s">
        <v>344</v>
      </c>
      <c r="G11" s="490"/>
      <c r="H11" s="130">
        <v>4</v>
      </c>
      <c r="I11" s="131" t="s">
        <v>345</v>
      </c>
      <c r="J11" s="132">
        <v>4</v>
      </c>
      <c r="K11" s="465"/>
      <c r="L11" s="467"/>
      <c r="M11" s="468"/>
      <c r="N11" s="469"/>
      <c r="O11" s="472">
        <v>4</v>
      </c>
      <c r="P11" s="467"/>
      <c r="Q11" s="468"/>
      <c r="R11" s="469"/>
      <c r="S11" s="472"/>
      <c r="T11" s="467"/>
      <c r="U11" s="468"/>
      <c r="V11" s="466"/>
      <c r="W11" s="31">
        <f t="shared" si="0"/>
        <v>4</v>
      </c>
      <c r="X11" s="324"/>
      <c r="Y11" s="456"/>
      <c r="AA11" s="112" t="s">
        <v>506</v>
      </c>
      <c r="AB11" s="113">
        <v>3</v>
      </c>
      <c r="AC11" s="113"/>
      <c r="AD11" s="18">
        <v>3</v>
      </c>
    </row>
    <row r="12" spans="2:30" ht="18" customHeight="1" thickBot="1">
      <c r="B12" s="497"/>
      <c r="C12" s="482"/>
      <c r="D12" s="470" t="s">
        <v>5</v>
      </c>
      <c r="E12" s="25" t="s">
        <v>12</v>
      </c>
      <c r="F12" s="477" t="s">
        <v>217</v>
      </c>
      <c r="G12" s="478"/>
      <c r="H12" s="133">
        <v>4</v>
      </c>
      <c r="I12" s="134" t="s">
        <v>342</v>
      </c>
      <c r="J12" s="135">
        <v>4</v>
      </c>
      <c r="K12" s="459">
        <v>4</v>
      </c>
      <c r="L12" s="461"/>
      <c r="M12" s="462"/>
      <c r="N12" s="463"/>
      <c r="O12" s="464"/>
      <c r="P12" s="461"/>
      <c r="Q12" s="462"/>
      <c r="R12" s="463"/>
      <c r="S12" s="464"/>
      <c r="T12" s="461"/>
      <c r="U12" s="462"/>
      <c r="V12" s="460"/>
      <c r="W12" s="29">
        <f t="shared" si="0"/>
        <v>4</v>
      </c>
      <c r="X12" s="322">
        <f t="shared" ref="X12" si="1">SUM(W12:W14)</f>
        <v>11</v>
      </c>
      <c r="Y12" s="456"/>
      <c r="AA12" s="112" t="s">
        <v>507</v>
      </c>
      <c r="AB12" s="113">
        <v>4</v>
      </c>
      <c r="AC12" s="113" t="s">
        <v>513</v>
      </c>
      <c r="AD12" s="18" t="s">
        <v>345</v>
      </c>
    </row>
    <row r="13" spans="2:30" ht="18" customHeight="1" thickBot="1">
      <c r="B13" s="497"/>
      <c r="C13" s="482"/>
      <c r="D13" s="471"/>
      <c r="E13" s="30" t="s">
        <v>12</v>
      </c>
      <c r="F13" s="493" t="s">
        <v>219</v>
      </c>
      <c r="G13" s="494"/>
      <c r="H13" s="127">
        <v>4</v>
      </c>
      <c r="I13" s="128" t="s">
        <v>342</v>
      </c>
      <c r="J13" s="129">
        <v>4</v>
      </c>
      <c r="K13" s="434"/>
      <c r="L13" s="427"/>
      <c r="M13" s="419">
        <v>4</v>
      </c>
      <c r="N13" s="428"/>
      <c r="O13" s="426"/>
      <c r="P13" s="427"/>
      <c r="Q13" s="419"/>
      <c r="R13" s="428"/>
      <c r="S13" s="426"/>
      <c r="T13" s="427"/>
      <c r="U13" s="419"/>
      <c r="V13" s="420"/>
      <c r="W13" s="31">
        <f t="shared" si="0"/>
        <v>4</v>
      </c>
      <c r="X13" s="324"/>
      <c r="Y13" s="456"/>
      <c r="AA13" s="112" t="s">
        <v>508</v>
      </c>
      <c r="AB13" s="113">
        <v>3</v>
      </c>
      <c r="AC13" s="113" t="s">
        <v>513</v>
      </c>
      <c r="AD13" s="18" t="s">
        <v>352</v>
      </c>
    </row>
    <row r="14" spans="2:30" ht="18" customHeight="1" thickBot="1">
      <c r="B14" s="497"/>
      <c r="C14" s="482"/>
      <c r="D14" s="473"/>
      <c r="E14" s="32" t="s">
        <v>343</v>
      </c>
      <c r="F14" s="489" t="s">
        <v>346</v>
      </c>
      <c r="G14" s="490"/>
      <c r="H14" s="130">
        <v>4</v>
      </c>
      <c r="I14" s="131" t="s">
        <v>345</v>
      </c>
      <c r="J14" s="132">
        <v>3</v>
      </c>
      <c r="K14" s="465"/>
      <c r="L14" s="467"/>
      <c r="M14" s="468"/>
      <c r="N14" s="469"/>
      <c r="O14" s="472"/>
      <c r="P14" s="467"/>
      <c r="Q14" s="468">
        <v>3</v>
      </c>
      <c r="R14" s="469"/>
      <c r="S14" s="472"/>
      <c r="T14" s="467"/>
      <c r="U14" s="468"/>
      <c r="V14" s="466"/>
      <c r="W14" s="31">
        <f t="shared" si="0"/>
        <v>3</v>
      </c>
      <c r="X14" s="324"/>
      <c r="Y14" s="456"/>
      <c r="AA14" s="114" t="s">
        <v>509</v>
      </c>
      <c r="AB14" s="491" t="s">
        <v>515</v>
      </c>
      <c r="AC14" s="491"/>
      <c r="AD14" s="492"/>
    </row>
    <row r="15" spans="2:30" ht="18" customHeight="1" thickBot="1">
      <c r="B15" s="497"/>
      <c r="C15" s="482"/>
      <c r="D15" s="470" t="s">
        <v>6</v>
      </c>
      <c r="E15" s="25" t="s">
        <v>12</v>
      </c>
      <c r="F15" s="477" t="s">
        <v>224</v>
      </c>
      <c r="G15" s="478"/>
      <c r="H15" s="133">
        <v>4</v>
      </c>
      <c r="I15" s="134" t="s">
        <v>342</v>
      </c>
      <c r="J15" s="135">
        <v>3</v>
      </c>
      <c r="K15" s="459">
        <v>3</v>
      </c>
      <c r="L15" s="461"/>
      <c r="M15" s="462"/>
      <c r="N15" s="463"/>
      <c r="O15" s="464"/>
      <c r="P15" s="461"/>
      <c r="Q15" s="462"/>
      <c r="R15" s="463"/>
      <c r="S15" s="464"/>
      <c r="T15" s="461"/>
      <c r="U15" s="462"/>
      <c r="V15" s="460"/>
      <c r="W15" s="29">
        <f t="shared" si="0"/>
        <v>3</v>
      </c>
      <c r="X15" s="322">
        <f t="shared" ref="X15" si="2">SUM(W15:W17)</f>
        <v>11</v>
      </c>
      <c r="Y15" s="456"/>
    </row>
    <row r="16" spans="2:30" ht="18" customHeight="1" thickBot="1">
      <c r="B16" s="497"/>
      <c r="C16" s="482"/>
      <c r="D16" s="471"/>
      <c r="E16" s="30" t="s">
        <v>12</v>
      </c>
      <c r="F16" s="493" t="s">
        <v>230</v>
      </c>
      <c r="G16" s="494"/>
      <c r="H16" s="127">
        <v>4</v>
      </c>
      <c r="I16" s="128" t="s">
        <v>342</v>
      </c>
      <c r="J16" s="129">
        <v>4</v>
      </c>
      <c r="K16" s="434"/>
      <c r="L16" s="427"/>
      <c r="M16" s="419">
        <v>4</v>
      </c>
      <c r="N16" s="428"/>
      <c r="O16" s="426"/>
      <c r="P16" s="427"/>
      <c r="Q16" s="419"/>
      <c r="R16" s="428"/>
      <c r="S16" s="426"/>
      <c r="T16" s="427"/>
      <c r="U16" s="419"/>
      <c r="V16" s="420"/>
      <c r="W16" s="31">
        <f t="shared" si="0"/>
        <v>4</v>
      </c>
      <c r="X16" s="324"/>
      <c r="Y16" s="456"/>
    </row>
    <row r="17" spans="2:29" ht="18" customHeight="1" thickBot="1">
      <c r="B17" s="497"/>
      <c r="C17" s="482"/>
      <c r="D17" s="473"/>
      <c r="E17" s="34" t="s">
        <v>343</v>
      </c>
      <c r="F17" s="489" t="s">
        <v>347</v>
      </c>
      <c r="G17" s="490"/>
      <c r="H17" s="130">
        <v>4</v>
      </c>
      <c r="I17" s="131" t="s">
        <v>345</v>
      </c>
      <c r="J17" s="132">
        <v>4</v>
      </c>
      <c r="K17" s="465"/>
      <c r="L17" s="467"/>
      <c r="M17" s="468"/>
      <c r="N17" s="469"/>
      <c r="O17" s="472"/>
      <c r="P17" s="467"/>
      <c r="Q17" s="468">
        <v>4</v>
      </c>
      <c r="R17" s="469"/>
      <c r="S17" s="472"/>
      <c r="T17" s="467"/>
      <c r="U17" s="468"/>
      <c r="V17" s="466"/>
      <c r="W17" s="31">
        <f t="shared" si="0"/>
        <v>4</v>
      </c>
      <c r="X17" s="324"/>
      <c r="Y17" s="456"/>
    </row>
    <row r="18" spans="2:29" ht="18" customHeight="1" thickBot="1">
      <c r="B18" s="497"/>
      <c r="C18" s="482"/>
      <c r="D18" s="470" t="s">
        <v>348</v>
      </c>
      <c r="E18" s="25" t="s">
        <v>12</v>
      </c>
      <c r="F18" s="477" t="s">
        <v>238</v>
      </c>
      <c r="G18" s="478"/>
      <c r="H18" s="133">
        <v>3</v>
      </c>
      <c r="I18" s="136" t="s">
        <v>349</v>
      </c>
      <c r="J18" s="135">
        <v>3</v>
      </c>
      <c r="K18" s="483"/>
      <c r="L18" s="484"/>
      <c r="M18" s="485"/>
      <c r="N18" s="486"/>
      <c r="O18" s="487">
        <v>3</v>
      </c>
      <c r="P18" s="484"/>
      <c r="Q18" s="485"/>
      <c r="R18" s="486"/>
      <c r="S18" s="487"/>
      <c r="T18" s="484"/>
      <c r="U18" s="485"/>
      <c r="V18" s="488"/>
      <c r="W18" s="29">
        <f t="shared" si="0"/>
        <v>3</v>
      </c>
      <c r="X18" s="322">
        <f>SUM(W18:W19)</f>
        <v>6</v>
      </c>
      <c r="Y18" s="456">
        <v>6</v>
      </c>
    </row>
    <row r="19" spans="2:29" ht="18" customHeight="1" thickBot="1">
      <c r="B19" s="497"/>
      <c r="C19" s="482"/>
      <c r="D19" s="471"/>
      <c r="E19" s="35" t="s">
        <v>12</v>
      </c>
      <c r="F19" s="479" t="s">
        <v>239</v>
      </c>
      <c r="G19" s="480"/>
      <c r="H19" s="137">
        <v>3</v>
      </c>
      <c r="I19" s="138" t="s">
        <v>349</v>
      </c>
      <c r="J19" s="139">
        <v>3</v>
      </c>
      <c r="K19" s="465"/>
      <c r="L19" s="467"/>
      <c r="M19" s="468"/>
      <c r="N19" s="469"/>
      <c r="O19" s="472"/>
      <c r="P19" s="467"/>
      <c r="Q19" s="468">
        <v>3</v>
      </c>
      <c r="R19" s="469"/>
      <c r="S19" s="472"/>
      <c r="T19" s="467"/>
      <c r="U19" s="468"/>
      <c r="V19" s="466"/>
      <c r="W19" s="36">
        <f t="shared" si="0"/>
        <v>3</v>
      </c>
      <c r="X19" s="323"/>
      <c r="Y19" s="456"/>
      <c r="AA19" s="332"/>
      <c r="AB19" s="332"/>
      <c r="AC19" s="120"/>
    </row>
    <row r="20" spans="2:29" ht="18" customHeight="1" thickBot="1">
      <c r="B20" s="497"/>
      <c r="C20" s="482"/>
      <c r="D20" s="471"/>
      <c r="E20" s="25" t="s">
        <v>12</v>
      </c>
      <c r="F20" s="477" t="s">
        <v>241</v>
      </c>
      <c r="G20" s="478"/>
      <c r="H20" s="133">
        <v>4</v>
      </c>
      <c r="I20" s="136" t="s">
        <v>342</v>
      </c>
      <c r="J20" s="135">
        <v>3</v>
      </c>
      <c r="K20" s="459">
        <v>3</v>
      </c>
      <c r="L20" s="461"/>
      <c r="M20" s="462"/>
      <c r="N20" s="463"/>
      <c r="O20" s="464"/>
      <c r="P20" s="461"/>
      <c r="Q20" s="462"/>
      <c r="R20" s="463"/>
      <c r="S20" s="464"/>
      <c r="T20" s="461"/>
      <c r="U20" s="462"/>
      <c r="V20" s="460"/>
      <c r="W20" s="29">
        <f t="shared" si="0"/>
        <v>3</v>
      </c>
      <c r="X20" s="322">
        <f>SUM(W20:W21)</f>
        <v>6</v>
      </c>
      <c r="Y20" s="456">
        <v>12</v>
      </c>
    </row>
    <row r="21" spans="2:29" ht="18" customHeight="1" thickBot="1">
      <c r="B21" s="497"/>
      <c r="C21" s="482"/>
      <c r="D21" s="473"/>
      <c r="E21" s="34" t="s">
        <v>12</v>
      </c>
      <c r="F21" s="489" t="s">
        <v>242</v>
      </c>
      <c r="G21" s="490"/>
      <c r="H21" s="130">
        <v>4</v>
      </c>
      <c r="I21" s="131" t="s">
        <v>342</v>
      </c>
      <c r="J21" s="132">
        <v>3</v>
      </c>
      <c r="K21" s="465"/>
      <c r="L21" s="467"/>
      <c r="M21" s="468">
        <v>3</v>
      </c>
      <c r="N21" s="469"/>
      <c r="O21" s="472"/>
      <c r="P21" s="467"/>
      <c r="Q21" s="468"/>
      <c r="R21" s="469"/>
      <c r="S21" s="472"/>
      <c r="T21" s="467"/>
      <c r="U21" s="468"/>
      <c r="V21" s="466"/>
      <c r="W21" s="36">
        <f t="shared" si="0"/>
        <v>3</v>
      </c>
      <c r="X21" s="323"/>
      <c r="Y21" s="456"/>
    </row>
    <row r="22" spans="2:29" ht="18" customHeight="1" thickBot="1">
      <c r="B22" s="497"/>
      <c r="C22" s="482"/>
      <c r="D22" s="470" t="s">
        <v>26</v>
      </c>
      <c r="E22" s="25" t="s">
        <v>12</v>
      </c>
      <c r="F22" s="459" t="s">
        <v>259</v>
      </c>
      <c r="G22" s="460"/>
      <c r="H22" s="133">
        <v>4</v>
      </c>
      <c r="I22" s="136" t="s">
        <v>342</v>
      </c>
      <c r="J22" s="135">
        <v>3</v>
      </c>
      <c r="K22" s="459">
        <v>3</v>
      </c>
      <c r="L22" s="461"/>
      <c r="M22" s="462"/>
      <c r="N22" s="463"/>
      <c r="O22" s="464"/>
      <c r="P22" s="461"/>
      <c r="Q22" s="462"/>
      <c r="R22" s="463"/>
      <c r="S22" s="464"/>
      <c r="T22" s="461"/>
      <c r="U22" s="462"/>
      <c r="V22" s="460"/>
      <c r="W22" s="29">
        <f t="shared" si="0"/>
        <v>3</v>
      </c>
      <c r="X22" s="481">
        <f>SUM(W22:W23)</f>
        <v>6</v>
      </c>
      <c r="Y22" s="456"/>
    </row>
    <row r="23" spans="2:29" ht="18" customHeight="1" thickBot="1">
      <c r="B23" s="497"/>
      <c r="C23" s="482"/>
      <c r="D23" s="471"/>
      <c r="E23" s="30" t="s">
        <v>12</v>
      </c>
      <c r="F23" s="434" t="s">
        <v>260</v>
      </c>
      <c r="G23" s="420"/>
      <c r="H23" s="127">
        <v>4</v>
      </c>
      <c r="I23" s="128" t="s">
        <v>342</v>
      </c>
      <c r="J23" s="129">
        <v>3</v>
      </c>
      <c r="K23" s="434"/>
      <c r="L23" s="427"/>
      <c r="M23" s="419">
        <v>3</v>
      </c>
      <c r="N23" s="428"/>
      <c r="O23" s="426"/>
      <c r="P23" s="427"/>
      <c r="Q23" s="419"/>
      <c r="R23" s="428"/>
      <c r="S23" s="426"/>
      <c r="T23" s="427"/>
      <c r="U23" s="419"/>
      <c r="V23" s="420"/>
      <c r="W23" s="31">
        <f t="shared" si="0"/>
        <v>3</v>
      </c>
      <c r="X23" s="482"/>
      <c r="Y23" s="456"/>
    </row>
    <row r="24" spans="2:29" ht="18" customHeight="1" thickBot="1">
      <c r="B24" s="497"/>
      <c r="C24" s="482"/>
      <c r="D24" s="470" t="s">
        <v>8</v>
      </c>
      <c r="E24" s="25" t="s">
        <v>350</v>
      </c>
      <c r="F24" s="459" t="s">
        <v>351</v>
      </c>
      <c r="G24" s="460"/>
      <c r="H24" s="133">
        <v>3</v>
      </c>
      <c r="I24" s="136" t="s">
        <v>352</v>
      </c>
      <c r="J24" s="135">
        <f t="shared" ref="J24:J25" si="3">SUM(K24:V24)</f>
        <v>2</v>
      </c>
      <c r="K24" s="459">
        <v>2</v>
      </c>
      <c r="L24" s="461"/>
      <c r="M24" s="462"/>
      <c r="N24" s="463"/>
      <c r="O24" s="464"/>
      <c r="P24" s="461"/>
      <c r="Q24" s="462"/>
      <c r="R24" s="463"/>
      <c r="S24" s="464"/>
      <c r="T24" s="461"/>
      <c r="U24" s="462"/>
      <c r="V24" s="460"/>
      <c r="W24" s="29">
        <f>SUM(K24:V24)</f>
        <v>2</v>
      </c>
      <c r="X24" s="474">
        <f>SUM(W24:W27)</f>
        <v>8</v>
      </c>
      <c r="Y24" s="456">
        <v>8</v>
      </c>
    </row>
    <row r="25" spans="2:29" ht="18" customHeight="1" thickBot="1">
      <c r="B25" s="497"/>
      <c r="C25" s="482"/>
      <c r="D25" s="471"/>
      <c r="E25" s="30" t="s">
        <v>350</v>
      </c>
      <c r="F25" s="434" t="s">
        <v>353</v>
      </c>
      <c r="G25" s="420"/>
      <c r="H25" s="127">
        <v>3</v>
      </c>
      <c r="I25" s="128" t="s">
        <v>352</v>
      </c>
      <c r="J25" s="129">
        <f t="shared" si="3"/>
        <v>2</v>
      </c>
      <c r="K25" s="434"/>
      <c r="L25" s="427"/>
      <c r="M25" s="419">
        <v>2</v>
      </c>
      <c r="N25" s="428"/>
      <c r="O25" s="426"/>
      <c r="P25" s="427"/>
      <c r="Q25" s="419"/>
      <c r="R25" s="428"/>
      <c r="S25" s="426"/>
      <c r="T25" s="427"/>
      <c r="U25" s="419"/>
      <c r="V25" s="420"/>
      <c r="W25" s="31">
        <f t="shared" ref="W25:W27" si="4">SUM(K25:V25)</f>
        <v>2</v>
      </c>
      <c r="X25" s="475"/>
      <c r="Y25" s="456"/>
    </row>
    <row r="26" spans="2:29" ht="18" customHeight="1" thickBot="1">
      <c r="B26" s="497"/>
      <c r="C26" s="482"/>
      <c r="D26" s="471"/>
      <c r="E26" s="30" t="s">
        <v>343</v>
      </c>
      <c r="F26" s="434" t="s">
        <v>525</v>
      </c>
      <c r="G26" s="420"/>
      <c r="H26" s="127">
        <v>3</v>
      </c>
      <c r="I26" s="128" t="s">
        <v>352</v>
      </c>
      <c r="J26" s="129">
        <v>2</v>
      </c>
      <c r="K26" s="434"/>
      <c r="L26" s="427"/>
      <c r="M26" s="419"/>
      <c r="N26" s="428"/>
      <c r="O26" s="426">
        <v>2</v>
      </c>
      <c r="P26" s="427"/>
      <c r="Q26" s="419"/>
      <c r="R26" s="428"/>
      <c r="S26" s="426"/>
      <c r="T26" s="427"/>
      <c r="U26" s="419"/>
      <c r="V26" s="420"/>
      <c r="W26" s="31">
        <f t="shared" si="4"/>
        <v>2</v>
      </c>
      <c r="X26" s="475"/>
      <c r="Y26" s="456"/>
    </row>
    <row r="27" spans="2:29" ht="18" customHeight="1" thickBot="1">
      <c r="B27" s="497"/>
      <c r="C27" s="482"/>
      <c r="D27" s="473"/>
      <c r="E27" s="34" t="s">
        <v>343</v>
      </c>
      <c r="F27" s="465" t="s">
        <v>372</v>
      </c>
      <c r="G27" s="466"/>
      <c r="H27" s="130">
        <v>2</v>
      </c>
      <c r="I27" s="131" t="s">
        <v>354</v>
      </c>
      <c r="J27" s="132">
        <v>2</v>
      </c>
      <c r="K27" s="465"/>
      <c r="L27" s="467"/>
      <c r="M27" s="468"/>
      <c r="N27" s="469"/>
      <c r="O27" s="472"/>
      <c r="P27" s="467"/>
      <c r="Q27" s="468">
        <v>2</v>
      </c>
      <c r="R27" s="469"/>
      <c r="S27" s="472"/>
      <c r="T27" s="467"/>
      <c r="U27" s="468"/>
      <c r="V27" s="466"/>
      <c r="W27" s="36">
        <f t="shared" si="4"/>
        <v>2</v>
      </c>
      <c r="X27" s="476"/>
      <c r="Y27" s="456"/>
    </row>
    <row r="28" spans="2:29" ht="18" customHeight="1" thickBot="1">
      <c r="B28" s="497"/>
      <c r="C28" s="482"/>
      <c r="D28" s="470" t="s">
        <v>28</v>
      </c>
      <c r="E28" s="25" t="s">
        <v>350</v>
      </c>
      <c r="F28" s="459" t="s">
        <v>9</v>
      </c>
      <c r="G28" s="460"/>
      <c r="H28" s="133">
        <v>3</v>
      </c>
      <c r="I28" s="140" t="s">
        <v>352</v>
      </c>
      <c r="J28" s="135">
        <v>3</v>
      </c>
      <c r="K28" s="459">
        <v>3</v>
      </c>
      <c r="L28" s="461"/>
      <c r="M28" s="462"/>
      <c r="N28" s="463"/>
      <c r="O28" s="464"/>
      <c r="P28" s="461"/>
      <c r="Q28" s="462"/>
      <c r="R28" s="463"/>
      <c r="S28" s="464"/>
      <c r="T28" s="461"/>
      <c r="U28" s="462"/>
      <c r="V28" s="460"/>
      <c r="W28" s="301">
        <f>SUM(K28:V29)</f>
        <v>6</v>
      </c>
      <c r="X28" s="302"/>
      <c r="Y28" s="456">
        <v>6</v>
      </c>
    </row>
    <row r="29" spans="2:29" ht="18" customHeight="1" thickBot="1">
      <c r="B29" s="497"/>
      <c r="C29" s="482"/>
      <c r="D29" s="471"/>
      <c r="E29" s="32" t="s">
        <v>343</v>
      </c>
      <c r="F29" s="434" t="s">
        <v>286</v>
      </c>
      <c r="G29" s="420"/>
      <c r="H29" s="127">
        <v>3</v>
      </c>
      <c r="I29" s="128" t="s">
        <v>352</v>
      </c>
      <c r="J29" s="129">
        <v>3</v>
      </c>
      <c r="K29" s="434"/>
      <c r="L29" s="427"/>
      <c r="M29" s="419">
        <v>3</v>
      </c>
      <c r="N29" s="428"/>
      <c r="O29" s="426"/>
      <c r="P29" s="427"/>
      <c r="Q29" s="419"/>
      <c r="R29" s="428"/>
      <c r="S29" s="426"/>
      <c r="T29" s="427"/>
      <c r="U29" s="419"/>
      <c r="V29" s="420"/>
      <c r="W29" s="305"/>
      <c r="X29" s="306"/>
      <c r="Y29" s="456"/>
    </row>
    <row r="30" spans="2:29" ht="18" customHeight="1" thickBot="1">
      <c r="B30" s="497"/>
      <c r="C30" s="482"/>
      <c r="D30" s="457" t="s">
        <v>355</v>
      </c>
      <c r="E30" s="25" t="s">
        <v>343</v>
      </c>
      <c r="F30" s="459" t="s">
        <v>51</v>
      </c>
      <c r="G30" s="460"/>
      <c r="H30" s="133">
        <v>3</v>
      </c>
      <c r="I30" s="136" t="s">
        <v>352</v>
      </c>
      <c r="J30" s="135">
        <v>2</v>
      </c>
      <c r="K30" s="459"/>
      <c r="L30" s="461"/>
      <c r="M30" s="462"/>
      <c r="N30" s="463"/>
      <c r="O30" s="464">
        <v>2</v>
      </c>
      <c r="P30" s="461"/>
      <c r="Q30" s="462"/>
      <c r="R30" s="463"/>
      <c r="S30" s="464"/>
      <c r="T30" s="461"/>
      <c r="U30" s="462"/>
      <c r="V30" s="460"/>
      <c r="W30" s="301">
        <f>SUM(K30:V32)</f>
        <v>9</v>
      </c>
      <c r="X30" s="302"/>
      <c r="Y30" s="456">
        <v>8</v>
      </c>
    </row>
    <row r="31" spans="2:29" ht="18" customHeight="1" thickBot="1">
      <c r="B31" s="497"/>
      <c r="C31" s="482"/>
      <c r="D31" s="458"/>
      <c r="E31" s="32" t="s">
        <v>350</v>
      </c>
      <c r="F31" s="434" t="s">
        <v>526</v>
      </c>
      <c r="G31" s="420"/>
      <c r="H31" s="127">
        <v>3</v>
      </c>
      <c r="I31" s="128" t="s">
        <v>352</v>
      </c>
      <c r="J31" s="129">
        <v>4</v>
      </c>
      <c r="K31" s="434"/>
      <c r="L31" s="427"/>
      <c r="M31" s="419">
        <v>4</v>
      </c>
      <c r="N31" s="428"/>
      <c r="O31" s="426"/>
      <c r="P31" s="427"/>
      <c r="Q31" s="419"/>
      <c r="R31" s="428"/>
      <c r="S31" s="426"/>
      <c r="T31" s="427"/>
      <c r="U31" s="419"/>
      <c r="V31" s="420"/>
      <c r="W31" s="305"/>
      <c r="X31" s="306"/>
      <c r="Y31" s="456"/>
    </row>
    <row r="32" spans="2:29" ht="18" customHeight="1" thickBot="1">
      <c r="B32" s="498"/>
      <c r="C32" s="499"/>
      <c r="D32" s="458"/>
      <c r="E32" s="32" t="s">
        <v>350</v>
      </c>
      <c r="F32" s="465" t="s">
        <v>358</v>
      </c>
      <c r="G32" s="466"/>
      <c r="H32" s="130">
        <v>3</v>
      </c>
      <c r="I32" s="131" t="s">
        <v>352</v>
      </c>
      <c r="J32" s="132">
        <v>3</v>
      </c>
      <c r="K32" s="465"/>
      <c r="L32" s="467"/>
      <c r="M32" s="468"/>
      <c r="N32" s="469"/>
      <c r="O32" s="426">
        <v>3</v>
      </c>
      <c r="P32" s="427"/>
      <c r="Q32" s="419"/>
      <c r="R32" s="428"/>
      <c r="S32" s="426"/>
      <c r="T32" s="427"/>
      <c r="U32" s="419"/>
      <c r="V32" s="420"/>
      <c r="W32" s="305"/>
      <c r="X32" s="306"/>
      <c r="Y32" s="456"/>
    </row>
    <row r="33" spans="2:28" ht="18" customHeight="1" thickBot="1">
      <c r="B33" s="327" t="s">
        <v>365</v>
      </c>
      <c r="C33" s="329"/>
      <c r="D33" s="329"/>
      <c r="E33" s="329"/>
      <c r="F33" s="329"/>
      <c r="G33" s="328"/>
      <c r="H33" s="121">
        <f>SUM(H9:H32)</f>
        <v>84</v>
      </c>
      <c r="I33" s="14"/>
      <c r="J33" s="124">
        <f>SUM(J9:J32)</f>
        <v>74</v>
      </c>
      <c r="K33" s="452">
        <f>SUM(K9:L32)</f>
        <v>21</v>
      </c>
      <c r="L33" s="437"/>
      <c r="M33" s="437">
        <f>SUM(M9:N32)</f>
        <v>27</v>
      </c>
      <c r="N33" s="338"/>
      <c r="O33" s="453">
        <f>SUM(O9:P32)</f>
        <v>14</v>
      </c>
      <c r="P33" s="437"/>
      <c r="Q33" s="437">
        <f>SUM(Q9:R32)</f>
        <v>12</v>
      </c>
      <c r="R33" s="454"/>
      <c r="S33" s="337">
        <f>SUM(S9:T32)</f>
        <v>0</v>
      </c>
      <c r="T33" s="437"/>
      <c r="U33" s="437">
        <f>SUM(U9:V32)</f>
        <v>0</v>
      </c>
      <c r="V33" s="438"/>
      <c r="W33" s="327">
        <f>SUM(K33:V33)</f>
        <v>74</v>
      </c>
      <c r="X33" s="337"/>
      <c r="Y33" s="124">
        <f>SUM(Y9:Y32)</f>
        <v>64</v>
      </c>
      <c r="AA33" s="325" t="b">
        <f>W33&gt;=Y33</f>
        <v>1</v>
      </c>
      <c r="AB33" s="326"/>
    </row>
    <row r="34" spans="2:28" ht="18" customHeight="1" thickBot="1">
      <c r="B34" s="439" t="s">
        <v>356</v>
      </c>
      <c r="C34" s="440"/>
      <c r="D34" s="443" t="s">
        <v>357</v>
      </c>
      <c r="E34" s="444"/>
      <c r="F34" s="445" t="s">
        <v>527</v>
      </c>
      <c r="G34" s="446"/>
      <c r="H34" s="141"/>
      <c r="I34" s="142"/>
      <c r="J34" s="143">
        <v>2</v>
      </c>
      <c r="K34" s="447"/>
      <c r="L34" s="448"/>
      <c r="M34" s="449"/>
      <c r="N34" s="450"/>
      <c r="O34" s="451"/>
      <c r="P34" s="448"/>
      <c r="Q34" s="449"/>
      <c r="R34" s="450"/>
      <c r="S34" s="451">
        <v>2</v>
      </c>
      <c r="T34" s="448"/>
      <c r="U34" s="449"/>
      <c r="V34" s="455"/>
      <c r="W34" s="307">
        <f>SUM(K34:V34)</f>
        <v>2</v>
      </c>
      <c r="X34" s="308"/>
      <c r="Y34" s="352">
        <v>80</v>
      </c>
    </row>
    <row r="35" spans="2:28" ht="18" customHeight="1">
      <c r="B35" s="441"/>
      <c r="C35" s="442"/>
      <c r="D35" s="37" t="s">
        <v>68</v>
      </c>
      <c r="E35" s="38" t="s">
        <v>359</v>
      </c>
      <c r="F35" s="435" t="s">
        <v>528</v>
      </c>
      <c r="G35" s="436"/>
      <c r="H35" s="144"/>
      <c r="I35" s="145"/>
      <c r="J35" s="146">
        <v>6</v>
      </c>
      <c r="K35" s="434">
        <v>6</v>
      </c>
      <c r="L35" s="427"/>
      <c r="M35" s="419"/>
      <c r="N35" s="425"/>
      <c r="O35" s="426"/>
      <c r="P35" s="427"/>
      <c r="Q35" s="419"/>
      <c r="R35" s="428"/>
      <c r="S35" s="425"/>
      <c r="T35" s="427"/>
      <c r="U35" s="419"/>
      <c r="V35" s="420"/>
      <c r="W35" s="421">
        <f t="shared" ref="W35:W41" si="5">SUM(K35:V35)</f>
        <v>6</v>
      </c>
      <c r="X35" s="422"/>
      <c r="Y35" s="353"/>
    </row>
    <row r="36" spans="2:28" ht="18" customHeight="1">
      <c r="B36" s="441"/>
      <c r="C36" s="442"/>
      <c r="D36" s="37" t="s">
        <v>69</v>
      </c>
      <c r="E36" s="38" t="s">
        <v>359</v>
      </c>
      <c r="F36" s="435" t="s">
        <v>550</v>
      </c>
      <c r="G36" s="436"/>
      <c r="H36" s="144"/>
      <c r="I36" s="145"/>
      <c r="J36" s="146">
        <v>3</v>
      </c>
      <c r="K36" s="434">
        <v>3</v>
      </c>
      <c r="L36" s="427"/>
      <c r="M36" s="419"/>
      <c r="N36" s="428"/>
      <c r="O36" s="426"/>
      <c r="P36" s="427"/>
      <c r="Q36" s="419"/>
      <c r="R36" s="428"/>
      <c r="S36" s="426"/>
      <c r="T36" s="427"/>
      <c r="U36" s="419"/>
      <c r="V36" s="420"/>
      <c r="W36" s="421">
        <f t="shared" si="5"/>
        <v>3</v>
      </c>
      <c r="X36" s="422"/>
      <c r="Y36" s="353"/>
    </row>
    <row r="37" spans="2:28" ht="18" customHeight="1">
      <c r="B37" s="441"/>
      <c r="C37" s="442"/>
      <c r="D37" s="37" t="s">
        <v>68</v>
      </c>
      <c r="E37" s="38" t="s">
        <v>359</v>
      </c>
      <c r="F37" s="435" t="s">
        <v>530</v>
      </c>
      <c r="G37" s="436"/>
      <c r="H37" s="144"/>
      <c r="I37" s="145"/>
      <c r="J37" s="146">
        <v>3</v>
      </c>
      <c r="K37" s="434"/>
      <c r="L37" s="427"/>
      <c r="M37" s="419">
        <v>3</v>
      </c>
      <c r="N37" s="428"/>
      <c r="O37" s="426"/>
      <c r="P37" s="427"/>
      <c r="Q37" s="419"/>
      <c r="R37" s="428"/>
      <c r="S37" s="426"/>
      <c r="T37" s="427"/>
      <c r="U37" s="419"/>
      <c r="V37" s="420"/>
      <c r="W37" s="421">
        <f t="shared" si="5"/>
        <v>3</v>
      </c>
      <c r="X37" s="422"/>
      <c r="Y37" s="353"/>
    </row>
    <row r="38" spans="2:28" ht="18" customHeight="1">
      <c r="B38" s="441"/>
      <c r="C38" s="442"/>
      <c r="D38" s="37" t="s">
        <v>68</v>
      </c>
      <c r="E38" s="38" t="s">
        <v>360</v>
      </c>
      <c r="F38" s="432" t="s">
        <v>551</v>
      </c>
      <c r="G38" s="433"/>
      <c r="H38" s="144"/>
      <c r="I38" s="145"/>
      <c r="J38" s="146">
        <v>23</v>
      </c>
      <c r="K38" s="434"/>
      <c r="L38" s="427"/>
      <c r="M38" s="419"/>
      <c r="N38" s="428"/>
      <c r="O38" s="426">
        <v>11</v>
      </c>
      <c r="P38" s="427"/>
      <c r="Q38" s="419">
        <v>12</v>
      </c>
      <c r="R38" s="428"/>
      <c r="S38" s="426"/>
      <c r="T38" s="427"/>
      <c r="U38" s="419"/>
      <c r="V38" s="420"/>
      <c r="W38" s="421">
        <f t="shared" si="5"/>
        <v>23</v>
      </c>
      <c r="X38" s="422"/>
      <c r="Y38" s="353"/>
    </row>
    <row r="39" spans="2:28" ht="18" customHeight="1">
      <c r="B39" s="441"/>
      <c r="C39" s="442"/>
      <c r="D39" s="37" t="s">
        <v>68</v>
      </c>
      <c r="E39" s="38" t="s">
        <v>360</v>
      </c>
      <c r="F39" s="432" t="s">
        <v>533</v>
      </c>
      <c r="G39" s="433"/>
      <c r="H39" s="144"/>
      <c r="I39" s="145"/>
      <c r="J39" s="146">
        <v>11</v>
      </c>
      <c r="K39" s="434"/>
      <c r="L39" s="427"/>
      <c r="M39" s="419"/>
      <c r="N39" s="425"/>
      <c r="O39" s="426">
        <v>5</v>
      </c>
      <c r="P39" s="427"/>
      <c r="Q39" s="419">
        <v>6</v>
      </c>
      <c r="R39" s="428"/>
      <c r="S39" s="425"/>
      <c r="T39" s="427"/>
      <c r="U39" s="419"/>
      <c r="V39" s="420"/>
      <c r="W39" s="421">
        <f t="shared" si="5"/>
        <v>11</v>
      </c>
      <c r="X39" s="422"/>
      <c r="Y39" s="353"/>
    </row>
    <row r="40" spans="2:28" ht="18" customHeight="1">
      <c r="B40" s="441"/>
      <c r="C40" s="442"/>
      <c r="D40" s="37" t="s">
        <v>68</v>
      </c>
      <c r="E40" s="38" t="s">
        <v>360</v>
      </c>
      <c r="F40" s="432" t="s">
        <v>552</v>
      </c>
      <c r="G40" s="433"/>
      <c r="H40" s="144"/>
      <c r="I40" s="147"/>
      <c r="J40" s="129">
        <v>17</v>
      </c>
      <c r="K40" s="434"/>
      <c r="L40" s="427"/>
      <c r="M40" s="419"/>
      <c r="N40" s="425"/>
      <c r="O40" s="426"/>
      <c r="P40" s="427"/>
      <c r="Q40" s="419"/>
      <c r="R40" s="428"/>
      <c r="S40" s="425">
        <v>8</v>
      </c>
      <c r="T40" s="427"/>
      <c r="U40" s="419">
        <v>9</v>
      </c>
      <c r="V40" s="420"/>
      <c r="W40" s="421">
        <f t="shared" si="5"/>
        <v>17</v>
      </c>
      <c r="X40" s="422"/>
      <c r="Y40" s="353"/>
    </row>
    <row r="41" spans="2:28" ht="18" customHeight="1" thickBot="1">
      <c r="B41" s="441"/>
      <c r="C41" s="442"/>
      <c r="D41" s="39" t="s">
        <v>68</v>
      </c>
      <c r="E41" s="38" t="s">
        <v>360</v>
      </c>
      <c r="F41" s="423" t="s">
        <v>553</v>
      </c>
      <c r="G41" s="424"/>
      <c r="H41" s="127"/>
      <c r="I41" s="147"/>
      <c r="J41" s="129">
        <v>17</v>
      </c>
      <c r="K41" s="419"/>
      <c r="L41" s="425"/>
      <c r="M41" s="419"/>
      <c r="N41" s="425"/>
      <c r="O41" s="426"/>
      <c r="P41" s="427"/>
      <c r="Q41" s="419"/>
      <c r="R41" s="428"/>
      <c r="S41" s="425">
        <v>8</v>
      </c>
      <c r="T41" s="427"/>
      <c r="U41" s="419">
        <v>9</v>
      </c>
      <c r="V41" s="420"/>
      <c r="W41" s="421">
        <f t="shared" si="5"/>
        <v>17</v>
      </c>
      <c r="X41" s="422"/>
      <c r="Y41" s="353"/>
    </row>
    <row r="42" spans="2:28" ht="18" customHeight="1">
      <c r="B42" s="398" t="s">
        <v>154</v>
      </c>
      <c r="C42" s="401" t="s">
        <v>361</v>
      </c>
      <c r="D42" s="620" t="s">
        <v>71</v>
      </c>
      <c r="E42" s="401" t="s">
        <v>360</v>
      </c>
      <c r="F42" s="621" t="s">
        <v>556</v>
      </c>
      <c r="G42" s="622"/>
      <c r="H42" s="625"/>
      <c r="I42" s="627"/>
      <c r="J42" s="322">
        <v>20</v>
      </c>
      <c r="K42" s="618"/>
      <c r="L42" s="616"/>
      <c r="M42" s="615"/>
      <c r="N42" s="616"/>
      <c r="O42" s="615"/>
      <c r="P42" s="616"/>
      <c r="Q42" s="615"/>
      <c r="R42" s="616"/>
      <c r="S42" s="615">
        <v>10</v>
      </c>
      <c r="T42" s="616"/>
      <c r="U42" s="615">
        <v>10</v>
      </c>
      <c r="V42" s="617"/>
      <c r="W42" s="301">
        <v>20</v>
      </c>
      <c r="X42" s="302"/>
      <c r="Y42" s="353"/>
    </row>
    <row r="43" spans="2:28" ht="18" customHeight="1" thickBot="1">
      <c r="B43" s="399"/>
      <c r="C43" s="402"/>
      <c r="D43" s="405"/>
      <c r="E43" s="402"/>
      <c r="F43" s="623"/>
      <c r="G43" s="624"/>
      <c r="H43" s="626"/>
      <c r="I43" s="628"/>
      <c r="J43" s="323"/>
      <c r="K43" s="619"/>
      <c r="L43" s="316"/>
      <c r="M43" s="315"/>
      <c r="N43" s="316"/>
      <c r="O43" s="315"/>
      <c r="P43" s="316"/>
      <c r="Q43" s="315"/>
      <c r="R43" s="316"/>
      <c r="S43" s="315"/>
      <c r="T43" s="316"/>
      <c r="U43" s="315"/>
      <c r="V43" s="317"/>
      <c r="W43" s="305"/>
      <c r="X43" s="306"/>
      <c r="Y43" s="353"/>
    </row>
    <row r="44" spans="2:28" ht="18" customHeight="1">
      <c r="B44" s="399"/>
      <c r="C44" s="401" t="s">
        <v>362</v>
      </c>
      <c r="D44" s="620" t="s">
        <v>543</v>
      </c>
      <c r="E44" s="41" t="s">
        <v>360</v>
      </c>
      <c r="F44" s="629" t="s">
        <v>555</v>
      </c>
      <c r="G44" s="413"/>
      <c r="H44" s="154"/>
      <c r="I44" s="151"/>
      <c r="J44" s="322">
        <v>20</v>
      </c>
      <c r="K44" s="373"/>
      <c r="L44" s="374"/>
      <c r="M44" s="344"/>
      <c r="N44" s="374"/>
      <c r="O44" s="344"/>
      <c r="P44" s="374"/>
      <c r="Q44" s="344"/>
      <c r="R44" s="374"/>
      <c r="S44" s="344">
        <v>10</v>
      </c>
      <c r="T44" s="374"/>
      <c r="U44" s="344"/>
      <c r="V44" s="345"/>
      <c r="W44" s="301">
        <v>20</v>
      </c>
      <c r="X44" s="302"/>
      <c r="Y44" s="353"/>
    </row>
    <row r="45" spans="2:28" ht="18" customHeight="1" thickBot="1">
      <c r="B45" s="399"/>
      <c r="C45" s="402"/>
      <c r="D45" s="405"/>
      <c r="E45" s="42" t="s">
        <v>548</v>
      </c>
      <c r="F45" s="630" t="s">
        <v>686</v>
      </c>
      <c r="G45" s="631"/>
      <c r="H45" s="33"/>
      <c r="I45" s="150"/>
      <c r="J45" s="323"/>
      <c r="K45" s="410"/>
      <c r="L45" s="312"/>
      <c r="M45" s="312"/>
      <c r="N45" s="312"/>
      <c r="O45" s="312"/>
      <c r="P45" s="312"/>
      <c r="Q45" s="312"/>
      <c r="R45" s="312"/>
      <c r="S45" s="312"/>
      <c r="T45" s="312"/>
      <c r="U45" s="312">
        <v>10</v>
      </c>
      <c r="V45" s="313"/>
      <c r="W45" s="303"/>
      <c r="X45" s="304"/>
      <c r="Y45" s="353"/>
    </row>
    <row r="46" spans="2:28" ht="18" customHeight="1">
      <c r="B46" s="399"/>
      <c r="C46" s="403" t="s">
        <v>554</v>
      </c>
      <c r="D46" s="404" t="s">
        <v>547</v>
      </c>
      <c r="E46" s="44" t="s">
        <v>548</v>
      </c>
      <c r="F46" s="408" t="s">
        <v>558</v>
      </c>
      <c r="G46" s="409"/>
      <c r="H46" s="154"/>
      <c r="I46" s="151"/>
      <c r="J46" s="324">
        <v>20</v>
      </c>
      <c r="K46" s="411"/>
      <c r="L46" s="309"/>
      <c r="M46" s="309"/>
      <c r="N46" s="309"/>
      <c r="O46" s="309"/>
      <c r="P46" s="309"/>
      <c r="Q46" s="309"/>
      <c r="R46" s="309"/>
      <c r="S46" s="309">
        <v>10</v>
      </c>
      <c r="T46" s="309"/>
      <c r="U46" s="309"/>
      <c r="V46" s="314"/>
      <c r="W46" s="305">
        <v>20</v>
      </c>
      <c r="X46" s="306"/>
      <c r="Y46" s="353"/>
    </row>
    <row r="47" spans="2:28" ht="18" customHeight="1" thickBot="1">
      <c r="B47" s="400"/>
      <c r="C47" s="402"/>
      <c r="D47" s="405"/>
      <c r="E47" s="38" t="s">
        <v>360</v>
      </c>
      <c r="F47" s="406" t="s">
        <v>557</v>
      </c>
      <c r="G47" s="407"/>
      <c r="H47" s="33"/>
      <c r="I47" s="150"/>
      <c r="J47" s="323"/>
      <c r="K47" s="410"/>
      <c r="L47" s="312"/>
      <c r="M47" s="312"/>
      <c r="N47" s="312"/>
      <c r="O47" s="312"/>
      <c r="P47" s="312"/>
      <c r="Q47" s="312"/>
      <c r="R47" s="312"/>
      <c r="S47" s="312"/>
      <c r="T47" s="312"/>
      <c r="U47" s="312">
        <v>10</v>
      </c>
      <c r="V47" s="313"/>
      <c r="W47" s="303"/>
      <c r="X47" s="304"/>
      <c r="Y47" s="353"/>
    </row>
    <row r="48" spans="2:28" ht="18" customHeight="1" thickBot="1">
      <c r="B48" s="398" t="s">
        <v>155</v>
      </c>
      <c r="C48" s="41" t="s">
        <v>536</v>
      </c>
      <c r="D48" s="40" t="s">
        <v>539</v>
      </c>
      <c r="E48" s="41" t="s">
        <v>360</v>
      </c>
      <c r="F48" s="412" t="s">
        <v>540</v>
      </c>
      <c r="G48" s="413"/>
      <c r="H48" s="26"/>
      <c r="I48" s="122"/>
      <c r="J48" s="28">
        <v>4</v>
      </c>
      <c r="K48" s="414"/>
      <c r="L48" s="321"/>
      <c r="M48" s="321"/>
      <c r="N48" s="321"/>
      <c r="O48" s="321"/>
      <c r="P48" s="321"/>
      <c r="Q48" s="321"/>
      <c r="R48" s="321"/>
      <c r="S48" s="318">
        <v>2</v>
      </c>
      <c r="T48" s="319"/>
      <c r="U48" s="318">
        <v>2</v>
      </c>
      <c r="V48" s="320"/>
      <c r="W48" s="307">
        <v>4</v>
      </c>
      <c r="X48" s="308"/>
      <c r="Y48" s="353"/>
    </row>
    <row r="49" spans="2:29" ht="18" customHeight="1" thickBot="1">
      <c r="B49" s="399"/>
      <c r="C49" s="41" t="s">
        <v>538</v>
      </c>
      <c r="D49" s="40" t="s">
        <v>71</v>
      </c>
      <c r="E49" s="45" t="s">
        <v>360</v>
      </c>
      <c r="F49" s="415" t="s">
        <v>535</v>
      </c>
      <c r="G49" s="416"/>
      <c r="H49" s="26"/>
      <c r="I49" s="122"/>
      <c r="J49" s="28">
        <v>4</v>
      </c>
      <c r="K49" s="414"/>
      <c r="L49" s="321"/>
      <c r="M49" s="321"/>
      <c r="N49" s="321"/>
      <c r="O49" s="321"/>
      <c r="P49" s="321"/>
      <c r="Q49" s="321"/>
      <c r="R49" s="321"/>
      <c r="S49" s="318">
        <v>2</v>
      </c>
      <c r="T49" s="319"/>
      <c r="U49" s="318">
        <v>2</v>
      </c>
      <c r="V49" s="320"/>
      <c r="W49" s="307">
        <v>4</v>
      </c>
      <c r="X49" s="308"/>
      <c r="Y49" s="353"/>
    </row>
    <row r="50" spans="2:29" ht="18" customHeight="1" thickBot="1">
      <c r="B50" s="399"/>
      <c r="C50" s="41" t="s">
        <v>542</v>
      </c>
      <c r="D50" s="152" t="s">
        <v>543</v>
      </c>
      <c r="E50" s="153" t="s">
        <v>359</v>
      </c>
      <c r="F50" s="417" t="s">
        <v>544</v>
      </c>
      <c r="G50" s="418"/>
      <c r="H50" s="26"/>
      <c r="I50" s="122"/>
      <c r="J50" s="28">
        <v>4</v>
      </c>
      <c r="K50" s="410"/>
      <c r="L50" s="312"/>
      <c r="M50" s="312"/>
      <c r="N50" s="312"/>
      <c r="O50" s="312"/>
      <c r="P50" s="312"/>
      <c r="Q50" s="312"/>
      <c r="R50" s="312"/>
      <c r="S50" s="315">
        <v>2</v>
      </c>
      <c r="T50" s="316"/>
      <c r="U50" s="315">
        <v>2</v>
      </c>
      <c r="V50" s="317"/>
      <c r="W50" s="305">
        <v>4</v>
      </c>
      <c r="X50" s="306"/>
      <c r="Y50" s="353"/>
      <c r="AC50" s="120"/>
    </row>
    <row r="51" spans="2:29" ht="18" customHeight="1">
      <c r="B51" s="389" t="s">
        <v>366</v>
      </c>
      <c r="C51" s="385"/>
      <c r="D51" s="385"/>
      <c r="E51" s="385"/>
      <c r="F51" s="385"/>
      <c r="G51" s="387"/>
      <c r="H51" s="392"/>
      <c r="I51" s="394">
        <f>SUM(I34:I41)</f>
        <v>0</v>
      </c>
      <c r="J51" s="396">
        <v>106</v>
      </c>
      <c r="K51" s="389">
        <f>SUM(K34:L50)</f>
        <v>9</v>
      </c>
      <c r="L51" s="378"/>
      <c r="M51" s="381">
        <f>SUM(M34:N48)</f>
        <v>3</v>
      </c>
      <c r="N51" s="385"/>
      <c r="O51" s="377">
        <f>SUM(O34:P48)</f>
        <v>16</v>
      </c>
      <c r="P51" s="378"/>
      <c r="Q51" s="381">
        <f>SUM(Q34:R48)</f>
        <v>18</v>
      </c>
      <c r="R51" s="382"/>
      <c r="S51" s="385">
        <v>30</v>
      </c>
      <c r="T51" s="378"/>
      <c r="U51" s="381">
        <v>30</v>
      </c>
      <c r="V51" s="387"/>
      <c r="W51" s="389">
        <f>SUM(K51:V52)</f>
        <v>106</v>
      </c>
      <c r="X51" s="387"/>
      <c r="Y51" s="352">
        <f>SUM(Y34:Y49)</f>
        <v>80</v>
      </c>
      <c r="AC51" s="120"/>
    </row>
    <row r="52" spans="2:29" ht="18" customHeight="1" thickBot="1">
      <c r="B52" s="390"/>
      <c r="C52" s="386"/>
      <c r="D52" s="386"/>
      <c r="E52" s="386"/>
      <c r="F52" s="386"/>
      <c r="G52" s="388"/>
      <c r="H52" s="393"/>
      <c r="I52" s="395"/>
      <c r="J52" s="397"/>
      <c r="K52" s="390"/>
      <c r="L52" s="380"/>
      <c r="M52" s="383"/>
      <c r="N52" s="386"/>
      <c r="O52" s="379"/>
      <c r="P52" s="380"/>
      <c r="Q52" s="383"/>
      <c r="R52" s="384"/>
      <c r="S52" s="386"/>
      <c r="T52" s="380"/>
      <c r="U52" s="383"/>
      <c r="V52" s="388"/>
      <c r="W52" s="390"/>
      <c r="X52" s="388"/>
      <c r="Y52" s="391"/>
      <c r="AC52" s="46"/>
    </row>
    <row r="53" spans="2:29" ht="18" customHeight="1" thickBot="1">
      <c r="B53" s="327"/>
      <c r="C53" s="329"/>
      <c r="D53" s="329"/>
      <c r="E53" s="329"/>
      <c r="F53" s="329"/>
      <c r="G53" s="328"/>
      <c r="H53" s="125"/>
      <c r="I53" s="123">
        <f>SUM(I33,I51)</f>
        <v>0</v>
      </c>
      <c r="J53" s="124">
        <f>SUM(J33,J51)</f>
        <v>180</v>
      </c>
      <c r="K53" s="327">
        <f>SUM(K33,K51)</f>
        <v>30</v>
      </c>
      <c r="L53" s="337"/>
      <c r="M53" s="338">
        <f>SUM(M33,M51)</f>
        <v>30</v>
      </c>
      <c r="N53" s="330"/>
      <c r="O53" s="331">
        <f>SUM(O33,O51)</f>
        <v>30</v>
      </c>
      <c r="P53" s="337"/>
      <c r="Q53" s="338">
        <f>SUM(Q33,Q51)</f>
        <v>30</v>
      </c>
      <c r="R53" s="330"/>
      <c r="S53" s="331">
        <f>SUM(S33,S51)</f>
        <v>30</v>
      </c>
      <c r="T53" s="337"/>
      <c r="U53" s="338">
        <f>SUM(U33,U51)</f>
        <v>30</v>
      </c>
      <c r="V53" s="328"/>
      <c r="W53" s="327">
        <f>SUM(K53:V53)</f>
        <v>180</v>
      </c>
      <c r="X53" s="328"/>
      <c r="Y53" s="11">
        <f>Y51+Y33</f>
        <v>144</v>
      </c>
      <c r="AA53" s="332" t="s">
        <v>157</v>
      </c>
      <c r="AB53" s="332"/>
    </row>
    <row r="54" spans="2:29" ht="18" customHeight="1" thickBot="1">
      <c r="B54" s="346" t="s">
        <v>367</v>
      </c>
      <c r="C54" s="365"/>
      <c r="D54" s="365"/>
      <c r="E54" s="347"/>
      <c r="F54" s="370" t="s">
        <v>363</v>
      </c>
      <c r="G54" s="371"/>
      <c r="H54" s="371"/>
      <c r="I54" s="371"/>
      <c r="J54" s="372"/>
      <c r="K54" s="373">
        <v>16</v>
      </c>
      <c r="L54" s="374"/>
      <c r="M54" s="344">
        <v>16</v>
      </c>
      <c r="N54" s="375"/>
      <c r="O54" s="376">
        <v>16</v>
      </c>
      <c r="P54" s="374"/>
      <c r="Q54" s="344">
        <v>16</v>
      </c>
      <c r="R54" s="375"/>
      <c r="S54" s="376">
        <v>16</v>
      </c>
      <c r="T54" s="374"/>
      <c r="U54" s="344">
        <v>16</v>
      </c>
      <c r="V54" s="345"/>
      <c r="W54" s="346">
        <f>SUM(K54:V56)</f>
        <v>288</v>
      </c>
      <c r="X54" s="347"/>
      <c r="Y54" s="352">
        <f>Y57*16</f>
        <v>288</v>
      </c>
      <c r="AA54" s="364"/>
      <c r="AB54" s="364"/>
    </row>
    <row r="55" spans="2:29" ht="18" customHeight="1" thickBot="1">
      <c r="B55" s="348"/>
      <c r="C55" s="366"/>
      <c r="D55" s="366"/>
      <c r="E55" s="349"/>
      <c r="F55" s="355" t="s">
        <v>63</v>
      </c>
      <c r="G55" s="356"/>
      <c r="H55" s="356"/>
      <c r="I55" s="356"/>
      <c r="J55" s="357"/>
      <c r="K55" s="358">
        <v>16</v>
      </c>
      <c r="L55" s="359"/>
      <c r="M55" s="360">
        <v>16</v>
      </c>
      <c r="N55" s="361"/>
      <c r="O55" s="362">
        <v>16</v>
      </c>
      <c r="P55" s="359"/>
      <c r="Q55" s="360">
        <v>16</v>
      </c>
      <c r="R55" s="361"/>
      <c r="S55" s="362">
        <v>16</v>
      </c>
      <c r="T55" s="359"/>
      <c r="U55" s="360">
        <v>16</v>
      </c>
      <c r="V55" s="363"/>
      <c r="W55" s="348"/>
      <c r="X55" s="349"/>
      <c r="Y55" s="353"/>
      <c r="AA55" s="325" t="b">
        <f>W53&gt;=Y53</f>
        <v>1</v>
      </c>
      <c r="AB55" s="326"/>
    </row>
    <row r="56" spans="2:29" ht="18" customHeight="1">
      <c r="B56" s="348"/>
      <c r="C56" s="366"/>
      <c r="D56" s="366"/>
      <c r="E56" s="349"/>
      <c r="F56" s="355" t="s">
        <v>11</v>
      </c>
      <c r="G56" s="356"/>
      <c r="H56" s="356"/>
      <c r="I56" s="356"/>
      <c r="J56" s="357"/>
      <c r="K56" s="358">
        <v>16</v>
      </c>
      <c r="L56" s="359"/>
      <c r="M56" s="360">
        <v>16</v>
      </c>
      <c r="N56" s="361"/>
      <c r="O56" s="362">
        <v>16</v>
      </c>
      <c r="P56" s="359"/>
      <c r="Q56" s="360">
        <v>16</v>
      </c>
      <c r="R56" s="361"/>
      <c r="S56" s="362">
        <v>16</v>
      </c>
      <c r="T56" s="359"/>
      <c r="U56" s="360">
        <v>16</v>
      </c>
      <c r="V56" s="363"/>
      <c r="W56" s="350"/>
      <c r="X56" s="351"/>
      <c r="Y56" s="354"/>
    </row>
    <row r="57" spans="2:29" ht="18" customHeight="1" thickBot="1">
      <c r="B57" s="367"/>
      <c r="C57" s="368"/>
      <c r="D57" s="368"/>
      <c r="E57" s="369"/>
      <c r="F57" s="335" t="s">
        <v>149</v>
      </c>
      <c r="G57" s="339"/>
      <c r="H57" s="339"/>
      <c r="I57" s="339"/>
      <c r="J57" s="336"/>
      <c r="K57" s="340">
        <v>3</v>
      </c>
      <c r="L57" s="341"/>
      <c r="M57" s="333">
        <v>3</v>
      </c>
      <c r="N57" s="342"/>
      <c r="O57" s="343">
        <v>3</v>
      </c>
      <c r="P57" s="341"/>
      <c r="Q57" s="333">
        <v>3</v>
      </c>
      <c r="R57" s="342"/>
      <c r="S57" s="343">
        <v>3</v>
      </c>
      <c r="T57" s="341"/>
      <c r="U57" s="333">
        <v>3</v>
      </c>
      <c r="V57" s="334"/>
      <c r="W57" s="335">
        <f>SUM(K57:V57)</f>
        <v>18</v>
      </c>
      <c r="X57" s="336"/>
      <c r="Y57" s="47">
        <v>18</v>
      </c>
      <c r="AA57" s="332" t="s">
        <v>158</v>
      </c>
      <c r="AB57" s="332"/>
    </row>
    <row r="58" spans="2:29" ht="18" customHeight="1" thickBot="1">
      <c r="B58" s="327"/>
      <c r="C58" s="329"/>
      <c r="D58" s="329"/>
      <c r="E58" s="329"/>
      <c r="F58" s="329"/>
      <c r="G58" s="329"/>
      <c r="H58" s="329"/>
      <c r="I58" s="329"/>
      <c r="J58" s="328"/>
      <c r="K58" s="327">
        <v>33</v>
      </c>
      <c r="L58" s="337"/>
      <c r="M58" s="338">
        <v>33</v>
      </c>
      <c r="N58" s="330"/>
      <c r="O58" s="331">
        <v>33</v>
      </c>
      <c r="P58" s="337"/>
      <c r="Q58" s="338">
        <v>33</v>
      </c>
      <c r="R58" s="330"/>
      <c r="S58" s="331">
        <v>33</v>
      </c>
      <c r="T58" s="337"/>
      <c r="U58" s="338">
        <v>33</v>
      </c>
      <c r="V58" s="328"/>
      <c r="W58" s="327">
        <f>SUM(K58:V58)</f>
        <v>198</v>
      </c>
      <c r="X58" s="328"/>
      <c r="Y58" s="22">
        <f>W58</f>
        <v>198</v>
      </c>
      <c r="AA58" s="325" t="b">
        <f>W57&gt;=Y57</f>
        <v>1</v>
      </c>
      <c r="AB58" s="326"/>
    </row>
    <row r="59" spans="2:29" ht="18" customHeight="1" thickBot="1">
      <c r="B59" s="327"/>
      <c r="C59" s="329"/>
      <c r="D59" s="329"/>
      <c r="E59" s="329"/>
      <c r="F59" s="329"/>
      <c r="G59" s="329"/>
      <c r="H59" s="329"/>
      <c r="I59" s="329"/>
      <c r="J59" s="328"/>
      <c r="K59" s="327">
        <f>SUM(K58:N58)</f>
        <v>66</v>
      </c>
      <c r="L59" s="329"/>
      <c r="M59" s="329"/>
      <c r="N59" s="330"/>
      <c r="O59" s="331">
        <f>SUM(O58:R58)</f>
        <v>66</v>
      </c>
      <c r="P59" s="329"/>
      <c r="Q59" s="329"/>
      <c r="R59" s="330"/>
      <c r="S59" s="331">
        <f>SUM(S58:V58)</f>
        <v>66</v>
      </c>
      <c r="T59" s="329"/>
      <c r="U59" s="329"/>
      <c r="V59" s="328"/>
      <c r="W59" s="327">
        <f>SUM(K59:V59)</f>
        <v>198</v>
      </c>
      <c r="X59" s="328"/>
      <c r="Y59" s="11"/>
      <c r="AA59" s="332" t="s">
        <v>153</v>
      </c>
      <c r="AB59" s="332"/>
    </row>
    <row r="60" spans="2:29" ht="17.25" customHeight="1" thickBot="1">
      <c r="AA60" s="325" t="b">
        <f>W58&gt;=Y58</f>
        <v>1</v>
      </c>
      <c r="AB60" s="326"/>
    </row>
    <row r="61" spans="2:29" ht="17.25" customHeight="1"/>
    <row r="62" spans="2:29" ht="17.25" customHeight="1"/>
    <row r="63" spans="2:29" ht="17.25" customHeight="1"/>
    <row r="65" ht="24.95" customHeight="1"/>
    <row r="66" ht="24.95" customHeight="1"/>
    <row r="67" ht="32.25" customHeight="1"/>
    <row r="68" ht="24.95" customHeight="1"/>
    <row r="70" ht="16.5" customHeight="1"/>
    <row r="71" ht="17.2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244.5" customHeight="1"/>
  </sheetData>
  <mergeCells count="457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X22:X23"/>
    <mergeCell ref="F23:G23"/>
    <mergeCell ref="K23:L23"/>
    <mergeCell ref="M23:N23"/>
    <mergeCell ref="O23:P23"/>
    <mergeCell ref="Q23:R23"/>
    <mergeCell ref="S23:T23"/>
    <mergeCell ref="U23:V23"/>
    <mergeCell ref="X24:X27"/>
    <mergeCell ref="U26:V26"/>
    <mergeCell ref="S24:T24"/>
    <mergeCell ref="U24:V24"/>
    <mergeCell ref="Q27:R27"/>
    <mergeCell ref="S27:T27"/>
    <mergeCell ref="U27:V27"/>
    <mergeCell ref="Y24:Y27"/>
    <mergeCell ref="F25:G25"/>
    <mergeCell ref="K25:L25"/>
    <mergeCell ref="M25:N25"/>
    <mergeCell ref="O25:P25"/>
    <mergeCell ref="Q25:R25"/>
    <mergeCell ref="S25:T25"/>
    <mergeCell ref="D24:D27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S26:T26"/>
    <mergeCell ref="D28:D29"/>
    <mergeCell ref="F28:G28"/>
    <mergeCell ref="K28:L28"/>
    <mergeCell ref="M28:N28"/>
    <mergeCell ref="O28:P28"/>
    <mergeCell ref="Q28:R28"/>
    <mergeCell ref="S28:T28"/>
    <mergeCell ref="U28:V28"/>
    <mergeCell ref="W28:X29"/>
    <mergeCell ref="Y28:Y29"/>
    <mergeCell ref="F29:G29"/>
    <mergeCell ref="K29:L29"/>
    <mergeCell ref="M29:N29"/>
    <mergeCell ref="O29:P29"/>
    <mergeCell ref="Q29:R29"/>
    <mergeCell ref="S29:T29"/>
    <mergeCell ref="U29:V29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U33:V33"/>
    <mergeCell ref="W33:X33"/>
    <mergeCell ref="AA33:AB33"/>
    <mergeCell ref="B34:C41"/>
    <mergeCell ref="D34:E34"/>
    <mergeCell ref="F34:G34"/>
    <mergeCell ref="K34:L34"/>
    <mergeCell ref="M34:N34"/>
    <mergeCell ref="O34:P34"/>
    <mergeCell ref="Q34:R34"/>
    <mergeCell ref="B33:G33"/>
    <mergeCell ref="K33:L33"/>
    <mergeCell ref="M33:N33"/>
    <mergeCell ref="O33:P33"/>
    <mergeCell ref="Q33:R33"/>
    <mergeCell ref="S33:T33"/>
    <mergeCell ref="S34:T34"/>
    <mergeCell ref="U34:V34"/>
    <mergeCell ref="W34:X34"/>
    <mergeCell ref="Y34:Y50"/>
    <mergeCell ref="F35:G35"/>
    <mergeCell ref="K35:L35"/>
    <mergeCell ref="M35:N35"/>
    <mergeCell ref="O35:P35"/>
    <mergeCell ref="Q35:R35"/>
    <mergeCell ref="S35:T35"/>
    <mergeCell ref="U35:V35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F45:G45"/>
    <mergeCell ref="K45:L45"/>
    <mergeCell ref="M45:N45"/>
    <mergeCell ref="O45:P45"/>
    <mergeCell ref="Q45:R45"/>
    <mergeCell ref="S45:T45"/>
    <mergeCell ref="U41:V41"/>
    <mergeCell ref="W41:X41"/>
    <mergeCell ref="B42:B47"/>
    <mergeCell ref="F41:G41"/>
    <mergeCell ref="K41:L41"/>
    <mergeCell ref="M41:N41"/>
    <mergeCell ref="O41:P41"/>
    <mergeCell ref="Q41:R41"/>
    <mergeCell ref="S41:T41"/>
    <mergeCell ref="C46:C47"/>
    <mergeCell ref="D46:D47"/>
    <mergeCell ref="F46:G46"/>
    <mergeCell ref="J46:J47"/>
    <mergeCell ref="K46:L46"/>
    <mergeCell ref="M46:N46"/>
    <mergeCell ref="O46:P46"/>
    <mergeCell ref="Q46:R46"/>
    <mergeCell ref="S46:T46"/>
    <mergeCell ref="U46:V46"/>
    <mergeCell ref="W46:X47"/>
    <mergeCell ref="F47:G47"/>
    <mergeCell ref="K47:L47"/>
    <mergeCell ref="M47:N47"/>
    <mergeCell ref="O47:P47"/>
    <mergeCell ref="Q47:R47"/>
    <mergeCell ref="S47:T47"/>
    <mergeCell ref="U47:V47"/>
    <mergeCell ref="W48:X48"/>
    <mergeCell ref="B48:B50"/>
    <mergeCell ref="F48:G48"/>
    <mergeCell ref="K48:L48"/>
    <mergeCell ref="M48:N48"/>
    <mergeCell ref="S50:T50"/>
    <mergeCell ref="U50:V50"/>
    <mergeCell ref="W50:X50"/>
    <mergeCell ref="F50:G50"/>
    <mergeCell ref="K50:L50"/>
    <mergeCell ref="M50:N50"/>
    <mergeCell ref="O50:P50"/>
    <mergeCell ref="Q50:R50"/>
    <mergeCell ref="S49:T49"/>
    <mergeCell ref="U49:V49"/>
    <mergeCell ref="W49:X49"/>
    <mergeCell ref="F49:G49"/>
    <mergeCell ref="K49:L49"/>
    <mergeCell ref="M49:N49"/>
    <mergeCell ref="O49:P49"/>
    <mergeCell ref="B51:G52"/>
    <mergeCell ref="H51:H52"/>
    <mergeCell ref="I51:I52"/>
    <mergeCell ref="J51:J52"/>
    <mergeCell ref="K51:L52"/>
    <mergeCell ref="O48:P48"/>
    <mergeCell ref="Q48:R48"/>
    <mergeCell ref="S48:T48"/>
    <mergeCell ref="U48:V48"/>
    <mergeCell ref="AA53:AB54"/>
    <mergeCell ref="F54:J54"/>
    <mergeCell ref="K54:L54"/>
    <mergeCell ref="M54:N54"/>
    <mergeCell ref="O54:P54"/>
    <mergeCell ref="Q54:R54"/>
    <mergeCell ref="S54:T54"/>
    <mergeCell ref="U54:V54"/>
    <mergeCell ref="Q49:R49"/>
    <mergeCell ref="Y51:Y52"/>
    <mergeCell ref="B53:G53"/>
    <mergeCell ref="K53:L53"/>
    <mergeCell ref="M53:N53"/>
    <mergeCell ref="O53:P53"/>
    <mergeCell ref="Q53:R53"/>
    <mergeCell ref="S53:T53"/>
    <mergeCell ref="U53:V53"/>
    <mergeCell ref="W53:X53"/>
    <mergeCell ref="M51:N52"/>
    <mergeCell ref="O51:P52"/>
    <mergeCell ref="Q51:R52"/>
    <mergeCell ref="S51:T52"/>
    <mergeCell ref="U51:V52"/>
    <mergeCell ref="W51:X52"/>
    <mergeCell ref="S56:T56"/>
    <mergeCell ref="U56:V56"/>
    <mergeCell ref="Y54:Y56"/>
    <mergeCell ref="F55:J55"/>
    <mergeCell ref="K55:L55"/>
    <mergeCell ref="M55:N55"/>
    <mergeCell ref="O55:P55"/>
    <mergeCell ref="Q55:R55"/>
    <mergeCell ref="S55:T55"/>
    <mergeCell ref="U55:V55"/>
    <mergeCell ref="U57:V57"/>
    <mergeCell ref="W57:X57"/>
    <mergeCell ref="AA57:AB57"/>
    <mergeCell ref="B58:J58"/>
    <mergeCell ref="K58:L58"/>
    <mergeCell ref="M58:N58"/>
    <mergeCell ref="O58:P58"/>
    <mergeCell ref="Q58:R58"/>
    <mergeCell ref="S58:T58"/>
    <mergeCell ref="U58:V58"/>
    <mergeCell ref="F57:J57"/>
    <mergeCell ref="K57:L57"/>
    <mergeCell ref="M57:N57"/>
    <mergeCell ref="O57:P57"/>
    <mergeCell ref="Q57:R57"/>
    <mergeCell ref="S57:T57"/>
    <mergeCell ref="B54:E57"/>
    <mergeCell ref="W54:X56"/>
    <mergeCell ref="AA55:AB55"/>
    <mergeCell ref="F56:J56"/>
    <mergeCell ref="K56:L56"/>
    <mergeCell ref="M56:N56"/>
    <mergeCell ref="O56:P56"/>
    <mergeCell ref="Q56:R56"/>
    <mergeCell ref="J42:J43"/>
    <mergeCell ref="J44:J45"/>
    <mergeCell ref="K42:L43"/>
    <mergeCell ref="M42:N43"/>
    <mergeCell ref="K44:L44"/>
    <mergeCell ref="M44:N44"/>
    <mergeCell ref="AA60:AB60"/>
    <mergeCell ref="C42:C43"/>
    <mergeCell ref="C44:C45"/>
    <mergeCell ref="D44:D45"/>
    <mergeCell ref="D42:D43"/>
    <mergeCell ref="E42:E43"/>
    <mergeCell ref="F42:G43"/>
    <mergeCell ref="H42:H43"/>
    <mergeCell ref="I42:I43"/>
    <mergeCell ref="F44:G44"/>
    <mergeCell ref="W58:X58"/>
    <mergeCell ref="AA58:AB58"/>
    <mergeCell ref="B59:J59"/>
    <mergeCell ref="K59:N59"/>
    <mergeCell ref="O59:R59"/>
    <mergeCell ref="S59:V59"/>
    <mergeCell ref="W59:X59"/>
    <mergeCell ref="AA59:AB59"/>
    <mergeCell ref="O42:P43"/>
    <mergeCell ref="Q42:R43"/>
    <mergeCell ref="S42:T43"/>
    <mergeCell ref="U42:V43"/>
    <mergeCell ref="W42:X43"/>
    <mergeCell ref="W44:X45"/>
    <mergeCell ref="O44:P44"/>
    <mergeCell ref="Q44:R44"/>
    <mergeCell ref="S44:T44"/>
    <mergeCell ref="U44:V44"/>
    <mergeCell ref="U45:V45"/>
  </mergeCells>
  <phoneticPr fontId="9" type="noConversion"/>
  <conditionalFormatting sqref="AA33:AB33 AC52 AA55:AB55 AA58:AB58 AA60:AB60">
    <cfRule type="containsText" dxfId="1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12" scale="54" orientation="landscape" cellComments="asDisplayed" r:id="rId1"/>
  <rowBreaks count="1" manualBreakCount="1">
    <brk id="5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1A1EDB-E798-4F6D-9123-FD5F7211745D}">
          <x14:formula1>
            <xm:f>삭제금지!$J$2:$J$59</xm:f>
          </x14:formula1>
          <xm:sqref>H5:J5</xm:sqref>
        </x14:dataValidation>
        <x14:dataValidation type="list" allowBlank="1" showInputMessage="1" showErrorMessage="1" xr:uid="{23628CA7-D9C1-44A2-A8FD-788FB49E98EE}">
          <x14:formula1>
            <xm:f>삭제금지!$I$2:$I$18</xm:f>
          </x14:formula1>
          <xm:sqref>F5:G5</xm:sqref>
        </x14:dataValidation>
        <x14:dataValidation type="list" allowBlank="1" showInputMessage="1" showErrorMessage="1" xr:uid="{A494C7EF-7EA0-4073-9EEE-68A1F58EA17E}">
          <x14:formula1>
            <xm:f>삭제금지!$K$2:$K$59</xm:f>
          </x14:formula1>
          <xm:sqref>K5:O5</xm:sqref>
        </x14:dataValidation>
        <x14:dataValidation type="list" allowBlank="1" showInputMessage="1" showErrorMessage="1" xr:uid="{BC17FB03-7B8D-4790-A97F-CC219B7B7928}">
          <x14:formula1>
            <xm:f>삭제금지!$L$2:$L$4</xm:f>
          </x14:formula1>
          <xm:sqref>T5:V5</xm:sqref>
        </x14:dataValidation>
        <x14:dataValidation type="list" allowBlank="1" showInputMessage="1" showErrorMessage="1" xr:uid="{387EFF4B-B4E9-473D-AF5A-22965FDC2576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88BA-5003-4DF0-A129-ADFBF67E2ADC}">
  <sheetPr>
    <pageSetUpPr fitToPage="1"/>
  </sheetPr>
  <dimension ref="B2:AG40"/>
  <sheetViews>
    <sheetView showGridLines="0" tabSelected="1" view="pageBreakPreview" topLeftCell="A2" zoomScale="90" zoomScaleNormal="85" zoomScaleSheetLayoutView="90" workbookViewId="0">
      <selection activeCell="T4" sqref="T4:U4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88" t="s">
        <v>151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8"/>
      <c r="U2" s="588"/>
    </row>
    <row r="3" spans="2:33" ht="27" customHeight="1" thickBot="1"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589" t="s">
        <v>129</v>
      </c>
      <c r="O3" s="590"/>
      <c r="P3" s="591"/>
      <c r="Q3" s="589" t="s">
        <v>127</v>
      </c>
      <c r="R3" s="590"/>
      <c r="S3" s="591"/>
      <c r="T3" s="592" t="s">
        <v>130</v>
      </c>
      <c r="U3" s="593"/>
    </row>
    <row r="4" spans="2:33" ht="27" customHeight="1" thickBot="1"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594" t="s">
        <v>517</v>
      </c>
      <c r="O4" s="595"/>
      <c r="P4" s="596"/>
      <c r="Q4" s="597" t="s">
        <v>520</v>
      </c>
      <c r="R4" s="598"/>
      <c r="S4" s="599"/>
      <c r="T4" s="600">
        <v>2027</v>
      </c>
      <c r="U4" s="601"/>
    </row>
    <row r="5" spans="2:33" ht="24" customHeight="1" thickBot="1">
      <c r="B5" s="602"/>
      <c r="C5" s="602"/>
    </row>
    <row r="6" spans="2:33" ht="18" customHeight="1">
      <c r="B6" s="603" t="s">
        <v>13</v>
      </c>
      <c r="C6" s="606" t="s">
        <v>140</v>
      </c>
      <c r="D6" s="585" t="s">
        <v>14</v>
      </c>
      <c r="E6" s="585" t="s">
        <v>15</v>
      </c>
      <c r="F6" s="585" t="s">
        <v>141</v>
      </c>
      <c r="G6" s="585" t="s">
        <v>142</v>
      </c>
      <c r="H6" s="571" t="s">
        <v>58</v>
      </c>
      <c r="I6" s="571"/>
      <c r="J6" s="571"/>
      <c r="K6" s="571"/>
      <c r="L6" s="571" t="s">
        <v>59</v>
      </c>
      <c r="M6" s="571"/>
      <c r="N6" s="571"/>
      <c r="O6" s="571"/>
      <c r="P6" s="571" t="s">
        <v>60</v>
      </c>
      <c r="Q6" s="571"/>
      <c r="R6" s="571"/>
      <c r="S6" s="571"/>
      <c r="T6" s="572" t="s">
        <v>139</v>
      </c>
      <c r="U6" s="582" t="s">
        <v>126</v>
      </c>
      <c r="W6" s="575" t="s">
        <v>131</v>
      </c>
      <c r="X6" s="576"/>
      <c r="Y6" s="576"/>
      <c r="Z6" s="576"/>
      <c r="AA6" s="576"/>
      <c r="AB6" s="576"/>
      <c r="AC6" s="576"/>
      <c r="AD6" s="576"/>
      <c r="AE6" s="576"/>
      <c r="AF6" s="577"/>
      <c r="AG6" s="166"/>
    </row>
    <row r="7" spans="2:33" ht="18" customHeight="1">
      <c r="B7" s="604"/>
      <c r="C7" s="607"/>
      <c r="D7" s="586"/>
      <c r="E7" s="586"/>
      <c r="F7" s="586"/>
      <c r="G7" s="586"/>
      <c r="H7" s="578" t="s">
        <v>124</v>
      </c>
      <c r="I7" s="578"/>
      <c r="J7" s="578" t="s">
        <v>62</v>
      </c>
      <c r="K7" s="578"/>
      <c r="L7" s="578" t="s">
        <v>124</v>
      </c>
      <c r="M7" s="578"/>
      <c r="N7" s="578" t="s">
        <v>62</v>
      </c>
      <c r="O7" s="578"/>
      <c r="P7" s="578" t="s">
        <v>124</v>
      </c>
      <c r="Q7" s="578"/>
      <c r="R7" s="578" t="s">
        <v>62</v>
      </c>
      <c r="S7" s="578"/>
      <c r="T7" s="573"/>
      <c r="U7" s="583"/>
      <c r="W7" s="579" t="s">
        <v>132</v>
      </c>
      <c r="X7" s="580"/>
      <c r="Y7" s="580"/>
      <c r="Z7" s="580"/>
      <c r="AA7" s="580"/>
      <c r="AB7" s="580"/>
      <c r="AC7" s="580"/>
      <c r="AD7" s="580"/>
      <c r="AE7" s="580"/>
      <c r="AF7" s="581"/>
      <c r="AG7" s="166"/>
    </row>
    <row r="8" spans="2:33" ht="18" customHeight="1" thickBot="1">
      <c r="B8" s="605"/>
      <c r="C8" s="608"/>
      <c r="D8" s="587"/>
      <c r="E8" s="587"/>
      <c r="F8" s="587"/>
      <c r="G8" s="587"/>
      <c r="H8" s="167" t="s">
        <v>138</v>
      </c>
      <c r="I8" s="167" t="s">
        <v>125</v>
      </c>
      <c r="J8" s="167" t="s">
        <v>138</v>
      </c>
      <c r="K8" s="167" t="s">
        <v>125</v>
      </c>
      <c r="L8" s="167" t="s">
        <v>138</v>
      </c>
      <c r="M8" s="167" t="s">
        <v>125</v>
      </c>
      <c r="N8" s="167" t="s">
        <v>138</v>
      </c>
      <c r="O8" s="167" t="s">
        <v>125</v>
      </c>
      <c r="P8" s="167" t="s">
        <v>138</v>
      </c>
      <c r="Q8" s="167" t="s">
        <v>125</v>
      </c>
      <c r="R8" s="167" t="s">
        <v>138</v>
      </c>
      <c r="S8" s="167" t="s">
        <v>125</v>
      </c>
      <c r="T8" s="574"/>
      <c r="U8" s="584"/>
      <c r="W8" s="12"/>
      <c r="X8" s="168"/>
      <c r="Y8" s="168"/>
      <c r="Z8" s="168"/>
      <c r="AA8" s="168"/>
      <c r="AB8" s="168"/>
      <c r="AC8" s="168"/>
      <c r="AD8" s="168"/>
      <c r="AE8" s="168"/>
      <c r="AF8" s="13"/>
      <c r="AG8" s="166"/>
    </row>
    <row r="9" spans="2:33" ht="18" customHeight="1">
      <c r="B9" s="633" t="s">
        <v>551</v>
      </c>
      <c r="C9" s="636">
        <v>23</v>
      </c>
      <c r="D9" s="217" t="s">
        <v>609</v>
      </c>
      <c r="E9" s="218" t="s">
        <v>616</v>
      </c>
      <c r="F9" s="219">
        <v>48</v>
      </c>
      <c r="G9" s="170">
        <v>2</v>
      </c>
      <c r="H9" s="220"/>
      <c r="I9" s="220">
        <f>H9*16</f>
        <v>0</v>
      </c>
      <c r="J9" s="220"/>
      <c r="K9" s="220">
        <f>J9*16</f>
        <v>0</v>
      </c>
      <c r="L9" s="172">
        <v>3</v>
      </c>
      <c r="M9" s="172">
        <v>48</v>
      </c>
      <c r="N9" s="172"/>
      <c r="O9" s="172">
        <f>N9*16</f>
        <v>0</v>
      </c>
      <c r="P9" s="172"/>
      <c r="Q9" s="220">
        <f>P9*16</f>
        <v>0</v>
      </c>
      <c r="R9" s="220"/>
      <c r="S9" s="220">
        <f>R9*16</f>
        <v>0</v>
      </c>
      <c r="T9" s="221">
        <f>SUM(H9,J9,L9,N9,P9,R9)</f>
        <v>3</v>
      </c>
      <c r="U9" s="222">
        <f>SUM(I9,K9,M9,O9,Q9,S9)</f>
        <v>48</v>
      </c>
      <c r="W9" s="175"/>
      <c r="X9" s="166"/>
      <c r="Y9" s="166"/>
      <c r="Z9" s="166"/>
      <c r="AA9" s="166"/>
      <c r="AB9" s="166"/>
      <c r="AC9" s="166"/>
      <c r="AD9" s="166"/>
      <c r="AE9" s="166"/>
      <c r="AF9" s="176"/>
      <c r="AG9" s="166"/>
    </row>
    <row r="10" spans="2:33" ht="18" customHeight="1">
      <c r="B10" s="634"/>
      <c r="C10" s="637"/>
      <c r="D10" s="223" t="s">
        <v>610</v>
      </c>
      <c r="E10" s="224" t="s">
        <v>617</v>
      </c>
      <c r="F10" s="225">
        <v>48</v>
      </c>
      <c r="G10" s="201">
        <v>2</v>
      </c>
      <c r="H10" s="226"/>
      <c r="I10" s="226">
        <f>H10*16</f>
        <v>0</v>
      </c>
      <c r="J10" s="226"/>
      <c r="K10" s="226">
        <f>J10*16</f>
        <v>0</v>
      </c>
      <c r="L10" s="180">
        <v>3</v>
      </c>
      <c r="M10" s="180">
        <v>48</v>
      </c>
      <c r="N10" s="180"/>
      <c r="O10" s="180">
        <f>N10*16</f>
        <v>0</v>
      </c>
      <c r="P10" s="180"/>
      <c r="Q10" s="226">
        <f>P10*16</f>
        <v>0</v>
      </c>
      <c r="R10" s="226"/>
      <c r="S10" s="226">
        <f>R10*16</f>
        <v>0</v>
      </c>
      <c r="T10" s="227">
        <f>SUM(H10,J10,L10,N10,P10,R10)</f>
        <v>3</v>
      </c>
      <c r="U10" s="228">
        <f>SUM(I10,K10,M10,O10,Q10,S10)</f>
        <v>48</v>
      </c>
      <c r="W10" s="175"/>
      <c r="X10" s="166"/>
      <c r="Y10" s="166"/>
      <c r="Z10" s="166"/>
      <c r="AA10" s="166"/>
      <c r="AB10" s="166"/>
      <c r="AC10" s="166"/>
      <c r="AD10" s="166"/>
      <c r="AE10" s="166"/>
      <c r="AF10" s="176"/>
      <c r="AG10" s="166"/>
    </row>
    <row r="11" spans="2:33" ht="18" customHeight="1">
      <c r="B11" s="634"/>
      <c r="C11" s="637"/>
      <c r="D11" s="223" t="s">
        <v>611</v>
      </c>
      <c r="E11" s="224" t="s">
        <v>618</v>
      </c>
      <c r="F11" s="229">
        <v>48</v>
      </c>
      <c r="G11" s="178">
        <v>2</v>
      </c>
      <c r="H11" s="230"/>
      <c r="I11" s="230"/>
      <c r="J11" s="230"/>
      <c r="K11" s="230"/>
      <c r="L11" s="179">
        <v>3</v>
      </c>
      <c r="M11" s="179">
        <v>48</v>
      </c>
      <c r="N11" s="179"/>
      <c r="O11" s="179"/>
      <c r="P11" s="179"/>
      <c r="Q11" s="230">
        <f>P11*16</f>
        <v>0</v>
      </c>
      <c r="R11" s="230"/>
      <c r="S11" s="230"/>
      <c r="T11" s="231">
        <v>3</v>
      </c>
      <c r="U11" s="232">
        <v>48</v>
      </c>
    </row>
    <row r="12" spans="2:33" ht="18" customHeight="1">
      <c r="B12" s="634"/>
      <c r="C12" s="637"/>
      <c r="D12" s="233" t="s">
        <v>716</v>
      </c>
      <c r="E12" s="234" t="s">
        <v>717</v>
      </c>
      <c r="F12" s="229">
        <v>48</v>
      </c>
      <c r="G12" s="178">
        <v>2</v>
      </c>
      <c r="H12" s="230"/>
      <c r="I12" s="230"/>
      <c r="J12" s="230"/>
      <c r="K12" s="230"/>
      <c r="L12" s="179"/>
      <c r="M12" s="179"/>
      <c r="N12" s="179">
        <v>3</v>
      </c>
      <c r="O12" s="179">
        <v>48</v>
      </c>
      <c r="P12" s="179"/>
      <c r="Q12" s="230">
        <f>P12*16</f>
        <v>0</v>
      </c>
      <c r="R12" s="230"/>
      <c r="S12" s="230">
        <f>R12*16</f>
        <v>0</v>
      </c>
      <c r="T12" s="231">
        <f>SUM(H12,J12,L12,N12,P12,R12)</f>
        <v>3</v>
      </c>
      <c r="U12" s="232">
        <f>SUM(I12,K12,M12,O12,Q12,S12)</f>
        <v>48</v>
      </c>
    </row>
    <row r="13" spans="2:33" ht="18" customHeight="1">
      <c r="B13" s="634"/>
      <c r="C13" s="637"/>
      <c r="D13" s="235" t="s">
        <v>612</v>
      </c>
      <c r="E13" s="224" t="s">
        <v>619</v>
      </c>
      <c r="F13" s="229">
        <v>48</v>
      </c>
      <c r="G13" s="178">
        <v>3</v>
      </c>
      <c r="H13" s="230"/>
      <c r="I13" s="230"/>
      <c r="J13" s="230"/>
      <c r="K13" s="230"/>
      <c r="L13" s="179"/>
      <c r="M13" s="179"/>
      <c r="N13" s="179">
        <v>3</v>
      </c>
      <c r="O13" s="179">
        <v>48</v>
      </c>
      <c r="P13" s="179"/>
      <c r="Q13" s="230"/>
      <c r="R13" s="230"/>
      <c r="S13" s="230"/>
      <c r="T13" s="231">
        <v>3</v>
      </c>
      <c r="U13" s="232">
        <v>48</v>
      </c>
    </row>
    <row r="14" spans="2:33" ht="18" customHeight="1">
      <c r="B14" s="634"/>
      <c r="C14" s="637"/>
      <c r="D14" s="235" t="s">
        <v>613</v>
      </c>
      <c r="E14" s="224" t="s">
        <v>620</v>
      </c>
      <c r="F14" s="229">
        <v>48</v>
      </c>
      <c r="G14" s="178">
        <v>3</v>
      </c>
      <c r="H14" s="230"/>
      <c r="I14" s="230"/>
      <c r="J14" s="230"/>
      <c r="K14" s="230"/>
      <c r="L14" s="179"/>
      <c r="M14" s="179"/>
      <c r="N14" s="179">
        <v>3</v>
      </c>
      <c r="O14" s="179">
        <v>48</v>
      </c>
      <c r="P14" s="179"/>
      <c r="Q14" s="230"/>
      <c r="R14" s="230"/>
      <c r="S14" s="230"/>
      <c r="T14" s="231">
        <v>3</v>
      </c>
      <c r="U14" s="232">
        <v>48</v>
      </c>
    </row>
    <row r="15" spans="2:33" ht="18" customHeight="1">
      <c r="B15" s="634"/>
      <c r="C15" s="637"/>
      <c r="D15" s="223" t="s">
        <v>614</v>
      </c>
      <c r="E15" s="224" t="s">
        <v>621</v>
      </c>
      <c r="F15" s="229">
        <v>48</v>
      </c>
      <c r="G15" s="178">
        <v>2</v>
      </c>
      <c r="H15" s="230"/>
      <c r="I15" s="230"/>
      <c r="J15" s="230"/>
      <c r="K15" s="230"/>
      <c r="L15" s="179"/>
      <c r="M15" s="179"/>
      <c r="N15" s="179">
        <v>3</v>
      </c>
      <c r="O15" s="179">
        <v>48</v>
      </c>
      <c r="P15" s="179"/>
      <c r="Q15" s="230"/>
      <c r="R15" s="230"/>
      <c r="S15" s="230"/>
      <c r="T15" s="231">
        <v>3</v>
      </c>
      <c r="U15" s="232">
        <v>48</v>
      </c>
    </row>
    <row r="16" spans="2:33" ht="18" customHeight="1">
      <c r="B16" s="634"/>
      <c r="C16" s="637"/>
      <c r="D16" s="223" t="s">
        <v>615</v>
      </c>
      <c r="E16" s="224" t="s">
        <v>622</v>
      </c>
      <c r="F16" s="229">
        <v>32</v>
      </c>
      <c r="G16" s="178">
        <v>2</v>
      </c>
      <c r="H16" s="230"/>
      <c r="I16" s="230"/>
      <c r="J16" s="230"/>
      <c r="K16" s="230"/>
      <c r="L16" s="179">
        <v>2</v>
      </c>
      <c r="M16" s="179">
        <v>32</v>
      </c>
      <c r="N16" s="179"/>
      <c r="O16" s="179"/>
      <c r="P16" s="179"/>
      <c r="Q16" s="230"/>
      <c r="R16" s="230"/>
      <c r="S16" s="230"/>
      <c r="T16" s="231">
        <v>2</v>
      </c>
      <c r="U16" s="232">
        <v>32</v>
      </c>
      <c r="W16" s="184"/>
    </row>
    <row r="17" spans="2:21" ht="18" customHeight="1" thickBot="1">
      <c r="B17" s="635"/>
      <c r="C17" s="638"/>
      <c r="D17" s="558" t="s">
        <v>16</v>
      </c>
      <c r="E17" s="558"/>
      <c r="F17" s="185">
        <f>SUM(F9:F16)</f>
        <v>368</v>
      </c>
      <c r="G17" s="185"/>
      <c r="H17" s="236">
        <f>SUM(H11:H16)</f>
        <v>0</v>
      </c>
      <c r="I17" s="236">
        <f>SUM(I11:I16)</f>
        <v>0</v>
      </c>
      <c r="J17" s="236">
        <f>SUM(J11:J16)</f>
        <v>0</v>
      </c>
      <c r="K17" s="236">
        <f>SUM(K11:K16)</f>
        <v>0</v>
      </c>
      <c r="L17" s="206">
        <f t="shared" ref="L17:U17" si="0">SUM(L9:L16)</f>
        <v>11</v>
      </c>
      <c r="M17" s="206">
        <f t="shared" si="0"/>
        <v>176</v>
      </c>
      <c r="N17" s="206">
        <f t="shared" si="0"/>
        <v>12</v>
      </c>
      <c r="O17" s="206">
        <f>SUM(O9:O16)</f>
        <v>192</v>
      </c>
      <c r="P17" s="236">
        <f t="shared" si="0"/>
        <v>0</v>
      </c>
      <c r="Q17" s="236">
        <f t="shared" si="0"/>
        <v>0</v>
      </c>
      <c r="R17" s="236">
        <f t="shared" si="0"/>
        <v>0</v>
      </c>
      <c r="S17" s="236">
        <f t="shared" si="0"/>
        <v>0</v>
      </c>
      <c r="T17" s="188">
        <f t="shared" si="0"/>
        <v>23</v>
      </c>
      <c r="U17" s="188">
        <f t="shared" si="0"/>
        <v>368</v>
      </c>
    </row>
    <row r="18" spans="2:21" ht="18" customHeight="1">
      <c r="B18" s="559" t="s">
        <v>718</v>
      </c>
      <c r="C18" s="563">
        <v>11</v>
      </c>
      <c r="D18" s="237" t="s">
        <v>586</v>
      </c>
      <c r="E18" s="171" t="s">
        <v>590</v>
      </c>
      <c r="F18" s="219">
        <v>48</v>
      </c>
      <c r="G18" s="170">
        <v>2</v>
      </c>
      <c r="H18" s="172"/>
      <c r="I18" s="172"/>
      <c r="J18" s="172"/>
      <c r="K18" s="172"/>
      <c r="L18" s="172">
        <v>3</v>
      </c>
      <c r="M18" s="172">
        <v>48</v>
      </c>
      <c r="N18" s="172"/>
      <c r="O18" s="172"/>
      <c r="P18" s="172"/>
      <c r="Q18" s="172"/>
      <c r="R18" s="172"/>
      <c r="S18" s="172"/>
      <c r="T18" s="221">
        <v>3</v>
      </c>
      <c r="U18" s="222">
        <v>48</v>
      </c>
    </row>
    <row r="19" spans="2:21" ht="18" customHeight="1">
      <c r="B19" s="562"/>
      <c r="C19" s="564"/>
      <c r="D19" s="238" t="s">
        <v>623</v>
      </c>
      <c r="E19" s="239" t="s">
        <v>591</v>
      </c>
      <c r="F19" s="229">
        <v>32</v>
      </c>
      <c r="G19" s="178">
        <v>2</v>
      </c>
      <c r="H19" s="179"/>
      <c r="I19" s="179"/>
      <c r="J19" s="179"/>
      <c r="K19" s="179"/>
      <c r="L19" s="179">
        <v>2</v>
      </c>
      <c r="M19" s="179">
        <v>32</v>
      </c>
      <c r="N19" s="179"/>
      <c r="O19" s="179"/>
      <c r="P19" s="179"/>
      <c r="Q19" s="179"/>
      <c r="R19" s="179"/>
      <c r="S19" s="180"/>
      <c r="T19" s="231">
        <v>2</v>
      </c>
      <c r="U19" s="232">
        <v>32</v>
      </c>
    </row>
    <row r="20" spans="2:21" ht="18" customHeight="1">
      <c r="B20" s="562"/>
      <c r="C20" s="564"/>
      <c r="D20" s="240" t="s">
        <v>588</v>
      </c>
      <c r="E20" s="241" t="s">
        <v>592</v>
      </c>
      <c r="F20" s="229">
        <v>48</v>
      </c>
      <c r="G20" s="178">
        <v>3</v>
      </c>
      <c r="H20" s="179"/>
      <c r="I20" s="179"/>
      <c r="J20" s="179"/>
      <c r="K20" s="179"/>
      <c r="L20" s="179"/>
      <c r="M20" s="179"/>
      <c r="N20" s="179">
        <v>3</v>
      </c>
      <c r="O20" s="179">
        <v>48</v>
      </c>
      <c r="P20" s="179"/>
      <c r="Q20" s="179"/>
      <c r="R20" s="179"/>
      <c r="S20" s="180"/>
      <c r="T20" s="231">
        <v>3</v>
      </c>
      <c r="U20" s="232">
        <v>48</v>
      </c>
    </row>
    <row r="21" spans="2:21" ht="18" customHeight="1">
      <c r="B21" s="560"/>
      <c r="C21" s="609"/>
      <c r="D21" s="211" t="s">
        <v>589</v>
      </c>
      <c r="E21" s="239" t="s">
        <v>593</v>
      </c>
      <c r="F21" s="225">
        <v>48</v>
      </c>
      <c r="G21" s="201">
        <v>3</v>
      </c>
      <c r="H21" s="180"/>
      <c r="I21" s="180"/>
      <c r="J21" s="180"/>
      <c r="K21" s="180"/>
      <c r="L21" s="180"/>
      <c r="M21" s="180"/>
      <c r="N21" s="180">
        <v>3</v>
      </c>
      <c r="O21" s="180">
        <v>48</v>
      </c>
      <c r="P21" s="180"/>
      <c r="Q21" s="180"/>
      <c r="R21" s="180"/>
      <c r="S21" s="180"/>
      <c r="T21" s="227">
        <v>3</v>
      </c>
      <c r="U21" s="228">
        <v>48</v>
      </c>
    </row>
    <row r="22" spans="2:21" ht="18" customHeight="1" thickBot="1">
      <c r="B22" s="561"/>
      <c r="C22" s="565"/>
      <c r="D22" s="558" t="s">
        <v>16</v>
      </c>
      <c r="E22" s="558"/>
      <c r="F22" s="185">
        <f>SUM(F18:F21)</f>
        <v>176</v>
      </c>
      <c r="G22" s="185"/>
      <c r="H22" s="188"/>
      <c r="I22" s="188"/>
      <c r="J22" s="188"/>
      <c r="K22" s="188"/>
      <c r="L22" s="188">
        <v>5</v>
      </c>
      <c r="M22" s="188">
        <f>SUM(M18:M21)</f>
        <v>80</v>
      </c>
      <c r="N22" s="188">
        <f>SUM(N18:N21)</f>
        <v>6</v>
      </c>
      <c r="O22" s="188">
        <f>SUM(O18:O21)</f>
        <v>96</v>
      </c>
      <c r="P22" s="188"/>
      <c r="Q22" s="188"/>
      <c r="R22" s="188"/>
      <c r="S22" s="188"/>
      <c r="T22" s="242">
        <f>SUM(T18:T21)</f>
        <v>11</v>
      </c>
      <c r="U22" s="243">
        <f>SUM(U18:U21)</f>
        <v>176</v>
      </c>
    </row>
    <row r="23" spans="2:21" ht="18" customHeight="1">
      <c r="B23" s="566" t="s">
        <v>546</v>
      </c>
      <c r="C23" s="568">
        <v>20</v>
      </c>
      <c r="D23" s="244" t="s">
        <v>601</v>
      </c>
      <c r="E23" s="197" t="s">
        <v>603</v>
      </c>
      <c r="F23" s="232">
        <v>80</v>
      </c>
      <c r="G23" s="178">
        <v>2</v>
      </c>
      <c r="H23" s="179"/>
      <c r="I23" s="179"/>
      <c r="J23" s="179"/>
      <c r="K23" s="179"/>
      <c r="L23" s="179"/>
      <c r="M23" s="179"/>
      <c r="N23" s="179"/>
      <c r="O23" s="179"/>
      <c r="P23" s="179">
        <v>5</v>
      </c>
      <c r="Q23" s="179">
        <v>80</v>
      </c>
      <c r="R23" s="179"/>
      <c r="S23" s="179"/>
      <c r="T23" s="231">
        <v>5</v>
      </c>
      <c r="U23" s="232">
        <v>80</v>
      </c>
    </row>
    <row r="24" spans="2:21" ht="18" customHeight="1">
      <c r="B24" s="566"/>
      <c r="C24" s="569"/>
      <c r="D24" s="235" t="s">
        <v>640</v>
      </c>
      <c r="E24" s="245" t="s">
        <v>604</v>
      </c>
      <c r="F24" s="232">
        <v>80</v>
      </c>
      <c r="G24" s="178">
        <v>3</v>
      </c>
      <c r="H24" s="179"/>
      <c r="I24" s="179"/>
      <c r="J24" s="179"/>
      <c r="K24" s="179"/>
      <c r="L24" s="179"/>
      <c r="M24" s="179"/>
      <c r="N24" s="179"/>
      <c r="O24" s="179"/>
      <c r="P24" s="179">
        <v>5</v>
      </c>
      <c r="Q24" s="179">
        <v>80</v>
      </c>
      <c r="R24" s="179"/>
      <c r="S24" s="179"/>
      <c r="T24" s="231">
        <v>5</v>
      </c>
      <c r="U24" s="232">
        <v>80</v>
      </c>
    </row>
    <row r="25" spans="2:21" ht="18" customHeight="1">
      <c r="B25" s="566"/>
      <c r="C25" s="569"/>
      <c r="D25" s="235" t="s">
        <v>641</v>
      </c>
      <c r="E25" s="224" t="s">
        <v>719</v>
      </c>
      <c r="F25" s="232">
        <v>80</v>
      </c>
      <c r="G25" s="178">
        <v>3</v>
      </c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>
        <v>5</v>
      </c>
      <c r="S25" s="179">
        <v>80</v>
      </c>
      <c r="T25" s="231">
        <v>5</v>
      </c>
      <c r="U25" s="232">
        <v>80</v>
      </c>
    </row>
    <row r="26" spans="2:21" ht="18" customHeight="1">
      <c r="B26" s="566"/>
      <c r="C26" s="569"/>
      <c r="D26" s="246" t="s">
        <v>642</v>
      </c>
      <c r="E26" s="199" t="s">
        <v>720</v>
      </c>
      <c r="F26" s="209">
        <v>80</v>
      </c>
      <c r="G26" s="178">
        <v>4</v>
      </c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>
        <v>5</v>
      </c>
      <c r="S26" s="180">
        <v>80</v>
      </c>
      <c r="T26" s="247">
        <v>5</v>
      </c>
      <c r="U26" s="209">
        <v>80</v>
      </c>
    </row>
    <row r="27" spans="2:21" ht="18" customHeight="1" thickBot="1">
      <c r="B27" s="567"/>
      <c r="C27" s="570"/>
      <c r="D27" s="558" t="s">
        <v>16</v>
      </c>
      <c r="E27" s="558"/>
      <c r="F27" s="248">
        <f>SUM(F23:F26)</f>
        <v>320</v>
      </c>
      <c r="G27" s="193"/>
      <c r="H27" s="194"/>
      <c r="I27" s="194"/>
      <c r="J27" s="194"/>
      <c r="K27" s="194"/>
      <c r="L27" s="194"/>
      <c r="M27" s="194"/>
      <c r="N27" s="194"/>
      <c r="O27" s="194"/>
      <c r="P27" s="194">
        <f t="shared" ref="P27:U27" si="1">SUM(P23:P26)</f>
        <v>10</v>
      </c>
      <c r="Q27" s="194">
        <f t="shared" si="1"/>
        <v>160</v>
      </c>
      <c r="R27" s="194">
        <f t="shared" si="1"/>
        <v>10</v>
      </c>
      <c r="S27" s="194">
        <f t="shared" si="1"/>
        <v>160</v>
      </c>
      <c r="T27" s="249">
        <f t="shared" si="1"/>
        <v>20</v>
      </c>
      <c r="U27" s="248">
        <f t="shared" si="1"/>
        <v>320</v>
      </c>
    </row>
    <row r="28" spans="2:21" ht="18" customHeight="1">
      <c r="B28" s="559" t="s">
        <v>721</v>
      </c>
      <c r="C28" s="563">
        <v>17</v>
      </c>
      <c r="D28" s="217" t="s">
        <v>632</v>
      </c>
      <c r="E28" s="250" t="s">
        <v>636</v>
      </c>
      <c r="F28" s="251">
        <v>64</v>
      </c>
      <c r="G28" s="198">
        <v>2</v>
      </c>
      <c r="H28" s="172"/>
      <c r="I28" s="172"/>
      <c r="J28" s="172"/>
      <c r="K28" s="172"/>
      <c r="L28" s="172"/>
      <c r="M28" s="172"/>
      <c r="N28" s="172"/>
      <c r="O28" s="172"/>
      <c r="P28" s="172">
        <v>4</v>
      </c>
      <c r="Q28" s="172">
        <v>64</v>
      </c>
      <c r="R28" s="172"/>
      <c r="S28" s="172"/>
      <c r="T28" s="252">
        <v>4</v>
      </c>
      <c r="U28" s="251">
        <v>64</v>
      </c>
    </row>
    <row r="29" spans="2:21" ht="18" customHeight="1">
      <c r="B29" s="560"/>
      <c r="C29" s="609"/>
      <c r="D29" s="253" t="s">
        <v>633</v>
      </c>
      <c r="E29" s="254" t="s">
        <v>637</v>
      </c>
      <c r="F29" s="209">
        <v>64</v>
      </c>
      <c r="G29" s="178">
        <v>3</v>
      </c>
      <c r="H29" s="179"/>
      <c r="I29" s="179"/>
      <c r="J29" s="179"/>
      <c r="K29" s="179"/>
      <c r="L29" s="179"/>
      <c r="M29" s="179"/>
      <c r="N29" s="179"/>
      <c r="O29" s="179"/>
      <c r="P29" s="179">
        <v>4</v>
      </c>
      <c r="Q29" s="179">
        <v>64</v>
      </c>
      <c r="R29" s="179"/>
      <c r="S29" s="179"/>
      <c r="T29" s="247">
        <v>4</v>
      </c>
      <c r="U29" s="209">
        <v>64</v>
      </c>
    </row>
    <row r="30" spans="2:21" ht="18" customHeight="1">
      <c r="B30" s="560"/>
      <c r="C30" s="609"/>
      <c r="D30" s="246" t="s">
        <v>634</v>
      </c>
      <c r="E30" s="199" t="s">
        <v>638</v>
      </c>
      <c r="F30" s="213">
        <v>64</v>
      </c>
      <c r="G30" s="201">
        <v>4</v>
      </c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>
        <v>4</v>
      </c>
      <c r="S30" s="180">
        <v>64</v>
      </c>
      <c r="T30" s="255">
        <v>4</v>
      </c>
      <c r="U30" s="213">
        <v>64</v>
      </c>
    </row>
    <row r="31" spans="2:21" ht="18" customHeight="1">
      <c r="B31" s="560"/>
      <c r="C31" s="609"/>
      <c r="D31" s="246" t="s">
        <v>635</v>
      </c>
      <c r="E31" s="199" t="s">
        <v>639</v>
      </c>
      <c r="F31" s="213">
        <v>80</v>
      </c>
      <c r="G31" s="201">
        <v>2</v>
      </c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>
        <v>5</v>
      </c>
      <c r="S31" s="180">
        <v>80</v>
      </c>
      <c r="T31" s="255">
        <v>5</v>
      </c>
      <c r="U31" s="213">
        <v>80</v>
      </c>
    </row>
    <row r="32" spans="2:21" ht="18" customHeight="1" thickBot="1">
      <c r="B32" s="561"/>
      <c r="C32" s="565"/>
      <c r="D32" s="558" t="s">
        <v>16</v>
      </c>
      <c r="E32" s="558"/>
      <c r="F32" s="243">
        <f>SUM(F28:F31)</f>
        <v>272</v>
      </c>
      <c r="G32" s="185"/>
      <c r="H32" s="188"/>
      <c r="I32" s="188"/>
      <c r="J32" s="188"/>
      <c r="K32" s="188"/>
      <c r="L32" s="188"/>
      <c r="M32" s="188"/>
      <c r="N32" s="188"/>
      <c r="O32" s="188"/>
      <c r="P32" s="188">
        <f t="shared" ref="P32:U32" si="2">SUM(P28:P31)</f>
        <v>8</v>
      </c>
      <c r="Q32" s="188">
        <f t="shared" si="2"/>
        <v>128</v>
      </c>
      <c r="R32" s="188">
        <f t="shared" si="2"/>
        <v>9</v>
      </c>
      <c r="S32" s="188">
        <f t="shared" si="2"/>
        <v>144</v>
      </c>
      <c r="T32" s="242">
        <f t="shared" si="2"/>
        <v>17</v>
      </c>
      <c r="U32" s="243">
        <f t="shared" si="2"/>
        <v>272</v>
      </c>
    </row>
    <row r="33" spans="2:21" ht="18" customHeight="1">
      <c r="B33" s="562" t="s">
        <v>722</v>
      </c>
      <c r="C33" s="632">
        <v>4</v>
      </c>
      <c r="D33" s="256" t="s">
        <v>643</v>
      </c>
      <c r="E33" s="257" t="s">
        <v>645</v>
      </c>
      <c r="F33" s="209">
        <v>32</v>
      </c>
      <c r="G33" s="178">
        <v>2</v>
      </c>
      <c r="H33" s="179"/>
      <c r="I33" s="179"/>
      <c r="J33" s="179"/>
      <c r="K33" s="179"/>
      <c r="L33" s="179"/>
      <c r="M33" s="179"/>
      <c r="N33" s="179"/>
      <c r="O33" s="179"/>
      <c r="P33" s="202">
        <v>2</v>
      </c>
      <c r="Q33" s="202">
        <v>32</v>
      </c>
      <c r="R33" s="202"/>
      <c r="S33" s="202"/>
      <c r="T33" s="247">
        <v>2</v>
      </c>
      <c r="U33" s="209">
        <v>32</v>
      </c>
    </row>
    <row r="34" spans="2:21" ht="18" customHeight="1">
      <c r="B34" s="562"/>
      <c r="C34" s="632"/>
      <c r="D34" s="224" t="s">
        <v>644</v>
      </c>
      <c r="E34" s="250" t="s">
        <v>646</v>
      </c>
      <c r="F34" s="209">
        <v>32</v>
      </c>
      <c r="G34" s="178">
        <v>3</v>
      </c>
      <c r="H34" s="179"/>
      <c r="I34" s="179"/>
      <c r="J34" s="179"/>
      <c r="K34" s="179"/>
      <c r="L34" s="179"/>
      <c r="M34" s="179"/>
      <c r="N34" s="179"/>
      <c r="O34" s="179"/>
      <c r="P34" s="202"/>
      <c r="Q34" s="202"/>
      <c r="R34" s="202">
        <v>2</v>
      </c>
      <c r="S34" s="202">
        <v>32</v>
      </c>
      <c r="T34" s="247">
        <v>2</v>
      </c>
      <c r="U34" s="209">
        <v>32</v>
      </c>
    </row>
    <row r="35" spans="2:21" ht="18" customHeight="1" thickBot="1">
      <c r="B35" s="561"/>
      <c r="C35" s="565"/>
      <c r="D35" s="558" t="s">
        <v>16</v>
      </c>
      <c r="E35" s="558"/>
      <c r="F35" s="243">
        <f>SUM(F33:F34)</f>
        <v>64</v>
      </c>
      <c r="G35" s="205"/>
      <c r="H35" s="206"/>
      <c r="I35" s="206"/>
      <c r="J35" s="206"/>
      <c r="K35" s="206"/>
      <c r="L35" s="206"/>
      <c r="M35" s="206"/>
      <c r="N35" s="206"/>
      <c r="O35" s="206"/>
      <c r="P35" s="206">
        <f t="shared" ref="P35:U35" si="3">SUM(P33:P34)</f>
        <v>2</v>
      </c>
      <c r="Q35" s="206">
        <f t="shared" si="3"/>
        <v>32</v>
      </c>
      <c r="R35" s="206">
        <f t="shared" si="3"/>
        <v>2</v>
      </c>
      <c r="S35" s="206">
        <f t="shared" si="3"/>
        <v>32</v>
      </c>
      <c r="T35" s="242">
        <f t="shared" si="3"/>
        <v>4</v>
      </c>
      <c r="U35" s="243">
        <f t="shared" si="3"/>
        <v>64</v>
      </c>
    </row>
    <row r="36" spans="2:21" ht="18" customHeight="1">
      <c r="B36" s="562" t="s">
        <v>723</v>
      </c>
      <c r="C36" s="564">
        <v>17</v>
      </c>
      <c r="D36" s="244" t="s">
        <v>624</v>
      </c>
      <c r="E36" s="197" t="s">
        <v>628</v>
      </c>
      <c r="F36" s="209">
        <v>64</v>
      </c>
      <c r="G36" s="178">
        <v>3</v>
      </c>
      <c r="H36" s="179"/>
      <c r="I36" s="179"/>
      <c r="J36" s="179"/>
      <c r="K36" s="179"/>
      <c r="L36" s="179"/>
      <c r="M36" s="179"/>
      <c r="N36" s="179"/>
      <c r="O36" s="179"/>
      <c r="P36" s="202">
        <v>4</v>
      </c>
      <c r="Q36" s="202">
        <v>64</v>
      </c>
      <c r="R36" s="202"/>
      <c r="S36" s="202"/>
      <c r="T36" s="247">
        <v>4</v>
      </c>
      <c r="U36" s="209">
        <v>64</v>
      </c>
    </row>
    <row r="37" spans="2:21" ht="18" customHeight="1">
      <c r="B37" s="562"/>
      <c r="C37" s="564"/>
      <c r="D37" s="235" t="s">
        <v>625</v>
      </c>
      <c r="E37" s="199" t="s">
        <v>629</v>
      </c>
      <c r="F37" s="209">
        <v>64</v>
      </c>
      <c r="G37" s="178">
        <v>3</v>
      </c>
      <c r="H37" s="179"/>
      <c r="I37" s="179"/>
      <c r="J37" s="179"/>
      <c r="K37" s="179"/>
      <c r="L37" s="179"/>
      <c r="M37" s="179"/>
      <c r="N37" s="179"/>
      <c r="O37" s="179"/>
      <c r="P37" s="202">
        <v>4</v>
      </c>
      <c r="Q37" s="202">
        <v>64</v>
      </c>
      <c r="R37" s="202"/>
      <c r="S37" s="202"/>
      <c r="T37" s="247">
        <v>4</v>
      </c>
      <c r="U37" s="209">
        <v>64</v>
      </c>
    </row>
    <row r="38" spans="2:21" ht="18" customHeight="1">
      <c r="B38" s="610"/>
      <c r="C38" s="611"/>
      <c r="D38" s="244" t="s">
        <v>626</v>
      </c>
      <c r="E38" s="258" t="s">
        <v>630</v>
      </c>
      <c r="F38" s="209">
        <v>80</v>
      </c>
      <c r="G38" s="178">
        <v>4</v>
      </c>
      <c r="H38" s="179"/>
      <c r="I38" s="179"/>
      <c r="J38" s="179"/>
      <c r="K38" s="179"/>
      <c r="L38" s="179"/>
      <c r="M38" s="179"/>
      <c r="N38" s="179"/>
      <c r="O38" s="179"/>
      <c r="P38" s="202"/>
      <c r="Q38" s="202"/>
      <c r="R38" s="202">
        <v>5</v>
      </c>
      <c r="S38" s="202">
        <v>80</v>
      </c>
      <c r="T38" s="247">
        <v>5</v>
      </c>
      <c r="U38" s="209">
        <v>80</v>
      </c>
    </row>
    <row r="39" spans="2:21" ht="18" customHeight="1">
      <c r="B39" s="610"/>
      <c r="C39" s="611"/>
      <c r="D39" s="235" t="s">
        <v>627</v>
      </c>
      <c r="E39" s="199" t="s">
        <v>631</v>
      </c>
      <c r="F39" s="213">
        <v>64</v>
      </c>
      <c r="G39" s="201">
        <v>3</v>
      </c>
      <c r="H39" s="180"/>
      <c r="I39" s="180"/>
      <c r="J39" s="180"/>
      <c r="K39" s="180"/>
      <c r="L39" s="180"/>
      <c r="M39" s="180"/>
      <c r="N39" s="180"/>
      <c r="O39" s="180"/>
      <c r="P39" s="214"/>
      <c r="Q39" s="214"/>
      <c r="R39" s="214">
        <v>4</v>
      </c>
      <c r="S39" s="214">
        <v>64</v>
      </c>
      <c r="T39" s="255">
        <v>4</v>
      </c>
      <c r="U39" s="213">
        <v>64</v>
      </c>
    </row>
    <row r="40" spans="2:21" ht="18" customHeight="1" thickBot="1">
      <c r="B40" s="561"/>
      <c r="C40" s="565"/>
      <c r="D40" s="558" t="s">
        <v>16</v>
      </c>
      <c r="E40" s="558"/>
      <c r="F40" s="206">
        <f>SUM(F36:F39)</f>
        <v>272</v>
      </c>
      <c r="G40" s="205"/>
      <c r="H40" s="206"/>
      <c r="I40" s="206"/>
      <c r="J40" s="206"/>
      <c r="K40" s="206"/>
      <c r="L40" s="206"/>
      <c r="M40" s="206"/>
      <c r="N40" s="206"/>
      <c r="O40" s="206"/>
      <c r="P40" s="206">
        <f t="shared" ref="P40:U40" si="4">SUM(P36:P39)</f>
        <v>8</v>
      </c>
      <c r="Q40" s="206">
        <f t="shared" si="4"/>
        <v>128</v>
      </c>
      <c r="R40" s="206">
        <f t="shared" si="4"/>
        <v>9</v>
      </c>
      <c r="S40" s="206">
        <f t="shared" si="4"/>
        <v>144</v>
      </c>
      <c r="T40" s="242">
        <f t="shared" si="4"/>
        <v>17</v>
      </c>
      <c r="U40" s="243">
        <f t="shared" si="4"/>
        <v>272</v>
      </c>
    </row>
  </sheetData>
  <mergeCells count="45">
    <mergeCell ref="B2:U2"/>
    <mergeCell ref="N3:P3"/>
    <mergeCell ref="Q3:S3"/>
    <mergeCell ref="T3:U3"/>
    <mergeCell ref="N4:P4"/>
    <mergeCell ref="Q4:S4"/>
    <mergeCell ref="T4:U4"/>
    <mergeCell ref="U6:U8"/>
    <mergeCell ref="B5:C5"/>
    <mergeCell ref="B6:B8"/>
    <mergeCell ref="C6:C8"/>
    <mergeCell ref="D6:D8"/>
    <mergeCell ref="E6:E8"/>
    <mergeCell ref="F6:F8"/>
    <mergeCell ref="B9:B17"/>
    <mergeCell ref="C9:C17"/>
    <mergeCell ref="D17:E17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T6:T8"/>
    <mergeCell ref="B18:B22"/>
    <mergeCell ref="C18:C22"/>
    <mergeCell ref="D22:E22"/>
    <mergeCell ref="B23:B27"/>
    <mergeCell ref="C23:C27"/>
    <mergeCell ref="D27:E27"/>
    <mergeCell ref="D40:E40"/>
    <mergeCell ref="B28:B32"/>
    <mergeCell ref="C28:C32"/>
    <mergeCell ref="D32:E32"/>
    <mergeCell ref="B33:B35"/>
    <mergeCell ref="C33:C35"/>
    <mergeCell ref="D35:E35"/>
    <mergeCell ref="B36:B40"/>
    <mergeCell ref="C36:C40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45F6-4970-4DCA-BB39-278B311387C3}">
  <sheetPr>
    <pageSetUpPr fitToPage="1"/>
  </sheetPr>
  <dimension ref="B1:AD96"/>
  <sheetViews>
    <sheetView view="pageBreakPreview" zoomScaleNormal="100" zoomScaleSheetLayoutView="100" workbookViewId="0">
      <pane ySplit="8" topLeftCell="A28" activePane="bottomLeft" state="frozen"/>
      <selection pane="bottomLeft" activeCell="E48" sqref="E48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22.25" style="4" bestFit="1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531" t="s">
        <v>690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2"/>
      <c r="V2" s="533" t="s">
        <v>130</v>
      </c>
      <c r="W2" s="534"/>
      <c r="X2" s="535">
        <v>2027</v>
      </c>
      <c r="Y2" s="536"/>
      <c r="AA2" s="537" t="s">
        <v>143</v>
      </c>
      <c r="AB2" s="15" t="s">
        <v>144</v>
      </c>
      <c r="AC2" s="21" t="s">
        <v>152</v>
      </c>
      <c r="AD2" s="16" t="s">
        <v>145</v>
      </c>
    </row>
    <row r="3" spans="2:30" ht="17.25" thickBot="1">
      <c r="B3" s="540" t="s">
        <v>364</v>
      </c>
      <c r="C3" s="542" t="s">
        <v>53</v>
      </c>
      <c r="D3" s="543"/>
      <c r="E3" s="543"/>
      <c r="F3" s="542" t="s">
        <v>64</v>
      </c>
      <c r="G3" s="546"/>
      <c r="H3" s="542" t="s">
        <v>54</v>
      </c>
      <c r="I3" s="543"/>
      <c r="J3" s="543"/>
      <c r="K3" s="542" t="s">
        <v>55</v>
      </c>
      <c r="L3" s="543"/>
      <c r="M3" s="543"/>
      <c r="N3" s="543"/>
      <c r="O3" s="546"/>
      <c r="P3" s="548" t="s">
        <v>56</v>
      </c>
      <c r="Q3" s="549"/>
      <c r="R3" s="549"/>
      <c r="S3" s="549"/>
      <c r="T3" s="549"/>
      <c r="U3" s="549"/>
      <c r="V3" s="549"/>
      <c r="W3" s="549"/>
      <c r="X3" s="549"/>
      <c r="Y3" s="550"/>
      <c r="AA3" s="538"/>
      <c r="AB3" s="17" t="s">
        <v>146</v>
      </c>
      <c r="AC3" s="23" t="s">
        <v>691</v>
      </c>
      <c r="AD3" s="18" t="s">
        <v>516</v>
      </c>
    </row>
    <row r="4" spans="2:30" ht="17.25" thickBot="1">
      <c r="B4" s="541"/>
      <c r="C4" s="544"/>
      <c r="D4" s="545"/>
      <c r="E4" s="545"/>
      <c r="F4" s="544"/>
      <c r="G4" s="547"/>
      <c r="H4" s="544"/>
      <c r="I4" s="545"/>
      <c r="J4" s="545"/>
      <c r="K4" s="544"/>
      <c r="L4" s="545"/>
      <c r="M4" s="545"/>
      <c r="N4" s="545"/>
      <c r="O4" s="547"/>
      <c r="P4" s="548" t="s">
        <v>127</v>
      </c>
      <c r="Q4" s="549"/>
      <c r="R4" s="549"/>
      <c r="S4" s="549"/>
      <c r="T4" s="548" t="s">
        <v>61</v>
      </c>
      <c r="U4" s="549"/>
      <c r="V4" s="550"/>
      <c r="W4" s="549" t="s">
        <v>128</v>
      </c>
      <c r="X4" s="549"/>
      <c r="Y4" s="550"/>
      <c r="AA4" s="538"/>
      <c r="AB4" s="19" t="s">
        <v>147</v>
      </c>
      <c r="AC4" s="24" t="s">
        <v>692</v>
      </c>
      <c r="AD4" s="18" t="s">
        <v>699</v>
      </c>
    </row>
    <row r="5" spans="2:30" ht="26.25" customHeight="1" thickBot="1">
      <c r="B5" s="48" t="s">
        <v>514</v>
      </c>
      <c r="C5" s="551" t="s">
        <v>517</v>
      </c>
      <c r="D5" s="552"/>
      <c r="E5" s="553"/>
      <c r="F5" s="551" t="s">
        <v>156</v>
      </c>
      <c r="G5" s="554"/>
      <c r="H5" s="555" t="s">
        <v>188</v>
      </c>
      <c r="I5" s="552"/>
      <c r="J5" s="553"/>
      <c r="K5" s="551" t="s">
        <v>559</v>
      </c>
      <c r="L5" s="552"/>
      <c r="M5" s="552"/>
      <c r="N5" s="552"/>
      <c r="O5" s="554"/>
      <c r="P5" s="555" t="s">
        <v>521</v>
      </c>
      <c r="Q5" s="552"/>
      <c r="R5" s="552"/>
      <c r="S5" s="553"/>
      <c r="T5" s="551" t="s">
        <v>34</v>
      </c>
      <c r="U5" s="552"/>
      <c r="V5" s="553"/>
      <c r="W5" s="556" t="s">
        <v>524</v>
      </c>
      <c r="X5" s="557"/>
      <c r="Y5" s="446"/>
      <c r="AA5" s="539"/>
      <c r="AB5" s="155" t="s">
        <v>148</v>
      </c>
      <c r="AC5" s="156" t="s">
        <v>693</v>
      </c>
      <c r="AD5" s="126" t="s">
        <v>701</v>
      </c>
    </row>
    <row r="6" spans="2:30" ht="15.75" customHeight="1" thickBot="1">
      <c r="U6" s="517"/>
      <c r="V6" s="517"/>
      <c r="W6" s="517"/>
      <c r="X6" s="517"/>
      <c r="Y6" s="517"/>
    </row>
    <row r="7" spans="2:30" s="10" customFormat="1" ht="22.5" customHeight="1">
      <c r="B7" s="518" t="s">
        <v>2</v>
      </c>
      <c r="C7" s="519"/>
      <c r="D7" s="522" t="s">
        <v>120</v>
      </c>
      <c r="E7" s="524" t="s">
        <v>57</v>
      </c>
      <c r="F7" s="525"/>
      <c r="G7" s="508"/>
      <c r="H7" s="504" t="s">
        <v>133</v>
      </c>
      <c r="I7" s="526" t="s">
        <v>134</v>
      </c>
      <c r="J7" s="505" t="s">
        <v>135</v>
      </c>
      <c r="K7" s="527" t="s">
        <v>58</v>
      </c>
      <c r="L7" s="526"/>
      <c r="M7" s="526"/>
      <c r="N7" s="528"/>
      <c r="O7" s="529" t="s">
        <v>59</v>
      </c>
      <c r="P7" s="526"/>
      <c r="Q7" s="526"/>
      <c r="R7" s="528"/>
      <c r="S7" s="527" t="s">
        <v>60</v>
      </c>
      <c r="T7" s="526"/>
      <c r="U7" s="526"/>
      <c r="V7" s="530"/>
      <c r="W7" s="504" t="s">
        <v>136</v>
      </c>
      <c r="X7" s="505"/>
      <c r="Y7" s="508" t="s">
        <v>137</v>
      </c>
      <c r="Z7" s="9"/>
    </row>
    <row r="8" spans="2:30" s="10" customFormat="1" ht="22.5" customHeight="1" thickBot="1">
      <c r="B8" s="520"/>
      <c r="C8" s="521"/>
      <c r="D8" s="523"/>
      <c r="E8" s="20" t="s">
        <v>18</v>
      </c>
      <c r="F8" s="510" t="s">
        <v>19</v>
      </c>
      <c r="G8" s="511"/>
      <c r="H8" s="506"/>
      <c r="I8" s="513"/>
      <c r="J8" s="507"/>
      <c r="K8" s="512" t="s">
        <v>0</v>
      </c>
      <c r="L8" s="513"/>
      <c r="M8" s="513" t="s">
        <v>62</v>
      </c>
      <c r="N8" s="514"/>
      <c r="O8" s="515" t="s">
        <v>0</v>
      </c>
      <c r="P8" s="513"/>
      <c r="Q8" s="513" t="s">
        <v>62</v>
      </c>
      <c r="R8" s="514"/>
      <c r="S8" s="512" t="s">
        <v>0</v>
      </c>
      <c r="T8" s="513"/>
      <c r="U8" s="513" t="s">
        <v>62</v>
      </c>
      <c r="V8" s="516"/>
      <c r="W8" s="506"/>
      <c r="X8" s="507"/>
      <c r="Y8" s="509"/>
      <c r="AA8" s="495" t="s">
        <v>504</v>
      </c>
      <c r="AB8" s="495"/>
      <c r="AC8" s="495"/>
      <c r="AD8" s="495"/>
    </row>
    <row r="9" spans="2:30" ht="18" customHeight="1" thickBot="1">
      <c r="B9" s="496" t="s">
        <v>341</v>
      </c>
      <c r="C9" s="481"/>
      <c r="D9" s="470" t="s">
        <v>21</v>
      </c>
      <c r="E9" s="25" t="s">
        <v>12</v>
      </c>
      <c r="F9" s="477" t="s">
        <v>205</v>
      </c>
      <c r="G9" s="478"/>
      <c r="H9" s="26">
        <v>4</v>
      </c>
      <c r="I9" s="27" t="s">
        <v>342</v>
      </c>
      <c r="J9" s="28">
        <v>3</v>
      </c>
      <c r="K9" s="459">
        <v>3</v>
      </c>
      <c r="L9" s="461"/>
      <c r="M9" s="462"/>
      <c r="N9" s="463"/>
      <c r="O9" s="464"/>
      <c r="P9" s="461"/>
      <c r="Q9" s="462"/>
      <c r="R9" s="463"/>
      <c r="S9" s="500"/>
      <c r="T9" s="501"/>
      <c r="U9" s="502"/>
      <c r="V9" s="503"/>
      <c r="W9" s="29">
        <f>SUM(K9:V9)</f>
        <v>3</v>
      </c>
      <c r="X9" s="322">
        <f>SUM(W9:W11)</f>
        <v>11</v>
      </c>
      <c r="Y9" s="456">
        <v>24</v>
      </c>
      <c r="AA9" s="109" t="s">
        <v>18</v>
      </c>
      <c r="AB9" s="110" t="s">
        <v>510</v>
      </c>
      <c r="AC9" s="110" t="s">
        <v>511</v>
      </c>
      <c r="AD9" s="111" t="s">
        <v>512</v>
      </c>
    </row>
    <row r="10" spans="2:30" ht="18" customHeight="1" thickBot="1">
      <c r="B10" s="497"/>
      <c r="C10" s="482"/>
      <c r="D10" s="471"/>
      <c r="E10" s="30" t="s">
        <v>12</v>
      </c>
      <c r="F10" s="493" t="s">
        <v>206</v>
      </c>
      <c r="G10" s="494"/>
      <c r="H10" s="127">
        <v>4</v>
      </c>
      <c r="I10" s="128" t="s">
        <v>342</v>
      </c>
      <c r="J10" s="129">
        <v>4</v>
      </c>
      <c r="K10" s="434"/>
      <c r="L10" s="427"/>
      <c r="M10" s="419">
        <v>4</v>
      </c>
      <c r="N10" s="428"/>
      <c r="O10" s="426"/>
      <c r="P10" s="427"/>
      <c r="Q10" s="419"/>
      <c r="R10" s="428"/>
      <c r="S10" s="426"/>
      <c r="T10" s="427"/>
      <c r="U10" s="419"/>
      <c r="V10" s="420"/>
      <c r="W10" s="31">
        <f t="shared" ref="W10:W23" si="0">SUM(K10:V10)</f>
        <v>4</v>
      </c>
      <c r="X10" s="324"/>
      <c r="Y10" s="456"/>
      <c r="AA10" s="112" t="s">
        <v>505</v>
      </c>
      <c r="AB10" s="113">
        <v>4</v>
      </c>
      <c r="AC10" s="113">
        <v>-1</v>
      </c>
      <c r="AD10" s="18" t="s">
        <v>342</v>
      </c>
    </row>
    <row r="11" spans="2:30" ht="18" customHeight="1" thickBot="1">
      <c r="B11" s="497"/>
      <c r="C11" s="482"/>
      <c r="D11" s="473"/>
      <c r="E11" s="32" t="s">
        <v>343</v>
      </c>
      <c r="F11" s="489" t="s">
        <v>344</v>
      </c>
      <c r="G11" s="490"/>
      <c r="H11" s="130">
        <v>4</v>
      </c>
      <c r="I11" s="131" t="s">
        <v>345</v>
      </c>
      <c r="J11" s="132">
        <v>4</v>
      </c>
      <c r="K11" s="465"/>
      <c r="L11" s="467"/>
      <c r="M11" s="468"/>
      <c r="N11" s="469"/>
      <c r="O11" s="472"/>
      <c r="P11" s="467"/>
      <c r="Q11" s="468">
        <v>4</v>
      </c>
      <c r="R11" s="469"/>
      <c r="S11" s="472"/>
      <c r="T11" s="467"/>
      <c r="U11" s="468"/>
      <c r="V11" s="466"/>
      <c r="W11" s="31">
        <f t="shared" si="0"/>
        <v>4</v>
      </c>
      <c r="X11" s="324"/>
      <c r="Y11" s="456"/>
      <c r="AA11" s="112" t="s">
        <v>506</v>
      </c>
      <c r="AB11" s="113">
        <v>3</v>
      </c>
      <c r="AC11" s="113"/>
      <c r="AD11" s="18">
        <v>3</v>
      </c>
    </row>
    <row r="12" spans="2:30" ht="18" customHeight="1" thickBot="1">
      <c r="B12" s="497"/>
      <c r="C12" s="482"/>
      <c r="D12" s="470" t="s">
        <v>5</v>
      </c>
      <c r="E12" s="25" t="s">
        <v>12</v>
      </c>
      <c r="F12" s="477" t="s">
        <v>217</v>
      </c>
      <c r="G12" s="478"/>
      <c r="H12" s="133">
        <v>4</v>
      </c>
      <c r="I12" s="134" t="s">
        <v>342</v>
      </c>
      <c r="J12" s="135">
        <v>4</v>
      </c>
      <c r="K12" s="459">
        <v>4</v>
      </c>
      <c r="L12" s="461"/>
      <c r="M12" s="462"/>
      <c r="N12" s="463"/>
      <c r="O12" s="464"/>
      <c r="P12" s="461"/>
      <c r="Q12" s="462"/>
      <c r="R12" s="463"/>
      <c r="S12" s="464"/>
      <c r="T12" s="461"/>
      <c r="U12" s="462"/>
      <c r="V12" s="460"/>
      <c r="W12" s="29">
        <f t="shared" si="0"/>
        <v>4</v>
      </c>
      <c r="X12" s="322">
        <f t="shared" ref="X12" si="1">SUM(W12:W14)</f>
        <v>11</v>
      </c>
      <c r="Y12" s="456"/>
      <c r="AA12" s="112" t="s">
        <v>507</v>
      </c>
      <c r="AB12" s="113">
        <v>4</v>
      </c>
      <c r="AC12" s="113" t="s">
        <v>513</v>
      </c>
      <c r="AD12" s="18" t="s">
        <v>345</v>
      </c>
    </row>
    <row r="13" spans="2:30" ht="18" customHeight="1" thickBot="1">
      <c r="B13" s="497"/>
      <c r="C13" s="482"/>
      <c r="D13" s="471"/>
      <c r="E13" s="30" t="s">
        <v>12</v>
      </c>
      <c r="F13" s="493" t="s">
        <v>219</v>
      </c>
      <c r="G13" s="494"/>
      <c r="H13" s="127">
        <v>4</v>
      </c>
      <c r="I13" s="128" t="s">
        <v>342</v>
      </c>
      <c r="J13" s="129">
        <v>4</v>
      </c>
      <c r="K13" s="434"/>
      <c r="L13" s="427"/>
      <c r="M13" s="419">
        <v>4</v>
      </c>
      <c r="N13" s="428"/>
      <c r="O13" s="426"/>
      <c r="P13" s="427"/>
      <c r="Q13" s="419"/>
      <c r="R13" s="428"/>
      <c r="S13" s="426"/>
      <c r="T13" s="427"/>
      <c r="U13" s="419"/>
      <c r="V13" s="420"/>
      <c r="W13" s="31">
        <f t="shared" si="0"/>
        <v>4</v>
      </c>
      <c r="X13" s="324"/>
      <c r="Y13" s="456"/>
      <c r="AA13" s="112" t="s">
        <v>508</v>
      </c>
      <c r="AB13" s="113">
        <v>3</v>
      </c>
      <c r="AC13" s="113" t="s">
        <v>513</v>
      </c>
      <c r="AD13" s="18" t="s">
        <v>352</v>
      </c>
    </row>
    <row r="14" spans="2:30" ht="18" customHeight="1" thickBot="1">
      <c r="B14" s="497"/>
      <c r="C14" s="482"/>
      <c r="D14" s="473"/>
      <c r="E14" s="32" t="s">
        <v>343</v>
      </c>
      <c r="F14" s="489" t="s">
        <v>346</v>
      </c>
      <c r="G14" s="490"/>
      <c r="H14" s="130">
        <v>4</v>
      </c>
      <c r="I14" s="131" t="s">
        <v>345</v>
      </c>
      <c r="J14" s="132">
        <v>3</v>
      </c>
      <c r="K14" s="465"/>
      <c r="L14" s="467"/>
      <c r="M14" s="468"/>
      <c r="N14" s="469"/>
      <c r="O14" s="472">
        <v>3</v>
      </c>
      <c r="P14" s="467"/>
      <c r="Q14" s="468"/>
      <c r="R14" s="469"/>
      <c r="S14" s="472"/>
      <c r="T14" s="467"/>
      <c r="U14" s="468"/>
      <c r="V14" s="466"/>
      <c r="W14" s="31">
        <f t="shared" si="0"/>
        <v>3</v>
      </c>
      <c r="X14" s="324"/>
      <c r="Y14" s="456"/>
      <c r="AA14" s="114" t="s">
        <v>509</v>
      </c>
      <c r="AB14" s="491" t="s">
        <v>515</v>
      </c>
      <c r="AC14" s="491"/>
      <c r="AD14" s="492"/>
    </row>
    <row r="15" spans="2:30" ht="18" customHeight="1" thickBot="1">
      <c r="B15" s="497"/>
      <c r="C15" s="482"/>
      <c r="D15" s="470" t="s">
        <v>6</v>
      </c>
      <c r="E15" s="25" t="s">
        <v>12</v>
      </c>
      <c r="F15" s="477" t="s">
        <v>224</v>
      </c>
      <c r="G15" s="478"/>
      <c r="H15" s="133">
        <v>4</v>
      </c>
      <c r="I15" s="134" t="s">
        <v>342</v>
      </c>
      <c r="J15" s="135">
        <v>3</v>
      </c>
      <c r="K15" s="459">
        <v>3</v>
      </c>
      <c r="L15" s="461"/>
      <c r="M15" s="462"/>
      <c r="N15" s="463"/>
      <c r="O15" s="464"/>
      <c r="P15" s="461"/>
      <c r="Q15" s="462"/>
      <c r="R15" s="463"/>
      <c r="S15" s="464"/>
      <c r="T15" s="461"/>
      <c r="U15" s="462"/>
      <c r="V15" s="460"/>
      <c r="W15" s="29">
        <f t="shared" si="0"/>
        <v>3</v>
      </c>
      <c r="X15" s="322">
        <f t="shared" ref="X15" si="2">SUM(W15:W17)</f>
        <v>11</v>
      </c>
      <c r="Y15" s="456"/>
    </row>
    <row r="16" spans="2:30" ht="18" customHeight="1" thickBot="1">
      <c r="B16" s="497"/>
      <c r="C16" s="482"/>
      <c r="D16" s="471"/>
      <c r="E16" s="30" t="s">
        <v>12</v>
      </c>
      <c r="F16" s="493" t="s">
        <v>230</v>
      </c>
      <c r="G16" s="494"/>
      <c r="H16" s="127">
        <v>4</v>
      </c>
      <c r="I16" s="128" t="s">
        <v>342</v>
      </c>
      <c r="J16" s="129">
        <v>4</v>
      </c>
      <c r="K16" s="434"/>
      <c r="L16" s="427"/>
      <c r="M16" s="419">
        <v>4</v>
      </c>
      <c r="N16" s="428"/>
      <c r="O16" s="426"/>
      <c r="P16" s="427"/>
      <c r="Q16" s="419"/>
      <c r="R16" s="428"/>
      <c r="S16" s="426"/>
      <c r="T16" s="427"/>
      <c r="U16" s="419"/>
      <c r="V16" s="420"/>
      <c r="W16" s="31">
        <f t="shared" si="0"/>
        <v>4</v>
      </c>
      <c r="X16" s="324"/>
      <c r="Y16" s="456"/>
    </row>
    <row r="17" spans="2:29" ht="18" customHeight="1" thickBot="1">
      <c r="B17" s="497"/>
      <c r="C17" s="482"/>
      <c r="D17" s="473"/>
      <c r="E17" s="34" t="s">
        <v>343</v>
      </c>
      <c r="F17" s="489" t="s">
        <v>347</v>
      </c>
      <c r="G17" s="490"/>
      <c r="H17" s="130">
        <v>4</v>
      </c>
      <c r="I17" s="131" t="s">
        <v>345</v>
      </c>
      <c r="J17" s="132">
        <v>4</v>
      </c>
      <c r="K17" s="465"/>
      <c r="L17" s="467"/>
      <c r="M17" s="468"/>
      <c r="N17" s="469"/>
      <c r="O17" s="472">
        <v>4</v>
      </c>
      <c r="P17" s="467"/>
      <c r="Q17" s="468"/>
      <c r="R17" s="469"/>
      <c r="S17" s="472"/>
      <c r="T17" s="467"/>
      <c r="U17" s="468"/>
      <c r="V17" s="466"/>
      <c r="W17" s="31">
        <f t="shared" si="0"/>
        <v>4</v>
      </c>
      <c r="X17" s="324"/>
      <c r="Y17" s="456"/>
    </row>
    <row r="18" spans="2:29" ht="18" customHeight="1" thickBot="1">
      <c r="B18" s="497"/>
      <c r="C18" s="482"/>
      <c r="D18" s="470" t="s">
        <v>348</v>
      </c>
      <c r="E18" s="25" t="s">
        <v>12</v>
      </c>
      <c r="F18" s="477" t="s">
        <v>238</v>
      </c>
      <c r="G18" s="478"/>
      <c r="H18" s="133">
        <v>3</v>
      </c>
      <c r="I18" s="136" t="s">
        <v>349</v>
      </c>
      <c r="J18" s="135">
        <v>3</v>
      </c>
      <c r="K18" s="483"/>
      <c r="L18" s="484"/>
      <c r="M18" s="485"/>
      <c r="N18" s="486"/>
      <c r="O18" s="487">
        <v>3</v>
      </c>
      <c r="P18" s="484"/>
      <c r="Q18" s="485"/>
      <c r="R18" s="486"/>
      <c r="S18" s="487"/>
      <c r="T18" s="484"/>
      <c r="U18" s="485"/>
      <c r="V18" s="488"/>
      <c r="W18" s="29">
        <f t="shared" si="0"/>
        <v>3</v>
      </c>
      <c r="X18" s="322">
        <f>SUM(W18:W19)</f>
        <v>6</v>
      </c>
      <c r="Y18" s="456">
        <v>6</v>
      </c>
    </row>
    <row r="19" spans="2:29" ht="18" customHeight="1" thickBot="1">
      <c r="B19" s="497"/>
      <c r="C19" s="482"/>
      <c r="D19" s="471"/>
      <c r="E19" s="35" t="s">
        <v>12</v>
      </c>
      <c r="F19" s="479" t="s">
        <v>239</v>
      </c>
      <c r="G19" s="480"/>
      <c r="H19" s="137">
        <v>3</v>
      </c>
      <c r="I19" s="138" t="s">
        <v>349</v>
      </c>
      <c r="J19" s="139">
        <v>3</v>
      </c>
      <c r="K19" s="465"/>
      <c r="L19" s="467"/>
      <c r="M19" s="468"/>
      <c r="N19" s="469"/>
      <c r="O19" s="472"/>
      <c r="P19" s="467"/>
      <c r="Q19" s="468">
        <v>3</v>
      </c>
      <c r="R19" s="469"/>
      <c r="S19" s="472"/>
      <c r="T19" s="467"/>
      <c r="U19" s="468"/>
      <c r="V19" s="466"/>
      <c r="W19" s="36">
        <f t="shared" si="0"/>
        <v>3</v>
      </c>
      <c r="X19" s="323"/>
      <c r="Y19" s="456"/>
      <c r="AA19" s="332"/>
      <c r="AB19" s="332"/>
      <c r="AC19" s="120"/>
    </row>
    <row r="20" spans="2:29" ht="18" customHeight="1" thickBot="1">
      <c r="B20" s="497"/>
      <c r="C20" s="482"/>
      <c r="D20" s="471"/>
      <c r="E20" s="25" t="s">
        <v>12</v>
      </c>
      <c r="F20" s="477" t="s">
        <v>241</v>
      </c>
      <c r="G20" s="478"/>
      <c r="H20" s="133">
        <v>4</v>
      </c>
      <c r="I20" s="136" t="s">
        <v>342</v>
      </c>
      <c r="J20" s="135">
        <v>3</v>
      </c>
      <c r="K20" s="459">
        <v>3</v>
      </c>
      <c r="L20" s="461"/>
      <c r="M20" s="462"/>
      <c r="N20" s="463"/>
      <c r="O20" s="464"/>
      <c r="P20" s="461"/>
      <c r="Q20" s="462"/>
      <c r="R20" s="463"/>
      <c r="S20" s="464"/>
      <c r="T20" s="461"/>
      <c r="U20" s="462"/>
      <c r="V20" s="460"/>
      <c r="W20" s="29">
        <f t="shared" si="0"/>
        <v>3</v>
      </c>
      <c r="X20" s="322">
        <f>SUM(W20:W21)</f>
        <v>6</v>
      </c>
      <c r="Y20" s="456">
        <v>12</v>
      </c>
    </row>
    <row r="21" spans="2:29" ht="18" customHeight="1" thickBot="1">
      <c r="B21" s="497"/>
      <c r="C21" s="482"/>
      <c r="D21" s="473"/>
      <c r="E21" s="34" t="s">
        <v>12</v>
      </c>
      <c r="F21" s="489" t="s">
        <v>242</v>
      </c>
      <c r="G21" s="490"/>
      <c r="H21" s="130">
        <v>4</v>
      </c>
      <c r="I21" s="131" t="s">
        <v>342</v>
      </c>
      <c r="J21" s="132">
        <v>3</v>
      </c>
      <c r="K21" s="465"/>
      <c r="L21" s="467"/>
      <c r="M21" s="468">
        <v>3</v>
      </c>
      <c r="N21" s="469"/>
      <c r="O21" s="472"/>
      <c r="P21" s="467"/>
      <c r="Q21" s="468"/>
      <c r="R21" s="469"/>
      <c r="S21" s="472"/>
      <c r="T21" s="467"/>
      <c r="U21" s="468"/>
      <c r="V21" s="466"/>
      <c r="W21" s="36">
        <f t="shared" si="0"/>
        <v>3</v>
      </c>
      <c r="X21" s="323"/>
      <c r="Y21" s="456"/>
    </row>
    <row r="22" spans="2:29" ht="18" customHeight="1" thickBot="1">
      <c r="B22" s="497"/>
      <c r="C22" s="482"/>
      <c r="D22" s="470" t="s">
        <v>26</v>
      </c>
      <c r="E22" s="25" t="s">
        <v>12</v>
      </c>
      <c r="F22" s="459" t="s">
        <v>259</v>
      </c>
      <c r="G22" s="460"/>
      <c r="H22" s="133">
        <v>4</v>
      </c>
      <c r="I22" s="136" t="s">
        <v>342</v>
      </c>
      <c r="J22" s="135">
        <v>3</v>
      </c>
      <c r="K22" s="459">
        <v>3</v>
      </c>
      <c r="L22" s="461"/>
      <c r="M22" s="462"/>
      <c r="N22" s="463"/>
      <c r="O22" s="464"/>
      <c r="P22" s="461"/>
      <c r="Q22" s="462"/>
      <c r="R22" s="463"/>
      <c r="S22" s="464"/>
      <c r="T22" s="461"/>
      <c r="U22" s="462"/>
      <c r="V22" s="460"/>
      <c r="W22" s="29">
        <f t="shared" si="0"/>
        <v>3</v>
      </c>
      <c r="X22" s="481">
        <f>SUM(W22:W23)</f>
        <v>6</v>
      </c>
      <c r="Y22" s="456"/>
    </row>
    <row r="23" spans="2:29" ht="18" customHeight="1" thickBot="1">
      <c r="B23" s="497"/>
      <c r="C23" s="482"/>
      <c r="D23" s="471"/>
      <c r="E23" s="30" t="s">
        <v>12</v>
      </c>
      <c r="F23" s="434" t="s">
        <v>260</v>
      </c>
      <c r="G23" s="420"/>
      <c r="H23" s="127">
        <v>4</v>
      </c>
      <c r="I23" s="128" t="s">
        <v>342</v>
      </c>
      <c r="J23" s="129">
        <v>3</v>
      </c>
      <c r="K23" s="434"/>
      <c r="L23" s="427"/>
      <c r="M23" s="419">
        <v>3</v>
      </c>
      <c r="N23" s="428"/>
      <c r="O23" s="426"/>
      <c r="P23" s="427"/>
      <c r="Q23" s="419"/>
      <c r="R23" s="428"/>
      <c r="S23" s="426"/>
      <c r="T23" s="427"/>
      <c r="U23" s="419"/>
      <c r="V23" s="420"/>
      <c r="W23" s="31">
        <f t="shared" si="0"/>
        <v>3</v>
      </c>
      <c r="X23" s="482"/>
      <c r="Y23" s="456"/>
    </row>
    <row r="24" spans="2:29" ht="18" customHeight="1" thickBot="1">
      <c r="B24" s="497"/>
      <c r="C24" s="482"/>
      <c r="D24" s="470" t="s">
        <v>8</v>
      </c>
      <c r="E24" s="25" t="s">
        <v>350</v>
      </c>
      <c r="F24" s="459" t="s">
        <v>351</v>
      </c>
      <c r="G24" s="460"/>
      <c r="H24" s="133">
        <v>3</v>
      </c>
      <c r="I24" s="136" t="s">
        <v>352</v>
      </c>
      <c r="J24" s="135">
        <f t="shared" ref="J24:J25" si="3">SUM(K24:V24)</f>
        <v>2</v>
      </c>
      <c r="K24" s="459">
        <v>2</v>
      </c>
      <c r="L24" s="461"/>
      <c r="M24" s="462"/>
      <c r="N24" s="463"/>
      <c r="O24" s="464"/>
      <c r="P24" s="461"/>
      <c r="Q24" s="462"/>
      <c r="R24" s="463"/>
      <c r="S24" s="464"/>
      <c r="T24" s="461"/>
      <c r="U24" s="462"/>
      <c r="V24" s="460"/>
      <c r="W24" s="29">
        <f>SUM(K24:V24)</f>
        <v>2</v>
      </c>
      <c r="X24" s="474">
        <f>SUM(W24:W27)</f>
        <v>8</v>
      </c>
      <c r="Y24" s="456">
        <v>8</v>
      </c>
    </row>
    <row r="25" spans="2:29" ht="18" customHeight="1" thickBot="1">
      <c r="B25" s="497"/>
      <c r="C25" s="482"/>
      <c r="D25" s="471"/>
      <c r="E25" s="30" t="s">
        <v>350</v>
      </c>
      <c r="F25" s="434" t="s">
        <v>353</v>
      </c>
      <c r="G25" s="420"/>
      <c r="H25" s="127">
        <v>3</v>
      </c>
      <c r="I25" s="128" t="s">
        <v>352</v>
      </c>
      <c r="J25" s="129">
        <f t="shared" si="3"/>
        <v>2</v>
      </c>
      <c r="K25" s="434"/>
      <c r="L25" s="427"/>
      <c r="M25" s="419">
        <v>2</v>
      </c>
      <c r="N25" s="428"/>
      <c r="O25" s="426"/>
      <c r="P25" s="427"/>
      <c r="Q25" s="419"/>
      <c r="R25" s="428"/>
      <c r="S25" s="426"/>
      <c r="T25" s="427"/>
      <c r="U25" s="419"/>
      <c r="V25" s="420"/>
      <c r="W25" s="31">
        <f t="shared" ref="W25:W27" si="4">SUM(K25:V25)</f>
        <v>2</v>
      </c>
      <c r="X25" s="475"/>
      <c r="Y25" s="456"/>
    </row>
    <row r="26" spans="2:29" ht="18" customHeight="1" thickBot="1">
      <c r="B26" s="497"/>
      <c r="C26" s="482"/>
      <c r="D26" s="471"/>
      <c r="E26" s="30" t="s">
        <v>343</v>
      </c>
      <c r="F26" s="434" t="s">
        <v>525</v>
      </c>
      <c r="G26" s="420"/>
      <c r="H26" s="127">
        <v>3</v>
      </c>
      <c r="I26" s="128" t="s">
        <v>352</v>
      </c>
      <c r="J26" s="129">
        <v>2</v>
      </c>
      <c r="K26" s="434"/>
      <c r="L26" s="427"/>
      <c r="M26" s="419"/>
      <c r="N26" s="428"/>
      <c r="O26" s="426">
        <v>2</v>
      </c>
      <c r="P26" s="427"/>
      <c r="Q26" s="419"/>
      <c r="R26" s="428"/>
      <c r="S26" s="426"/>
      <c r="T26" s="427"/>
      <c r="U26" s="419"/>
      <c r="V26" s="420"/>
      <c r="W26" s="31">
        <f t="shared" si="4"/>
        <v>2</v>
      </c>
      <c r="X26" s="475"/>
      <c r="Y26" s="456"/>
    </row>
    <row r="27" spans="2:29" ht="18" customHeight="1" thickBot="1">
      <c r="B27" s="497"/>
      <c r="C27" s="482"/>
      <c r="D27" s="473"/>
      <c r="E27" s="34" t="s">
        <v>343</v>
      </c>
      <c r="F27" s="465" t="s">
        <v>372</v>
      </c>
      <c r="G27" s="466"/>
      <c r="H27" s="130">
        <v>2</v>
      </c>
      <c r="I27" s="131" t="s">
        <v>354</v>
      </c>
      <c r="J27" s="132">
        <v>2</v>
      </c>
      <c r="K27" s="465"/>
      <c r="L27" s="467"/>
      <c r="M27" s="468"/>
      <c r="N27" s="469"/>
      <c r="O27" s="472"/>
      <c r="P27" s="467"/>
      <c r="Q27" s="468">
        <v>2</v>
      </c>
      <c r="R27" s="469"/>
      <c r="S27" s="472"/>
      <c r="T27" s="467"/>
      <c r="U27" s="468"/>
      <c r="V27" s="466"/>
      <c r="W27" s="36">
        <f t="shared" si="4"/>
        <v>2</v>
      </c>
      <c r="X27" s="476"/>
      <c r="Y27" s="456"/>
    </row>
    <row r="28" spans="2:29" ht="18" customHeight="1" thickBot="1">
      <c r="B28" s="497"/>
      <c r="C28" s="482"/>
      <c r="D28" s="470" t="s">
        <v>28</v>
      </c>
      <c r="E28" s="25" t="s">
        <v>350</v>
      </c>
      <c r="F28" s="459" t="s">
        <v>9</v>
      </c>
      <c r="G28" s="460"/>
      <c r="H28" s="133">
        <v>3</v>
      </c>
      <c r="I28" s="140" t="s">
        <v>352</v>
      </c>
      <c r="J28" s="135">
        <v>3</v>
      </c>
      <c r="K28" s="459">
        <v>3</v>
      </c>
      <c r="L28" s="461"/>
      <c r="M28" s="462"/>
      <c r="N28" s="463"/>
      <c r="O28" s="464"/>
      <c r="P28" s="461"/>
      <c r="Q28" s="462"/>
      <c r="R28" s="463"/>
      <c r="S28" s="464"/>
      <c r="T28" s="461"/>
      <c r="U28" s="462"/>
      <c r="V28" s="460"/>
      <c r="W28" s="301">
        <f>SUM(K28:V29)</f>
        <v>6</v>
      </c>
      <c r="X28" s="302"/>
      <c r="Y28" s="456">
        <v>6</v>
      </c>
    </row>
    <row r="29" spans="2:29" ht="18" customHeight="1" thickBot="1">
      <c r="B29" s="497"/>
      <c r="C29" s="482"/>
      <c r="D29" s="471"/>
      <c r="E29" s="32" t="s">
        <v>343</v>
      </c>
      <c r="F29" s="434" t="s">
        <v>286</v>
      </c>
      <c r="G29" s="420"/>
      <c r="H29" s="127">
        <v>3</v>
      </c>
      <c r="I29" s="128" t="s">
        <v>352</v>
      </c>
      <c r="J29" s="129">
        <v>3</v>
      </c>
      <c r="K29" s="434"/>
      <c r="L29" s="427"/>
      <c r="M29" s="419">
        <v>3</v>
      </c>
      <c r="N29" s="428"/>
      <c r="O29" s="426"/>
      <c r="P29" s="427"/>
      <c r="Q29" s="419"/>
      <c r="R29" s="428"/>
      <c r="S29" s="426"/>
      <c r="T29" s="427"/>
      <c r="U29" s="419"/>
      <c r="V29" s="420"/>
      <c r="W29" s="305"/>
      <c r="X29" s="306"/>
      <c r="Y29" s="456"/>
    </row>
    <row r="30" spans="2:29" ht="18" customHeight="1" thickBot="1">
      <c r="B30" s="497"/>
      <c r="C30" s="482"/>
      <c r="D30" s="457" t="s">
        <v>355</v>
      </c>
      <c r="E30" s="25" t="s">
        <v>343</v>
      </c>
      <c r="F30" s="459" t="s">
        <v>51</v>
      </c>
      <c r="G30" s="460"/>
      <c r="H30" s="133">
        <v>3</v>
      </c>
      <c r="I30" s="136" t="s">
        <v>352</v>
      </c>
      <c r="J30" s="135">
        <v>2</v>
      </c>
      <c r="K30" s="459"/>
      <c r="L30" s="461"/>
      <c r="M30" s="462"/>
      <c r="N30" s="463"/>
      <c r="O30" s="464">
        <v>2</v>
      </c>
      <c r="P30" s="461"/>
      <c r="Q30" s="462"/>
      <c r="R30" s="463"/>
      <c r="S30" s="464"/>
      <c r="T30" s="461"/>
      <c r="U30" s="462"/>
      <c r="V30" s="460"/>
      <c r="W30" s="301">
        <f>SUM(K30:V32)</f>
        <v>9</v>
      </c>
      <c r="X30" s="302"/>
      <c r="Y30" s="456">
        <v>8</v>
      </c>
    </row>
    <row r="31" spans="2:29" ht="18" customHeight="1" thickBot="1">
      <c r="B31" s="497"/>
      <c r="C31" s="482"/>
      <c r="D31" s="458"/>
      <c r="E31" s="32" t="s">
        <v>350</v>
      </c>
      <c r="F31" s="434" t="s">
        <v>526</v>
      </c>
      <c r="G31" s="420"/>
      <c r="H31" s="127">
        <v>3</v>
      </c>
      <c r="I31" s="128" t="s">
        <v>352</v>
      </c>
      <c r="J31" s="129">
        <v>4</v>
      </c>
      <c r="K31" s="434"/>
      <c r="L31" s="427"/>
      <c r="M31" s="419">
        <v>4</v>
      </c>
      <c r="N31" s="428"/>
      <c r="O31" s="426"/>
      <c r="P31" s="427"/>
      <c r="Q31" s="419"/>
      <c r="R31" s="428"/>
      <c r="S31" s="426"/>
      <c r="T31" s="427"/>
      <c r="U31" s="419"/>
      <c r="V31" s="420"/>
      <c r="W31" s="305"/>
      <c r="X31" s="306"/>
      <c r="Y31" s="456"/>
    </row>
    <row r="32" spans="2:29" ht="18" customHeight="1" thickBot="1">
      <c r="B32" s="498"/>
      <c r="C32" s="499"/>
      <c r="D32" s="458"/>
      <c r="E32" s="32" t="s">
        <v>350</v>
      </c>
      <c r="F32" s="465" t="s">
        <v>358</v>
      </c>
      <c r="G32" s="466"/>
      <c r="H32" s="130">
        <v>3</v>
      </c>
      <c r="I32" s="131" t="s">
        <v>352</v>
      </c>
      <c r="J32" s="132">
        <v>3</v>
      </c>
      <c r="K32" s="465"/>
      <c r="L32" s="467"/>
      <c r="M32" s="468"/>
      <c r="N32" s="469"/>
      <c r="O32" s="426">
        <v>3</v>
      </c>
      <c r="P32" s="427"/>
      <c r="Q32" s="419"/>
      <c r="R32" s="428"/>
      <c r="S32" s="426"/>
      <c r="T32" s="427"/>
      <c r="U32" s="419"/>
      <c r="V32" s="420"/>
      <c r="W32" s="305"/>
      <c r="X32" s="306"/>
      <c r="Y32" s="456"/>
    </row>
    <row r="33" spans="2:28" ht="18" customHeight="1" thickBot="1">
      <c r="B33" s="327" t="s">
        <v>365</v>
      </c>
      <c r="C33" s="329"/>
      <c r="D33" s="329"/>
      <c r="E33" s="329"/>
      <c r="F33" s="329"/>
      <c r="G33" s="328"/>
      <c r="H33" s="121">
        <f>SUM(H9:H32)</f>
        <v>84</v>
      </c>
      <c r="I33" s="14"/>
      <c r="J33" s="124">
        <f>SUM(J9:J32)</f>
        <v>74</v>
      </c>
      <c r="K33" s="452">
        <f>SUM(K9:L32)</f>
        <v>21</v>
      </c>
      <c r="L33" s="437"/>
      <c r="M33" s="437">
        <f>SUM(M9:N32)</f>
        <v>27</v>
      </c>
      <c r="N33" s="338"/>
      <c r="O33" s="453">
        <f>SUM(O9:P32)</f>
        <v>17</v>
      </c>
      <c r="P33" s="437"/>
      <c r="Q33" s="437">
        <f>SUM(Q9:R32)</f>
        <v>9</v>
      </c>
      <c r="R33" s="454"/>
      <c r="S33" s="337">
        <f>SUM(S9:T32)</f>
        <v>0</v>
      </c>
      <c r="T33" s="437"/>
      <c r="U33" s="437">
        <f>SUM(U9:V32)</f>
        <v>0</v>
      </c>
      <c r="V33" s="438"/>
      <c r="W33" s="327">
        <f>SUM(K33:V33)</f>
        <v>74</v>
      </c>
      <c r="X33" s="337"/>
      <c r="Y33" s="124">
        <f>SUM(Y9:Y32)</f>
        <v>64</v>
      </c>
      <c r="AA33" s="325" t="b">
        <f>W33&gt;=Y33</f>
        <v>1</v>
      </c>
      <c r="AB33" s="326"/>
    </row>
    <row r="34" spans="2:28" ht="18" customHeight="1" thickBot="1">
      <c r="B34" s="439" t="s">
        <v>356</v>
      </c>
      <c r="C34" s="440"/>
      <c r="D34" s="443" t="s">
        <v>357</v>
      </c>
      <c r="E34" s="444"/>
      <c r="F34" s="445" t="s">
        <v>527</v>
      </c>
      <c r="G34" s="446"/>
      <c r="H34" s="141"/>
      <c r="I34" s="142"/>
      <c r="J34" s="143">
        <v>2</v>
      </c>
      <c r="K34" s="447"/>
      <c r="L34" s="448"/>
      <c r="M34" s="449"/>
      <c r="N34" s="450"/>
      <c r="O34" s="451"/>
      <c r="P34" s="448"/>
      <c r="Q34" s="449"/>
      <c r="R34" s="450"/>
      <c r="S34" s="451">
        <v>2</v>
      </c>
      <c r="T34" s="448"/>
      <c r="U34" s="449"/>
      <c r="V34" s="455"/>
      <c r="W34" s="307">
        <f>SUM(K34:V34)</f>
        <v>2</v>
      </c>
      <c r="X34" s="308"/>
      <c r="Y34" s="352">
        <v>80</v>
      </c>
    </row>
    <row r="35" spans="2:28" ht="18" customHeight="1">
      <c r="B35" s="441"/>
      <c r="C35" s="442"/>
      <c r="D35" s="37" t="s">
        <v>71</v>
      </c>
      <c r="E35" s="38" t="s">
        <v>359</v>
      </c>
      <c r="F35" s="435" t="s">
        <v>560</v>
      </c>
      <c r="G35" s="436"/>
      <c r="H35" s="144"/>
      <c r="I35" s="145"/>
      <c r="J35" s="146">
        <v>6</v>
      </c>
      <c r="K35" s="434">
        <v>6</v>
      </c>
      <c r="L35" s="427"/>
      <c r="M35" s="419"/>
      <c r="N35" s="425"/>
      <c r="O35" s="426"/>
      <c r="P35" s="427"/>
      <c r="Q35" s="419"/>
      <c r="R35" s="428"/>
      <c r="S35" s="425"/>
      <c r="T35" s="427"/>
      <c r="U35" s="419"/>
      <c r="V35" s="420"/>
      <c r="W35" s="421">
        <f t="shared" ref="W35:W47" si="5">SUM(K35:V35)</f>
        <v>6</v>
      </c>
      <c r="X35" s="422"/>
      <c r="Y35" s="353"/>
    </row>
    <row r="36" spans="2:28" ht="18" customHeight="1">
      <c r="B36" s="441"/>
      <c r="C36" s="442"/>
      <c r="D36" s="37" t="s">
        <v>71</v>
      </c>
      <c r="E36" s="38" t="s">
        <v>359</v>
      </c>
      <c r="F36" s="435" t="s">
        <v>561</v>
      </c>
      <c r="G36" s="436"/>
      <c r="H36" s="144"/>
      <c r="I36" s="145"/>
      <c r="J36" s="146">
        <v>3</v>
      </c>
      <c r="K36" s="434">
        <v>3</v>
      </c>
      <c r="L36" s="427"/>
      <c r="M36" s="419"/>
      <c r="N36" s="428"/>
      <c r="O36" s="426"/>
      <c r="P36" s="427"/>
      <c r="Q36" s="419"/>
      <c r="R36" s="428"/>
      <c r="S36" s="426"/>
      <c r="T36" s="427"/>
      <c r="U36" s="419"/>
      <c r="V36" s="420"/>
      <c r="W36" s="421">
        <f t="shared" si="5"/>
        <v>3</v>
      </c>
      <c r="X36" s="422"/>
      <c r="Y36" s="353"/>
    </row>
    <row r="37" spans="2:28" ht="18" customHeight="1">
      <c r="B37" s="441"/>
      <c r="C37" s="442"/>
      <c r="D37" s="37" t="s">
        <v>68</v>
      </c>
      <c r="E37" s="38" t="s">
        <v>359</v>
      </c>
      <c r="F37" s="435" t="s">
        <v>530</v>
      </c>
      <c r="G37" s="436"/>
      <c r="H37" s="144"/>
      <c r="I37" s="145"/>
      <c r="J37" s="146">
        <v>3</v>
      </c>
      <c r="K37" s="434"/>
      <c r="L37" s="427"/>
      <c r="M37" s="419">
        <v>3</v>
      </c>
      <c r="N37" s="428"/>
      <c r="O37" s="426"/>
      <c r="P37" s="427"/>
      <c r="Q37" s="419"/>
      <c r="R37" s="428"/>
      <c r="S37" s="426"/>
      <c r="T37" s="427"/>
      <c r="U37" s="419"/>
      <c r="V37" s="420"/>
      <c r="W37" s="421">
        <f t="shared" si="5"/>
        <v>3</v>
      </c>
      <c r="X37" s="422"/>
      <c r="Y37" s="353"/>
    </row>
    <row r="38" spans="2:28" ht="18" customHeight="1">
      <c r="B38" s="441"/>
      <c r="C38" s="442"/>
      <c r="D38" s="37" t="s">
        <v>71</v>
      </c>
      <c r="E38" s="38" t="s">
        <v>359</v>
      </c>
      <c r="F38" s="432" t="s">
        <v>562</v>
      </c>
      <c r="G38" s="433"/>
      <c r="H38" s="144"/>
      <c r="I38" s="145"/>
      <c r="J38" s="146">
        <v>2</v>
      </c>
      <c r="K38" s="434"/>
      <c r="L38" s="427"/>
      <c r="M38" s="419"/>
      <c r="N38" s="428"/>
      <c r="O38" s="426">
        <v>2</v>
      </c>
      <c r="P38" s="427"/>
      <c r="Q38" s="419"/>
      <c r="R38" s="428"/>
      <c r="S38" s="426"/>
      <c r="T38" s="427"/>
      <c r="U38" s="419"/>
      <c r="V38" s="420"/>
      <c r="W38" s="421">
        <f t="shared" si="5"/>
        <v>2</v>
      </c>
      <c r="X38" s="422"/>
      <c r="Y38" s="353"/>
    </row>
    <row r="39" spans="2:28" ht="18" customHeight="1" thickBot="1">
      <c r="B39" s="441"/>
      <c r="C39" s="442"/>
      <c r="D39" s="37" t="s">
        <v>71</v>
      </c>
      <c r="E39" s="159" t="s">
        <v>359</v>
      </c>
      <c r="F39" s="658" t="s">
        <v>563</v>
      </c>
      <c r="G39" s="659"/>
      <c r="H39" s="160"/>
      <c r="I39" s="161"/>
      <c r="J39" s="162">
        <v>2</v>
      </c>
      <c r="K39" s="660"/>
      <c r="L39" s="661"/>
      <c r="M39" s="643"/>
      <c r="N39" s="662"/>
      <c r="O39" s="663"/>
      <c r="P39" s="661"/>
      <c r="Q39" s="643">
        <v>2</v>
      </c>
      <c r="R39" s="664"/>
      <c r="S39" s="662"/>
      <c r="T39" s="661"/>
      <c r="U39" s="643"/>
      <c r="V39" s="644"/>
      <c r="W39" s="645">
        <f t="shared" si="5"/>
        <v>2</v>
      </c>
      <c r="X39" s="646"/>
      <c r="Y39" s="353"/>
    </row>
    <row r="40" spans="2:28" ht="18" customHeight="1">
      <c r="B40" s="441"/>
      <c r="C40" s="442"/>
      <c r="D40" s="300" t="s">
        <v>71</v>
      </c>
      <c r="E40" s="41" t="s">
        <v>360</v>
      </c>
      <c r="F40" s="641" t="s">
        <v>694</v>
      </c>
      <c r="G40" s="642"/>
      <c r="H40" s="133"/>
      <c r="I40" s="163"/>
      <c r="J40" s="135">
        <v>6</v>
      </c>
      <c r="K40" s="459"/>
      <c r="L40" s="461"/>
      <c r="M40" s="462"/>
      <c r="N40" s="463"/>
      <c r="O40" s="464">
        <v>6</v>
      </c>
      <c r="P40" s="461"/>
      <c r="Q40" s="462"/>
      <c r="R40" s="463"/>
      <c r="S40" s="464"/>
      <c r="T40" s="461"/>
      <c r="U40" s="462"/>
      <c r="V40" s="460"/>
      <c r="W40" s="301">
        <v>30</v>
      </c>
      <c r="X40" s="302"/>
      <c r="Y40" s="353"/>
    </row>
    <row r="41" spans="2:28" ht="18" customHeight="1">
      <c r="B41" s="441"/>
      <c r="C41" s="442"/>
      <c r="D41" s="37" t="s">
        <v>71</v>
      </c>
      <c r="E41" s="38" t="s">
        <v>360</v>
      </c>
      <c r="F41" s="432" t="s">
        <v>695</v>
      </c>
      <c r="G41" s="433"/>
      <c r="H41" s="144"/>
      <c r="I41" s="145"/>
      <c r="J41" s="146">
        <v>12</v>
      </c>
      <c r="K41" s="434"/>
      <c r="L41" s="427"/>
      <c r="M41" s="419"/>
      <c r="N41" s="428"/>
      <c r="O41" s="426">
        <v>5</v>
      </c>
      <c r="P41" s="427"/>
      <c r="Q41" s="419">
        <v>7</v>
      </c>
      <c r="R41" s="428"/>
      <c r="S41" s="426"/>
      <c r="T41" s="427"/>
      <c r="U41" s="419"/>
      <c r="V41" s="420"/>
      <c r="W41" s="305"/>
      <c r="X41" s="306"/>
      <c r="Y41" s="353"/>
    </row>
    <row r="42" spans="2:28" ht="18" customHeight="1">
      <c r="B42" s="441"/>
      <c r="C42" s="442"/>
      <c r="D42" s="37" t="s">
        <v>71</v>
      </c>
      <c r="E42" s="38" t="s">
        <v>360</v>
      </c>
      <c r="F42" s="432" t="s">
        <v>696</v>
      </c>
      <c r="G42" s="433"/>
      <c r="H42" s="144"/>
      <c r="I42" s="145"/>
      <c r="J42" s="146">
        <v>5</v>
      </c>
      <c r="K42" s="434"/>
      <c r="L42" s="427"/>
      <c r="M42" s="419"/>
      <c r="N42" s="428"/>
      <c r="O42" s="426"/>
      <c r="P42" s="427"/>
      <c r="Q42" s="419">
        <v>5</v>
      </c>
      <c r="R42" s="428"/>
      <c r="S42" s="426"/>
      <c r="T42" s="427"/>
      <c r="U42" s="419"/>
      <c r="V42" s="420"/>
      <c r="W42" s="305"/>
      <c r="X42" s="306"/>
      <c r="Y42" s="353"/>
    </row>
    <row r="43" spans="2:28" ht="18" customHeight="1" thickBot="1">
      <c r="B43" s="441"/>
      <c r="C43" s="442"/>
      <c r="D43" s="37" t="s">
        <v>71</v>
      </c>
      <c r="E43" s="38" t="s">
        <v>360</v>
      </c>
      <c r="F43" s="639" t="s">
        <v>697</v>
      </c>
      <c r="G43" s="640"/>
      <c r="H43" s="137"/>
      <c r="I43" s="164"/>
      <c r="J43" s="139">
        <v>7</v>
      </c>
      <c r="K43" s="465"/>
      <c r="L43" s="467"/>
      <c r="M43" s="468"/>
      <c r="N43" s="469"/>
      <c r="O43" s="472"/>
      <c r="P43" s="467"/>
      <c r="Q43" s="468">
        <v>7</v>
      </c>
      <c r="R43" s="469"/>
      <c r="S43" s="472"/>
      <c r="T43" s="467"/>
      <c r="U43" s="468"/>
      <c r="V43" s="466"/>
      <c r="W43" s="305"/>
      <c r="X43" s="306"/>
      <c r="Y43" s="353"/>
    </row>
    <row r="44" spans="2:28" ht="18" customHeight="1">
      <c r="B44" s="441"/>
      <c r="C44" s="442"/>
      <c r="D44" s="300" t="s">
        <v>68</v>
      </c>
      <c r="E44" s="41" t="s">
        <v>360</v>
      </c>
      <c r="F44" s="641" t="s">
        <v>564</v>
      </c>
      <c r="G44" s="642"/>
      <c r="H44" s="133"/>
      <c r="I44" s="163"/>
      <c r="J44" s="135">
        <v>9</v>
      </c>
      <c r="K44" s="459"/>
      <c r="L44" s="461"/>
      <c r="M44" s="462"/>
      <c r="N44" s="463"/>
      <c r="O44" s="464">
        <v>9</v>
      </c>
      <c r="P44" s="461"/>
      <c r="Q44" s="462"/>
      <c r="R44" s="463"/>
      <c r="S44" s="464"/>
      <c r="T44" s="461"/>
      <c r="U44" s="462"/>
      <c r="V44" s="460"/>
      <c r="W44" s="305"/>
      <c r="X44" s="306"/>
      <c r="Y44" s="353"/>
    </row>
    <row r="45" spans="2:28" ht="18" customHeight="1" thickBot="1">
      <c r="B45" s="441"/>
      <c r="C45" s="442"/>
      <c r="D45" s="43" t="s">
        <v>68</v>
      </c>
      <c r="E45" s="42" t="s">
        <v>360</v>
      </c>
      <c r="F45" s="639" t="s">
        <v>533</v>
      </c>
      <c r="G45" s="640"/>
      <c r="H45" s="137"/>
      <c r="I45" s="164"/>
      <c r="J45" s="139">
        <v>21</v>
      </c>
      <c r="K45" s="465"/>
      <c r="L45" s="467"/>
      <c r="M45" s="468"/>
      <c r="N45" s="469"/>
      <c r="O45" s="472">
        <v>2</v>
      </c>
      <c r="P45" s="467"/>
      <c r="Q45" s="468">
        <v>19</v>
      </c>
      <c r="R45" s="469"/>
      <c r="S45" s="472"/>
      <c r="T45" s="467"/>
      <c r="U45" s="468"/>
      <c r="V45" s="466"/>
      <c r="W45" s="303"/>
      <c r="X45" s="304"/>
      <c r="Y45" s="353"/>
    </row>
    <row r="46" spans="2:28" ht="18" customHeight="1">
      <c r="B46" s="441"/>
      <c r="C46" s="442"/>
      <c r="D46" s="157" t="s">
        <v>156</v>
      </c>
      <c r="E46" s="44" t="s">
        <v>360</v>
      </c>
      <c r="F46" s="647" t="s">
        <v>556</v>
      </c>
      <c r="G46" s="648"/>
      <c r="H46" s="144"/>
      <c r="I46" s="145"/>
      <c r="J46" s="146">
        <v>16</v>
      </c>
      <c r="K46" s="649"/>
      <c r="L46" s="650"/>
      <c r="M46" s="651"/>
      <c r="N46" s="652"/>
      <c r="O46" s="653"/>
      <c r="P46" s="650"/>
      <c r="Q46" s="651"/>
      <c r="R46" s="654"/>
      <c r="S46" s="652">
        <v>8</v>
      </c>
      <c r="T46" s="650"/>
      <c r="U46" s="651">
        <v>8</v>
      </c>
      <c r="V46" s="655"/>
      <c r="W46" s="656">
        <f t="shared" si="5"/>
        <v>16</v>
      </c>
      <c r="X46" s="657"/>
      <c r="Y46" s="353"/>
    </row>
    <row r="47" spans="2:28" ht="18" customHeight="1" thickBot="1">
      <c r="B47" s="441"/>
      <c r="C47" s="442"/>
      <c r="D47" s="39" t="s">
        <v>71</v>
      </c>
      <c r="E47" s="38" t="s">
        <v>360</v>
      </c>
      <c r="F47" s="423" t="s">
        <v>565</v>
      </c>
      <c r="G47" s="424"/>
      <c r="H47" s="127"/>
      <c r="I47" s="147"/>
      <c r="J47" s="129">
        <v>18</v>
      </c>
      <c r="K47" s="419"/>
      <c r="L47" s="425"/>
      <c r="M47" s="419"/>
      <c r="N47" s="425"/>
      <c r="O47" s="426"/>
      <c r="P47" s="427"/>
      <c r="Q47" s="419"/>
      <c r="R47" s="428"/>
      <c r="S47" s="425">
        <v>8</v>
      </c>
      <c r="T47" s="427"/>
      <c r="U47" s="419">
        <v>10</v>
      </c>
      <c r="V47" s="420"/>
      <c r="W47" s="421">
        <f t="shared" si="5"/>
        <v>18</v>
      </c>
      <c r="X47" s="422"/>
      <c r="Y47" s="353"/>
    </row>
    <row r="48" spans="2:28" ht="18" customHeight="1">
      <c r="B48" s="398" t="s">
        <v>154</v>
      </c>
      <c r="C48" s="401" t="s">
        <v>361</v>
      </c>
      <c r="D48" s="620" t="s">
        <v>71</v>
      </c>
      <c r="E48" s="41" t="s">
        <v>359</v>
      </c>
      <c r="F48" s="429" t="s">
        <v>567</v>
      </c>
      <c r="G48" s="430"/>
      <c r="H48" s="26"/>
      <c r="I48" s="149"/>
      <c r="J48" s="322">
        <v>20</v>
      </c>
      <c r="K48" s="431"/>
      <c r="L48" s="310"/>
      <c r="M48" s="310"/>
      <c r="N48" s="310"/>
      <c r="O48" s="310"/>
      <c r="P48" s="310"/>
      <c r="Q48" s="310"/>
      <c r="R48" s="310"/>
      <c r="S48" s="310">
        <v>5</v>
      </c>
      <c r="T48" s="310"/>
      <c r="U48" s="310"/>
      <c r="V48" s="311"/>
      <c r="W48" s="301">
        <f>SUM(O48:V49)</f>
        <v>20</v>
      </c>
      <c r="X48" s="302"/>
      <c r="Y48" s="353"/>
    </row>
    <row r="49" spans="2:29" ht="18" customHeight="1" thickBot="1">
      <c r="B49" s="399"/>
      <c r="C49" s="402"/>
      <c r="D49" s="405"/>
      <c r="E49" s="148" t="s">
        <v>548</v>
      </c>
      <c r="F49" s="406" t="s">
        <v>568</v>
      </c>
      <c r="G49" s="407"/>
      <c r="H49" s="33"/>
      <c r="I49" s="150"/>
      <c r="J49" s="323"/>
      <c r="K49" s="410"/>
      <c r="L49" s="312"/>
      <c r="M49" s="312"/>
      <c r="N49" s="312"/>
      <c r="O49" s="312"/>
      <c r="P49" s="312"/>
      <c r="Q49" s="312"/>
      <c r="R49" s="312"/>
      <c r="S49" s="312">
        <v>5</v>
      </c>
      <c r="T49" s="312"/>
      <c r="U49" s="312">
        <v>10</v>
      </c>
      <c r="V49" s="313"/>
      <c r="W49" s="303"/>
      <c r="X49" s="304"/>
      <c r="Y49" s="353"/>
    </row>
    <row r="50" spans="2:29" ht="18" customHeight="1">
      <c r="B50" s="399"/>
      <c r="C50" s="403" t="s">
        <v>362</v>
      </c>
      <c r="D50" s="404" t="s">
        <v>547</v>
      </c>
      <c r="E50" s="44" t="s">
        <v>548</v>
      </c>
      <c r="F50" s="408" t="s">
        <v>558</v>
      </c>
      <c r="G50" s="409"/>
      <c r="H50" s="154"/>
      <c r="I50" s="151"/>
      <c r="J50" s="324">
        <v>20</v>
      </c>
      <c r="K50" s="411"/>
      <c r="L50" s="309"/>
      <c r="M50" s="309"/>
      <c r="N50" s="309"/>
      <c r="O50" s="309"/>
      <c r="P50" s="309"/>
      <c r="Q50" s="309"/>
      <c r="R50" s="309"/>
      <c r="S50" s="309">
        <v>10</v>
      </c>
      <c r="T50" s="309"/>
      <c r="U50" s="309"/>
      <c r="V50" s="314"/>
      <c r="W50" s="305">
        <v>20</v>
      </c>
      <c r="X50" s="306"/>
      <c r="Y50" s="353"/>
    </row>
    <row r="51" spans="2:29" ht="18" customHeight="1" thickBot="1">
      <c r="B51" s="400"/>
      <c r="C51" s="402"/>
      <c r="D51" s="405"/>
      <c r="E51" s="38" t="s">
        <v>360</v>
      </c>
      <c r="F51" s="406" t="s">
        <v>557</v>
      </c>
      <c r="G51" s="407"/>
      <c r="H51" s="33"/>
      <c r="I51" s="150"/>
      <c r="J51" s="323"/>
      <c r="K51" s="410"/>
      <c r="L51" s="312"/>
      <c r="M51" s="312"/>
      <c r="N51" s="312"/>
      <c r="O51" s="312"/>
      <c r="P51" s="312"/>
      <c r="Q51" s="312"/>
      <c r="R51" s="312"/>
      <c r="S51" s="312"/>
      <c r="T51" s="312"/>
      <c r="U51" s="312">
        <v>10</v>
      </c>
      <c r="V51" s="313"/>
      <c r="W51" s="303"/>
      <c r="X51" s="304"/>
      <c r="Y51" s="353"/>
    </row>
    <row r="52" spans="2:29" ht="18" customHeight="1" thickBot="1">
      <c r="B52" s="398" t="s">
        <v>155</v>
      </c>
      <c r="C52" s="41" t="s">
        <v>536</v>
      </c>
      <c r="D52" s="40" t="s">
        <v>539</v>
      </c>
      <c r="E52" s="41" t="s">
        <v>360</v>
      </c>
      <c r="F52" s="412" t="s">
        <v>540</v>
      </c>
      <c r="G52" s="413"/>
      <c r="H52" s="26"/>
      <c r="I52" s="122"/>
      <c r="J52" s="28">
        <v>4</v>
      </c>
      <c r="K52" s="414"/>
      <c r="L52" s="321"/>
      <c r="M52" s="321"/>
      <c r="N52" s="321"/>
      <c r="O52" s="321"/>
      <c r="P52" s="321"/>
      <c r="Q52" s="321"/>
      <c r="R52" s="321"/>
      <c r="S52" s="318">
        <v>2</v>
      </c>
      <c r="T52" s="319"/>
      <c r="U52" s="318">
        <v>2</v>
      </c>
      <c r="V52" s="320"/>
      <c r="W52" s="307">
        <v>4</v>
      </c>
      <c r="X52" s="308"/>
      <c r="Y52" s="353"/>
    </row>
    <row r="53" spans="2:29" ht="18" customHeight="1" thickBot="1">
      <c r="B53" s="399"/>
      <c r="C53" s="41" t="s">
        <v>537</v>
      </c>
      <c r="D53" s="40" t="s">
        <v>68</v>
      </c>
      <c r="E53" s="45" t="s">
        <v>360</v>
      </c>
      <c r="F53" s="415" t="s">
        <v>541</v>
      </c>
      <c r="G53" s="416"/>
      <c r="H53" s="26"/>
      <c r="I53" s="122"/>
      <c r="J53" s="28">
        <v>4</v>
      </c>
      <c r="K53" s="414"/>
      <c r="L53" s="321"/>
      <c r="M53" s="321"/>
      <c r="N53" s="321"/>
      <c r="O53" s="321"/>
      <c r="P53" s="321"/>
      <c r="Q53" s="321"/>
      <c r="R53" s="321"/>
      <c r="S53" s="318">
        <v>2</v>
      </c>
      <c r="T53" s="319"/>
      <c r="U53" s="318">
        <v>2</v>
      </c>
      <c r="V53" s="320"/>
      <c r="W53" s="307">
        <v>4</v>
      </c>
      <c r="X53" s="308"/>
      <c r="Y53" s="353"/>
    </row>
    <row r="54" spans="2:29" ht="18" customHeight="1" thickBot="1">
      <c r="B54" s="399"/>
      <c r="C54" s="41" t="s">
        <v>542</v>
      </c>
      <c r="D54" s="152" t="s">
        <v>543</v>
      </c>
      <c r="E54" s="153" t="s">
        <v>359</v>
      </c>
      <c r="F54" s="417" t="s">
        <v>544</v>
      </c>
      <c r="G54" s="418"/>
      <c r="H54" s="26"/>
      <c r="I54" s="122"/>
      <c r="J54" s="28">
        <v>4</v>
      </c>
      <c r="K54" s="410"/>
      <c r="L54" s="312"/>
      <c r="M54" s="312"/>
      <c r="N54" s="312"/>
      <c r="O54" s="312"/>
      <c r="P54" s="312"/>
      <c r="Q54" s="312"/>
      <c r="R54" s="312"/>
      <c r="S54" s="315">
        <v>2</v>
      </c>
      <c r="T54" s="316"/>
      <c r="U54" s="315">
        <v>2</v>
      </c>
      <c r="V54" s="317"/>
      <c r="W54" s="305">
        <v>4</v>
      </c>
      <c r="X54" s="306"/>
      <c r="Y54" s="353"/>
      <c r="AC54" s="120"/>
    </row>
    <row r="55" spans="2:29" ht="18" customHeight="1">
      <c r="B55" s="389" t="s">
        <v>366</v>
      </c>
      <c r="C55" s="385"/>
      <c r="D55" s="385"/>
      <c r="E55" s="385"/>
      <c r="F55" s="385"/>
      <c r="G55" s="387"/>
      <c r="H55" s="392"/>
      <c r="I55" s="394">
        <f>SUM(I34:I47)</f>
        <v>0</v>
      </c>
      <c r="J55" s="396">
        <v>106</v>
      </c>
      <c r="K55" s="389">
        <f>SUM(K34:L54)</f>
        <v>9</v>
      </c>
      <c r="L55" s="378"/>
      <c r="M55" s="381">
        <f>SUM(M34:N52)</f>
        <v>3</v>
      </c>
      <c r="N55" s="385"/>
      <c r="O55" s="377">
        <f>SUM(O34:P52)</f>
        <v>24</v>
      </c>
      <c r="P55" s="378"/>
      <c r="Q55" s="381">
        <f>SUM(Q34:R52)</f>
        <v>40</v>
      </c>
      <c r="R55" s="382"/>
      <c r="S55" s="385">
        <v>30</v>
      </c>
      <c r="T55" s="378"/>
      <c r="U55" s="381">
        <v>30</v>
      </c>
      <c r="V55" s="387"/>
      <c r="W55" s="389">
        <f>SUM(K55:V56)</f>
        <v>136</v>
      </c>
      <c r="X55" s="387"/>
      <c r="Y55" s="352">
        <f>SUM(Y34:Y53)</f>
        <v>80</v>
      </c>
      <c r="AC55" s="120"/>
    </row>
    <row r="56" spans="2:29" ht="18" customHeight="1" thickBot="1">
      <c r="B56" s="390"/>
      <c r="C56" s="386"/>
      <c r="D56" s="386"/>
      <c r="E56" s="386"/>
      <c r="F56" s="386"/>
      <c r="G56" s="388"/>
      <c r="H56" s="393"/>
      <c r="I56" s="395"/>
      <c r="J56" s="397"/>
      <c r="K56" s="390"/>
      <c r="L56" s="380"/>
      <c r="M56" s="383"/>
      <c r="N56" s="386"/>
      <c r="O56" s="379"/>
      <c r="P56" s="380"/>
      <c r="Q56" s="383"/>
      <c r="R56" s="384"/>
      <c r="S56" s="386"/>
      <c r="T56" s="380"/>
      <c r="U56" s="383"/>
      <c r="V56" s="388"/>
      <c r="W56" s="390"/>
      <c r="X56" s="388"/>
      <c r="Y56" s="391"/>
      <c r="AC56" s="46"/>
    </row>
    <row r="57" spans="2:29" ht="18" customHeight="1" thickBot="1">
      <c r="B57" s="327"/>
      <c r="C57" s="329"/>
      <c r="D57" s="329"/>
      <c r="E57" s="329"/>
      <c r="F57" s="329"/>
      <c r="G57" s="328"/>
      <c r="H57" s="125"/>
      <c r="I57" s="123">
        <f>SUM(I33,I55)</f>
        <v>0</v>
      </c>
      <c r="J57" s="124">
        <f>SUM(J33,J55)</f>
        <v>180</v>
      </c>
      <c r="K57" s="327">
        <f>SUM(K33,K55)</f>
        <v>30</v>
      </c>
      <c r="L57" s="337"/>
      <c r="M57" s="338">
        <f>SUM(M33,M55)</f>
        <v>30</v>
      </c>
      <c r="N57" s="330"/>
      <c r="O57" s="331">
        <f>SUM(O33,O55)</f>
        <v>41</v>
      </c>
      <c r="P57" s="337"/>
      <c r="Q57" s="338">
        <f>SUM(Q33,Q55)</f>
        <v>49</v>
      </c>
      <c r="R57" s="330"/>
      <c r="S57" s="331">
        <f>SUM(S33,S55)</f>
        <v>30</v>
      </c>
      <c r="T57" s="337"/>
      <c r="U57" s="338">
        <f>SUM(U33,U55)</f>
        <v>30</v>
      </c>
      <c r="V57" s="328"/>
      <c r="W57" s="327">
        <f>SUM(K57:V57)</f>
        <v>210</v>
      </c>
      <c r="X57" s="328"/>
      <c r="Y57" s="11">
        <f>Y55+Y33</f>
        <v>144</v>
      </c>
      <c r="AA57" s="332" t="s">
        <v>157</v>
      </c>
      <c r="AB57" s="332"/>
    </row>
    <row r="58" spans="2:29" ht="18" customHeight="1" thickBot="1">
      <c r="B58" s="346" t="s">
        <v>367</v>
      </c>
      <c r="C58" s="365"/>
      <c r="D58" s="365"/>
      <c r="E58" s="347"/>
      <c r="F58" s="370" t="s">
        <v>363</v>
      </c>
      <c r="G58" s="371"/>
      <c r="H58" s="371"/>
      <c r="I58" s="371"/>
      <c r="J58" s="372"/>
      <c r="K58" s="373">
        <v>16</v>
      </c>
      <c r="L58" s="374"/>
      <c r="M58" s="344">
        <v>16</v>
      </c>
      <c r="N58" s="375"/>
      <c r="O58" s="376">
        <v>16</v>
      </c>
      <c r="P58" s="374"/>
      <c r="Q58" s="344">
        <v>16</v>
      </c>
      <c r="R58" s="375"/>
      <c r="S58" s="376">
        <v>16</v>
      </c>
      <c r="T58" s="374"/>
      <c r="U58" s="344">
        <v>16</v>
      </c>
      <c r="V58" s="345"/>
      <c r="W58" s="346">
        <f>SUM(K58:V60)</f>
        <v>288</v>
      </c>
      <c r="X58" s="347"/>
      <c r="Y58" s="352">
        <f>Y61*16</f>
        <v>288</v>
      </c>
      <c r="AA58" s="364"/>
      <c r="AB58" s="364"/>
    </row>
    <row r="59" spans="2:29" ht="18" customHeight="1" thickBot="1">
      <c r="B59" s="348"/>
      <c r="C59" s="366"/>
      <c r="D59" s="366"/>
      <c r="E59" s="349"/>
      <c r="F59" s="355" t="s">
        <v>63</v>
      </c>
      <c r="G59" s="356"/>
      <c r="H59" s="356"/>
      <c r="I59" s="356"/>
      <c r="J59" s="357"/>
      <c r="K59" s="358">
        <v>16</v>
      </c>
      <c r="L59" s="359"/>
      <c r="M59" s="360">
        <v>16</v>
      </c>
      <c r="N59" s="361"/>
      <c r="O59" s="362">
        <v>16</v>
      </c>
      <c r="P59" s="359"/>
      <c r="Q59" s="360">
        <v>16</v>
      </c>
      <c r="R59" s="361"/>
      <c r="S59" s="362">
        <v>16</v>
      </c>
      <c r="T59" s="359"/>
      <c r="U59" s="360">
        <v>16</v>
      </c>
      <c r="V59" s="363"/>
      <c r="W59" s="348"/>
      <c r="X59" s="349"/>
      <c r="Y59" s="353"/>
      <c r="AA59" s="325" t="b">
        <f>W57&gt;=Y57</f>
        <v>1</v>
      </c>
      <c r="AB59" s="326"/>
    </row>
    <row r="60" spans="2:29" ht="18" customHeight="1">
      <c r="B60" s="348"/>
      <c r="C60" s="366"/>
      <c r="D60" s="366"/>
      <c r="E60" s="349"/>
      <c r="F60" s="355" t="s">
        <v>11</v>
      </c>
      <c r="G60" s="356"/>
      <c r="H60" s="356"/>
      <c r="I60" s="356"/>
      <c r="J60" s="357"/>
      <c r="K60" s="358">
        <v>16</v>
      </c>
      <c r="L60" s="359"/>
      <c r="M60" s="360">
        <v>16</v>
      </c>
      <c r="N60" s="361"/>
      <c r="O60" s="362">
        <v>16</v>
      </c>
      <c r="P60" s="359"/>
      <c r="Q60" s="360">
        <v>16</v>
      </c>
      <c r="R60" s="361"/>
      <c r="S60" s="362">
        <v>16</v>
      </c>
      <c r="T60" s="359"/>
      <c r="U60" s="360">
        <v>16</v>
      </c>
      <c r="V60" s="363"/>
      <c r="W60" s="350"/>
      <c r="X60" s="351"/>
      <c r="Y60" s="354"/>
    </row>
    <row r="61" spans="2:29" ht="18" customHeight="1" thickBot="1">
      <c r="B61" s="367"/>
      <c r="C61" s="368"/>
      <c r="D61" s="368"/>
      <c r="E61" s="369"/>
      <c r="F61" s="335" t="s">
        <v>149</v>
      </c>
      <c r="G61" s="339"/>
      <c r="H61" s="339"/>
      <c r="I61" s="339"/>
      <c r="J61" s="336"/>
      <c r="K61" s="340">
        <v>3</v>
      </c>
      <c r="L61" s="341"/>
      <c r="M61" s="333">
        <v>3</v>
      </c>
      <c r="N61" s="342"/>
      <c r="O61" s="343">
        <v>3</v>
      </c>
      <c r="P61" s="341"/>
      <c r="Q61" s="333">
        <v>3</v>
      </c>
      <c r="R61" s="342"/>
      <c r="S61" s="343">
        <v>3</v>
      </c>
      <c r="T61" s="341"/>
      <c r="U61" s="333">
        <v>3</v>
      </c>
      <c r="V61" s="334"/>
      <c r="W61" s="335">
        <f>SUM(K61:V61)</f>
        <v>18</v>
      </c>
      <c r="X61" s="336"/>
      <c r="Y61" s="47">
        <v>18</v>
      </c>
      <c r="AA61" s="332" t="s">
        <v>158</v>
      </c>
      <c r="AB61" s="332"/>
    </row>
    <row r="62" spans="2:29" ht="18" customHeight="1" thickBot="1">
      <c r="B62" s="327"/>
      <c r="C62" s="329"/>
      <c r="D62" s="329"/>
      <c r="E62" s="329"/>
      <c r="F62" s="329"/>
      <c r="G62" s="329"/>
      <c r="H62" s="329"/>
      <c r="I62" s="329"/>
      <c r="J62" s="328"/>
      <c r="K62" s="327">
        <v>33</v>
      </c>
      <c r="L62" s="337"/>
      <c r="M62" s="338">
        <v>33</v>
      </c>
      <c r="N62" s="330"/>
      <c r="O62" s="331">
        <v>33</v>
      </c>
      <c r="P62" s="337"/>
      <c r="Q62" s="338">
        <v>33</v>
      </c>
      <c r="R62" s="330"/>
      <c r="S62" s="331">
        <v>33</v>
      </c>
      <c r="T62" s="337"/>
      <c r="U62" s="338">
        <v>33</v>
      </c>
      <c r="V62" s="328"/>
      <c r="W62" s="327">
        <f>SUM(K62:V62)</f>
        <v>198</v>
      </c>
      <c r="X62" s="328"/>
      <c r="Y62" s="22">
        <f>W62</f>
        <v>198</v>
      </c>
      <c r="AA62" s="325" t="b">
        <f>W61&gt;=Y61</f>
        <v>1</v>
      </c>
      <c r="AB62" s="326"/>
    </row>
    <row r="63" spans="2:29" ht="18" customHeight="1" thickBot="1">
      <c r="B63" s="327"/>
      <c r="C63" s="329"/>
      <c r="D63" s="329"/>
      <c r="E63" s="329"/>
      <c r="F63" s="329"/>
      <c r="G63" s="329"/>
      <c r="H63" s="329"/>
      <c r="I63" s="329"/>
      <c r="J63" s="328"/>
      <c r="K63" s="327">
        <f>SUM(K62:N62)</f>
        <v>66</v>
      </c>
      <c r="L63" s="329"/>
      <c r="M63" s="329"/>
      <c r="N63" s="330"/>
      <c r="O63" s="331">
        <f>SUM(O62:R62)</f>
        <v>66</v>
      </c>
      <c r="P63" s="329"/>
      <c r="Q63" s="329"/>
      <c r="R63" s="330"/>
      <c r="S63" s="331">
        <f>SUM(S62:V62)</f>
        <v>66</v>
      </c>
      <c r="T63" s="329"/>
      <c r="U63" s="329"/>
      <c r="V63" s="328"/>
      <c r="W63" s="327">
        <f>SUM(K63:V63)</f>
        <v>198</v>
      </c>
      <c r="X63" s="328"/>
      <c r="Y63" s="11"/>
      <c r="AA63" s="332" t="s">
        <v>153</v>
      </c>
      <c r="AB63" s="332"/>
    </row>
    <row r="64" spans="2:29" ht="17.25" customHeight="1" thickBot="1">
      <c r="AA64" s="325" t="b">
        <f>W62&gt;=Y62</f>
        <v>1</v>
      </c>
      <c r="AB64" s="326"/>
    </row>
    <row r="65" ht="17.25" customHeight="1"/>
    <row r="66" ht="17.25" customHeight="1"/>
    <row r="67" ht="17.25" customHeight="1"/>
    <row r="69" ht="24.95" customHeight="1"/>
    <row r="70" ht="24.95" customHeight="1"/>
    <row r="71" ht="32.25" customHeight="1"/>
    <row r="72" ht="24.95" customHeight="1"/>
    <row r="74" ht="16.5" customHeight="1"/>
    <row r="75" ht="17.2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244.5" customHeight="1"/>
  </sheetData>
  <mergeCells count="486">
    <mergeCell ref="U40:V40"/>
    <mergeCell ref="U41:V41"/>
    <mergeCell ref="U42:V42"/>
    <mergeCell ref="U43:V43"/>
    <mergeCell ref="W40:X45"/>
    <mergeCell ref="O40:P40"/>
    <mergeCell ref="O41:P41"/>
    <mergeCell ref="O42:P42"/>
    <mergeCell ref="O43:P43"/>
    <mergeCell ref="Q40:R40"/>
    <mergeCell ref="Q41:R41"/>
    <mergeCell ref="Q42:R42"/>
    <mergeCell ref="Q43:R43"/>
    <mergeCell ref="S40:T40"/>
    <mergeCell ref="S41:T41"/>
    <mergeCell ref="S42:T42"/>
    <mergeCell ref="S43:T43"/>
    <mergeCell ref="F42:G42"/>
    <mergeCell ref="F43:G43"/>
    <mergeCell ref="K40:L40"/>
    <mergeCell ref="K41:L41"/>
    <mergeCell ref="K42:L42"/>
    <mergeCell ref="K43:L43"/>
    <mergeCell ref="M40:N40"/>
    <mergeCell ref="M41:N41"/>
    <mergeCell ref="M42:N42"/>
    <mergeCell ref="M43:N43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X22:X23"/>
    <mergeCell ref="F23:G23"/>
    <mergeCell ref="K23:L23"/>
    <mergeCell ref="M23:N23"/>
    <mergeCell ref="O23:P23"/>
    <mergeCell ref="Q23:R23"/>
    <mergeCell ref="S23:T23"/>
    <mergeCell ref="U23:V23"/>
    <mergeCell ref="X24:X27"/>
    <mergeCell ref="U26:V26"/>
    <mergeCell ref="S24:T24"/>
    <mergeCell ref="U24:V24"/>
    <mergeCell ref="Q27:R27"/>
    <mergeCell ref="S27:T27"/>
    <mergeCell ref="U27:V27"/>
    <mergeCell ref="Y24:Y27"/>
    <mergeCell ref="F25:G25"/>
    <mergeCell ref="K25:L25"/>
    <mergeCell ref="M25:N25"/>
    <mergeCell ref="O25:P25"/>
    <mergeCell ref="Q25:R25"/>
    <mergeCell ref="S25:T25"/>
    <mergeCell ref="D24:D27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S26:T26"/>
    <mergeCell ref="D28:D29"/>
    <mergeCell ref="F28:G28"/>
    <mergeCell ref="K28:L28"/>
    <mergeCell ref="M28:N28"/>
    <mergeCell ref="O28:P28"/>
    <mergeCell ref="Q28:R28"/>
    <mergeCell ref="S28:T28"/>
    <mergeCell ref="U28:V28"/>
    <mergeCell ref="W28:X29"/>
    <mergeCell ref="Y28:Y29"/>
    <mergeCell ref="F29:G29"/>
    <mergeCell ref="K29:L29"/>
    <mergeCell ref="M29:N29"/>
    <mergeCell ref="O29:P29"/>
    <mergeCell ref="Q29:R29"/>
    <mergeCell ref="S29:T29"/>
    <mergeCell ref="U29:V29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U33:V33"/>
    <mergeCell ref="W33:X33"/>
    <mergeCell ref="AA33:AB33"/>
    <mergeCell ref="B34:C47"/>
    <mergeCell ref="D34:E34"/>
    <mergeCell ref="F34:G34"/>
    <mergeCell ref="K34:L34"/>
    <mergeCell ref="M34:N34"/>
    <mergeCell ref="O34:P34"/>
    <mergeCell ref="Q34:R34"/>
    <mergeCell ref="B33:G33"/>
    <mergeCell ref="K33:L33"/>
    <mergeCell ref="M33:N33"/>
    <mergeCell ref="O33:P33"/>
    <mergeCell ref="Q33:R33"/>
    <mergeCell ref="S33:T33"/>
    <mergeCell ref="S34:T34"/>
    <mergeCell ref="U34:V34"/>
    <mergeCell ref="W34:X34"/>
    <mergeCell ref="Y34:Y54"/>
    <mergeCell ref="F35:G35"/>
    <mergeCell ref="K35:L35"/>
    <mergeCell ref="M35:N35"/>
    <mergeCell ref="O35:P35"/>
    <mergeCell ref="Q35:R35"/>
    <mergeCell ref="S35:T35"/>
    <mergeCell ref="U35:V35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U39:V39"/>
    <mergeCell ref="W39:X39"/>
    <mergeCell ref="F46:G46"/>
    <mergeCell ref="K46:L46"/>
    <mergeCell ref="M46:N46"/>
    <mergeCell ref="O46:P46"/>
    <mergeCell ref="Q46:R46"/>
    <mergeCell ref="S46:T46"/>
    <mergeCell ref="U46:V46"/>
    <mergeCell ref="W46:X46"/>
    <mergeCell ref="F39:G39"/>
    <mergeCell ref="K39:L39"/>
    <mergeCell ref="M39:N39"/>
    <mergeCell ref="O39:P39"/>
    <mergeCell ref="Q39:R39"/>
    <mergeCell ref="S39:T39"/>
    <mergeCell ref="Q44:R44"/>
    <mergeCell ref="Q45:R45"/>
    <mergeCell ref="S44:T44"/>
    <mergeCell ref="S45:T45"/>
    <mergeCell ref="U44:V44"/>
    <mergeCell ref="U45:V45"/>
    <mergeCell ref="F40:G40"/>
    <mergeCell ref="F41:G41"/>
    <mergeCell ref="U47:V47"/>
    <mergeCell ref="W47:X47"/>
    <mergeCell ref="B48:B51"/>
    <mergeCell ref="C48:C49"/>
    <mergeCell ref="D48:D49"/>
    <mergeCell ref="F48:G48"/>
    <mergeCell ref="J48:J49"/>
    <mergeCell ref="K48:L48"/>
    <mergeCell ref="M48:N48"/>
    <mergeCell ref="O48:P48"/>
    <mergeCell ref="F47:G47"/>
    <mergeCell ref="K47:L47"/>
    <mergeCell ref="M47:N47"/>
    <mergeCell ref="O47:P47"/>
    <mergeCell ref="Q47:R47"/>
    <mergeCell ref="S47:T47"/>
    <mergeCell ref="Q48:R48"/>
    <mergeCell ref="S48:T48"/>
    <mergeCell ref="U48:V48"/>
    <mergeCell ref="W48:X49"/>
    <mergeCell ref="F49:G49"/>
    <mergeCell ref="K49:L49"/>
    <mergeCell ref="M49:N49"/>
    <mergeCell ref="O49:P49"/>
    <mergeCell ref="Q49:R49"/>
    <mergeCell ref="S49:T49"/>
    <mergeCell ref="U49:V49"/>
    <mergeCell ref="C50:C51"/>
    <mergeCell ref="D50:D51"/>
    <mergeCell ref="F50:G50"/>
    <mergeCell ref="J50:J51"/>
    <mergeCell ref="K50:L50"/>
    <mergeCell ref="M50:N50"/>
    <mergeCell ref="O50:P50"/>
    <mergeCell ref="Q50:R50"/>
    <mergeCell ref="S50:T50"/>
    <mergeCell ref="U50:V50"/>
    <mergeCell ref="W50:X51"/>
    <mergeCell ref="F51:G51"/>
    <mergeCell ref="K51:L51"/>
    <mergeCell ref="M51:N51"/>
    <mergeCell ref="O51:P51"/>
    <mergeCell ref="Q51:R51"/>
    <mergeCell ref="S51:T51"/>
    <mergeCell ref="U51:V51"/>
    <mergeCell ref="O52:P52"/>
    <mergeCell ref="Q52:R52"/>
    <mergeCell ref="S52:T52"/>
    <mergeCell ref="U52:V52"/>
    <mergeCell ref="W52:X52"/>
    <mergeCell ref="B58:E61"/>
    <mergeCell ref="W58:X60"/>
    <mergeCell ref="B52:B54"/>
    <mergeCell ref="F52:G52"/>
    <mergeCell ref="K52:L52"/>
    <mergeCell ref="M52:N52"/>
    <mergeCell ref="S54:T54"/>
    <mergeCell ref="U54:V54"/>
    <mergeCell ref="W54:X54"/>
    <mergeCell ref="F54:G54"/>
    <mergeCell ref="K54:L54"/>
    <mergeCell ref="M54:N54"/>
    <mergeCell ref="O54:P54"/>
    <mergeCell ref="Q54:R54"/>
    <mergeCell ref="S53:T53"/>
    <mergeCell ref="U53:V53"/>
    <mergeCell ref="W53:X53"/>
    <mergeCell ref="F53:G53"/>
    <mergeCell ref="K53:L53"/>
    <mergeCell ref="M53:N53"/>
    <mergeCell ref="O53:P53"/>
    <mergeCell ref="Q53:R53"/>
    <mergeCell ref="Y55:Y56"/>
    <mergeCell ref="B57:G57"/>
    <mergeCell ref="K57:L57"/>
    <mergeCell ref="M57:N57"/>
    <mergeCell ref="O57:P57"/>
    <mergeCell ref="Q57:R57"/>
    <mergeCell ref="S57:T57"/>
    <mergeCell ref="U57:V57"/>
    <mergeCell ref="W57:X57"/>
    <mergeCell ref="M55:N56"/>
    <mergeCell ref="O55:P56"/>
    <mergeCell ref="Q55:R56"/>
    <mergeCell ref="S55:T56"/>
    <mergeCell ref="U55:V56"/>
    <mergeCell ref="W55:X56"/>
    <mergeCell ref="B55:G56"/>
    <mergeCell ref="H55:H56"/>
    <mergeCell ref="I55:I56"/>
    <mergeCell ref="J55:J56"/>
    <mergeCell ref="K55:L56"/>
    <mergeCell ref="AA59:AB59"/>
    <mergeCell ref="F60:J60"/>
    <mergeCell ref="K60:L60"/>
    <mergeCell ref="M60:N60"/>
    <mergeCell ref="O60:P60"/>
    <mergeCell ref="Q60:R60"/>
    <mergeCell ref="S60:T60"/>
    <mergeCell ref="U60:V60"/>
    <mergeCell ref="Y58:Y60"/>
    <mergeCell ref="F59:J59"/>
    <mergeCell ref="K59:L59"/>
    <mergeCell ref="M59:N59"/>
    <mergeCell ref="O59:P59"/>
    <mergeCell ref="Q59:R59"/>
    <mergeCell ref="S59:T59"/>
    <mergeCell ref="U59:V59"/>
    <mergeCell ref="AA57:AB58"/>
    <mergeCell ref="F58:J58"/>
    <mergeCell ref="K58:L58"/>
    <mergeCell ref="M58:N58"/>
    <mergeCell ref="O58:P58"/>
    <mergeCell ref="Q58:R58"/>
    <mergeCell ref="S58:T58"/>
    <mergeCell ref="U58:V58"/>
    <mergeCell ref="Q62:R62"/>
    <mergeCell ref="S62:T62"/>
    <mergeCell ref="U62:V62"/>
    <mergeCell ref="F61:J61"/>
    <mergeCell ref="K61:L61"/>
    <mergeCell ref="M61:N61"/>
    <mergeCell ref="O61:P61"/>
    <mergeCell ref="Q61:R61"/>
    <mergeCell ref="S61:T61"/>
    <mergeCell ref="AA64:AB64"/>
    <mergeCell ref="F45:G45"/>
    <mergeCell ref="F44:G44"/>
    <mergeCell ref="K44:L44"/>
    <mergeCell ref="K45:L45"/>
    <mergeCell ref="M44:N44"/>
    <mergeCell ref="M45:N45"/>
    <mergeCell ref="O44:P44"/>
    <mergeCell ref="O45:P45"/>
    <mergeCell ref="W62:X62"/>
    <mergeCell ref="AA62:AB62"/>
    <mergeCell ref="B63:J63"/>
    <mergeCell ref="K63:N63"/>
    <mergeCell ref="O63:R63"/>
    <mergeCell ref="S63:V63"/>
    <mergeCell ref="W63:X63"/>
    <mergeCell ref="AA63:AB63"/>
    <mergeCell ref="U61:V61"/>
    <mergeCell ref="W61:X61"/>
    <mergeCell ref="AA61:AB61"/>
    <mergeCell ref="B62:J62"/>
    <mergeCell ref="K62:L62"/>
    <mergeCell ref="M62:N62"/>
    <mergeCell ref="O62:P62"/>
  </mergeCells>
  <phoneticPr fontId="9" type="noConversion"/>
  <conditionalFormatting sqref="AA33:AB33 AC56 AA59:AB59 AA62:AB62 AA64:AB64">
    <cfRule type="containsText" dxfId="0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12" scale="51" orientation="landscape" cellComments="asDisplayed" r:id="rId1"/>
  <rowBreaks count="1" manualBreakCount="1">
    <brk id="55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D43981-0C6D-44E4-A269-96C437D8BBCB}">
          <x14:formula1>
            <xm:f>삭제금지!$J$2:$J$59</xm:f>
          </x14:formula1>
          <xm:sqref>H5:J5</xm:sqref>
        </x14:dataValidation>
        <x14:dataValidation type="list" allowBlank="1" showInputMessage="1" showErrorMessage="1" xr:uid="{AA966338-6EAC-45BD-A026-8BCDBE1623B1}">
          <x14:formula1>
            <xm:f>삭제금지!$I$2:$I$18</xm:f>
          </x14:formula1>
          <xm:sqref>F5:G5</xm:sqref>
        </x14:dataValidation>
        <x14:dataValidation type="list" allowBlank="1" showInputMessage="1" showErrorMessage="1" xr:uid="{B350E56A-F860-48BE-890D-FE203FFCD885}">
          <x14:formula1>
            <xm:f>삭제금지!$K$2:$K$59</xm:f>
          </x14:formula1>
          <xm:sqref>K5:O5</xm:sqref>
        </x14:dataValidation>
        <x14:dataValidation type="list" allowBlank="1" showInputMessage="1" showErrorMessage="1" xr:uid="{5CFFDC48-325E-4384-B097-602A794F648E}">
          <x14:formula1>
            <xm:f>삭제금지!$L$2:$L$4</xm:f>
          </x14:formula1>
          <xm:sqref>T5:V5</xm:sqref>
        </x14:dataValidation>
        <x14:dataValidation type="list" allowBlank="1" showInputMessage="1" showErrorMessage="1" xr:uid="{CAA5C2C6-67C8-40AC-A0F5-4CD3E715C654}">
          <x14:formula1>
            <xm:f>삭제금지!$H$2:$H$18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AE2F-1E63-4D85-B99A-92BCB9182A48}">
  <sheetPr>
    <pageSetUpPr fitToPage="1"/>
  </sheetPr>
  <dimension ref="B2:AG61"/>
  <sheetViews>
    <sheetView showGridLines="0" view="pageBreakPreview" zoomScale="90" zoomScaleNormal="85" zoomScaleSheetLayoutView="90" workbookViewId="0">
      <selection activeCell="X23" sqref="X23"/>
    </sheetView>
  </sheetViews>
  <sheetFormatPr defaultRowHeight="16.5"/>
  <cols>
    <col min="1" max="1" width="3" customWidth="1"/>
    <col min="2" max="2" width="24.375" customWidth="1"/>
    <col min="3" max="3" width="5.625" customWidth="1"/>
    <col min="4" max="4" width="34.5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88" t="s">
        <v>151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8"/>
      <c r="U2" s="588"/>
    </row>
    <row r="3" spans="2:33" ht="27" customHeight="1" thickBot="1"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589" t="s">
        <v>129</v>
      </c>
      <c r="O3" s="590"/>
      <c r="P3" s="591"/>
      <c r="Q3" s="589" t="s">
        <v>127</v>
      </c>
      <c r="R3" s="590"/>
      <c r="S3" s="591"/>
      <c r="T3" s="592" t="s">
        <v>130</v>
      </c>
      <c r="U3" s="593"/>
    </row>
    <row r="4" spans="2:33" ht="27" customHeight="1" thickBot="1"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594" t="s">
        <v>517</v>
      </c>
      <c r="O4" s="595"/>
      <c r="P4" s="596"/>
      <c r="Q4" s="597" t="s">
        <v>521</v>
      </c>
      <c r="R4" s="598"/>
      <c r="S4" s="599"/>
      <c r="T4" s="600">
        <v>2027</v>
      </c>
      <c r="U4" s="601"/>
    </row>
    <row r="5" spans="2:33" ht="24" customHeight="1" thickBot="1">
      <c r="B5" s="602"/>
      <c r="C5" s="602"/>
    </row>
    <row r="6" spans="2:33" ht="20.25" customHeight="1">
      <c r="B6" s="603" t="s">
        <v>13</v>
      </c>
      <c r="C6" s="606" t="s">
        <v>140</v>
      </c>
      <c r="D6" s="585" t="s">
        <v>14</v>
      </c>
      <c r="E6" s="585" t="s">
        <v>15</v>
      </c>
      <c r="F6" s="585" t="s">
        <v>141</v>
      </c>
      <c r="G6" s="585" t="s">
        <v>142</v>
      </c>
      <c r="H6" s="571" t="s">
        <v>58</v>
      </c>
      <c r="I6" s="571"/>
      <c r="J6" s="571"/>
      <c r="K6" s="571"/>
      <c r="L6" s="571" t="s">
        <v>59</v>
      </c>
      <c r="M6" s="571"/>
      <c r="N6" s="571"/>
      <c r="O6" s="571"/>
      <c r="P6" s="571" t="s">
        <v>60</v>
      </c>
      <c r="Q6" s="571"/>
      <c r="R6" s="571"/>
      <c r="S6" s="571"/>
      <c r="T6" s="572" t="s">
        <v>139</v>
      </c>
      <c r="U6" s="582" t="s">
        <v>126</v>
      </c>
      <c r="W6" s="575" t="s">
        <v>131</v>
      </c>
      <c r="X6" s="576"/>
      <c r="Y6" s="576"/>
      <c r="Z6" s="576"/>
      <c r="AA6" s="576"/>
      <c r="AB6" s="576"/>
      <c r="AC6" s="576"/>
      <c r="AD6" s="576"/>
      <c r="AE6" s="576"/>
      <c r="AF6" s="577"/>
      <c r="AG6" s="166"/>
    </row>
    <row r="7" spans="2:33" ht="16.5" customHeight="1">
      <c r="B7" s="604"/>
      <c r="C7" s="607"/>
      <c r="D7" s="586"/>
      <c r="E7" s="586"/>
      <c r="F7" s="586"/>
      <c r="G7" s="586"/>
      <c r="H7" s="578" t="s">
        <v>124</v>
      </c>
      <c r="I7" s="578"/>
      <c r="J7" s="578" t="s">
        <v>62</v>
      </c>
      <c r="K7" s="578"/>
      <c r="L7" s="578" t="s">
        <v>124</v>
      </c>
      <c r="M7" s="578"/>
      <c r="N7" s="578" t="s">
        <v>62</v>
      </c>
      <c r="O7" s="578"/>
      <c r="P7" s="578" t="s">
        <v>124</v>
      </c>
      <c r="Q7" s="578"/>
      <c r="R7" s="578" t="s">
        <v>62</v>
      </c>
      <c r="S7" s="578"/>
      <c r="T7" s="573"/>
      <c r="U7" s="583"/>
      <c r="W7" s="579" t="s">
        <v>132</v>
      </c>
      <c r="X7" s="580"/>
      <c r="Y7" s="580"/>
      <c r="Z7" s="580"/>
      <c r="AA7" s="580"/>
      <c r="AB7" s="580"/>
      <c r="AC7" s="580"/>
      <c r="AD7" s="580"/>
      <c r="AE7" s="580"/>
      <c r="AF7" s="581"/>
      <c r="AG7" s="166"/>
    </row>
    <row r="8" spans="2:33" ht="17.25" customHeight="1" thickBot="1">
      <c r="B8" s="605"/>
      <c r="C8" s="608"/>
      <c r="D8" s="587"/>
      <c r="E8" s="587"/>
      <c r="F8" s="587"/>
      <c r="G8" s="587"/>
      <c r="H8" s="167" t="s">
        <v>138</v>
      </c>
      <c r="I8" s="167" t="s">
        <v>125</v>
      </c>
      <c r="J8" s="167" t="s">
        <v>138</v>
      </c>
      <c r="K8" s="167" t="s">
        <v>125</v>
      </c>
      <c r="L8" s="167" t="s">
        <v>138</v>
      </c>
      <c r="M8" s="167" t="s">
        <v>125</v>
      </c>
      <c r="N8" s="167" t="s">
        <v>138</v>
      </c>
      <c r="O8" s="167" t="s">
        <v>125</v>
      </c>
      <c r="P8" s="167" t="s">
        <v>138</v>
      </c>
      <c r="Q8" s="167" t="s">
        <v>125</v>
      </c>
      <c r="R8" s="167" t="s">
        <v>138</v>
      </c>
      <c r="S8" s="167" t="s">
        <v>125</v>
      </c>
      <c r="T8" s="574"/>
      <c r="U8" s="584"/>
      <c r="W8" s="12"/>
      <c r="X8" s="168"/>
      <c r="Y8" s="168"/>
      <c r="Z8" s="168"/>
      <c r="AA8" s="168"/>
      <c r="AB8" s="168"/>
      <c r="AC8" s="168"/>
      <c r="AD8" s="168"/>
      <c r="AE8" s="168"/>
      <c r="AF8" s="13"/>
      <c r="AG8" s="166"/>
    </row>
    <row r="9" spans="2:33" ht="16.5" customHeight="1" thickTop="1">
      <c r="B9" s="701" t="s">
        <v>724</v>
      </c>
      <c r="C9" s="702">
        <v>9</v>
      </c>
      <c r="D9" s="259" t="s">
        <v>647</v>
      </c>
      <c r="E9" s="259" t="s">
        <v>725</v>
      </c>
      <c r="F9" s="222">
        <v>48</v>
      </c>
      <c r="G9" s="170">
        <v>3</v>
      </c>
      <c r="H9" s="220"/>
      <c r="I9" s="220">
        <f>H9*16</f>
        <v>0</v>
      </c>
      <c r="J9" s="220"/>
      <c r="K9" s="220">
        <f>J9*16</f>
        <v>0</v>
      </c>
      <c r="L9" s="172">
        <v>3</v>
      </c>
      <c r="M9" s="221">
        <v>48</v>
      </c>
      <c r="N9" s="260"/>
      <c r="O9" s="220"/>
      <c r="P9" s="220"/>
      <c r="Q9" s="220"/>
      <c r="R9" s="220"/>
      <c r="S9" s="220"/>
      <c r="T9" s="172">
        <v>3</v>
      </c>
      <c r="U9" s="222">
        <v>48</v>
      </c>
      <c r="V9" s="677" t="s">
        <v>726</v>
      </c>
      <c r="W9" s="678"/>
      <c r="X9" s="166"/>
      <c r="Y9" s="166"/>
      <c r="Z9" s="166"/>
      <c r="AA9" s="166"/>
      <c r="AB9" s="166"/>
      <c r="AC9" s="166"/>
      <c r="AD9" s="166"/>
      <c r="AE9" s="166"/>
      <c r="AF9" s="176"/>
      <c r="AG9" s="166"/>
    </row>
    <row r="10" spans="2:33" ht="16.5" customHeight="1">
      <c r="B10" s="666"/>
      <c r="C10" s="669"/>
      <c r="D10" s="261" t="s">
        <v>648</v>
      </c>
      <c r="E10" s="261" t="s">
        <v>727</v>
      </c>
      <c r="F10" s="228">
        <v>64</v>
      </c>
      <c r="G10" s="201">
        <v>3</v>
      </c>
      <c r="H10" s="226"/>
      <c r="I10" s="226">
        <f>H10*16</f>
        <v>0</v>
      </c>
      <c r="J10" s="226"/>
      <c r="K10" s="226">
        <f>J10*16</f>
        <v>0</v>
      </c>
      <c r="L10" s="180">
        <v>4</v>
      </c>
      <c r="M10" s="227">
        <v>64</v>
      </c>
      <c r="N10" s="262"/>
      <c r="O10" s="226"/>
      <c r="P10" s="226"/>
      <c r="Q10" s="226"/>
      <c r="R10" s="226"/>
      <c r="S10" s="226"/>
      <c r="T10" s="180">
        <v>4</v>
      </c>
      <c r="U10" s="228">
        <v>64</v>
      </c>
      <c r="V10" s="679"/>
      <c r="W10" s="680"/>
      <c r="X10" s="166"/>
      <c r="Y10" s="166"/>
      <c r="Z10" s="166"/>
      <c r="AA10" s="166"/>
      <c r="AB10" s="166"/>
      <c r="AC10" s="166"/>
      <c r="AD10" s="166"/>
      <c r="AE10" s="166"/>
      <c r="AF10" s="176"/>
      <c r="AG10" s="166"/>
    </row>
    <row r="11" spans="2:33" ht="17.25" thickBot="1">
      <c r="B11" s="666"/>
      <c r="C11" s="669"/>
      <c r="D11" s="263" t="s">
        <v>649</v>
      </c>
      <c r="E11" s="263" t="s">
        <v>728</v>
      </c>
      <c r="F11" s="232">
        <v>32</v>
      </c>
      <c r="G11" s="178">
        <v>2</v>
      </c>
      <c r="H11" s="230"/>
      <c r="I11" s="230"/>
      <c r="J11" s="230"/>
      <c r="K11" s="230"/>
      <c r="L11" s="179">
        <v>2</v>
      </c>
      <c r="M11" s="231">
        <v>32</v>
      </c>
      <c r="N11" s="264"/>
      <c r="O11" s="230"/>
      <c r="P11" s="230"/>
      <c r="Q11" s="230"/>
      <c r="R11" s="230"/>
      <c r="S11" s="230"/>
      <c r="T11" s="179">
        <v>2</v>
      </c>
      <c r="U11" s="232">
        <v>32</v>
      </c>
      <c r="V11" s="679"/>
      <c r="W11" s="680"/>
    </row>
    <row r="12" spans="2:33" ht="17.25" thickBot="1">
      <c r="B12" s="667"/>
      <c r="C12" s="670"/>
      <c r="D12" s="558" t="s">
        <v>16</v>
      </c>
      <c r="E12" s="558"/>
      <c r="F12" s="265">
        <f>SUM(F9:F11)</f>
        <v>144</v>
      </c>
      <c r="G12" s="266"/>
      <c r="H12" s="236">
        <f>SUM(H7:H11)</f>
        <v>0</v>
      </c>
      <c r="I12" s="236">
        <f>SUM(I7:I11)</f>
        <v>0</v>
      </c>
      <c r="J12" s="236">
        <f>SUM(J7:J11)</f>
        <v>0</v>
      </c>
      <c r="K12" s="236">
        <f>SUM(K7:K11)</f>
        <v>0</v>
      </c>
      <c r="L12" s="188">
        <f t="shared" ref="L12:T12" si="0">SUM(L5:L11)</f>
        <v>9</v>
      </c>
      <c r="M12" s="188">
        <f>SUM(M9:M11)</f>
        <v>144</v>
      </c>
      <c r="N12" s="236">
        <f t="shared" si="0"/>
        <v>0</v>
      </c>
      <c r="O12" s="236">
        <f t="shared" si="0"/>
        <v>0</v>
      </c>
      <c r="P12" s="236">
        <f t="shared" si="0"/>
        <v>0</v>
      </c>
      <c r="Q12" s="236">
        <f t="shared" si="0"/>
        <v>0</v>
      </c>
      <c r="R12" s="236">
        <f t="shared" si="0"/>
        <v>0</v>
      </c>
      <c r="S12" s="236">
        <f t="shared" si="0"/>
        <v>0</v>
      </c>
      <c r="T12" s="188">
        <f t="shared" si="0"/>
        <v>9</v>
      </c>
      <c r="U12" s="188">
        <f>SUM(U9:U11)</f>
        <v>144</v>
      </c>
      <c r="V12" s="679"/>
      <c r="W12" s="680"/>
    </row>
    <row r="13" spans="2:33">
      <c r="B13" s="665" t="s">
        <v>729</v>
      </c>
      <c r="C13" s="668">
        <v>21</v>
      </c>
      <c r="D13" s="267" t="s">
        <v>588</v>
      </c>
      <c r="E13" s="267" t="s">
        <v>730</v>
      </c>
      <c r="F13" s="232">
        <v>32</v>
      </c>
      <c r="G13" s="178">
        <v>3</v>
      </c>
      <c r="H13" s="230"/>
      <c r="I13" s="230"/>
      <c r="J13" s="230"/>
      <c r="K13" s="230"/>
      <c r="L13" s="179">
        <v>2</v>
      </c>
      <c r="M13" s="221">
        <v>32</v>
      </c>
      <c r="N13" s="264"/>
      <c r="O13" s="230"/>
      <c r="P13" s="230"/>
      <c r="Q13" s="230"/>
      <c r="R13" s="230"/>
      <c r="S13" s="230"/>
      <c r="T13" s="179">
        <v>2</v>
      </c>
      <c r="U13" s="232">
        <v>32</v>
      </c>
      <c r="V13" s="679"/>
      <c r="W13" s="680"/>
    </row>
    <row r="14" spans="2:33" ht="22.5" customHeight="1">
      <c r="B14" s="666"/>
      <c r="C14" s="669"/>
      <c r="D14" s="261" t="s">
        <v>589</v>
      </c>
      <c r="E14" s="261" t="s">
        <v>653</v>
      </c>
      <c r="F14" s="228">
        <v>64</v>
      </c>
      <c r="G14" s="178">
        <v>3</v>
      </c>
      <c r="H14" s="230"/>
      <c r="I14" s="230"/>
      <c r="J14" s="230"/>
      <c r="K14" s="230"/>
      <c r="L14" s="230"/>
      <c r="M14" s="230"/>
      <c r="N14" s="179">
        <v>4</v>
      </c>
      <c r="O14" s="227">
        <v>64</v>
      </c>
      <c r="P14" s="264"/>
      <c r="Q14" s="230"/>
      <c r="R14" s="230"/>
      <c r="S14" s="230"/>
      <c r="T14" s="179">
        <v>4</v>
      </c>
      <c r="U14" s="228">
        <v>64</v>
      </c>
      <c r="V14" s="679"/>
      <c r="W14" s="680"/>
    </row>
    <row r="15" spans="2:33">
      <c r="B15" s="666"/>
      <c r="C15" s="669"/>
      <c r="D15" s="261" t="s">
        <v>650</v>
      </c>
      <c r="E15" s="261" t="s">
        <v>654</v>
      </c>
      <c r="F15" s="228">
        <v>96</v>
      </c>
      <c r="G15" s="178">
        <v>3</v>
      </c>
      <c r="H15" s="230"/>
      <c r="I15" s="230"/>
      <c r="J15" s="230"/>
      <c r="K15" s="230"/>
      <c r="L15" s="230"/>
      <c r="M15" s="230"/>
      <c r="N15" s="179">
        <v>6</v>
      </c>
      <c r="O15" s="227">
        <v>96</v>
      </c>
      <c r="P15" s="264"/>
      <c r="Q15" s="230"/>
      <c r="R15" s="230"/>
      <c r="S15" s="230"/>
      <c r="T15" s="179">
        <v>6</v>
      </c>
      <c r="U15" s="228">
        <v>96</v>
      </c>
      <c r="V15" s="679"/>
      <c r="W15" s="680"/>
    </row>
    <row r="16" spans="2:33">
      <c r="B16" s="666"/>
      <c r="C16" s="669"/>
      <c r="D16" s="261" t="s">
        <v>651</v>
      </c>
      <c r="E16" s="261" t="s">
        <v>655</v>
      </c>
      <c r="F16" s="228">
        <v>48</v>
      </c>
      <c r="G16" s="178">
        <v>3</v>
      </c>
      <c r="H16" s="230"/>
      <c r="I16" s="230"/>
      <c r="J16" s="230"/>
      <c r="K16" s="230"/>
      <c r="L16" s="230"/>
      <c r="M16" s="230"/>
      <c r="N16" s="179">
        <v>3</v>
      </c>
      <c r="O16" s="227">
        <v>48</v>
      </c>
      <c r="P16" s="264"/>
      <c r="Q16" s="230"/>
      <c r="R16" s="230"/>
      <c r="S16" s="230"/>
      <c r="T16" s="179">
        <v>3</v>
      </c>
      <c r="U16" s="228">
        <v>48</v>
      </c>
      <c r="V16" s="679"/>
      <c r="W16" s="680"/>
    </row>
    <row r="17" spans="2:23">
      <c r="B17" s="666"/>
      <c r="C17" s="669"/>
      <c r="D17" s="261" t="s">
        <v>587</v>
      </c>
      <c r="E17" s="261" t="s">
        <v>656</v>
      </c>
      <c r="F17" s="228">
        <v>48</v>
      </c>
      <c r="G17" s="178">
        <v>2</v>
      </c>
      <c r="H17" s="230"/>
      <c r="I17" s="230"/>
      <c r="J17" s="230"/>
      <c r="K17" s="230"/>
      <c r="L17" s="230"/>
      <c r="M17" s="230"/>
      <c r="N17" s="179">
        <v>3</v>
      </c>
      <c r="O17" s="227">
        <v>48</v>
      </c>
      <c r="P17" s="264"/>
      <c r="Q17" s="230"/>
      <c r="R17" s="230"/>
      <c r="S17" s="230"/>
      <c r="T17" s="179">
        <v>3</v>
      </c>
      <c r="U17" s="228">
        <v>48</v>
      </c>
      <c r="V17" s="679"/>
      <c r="W17" s="680"/>
    </row>
    <row r="18" spans="2:23" ht="17.25" thickBot="1">
      <c r="B18" s="666"/>
      <c r="C18" s="669"/>
      <c r="D18" s="263" t="s">
        <v>652</v>
      </c>
      <c r="E18" s="263" t="s">
        <v>657</v>
      </c>
      <c r="F18" s="232">
        <v>48</v>
      </c>
      <c r="G18" s="178">
        <v>2</v>
      </c>
      <c r="H18" s="179"/>
      <c r="I18" s="179"/>
      <c r="J18" s="179"/>
      <c r="K18" s="179"/>
      <c r="L18" s="179"/>
      <c r="M18" s="179"/>
      <c r="N18" s="179">
        <v>3</v>
      </c>
      <c r="O18" s="231">
        <v>48</v>
      </c>
      <c r="P18" s="268"/>
      <c r="Q18" s="179"/>
      <c r="R18" s="179"/>
      <c r="S18" s="180"/>
      <c r="T18" s="179">
        <v>3</v>
      </c>
      <c r="U18" s="232">
        <v>48</v>
      </c>
      <c r="V18" s="679"/>
      <c r="W18" s="680"/>
    </row>
    <row r="19" spans="2:23" ht="17.25" thickBot="1">
      <c r="B19" s="667"/>
      <c r="C19" s="670"/>
      <c r="D19" s="558" t="s">
        <v>16</v>
      </c>
      <c r="E19" s="558"/>
      <c r="F19" s="265">
        <f>SUM(F13:F18)</f>
        <v>336</v>
      </c>
      <c r="G19" s="266"/>
      <c r="H19" s="236">
        <f>SUM(H14:H18)</f>
        <v>0</v>
      </c>
      <c r="I19" s="236">
        <f>SUM(I14:I18)</f>
        <v>0</v>
      </c>
      <c r="J19" s="236">
        <f>SUM(J14:J18)</f>
        <v>0</v>
      </c>
      <c r="K19" s="236">
        <f>SUM(K14:K18)</f>
        <v>0</v>
      </c>
      <c r="L19" s="188">
        <f>SUM(L13:L18)</f>
        <v>2</v>
      </c>
      <c r="M19" s="188">
        <f>SUM(M13:M18)</f>
        <v>32</v>
      </c>
      <c r="N19" s="188">
        <f>SUM(N13:N18)</f>
        <v>19</v>
      </c>
      <c r="O19" s="188">
        <f>SUM(O14:O18)</f>
        <v>304</v>
      </c>
      <c r="P19" s="236">
        <f t="shared" ref="P19:S19" si="1">SUM(P12:P18)</f>
        <v>0</v>
      </c>
      <c r="Q19" s="236">
        <f t="shared" si="1"/>
        <v>0</v>
      </c>
      <c r="R19" s="236">
        <f t="shared" si="1"/>
        <v>0</v>
      </c>
      <c r="S19" s="236">
        <f t="shared" si="1"/>
        <v>0</v>
      </c>
      <c r="T19" s="188">
        <f>SUM(T13:T18)</f>
        <v>21</v>
      </c>
      <c r="U19" s="188">
        <f>SUM(U13:U18)</f>
        <v>336</v>
      </c>
      <c r="V19" s="681"/>
      <c r="W19" s="682"/>
    </row>
    <row r="20" spans="2:23">
      <c r="B20" s="683" t="s">
        <v>731</v>
      </c>
      <c r="C20" s="686">
        <v>6</v>
      </c>
      <c r="D20" s="269" t="s">
        <v>732</v>
      </c>
      <c r="E20" s="269" t="s">
        <v>733</v>
      </c>
      <c r="F20" s="232">
        <v>48</v>
      </c>
      <c r="G20" s="178">
        <v>4</v>
      </c>
      <c r="H20" s="179"/>
      <c r="I20" s="179"/>
      <c r="J20" s="179"/>
      <c r="K20" s="179"/>
      <c r="L20" s="179">
        <v>3</v>
      </c>
      <c r="M20" s="221">
        <v>48</v>
      </c>
      <c r="N20" s="268"/>
      <c r="O20" s="179"/>
      <c r="P20" s="179"/>
      <c r="Q20" s="179"/>
      <c r="R20" s="179"/>
      <c r="S20" s="180"/>
      <c r="T20" s="179">
        <v>3</v>
      </c>
      <c r="U20" s="232">
        <v>48</v>
      </c>
      <c r="V20" s="689" t="s">
        <v>734</v>
      </c>
      <c r="W20" s="690"/>
    </row>
    <row r="21" spans="2:23">
      <c r="B21" s="684"/>
      <c r="C21" s="687"/>
      <c r="D21" s="270" t="s">
        <v>735</v>
      </c>
      <c r="E21" s="270" t="s">
        <v>736</v>
      </c>
      <c r="F21" s="228">
        <v>48</v>
      </c>
      <c r="G21" s="201">
        <v>2</v>
      </c>
      <c r="H21" s="180"/>
      <c r="I21" s="180"/>
      <c r="J21" s="180"/>
      <c r="K21" s="180"/>
      <c r="L21" s="179">
        <v>3</v>
      </c>
      <c r="M21" s="227">
        <v>48</v>
      </c>
      <c r="N21" s="271"/>
      <c r="O21" s="180"/>
      <c r="P21" s="180"/>
      <c r="Q21" s="180"/>
      <c r="R21" s="180"/>
      <c r="S21" s="180"/>
      <c r="T21" s="179">
        <v>3</v>
      </c>
      <c r="U21" s="228">
        <v>48</v>
      </c>
      <c r="V21" s="691"/>
      <c r="W21" s="692"/>
    </row>
    <row r="22" spans="2:23" ht="17.25" thickBot="1">
      <c r="B22" s="685"/>
      <c r="C22" s="688"/>
      <c r="D22" s="558" t="s">
        <v>16</v>
      </c>
      <c r="E22" s="558"/>
      <c r="F22" s="265">
        <f>SUM(F20:F21)</f>
        <v>96</v>
      </c>
      <c r="G22" s="266"/>
      <c r="H22" s="236">
        <f>SUM(H17:H21)</f>
        <v>0</v>
      </c>
      <c r="I22" s="236">
        <f>SUM(I17:I21)</f>
        <v>0</v>
      </c>
      <c r="J22" s="236">
        <f>SUM(J17:J21)</f>
        <v>0</v>
      </c>
      <c r="K22" s="236">
        <f>SUM(K17:K21)</f>
        <v>0</v>
      </c>
      <c r="L22" s="188">
        <f>SUM(L20:L21)</f>
        <v>6</v>
      </c>
      <c r="M22" s="188">
        <f>SUM(M20:M21)</f>
        <v>96</v>
      </c>
      <c r="N22" s="236"/>
      <c r="O22" s="236"/>
      <c r="P22" s="236">
        <f t="shared" ref="P22:S22" si="2">SUM(P15:P21)</f>
        <v>0</v>
      </c>
      <c r="Q22" s="236">
        <f t="shared" si="2"/>
        <v>0</v>
      </c>
      <c r="R22" s="236">
        <f t="shared" si="2"/>
        <v>0</v>
      </c>
      <c r="S22" s="236">
        <f t="shared" si="2"/>
        <v>0</v>
      </c>
      <c r="T22" s="188">
        <f>SUM(T20:T21)</f>
        <v>6</v>
      </c>
      <c r="U22" s="188">
        <f>SUM(U20:U21)</f>
        <v>96</v>
      </c>
      <c r="V22" s="691"/>
      <c r="W22" s="692"/>
    </row>
    <row r="23" spans="2:23">
      <c r="B23" s="695" t="s">
        <v>737</v>
      </c>
      <c r="C23" s="698">
        <v>12</v>
      </c>
      <c r="D23" s="272" t="s">
        <v>738</v>
      </c>
      <c r="E23" s="272" t="s">
        <v>739</v>
      </c>
      <c r="F23" s="232">
        <v>32</v>
      </c>
      <c r="G23" s="178">
        <v>3</v>
      </c>
      <c r="H23" s="230"/>
      <c r="I23" s="230"/>
      <c r="J23" s="230"/>
      <c r="K23" s="230"/>
      <c r="L23" s="179">
        <v>2</v>
      </c>
      <c r="M23" s="221">
        <v>32</v>
      </c>
      <c r="N23" s="264"/>
      <c r="O23" s="230"/>
      <c r="P23" s="230"/>
      <c r="Q23" s="230"/>
      <c r="R23" s="230"/>
      <c r="S23" s="230"/>
      <c r="T23" s="179">
        <v>2</v>
      </c>
      <c r="U23" s="232">
        <v>32</v>
      </c>
      <c r="V23" s="691"/>
      <c r="W23" s="692"/>
    </row>
    <row r="24" spans="2:23">
      <c r="B24" s="696"/>
      <c r="C24" s="699"/>
      <c r="D24" s="273" t="s">
        <v>740</v>
      </c>
      <c r="E24" s="273" t="s">
        <v>741</v>
      </c>
      <c r="F24" s="232">
        <v>48</v>
      </c>
      <c r="G24" s="178">
        <v>3</v>
      </c>
      <c r="H24" s="179"/>
      <c r="I24" s="179"/>
      <c r="J24" s="179"/>
      <c r="K24" s="179"/>
      <c r="L24" s="179">
        <v>3</v>
      </c>
      <c r="M24" s="231">
        <v>48</v>
      </c>
      <c r="N24" s="268"/>
      <c r="O24" s="179"/>
      <c r="P24" s="179"/>
      <c r="Q24" s="179"/>
      <c r="R24" s="179"/>
      <c r="S24" s="179"/>
      <c r="T24" s="179">
        <v>3</v>
      </c>
      <c r="U24" s="232">
        <v>48</v>
      </c>
      <c r="V24" s="691"/>
      <c r="W24" s="692"/>
    </row>
    <row r="25" spans="2:23">
      <c r="B25" s="696"/>
      <c r="C25" s="699"/>
      <c r="D25" s="273" t="s">
        <v>742</v>
      </c>
      <c r="E25" s="273" t="s">
        <v>743</v>
      </c>
      <c r="F25" s="232">
        <v>16</v>
      </c>
      <c r="G25" s="178">
        <v>3</v>
      </c>
      <c r="H25" s="179"/>
      <c r="I25" s="179"/>
      <c r="J25" s="179"/>
      <c r="K25" s="179"/>
      <c r="L25" s="179"/>
      <c r="M25" s="179"/>
      <c r="N25" s="179">
        <v>1</v>
      </c>
      <c r="O25" s="227">
        <v>16</v>
      </c>
      <c r="P25" s="268"/>
      <c r="Q25" s="179"/>
      <c r="R25" s="179"/>
      <c r="S25" s="180"/>
      <c r="T25" s="179">
        <v>1</v>
      </c>
      <c r="U25" s="232">
        <v>16</v>
      </c>
      <c r="V25" s="691"/>
      <c r="W25" s="692"/>
    </row>
    <row r="26" spans="2:23">
      <c r="B26" s="696"/>
      <c r="C26" s="699"/>
      <c r="D26" s="273" t="s">
        <v>744</v>
      </c>
      <c r="E26" s="273" t="s">
        <v>745</v>
      </c>
      <c r="F26" s="232">
        <v>32</v>
      </c>
      <c r="G26" s="178">
        <v>3</v>
      </c>
      <c r="H26" s="230"/>
      <c r="I26" s="230"/>
      <c r="J26" s="230"/>
      <c r="K26" s="230"/>
      <c r="L26" s="230"/>
      <c r="M26" s="230"/>
      <c r="N26" s="179">
        <v>2</v>
      </c>
      <c r="O26" s="231">
        <v>32</v>
      </c>
      <c r="P26" s="264"/>
      <c r="Q26" s="230"/>
      <c r="R26" s="230"/>
      <c r="S26" s="230"/>
      <c r="T26" s="179">
        <v>2</v>
      </c>
      <c r="U26" s="232">
        <v>32</v>
      </c>
      <c r="V26" s="691"/>
      <c r="W26" s="692"/>
    </row>
    <row r="27" spans="2:23">
      <c r="B27" s="696"/>
      <c r="C27" s="699"/>
      <c r="D27" s="273" t="s">
        <v>746</v>
      </c>
      <c r="E27" s="273" t="s">
        <v>747</v>
      </c>
      <c r="F27" s="228">
        <v>32</v>
      </c>
      <c r="G27" s="178">
        <v>4</v>
      </c>
      <c r="H27" s="230"/>
      <c r="I27" s="230"/>
      <c r="J27" s="230"/>
      <c r="K27" s="230"/>
      <c r="L27" s="230"/>
      <c r="M27" s="230"/>
      <c r="N27" s="179">
        <v>2</v>
      </c>
      <c r="O27" s="227">
        <v>32</v>
      </c>
      <c r="P27" s="264"/>
      <c r="Q27" s="230"/>
      <c r="R27" s="230"/>
      <c r="S27" s="230"/>
      <c r="T27" s="179">
        <v>2</v>
      </c>
      <c r="U27" s="228">
        <v>32</v>
      </c>
      <c r="V27" s="691"/>
      <c r="W27" s="692"/>
    </row>
    <row r="28" spans="2:23" ht="17.25" thickBot="1">
      <c r="B28" s="696"/>
      <c r="C28" s="699"/>
      <c r="D28" s="274" t="s">
        <v>748</v>
      </c>
      <c r="E28" s="274" t="s">
        <v>749</v>
      </c>
      <c r="F28" s="232">
        <v>32</v>
      </c>
      <c r="G28" s="178">
        <v>3</v>
      </c>
      <c r="H28" s="179"/>
      <c r="I28" s="179"/>
      <c r="J28" s="179"/>
      <c r="K28" s="179"/>
      <c r="L28" s="179"/>
      <c r="M28" s="179"/>
      <c r="N28" s="179">
        <v>2</v>
      </c>
      <c r="O28" s="231">
        <v>32</v>
      </c>
      <c r="P28" s="268"/>
      <c r="Q28" s="179"/>
      <c r="R28" s="179"/>
      <c r="S28" s="179"/>
      <c r="T28" s="179">
        <v>2</v>
      </c>
      <c r="U28" s="232">
        <v>32</v>
      </c>
      <c r="V28" s="691"/>
      <c r="W28" s="692"/>
    </row>
    <row r="29" spans="2:23" ht="17.25" thickBot="1">
      <c r="B29" s="697"/>
      <c r="C29" s="700"/>
      <c r="D29" s="558" t="s">
        <v>16</v>
      </c>
      <c r="E29" s="558"/>
      <c r="F29" s="265">
        <f>SUM(F23:F28)</f>
        <v>192</v>
      </c>
      <c r="G29" s="266"/>
      <c r="H29" s="236">
        <f>SUM(H24:H28)</f>
        <v>0</v>
      </c>
      <c r="I29" s="236">
        <f>SUM(I24:I28)</f>
        <v>0</v>
      </c>
      <c r="J29" s="236">
        <f>SUM(J24:J28)</f>
        <v>0</v>
      </c>
      <c r="K29" s="236">
        <f>SUM(K24:K28)</f>
        <v>0</v>
      </c>
      <c r="L29" s="188">
        <f>SUM(L23:L28)</f>
        <v>5</v>
      </c>
      <c r="M29" s="188">
        <f>SUM(M23:M28)</f>
        <v>80</v>
      </c>
      <c r="N29" s="188">
        <f>SUM(N23:N28)</f>
        <v>7</v>
      </c>
      <c r="O29" s="188">
        <f>SUM(O25:O28)</f>
        <v>112</v>
      </c>
      <c r="P29" s="236">
        <f t="shared" ref="P29:S29" si="3">SUM(P22:P28)</f>
        <v>0</v>
      </c>
      <c r="Q29" s="236">
        <f t="shared" si="3"/>
        <v>0</v>
      </c>
      <c r="R29" s="236">
        <f t="shared" si="3"/>
        <v>0</v>
      </c>
      <c r="S29" s="236">
        <f t="shared" si="3"/>
        <v>0</v>
      </c>
      <c r="T29" s="188">
        <f>SUM(T23:T28)</f>
        <v>12</v>
      </c>
      <c r="U29" s="188">
        <f>SUM(U23:U28)</f>
        <v>192</v>
      </c>
      <c r="V29" s="691"/>
      <c r="W29" s="692"/>
    </row>
    <row r="30" spans="2:23">
      <c r="B30" s="695" t="s">
        <v>750</v>
      </c>
      <c r="C30" s="698">
        <v>5</v>
      </c>
      <c r="D30" s="275" t="s">
        <v>751</v>
      </c>
      <c r="E30" s="275" t="s">
        <v>752</v>
      </c>
      <c r="F30" s="228">
        <v>48</v>
      </c>
      <c r="G30" s="201">
        <v>3</v>
      </c>
      <c r="H30" s="180"/>
      <c r="I30" s="180"/>
      <c r="J30" s="180"/>
      <c r="K30" s="180"/>
      <c r="L30" s="180"/>
      <c r="M30" s="180"/>
      <c r="N30" s="179">
        <v>3</v>
      </c>
      <c r="O30" s="221">
        <v>48</v>
      </c>
      <c r="P30" s="271"/>
      <c r="Q30" s="180"/>
      <c r="R30" s="180"/>
      <c r="S30" s="180"/>
      <c r="T30" s="179">
        <v>3</v>
      </c>
      <c r="U30" s="228">
        <v>48</v>
      </c>
      <c r="V30" s="691"/>
      <c r="W30" s="692"/>
    </row>
    <row r="31" spans="2:23" ht="17.25" thickBot="1">
      <c r="B31" s="696"/>
      <c r="C31" s="699"/>
      <c r="D31" s="274" t="s">
        <v>753</v>
      </c>
      <c r="E31" s="274" t="s">
        <v>754</v>
      </c>
      <c r="F31" s="228">
        <v>32</v>
      </c>
      <c r="G31" s="201">
        <v>4</v>
      </c>
      <c r="H31" s="180"/>
      <c r="I31" s="180"/>
      <c r="J31" s="180"/>
      <c r="K31" s="180"/>
      <c r="L31" s="180"/>
      <c r="M31" s="180"/>
      <c r="N31" s="179">
        <v>2</v>
      </c>
      <c r="O31" s="227">
        <v>32</v>
      </c>
      <c r="P31" s="271"/>
      <c r="Q31" s="180"/>
      <c r="R31" s="180"/>
      <c r="S31" s="180"/>
      <c r="T31" s="179">
        <v>2</v>
      </c>
      <c r="U31" s="228">
        <v>32</v>
      </c>
      <c r="V31" s="691"/>
      <c r="W31" s="692"/>
    </row>
    <row r="32" spans="2:23" ht="17.25" thickBot="1">
      <c r="B32" s="697"/>
      <c r="C32" s="700"/>
      <c r="D32" s="558" t="s">
        <v>16</v>
      </c>
      <c r="E32" s="558"/>
      <c r="F32" s="265">
        <f>SUM(F30:F31)</f>
        <v>80</v>
      </c>
      <c r="G32" s="266"/>
      <c r="H32" s="236">
        <f>SUM(H27:H31)</f>
        <v>0</v>
      </c>
      <c r="I32" s="236">
        <f>SUM(I27:I31)</f>
        <v>0</v>
      </c>
      <c r="J32" s="236">
        <f>SUM(J27:J31)</f>
        <v>0</v>
      </c>
      <c r="K32" s="236">
        <f>SUM(K27:K31)</f>
        <v>0</v>
      </c>
      <c r="L32" s="236">
        <f>SUM(L30:L31)</f>
        <v>0</v>
      </c>
      <c r="M32" s="236"/>
      <c r="N32" s="188">
        <f>SUM(N30:N31)</f>
        <v>5</v>
      </c>
      <c r="O32" s="188">
        <f>SUM(O30:O31)</f>
        <v>80</v>
      </c>
      <c r="P32" s="236">
        <f t="shared" ref="P32:S32" si="4">SUM(P25:P31)</f>
        <v>0</v>
      </c>
      <c r="Q32" s="236">
        <f t="shared" si="4"/>
        <v>0</v>
      </c>
      <c r="R32" s="236">
        <f t="shared" si="4"/>
        <v>0</v>
      </c>
      <c r="S32" s="236">
        <f t="shared" si="4"/>
        <v>0</v>
      </c>
      <c r="T32" s="188">
        <f>SUM(T30:T31)</f>
        <v>5</v>
      </c>
      <c r="U32" s="188">
        <f>SUM(U30:U31)</f>
        <v>80</v>
      </c>
      <c r="V32" s="691"/>
      <c r="W32" s="692"/>
    </row>
    <row r="33" spans="2:23">
      <c r="B33" s="684" t="s">
        <v>755</v>
      </c>
      <c r="C33" s="698">
        <v>7</v>
      </c>
      <c r="D33" s="275" t="s">
        <v>756</v>
      </c>
      <c r="E33" s="275" t="s">
        <v>757</v>
      </c>
      <c r="F33" s="232">
        <v>32</v>
      </c>
      <c r="G33" s="178">
        <v>3</v>
      </c>
      <c r="H33" s="230"/>
      <c r="I33" s="230"/>
      <c r="J33" s="230"/>
      <c r="K33" s="230"/>
      <c r="L33" s="230"/>
      <c r="M33" s="230"/>
      <c r="N33" s="179">
        <v>2</v>
      </c>
      <c r="O33" s="221">
        <v>32</v>
      </c>
      <c r="P33" s="264"/>
      <c r="Q33" s="230"/>
      <c r="R33" s="230"/>
      <c r="S33" s="230"/>
      <c r="T33" s="179">
        <v>2</v>
      </c>
      <c r="U33" s="232">
        <v>32</v>
      </c>
      <c r="V33" s="691"/>
      <c r="W33" s="692"/>
    </row>
    <row r="34" spans="2:23">
      <c r="B34" s="684"/>
      <c r="C34" s="699"/>
      <c r="D34" s="273" t="s">
        <v>758</v>
      </c>
      <c r="E34" s="276" t="s">
        <v>759</v>
      </c>
      <c r="F34" s="232">
        <v>48</v>
      </c>
      <c r="G34" s="178">
        <v>3</v>
      </c>
      <c r="H34" s="179"/>
      <c r="I34" s="179"/>
      <c r="J34" s="179"/>
      <c r="K34" s="179"/>
      <c r="L34" s="179"/>
      <c r="M34" s="179"/>
      <c r="N34" s="179">
        <v>3</v>
      </c>
      <c r="O34" s="231">
        <v>48</v>
      </c>
      <c r="P34" s="277"/>
      <c r="Q34" s="202"/>
      <c r="R34" s="202"/>
      <c r="S34" s="202"/>
      <c r="T34" s="179">
        <v>3</v>
      </c>
      <c r="U34" s="232">
        <v>48</v>
      </c>
      <c r="V34" s="691"/>
      <c r="W34" s="692"/>
    </row>
    <row r="35" spans="2:23" ht="17.25" thickBot="1">
      <c r="B35" s="684"/>
      <c r="C35" s="699"/>
      <c r="D35" s="274" t="s">
        <v>760</v>
      </c>
      <c r="E35" s="278" t="s">
        <v>761</v>
      </c>
      <c r="F35" s="232">
        <v>32</v>
      </c>
      <c r="G35" s="178">
        <v>3</v>
      </c>
      <c r="H35" s="179"/>
      <c r="I35" s="179"/>
      <c r="J35" s="179"/>
      <c r="K35" s="179"/>
      <c r="L35" s="179"/>
      <c r="M35" s="179"/>
      <c r="N35" s="179">
        <v>2</v>
      </c>
      <c r="O35" s="231">
        <v>32</v>
      </c>
      <c r="P35" s="277"/>
      <c r="Q35" s="202"/>
      <c r="R35" s="202"/>
      <c r="S35" s="202"/>
      <c r="T35" s="179">
        <v>2</v>
      </c>
      <c r="U35" s="232">
        <v>32</v>
      </c>
      <c r="V35" s="691"/>
      <c r="W35" s="692"/>
    </row>
    <row r="36" spans="2:23" ht="17.25" thickBot="1">
      <c r="B36" s="685"/>
      <c r="C36" s="700"/>
      <c r="D36" s="558" t="s">
        <v>16</v>
      </c>
      <c r="E36" s="558"/>
      <c r="F36" s="188">
        <f>SUM(F33:F35)</f>
        <v>112</v>
      </c>
      <c r="G36" s="185"/>
      <c r="H36" s="236">
        <f>SUM(H31:H35)</f>
        <v>0</v>
      </c>
      <c r="I36" s="236">
        <f>SUM(I31:I35)</f>
        <v>0</v>
      </c>
      <c r="J36" s="236">
        <f>SUM(J31:J35)</f>
        <v>0</v>
      </c>
      <c r="K36" s="236">
        <f>SUM(K31:K35)</f>
        <v>0</v>
      </c>
      <c r="L36" s="236">
        <f>SUM(L33:L35)</f>
        <v>0</v>
      </c>
      <c r="M36" s="236"/>
      <c r="N36" s="188">
        <f>SUM(N33:N35)</f>
        <v>7</v>
      </c>
      <c r="O36" s="188">
        <f>SUM(O33:O35)</f>
        <v>112</v>
      </c>
      <c r="P36" s="236">
        <f t="shared" ref="P36:S36" si="5">SUM(P29:P35)</f>
        <v>0</v>
      </c>
      <c r="Q36" s="236">
        <f t="shared" si="5"/>
        <v>0</v>
      </c>
      <c r="R36" s="236">
        <f t="shared" si="5"/>
        <v>0</v>
      </c>
      <c r="S36" s="236">
        <f t="shared" si="5"/>
        <v>0</v>
      </c>
      <c r="T36" s="188">
        <f>SUM(T33:T35)</f>
        <v>7</v>
      </c>
      <c r="U36" s="188">
        <f>SUM(U33:U35)</f>
        <v>112</v>
      </c>
      <c r="V36" s="693"/>
      <c r="W36" s="694"/>
    </row>
    <row r="37" spans="2:23">
      <c r="B37" s="671" t="s">
        <v>762</v>
      </c>
      <c r="C37" s="674" t="s">
        <v>763</v>
      </c>
      <c r="D37" s="279" t="s">
        <v>658</v>
      </c>
      <c r="E37" s="279" t="s">
        <v>764</v>
      </c>
      <c r="F37" s="232">
        <v>32</v>
      </c>
      <c r="G37" s="178">
        <v>2</v>
      </c>
      <c r="H37" s="179"/>
      <c r="I37" s="179"/>
      <c r="J37" s="179"/>
      <c r="K37" s="179"/>
      <c r="L37" s="179"/>
      <c r="M37" s="179"/>
      <c r="N37" s="179"/>
      <c r="O37" s="179"/>
      <c r="P37" s="179">
        <v>2</v>
      </c>
      <c r="Q37" s="221">
        <v>32</v>
      </c>
      <c r="R37" s="277"/>
      <c r="S37" s="202"/>
      <c r="T37" s="179">
        <v>2</v>
      </c>
      <c r="U37" s="232">
        <v>32</v>
      </c>
    </row>
    <row r="38" spans="2:23">
      <c r="B38" s="672"/>
      <c r="C38" s="675"/>
      <c r="D38" s="280" t="s">
        <v>659</v>
      </c>
      <c r="E38" s="280" t="s">
        <v>765</v>
      </c>
      <c r="F38" s="232">
        <v>48</v>
      </c>
      <c r="G38" s="178">
        <v>2</v>
      </c>
      <c r="H38" s="230"/>
      <c r="I38" s="230"/>
      <c r="J38" s="230"/>
      <c r="K38" s="230"/>
      <c r="L38" s="230"/>
      <c r="M38" s="230"/>
      <c r="N38" s="230"/>
      <c r="O38" s="230"/>
      <c r="P38" s="179">
        <v>3</v>
      </c>
      <c r="Q38" s="231">
        <v>48</v>
      </c>
      <c r="R38" s="264"/>
      <c r="S38" s="230"/>
      <c r="T38" s="179">
        <v>3</v>
      </c>
      <c r="U38" s="232">
        <v>48</v>
      </c>
    </row>
    <row r="39" spans="2:23">
      <c r="B39" s="672"/>
      <c r="C39" s="675"/>
      <c r="D39" s="281" t="s">
        <v>660</v>
      </c>
      <c r="E39" s="280" t="s">
        <v>766</v>
      </c>
      <c r="F39" s="232">
        <v>48</v>
      </c>
      <c r="G39" s="178">
        <v>4</v>
      </c>
      <c r="H39" s="230"/>
      <c r="I39" s="230"/>
      <c r="J39" s="230"/>
      <c r="K39" s="230"/>
      <c r="L39" s="230"/>
      <c r="M39" s="230"/>
      <c r="N39" s="230"/>
      <c r="O39" s="230"/>
      <c r="P39" s="179">
        <v>3</v>
      </c>
      <c r="Q39" s="231">
        <v>48</v>
      </c>
      <c r="R39" s="264"/>
      <c r="S39" s="230"/>
      <c r="T39" s="179">
        <v>3</v>
      </c>
      <c r="U39" s="232">
        <v>48</v>
      </c>
    </row>
    <row r="40" spans="2:23">
      <c r="B40" s="672"/>
      <c r="C40" s="675"/>
      <c r="D40" s="281" t="s">
        <v>602</v>
      </c>
      <c r="E40" s="280" t="s">
        <v>767</v>
      </c>
      <c r="F40" s="232">
        <v>32</v>
      </c>
      <c r="G40" s="178">
        <v>3</v>
      </c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179">
        <v>2</v>
      </c>
      <c r="S40" s="227">
        <v>32</v>
      </c>
      <c r="T40" s="268">
        <v>2</v>
      </c>
      <c r="U40" s="232">
        <v>32</v>
      </c>
    </row>
    <row r="41" spans="2:23">
      <c r="B41" s="672"/>
      <c r="C41" s="675"/>
      <c r="D41" s="282" t="s">
        <v>661</v>
      </c>
      <c r="E41" s="283" t="s">
        <v>768</v>
      </c>
      <c r="F41" s="232">
        <v>48</v>
      </c>
      <c r="G41" s="178">
        <v>3</v>
      </c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179">
        <v>3</v>
      </c>
      <c r="S41" s="231">
        <v>48</v>
      </c>
      <c r="T41" s="268">
        <v>3</v>
      </c>
      <c r="U41" s="232">
        <v>48</v>
      </c>
    </row>
    <row r="42" spans="2:23" ht="17.25" thickBot="1">
      <c r="B42" s="672"/>
      <c r="C42" s="675"/>
      <c r="D42" s="284" t="s">
        <v>662</v>
      </c>
      <c r="E42" s="284" t="s">
        <v>769</v>
      </c>
      <c r="F42" s="232">
        <v>48</v>
      </c>
      <c r="G42" s="178">
        <v>4</v>
      </c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179">
        <v>3</v>
      </c>
      <c r="S42" s="231">
        <v>48</v>
      </c>
      <c r="T42" s="268">
        <v>3</v>
      </c>
      <c r="U42" s="232">
        <v>48</v>
      </c>
    </row>
    <row r="43" spans="2:23" ht="17.25" thickBot="1">
      <c r="B43" s="673"/>
      <c r="C43" s="676"/>
      <c r="D43" s="558" t="s">
        <v>16</v>
      </c>
      <c r="E43" s="558"/>
      <c r="F43" s="188">
        <f>SUM(F37:F42)</f>
        <v>256</v>
      </c>
      <c r="G43" s="185"/>
      <c r="H43" s="236">
        <f>SUM(H38:H42)</f>
        <v>0</v>
      </c>
      <c r="I43" s="236">
        <f>SUM(I38:I42)</f>
        <v>0</v>
      </c>
      <c r="J43" s="236">
        <f>SUM(J38:J42)</f>
        <v>0</v>
      </c>
      <c r="K43" s="236">
        <f>SUM(K38:K42)</f>
        <v>0</v>
      </c>
      <c r="L43" s="236">
        <f t="shared" ref="L43:M43" si="6">SUM(L36:L42)</f>
        <v>0</v>
      </c>
      <c r="M43" s="236">
        <f t="shared" si="6"/>
        <v>0</v>
      </c>
      <c r="N43" s="236">
        <f>SUM(N37:N42)</f>
        <v>0</v>
      </c>
      <c r="O43" s="236"/>
      <c r="P43" s="188">
        <f>SUM(P37:P42)</f>
        <v>8</v>
      </c>
      <c r="Q43" s="188">
        <f>SUM(Q37:Q42)</f>
        <v>128</v>
      </c>
      <c r="R43" s="188">
        <f>SUM(R40:R42)</f>
        <v>8</v>
      </c>
      <c r="S43" s="188">
        <f>SUM(S37:S42)</f>
        <v>128</v>
      </c>
      <c r="T43" s="188">
        <f>SUM(T37:T42)</f>
        <v>16</v>
      </c>
      <c r="U43" s="188">
        <f>SUM(U37:U42)</f>
        <v>256</v>
      </c>
    </row>
    <row r="44" spans="2:23">
      <c r="B44" s="703" t="s">
        <v>770</v>
      </c>
      <c r="C44" s="709">
        <v>15</v>
      </c>
      <c r="D44" s="197" t="s">
        <v>674</v>
      </c>
      <c r="E44" s="285" t="s">
        <v>771</v>
      </c>
      <c r="F44" s="232">
        <v>48</v>
      </c>
      <c r="G44" s="178">
        <v>4</v>
      </c>
      <c r="H44" s="230"/>
      <c r="I44" s="230"/>
      <c r="J44" s="230"/>
      <c r="K44" s="230"/>
      <c r="L44" s="230"/>
      <c r="M44" s="230"/>
      <c r="N44" s="230"/>
      <c r="O44" s="230"/>
      <c r="P44" s="179">
        <v>3</v>
      </c>
      <c r="Q44" s="221">
        <v>48</v>
      </c>
      <c r="R44" s="264"/>
      <c r="S44" s="230"/>
      <c r="T44" s="179">
        <v>3</v>
      </c>
      <c r="U44" s="232">
        <v>48</v>
      </c>
    </row>
    <row r="45" spans="2:23">
      <c r="B45" s="704"/>
      <c r="C45" s="710"/>
      <c r="D45" s="285" t="s">
        <v>675</v>
      </c>
      <c r="E45" s="199" t="s">
        <v>678</v>
      </c>
      <c r="F45" s="232">
        <v>80</v>
      </c>
      <c r="G45" s="178">
        <v>4</v>
      </c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179">
        <v>5</v>
      </c>
      <c r="S45" s="286">
        <v>80</v>
      </c>
      <c r="T45" s="268">
        <v>5</v>
      </c>
      <c r="U45" s="232">
        <v>80</v>
      </c>
    </row>
    <row r="46" spans="2:23">
      <c r="B46" s="704"/>
      <c r="C46" s="710"/>
      <c r="D46" s="199" t="s">
        <v>676</v>
      </c>
      <c r="E46" s="199" t="s">
        <v>679</v>
      </c>
      <c r="F46" s="232">
        <v>80</v>
      </c>
      <c r="G46" s="178">
        <v>3</v>
      </c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179">
        <v>5</v>
      </c>
      <c r="S46" s="287">
        <v>80</v>
      </c>
      <c r="T46" s="268">
        <v>5</v>
      </c>
      <c r="U46" s="232">
        <v>80</v>
      </c>
    </row>
    <row r="47" spans="2:23" ht="17.25" thickBot="1">
      <c r="B47" s="704"/>
      <c r="C47" s="710"/>
      <c r="D47" s="288" t="s">
        <v>677</v>
      </c>
      <c r="E47" s="289" t="s">
        <v>680</v>
      </c>
      <c r="F47" s="232">
        <v>32</v>
      </c>
      <c r="G47" s="178">
        <v>3</v>
      </c>
      <c r="H47" s="230"/>
      <c r="I47" s="230"/>
      <c r="J47" s="230"/>
      <c r="K47" s="230"/>
      <c r="L47" s="230"/>
      <c r="M47" s="230"/>
      <c r="N47" s="230"/>
      <c r="O47" s="230"/>
      <c r="P47" s="179">
        <v>2</v>
      </c>
      <c r="Q47" s="227">
        <v>32</v>
      </c>
      <c r="R47" s="264"/>
      <c r="S47" s="230"/>
      <c r="T47" s="179">
        <v>2</v>
      </c>
      <c r="U47" s="232">
        <v>32</v>
      </c>
    </row>
    <row r="48" spans="2:23" ht="17.25" thickBot="1">
      <c r="B48" s="705"/>
      <c r="C48" s="711"/>
      <c r="D48" s="558" t="s">
        <v>16</v>
      </c>
      <c r="E48" s="558"/>
      <c r="F48" s="188">
        <f>SUM(F44:F47)</f>
        <v>240</v>
      </c>
      <c r="G48" s="185"/>
      <c r="H48" s="236">
        <f>SUM(H43:H47)</f>
        <v>0</v>
      </c>
      <c r="I48" s="236">
        <f>SUM(I43:I47)</f>
        <v>0</v>
      </c>
      <c r="J48" s="236">
        <f>SUM(J43:J47)</f>
        <v>0</v>
      </c>
      <c r="K48" s="236">
        <f>SUM(K43:K47)</f>
        <v>0</v>
      </c>
      <c r="L48" s="236">
        <f t="shared" ref="L48:O48" si="7">SUM(L41:L47)</f>
        <v>0</v>
      </c>
      <c r="M48" s="236">
        <f t="shared" si="7"/>
        <v>0</v>
      </c>
      <c r="N48" s="236">
        <f t="shared" si="7"/>
        <v>0</v>
      </c>
      <c r="O48" s="236">
        <f t="shared" si="7"/>
        <v>0</v>
      </c>
      <c r="P48" s="188">
        <f t="shared" ref="P48:U48" si="8">SUM(P44:P47)</f>
        <v>5</v>
      </c>
      <c r="Q48" s="188">
        <f t="shared" si="8"/>
        <v>80</v>
      </c>
      <c r="R48" s="188">
        <f t="shared" si="8"/>
        <v>10</v>
      </c>
      <c r="S48" s="188">
        <f t="shared" si="8"/>
        <v>160</v>
      </c>
      <c r="T48" s="188">
        <f t="shared" si="8"/>
        <v>15</v>
      </c>
      <c r="U48" s="188">
        <f t="shared" si="8"/>
        <v>240</v>
      </c>
    </row>
    <row r="49" spans="2:21">
      <c r="B49" s="703" t="s">
        <v>772</v>
      </c>
      <c r="C49" s="706" t="s">
        <v>773</v>
      </c>
      <c r="D49" s="280" t="s">
        <v>663</v>
      </c>
      <c r="E49" s="280" t="s">
        <v>669</v>
      </c>
      <c r="F49" s="232">
        <v>32</v>
      </c>
      <c r="G49" s="178">
        <v>5</v>
      </c>
      <c r="H49" s="230"/>
      <c r="I49" s="230"/>
      <c r="J49" s="230"/>
      <c r="K49" s="230"/>
      <c r="L49" s="230"/>
      <c r="M49" s="230"/>
      <c r="N49" s="230"/>
      <c r="O49" s="230"/>
      <c r="P49" s="179">
        <v>2</v>
      </c>
      <c r="Q49" s="221">
        <v>32</v>
      </c>
      <c r="R49" s="264"/>
      <c r="S49" s="230"/>
      <c r="T49" s="179">
        <v>2</v>
      </c>
      <c r="U49" s="232">
        <v>32</v>
      </c>
    </row>
    <row r="50" spans="2:21">
      <c r="B50" s="704"/>
      <c r="C50" s="707"/>
      <c r="D50" s="280" t="s">
        <v>664</v>
      </c>
      <c r="E50" s="280" t="s">
        <v>670</v>
      </c>
      <c r="F50" s="232">
        <v>32</v>
      </c>
      <c r="G50" s="178">
        <v>4</v>
      </c>
      <c r="H50" s="230"/>
      <c r="I50" s="230"/>
      <c r="J50" s="230"/>
      <c r="K50" s="230"/>
      <c r="L50" s="230"/>
      <c r="M50" s="230"/>
      <c r="N50" s="230"/>
      <c r="O50" s="230"/>
      <c r="P50" s="179">
        <v>2</v>
      </c>
      <c r="Q50" s="231">
        <v>32</v>
      </c>
      <c r="R50" s="264"/>
      <c r="S50" s="230"/>
      <c r="T50" s="179">
        <v>2</v>
      </c>
      <c r="U50" s="232">
        <v>32</v>
      </c>
    </row>
    <row r="51" spans="2:21">
      <c r="B51" s="704"/>
      <c r="C51" s="707"/>
      <c r="D51" s="280" t="s">
        <v>665</v>
      </c>
      <c r="E51" s="280" t="s">
        <v>671</v>
      </c>
      <c r="F51" s="232">
        <v>64</v>
      </c>
      <c r="G51" s="178">
        <v>3</v>
      </c>
      <c r="H51" s="230"/>
      <c r="I51" s="230"/>
      <c r="J51" s="230"/>
      <c r="K51" s="230"/>
      <c r="L51" s="230"/>
      <c r="M51" s="230"/>
      <c r="N51" s="230"/>
      <c r="O51" s="230"/>
      <c r="P51" s="179">
        <v>4</v>
      </c>
      <c r="Q51" s="231">
        <v>64</v>
      </c>
      <c r="R51" s="264"/>
      <c r="S51" s="230"/>
      <c r="T51" s="179">
        <v>4</v>
      </c>
      <c r="U51" s="232">
        <v>64</v>
      </c>
    </row>
    <row r="52" spans="2:21">
      <c r="B52" s="704"/>
      <c r="C52" s="707"/>
      <c r="D52" s="280" t="s">
        <v>666</v>
      </c>
      <c r="E52" s="280" t="s">
        <v>672</v>
      </c>
      <c r="F52" s="232">
        <v>96</v>
      </c>
      <c r="G52" s="178">
        <v>3</v>
      </c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179">
        <v>6</v>
      </c>
      <c r="S52" s="232">
        <v>96</v>
      </c>
      <c r="T52" s="179">
        <v>6</v>
      </c>
      <c r="U52" s="232">
        <v>96</v>
      </c>
    </row>
    <row r="53" spans="2:21">
      <c r="B53" s="704"/>
      <c r="C53" s="707"/>
      <c r="D53" s="280" t="s">
        <v>667</v>
      </c>
      <c r="E53" s="280" t="s">
        <v>673</v>
      </c>
      <c r="F53" s="232">
        <v>32</v>
      </c>
      <c r="G53" s="178">
        <v>3</v>
      </c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179">
        <v>2</v>
      </c>
      <c r="S53" s="232">
        <v>32</v>
      </c>
      <c r="T53" s="179">
        <v>2</v>
      </c>
      <c r="U53" s="232">
        <v>32</v>
      </c>
    </row>
    <row r="54" spans="2:21">
      <c r="B54" s="704"/>
      <c r="C54" s="707"/>
      <c r="D54" s="280" t="s">
        <v>668</v>
      </c>
      <c r="E54" s="280" t="s">
        <v>774</v>
      </c>
      <c r="F54" s="232">
        <v>32</v>
      </c>
      <c r="G54" s="178">
        <v>3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179">
        <v>2</v>
      </c>
      <c r="S54" s="232">
        <v>32</v>
      </c>
      <c r="T54" s="179">
        <v>2</v>
      </c>
      <c r="U54" s="232">
        <v>32</v>
      </c>
    </row>
    <row r="55" spans="2:21" ht="17.25" thickBot="1">
      <c r="B55" s="705"/>
      <c r="C55" s="712"/>
      <c r="D55" s="558" t="s">
        <v>16</v>
      </c>
      <c r="E55" s="558"/>
      <c r="F55" s="188">
        <f>SUM(F49:F54)</f>
        <v>288</v>
      </c>
      <c r="G55" s="185"/>
      <c r="H55" s="236">
        <f>SUM(H50:H54)</f>
        <v>0</v>
      </c>
      <c r="I55" s="236">
        <f>SUM(I50:I54)</f>
        <v>0</v>
      </c>
      <c r="J55" s="236">
        <f>SUM(J50:J54)</f>
        <v>0</v>
      </c>
      <c r="K55" s="236">
        <f>SUM(K50:K54)</f>
        <v>0</v>
      </c>
      <c r="L55" s="236">
        <f t="shared" ref="L55:O55" si="9">SUM(L48:L54)</f>
        <v>0</v>
      </c>
      <c r="M55" s="236">
        <f t="shared" si="9"/>
        <v>0</v>
      </c>
      <c r="N55" s="236">
        <f t="shared" si="9"/>
        <v>0</v>
      </c>
      <c r="O55" s="236">
        <f t="shared" si="9"/>
        <v>0</v>
      </c>
      <c r="P55" s="188">
        <f t="shared" ref="P55:U55" si="10">SUM(P49:P54)</f>
        <v>8</v>
      </c>
      <c r="Q55" s="188">
        <f t="shared" si="10"/>
        <v>128</v>
      </c>
      <c r="R55" s="188">
        <f t="shared" si="10"/>
        <v>10</v>
      </c>
      <c r="S55" s="236">
        <f t="shared" si="10"/>
        <v>160</v>
      </c>
      <c r="T55" s="188">
        <f t="shared" si="10"/>
        <v>18</v>
      </c>
      <c r="U55" s="188">
        <f t="shared" si="10"/>
        <v>288</v>
      </c>
    </row>
    <row r="56" spans="2:21">
      <c r="B56" s="703" t="s">
        <v>775</v>
      </c>
      <c r="C56" s="706" t="s">
        <v>776</v>
      </c>
      <c r="D56" s="290" t="s">
        <v>681</v>
      </c>
      <c r="E56" s="291" t="s">
        <v>777</v>
      </c>
      <c r="F56" s="232">
        <v>16</v>
      </c>
      <c r="G56" s="178">
        <v>3</v>
      </c>
      <c r="H56" s="230"/>
      <c r="I56" s="230"/>
      <c r="J56" s="230"/>
      <c r="K56" s="230"/>
      <c r="L56" s="230"/>
      <c r="M56" s="230"/>
      <c r="N56" s="230"/>
      <c r="O56" s="230"/>
      <c r="P56" s="179">
        <v>1</v>
      </c>
      <c r="Q56" s="221">
        <v>16</v>
      </c>
      <c r="R56" s="264"/>
      <c r="S56" s="230"/>
      <c r="T56" s="179">
        <v>1</v>
      </c>
      <c r="U56" s="232">
        <v>16</v>
      </c>
    </row>
    <row r="57" spans="2:21">
      <c r="B57" s="704"/>
      <c r="C57" s="707"/>
      <c r="D57" s="292" t="s">
        <v>682</v>
      </c>
      <c r="E57" s="280" t="s">
        <v>778</v>
      </c>
      <c r="F57" s="232">
        <v>16</v>
      </c>
      <c r="G57" s="178">
        <v>3</v>
      </c>
      <c r="H57" s="230"/>
      <c r="I57" s="230"/>
      <c r="J57" s="230"/>
      <c r="K57" s="230"/>
      <c r="L57" s="230"/>
      <c r="M57" s="230"/>
      <c r="N57" s="230"/>
      <c r="O57" s="230"/>
      <c r="P57" s="179">
        <v>1</v>
      </c>
      <c r="Q57" s="231">
        <v>16</v>
      </c>
      <c r="R57" s="264"/>
      <c r="S57" s="230"/>
      <c r="T57" s="179">
        <v>1</v>
      </c>
      <c r="U57" s="232">
        <v>16</v>
      </c>
    </row>
    <row r="58" spans="2:21">
      <c r="B58" s="704"/>
      <c r="C58" s="707"/>
      <c r="D58" s="293" t="s">
        <v>683</v>
      </c>
      <c r="E58" s="294" t="s">
        <v>685</v>
      </c>
      <c r="F58" s="232">
        <v>16</v>
      </c>
      <c r="G58" s="178">
        <v>3</v>
      </c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179">
        <v>1</v>
      </c>
      <c r="S58" s="227">
        <v>16</v>
      </c>
      <c r="T58" s="268">
        <v>1</v>
      </c>
      <c r="U58" s="232">
        <v>16</v>
      </c>
    </row>
    <row r="59" spans="2:21" ht="17.25" thickBot="1">
      <c r="B59" s="704"/>
      <c r="C59" s="707"/>
      <c r="D59" s="295" t="s">
        <v>684</v>
      </c>
      <c r="E59" s="284" t="s">
        <v>779</v>
      </c>
      <c r="F59" s="232">
        <v>16</v>
      </c>
      <c r="G59" s="178">
        <v>3</v>
      </c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179">
        <v>1</v>
      </c>
      <c r="S59" s="231">
        <v>16</v>
      </c>
      <c r="T59" s="268">
        <v>1</v>
      </c>
      <c r="U59" s="232">
        <v>16</v>
      </c>
    </row>
    <row r="60" spans="2:21" ht="17.25" thickBot="1">
      <c r="B60" s="705"/>
      <c r="C60" s="708"/>
      <c r="D60" s="558" t="s">
        <v>16</v>
      </c>
      <c r="E60" s="558"/>
      <c r="F60" s="188">
        <f>SUM(F56:F59)</f>
        <v>64</v>
      </c>
      <c r="G60" s="185"/>
      <c r="H60" s="236">
        <f>SUM(H55:H59)</f>
        <v>0</v>
      </c>
      <c r="I60" s="236">
        <f>SUM(I55:I59)</f>
        <v>0</v>
      </c>
      <c r="J60" s="236">
        <f>SUM(J55:J59)</f>
        <v>0</v>
      </c>
      <c r="K60" s="236">
        <f>SUM(K55:K59)</f>
        <v>0</v>
      </c>
      <c r="L60" s="236">
        <f t="shared" ref="L60:O60" si="11">SUM(L53:L59)</f>
        <v>0</v>
      </c>
      <c r="M60" s="236">
        <f t="shared" si="11"/>
        <v>0</v>
      </c>
      <c r="N60" s="236">
        <f t="shared" si="11"/>
        <v>0</v>
      </c>
      <c r="O60" s="236">
        <f t="shared" si="11"/>
        <v>0</v>
      </c>
      <c r="P60" s="188">
        <f t="shared" ref="P60:U60" si="12">SUM(P56:P59)</f>
        <v>2</v>
      </c>
      <c r="Q60" s="188">
        <f t="shared" si="12"/>
        <v>32</v>
      </c>
      <c r="R60" s="188">
        <f t="shared" si="12"/>
        <v>2</v>
      </c>
      <c r="S60" s="236">
        <f t="shared" si="12"/>
        <v>32</v>
      </c>
      <c r="T60" s="188">
        <f t="shared" si="12"/>
        <v>4</v>
      </c>
      <c r="U60" s="188">
        <f t="shared" si="12"/>
        <v>64</v>
      </c>
    </row>
    <row r="61" spans="2:21" ht="17.25" thickBot="1">
      <c r="B61" s="296"/>
      <c r="C61" s="296"/>
      <c r="D61" s="296"/>
      <c r="E61" s="296"/>
      <c r="F61" s="297"/>
      <c r="G61" s="297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98"/>
      <c r="U61" s="299"/>
    </row>
  </sheetData>
  <mergeCells count="59">
    <mergeCell ref="B56:B60"/>
    <mergeCell ref="C56:C60"/>
    <mergeCell ref="D60:E60"/>
    <mergeCell ref="B44:B48"/>
    <mergeCell ref="C44:C48"/>
    <mergeCell ref="D48:E48"/>
    <mergeCell ref="B49:B55"/>
    <mergeCell ref="C49:C55"/>
    <mergeCell ref="D55:E55"/>
    <mergeCell ref="V9:W19"/>
    <mergeCell ref="B20:B22"/>
    <mergeCell ref="C20:C22"/>
    <mergeCell ref="V20:W36"/>
    <mergeCell ref="D22:E22"/>
    <mergeCell ref="B23:B29"/>
    <mergeCell ref="C23:C29"/>
    <mergeCell ref="D29:E29"/>
    <mergeCell ref="B30:B32"/>
    <mergeCell ref="C30:C32"/>
    <mergeCell ref="D32:E32"/>
    <mergeCell ref="B33:B36"/>
    <mergeCell ref="C33:C36"/>
    <mergeCell ref="D36:E36"/>
    <mergeCell ref="B9:B12"/>
    <mergeCell ref="C9:C12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D12:E12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T6:T8"/>
    <mergeCell ref="U6:U8"/>
    <mergeCell ref="F6:F8"/>
    <mergeCell ref="B13:B19"/>
    <mergeCell ref="C13:C19"/>
    <mergeCell ref="D19:E19"/>
    <mergeCell ref="D43:E43"/>
    <mergeCell ref="B37:B43"/>
    <mergeCell ref="C37:C4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38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205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342</v>
      </c>
      <c r="G2" s="5"/>
      <c r="H2" s="3" t="s">
        <v>74</v>
      </c>
      <c r="I2" s="3" t="s">
        <v>66</v>
      </c>
      <c r="J2" s="3" t="s">
        <v>169</v>
      </c>
      <c r="K2" s="3" t="s">
        <v>169</v>
      </c>
      <c r="L2" s="3" t="s">
        <v>123</v>
      </c>
    </row>
    <row r="3" spans="1:12">
      <c r="A3" s="3" t="s">
        <v>206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342</v>
      </c>
      <c r="G3" s="5"/>
      <c r="H3" s="3" t="s">
        <v>75</v>
      </c>
      <c r="I3" s="3" t="s">
        <v>67</v>
      </c>
      <c r="J3" s="3" t="s">
        <v>170</v>
      </c>
      <c r="K3" s="3" t="s">
        <v>170</v>
      </c>
      <c r="L3" s="3" t="s">
        <v>118</v>
      </c>
    </row>
    <row r="4" spans="1:12">
      <c r="A4" s="3" t="s">
        <v>208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345</v>
      </c>
      <c r="G4" s="5"/>
      <c r="H4" s="3" t="s">
        <v>76</v>
      </c>
      <c r="I4" s="3" t="s">
        <v>159</v>
      </c>
      <c r="J4" s="3" t="s">
        <v>93</v>
      </c>
      <c r="K4" s="3" t="s">
        <v>93</v>
      </c>
      <c r="L4" s="3" t="s">
        <v>119</v>
      </c>
    </row>
    <row r="5" spans="1:12">
      <c r="A5" s="3" t="s">
        <v>209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345</v>
      </c>
      <c r="G5" s="5"/>
      <c r="H5" s="3" t="s">
        <v>77</v>
      </c>
      <c r="I5" s="3" t="s">
        <v>160</v>
      </c>
      <c r="J5" s="3" t="s">
        <v>171</v>
      </c>
      <c r="K5" s="3" t="s">
        <v>171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345</v>
      </c>
      <c r="G6" s="5"/>
      <c r="H6" s="3" t="s">
        <v>78</v>
      </c>
      <c r="I6" s="3" t="s">
        <v>161</v>
      </c>
      <c r="J6" s="3" t="s">
        <v>172</v>
      </c>
      <c r="K6" s="3" t="s">
        <v>172</v>
      </c>
      <c r="L6" s="8"/>
    </row>
    <row r="7" spans="1:12">
      <c r="A7" s="3" t="s">
        <v>210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345</v>
      </c>
      <c r="G7" s="5"/>
      <c r="H7" s="3" t="s">
        <v>79</v>
      </c>
      <c r="I7" s="3" t="s">
        <v>167</v>
      </c>
      <c r="J7" s="3" t="s">
        <v>94</v>
      </c>
      <c r="K7" s="3" t="s">
        <v>94</v>
      </c>
      <c r="L7" s="5"/>
    </row>
    <row r="8" spans="1:12">
      <c r="A8" s="3" t="s">
        <v>211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345</v>
      </c>
      <c r="G8" s="5"/>
      <c r="H8" s="3" t="s">
        <v>80</v>
      </c>
      <c r="I8" s="3" t="s">
        <v>162</v>
      </c>
      <c r="J8" s="3" t="s">
        <v>173</v>
      </c>
      <c r="K8" s="3" t="s">
        <v>173</v>
      </c>
      <c r="L8" s="5"/>
    </row>
    <row r="9" spans="1:12">
      <c r="A9" s="3" t="s">
        <v>212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345</v>
      </c>
      <c r="G9" s="5"/>
      <c r="H9" s="3" t="s">
        <v>81</v>
      </c>
      <c r="I9" s="3" t="s">
        <v>68</v>
      </c>
      <c r="J9" s="3" t="s">
        <v>174</v>
      </c>
      <c r="K9" s="3" t="s">
        <v>174</v>
      </c>
      <c r="L9" s="5"/>
    </row>
    <row r="10" spans="1:12">
      <c r="A10" s="3" t="s">
        <v>213</v>
      </c>
      <c r="B10" s="3" t="s">
        <v>17</v>
      </c>
      <c r="C10" s="3" t="s">
        <v>21</v>
      </c>
      <c r="D10" s="3" t="s">
        <v>216</v>
      </c>
      <c r="E10" s="3">
        <v>4</v>
      </c>
      <c r="F10" s="7" t="s">
        <v>345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214</v>
      </c>
      <c r="B11" s="3" t="s">
        <v>17</v>
      </c>
      <c r="C11" s="3" t="s">
        <v>21</v>
      </c>
      <c r="D11" s="3" t="s">
        <v>216</v>
      </c>
      <c r="E11" s="3">
        <v>4</v>
      </c>
      <c r="F11" s="7" t="s">
        <v>345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215</v>
      </c>
      <c r="B12" s="3" t="s">
        <v>17</v>
      </c>
      <c r="C12" s="3" t="s">
        <v>21</v>
      </c>
      <c r="D12" s="3" t="s">
        <v>216</v>
      </c>
      <c r="E12" s="3">
        <v>4</v>
      </c>
      <c r="F12" s="7" t="s">
        <v>345</v>
      </c>
      <c r="G12" s="5"/>
      <c r="H12" s="3" t="s">
        <v>84</v>
      </c>
      <c r="I12" s="3" t="s">
        <v>163</v>
      </c>
      <c r="J12" s="3" t="s">
        <v>96</v>
      </c>
      <c r="K12" s="3" t="s">
        <v>96</v>
      </c>
      <c r="L12" s="5"/>
    </row>
    <row r="13" spans="1:12">
      <c r="A13" s="3" t="s">
        <v>217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342</v>
      </c>
      <c r="G13" s="5"/>
      <c r="H13" s="3" t="s">
        <v>85</v>
      </c>
      <c r="I13" s="3" t="s">
        <v>71</v>
      </c>
      <c r="J13" s="3" t="s">
        <v>175</v>
      </c>
      <c r="K13" s="3" t="s">
        <v>175</v>
      </c>
      <c r="L13" s="5"/>
    </row>
    <row r="14" spans="1:12">
      <c r="A14" s="3" t="s">
        <v>219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342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220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345</v>
      </c>
      <c r="G15" s="5"/>
      <c r="H15" s="3" t="s">
        <v>87</v>
      </c>
      <c r="I15" s="3" t="s">
        <v>164</v>
      </c>
      <c r="J15" s="3" t="s">
        <v>176</v>
      </c>
      <c r="K15" s="3" t="s">
        <v>176</v>
      </c>
      <c r="L15" s="5"/>
    </row>
    <row r="16" spans="1:12">
      <c r="A16" s="3" t="s">
        <v>221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345</v>
      </c>
      <c r="G16" s="5"/>
      <c r="H16" s="3" t="s">
        <v>88</v>
      </c>
      <c r="I16" s="3" t="s">
        <v>165</v>
      </c>
      <c r="J16" s="3" t="s">
        <v>177</v>
      </c>
      <c r="K16" s="3" t="s">
        <v>177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345</v>
      </c>
      <c r="G17" s="5"/>
      <c r="H17" s="3" t="s">
        <v>89</v>
      </c>
      <c r="I17" s="3" t="s">
        <v>166</v>
      </c>
      <c r="J17" s="3" t="s">
        <v>178</v>
      </c>
      <c r="K17" s="3" t="s">
        <v>178</v>
      </c>
      <c r="L17" s="5"/>
    </row>
    <row r="18" spans="1:12">
      <c r="A18" s="3" t="s">
        <v>222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345</v>
      </c>
      <c r="G18" s="5"/>
      <c r="H18" s="3" t="s">
        <v>90</v>
      </c>
      <c r="I18" s="3" t="s">
        <v>168</v>
      </c>
      <c r="J18" s="3" t="s">
        <v>179</v>
      </c>
      <c r="K18" s="3" t="s">
        <v>179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345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345</v>
      </c>
      <c r="G20" s="5"/>
      <c r="J20" s="3" t="s">
        <v>180</v>
      </c>
      <c r="K20" s="3" t="s">
        <v>180</v>
      </c>
      <c r="L20" s="5"/>
    </row>
    <row r="21" spans="1:12">
      <c r="A21" s="3" t="s">
        <v>223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345</v>
      </c>
      <c r="G21" s="5"/>
      <c r="J21" s="3" t="s">
        <v>98</v>
      </c>
      <c r="K21" s="3" t="s">
        <v>98</v>
      </c>
      <c r="L21" s="5"/>
    </row>
    <row r="22" spans="1:12">
      <c r="A22" s="3" t="s">
        <v>225</v>
      </c>
      <c r="B22" s="3" t="s">
        <v>17</v>
      </c>
      <c r="C22" s="3" t="s">
        <v>5</v>
      </c>
      <c r="D22" s="3" t="s">
        <v>226</v>
      </c>
      <c r="E22" s="3">
        <v>4</v>
      </c>
      <c r="F22" s="7" t="s">
        <v>345</v>
      </c>
      <c r="G22" s="5"/>
      <c r="H22" s="3"/>
      <c r="I22" s="3"/>
      <c r="J22" s="3" t="s">
        <v>181</v>
      </c>
      <c r="K22" s="3" t="s">
        <v>181</v>
      </c>
      <c r="L22" s="5"/>
    </row>
    <row r="23" spans="1:12">
      <c r="A23" s="3" t="s">
        <v>227</v>
      </c>
      <c r="B23" s="3" t="s">
        <v>17</v>
      </c>
      <c r="C23" s="3" t="s">
        <v>5</v>
      </c>
      <c r="D23" s="3" t="s">
        <v>216</v>
      </c>
      <c r="E23" s="3">
        <v>4</v>
      </c>
      <c r="F23" s="7" t="s">
        <v>345</v>
      </c>
      <c r="G23" s="5"/>
      <c r="H23" s="3"/>
      <c r="I23" s="3"/>
      <c r="J23" s="3" t="s">
        <v>182</v>
      </c>
      <c r="K23" s="3" t="s">
        <v>182</v>
      </c>
      <c r="L23" s="5"/>
    </row>
    <row r="24" spans="1:12">
      <c r="A24" s="3" t="s">
        <v>228</v>
      </c>
      <c r="B24" s="3" t="s">
        <v>17</v>
      </c>
      <c r="C24" s="3" t="s">
        <v>5</v>
      </c>
      <c r="D24" s="3" t="s">
        <v>216</v>
      </c>
      <c r="E24" s="3">
        <v>4</v>
      </c>
      <c r="F24" s="7" t="s">
        <v>345</v>
      </c>
      <c r="G24" s="5"/>
      <c r="H24" s="3"/>
      <c r="I24" s="3"/>
      <c r="J24" s="3" t="s">
        <v>183</v>
      </c>
      <c r="K24" s="3" t="s">
        <v>183</v>
      </c>
      <c r="L24" s="5"/>
    </row>
    <row r="25" spans="1:12">
      <c r="A25" s="3" t="s">
        <v>229</v>
      </c>
      <c r="B25" s="3" t="s">
        <v>17</v>
      </c>
      <c r="C25" s="3" t="s">
        <v>5</v>
      </c>
      <c r="D25" s="3" t="s">
        <v>216</v>
      </c>
      <c r="E25" s="3">
        <v>4</v>
      </c>
      <c r="F25" s="7" t="s">
        <v>345</v>
      </c>
      <c r="G25" s="5"/>
      <c r="H25" s="3"/>
      <c r="I25" s="3"/>
      <c r="J25" s="3" t="s">
        <v>184</v>
      </c>
      <c r="K25" s="3" t="s">
        <v>184</v>
      </c>
      <c r="L25" s="5"/>
    </row>
    <row r="26" spans="1:12">
      <c r="A26" s="3" t="s">
        <v>224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342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230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345</v>
      </c>
      <c r="G27" s="5"/>
      <c r="H27" s="5"/>
      <c r="I27" s="5"/>
      <c r="J27" s="3" t="s">
        <v>185</v>
      </c>
      <c r="K27" s="3" t="s">
        <v>185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345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345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345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345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231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345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232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345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233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345</v>
      </c>
      <c r="G34" s="5"/>
      <c r="H34" s="5"/>
      <c r="I34" s="5"/>
      <c r="J34" s="3" t="s">
        <v>186</v>
      </c>
      <c r="K34" s="3" t="s">
        <v>186</v>
      </c>
      <c r="L34" s="5"/>
    </row>
    <row r="35" spans="1:12">
      <c r="A35" s="3" t="s">
        <v>234</v>
      </c>
      <c r="B35" s="3" t="s">
        <v>17</v>
      </c>
      <c r="C35" s="3" t="s">
        <v>6</v>
      </c>
      <c r="D35" s="3" t="s">
        <v>226</v>
      </c>
      <c r="E35" s="3">
        <v>4</v>
      </c>
      <c r="F35" s="7" t="s">
        <v>345</v>
      </c>
      <c r="G35" s="5"/>
      <c r="H35" s="5"/>
      <c r="I35" s="5"/>
      <c r="J35" s="3" t="s">
        <v>187</v>
      </c>
      <c r="K35" s="3" t="s">
        <v>187</v>
      </c>
      <c r="L35" s="5"/>
    </row>
    <row r="36" spans="1:12">
      <c r="A36" s="3" t="s">
        <v>235</v>
      </c>
      <c r="B36" s="3" t="s">
        <v>17</v>
      </c>
      <c r="C36" s="3" t="s">
        <v>6</v>
      </c>
      <c r="D36" s="3" t="s">
        <v>216</v>
      </c>
      <c r="E36" s="3">
        <v>4</v>
      </c>
      <c r="F36" s="7" t="s">
        <v>345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236</v>
      </c>
      <c r="B37" s="3" t="s">
        <v>17</v>
      </c>
      <c r="C37" s="3" t="s">
        <v>6</v>
      </c>
      <c r="D37" s="3" t="s">
        <v>216</v>
      </c>
      <c r="E37" s="3">
        <v>4</v>
      </c>
      <c r="F37" s="7" t="s">
        <v>345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237</v>
      </c>
      <c r="B38" s="3" t="s">
        <v>17</v>
      </c>
      <c r="C38" s="3" t="s">
        <v>6</v>
      </c>
      <c r="D38" s="3" t="s">
        <v>216</v>
      </c>
      <c r="E38" s="3">
        <v>4</v>
      </c>
      <c r="F38" s="7" t="s">
        <v>345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238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369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239</v>
      </c>
      <c r="B40" s="3" t="s">
        <v>17</v>
      </c>
      <c r="C40" s="3" t="s">
        <v>7</v>
      </c>
      <c r="D40" s="3" t="s">
        <v>240</v>
      </c>
      <c r="E40" s="3">
        <v>3</v>
      </c>
      <c r="F40" s="7" t="s">
        <v>369</v>
      </c>
      <c r="G40" s="5"/>
      <c r="H40" s="5"/>
      <c r="I40" s="5"/>
      <c r="J40" s="3" t="s">
        <v>189</v>
      </c>
      <c r="K40" s="3" t="s">
        <v>189</v>
      </c>
      <c r="L40" s="5"/>
    </row>
    <row r="41" spans="1:12" ht="17.25" customHeight="1">
      <c r="A41" s="3" t="s">
        <v>241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342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242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342</v>
      </c>
      <c r="G42" s="5"/>
      <c r="H42" s="5"/>
      <c r="I42" s="5"/>
      <c r="J42" s="3" t="s">
        <v>190</v>
      </c>
      <c r="K42" s="3" t="s">
        <v>190</v>
      </c>
      <c r="L42" s="5"/>
    </row>
    <row r="43" spans="1:12" ht="17.25" customHeight="1">
      <c r="A43" s="3" t="s">
        <v>254</v>
      </c>
      <c r="B43" s="3" t="s">
        <v>17</v>
      </c>
      <c r="C43" s="3" t="s">
        <v>25</v>
      </c>
      <c r="D43" s="3" t="s">
        <v>258</v>
      </c>
      <c r="E43" s="3">
        <v>4</v>
      </c>
      <c r="F43" s="7" t="s">
        <v>345</v>
      </c>
      <c r="G43" s="5"/>
      <c r="H43" s="5"/>
      <c r="I43" s="5"/>
      <c r="J43" s="3" t="s">
        <v>191</v>
      </c>
      <c r="K43" s="3" t="s">
        <v>191</v>
      </c>
      <c r="L43" s="5"/>
    </row>
    <row r="44" spans="1:12" ht="17.25" customHeight="1">
      <c r="A44" s="3" t="s">
        <v>255</v>
      </c>
      <c r="B44" s="3" t="s">
        <v>17</v>
      </c>
      <c r="C44" s="3" t="s">
        <v>25</v>
      </c>
      <c r="D44" s="3" t="s">
        <v>258</v>
      </c>
      <c r="E44" s="3">
        <v>4</v>
      </c>
      <c r="F44" s="7" t="s">
        <v>345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256</v>
      </c>
      <c r="B45" s="3" t="s">
        <v>17</v>
      </c>
      <c r="C45" s="3" t="s">
        <v>25</v>
      </c>
      <c r="D45" s="3" t="s">
        <v>258</v>
      </c>
      <c r="E45" s="3">
        <v>4</v>
      </c>
      <c r="F45" s="7" t="s">
        <v>345</v>
      </c>
      <c r="G45" s="5"/>
      <c r="H45" s="5"/>
      <c r="I45" s="5"/>
      <c r="J45" s="3" t="s">
        <v>192</v>
      </c>
      <c r="K45" s="3" t="s">
        <v>192</v>
      </c>
      <c r="L45" s="5"/>
    </row>
    <row r="46" spans="1:12" ht="17.25" customHeight="1">
      <c r="A46" s="3" t="s">
        <v>257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345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243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345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244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345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245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345</v>
      </c>
      <c r="G49" s="5"/>
      <c r="H49" s="5"/>
      <c r="I49" s="5"/>
      <c r="J49" s="5" t="s">
        <v>193</v>
      </c>
      <c r="K49" s="5" t="s">
        <v>193</v>
      </c>
      <c r="L49" s="5"/>
    </row>
    <row r="50" spans="1:12">
      <c r="A50" s="3" t="s">
        <v>246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345</v>
      </c>
      <c r="G50" s="5"/>
      <c r="H50" s="5"/>
      <c r="I50" s="5"/>
      <c r="J50" s="5" t="s">
        <v>194</v>
      </c>
      <c r="K50" s="5" t="s">
        <v>194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345</v>
      </c>
      <c r="G51" s="5"/>
      <c r="H51" s="5"/>
      <c r="I51" s="5"/>
      <c r="J51" s="5" t="s">
        <v>195</v>
      </c>
      <c r="K51" s="5" t="s">
        <v>195</v>
      </c>
      <c r="L51" s="5"/>
    </row>
    <row r="52" spans="1:12">
      <c r="A52" s="3" t="s">
        <v>247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345</v>
      </c>
      <c r="G52" s="5"/>
      <c r="H52" s="5"/>
      <c r="I52" s="5"/>
      <c r="J52" s="5" t="s">
        <v>196</v>
      </c>
      <c r="K52" s="5" t="s">
        <v>196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345</v>
      </c>
      <c r="G53" s="5"/>
      <c r="H53" s="5"/>
      <c r="I53" s="5"/>
      <c r="J53" s="5" t="s">
        <v>197</v>
      </c>
      <c r="K53" s="5" t="s">
        <v>197</v>
      </c>
      <c r="L53" s="5"/>
    </row>
    <row r="54" spans="1:12">
      <c r="A54" s="3" t="s">
        <v>248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345</v>
      </c>
      <c r="G54" s="5"/>
      <c r="H54" s="5"/>
      <c r="I54" s="5"/>
      <c r="J54" s="5" t="s">
        <v>198</v>
      </c>
      <c r="K54" s="5" t="s">
        <v>198</v>
      </c>
      <c r="L54" s="5"/>
    </row>
    <row r="55" spans="1:12">
      <c r="A55" s="3" t="s">
        <v>249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345</v>
      </c>
      <c r="G55" s="5"/>
      <c r="H55" s="5"/>
      <c r="I55" s="5"/>
      <c r="J55" s="5" t="s">
        <v>200</v>
      </c>
      <c r="K55" s="5" t="s">
        <v>200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216</v>
      </c>
      <c r="E56" s="3">
        <v>4</v>
      </c>
      <c r="F56" s="7" t="s">
        <v>345</v>
      </c>
      <c r="G56" s="5"/>
      <c r="H56" s="5"/>
      <c r="I56" s="5"/>
      <c r="J56" s="5" t="s">
        <v>199</v>
      </c>
      <c r="K56" s="5" t="s">
        <v>199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216</v>
      </c>
      <c r="E57" s="3">
        <v>4</v>
      </c>
      <c r="F57" s="7" t="s">
        <v>345</v>
      </c>
      <c r="G57" s="5"/>
      <c r="H57" s="5"/>
      <c r="I57" s="5"/>
      <c r="J57" s="5" t="s">
        <v>201</v>
      </c>
      <c r="K57" s="5" t="s">
        <v>201</v>
      </c>
      <c r="L57" s="5"/>
    </row>
    <row r="58" spans="1:12">
      <c r="A58" s="3" t="s">
        <v>250</v>
      </c>
      <c r="B58" s="3" t="s">
        <v>17</v>
      </c>
      <c r="C58" s="3" t="s">
        <v>25</v>
      </c>
      <c r="D58" s="3" t="s">
        <v>216</v>
      </c>
      <c r="E58" s="3">
        <v>4</v>
      </c>
      <c r="F58" s="7" t="s">
        <v>345</v>
      </c>
      <c r="G58" s="5"/>
      <c r="H58" s="5"/>
      <c r="I58" s="5"/>
      <c r="J58" s="5" t="s">
        <v>202</v>
      </c>
      <c r="K58" s="5" t="s">
        <v>202</v>
      </c>
      <c r="L58" s="5"/>
    </row>
    <row r="59" spans="1:12">
      <c r="A59" s="3" t="s">
        <v>251</v>
      </c>
      <c r="B59" s="3" t="s">
        <v>17</v>
      </c>
      <c r="C59" s="3" t="s">
        <v>25</v>
      </c>
      <c r="D59" s="3" t="s">
        <v>216</v>
      </c>
      <c r="E59" s="3">
        <v>4</v>
      </c>
      <c r="F59" s="7" t="s">
        <v>345</v>
      </c>
      <c r="G59" s="5"/>
      <c r="H59" s="5"/>
      <c r="I59" s="5"/>
      <c r="J59" s="5" t="s">
        <v>203</v>
      </c>
      <c r="K59" s="5" t="s">
        <v>203</v>
      </c>
      <c r="L59" s="5"/>
    </row>
    <row r="60" spans="1:12">
      <c r="A60" s="3" t="s">
        <v>252</v>
      </c>
      <c r="B60" s="3" t="s">
        <v>17</v>
      </c>
      <c r="C60" s="3" t="s">
        <v>25</v>
      </c>
      <c r="D60" s="3" t="s">
        <v>216</v>
      </c>
      <c r="E60" s="3">
        <v>4</v>
      </c>
      <c r="F60" s="7" t="s">
        <v>345</v>
      </c>
      <c r="G60" s="5"/>
      <c r="H60" s="5"/>
      <c r="I60" s="5"/>
      <c r="J60" s="3"/>
      <c r="K60" s="3"/>
      <c r="L60" s="5"/>
    </row>
    <row r="61" spans="1:12">
      <c r="A61" s="3" t="s">
        <v>253</v>
      </c>
      <c r="B61" s="3" t="s">
        <v>17</v>
      </c>
      <c r="C61" s="3" t="s">
        <v>25</v>
      </c>
      <c r="D61" s="3" t="s">
        <v>216</v>
      </c>
      <c r="E61" s="3">
        <v>4</v>
      </c>
      <c r="F61" s="7" t="s">
        <v>345</v>
      </c>
      <c r="G61" s="5"/>
      <c r="H61" s="5"/>
      <c r="I61" s="5"/>
      <c r="J61" s="3"/>
      <c r="K61" s="3"/>
      <c r="L61" s="5"/>
    </row>
    <row r="62" spans="1:12">
      <c r="A62" s="3" t="s">
        <v>259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342</v>
      </c>
      <c r="G62" s="5"/>
      <c r="H62" s="5"/>
      <c r="I62" s="5"/>
      <c r="L62" s="5"/>
    </row>
    <row r="63" spans="1:12">
      <c r="A63" s="3" t="s">
        <v>260</v>
      </c>
      <c r="B63" s="3" t="s">
        <v>17</v>
      </c>
      <c r="C63" s="3" t="s">
        <v>26</v>
      </c>
      <c r="D63" s="3" t="s">
        <v>240</v>
      </c>
      <c r="E63" s="3">
        <v>4</v>
      </c>
      <c r="F63" s="7" t="s">
        <v>342</v>
      </c>
      <c r="G63" s="5"/>
      <c r="H63" s="5"/>
      <c r="I63" s="5"/>
      <c r="J63" s="3"/>
      <c r="K63" s="3"/>
      <c r="L63" s="5"/>
    </row>
    <row r="64" spans="1:12">
      <c r="A64" s="3" t="s">
        <v>261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342</v>
      </c>
      <c r="G64" s="5"/>
      <c r="H64" s="5"/>
      <c r="I64" s="5"/>
      <c r="L64" s="5"/>
    </row>
    <row r="65" spans="1:12">
      <c r="A65" s="3" t="s">
        <v>262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342</v>
      </c>
      <c r="G65" s="5"/>
      <c r="H65" s="5"/>
      <c r="I65" s="5"/>
      <c r="J65" s="3"/>
      <c r="K65" s="3"/>
      <c r="L65" s="5"/>
    </row>
    <row r="66" spans="1:12">
      <c r="A66" s="3" t="s">
        <v>263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345</v>
      </c>
      <c r="G66" s="5"/>
      <c r="H66" s="5"/>
      <c r="I66" s="5"/>
      <c r="J66" s="3"/>
      <c r="K66" s="3"/>
      <c r="L66" s="5"/>
    </row>
    <row r="67" spans="1:12">
      <c r="A67" s="3" t="s">
        <v>264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345</v>
      </c>
      <c r="G67" s="5"/>
      <c r="H67" s="5"/>
      <c r="I67" s="5"/>
      <c r="J67" s="3"/>
      <c r="K67" s="3"/>
      <c r="L67" s="5"/>
    </row>
    <row r="68" spans="1:12">
      <c r="A68" s="3" t="s">
        <v>265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345</v>
      </c>
      <c r="G68" s="5"/>
      <c r="H68" s="5"/>
      <c r="I68" s="5"/>
      <c r="J68" s="3"/>
      <c r="K68" s="3"/>
      <c r="L68" s="5"/>
    </row>
    <row r="69" spans="1:12">
      <c r="A69" s="3" t="s">
        <v>266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345</v>
      </c>
      <c r="G69" s="5"/>
      <c r="H69" s="5"/>
      <c r="I69" s="5"/>
      <c r="L69" s="5"/>
    </row>
    <row r="70" spans="1:12">
      <c r="A70" s="3" t="s">
        <v>267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345</v>
      </c>
      <c r="G70" s="5"/>
      <c r="H70" s="5"/>
      <c r="I70" s="5"/>
      <c r="L70" s="5"/>
    </row>
    <row r="71" spans="1:12">
      <c r="A71" s="3" t="s">
        <v>268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345</v>
      </c>
      <c r="G71" s="5"/>
      <c r="H71" s="5"/>
      <c r="I71" s="5"/>
      <c r="L71" s="5"/>
    </row>
    <row r="72" spans="1:12">
      <c r="A72" s="3" t="s">
        <v>269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345</v>
      </c>
      <c r="G72" s="5"/>
      <c r="H72" s="5"/>
      <c r="I72" s="5"/>
      <c r="L72" s="5"/>
    </row>
    <row r="73" spans="1:12">
      <c r="A73" s="3" t="s">
        <v>270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345</v>
      </c>
      <c r="G73" s="5"/>
      <c r="H73" s="5"/>
      <c r="I73" s="5"/>
      <c r="L73" s="5"/>
    </row>
    <row r="74" spans="1:12">
      <c r="A74" s="3" t="s">
        <v>271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345</v>
      </c>
      <c r="G74" s="5"/>
      <c r="H74" s="5"/>
      <c r="I74" s="5"/>
      <c r="L74" s="5"/>
    </row>
    <row r="75" spans="1:12">
      <c r="A75" s="3" t="s">
        <v>272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345</v>
      </c>
      <c r="G75" s="5"/>
      <c r="H75" s="5"/>
      <c r="I75" s="5"/>
      <c r="L75" s="5"/>
    </row>
    <row r="76" spans="1:12">
      <c r="A76" s="3" t="s">
        <v>273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345</v>
      </c>
      <c r="G76" s="5"/>
      <c r="H76" s="5"/>
      <c r="I76" s="5"/>
      <c r="L76" s="5"/>
    </row>
    <row r="77" spans="1:12">
      <c r="A77" s="3" t="s">
        <v>274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345</v>
      </c>
      <c r="G77" s="5"/>
      <c r="H77" s="5"/>
      <c r="I77" s="5"/>
      <c r="L77" s="5"/>
    </row>
    <row r="78" spans="1:12">
      <c r="A78" s="3" t="s">
        <v>275</v>
      </c>
      <c r="B78" s="3" t="s">
        <v>17</v>
      </c>
      <c r="C78" s="3" t="s">
        <v>26</v>
      </c>
      <c r="D78" s="3" t="s">
        <v>278</v>
      </c>
      <c r="E78" s="3">
        <v>4</v>
      </c>
      <c r="F78" s="7" t="s">
        <v>345</v>
      </c>
      <c r="G78" s="5"/>
      <c r="H78" s="5"/>
      <c r="I78" s="5"/>
      <c r="L78" s="5"/>
    </row>
    <row r="79" spans="1:12">
      <c r="A79" s="3" t="s">
        <v>276</v>
      </c>
      <c r="B79" s="3" t="s">
        <v>17</v>
      </c>
      <c r="C79" s="3" t="s">
        <v>26</v>
      </c>
      <c r="D79" s="3" t="s">
        <v>216</v>
      </c>
      <c r="E79" s="3">
        <v>4</v>
      </c>
      <c r="F79" s="7" t="s">
        <v>345</v>
      </c>
      <c r="G79" s="5"/>
      <c r="H79" s="5"/>
      <c r="I79" s="5"/>
      <c r="L79" s="5"/>
    </row>
    <row r="80" spans="1:12">
      <c r="A80" s="3" t="s">
        <v>277</v>
      </c>
      <c r="B80" s="3" t="s">
        <v>17</v>
      </c>
      <c r="C80" s="3" t="s">
        <v>26</v>
      </c>
      <c r="D80" s="3" t="s">
        <v>216</v>
      </c>
      <c r="E80" s="3">
        <v>4</v>
      </c>
      <c r="F80" s="7" t="s">
        <v>345</v>
      </c>
      <c r="G80" s="5"/>
      <c r="H80" s="5"/>
      <c r="I80" s="5"/>
      <c r="L80" s="5"/>
    </row>
    <row r="81" spans="1:12">
      <c r="A81" s="3" t="s">
        <v>279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352</v>
      </c>
      <c r="G81" s="5"/>
      <c r="H81" s="5"/>
      <c r="I81" s="5"/>
      <c r="L81" s="5"/>
    </row>
    <row r="82" spans="1:12">
      <c r="A82" s="3" t="s">
        <v>280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352</v>
      </c>
      <c r="G82" s="5"/>
      <c r="H82" s="5"/>
      <c r="I82" s="5"/>
      <c r="L82" s="5"/>
    </row>
    <row r="83" spans="1:12">
      <c r="A83" s="3" t="s">
        <v>281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352</v>
      </c>
      <c r="G83" s="5"/>
      <c r="H83" s="5"/>
      <c r="I83" s="5"/>
      <c r="L83" s="5"/>
    </row>
    <row r="84" spans="1:12">
      <c r="A84" s="3" t="s">
        <v>282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352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354</v>
      </c>
      <c r="G85" s="5"/>
      <c r="H85" s="5"/>
      <c r="I85" s="5"/>
      <c r="J85" s="5"/>
      <c r="K85" s="5"/>
      <c r="L85" s="5"/>
    </row>
    <row r="86" spans="1:12">
      <c r="A86" s="3" t="s">
        <v>283</v>
      </c>
      <c r="B86" s="3" t="s">
        <v>17</v>
      </c>
      <c r="C86" s="3" t="s">
        <v>8</v>
      </c>
      <c r="D86" s="3" t="s">
        <v>216</v>
      </c>
      <c r="E86" s="3">
        <v>3</v>
      </c>
      <c r="F86" s="7" t="s">
        <v>352</v>
      </c>
      <c r="G86" s="5"/>
      <c r="H86" s="5"/>
      <c r="I86" s="5"/>
      <c r="J86" s="5"/>
      <c r="K86" s="5"/>
      <c r="L86" s="5"/>
    </row>
    <row r="87" spans="1:12">
      <c r="A87" s="3" t="s">
        <v>284</v>
      </c>
      <c r="B87" s="3" t="s">
        <v>17</v>
      </c>
      <c r="C87" s="3" t="s">
        <v>8</v>
      </c>
      <c r="D87" s="3" t="s">
        <v>216</v>
      </c>
      <c r="E87" s="3">
        <v>2</v>
      </c>
      <c r="F87" s="7" t="s">
        <v>354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352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352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352</v>
      </c>
      <c r="G90" s="5"/>
      <c r="H90" s="5"/>
      <c r="I90" s="5"/>
      <c r="J90" s="5"/>
      <c r="K90" s="5"/>
      <c r="L90" s="5"/>
    </row>
    <row r="91" spans="1:12">
      <c r="A91" s="3" t="s">
        <v>285</v>
      </c>
      <c r="B91" s="3" t="s">
        <v>17</v>
      </c>
      <c r="C91" s="3" t="s">
        <v>28</v>
      </c>
      <c r="D91" s="3" t="s">
        <v>226</v>
      </c>
      <c r="E91" s="3">
        <v>3</v>
      </c>
      <c r="F91" s="7" t="s">
        <v>352</v>
      </c>
      <c r="G91" s="5"/>
      <c r="H91" s="5"/>
      <c r="I91" s="5"/>
      <c r="J91" s="5"/>
      <c r="K91" s="5"/>
      <c r="L91" s="5"/>
    </row>
    <row r="92" spans="1:12">
      <c r="A92" s="3" t="s">
        <v>286</v>
      </c>
      <c r="B92" s="3" t="s">
        <v>17</v>
      </c>
      <c r="C92" s="3" t="s">
        <v>28</v>
      </c>
      <c r="D92" s="3" t="s">
        <v>226</v>
      </c>
      <c r="E92" s="3">
        <v>3</v>
      </c>
      <c r="F92" s="7" t="s">
        <v>352</v>
      </c>
      <c r="G92" s="5"/>
      <c r="H92" s="5"/>
      <c r="I92" s="5"/>
      <c r="J92" s="5"/>
      <c r="K92" s="5"/>
      <c r="L92" s="5"/>
    </row>
    <row r="93" spans="1:12">
      <c r="A93" s="3" t="s">
        <v>287</v>
      </c>
      <c r="B93" s="3" t="s">
        <v>17</v>
      </c>
      <c r="C93" s="3" t="s">
        <v>28</v>
      </c>
      <c r="D93" s="3" t="s">
        <v>226</v>
      </c>
      <c r="E93" s="3">
        <v>3</v>
      </c>
      <c r="F93" s="7" t="s">
        <v>352</v>
      </c>
      <c r="G93" s="5"/>
      <c r="H93" s="5"/>
      <c r="I93" s="5"/>
      <c r="J93" s="5"/>
      <c r="K93" s="5"/>
      <c r="L93" s="5"/>
    </row>
    <row r="94" spans="1:12">
      <c r="A94" s="3" t="s">
        <v>288</v>
      </c>
      <c r="B94" s="3" t="s">
        <v>17</v>
      </c>
      <c r="C94" s="3" t="s">
        <v>28</v>
      </c>
      <c r="D94" s="3" t="s">
        <v>226</v>
      </c>
      <c r="E94" s="3">
        <v>3</v>
      </c>
      <c r="F94" s="7" t="s">
        <v>352</v>
      </c>
      <c r="G94" s="5"/>
      <c r="H94" s="5"/>
      <c r="I94" s="5"/>
      <c r="J94" s="5"/>
      <c r="K94" s="5"/>
      <c r="L94" s="5"/>
    </row>
    <row r="95" spans="1:12">
      <c r="A95" s="3" t="s">
        <v>289</v>
      </c>
      <c r="B95" s="3" t="s">
        <v>17</v>
      </c>
      <c r="C95" s="3" t="s">
        <v>28</v>
      </c>
      <c r="D95" s="3" t="s">
        <v>216</v>
      </c>
      <c r="E95" s="3">
        <v>3</v>
      </c>
      <c r="F95" s="7" t="s">
        <v>352</v>
      </c>
      <c r="G95" s="5"/>
      <c r="H95" s="5"/>
      <c r="I95" s="5"/>
      <c r="J95" s="5"/>
      <c r="K95" s="5"/>
      <c r="L95" s="5"/>
    </row>
    <row r="96" spans="1:12">
      <c r="A96" s="3" t="s">
        <v>290</v>
      </c>
      <c r="B96" s="3" t="s">
        <v>17</v>
      </c>
      <c r="C96" s="3" t="s">
        <v>28</v>
      </c>
      <c r="D96" s="3" t="s">
        <v>216</v>
      </c>
      <c r="E96" s="3">
        <v>3</v>
      </c>
      <c r="F96" s="7" t="s">
        <v>352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345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345</v>
      </c>
      <c r="G98" s="5"/>
      <c r="H98" s="5"/>
      <c r="I98" s="5"/>
      <c r="J98" s="5"/>
      <c r="K98" s="5"/>
      <c r="L98" s="5"/>
    </row>
    <row r="99" spans="1:12">
      <c r="A99" s="3" t="s">
        <v>291</v>
      </c>
      <c r="B99" s="3" t="s">
        <v>17</v>
      </c>
      <c r="C99" s="3" t="s">
        <v>10</v>
      </c>
      <c r="D99" s="3" t="s">
        <v>226</v>
      </c>
      <c r="E99" s="3">
        <v>4</v>
      </c>
      <c r="F99" s="7" t="s">
        <v>345</v>
      </c>
      <c r="G99" s="5"/>
      <c r="H99" s="5"/>
      <c r="I99" s="5"/>
      <c r="J99" s="5"/>
      <c r="K99" s="5"/>
      <c r="L99" s="5"/>
    </row>
    <row r="100" spans="1:12">
      <c r="A100" s="3" t="s">
        <v>292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345</v>
      </c>
      <c r="G100" s="5"/>
      <c r="H100" s="5"/>
      <c r="I100" s="5"/>
      <c r="J100" s="5"/>
      <c r="K100" s="5"/>
      <c r="L100" s="5"/>
    </row>
    <row r="101" spans="1:12">
      <c r="A101" s="3" t="s">
        <v>293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345</v>
      </c>
      <c r="G101" s="5"/>
      <c r="H101" s="5"/>
      <c r="I101" s="5"/>
      <c r="J101" s="5"/>
      <c r="K101" s="5"/>
      <c r="L101" s="5"/>
    </row>
    <row r="102" spans="1:12">
      <c r="A102" s="3" t="s">
        <v>294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345</v>
      </c>
      <c r="G102" s="5"/>
      <c r="H102" s="5"/>
      <c r="I102" s="5"/>
      <c r="J102" s="5"/>
      <c r="K102" s="5"/>
      <c r="L102" s="5"/>
    </row>
    <row r="103" spans="1:12">
      <c r="A103" s="3" t="s">
        <v>295</v>
      </c>
      <c r="B103" s="3" t="s">
        <v>17</v>
      </c>
      <c r="C103" s="3" t="s">
        <v>10</v>
      </c>
      <c r="D103" s="3" t="s">
        <v>216</v>
      </c>
      <c r="E103" s="3">
        <v>4</v>
      </c>
      <c r="F103" s="7" t="s">
        <v>345</v>
      </c>
      <c r="G103" s="5"/>
      <c r="H103" s="5"/>
      <c r="I103" s="5"/>
      <c r="J103" s="5"/>
      <c r="K103" s="5"/>
      <c r="L103" s="5"/>
    </row>
    <row r="104" spans="1:12">
      <c r="A104" s="3" t="s">
        <v>296</v>
      </c>
      <c r="B104" s="3" t="s">
        <v>17</v>
      </c>
      <c r="C104" s="3" t="s">
        <v>10</v>
      </c>
      <c r="D104" s="3" t="s">
        <v>216</v>
      </c>
      <c r="E104" s="3">
        <v>4</v>
      </c>
      <c r="F104" s="7" t="s">
        <v>345</v>
      </c>
      <c r="G104" s="5"/>
      <c r="H104" s="5"/>
      <c r="I104" s="5"/>
      <c r="J104" s="5"/>
      <c r="K104" s="5"/>
      <c r="L104" s="5"/>
    </row>
    <row r="105" spans="1:12">
      <c r="A105" s="3" t="s">
        <v>297</v>
      </c>
      <c r="B105" s="3" t="s">
        <v>17</v>
      </c>
      <c r="C105" s="3" t="s">
        <v>10</v>
      </c>
      <c r="D105" s="3" t="s">
        <v>216</v>
      </c>
      <c r="E105" s="3">
        <v>4</v>
      </c>
      <c r="F105" s="7" t="s">
        <v>345</v>
      </c>
      <c r="G105" s="5"/>
      <c r="H105" s="5"/>
      <c r="I105" s="5"/>
      <c r="J105" s="5"/>
      <c r="K105" s="5"/>
      <c r="L105" s="5"/>
    </row>
    <row r="106" spans="1:12">
      <c r="A106" s="3" t="s">
        <v>298</v>
      </c>
      <c r="B106" s="3" t="s">
        <v>17</v>
      </c>
      <c r="C106" s="3" t="s">
        <v>10</v>
      </c>
      <c r="D106" s="3" t="s">
        <v>216</v>
      </c>
      <c r="E106" s="3">
        <v>2</v>
      </c>
      <c r="F106" s="7" t="s">
        <v>354</v>
      </c>
      <c r="G106" s="5"/>
      <c r="H106" s="5"/>
      <c r="I106" s="5"/>
      <c r="J106" s="5"/>
      <c r="K106" s="5"/>
      <c r="L106" s="5"/>
    </row>
    <row r="107" spans="1:12">
      <c r="A107" s="3" t="s">
        <v>299</v>
      </c>
      <c r="B107" s="3" t="s">
        <v>17</v>
      </c>
      <c r="C107" s="3" t="s">
        <v>10</v>
      </c>
      <c r="D107" s="3" t="s">
        <v>216</v>
      </c>
      <c r="E107" s="3">
        <v>4</v>
      </c>
      <c r="F107" s="7" t="s">
        <v>345</v>
      </c>
      <c r="G107" s="5"/>
      <c r="H107" s="5"/>
      <c r="I107" s="5"/>
      <c r="J107" s="5"/>
      <c r="K107" s="5"/>
      <c r="L107" s="5"/>
    </row>
    <row r="108" spans="1:12">
      <c r="A108" s="3" t="s">
        <v>300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345</v>
      </c>
      <c r="G108" s="5"/>
      <c r="H108" s="5"/>
      <c r="I108" s="5"/>
      <c r="J108" s="5"/>
      <c r="K108" s="5"/>
      <c r="L108" s="5"/>
    </row>
    <row r="109" spans="1:12">
      <c r="A109" s="3" t="s">
        <v>301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345</v>
      </c>
      <c r="G109" s="5"/>
      <c r="H109" s="5"/>
      <c r="I109" s="5"/>
      <c r="J109" s="5"/>
      <c r="K109" s="5"/>
      <c r="L109" s="5"/>
    </row>
    <row r="110" spans="1:12">
      <c r="A110" s="3" t="s">
        <v>302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345</v>
      </c>
      <c r="G110" s="5"/>
      <c r="H110" s="5"/>
      <c r="I110" s="5"/>
      <c r="J110" s="5"/>
      <c r="K110" s="5"/>
      <c r="L110" s="5"/>
    </row>
    <row r="111" spans="1:12">
      <c r="A111" s="3" t="s">
        <v>303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345</v>
      </c>
      <c r="G111" s="5"/>
      <c r="H111" s="5"/>
      <c r="I111" s="5"/>
      <c r="J111" s="5"/>
      <c r="K111" s="5"/>
      <c r="L111" s="5"/>
    </row>
    <row r="112" spans="1:12">
      <c r="A112" s="3" t="s">
        <v>304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345</v>
      </c>
      <c r="G112" s="5"/>
      <c r="H112" s="5"/>
      <c r="I112" s="5"/>
      <c r="J112" s="5"/>
      <c r="K112" s="5"/>
      <c r="L112" s="5"/>
    </row>
    <row r="113" spans="1:12">
      <c r="A113" s="3" t="s">
        <v>305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345</v>
      </c>
      <c r="G113" s="5"/>
      <c r="H113" s="5"/>
      <c r="I113" s="5"/>
      <c r="J113" s="5"/>
      <c r="K113" s="5"/>
      <c r="L113" s="5"/>
    </row>
    <row r="114" spans="1:12">
      <c r="A114" s="3" t="s">
        <v>306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345</v>
      </c>
      <c r="G114" s="5"/>
      <c r="H114" s="5"/>
      <c r="I114" s="5"/>
      <c r="J114" s="5"/>
      <c r="K114" s="5"/>
      <c r="L114" s="5"/>
    </row>
    <row r="115" spans="1:12">
      <c r="A115" s="3" t="s">
        <v>307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345</v>
      </c>
      <c r="G115" s="5"/>
      <c r="H115" s="5"/>
      <c r="I115" s="5"/>
      <c r="J115" s="5"/>
      <c r="K115" s="5"/>
      <c r="L115" s="5"/>
    </row>
    <row r="116" spans="1:12">
      <c r="A116" s="3" t="s">
        <v>308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345</v>
      </c>
      <c r="G116" s="5"/>
      <c r="H116" s="5"/>
      <c r="I116" s="5"/>
      <c r="J116" s="5"/>
      <c r="K116" s="5"/>
      <c r="L116" s="5"/>
    </row>
    <row r="117" spans="1:12">
      <c r="A117" s="3" t="s">
        <v>309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345</v>
      </c>
      <c r="G117" s="5"/>
      <c r="H117" s="5"/>
      <c r="I117" s="5"/>
      <c r="J117" s="5"/>
      <c r="K117" s="5"/>
      <c r="L117" s="5"/>
    </row>
    <row r="118" spans="1:12">
      <c r="A118" s="3" t="s">
        <v>310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345</v>
      </c>
      <c r="G118" s="5"/>
      <c r="H118" s="5"/>
      <c r="I118" s="5"/>
      <c r="J118" s="5"/>
      <c r="K118" s="5"/>
      <c r="L118" s="5"/>
    </row>
    <row r="119" spans="1:12">
      <c r="A119" s="3" t="s">
        <v>311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345</v>
      </c>
      <c r="G119" s="5"/>
      <c r="H119" s="5"/>
      <c r="I119" s="5"/>
      <c r="J119" s="5"/>
      <c r="K119" s="5"/>
      <c r="L119" s="5"/>
    </row>
    <row r="120" spans="1:12">
      <c r="A120" s="3" t="s">
        <v>312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345</v>
      </c>
      <c r="G120" s="5"/>
      <c r="H120" s="5"/>
      <c r="I120" s="5"/>
      <c r="J120" s="5"/>
      <c r="K120" s="5"/>
      <c r="L120" s="5"/>
    </row>
    <row r="121" spans="1:12">
      <c r="A121" s="3" t="s">
        <v>313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345</v>
      </c>
      <c r="G121" s="5"/>
      <c r="H121" s="5"/>
      <c r="I121" s="5"/>
      <c r="J121" s="5"/>
      <c r="K121" s="5"/>
      <c r="L121" s="5"/>
    </row>
    <row r="122" spans="1:12">
      <c r="A122" s="3" t="s">
        <v>314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345</v>
      </c>
      <c r="G122" s="5"/>
      <c r="H122" s="5"/>
      <c r="I122" s="5"/>
      <c r="J122" s="5"/>
      <c r="K122" s="5"/>
      <c r="L122" s="5"/>
    </row>
    <row r="123" spans="1:12">
      <c r="A123" s="3" t="s">
        <v>315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345</v>
      </c>
      <c r="G123" s="5"/>
      <c r="H123" s="5"/>
      <c r="I123" s="5"/>
      <c r="J123" s="5"/>
      <c r="K123" s="5"/>
      <c r="L123" s="5"/>
    </row>
    <row r="124" spans="1:12">
      <c r="A124" s="3" t="s">
        <v>316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345</v>
      </c>
      <c r="G124" s="5"/>
      <c r="H124" s="5"/>
      <c r="I124" s="5"/>
      <c r="J124" s="5"/>
      <c r="K124" s="5"/>
      <c r="L124" s="5"/>
    </row>
    <row r="125" spans="1:12">
      <c r="A125" s="3" t="s">
        <v>317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345</v>
      </c>
      <c r="G125" s="5"/>
      <c r="H125" s="5"/>
      <c r="I125" s="5"/>
      <c r="J125" s="5"/>
      <c r="K125" s="5"/>
      <c r="L125" s="5"/>
    </row>
    <row r="126" spans="1:12">
      <c r="A126" s="3" t="s">
        <v>319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345</v>
      </c>
      <c r="G126" s="5"/>
      <c r="H126" s="5"/>
      <c r="I126" s="5"/>
      <c r="J126" s="5"/>
      <c r="K126" s="5"/>
      <c r="L126" s="5"/>
    </row>
    <row r="127" spans="1:12">
      <c r="A127" s="3" t="s">
        <v>318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345</v>
      </c>
      <c r="G127" s="5"/>
      <c r="H127" s="5"/>
      <c r="I127" s="5"/>
      <c r="J127" s="5"/>
      <c r="K127" s="5"/>
      <c r="L127" s="5"/>
    </row>
    <row r="128" spans="1:12">
      <c r="A128" s="3" t="s">
        <v>320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345</v>
      </c>
      <c r="G128" s="5"/>
      <c r="H128" s="5"/>
      <c r="I128" s="5"/>
      <c r="J128" s="5"/>
      <c r="K128" s="5"/>
      <c r="L128" s="5"/>
    </row>
    <row r="129" spans="1:12">
      <c r="A129" s="3" t="s">
        <v>321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345</v>
      </c>
      <c r="G129" s="5"/>
      <c r="H129" s="5"/>
      <c r="I129" s="5"/>
      <c r="J129" s="5"/>
      <c r="K129" s="5"/>
      <c r="L129" s="5"/>
    </row>
    <row r="130" spans="1:12">
      <c r="A130" s="3" t="s">
        <v>322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345</v>
      </c>
      <c r="G130" s="5"/>
      <c r="H130" s="5"/>
      <c r="I130" s="5"/>
      <c r="J130" s="5"/>
      <c r="K130" s="5"/>
      <c r="L130" s="5"/>
    </row>
    <row r="131" spans="1:12">
      <c r="A131" s="3" t="s">
        <v>326</v>
      </c>
      <c r="B131" s="3" t="s">
        <v>17</v>
      </c>
      <c r="C131" s="3" t="s">
        <v>30</v>
      </c>
      <c r="D131" s="3" t="s">
        <v>216</v>
      </c>
      <c r="E131" s="3">
        <v>4</v>
      </c>
      <c r="F131" s="7" t="s">
        <v>345</v>
      </c>
      <c r="G131" s="5"/>
      <c r="H131" s="5"/>
      <c r="I131" s="5"/>
      <c r="J131" s="5"/>
      <c r="K131" s="5"/>
      <c r="L131" s="5"/>
    </row>
    <row r="132" spans="1:12">
      <c r="A132" s="3" t="s">
        <v>327</v>
      </c>
      <c r="B132" s="3" t="s">
        <v>17</v>
      </c>
      <c r="C132" s="3" t="s">
        <v>30</v>
      </c>
      <c r="D132" s="3" t="s">
        <v>216</v>
      </c>
      <c r="E132" s="3">
        <v>4</v>
      </c>
      <c r="F132" s="7" t="s">
        <v>345</v>
      </c>
      <c r="G132" s="5"/>
      <c r="H132" s="5"/>
      <c r="I132" s="5"/>
      <c r="J132" s="5"/>
      <c r="K132" s="5"/>
      <c r="L132" s="5"/>
    </row>
    <row r="133" spans="1:12">
      <c r="A133" s="3" t="s">
        <v>328</v>
      </c>
      <c r="B133" s="3" t="s">
        <v>17</v>
      </c>
      <c r="C133" s="3" t="s">
        <v>30</v>
      </c>
      <c r="D133" s="3" t="s">
        <v>216</v>
      </c>
      <c r="E133" s="3">
        <v>4</v>
      </c>
      <c r="F133" s="7" t="s">
        <v>345</v>
      </c>
      <c r="G133" s="5"/>
      <c r="H133" s="5"/>
      <c r="I133" s="5"/>
      <c r="J133" s="5"/>
      <c r="K133" s="5"/>
      <c r="L133" s="5"/>
    </row>
    <row r="134" spans="1:12">
      <c r="A134" s="3" t="s">
        <v>329</v>
      </c>
      <c r="B134" s="3" t="s">
        <v>17</v>
      </c>
      <c r="C134" s="3" t="s">
        <v>30</v>
      </c>
      <c r="D134" s="3" t="s">
        <v>216</v>
      </c>
      <c r="E134" s="3">
        <v>4</v>
      </c>
      <c r="F134" s="7" t="s">
        <v>345</v>
      </c>
      <c r="G134" s="5"/>
      <c r="H134" s="5"/>
      <c r="I134" s="5"/>
      <c r="J134" s="5"/>
      <c r="K134" s="5"/>
      <c r="L134" s="5"/>
    </row>
    <row r="135" spans="1:12">
      <c r="A135" s="3" t="s">
        <v>330</v>
      </c>
      <c r="B135" s="3" t="s">
        <v>17</v>
      </c>
      <c r="C135" s="3" t="s">
        <v>30</v>
      </c>
      <c r="D135" s="3" t="s">
        <v>216</v>
      </c>
      <c r="E135" s="3">
        <v>4</v>
      </c>
      <c r="F135" s="7" t="s">
        <v>345</v>
      </c>
      <c r="G135" s="5"/>
      <c r="H135" s="5"/>
      <c r="I135" s="5"/>
      <c r="J135" s="5"/>
      <c r="K135" s="5"/>
      <c r="L135" s="5"/>
    </row>
    <row r="136" spans="1:12">
      <c r="A136" s="3" t="s">
        <v>331</v>
      </c>
      <c r="B136" s="3" t="s">
        <v>17</v>
      </c>
      <c r="C136" s="3" t="s">
        <v>30</v>
      </c>
      <c r="D136" s="3" t="s">
        <v>216</v>
      </c>
      <c r="E136" s="3">
        <v>4</v>
      </c>
      <c r="F136" s="7" t="s">
        <v>345</v>
      </c>
      <c r="G136" s="5"/>
      <c r="H136" s="5"/>
      <c r="I136" s="5"/>
      <c r="J136" s="5"/>
      <c r="K136" s="5"/>
      <c r="L136" s="5"/>
    </row>
    <row r="137" spans="1:12">
      <c r="A137" s="3" t="s">
        <v>332</v>
      </c>
      <c r="B137" s="3" t="s">
        <v>17</v>
      </c>
      <c r="C137" s="3" t="s">
        <v>30</v>
      </c>
      <c r="D137" s="3" t="s">
        <v>216</v>
      </c>
      <c r="E137" s="3">
        <v>4</v>
      </c>
      <c r="F137" s="7" t="s">
        <v>345</v>
      </c>
      <c r="G137" s="5"/>
      <c r="H137" s="5"/>
      <c r="I137" s="5"/>
      <c r="J137" s="5"/>
      <c r="K137" s="5"/>
      <c r="L137" s="5"/>
    </row>
    <row r="138" spans="1:12">
      <c r="A138" s="3" t="s">
        <v>333</v>
      </c>
      <c r="B138" s="3" t="s">
        <v>17</v>
      </c>
      <c r="C138" s="3" t="s">
        <v>30</v>
      </c>
      <c r="D138" s="3" t="s">
        <v>216</v>
      </c>
      <c r="E138" s="3">
        <v>4</v>
      </c>
      <c r="F138" s="7" t="s">
        <v>345</v>
      </c>
      <c r="G138" s="5"/>
      <c r="H138" s="5"/>
      <c r="I138" s="5"/>
      <c r="J138" s="5"/>
      <c r="K138" s="5"/>
      <c r="L138" s="5"/>
    </row>
    <row r="139" spans="1:12">
      <c r="A139" s="3" t="s">
        <v>324</v>
      </c>
      <c r="B139" s="3" t="s">
        <v>17</v>
      </c>
      <c r="C139" s="3" t="s">
        <v>324</v>
      </c>
      <c r="D139" s="3" t="s">
        <v>258</v>
      </c>
      <c r="E139" s="3">
        <v>4</v>
      </c>
      <c r="F139" s="7" t="s">
        <v>345</v>
      </c>
      <c r="G139" s="5"/>
      <c r="H139" s="5"/>
      <c r="I139" s="5"/>
      <c r="J139" s="5"/>
      <c r="K139" s="5"/>
      <c r="L139" s="5"/>
    </row>
    <row r="140" spans="1:12">
      <c r="A140" s="3" t="s">
        <v>323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345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352</v>
      </c>
      <c r="G141" s="5"/>
      <c r="H141" s="5"/>
      <c r="I141" s="5"/>
      <c r="J141" s="5"/>
      <c r="K141" s="5"/>
      <c r="L141" s="5"/>
    </row>
    <row r="142" spans="1:12">
      <c r="A142" s="3" t="s">
        <v>334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352</v>
      </c>
      <c r="G142" s="5"/>
      <c r="H142" s="5"/>
      <c r="I142" s="5"/>
      <c r="J142" s="5"/>
      <c r="K142" s="5"/>
      <c r="L142" s="5"/>
    </row>
    <row r="143" spans="1:12">
      <c r="A143" s="3" t="s">
        <v>335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352</v>
      </c>
      <c r="G143" s="5"/>
      <c r="H143" s="5"/>
      <c r="I143" s="5"/>
      <c r="J143" s="5"/>
      <c r="K143" s="5"/>
      <c r="L143" s="5"/>
    </row>
    <row r="144" spans="1:12">
      <c r="A144" s="3" t="s">
        <v>336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352</v>
      </c>
      <c r="G144" s="5"/>
      <c r="H144" s="5"/>
      <c r="I144" s="5"/>
      <c r="J144" s="5"/>
      <c r="K144" s="5"/>
      <c r="L144" s="5"/>
    </row>
    <row r="145" spans="1:12">
      <c r="A145" s="3" t="s">
        <v>337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352</v>
      </c>
      <c r="G145" s="5"/>
      <c r="H145" s="5"/>
      <c r="I145" s="5"/>
      <c r="J145" s="5"/>
      <c r="K145" s="5"/>
      <c r="L145" s="5"/>
    </row>
    <row r="146" spans="1:12">
      <c r="A146" s="3" t="s">
        <v>338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352</v>
      </c>
      <c r="G146" s="5"/>
      <c r="H146" s="5"/>
      <c r="I146" s="5"/>
      <c r="J146" s="5"/>
      <c r="K146" s="5"/>
      <c r="L146" s="5"/>
    </row>
    <row r="147" spans="1:12">
      <c r="A147" s="3" t="s">
        <v>339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352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352</v>
      </c>
      <c r="G148" s="5"/>
      <c r="H148" s="5"/>
      <c r="I148" s="5"/>
      <c r="J148" s="5"/>
      <c r="K148" s="5"/>
      <c r="L148" s="5"/>
    </row>
    <row r="149" spans="1:12">
      <c r="A149" s="3" t="s">
        <v>340</v>
      </c>
      <c r="B149" s="3" t="s">
        <v>17</v>
      </c>
      <c r="C149" s="3" t="s">
        <v>32</v>
      </c>
      <c r="D149" s="3" t="s">
        <v>278</v>
      </c>
      <c r="E149" s="3">
        <v>3</v>
      </c>
      <c r="F149" s="7" t="s">
        <v>352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216</v>
      </c>
      <c r="E150" s="3">
        <v>3</v>
      </c>
      <c r="F150" s="7" t="s">
        <v>352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50" customWidth="1"/>
    <col min="2" max="2" width="7.5" style="50" customWidth="1"/>
    <col min="3" max="3" width="0.875" style="50" customWidth="1"/>
    <col min="4" max="4" width="4" style="50" customWidth="1"/>
    <col min="5" max="5" width="5.875" style="50" customWidth="1"/>
    <col min="6" max="6" width="5.625" style="50" customWidth="1"/>
    <col min="7" max="7" width="11.25" style="50" customWidth="1"/>
    <col min="8" max="8" width="9.125" style="50" customWidth="1"/>
    <col min="9" max="9" width="12.75" style="50" customWidth="1"/>
    <col min="10" max="10" width="1.375" style="50" customWidth="1"/>
    <col min="11" max="11" width="1" style="50" customWidth="1"/>
    <col min="12" max="12" width="10.75" style="50" customWidth="1"/>
    <col min="13" max="13" width="10.125" style="50" customWidth="1"/>
    <col min="14" max="14" width="16.625" style="50" customWidth="1"/>
    <col min="15" max="15" width="8.375" style="50" customWidth="1"/>
    <col min="16" max="16" width="9.5" style="50" customWidth="1"/>
    <col min="17" max="17" width="1.25" style="50" customWidth="1"/>
    <col min="18" max="18" width="0.5" style="50" customWidth="1"/>
    <col min="19" max="26" width="0" style="50" hidden="1" customWidth="1"/>
    <col min="27" max="16384" width="11" style="50" hidden="1"/>
  </cols>
  <sheetData>
    <row r="1" spans="2:26" ht="13.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2:26" ht="39" thickBot="1">
      <c r="B2" s="717" t="s">
        <v>373</v>
      </c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49"/>
      <c r="S2" s="49"/>
      <c r="T2" s="49"/>
      <c r="U2" s="49"/>
      <c r="V2" s="49"/>
      <c r="W2" s="49"/>
      <c r="X2" s="49"/>
      <c r="Y2" s="49"/>
      <c r="Z2" s="49"/>
    </row>
    <row r="3" spans="2:26" ht="24" customHeight="1" thickBot="1">
      <c r="B3" s="51" t="s">
        <v>374</v>
      </c>
      <c r="C3" s="719" t="s">
        <v>375</v>
      </c>
      <c r="D3" s="720"/>
      <c r="E3" s="720"/>
      <c r="F3" s="720"/>
      <c r="G3" s="720"/>
      <c r="H3" s="720"/>
      <c r="I3" s="720"/>
      <c r="J3" s="721"/>
      <c r="K3" s="722" t="s">
        <v>376</v>
      </c>
      <c r="L3" s="723"/>
      <c r="M3" s="723"/>
      <c r="N3" s="723"/>
      <c r="O3" s="723"/>
      <c r="P3" s="723"/>
      <c r="Q3" s="724"/>
      <c r="R3" s="49"/>
      <c r="S3" s="49"/>
      <c r="T3" s="49"/>
      <c r="U3" s="49"/>
      <c r="V3" s="49"/>
      <c r="W3" s="49"/>
      <c r="X3" s="49"/>
      <c r="Y3" s="49"/>
      <c r="Z3" s="49"/>
    </row>
    <row r="4" spans="2:26" ht="13.5">
      <c r="B4" s="725" t="s">
        <v>377</v>
      </c>
      <c r="C4" s="52" t="s">
        <v>378</v>
      </c>
      <c r="D4" s="53"/>
      <c r="E4" s="53"/>
      <c r="F4" s="53"/>
      <c r="G4" s="53"/>
      <c r="H4" s="53"/>
      <c r="I4" s="53"/>
      <c r="J4" s="54"/>
      <c r="K4" s="55" t="s">
        <v>378</v>
      </c>
      <c r="L4" s="53"/>
      <c r="M4" s="53"/>
      <c r="N4" s="53"/>
      <c r="O4" s="53"/>
      <c r="P4" s="53"/>
      <c r="Q4" s="54"/>
      <c r="R4" s="49"/>
      <c r="S4" s="49"/>
      <c r="T4" s="49"/>
      <c r="U4" s="49"/>
      <c r="V4" s="49"/>
      <c r="W4" s="49"/>
      <c r="X4" s="49"/>
      <c r="Y4" s="49"/>
      <c r="Z4" s="49"/>
    </row>
    <row r="5" spans="2:26" ht="18.75" customHeight="1">
      <c r="B5" s="726"/>
      <c r="C5" s="56"/>
      <c r="D5" s="713" t="s">
        <v>379</v>
      </c>
      <c r="E5" s="714"/>
      <c r="F5" s="714"/>
      <c r="G5" s="715"/>
      <c r="H5" s="716" t="s">
        <v>380</v>
      </c>
      <c r="I5" s="714"/>
      <c r="J5" s="57"/>
      <c r="K5" s="58"/>
      <c r="L5" s="713" t="s">
        <v>379</v>
      </c>
      <c r="M5" s="714"/>
      <c r="N5" s="715"/>
      <c r="O5" s="716" t="s">
        <v>381</v>
      </c>
      <c r="P5" s="714"/>
      <c r="Q5" s="57"/>
      <c r="R5" s="49"/>
      <c r="S5" s="49"/>
      <c r="T5" s="49"/>
      <c r="U5" s="49"/>
      <c r="V5" s="49"/>
      <c r="W5" s="49"/>
      <c r="X5" s="49"/>
      <c r="Y5" s="49"/>
      <c r="Z5" s="49"/>
    </row>
    <row r="6" spans="2:26" ht="18.75" customHeight="1">
      <c r="B6" s="726"/>
      <c r="C6" s="56"/>
      <c r="D6" s="713" t="s">
        <v>382</v>
      </c>
      <c r="E6" s="714"/>
      <c r="F6" s="714"/>
      <c r="G6" s="715"/>
      <c r="H6" s="716" t="s">
        <v>383</v>
      </c>
      <c r="I6" s="714"/>
      <c r="J6" s="57"/>
      <c r="K6" s="58"/>
      <c r="L6" s="713" t="s">
        <v>382</v>
      </c>
      <c r="M6" s="714"/>
      <c r="N6" s="715"/>
      <c r="O6" s="716" t="s">
        <v>384</v>
      </c>
      <c r="P6" s="714"/>
      <c r="Q6" s="57"/>
      <c r="R6" s="49"/>
      <c r="S6" s="49"/>
      <c r="T6" s="49"/>
      <c r="U6" s="49"/>
      <c r="V6" s="49"/>
      <c r="W6" s="49"/>
      <c r="X6" s="49"/>
      <c r="Y6" s="49"/>
      <c r="Z6" s="49"/>
    </row>
    <row r="7" spans="2:26" ht="18.75" customHeight="1">
      <c r="B7" s="726"/>
      <c r="C7" s="56"/>
      <c r="D7" s="713" t="s">
        <v>385</v>
      </c>
      <c r="E7" s="714"/>
      <c r="F7" s="714"/>
      <c r="G7" s="715"/>
      <c r="H7" s="716" t="s">
        <v>386</v>
      </c>
      <c r="I7" s="714"/>
      <c r="J7" s="57"/>
      <c r="K7" s="58"/>
      <c r="L7" s="713" t="s">
        <v>385</v>
      </c>
      <c r="M7" s="714"/>
      <c r="N7" s="715"/>
      <c r="O7" s="716" t="s">
        <v>387</v>
      </c>
      <c r="P7" s="714"/>
      <c r="Q7" s="57"/>
      <c r="R7" s="49"/>
      <c r="S7" s="49"/>
      <c r="T7" s="49"/>
      <c r="U7" s="49"/>
      <c r="V7" s="49"/>
      <c r="W7" s="49"/>
      <c r="X7" s="49"/>
      <c r="Y7" s="49"/>
      <c r="Z7" s="49"/>
    </row>
    <row r="8" spans="2:26" ht="18.75" customHeight="1">
      <c r="B8" s="726"/>
      <c r="C8" s="56"/>
      <c r="D8" s="713" t="s">
        <v>388</v>
      </c>
      <c r="E8" s="714"/>
      <c r="F8" s="714"/>
      <c r="G8" s="715"/>
      <c r="H8" s="716" t="s">
        <v>389</v>
      </c>
      <c r="I8" s="714"/>
      <c r="J8" s="57"/>
      <c r="K8" s="58"/>
      <c r="L8" s="713" t="s">
        <v>388</v>
      </c>
      <c r="M8" s="714"/>
      <c r="N8" s="715"/>
      <c r="O8" s="716" t="s">
        <v>389</v>
      </c>
      <c r="P8" s="714"/>
      <c r="Q8" s="57"/>
      <c r="R8" s="49"/>
      <c r="S8" s="49"/>
      <c r="T8" s="49"/>
      <c r="U8" s="49"/>
      <c r="V8" s="49"/>
      <c r="W8" s="49"/>
      <c r="X8" s="49"/>
      <c r="Y8" s="49"/>
      <c r="Z8" s="49"/>
    </row>
    <row r="9" spans="2:26" ht="8.25" customHeight="1" thickBot="1">
      <c r="B9" s="727"/>
      <c r="C9" s="59"/>
      <c r="D9" s="60"/>
      <c r="E9" s="60"/>
      <c r="F9" s="60"/>
      <c r="G9" s="60"/>
      <c r="H9" s="60"/>
      <c r="I9" s="60"/>
      <c r="J9" s="61"/>
      <c r="K9" s="62"/>
      <c r="L9" s="60"/>
      <c r="M9" s="60"/>
      <c r="N9" s="60"/>
      <c r="O9" s="60"/>
      <c r="P9" s="60"/>
      <c r="Q9" s="61"/>
      <c r="R9" s="49"/>
      <c r="S9" s="49"/>
      <c r="T9" s="49"/>
      <c r="U9" s="49"/>
      <c r="V9" s="49"/>
      <c r="W9" s="49"/>
      <c r="X9" s="49"/>
      <c r="Y9" s="49"/>
      <c r="Z9" s="49"/>
    </row>
    <row r="10" spans="2:26" ht="6.75" customHeight="1">
      <c r="B10" s="725" t="s">
        <v>390</v>
      </c>
      <c r="C10" s="52"/>
      <c r="D10" s="53"/>
      <c r="E10" s="53"/>
      <c r="F10" s="53"/>
      <c r="G10" s="53"/>
      <c r="H10" s="53"/>
      <c r="I10" s="53"/>
      <c r="J10" s="54"/>
      <c r="K10" s="55"/>
      <c r="L10" s="53"/>
      <c r="M10" s="53"/>
      <c r="N10" s="53"/>
      <c r="O10" s="53"/>
      <c r="P10" s="53"/>
      <c r="Q10" s="54"/>
      <c r="R10" s="49"/>
      <c r="S10" s="49"/>
      <c r="T10" s="49"/>
      <c r="U10" s="49"/>
      <c r="V10" s="49"/>
      <c r="W10" s="49"/>
      <c r="X10" s="49"/>
      <c r="Y10" s="49"/>
      <c r="Z10" s="49"/>
    </row>
    <row r="11" spans="2:26" ht="16.5" customHeight="1">
      <c r="B11" s="726"/>
      <c r="C11" s="56"/>
      <c r="D11" s="713" t="s">
        <v>325</v>
      </c>
      <c r="E11" s="714"/>
      <c r="F11" s="714"/>
      <c r="G11" s="716" t="s">
        <v>391</v>
      </c>
      <c r="H11" s="714"/>
      <c r="I11" s="714"/>
      <c r="J11" s="57"/>
      <c r="K11" s="58"/>
      <c r="L11" s="728" t="s">
        <v>325</v>
      </c>
      <c r="M11" s="729"/>
      <c r="N11" s="732" t="s">
        <v>392</v>
      </c>
      <c r="O11" s="733"/>
      <c r="P11" s="733"/>
      <c r="Q11" s="57"/>
      <c r="R11" s="49"/>
      <c r="S11" s="49"/>
      <c r="T11" s="49"/>
      <c r="U11" s="49"/>
      <c r="V11" s="49"/>
      <c r="W11" s="49"/>
      <c r="X11" s="49"/>
      <c r="Y11" s="49"/>
      <c r="Z11" s="49"/>
    </row>
    <row r="12" spans="2:26" ht="16.5" customHeight="1">
      <c r="B12" s="726"/>
      <c r="C12" s="56"/>
      <c r="D12" s="713" t="s">
        <v>393</v>
      </c>
      <c r="E12" s="714"/>
      <c r="F12" s="714"/>
      <c r="G12" s="716" t="s">
        <v>394</v>
      </c>
      <c r="H12" s="714"/>
      <c r="I12" s="714"/>
      <c r="J12" s="57"/>
      <c r="K12" s="58"/>
      <c r="L12" s="730"/>
      <c r="M12" s="731"/>
      <c r="N12" s="734"/>
      <c r="O12" s="730"/>
      <c r="P12" s="730"/>
      <c r="Q12" s="57"/>
      <c r="R12" s="49"/>
      <c r="S12" s="49"/>
      <c r="T12" s="49"/>
      <c r="U12" s="49"/>
      <c r="V12" s="49"/>
      <c r="W12" s="49"/>
      <c r="X12" s="49"/>
      <c r="Y12" s="49"/>
      <c r="Z12" s="49"/>
    </row>
    <row r="13" spans="2:26" ht="16.5" customHeight="1">
      <c r="B13" s="726"/>
      <c r="C13" s="56"/>
      <c r="D13" s="713" t="s">
        <v>395</v>
      </c>
      <c r="E13" s="714"/>
      <c r="F13" s="714"/>
      <c r="G13" s="716" t="s">
        <v>396</v>
      </c>
      <c r="H13" s="714"/>
      <c r="I13" s="714"/>
      <c r="J13" s="57"/>
      <c r="K13" s="58"/>
      <c r="L13" s="713" t="s">
        <v>397</v>
      </c>
      <c r="M13" s="715"/>
      <c r="N13" s="716" t="s">
        <v>396</v>
      </c>
      <c r="O13" s="714"/>
      <c r="P13" s="714"/>
      <c r="Q13" s="57"/>
      <c r="R13" s="49"/>
      <c r="S13" s="49"/>
      <c r="T13" s="49"/>
      <c r="U13" s="49"/>
      <c r="V13" s="49"/>
      <c r="W13" s="49"/>
      <c r="X13" s="49"/>
      <c r="Y13" s="49"/>
      <c r="Z13" s="49"/>
    </row>
    <row r="14" spans="2:26" ht="6.75" customHeight="1" thickBot="1">
      <c r="B14" s="727"/>
      <c r="C14" s="59"/>
      <c r="D14" s="60"/>
      <c r="E14" s="60"/>
      <c r="F14" s="60"/>
      <c r="G14" s="60"/>
      <c r="H14" s="60"/>
      <c r="I14" s="60"/>
      <c r="J14" s="61"/>
      <c r="K14" s="62"/>
      <c r="L14" s="60"/>
      <c r="M14" s="60"/>
      <c r="N14" s="60"/>
      <c r="O14" s="60"/>
      <c r="P14" s="60"/>
      <c r="Q14" s="61"/>
      <c r="R14" s="49"/>
      <c r="S14" s="49"/>
      <c r="T14" s="49"/>
      <c r="U14" s="49"/>
      <c r="V14" s="49"/>
      <c r="W14" s="49"/>
      <c r="X14" s="49"/>
      <c r="Y14" s="49"/>
      <c r="Z14" s="49"/>
    </row>
    <row r="15" spans="2:26" ht="6.75" customHeight="1">
      <c r="B15" s="725" t="s">
        <v>398</v>
      </c>
      <c r="C15" s="52"/>
      <c r="D15" s="53"/>
      <c r="E15" s="53"/>
      <c r="F15" s="53"/>
      <c r="G15" s="53"/>
      <c r="H15" s="53"/>
      <c r="I15" s="53"/>
      <c r="J15" s="54"/>
      <c r="K15" s="55"/>
      <c r="L15" s="53"/>
      <c r="M15" s="53"/>
      <c r="N15" s="53"/>
      <c r="O15" s="53"/>
      <c r="P15" s="53"/>
      <c r="Q15" s="54"/>
      <c r="R15" s="49"/>
      <c r="S15" s="49"/>
      <c r="T15" s="49"/>
      <c r="U15" s="49"/>
      <c r="V15" s="49"/>
      <c r="W15" s="49"/>
      <c r="X15" s="49"/>
      <c r="Y15" s="49"/>
      <c r="Z15" s="49"/>
    </row>
    <row r="16" spans="2:26" ht="20.25" customHeight="1">
      <c r="B16" s="726"/>
      <c r="C16" s="56"/>
      <c r="D16" s="713" t="s">
        <v>399</v>
      </c>
      <c r="E16" s="714"/>
      <c r="F16" s="714"/>
      <c r="G16" s="715"/>
      <c r="H16" s="716">
        <v>1</v>
      </c>
      <c r="I16" s="714"/>
      <c r="J16" s="57"/>
      <c r="K16" s="58"/>
      <c r="L16" s="713" t="s">
        <v>399</v>
      </c>
      <c r="M16" s="714"/>
      <c r="N16" s="715"/>
      <c r="O16" s="716" t="s">
        <v>400</v>
      </c>
      <c r="P16" s="714"/>
      <c r="Q16" s="57"/>
      <c r="R16" s="49"/>
      <c r="S16" s="49"/>
      <c r="T16" s="49"/>
      <c r="U16" s="49"/>
      <c r="V16" s="49"/>
      <c r="W16" s="49"/>
      <c r="X16" s="49"/>
      <c r="Y16" s="49"/>
      <c r="Z16" s="49"/>
    </row>
    <row r="17" spans="2:26" ht="20.25" customHeight="1">
      <c r="B17" s="726"/>
      <c r="C17" s="56"/>
      <c r="D17" s="713" t="s">
        <v>401</v>
      </c>
      <c r="E17" s="714"/>
      <c r="F17" s="714"/>
      <c r="G17" s="715"/>
      <c r="H17" s="716">
        <v>179</v>
      </c>
      <c r="I17" s="714"/>
      <c r="J17" s="57"/>
      <c r="K17" s="58"/>
      <c r="L17" s="713" t="s">
        <v>402</v>
      </c>
      <c r="M17" s="714"/>
      <c r="N17" s="715"/>
      <c r="O17" s="716" t="s">
        <v>403</v>
      </c>
      <c r="P17" s="714"/>
      <c r="Q17" s="57"/>
      <c r="R17" s="49"/>
      <c r="S17" s="49"/>
      <c r="T17" s="49"/>
      <c r="U17" s="49"/>
      <c r="V17" s="49"/>
      <c r="W17" s="49"/>
      <c r="X17" s="49"/>
      <c r="Y17" s="49"/>
      <c r="Z17" s="49"/>
    </row>
    <row r="18" spans="2:26" ht="20.25" customHeight="1">
      <c r="B18" s="726"/>
      <c r="C18" s="56"/>
      <c r="D18" s="713" t="s">
        <v>404</v>
      </c>
      <c r="E18" s="714"/>
      <c r="F18" s="714"/>
      <c r="G18" s="715"/>
      <c r="H18" s="716">
        <v>368</v>
      </c>
      <c r="I18" s="714"/>
      <c r="J18" s="57"/>
      <c r="K18" s="58"/>
      <c r="L18" s="713" t="s">
        <v>405</v>
      </c>
      <c r="M18" s="714"/>
      <c r="N18" s="715"/>
      <c r="O18" s="716" t="s">
        <v>406</v>
      </c>
      <c r="P18" s="714"/>
      <c r="Q18" s="57"/>
      <c r="R18" s="49"/>
      <c r="S18" s="49"/>
      <c r="T18" s="49"/>
      <c r="U18" s="49"/>
      <c r="V18" s="49"/>
      <c r="W18" s="49"/>
      <c r="X18" s="49"/>
      <c r="Y18" s="49"/>
      <c r="Z18" s="49"/>
    </row>
    <row r="19" spans="2:26" ht="20.25" customHeight="1">
      <c r="B19" s="726"/>
      <c r="C19" s="56"/>
      <c r="D19" s="713" t="s">
        <v>407</v>
      </c>
      <c r="E19" s="714"/>
      <c r="F19" s="714"/>
      <c r="G19" s="715"/>
      <c r="H19" s="716">
        <v>548</v>
      </c>
      <c r="I19" s="714"/>
      <c r="J19" s="57"/>
      <c r="K19" s="58"/>
      <c r="L19" s="713" t="s">
        <v>407</v>
      </c>
      <c r="M19" s="714"/>
      <c r="N19" s="715"/>
      <c r="O19" s="716" t="s">
        <v>408</v>
      </c>
      <c r="P19" s="714"/>
      <c r="Q19" s="57"/>
      <c r="R19" s="49"/>
      <c r="S19" s="49"/>
      <c r="T19" s="49"/>
      <c r="U19" s="49"/>
      <c r="V19" s="49"/>
      <c r="W19" s="49"/>
      <c r="X19" s="49"/>
      <c r="Y19" s="49"/>
      <c r="Z19" s="49"/>
    </row>
    <row r="20" spans="2:26" ht="5.25" customHeight="1" thickBot="1">
      <c r="B20" s="727"/>
      <c r="C20" s="59"/>
      <c r="D20" s="60"/>
      <c r="E20" s="60"/>
      <c r="F20" s="60"/>
      <c r="G20" s="60"/>
      <c r="H20" s="60"/>
      <c r="I20" s="60"/>
      <c r="J20" s="61"/>
      <c r="K20" s="62"/>
      <c r="L20" s="60"/>
      <c r="M20" s="60"/>
      <c r="N20" s="60"/>
      <c r="O20" s="60"/>
      <c r="P20" s="60"/>
      <c r="Q20" s="61"/>
      <c r="R20" s="49"/>
      <c r="S20" s="49"/>
      <c r="T20" s="49"/>
      <c r="U20" s="49"/>
      <c r="V20" s="49"/>
      <c r="W20" s="49"/>
      <c r="X20" s="49"/>
      <c r="Y20" s="49"/>
      <c r="Z20" s="49"/>
    </row>
    <row r="21" spans="2:26" ht="5.25" customHeight="1">
      <c r="B21" s="725" t="s">
        <v>409</v>
      </c>
      <c r="C21" s="52"/>
      <c r="D21" s="53"/>
      <c r="E21" s="53"/>
      <c r="F21" s="53"/>
      <c r="G21" s="53"/>
      <c r="H21" s="53"/>
      <c r="I21" s="53"/>
      <c r="J21" s="54"/>
      <c r="K21" s="55"/>
      <c r="L21" s="53"/>
      <c r="M21" s="53"/>
      <c r="N21" s="53"/>
      <c r="O21" s="53"/>
      <c r="P21" s="53"/>
      <c r="Q21" s="54"/>
      <c r="R21" s="49"/>
      <c r="S21" s="49"/>
      <c r="T21" s="49"/>
      <c r="U21" s="49"/>
      <c r="V21" s="49"/>
      <c r="W21" s="49"/>
      <c r="X21" s="49"/>
      <c r="Y21" s="49"/>
      <c r="Z21" s="49"/>
    </row>
    <row r="22" spans="2:26" ht="27.75" thickBot="1">
      <c r="B22" s="726"/>
      <c r="C22" s="56"/>
      <c r="D22" s="63"/>
      <c r="E22" s="64"/>
      <c r="F22" s="65" t="s">
        <v>410</v>
      </c>
      <c r="G22" s="65" t="s">
        <v>411</v>
      </c>
      <c r="H22" s="65" t="s">
        <v>412</v>
      </c>
      <c r="I22" s="66" t="s">
        <v>413</v>
      </c>
      <c r="J22" s="67"/>
      <c r="K22" s="68"/>
      <c r="L22" s="63"/>
      <c r="M22" s="65" t="s">
        <v>411</v>
      </c>
      <c r="N22" s="65" t="s">
        <v>414</v>
      </c>
      <c r="O22" s="735" t="s">
        <v>413</v>
      </c>
      <c r="P22" s="736"/>
      <c r="Q22" s="57"/>
      <c r="R22" s="49"/>
      <c r="S22" s="49"/>
      <c r="T22" s="49"/>
      <c r="U22" s="49"/>
      <c r="V22" s="49"/>
      <c r="W22" s="49"/>
      <c r="X22" s="49"/>
      <c r="Y22" s="49"/>
      <c r="Z22" s="49"/>
    </row>
    <row r="23" spans="2:26" ht="14.25" thickTop="1">
      <c r="B23" s="726"/>
      <c r="C23" s="56"/>
      <c r="D23" s="737" t="s">
        <v>411</v>
      </c>
      <c r="E23" s="739" t="s">
        <v>415</v>
      </c>
      <c r="F23" s="739" t="s">
        <v>416</v>
      </c>
      <c r="G23" s="69" t="s">
        <v>417</v>
      </c>
      <c r="H23" s="69" t="s">
        <v>418</v>
      </c>
      <c r="I23" s="742">
        <v>24</v>
      </c>
      <c r="J23" s="67"/>
      <c r="K23" s="68"/>
      <c r="L23" s="737" t="s">
        <v>419</v>
      </c>
      <c r="M23" s="70" t="s">
        <v>417</v>
      </c>
      <c r="N23" s="70" t="s">
        <v>420</v>
      </c>
      <c r="O23" s="742">
        <v>24</v>
      </c>
      <c r="P23" s="750"/>
      <c r="Q23" s="57"/>
      <c r="R23" s="49"/>
      <c r="S23" s="49"/>
      <c r="T23" s="49"/>
      <c r="U23" s="49"/>
      <c r="V23" s="49"/>
      <c r="W23" s="49"/>
      <c r="X23" s="49"/>
      <c r="Y23" s="49"/>
      <c r="Z23" s="49"/>
    </row>
    <row r="24" spans="2:26" ht="13.5">
      <c r="B24" s="726"/>
      <c r="C24" s="56"/>
      <c r="D24" s="738"/>
      <c r="E24" s="740"/>
      <c r="F24" s="740"/>
      <c r="G24" s="71" t="s">
        <v>421</v>
      </c>
      <c r="H24" s="71" t="s">
        <v>422</v>
      </c>
      <c r="I24" s="743"/>
      <c r="J24" s="67"/>
      <c r="K24" s="68"/>
      <c r="L24" s="738"/>
      <c r="M24" s="72" t="s">
        <v>421</v>
      </c>
      <c r="N24" s="72" t="s">
        <v>423</v>
      </c>
      <c r="O24" s="743"/>
      <c r="P24" s="751"/>
      <c r="Q24" s="57"/>
      <c r="R24" s="49"/>
      <c r="S24" s="49"/>
      <c r="T24" s="49"/>
      <c r="U24" s="49"/>
      <c r="V24" s="49"/>
      <c r="W24" s="49"/>
      <c r="X24" s="49"/>
      <c r="Y24" s="49"/>
      <c r="Z24" s="49"/>
    </row>
    <row r="25" spans="2:26" ht="13.5">
      <c r="B25" s="726"/>
      <c r="C25" s="56"/>
      <c r="D25" s="738"/>
      <c r="E25" s="740"/>
      <c r="F25" s="740"/>
      <c r="G25" s="71" t="s">
        <v>424</v>
      </c>
      <c r="H25" s="71" t="s">
        <v>425</v>
      </c>
      <c r="I25" s="744"/>
      <c r="J25" s="67"/>
      <c r="K25" s="68"/>
      <c r="L25" s="738"/>
      <c r="M25" s="72" t="s">
        <v>424</v>
      </c>
      <c r="N25" s="72" t="s">
        <v>426</v>
      </c>
      <c r="O25" s="734"/>
      <c r="P25" s="730"/>
      <c r="Q25" s="57"/>
      <c r="R25" s="49"/>
      <c r="S25" s="49"/>
      <c r="T25" s="49"/>
      <c r="U25" s="49"/>
      <c r="V25" s="49"/>
      <c r="W25" s="49"/>
      <c r="X25" s="49"/>
      <c r="Y25" s="49"/>
      <c r="Z25" s="49"/>
    </row>
    <row r="26" spans="2:26" ht="13.5">
      <c r="B26" s="726"/>
      <c r="C26" s="56"/>
      <c r="D26" s="738"/>
      <c r="E26" s="740"/>
      <c r="F26" s="741"/>
      <c r="G26" s="73" t="s">
        <v>427</v>
      </c>
      <c r="H26" s="73" t="s">
        <v>428</v>
      </c>
      <c r="I26" s="74">
        <v>6</v>
      </c>
      <c r="J26" s="67"/>
      <c r="K26" s="68"/>
      <c r="L26" s="738"/>
      <c r="M26" s="752" t="s">
        <v>429</v>
      </c>
      <c r="N26" s="75" t="s">
        <v>430</v>
      </c>
      <c r="O26" s="753">
        <v>6</v>
      </c>
      <c r="P26" s="754"/>
      <c r="Q26" s="57"/>
      <c r="R26" s="49"/>
      <c r="S26" s="49"/>
      <c r="T26" s="49"/>
      <c r="U26" s="49"/>
      <c r="V26" s="49"/>
      <c r="W26" s="49"/>
      <c r="X26" s="49"/>
      <c r="Y26" s="49"/>
      <c r="Z26" s="49"/>
    </row>
    <row r="27" spans="2:26" ht="40.5">
      <c r="B27" s="726"/>
      <c r="C27" s="56"/>
      <c r="D27" s="738"/>
      <c r="E27" s="740"/>
      <c r="F27" s="752" t="s">
        <v>431</v>
      </c>
      <c r="G27" s="75" t="s">
        <v>429</v>
      </c>
      <c r="H27" s="75" t="s">
        <v>432</v>
      </c>
      <c r="I27" s="755">
        <v>12</v>
      </c>
      <c r="J27" s="67"/>
      <c r="K27" s="68"/>
      <c r="L27" s="738"/>
      <c r="M27" s="741"/>
      <c r="N27" s="73" t="s">
        <v>433</v>
      </c>
      <c r="O27" s="756">
        <v>12</v>
      </c>
      <c r="P27" s="757"/>
      <c r="Q27" s="57"/>
      <c r="R27" s="49"/>
      <c r="S27" s="49"/>
      <c r="T27" s="49"/>
      <c r="U27" s="49"/>
      <c r="V27" s="49"/>
      <c r="W27" s="49"/>
      <c r="X27" s="49"/>
      <c r="Y27" s="49"/>
      <c r="Z27" s="49"/>
    </row>
    <row r="28" spans="2:26" ht="13.5">
      <c r="B28" s="726"/>
      <c r="C28" s="56"/>
      <c r="D28" s="738"/>
      <c r="E28" s="740"/>
      <c r="F28" s="741"/>
      <c r="G28" s="73" t="s">
        <v>434</v>
      </c>
      <c r="H28" s="73" t="s">
        <v>435</v>
      </c>
      <c r="I28" s="734"/>
      <c r="J28" s="67"/>
      <c r="K28" s="68"/>
      <c r="L28" s="738"/>
      <c r="M28" s="72" t="s">
        <v>434</v>
      </c>
      <c r="N28" s="72" t="s">
        <v>436</v>
      </c>
      <c r="O28" s="734"/>
      <c r="P28" s="730"/>
      <c r="Q28" s="57"/>
      <c r="R28" s="49"/>
      <c r="S28" s="49"/>
      <c r="T28" s="49"/>
      <c r="U28" s="49"/>
      <c r="V28" s="49"/>
      <c r="W28" s="49"/>
      <c r="X28" s="49"/>
      <c r="Y28" s="49"/>
      <c r="Z28" s="49"/>
    </row>
    <row r="29" spans="2:26" ht="13.5">
      <c r="B29" s="726"/>
      <c r="C29" s="56"/>
      <c r="D29" s="738"/>
      <c r="E29" s="740"/>
      <c r="F29" s="752" t="s">
        <v>437</v>
      </c>
      <c r="G29" s="75" t="s">
        <v>438</v>
      </c>
      <c r="H29" s="76"/>
      <c r="I29" s="77">
        <v>8</v>
      </c>
      <c r="J29" s="67"/>
      <c r="K29" s="68"/>
      <c r="L29" s="738"/>
      <c r="M29" s="72" t="s">
        <v>438</v>
      </c>
      <c r="N29" s="78"/>
      <c r="O29" s="747">
        <v>8</v>
      </c>
      <c r="P29" s="714"/>
      <c r="Q29" s="57"/>
      <c r="R29" s="49"/>
      <c r="S29" s="49"/>
      <c r="T29" s="49"/>
      <c r="U29" s="49"/>
      <c r="V29" s="49"/>
      <c r="W29" s="49"/>
      <c r="X29" s="49"/>
      <c r="Y29" s="49"/>
      <c r="Z29" s="49"/>
    </row>
    <row r="30" spans="2:26" ht="13.5">
      <c r="B30" s="726"/>
      <c r="C30" s="56"/>
      <c r="D30" s="738"/>
      <c r="E30" s="740"/>
      <c r="F30" s="741"/>
      <c r="G30" s="73" t="s">
        <v>439</v>
      </c>
      <c r="H30" s="79"/>
      <c r="I30" s="74">
        <v>6</v>
      </c>
      <c r="J30" s="67"/>
      <c r="K30" s="68"/>
      <c r="L30" s="738"/>
      <c r="M30" s="72" t="s">
        <v>439</v>
      </c>
      <c r="N30" s="78"/>
      <c r="O30" s="747">
        <v>6</v>
      </c>
      <c r="P30" s="714"/>
      <c r="Q30" s="57"/>
      <c r="R30" s="49"/>
      <c r="S30" s="49"/>
      <c r="T30" s="49"/>
      <c r="U30" s="49"/>
      <c r="V30" s="49"/>
      <c r="W30" s="49"/>
      <c r="X30" s="49"/>
      <c r="Y30" s="49"/>
      <c r="Z30" s="49"/>
    </row>
    <row r="31" spans="2:26" ht="54">
      <c r="B31" s="726"/>
      <c r="C31" s="56"/>
      <c r="D31" s="738"/>
      <c r="E31" s="740"/>
      <c r="F31" s="72" t="s">
        <v>440</v>
      </c>
      <c r="G31" s="72" t="s">
        <v>441</v>
      </c>
      <c r="H31" s="78"/>
      <c r="I31" s="80">
        <v>10</v>
      </c>
      <c r="J31" s="67"/>
      <c r="K31" s="68"/>
      <c r="L31" s="738"/>
      <c r="M31" s="72" t="s">
        <v>442</v>
      </c>
      <c r="N31" s="78"/>
      <c r="O31" s="747">
        <v>8</v>
      </c>
      <c r="P31" s="714"/>
      <c r="Q31" s="57"/>
      <c r="R31" s="49"/>
      <c r="S31" s="49"/>
      <c r="T31" s="49"/>
      <c r="U31" s="49"/>
      <c r="V31" s="49"/>
      <c r="W31" s="49"/>
      <c r="X31" s="49"/>
      <c r="Y31" s="49"/>
      <c r="Z31" s="49"/>
    </row>
    <row r="32" spans="2:26" ht="18.75" customHeight="1">
      <c r="B32" s="726"/>
      <c r="C32" s="56"/>
      <c r="D32" s="738"/>
      <c r="E32" s="741"/>
      <c r="F32" s="748" t="s">
        <v>407</v>
      </c>
      <c r="G32" s="714"/>
      <c r="H32" s="715"/>
      <c r="I32" s="81">
        <v>66</v>
      </c>
      <c r="J32" s="67"/>
      <c r="K32" s="68"/>
      <c r="L32" s="731"/>
      <c r="M32" s="748" t="s">
        <v>407</v>
      </c>
      <c r="N32" s="715"/>
      <c r="O32" s="749">
        <v>64</v>
      </c>
      <c r="P32" s="714"/>
      <c r="Q32" s="57"/>
      <c r="R32" s="49"/>
      <c r="S32" s="49"/>
      <c r="T32" s="49"/>
      <c r="U32" s="49"/>
      <c r="V32" s="49"/>
      <c r="W32" s="49"/>
      <c r="X32" s="49"/>
      <c r="Y32" s="49"/>
      <c r="Z32" s="49"/>
    </row>
    <row r="33" spans="2:26" ht="35.25" customHeight="1">
      <c r="B33" s="726"/>
      <c r="C33" s="56"/>
      <c r="D33" s="731"/>
      <c r="E33" s="82" t="s">
        <v>443</v>
      </c>
      <c r="F33" s="748" t="s">
        <v>444</v>
      </c>
      <c r="G33" s="714"/>
      <c r="H33" s="715"/>
      <c r="I33" s="81">
        <v>86</v>
      </c>
      <c r="J33" s="67"/>
      <c r="K33" s="68"/>
      <c r="L33" s="83" t="s">
        <v>445</v>
      </c>
      <c r="M33" s="748" t="s">
        <v>446</v>
      </c>
      <c r="N33" s="715"/>
      <c r="O33" s="749">
        <v>80</v>
      </c>
      <c r="P33" s="714"/>
      <c r="Q33" s="57"/>
      <c r="R33" s="49"/>
      <c r="S33" s="49"/>
      <c r="T33" s="49"/>
      <c r="U33" s="49"/>
      <c r="V33" s="49"/>
      <c r="W33" s="49"/>
      <c r="X33" s="49"/>
      <c r="Y33" s="49"/>
      <c r="Z33" s="49"/>
    </row>
    <row r="34" spans="2:26" ht="21.75" customHeight="1">
      <c r="B34" s="726"/>
      <c r="C34" s="56"/>
      <c r="D34" s="745" t="s">
        <v>385</v>
      </c>
      <c r="E34" s="714"/>
      <c r="F34" s="714"/>
      <c r="G34" s="714"/>
      <c r="H34" s="715"/>
      <c r="I34" s="84">
        <v>22</v>
      </c>
      <c r="J34" s="67"/>
      <c r="K34" s="68"/>
      <c r="L34" s="745" t="s">
        <v>385</v>
      </c>
      <c r="M34" s="714"/>
      <c r="N34" s="715"/>
      <c r="O34" s="746">
        <v>30</v>
      </c>
      <c r="P34" s="714"/>
      <c r="Q34" s="57"/>
      <c r="R34" s="49"/>
      <c r="S34" s="49"/>
      <c r="T34" s="49"/>
      <c r="U34" s="49"/>
      <c r="V34" s="49"/>
      <c r="W34" s="49"/>
      <c r="X34" s="49"/>
      <c r="Y34" s="49"/>
      <c r="Z34" s="49"/>
    </row>
    <row r="35" spans="2:26" ht="24" customHeight="1">
      <c r="B35" s="726"/>
      <c r="C35" s="56"/>
      <c r="D35" s="745" t="s">
        <v>388</v>
      </c>
      <c r="E35" s="714"/>
      <c r="F35" s="714"/>
      <c r="G35" s="714"/>
      <c r="H35" s="715"/>
      <c r="I35" s="84">
        <v>18</v>
      </c>
      <c r="J35" s="67"/>
      <c r="K35" s="68"/>
      <c r="L35" s="745" t="s">
        <v>388</v>
      </c>
      <c r="M35" s="714"/>
      <c r="N35" s="715"/>
      <c r="O35" s="746">
        <v>18</v>
      </c>
      <c r="P35" s="714"/>
      <c r="Q35" s="57"/>
      <c r="R35" s="49"/>
      <c r="S35" s="49"/>
      <c r="T35" s="49"/>
      <c r="U35" s="49"/>
      <c r="V35" s="49"/>
      <c r="W35" s="49"/>
      <c r="X35" s="49"/>
      <c r="Y35" s="49"/>
      <c r="Z35" s="49"/>
    </row>
    <row r="36" spans="2:26" ht="13.5">
      <c r="B36" s="726"/>
      <c r="C36" s="56"/>
      <c r="D36" s="758" t="s">
        <v>447</v>
      </c>
      <c r="E36" s="714"/>
      <c r="F36" s="714"/>
      <c r="G36" s="714"/>
      <c r="H36" s="715"/>
      <c r="I36" s="81">
        <v>192</v>
      </c>
      <c r="J36" s="67"/>
      <c r="K36" s="68"/>
      <c r="L36" s="758" t="s">
        <v>447</v>
      </c>
      <c r="M36" s="714"/>
      <c r="N36" s="715"/>
      <c r="O36" s="749">
        <v>192</v>
      </c>
      <c r="P36" s="714"/>
      <c r="Q36" s="57"/>
      <c r="R36" s="49"/>
      <c r="S36" s="49"/>
      <c r="T36" s="49"/>
      <c r="U36" s="49"/>
      <c r="V36" s="49"/>
      <c r="W36" s="49"/>
      <c r="X36" s="49"/>
      <c r="Y36" s="49"/>
      <c r="Z36" s="49"/>
    </row>
    <row r="37" spans="2:26" ht="5.25" customHeight="1" thickBot="1">
      <c r="B37" s="727"/>
      <c r="C37" s="59"/>
      <c r="D37" s="60"/>
      <c r="E37" s="60"/>
      <c r="F37" s="60"/>
      <c r="G37" s="60"/>
      <c r="H37" s="60"/>
      <c r="I37" s="60"/>
      <c r="J37" s="61"/>
      <c r="K37" s="62"/>
      <c r="L37" s="60"/>
      <c r="M37" s="60"/>
      <c r="N37" s="60"/>
      <c r="O37" s="60"/>
      <c r="P37" s="60"/>
      <c r="Q37" s="61"/>
      <c r="R37" s="49"/>
      <c r="S37" s="49"/>
      <c r="T37" s="49"/>
      <c r="U37" s="49"/>
      <c r="V37" s="49"/>
      <c r="W37" s="49"/>
      <c r="X37" s="49"/>
      <c r="Y37" s="49"/>
      <c r="Z37" s="49"/>
    </row>
    <row r="38" spans="2:26" ht="5.25" customHeight="1">
      <c r="B38" s="725" t="s">
        <v>448</v>
      </c>
      <c r="C38" s="52"/>
      <c r="D38" s="53"/>
      <c r="E38" s="53"/>
      <c r="F38" s="53"/>
      <c r="G38" s="53"/>
      <c r="H38" s="53"/>
      <c r="I38" s="53"/>
      <c r="J38" s="54"/>
      <c r="K38" s="55"/>
      <c r="L38" s="53"/>
      <c r="M38" s="53"/>
      <c r="N38" s="53"/>
      <c r="O38" s="53"/>
      <c r="P38" s="53"/>
      <c r="Q38" s="54"/>
      <c r="R38" s="49"/>
      <c r="S38" s="49"/>
      <c r="T38" s="49"/>
      <c r="U38" s="49"/>
      <c r="V38" s="49"/>
      <c r="W38" s="49"/>
      <c r="X38" s="49"/>
      <c r="Y38" s="49"/>
      <c r="Z38" s="49"/>
    </row>
    <row r="39" spans="2:26" ht="13.5">
      <c r="B39" s="726"/>
      <c r="C39" s="56" t="s">
        <v>449</v>
      </c>
      <c r="D39" s="85"/>
      <c r="E39" s="85"/>
      <c r="F39" s="85"/>
      <c r="G39" s="85"/>
      <c r="H39" s="85"/>
      <c r="I39" s="85"/>
      <c r="J39" s="57"/>
      <c r="K39" s="58"/>
      <c r="L39" s="85" t="s">
        <v>450</v>
      </c>
      <c r="M39" s="85"/>
      <c r="N39" s="85"/>
      <c r="O39" s="85"/>
      <c r="P39" s="85"/>
      <c r="Q39" s="57"/>
      <c r="R39" s="49"/>
      <c r="S39" s="49"/>
      <c r="T39" s="49"/>
      <c r="U39" s="49"/>
      <c r="V39" s="49"/>
      <c r="W39" s="49"/>
      <c r="X39" s="49"/>
      <c r="Y39" s="49"/>
      <c r="Z39" s="49"/>
    </row>
    <row r="40" spans="2:26" ht="13.5">
      <c r="B40" s="726"/>
      <c r="C40" s="56" t="s">
        <v>451</v>
      </c>
      <c r="D40" s="85"/>
      <c r="E40" s="85"/>
      <c r="F40" s="85"/>
      <c r="G40" s="85"/>
      <c r="H40" s="85"/>
      <c r="I40" s="85"/>
      <c r="J40" s="57"/>
      <c r="K40" s="58"/>
      <c r="L40" s="85" t="s">
        <v>452</v>
      </c>
      <c r="M40" s="85"/>
      <c r="N40" s="85"/>
      <c r="O40" s="85"/>
      <c r="P40" s="85"/>
      <c r="Q40" s="57"/>
      <c r="R40" s="49"/>
      <c r="S40" s="49"/>
      <c r="T40" s="49"/>
      <c r="U40" s="49"/>
      <c r="V40" s="49"/>
      <c r="W40" s="49"/>
      <c r="X40" s="49"/>
      <c r="Y40" s="49"/>
      <c r="Z40" s="49"/>
    </row>
    <row r="41" spans="2:26" ht="5.25" customHeight="1" thickBot="1">
      <c r="B41" s="727"/>
      <c r="C41" s="59"/>
      <c r="D41" s="60"/>
      <c r="E41" s="60"/>
      <c r="F41" s="60"/>
      <c r="G41" s="60"/>
      <c r="H41" s="60"/>
      <c r="I41" s="60"/>
      <c r="J41" s="61"/>
      <c r="K41" s="62"/>
      <c r="L41" s="60"/>
      <c r="M41" s="60"/>
      <c r="N41" s="60"/>
      <c r="O41" s="60"/>
      <c r="P41" s="60"/>
      <c r="Q41" s="61"/>
      <c r="R41" s="49"/>
      <c r="S41" s="49"/>
      <c r="T41" s="49"/>
      <c r="U41" s="49"/>
      <c r="V41" s="49"/>
      <c r="W41" s="49"/>
      <c r="X41" s="49"/>
      <c r="Y41" s="49"/>
      <c r="Z41" s="49"/>
    </row>
    <row r="42" spans="2:26" ht="5.25" customHeight="1">
      <c r="B42" s="725" t="s">
        <v>453</v>
      </c>
      <c r="C42" s="52"/>
      <c r="D42" s="53"/>
      <c r="E42" s="53"/>
      <c r="F42" s="53"/>
      <c r="G42" s="53"/>
      <c r="H42" s="53"/>
      <c r="I42" s="53"/>
      <c r="J42" s="54"/>
      <c r="K42" s="55"/>
      <c r="L42" s="53"/>
      <c r="M42" s="53"/>
      <c r="N42" s="53"/>
      <c r="O42" s="53"/>
      <c r="P42" s="53"/>
      <c r="Q42" s="54"/>
      <c r="R42" s="49"/>
      <c r="S42" s="49"/>
      <c r="T42" s="49"/>
      <c r="U42" s="49"/>
      <c r="V42" s="49"/>
      <c r="W42" s="49"/>
      <c r="X42" s="49"/>
      <c r="Y42" s="49"/>
      <c r="Z42" s="49"/>
    </row>
    <row r="43" spans="2:26" ht="13.5">
      <c r="B43" s="726"/>
      <c r="C43" s="56"/>
      <c r="D43" s="85" t="s">
        <v>454</v>
      </c>
      <c r="E43" s="85"/>
      <c r="F43" s="85"/>
      <c r="G43" s="85"/>
      <c r="H43" s="85"/>
      <c r="I43" s="85"/>
      <c r="J43" s="57"/>
      <c r="K43" s="58"/>
      <c r="L43" s="85" t="s">
        <v>455</v>
      </c>
      <c r="M43" s="85"/>
      <c r="N43" s="85"/>
      <c r="O43" s="85"/>
      <c r="P43" s="85"/>
      <c r="Q43" s="57"/>
      <c r="R43" s="49"/>
      <c r="S43" s="49"/>
      <c r="T43" s="49"/>
      <c r="U43" s="49"/>
      <c r="V43" s="49"/>
      <c r="W43" s="49"/>
      <c r="X43" s="49"/>
      <c r="Y43" s="49"/>
      <c r="Z43" s="49"/>
    </row>
    <row r="44" spans="2:26" ht="13.5">
      <c r="B44" s="726"/>
      <c r="C44" s="56"/>
      <c r="D44" s="85" t="s">
        <v>456</v>
      </c>
      <c r="E44" s="86"/>
      <c r="F44" s="86"/>
      <c r="G44" s="86"/>
      <c r="H44" s="86"/>
      <c r="I44" s="86"/>
      <c r="J44" s="57"/>
      <c r="K44" s="58"/>
      <c r="L44" s="85"/>
      <c r="M44" s="85"/>
      <c r="N44" s="85"/>
      <c r="O44" s="85"/>
      <c r="P44" s="85"/>
      <c r="Q44" s="57"/>
      <c r="R44" s="49"/>
      <c r="S44" s="49"/>
      <c r="T44" s="49"/>
      <c r="U44" s="49"/>
      <c r="V44" s="49"/>
      <c r="W44" s="49"/>
      <c r="X44" s="49"/>
      <c r="Y44" s="49"/>
      <c r="Z44" s="49"/>
    </row>
    <row r="45" spans="2:26" ht="13.5">
      <c r="B45" s="726"/>
      <c r="C45" s="56"/>
      <c r="D45" s="759" t="s">
        <v>374</v>
      </c>
      <c r="E45" s="714"/>
      <c r="F45" s="715"/>
      <c r="G45" s="760" t="s">
        <v>457</v>
      </c>
      <c r="H45" s="715"/>
      <c r="I45" s="87" t="s">
        <v>458</v>
      </c>
      <c r="J45" s="57"/>
      <c r="K45" s="58"/>
      <c r="L45" s="759" t="s">
        <v>374</v>
      </c>
      <c r="M45" s="715"/>
      <c r="N45" s="760" t="s">
        <v>457</v>
      </c>
      <c r="O45" s="715"/>
      <c r="P45" s="87" t="s">
        <v>459</v>
      </c>
      <c r="Q45" s="57"/>
      <c r="R45" s="49"/>
      <c r="S45" s="49"/>
      <c r="T45" s="49"/>
      <c r="U45" s="49"/>
      <c r="V45" s="49"/>
      <c r="W45" s="49"/>
      <c r="X45" s="49"/>
      <c r="Y45" s="49"/>
      <c r="Z45" s="49"/>
    </row>
    <row r="46" spans="2:26" ht="38.25" customHeight="1">
      <c r="B46" s="726"/>
      <c r="C46" s="56"/>
      <c r="D46" s="713" t="s">
        <v>460</v>
      </c>
      <c r="E46" s="715"/>
      <c r="F46" s="88">
        <v>1</v>
      </c>
      <c r="G46" s="761" t="s">
        <v>461</v>
      </c>
      <c r="H46" s="715"/>
      <c r="I46" s="762">
        <v>86</v>
      </c>
      <c r="J46" s="57"/>
      <c r="K46" s="58"/>
      <c r="L46" s="89" t="s">
        <v>460</v>
      </c>
      <c r="M46" s="88">
        <v>3</v>
      </c>
      <c r="N46" s="761" t="s">
        <v>462</v>
      </c>
      <c r="O46" s="715"/>
      <c r="P46" s="762">
        <v>80</v>
      </c>
      <c r="Q46" s="57"/>
      <c r="R46" s="49"/>
      <c r="S46" s="49"/>
      <c r="T46" s="49"/>
      <c r="U46" s="49"/>
      <c r="V46" s="49"/>
      <c r="W46" s="49"/>
      <c r="X46" s="49"/>
      <c r="Y46" s="49"/>
      <c r="Z46" s="49"/>
    </row>
    <row r="47" spans="2:26" ht="16.5" customHeight="1">
      <c r="B47" s="726"/>
      <c r="C47" s="56"/>
      <c r="D47" s="713" t="s">
        <v>463</v>
      </c>
      <c r="E47" s="715"/>
      <c r="F47" s="88">
        <v>179</v>
      </c>
      <c r="G47" s="716" t="s">
        <v>446</v>
      </c>
      <c r="H47" s="715"/>
      <c r="I47" s="743"/>
      <c r="J47" s="57"/>
      <c r="K47" s="58"/>
      <c r="L47" s="89" t="s">
        <v>464</v>
      </c>
      <c r="M47" s="88">
        <v>216</v>
      </c>
      <c r="N47" s="716" t="s">
        <v>446</v>
      </c>
      <c r="O47" s="715"/>
      <c r="P47" s="743"/>
      <c r="Q47" s="57"/>
      <c r="R47" s="49"/>
      <c r="S47" s="49"/>
      <c r="T47" s="49"/>
      <c r="U47" s="49"/>
      <c r="V47" s="49"/>
      <c r="W47" s="49"/>
      <c r="X47" s="49"/>
      <c r="Y47" s="49"/>
      <c r="Z47" s="49"/>
    </row>
    <row r="48" spans="2:26" ht="16.5" customHeight="1">
      <c r="B48" s="726"/>
      <c r="C48" s="56"/>
      <c r="D48" s="713" t="s">
        <v>465</v>
      </c>
      <c r="E48" s="715"/>
      <c r="F48" s="88">
        <v>368</v>
      </c>
      <c r="G48" s="716" t="s">
        <v>446</v>
      </c>
      <c r="H48" s="715"/>
      <c r="I48" s="734"/>
      <c r="J48" s="57"/>
      <c r="K48" s="58"/>
      <c r="L48" s="89" t="s">
        <v>466</v>
      </c>
      <c r="M48" s="88">
        <v>309</v>
      </c>
      <c r="N48" s="716" t="s">
        <v>446</v>
      </c>
      <c r="O48" s="715"/>
      <c r="P48" s="734"/>
      <c r="Q48" s="57"/>
      <c r="R48" s="49"/>
      <c r="S48" s="49"/>
      <c r="T48" s="49"/>
      <c r="U48" s="49"/>
      <c r="V48" s="49"/>
      <c r="W48" s="49"/>
      <c r="X48" s="49"/>
      <c r="Y48" s="49"/>
      <c r="Z48" s="49"/>
    </row>
    <row r="49" spans="2:26" ht="5.25" customHeight="1" thickBot="1">
      <c r="B49" s="727"/>
      <c r="C49" s="59"/>
      <c r="D49" s="60"/>
      <c r="E49" s="60"/>
      <c r="F49" s="60"/>
      <c r="G49" s="60"/>
      <c r="H49" s="60"/>
      <c r="I49" s="60"/>
      <c r="J49" s="61"/>
      <c r="K49" s="62"/>
      <c r="L49" s="60"/>
      <c r="M49" s="60"/>
      <c r="N49" s="60"/>
      <c r="O49" s="60"/>
      <c r="P49" s="60"/>
      <c r="Q49" s="61"/>
      <c r="R49" s="49"/>
      <c r="S49" s="49"/>
      <c r="T49" s="49"/>
      <c r="U49" s="49"/>
      <c r="V49" s="49"/>
      <c r="W49" s="49"/>
      <c r="X49" s="49"/>
      <c r="Y49" s="49"/>
      <c r="Z49" s="49"/>
    </row>
    <row r="50" spans="2:26" ht="5.25" customHeight="1">
      <c r="B50" s="725" t="s">
        <v>467</v>
      </c>
      <c r="C50" s="52"/>
      <c r="D50" s="53"/>
      <c r="E50" s="53"/>
      <c r="F50" s="53"/>
      <c r="G50" s="53"/>
      <c r="H50" s="53"/>
      <c r="I50" s="53"/>
      <c r="J50" s="54"/>
      <c r="K50" s="55"/>
      <c r="L50" s="53"/>
      <c r="M50" s="53"/>
      <c r="N50" s="53"/>
      <c r="O50" s="53"/>
      <c r="P50" s="53"/>
      <c r="Q50" s="54"/>
      <c r="R50" s="49"/>
      <c r="S50" s="49"/>
      <c r="T50" s="49"/>
      <c r="U50" s="49"/>
      <c r="V50" s="49"/>
      <c r="W50" s="49"/>
      <c r="X50" s="49"/>
      <c r="Y50" s="49"/>
      <c r="Z50" s="49"/>
    </row>
    <row r="51" spans="2:26" ht="24">
      <c r="B51" s="726"/>
      <c r="C51" s="56"/>
      <c r="D51" s="764" t="s">
        <v>374</v>
      </c>
      <c r="E51" s="714"/>
      <c r="F51" s="715"/>
      <c r="G51" s="90" t="s">
        <v>468</v>
      </c>
      <c r="H51" s="90" t="s">
        <v>469</v>
      </c>
      <c r="I51" s="91" t="s">
        <v>470</v>
      </c>
      <c r="J51" s="67"/>
      <c r="K51" s="68"/>
      <c r="L51" s="764" t="s">
        <v>374</v>
      </c>
      <c r="M51" s="715"/>
      <c r="N51" s="90" t="s">
        <v>468</v>
      </c>
      <c r="O51" s="90" t="s">
        <v>469</v>
      </c>
      <c r="P51" s="91" t="s">
        <v>471</v>
      </c>
      <c r="Q51" s="57"/>
      <c r="R51" s="49"/>
      <c r="S51" s="49"/>
      <c r="T51" s="49"/>
      <c r="U51" s="49"/>
      <c r="V51" s="49"/>
      <c r="W51" s="49"/>
      <c r="X51" s="49"/>
      <c r="Y51" s="49"/>
      <c r="Z51" s="49"/>
    </row>
    <row r="52" spans="2:26" ht="13.5">
      <c r="B52" s="726"/>
      <c r="C52" s="56"/>
      <c r="D52" s="763" t="s">
        <v>472</v>
      </c>
      <c r="E52" s="714"/>
      <c r="F52" s="715"/>
      <c r="G52" s="92">
        <v>8</v>
      </c>
      <c r="H52" s="92">
        <v>-2</v>
      </c>
      <c r="I52" s="93" t="s">
        <v>473</v>
      </c>
      <c r="J52" s="67"/>
      <c r="K52" s="68"/>
      <c r="L52" s="763" t="s">
        <v>472</v>
      </c>
      <c r="M52" s="715"/>
      <c r="N52" s="92">
        <v>4</v>
      </c>
      <c r="O52" s="92">
        <v>-1</v>
      </c>
      <c r="P52" s="93" t="s">
        <v>368</v>
      </c>
      <c r="Q52" s="57"/>
      <c r="R52" s="49"/>
      <c r="S52" s="49"/>
      <c r="T52" s="49"/>
      <c r="U52" s="49"/>
      <c r="V52" s="49"/>
      <c r="W52" s="49"/>
      <c r="X52" s="49"/>
      <c r="Y52" s="49"/>
      <c r="Z52" s="49"/>
    </row>
    <row r="53" spans="2:26" ht="27.75" customHeight="1">
      <c r="B53" s="726"/>
      <c r="C53" s="56"/>
      <c r="D53" s="763" t="s">
        <v>474</v>
      </c>
      <c r="E53" s="714"/>
      <c r="F53" s="715"/>
      <c r="G53" s="92">
        <v>6</v>
      </c>
      <c r="H53" s="94"/>
      <c r="I53" s="93" t="s">
        <v>475</v>
      </c>
      <c r="J53" s="67"/>
      <c r="K53" s="68"/>
      <c r="L53" s="763" t="s">
        <v>476</v>
      </c>
      <c r="M53" s="715"/>
      <c r="N53" s="92">
        <v>3</v>
      </c>
      <c r="O53" s="94"/>
      <c r="P53" s="93">
        <v>3</v>
      </c>
      <c r="Q53" s="57"/>
      <c r="R53" s="49"/>
      <c r="S53" s="49"/>
      <c r="T53" s="49"/>
      <c r="U53" s="49"/>
      <c r="V53" s="49"/>
      <c r="W53" s="49"/>
      <c r="X53" s="49"/>
      <c r="Y53" s="49"/>
      <c r="Z53" s="49"/>
    </row>
    <row r="54" spans="2:26" ht="13.5">
      <c r="B54" s="726"/>
      <c r="C54" s="56"/>
      <c r="D54" s="763" t="s">
        <v>477</v>
      </c>
      <c r="E54" s="714"/>
      <c r="F54" s="715"/>
      <c r="G54" s="92">
        <v>5</v>
      </c>
      <c r="H54" s="92" t="s">
        <v>478</v>
      </c>
      <c r="I54" s="93" t="s">
        <v>479</v>
      </c>
      <c r="J54" s="67"/>
      <c r="K54" s="68"/>
      <c r="L54" s="763" t="s">
        <v>480</v>
      </c>
      <c r="M54" s="715"/>
      <c r="N54" s="92">
        <v>4</v>
      </c>
      <c r="O54" s="92" t="s">
        <v>481</v>
      </c>
      <c r="P54" s="93" t="s">
        <v>370</v>
      </c>
      <c r="Q54" s="57"/>
      <c r="R54" s="49"/>
      <c r="S54" s="49"/>
      <c r="T54" s="49"/>
      <c r="U54" s="49"/>
      <c r="V54" s="49"/>
      <c r="W54" s="49"/>
      <c r="X54" s="49"/>
      <c r="Y54" s="49"/>
      <c r="Z54" s="49"/>
    </row>
    <row r="55" spans="2:26" ht="13.5">
      <c r="B55" s="726"/>
      <c r="C55" s="56"/>
      <c r="D55" s="763" t="s">
        <v>482</v>
      </c>
      <c r="E55" s="714"/>
      <c r="F55" s="715"/>
      <c r="G55" s="92">
        <v>5</v>
      </c>
      <c r="H55" s="92" t="s">
        <v>483</v>
      </c>
      <c r="I55" s="93" t="s">
        <v>484</v>
      </c>
      <c r="J55" s="67"/>
      <c r="K55" s="68"/>
      <c r="L55" s="763" t="s">
        <v>485</v>
      </c>
      <c r="M55" s="715"/>
      <c r="N55" s="92">
        <v>3</v>
      </c>
      <c r="O55" s="92" t="s">
        <v>481</v>
      </c>
      <c r="P55" s="93" t="s">
        <v>371</v>
      </c>
      <c r="Q55" s="57"/>
      <c r="R55" s="49"/>
      <c r="S55" s="49"/>
      <c r="T55" s="49"/>
      <c r="U55" s="49"/>
      <c r="V55" s="49"/>
      <c r="W55" s="49"/>
      <c r="X55" s="49"/>
      <c r="Y55" s="49"/>
      <c r="Z55" s="49"/>
    </row>
    <row r="56" spans="2:26" ht="13.5">
      <c r="B56" s="726"/>
      <c r="C56" s="56"/>
      <c r="D56" s="763" t="s">
        <v>486</v>
      </c>
      <c r="E56" s="714"/>
      <c r="F56" s="715"/>
      <c r="G56" s="92">
        <v>5</v>
      </c>
      <c r="H56" s="92" t="s">
        <v>483</v>
      </c>
      <c r="I56" s="93" t="s">
        <v>484</v>
      </c>
      <c r="J56" s="67"/>
      <c r="K56" s="68"/>
      <c r="L56" s="763" t="s">
        <v>397</v>
      </c>
      <c r="M56" s="715"/>
      <c r="N56" s="761" t="s">
        <v>487</v>
      </c>
      <c r="O56" s="714"/>
      <c r="P56" s="714"/>
      <c r="Q56" s="57"/>
      <c r="R56" s="49"/>
      <c r="S56" s="49"/>
      <c r="T56" s="49"/>
      <c r="U56" s="49"/>
      <c r="V56" s="49"/>
      <c r="W56" s="49"/>
      <c r="X56" s="49"/>
      <c r="Y56" s="49"/>
      <c r="Z56" s="49"/>
    </row>
    <row r="57" spans="2:26" ht="13.5">
      <c r="B57" s="726"/>
      <c r="C57" s="56"/>
      <c r="D57" s="763" t="s">
        <v>395</v>
      </c>
      <c r="E57" s="714"/>
      <c r="F57" s="715"/>
      <c r="G57" s="761" t="s">
        <v>487</v>
      </c>
      <c r="H57" s="714"/>
      <c r="I57" s="714"/>
      <c r="J57" s="67"/>
      <c r="K57" s="68"/>
      <c r="L57" s="95"/>
      <c r="M57" s="85"/>
      <c r="N57" s="85"/>
      <c r="O57" s="85"/>
      <c r="P57" s="85"/>
      <c r="Q57" s="57"/>
      <c r="R57" s="49"/>
      <c r="S57" s="49"/>
      <c r="T57" s="49"/>
      <c r="U57" s="49"/>
      <c r="V57" s="49"/>
      <c r="W57" s="49"/>
      <c r="X57" s="49"/>
      <c r="Y57" s="49"/>
      <c r="Z57" s="49"/>
    </row>
    <row r="58" spans="2:26" ht="13.5">
      <c r="B58" s="726"/>
      <c r="C58" s="56"/>
      <c r="D58" s="85"/>
      <c r="E58" s="85"/>
      <c r="F58" s="85"/>
      <c r="G58" s="85"/>
      <c r="H58" s="85"/>
      <c r="I58" s="85"/>
      <c r="J58" s="57"/>
      <c r="K58" s="58"/>
      <c r="L58" s="85"/>
      <c r="M58" s="85"/>
      <c r="N58" s="85"/>
      <c r="O58" s="85"/>
      <c r="P58" s="85"/>
      <c r="Q58" s="57"/>
      <c r="R58" s="49"/>
      <c r="S58" s="49"/>
      <c r="T58" s="49"/>
      <c r="U58" s="49"/>
      <c r="V58" s="49"/>
      <c r="W58" s="49"/>
      <c r="X58" s="49"/>
      <c r="Y58" s="49"/>
      <c r="Z58" s="49"/>
    </row>
    <row r="59" spans="2:26" ht="33.75" customHeight="1">
      <c r="B59" s="726"/>
      <c r="C59" s="56"/>
      <c r="D59" s="766" t="s">
        <v>488</v>
      </c>
      <c r="E59" s="751"/>
      <c r="F59" s="751"/>
      <c r="G59" s="751"/>
      <c r="H59" s="751"/>
      <c r="I59" s="751"/>
      <c r="J59" s="57"/>
      <c r="K59" s="58"/>
      <c r="L59" s="766" t="s">
        <v>489</v>
      </c>
      <c r="M59" s="766"/>
      <c r="N59" s="766"/>
      <c r="O59" s="766"/>
      <c r="P59" s="766"/>
      <c r="Q59" s="57"/>
      <c r="R59" s="49"/>
      <c r="S59" s="49"/>
      <c r="T59" s="49"/>
      <c r="U59" s="49"/>
      <c r="V59" s="49"/>
      <c r="W59" s="49"/>
      <c r="X59" s="49"/>
      <c r="Y59" s="49"/>
      <c r="Z59" s="49"/>
    </row>
    <row r="60" spans="2:26" ht="5.25" customHeight="1" thickBot="1">
      <c r="B60" s="727"/>
      <c r="C60" s="59"/>
      <c r="D60" s="60"/>
      <c r="E60" s="60"/>
      <c r="F60" s="60"/>
      <c r="G60" s="60"/>
      <c r="H60" s="60"/>
      <c r="I60" s="60"/>
      <c r="J60" s="61"/>
      <c r="K60" s="62"/>
      <c r="L60" s="60"/>
      <c r="M60" s="60"/>
      <c r="N60" s="60"/>
      <c r="O60" s="60"/>
      <c r="P60" s="60"/>
      <c r="Q60" s="61"/>
      <c r="R60" s="49"/>
      <c r="S60" s="49"/>
      <c r="T60" s="49"/>
      <c r="U60" s="49"/>
      <c r="V60" s="49"/>
      <c r="W60" s="49"/>
      <c r="X60" s="49"/>
      <c r="Y60" s="49"/>
      <c r="Z60" s="49"/>
    </row>
    <row r="61" spans="2:26" ht="5.25" customHeight="1">
      <c r="B61" s="768" t="s">
        <v>490</v>
      </c>
      <c r="C61" s="56"/>
      <c r="D61" s="85"/>
      <c r="E61" s="85"/>
      <c r="F61" s="85"/>
      <c r="G61" s="85"/>
      <c r="H61" s="85"/>
      <c r="I61" s="85"/>
      <c r="J61" s="85"/>
      <c r="K61" s="55"/>
      <c r="L61" s="53"/>
      <c r="M61" s="53"/>
      <c r="N61" s="53"/>
      <c r="O61" s="53"/>
      <c r="P61" s="53"/>
      <c r="Q61" s="54"/>
      <c r="R61" s="49"/>
      <c r="S61" s="49"/>
      <c r="T61" s="49"/>
      <c r="U61" s="49"/>
      <c r="V61" s="49"/>
      <c r="W61" s="49"/>
      <c r="X61" s="49"/>
      <c r="Y61" s="49"/>
      <c r="Z61" s="49"/>
    </row>
    <row r="62" spans="2:26" ht="13.5">
      <c r="B62" s="769"/>
      <c r="C62" s="56"/>
      <c r="D62" s="85"/>
      <c r="E62" s="85"/>
      <c r="F62" s="85"/>
      <c r="G62" s="85"/>
      <c r="H62" s="85"/>
      <c r="I62" s="85"/>
      <c r="J62" s="85"/>
      <c r="K62" s="58"/>
      <c r="L62" s="85" t="s">
        <v>491</v>
      </c>
      <c r="M62" s="85"/>
      <c r="N62" s="85"/>
      <c r="O62" s="85"/>
      <c r="P62" s="85"/>
      <c r="Q62" s="57"/>
      <c r="R62" s="49"/>
      <c r="S62" s="49"/>
      <c r="T62" s="49"/>
      <c r="U62" s="49"/>
      <c r="V62" s="49"/>
      <c r="W62" s="49"/>
      <c r="X62" s="49"/>
      <c r="Y62" s="49"/>
      <c r="Z62" s="49"/>
    </row>
    <row r="63" spans="2:26" ht="13.5">
      <c r="B63" s="769"/>
      <c r="C63" s="56"/>
      <c r="D63" s="85"/>
      <c r="E63" s="85"/>
      <c r="F63" s="85"/>
      <c r="G63" s="85"/>
      <c r="H63" s="85"/>
      <c r="I63" s="85"/>
      <c r="J63" s="85"/>
      <c r="K63" s="58"/>
      <c r="L63" s="85" t="s">
        <v>492</v>
      </c>
      <c r="M63" s="85"/>
      <c r="N63" s="85"/>
      <c r="O63" s="85"/>
      <c r="P63" s="85"/>
      <c r="Q63" s="57"/>
      <c r="R63" s="49"/>
      <c r="S63" s="49"/>
      <c r="T63" s="49"/>
      <c r="U63" s="49"/>
      <c r="V63" s="49"/>
      <c r="W63" s="49"/>
      <c r="X63" s="49"/>
      <c r="Y63" s="49"/>
      <c r="Z63" s="49"/>
    </row>
    <row r="64" spans="2:26" ht="13.5">
      <c r="B64" s="769"/>
      <c r="C64" s="56"/>
      <c r="D64" s="85"/>
      <c r="E64" s="85"/>
      <c r="F64" s="85"/>
      <c r="G64" s="85"/>
      <c r="H64" s="85"/>
      <c r="I64" s="85"/>
      <c r="J64" s="85"/>
      <c r="K64" s="58"/>
      <c r="L64" s="770" t="s">
        <v>374</v>
      </c>
      <c r="M64" s="771" t="s">
        <v>493</v>
      </c>
      <c r="N64" s="715"/>
      <c r="O64" s="771" t="s">
        <v>494</v>
      </c>
      <c r="P64" s="714"/>
      <c r="Q64" s="57"/>
      <c r="R64" s="49"/>
      <c r="S64" s="49"/>
      <c r="T64" s="49"/>
      <c r="U64" s="49"/>
      <c r="V64" s="49"/>
      <c r="W64" s="49"/>
      <c r="X64" s="49"/>
      <c r="Y64" s="49"/>
      <c r="Z64" s="49"/>
    </row>
    <row r="65" spans="2:26" ht="13.5">
      <c r="B65" s="769"/>
      <c r="C65" s="56"/>
      <c r="D65" s="85"/>
      <c r="E65" s="85"/>
      <c r="F65" s="85"/>
      <c r="G65" s="85"/>
      <c r="H65" s="85"/>
      <c r="I65" s="85"/>
      <c r="J65" s="85"/>
      <c r="K65" s="58"/>
      <c r="L65" s="731"/>
      <c r="M65" s="88" t="s">
        <v>0</v>
      </c>
      <c r="N65" s="88" t="s">
        <v>495</v>
      </c>
      <c r="O65" s="88" t="s">
        <v>0</v>
      </c>
      <c r="P65" s="96" t="s">
        <v>495</v>
      </c>
      <c r="Q65" s="57"/>
      <c r="R65" s="49"/>
      <c r="S65" s="49"/>
      <c r="T65" s="49"/>
      <c r="U65" s="49"/>
      <c r="V65" s="49"/>
      <c r="W65" s="49"/>
      <c r="X65" s="49"/>
      <c r="Y65" s="49"/>
      <c r="Z65" s="49"/>
    </row>
    <row r="66" spans="2:26" ht="13.5">
      <c r="B66" s="769"/>
      <c r="C66" s="56"/>
      <c r="D66" s="85"/>
      <c r="E66" s="85"/>
      <c r="F66" s="85"/>
      <c r="G66" s="85"/>
      <c r="H66" s="85"/>
      <c r="I66" s="85"/>
      <c r="J66" s="85"/>
      <c r="K66" s="58"/>
      <c r="L66" s="97" t="s">
        <v>204</v>
      </c>
      <c r="M66" s="98">
        <v>2</v>
      </c>
      <c r="N66" s="98">
        <v>2</v>
      </c>
      <c r="O66" s="98">
        <v>4</v>
      </c>
      <c r="P66" s="87">
        <v>0</v>
      </c>
      <c r="Q66" s="57"/>
      <c r="R66" s="49"/>
      <c r="S66" s="49"/>
      <c r="T66" s="49"/>
      <c r="U66" s="49"/>
      <c r="V66" s="49"/>
      <c r="W66" s="49"/>
      <c r="X66" s="49"/>
      <c r="Y66" s="49"/>
      <c r="Z66" s="49"/>
    </row>
    <row r="67" spans="2:26" ht="13.5">
      <c r="B67" s="769"/>
      <c r="C67" s="56"/>
      <c r="D67" s="85"/>
      <c r="E67" s="85"/>
      <c r="F67" s="85"/>
      <c r="G67" s="85"/>
      <c r="H67" s="85"/>
      <c r="I67" s="85"/>
      <c r="J67" s="85"/>
      <c r="K67" s="58"/>
      <c r="L67" s="97" t="s">
        <v>218</v>
      </c>
      <c r="M67" s="98">
        <v>2</v>
      </c>
      <c r="N67" s="98">
        <v>2</v>
      </c>
      <c r="O67" s="98">
        <v>0</v>
      </c>
      <c r="P67" s="87">
        <v>4</v>
      </c>
      <c r="Q67" s="57"/>
      <c r="R67" s="49"/>
      <c r="S67" s="49"/>
      <c r="T67" s="49"/>
      <c r="U67" s="49"/>
      <c r="V67" s="49"/>
      <c r="W67" s="49"/>
      <c r="X67" s="49"/>
      <c r="Y67" s="49"/>
      <c r="Z67" s="49"/>
    </row>
    <row r="68" spans="2:26" ht="13.5">
      <c r="B68" s="769"/>
      <c r="C68" s="56"/>
      <c r="D68" s="85"/>
      <c r="E68" s="85"/>
      <c r="F68" s="85"/>
      <c r="G68" s="85"/>
      <c r="H68" s="85"/>
      <c r="I68" s="85"/>
      <c r="J68" s="85"/>
      <c r="K68" s="58"/>
      <c r="L68" s="97" t="s">
        <v>207</v>
      </c>
      <c r="M68" s="98">
        <v>2</v>
      </c>
      <c r="N68" s="98">
        <v>2</v>
      </c>
      <c r="O68" s="98">
        <v>4</v>
      </c>
      <c r="P68" s="87">
        <v>0</v>
      </c>
      <c r="Q68" s="57"/>
      <c r="R68" s="49"/>
      <c r="S68" s="49"/>
      <c r="T68" s="49"/>
      <c r="U68" s="49"/>
      <c r="V68" s="49"/>
      <c r="W68" s="49"/>
      <c r="X68" s="49"/>
      <c r="Y68" s="49"/>
      <c r="Z68" s="49"/>
    </row>
    <row r="69" spans="2:26" ht="13.5">
      <c r="B69" s="769"/>
      <c r="C69" s="56"/>
      <c r="D69" s="85"/>
      <c r="E69" s="85"/>
      <c r="F69" s="85"/>
      <c r="G69" s="85"/>
      <c r="H69" s="85"/>
      <c r="I69" s="85"/>
      <c r="J69" s="85"/>
      <c r="K69" s="58"/>
      <c r="L69" s="85" t="s">
        <v>496</v>
      </c>
      <c r="M69" s="85"/>
      <c r="N69" s="85"/>
      <c r="O69" s="85"/>
      <c r="P69" s="85"/>
      <c r="Q69" s="57"/>
      <c r="R69" s="49"/>
      <c r="S69" s="49"/>
      <c r="T69" s="49"/>
      <c r="U69" s="49"/>
      <c r="V69" s="49"/>
      <c r="W69" s="49"/>
      <c r="X69" s="49"/>
      <c r="Y69" s="49"/>
      <c r="Z69" s="49"/>
    </row>
    <row r="70" spans="2:26" ht="13.5">
      <c r="B70" s="769"/>
      <c r="C70" s="56"/>
      <c r="D70" s="85"/>
      <c r="E70" s="85"/>
      <c r="F70" s="85"/>
      <c r="G70" s="85"/>
      <c r="H70" s="85"/>
      <c r="I70" s="85"/>
      <c r="J70" s="85"/>
      <c r="K70" s="58"/>
      <c r="L70" s="770" t="s">
        <v>374</v>
      </c>
      <c r="M70" s="771" t="s">
        <v>493</v>
      </c>
      <c r="N70" s="715"/>
      <c r="O70" s="771" t="s">
        <v>494</v>
      </c>
      <c r="P70" s="714"/>
      <c r="Q70" s="57"/>
      <c r="R70" s="49"/>
      <c r="S70" s="49"/>
      <c r="T70" s="49"/>
      <c r="U70" s="49"/>
      <c r="V70" s="49"/>
      <c r="W70" s="49"/>
      <c r="X70" s="49"/>
      <c r="Y70" s="49"/>
      <c r="Z70" s="49"/>
    </row>
    <row r="71" spans="2:26" ht="13.5">
      <c r="B71" s="769"/>
      <c r="C71" s="56"/>
      <c r="D71" s="85"/>
      <c r="E71" s="85"/>
      <c r="F71" s="85"/>
      <c r="G71" s="85"/>
      <c r="H71" s="85"/>
      <c r="I71" s="85"/>
      <c r="J71" s="85"/>
      <c r="K71" s="58"/>
      <c r="L71" s="731"/>
      <c r="M71" s="88" t="s">
        <v>0</v>
      </c>
      <c r="N71" s="88" t="s">
        <v>495</v>
      </c>
      <c r="O71" s="88" t="s">
        <v>0</v>
      </c>
      <c r="P71" s="96" t="s">
        <v>495</v>
      </c>
      <c r="Q71" s="57"/>
      <c r="R71" s="49"/>
      <c r="S71" s="49"/>
      <c r="T71" s="49"/>
      <c r="U71" s="49"/>
      <c r="V71" s="49"/>
      <c r="W71" s="49"/>
      <c r="X71" s="49"/>
      <c r="Y71" s="49"/>
      <c r="Z71" s="49"/>
    </row>
    <row r="72" spans="2:26" ht="13.5">
      <c r="B72" s="769"/>
      <c r="C72" s="56"/>
      <c r="D72" s="85"/>
      <c r="E72" s="85"/>
      <c r="F72" s="85"/>
      <c r="G72" s="85"/>
      <c r="H72" s="85"/>
      <c r="I72" s="85"/>
      <c r="J72" s="85"/>
      <c r="K72" s="58"/>
      <c r="L72" s="97" t="s">
        <v>460</v>
      </c>
      <c r="M72" s="98">
        <v>1</v>
      </c>
      <c r="N72" s="98">
        <v>1</v>
      </c>
      <c r="O72" s="98">
        <v>2</v>
      </c>
      <c r="P72" s="87">
        <v>0</v>
      </c>
      <c r="Q72" s="57"/>
      <c r="R72" s="49"/>
      <c r="S72" s="49"/>
      <c r="T72" s="49"/>
      <c r="U72" s="49"/>
      <c r="V72" s="49"/>
      <c r="W72" s="49"/>
      <c r="X72" s="49"/>
      <c r="Y72" s="49"/>
      <c r="Z72" s="49"/>
    </row>
    <row r="73" spans="2:26" ht="13.5">
      <c r="B73" s="769"/>
      <c r="C73" s="56"/>
      <c r="D73" s="85"/>
      <c r="E73" s="85"/>
      <c r="F73" s="85"/>
      <c r="G73" s="85"/>
      <c r="H73" s="85"/>
      <c r="I73" s="85"/>
      <c r="J73" s="85"/>
      <c r="K73" s="58"/>
      <c r="L73" s="97" t="s">
        <v>464</v>
      </c>
      <c r="M73" s="98">
        <v>2</v>
      </c>
      <c r="N73" s="98">
        <v>2</v>
      </c>
      <c r="O73" s="98">
        <v>0</v>
      </c>
      <c r="P73" s="87">
        <v>4</v>
      </c>
      <c r="Q73" s="57"/>
      <c r="R73" s="49"/>
      <c r="S73" s="49"/>
      <c r="T73" s="49"/>
      <c r="U73" s="49"/>
      <c r="V73" s="49"/>
      <c r="W73" s="49"/>
      <c r="X73" s="49"/>
      <c r="Y73" s="49"/>
      <c r="Z73" s="49"/>
    </row>
    <row r="74" spans="2:26" ht="13.5">
      <c r="B74" s="769"/>
      <c r="C74" s="56"/>
      <c r="D74" s="85"/>
      <c r="E74" s="85"/>
      <c r="F74" s="85"/>
      <c r="G74" s="85"/>
      <c r="H74" s="85"/>
      <c r="I74" s="85"/>
      <c r="J74" s="85"/>
      <c r="K74" s="58"/>
      <c r="L74" s="772" t="s">
        <v>497</v>
      </c>
      <c r="M74" s="765" t="s">
        <v>498</v>
      </c>
      <c r="N74" s="765" t="s">
        <v>498</v>
      </c>
      <c r="O74" s="99">
        <v>8</v>
      </c>
      <c r="P74" s="100">
        <v>0</v>
      </c>
      <c r="Q74" s="57"/>
      <c r="R74" s="49"/>
      <c r="S74" s="49"/>
      <c r="T74" s="49"/>
      <c r="U74" s="49"/>
      <c r="V74" s="49"/>
      <c r="W74" s="49"/>
      <c r="X74" s="49"/>
      <c r="Y74" s="49"/>
      <c r="Z74" s="49"/>
    </row>
    <row r="75" spans="2:26" ht="13.5">
      <c r="B75" s="769"/>
      <c r="C75" s="56"/>
      <c r="D75" s="85"/>
      <c r="E75" s="85"/>
      <c r="F75" s="85"/>
      <c r="G75" s="85"/>
      <c r="H75" s="85"/>
      <c r="I75" s="85"/>
      <c r="J75" s="85"/>
      <c r="K75" s="58"/>
      <c r="L75" s="773"/>
      <c r="M75" s="741"/>
      <c r="N75" s="741"/>
      <c r="O75" s="99">
        <v>4</v>
      </c>
      <c r="P75" s="100">
        <v>4</v>
      </c>
      <c r="Q75" s="57"/>
      <c r="R75" s="49"/>
      <c r="S75" s="49"/>
      <c r="T75" s="49"/>
      <c r="U75" s="49"/>
      <c r="V75" s="49"/>
      <c r="W75" s="49"/>
      <c r="X75" s="49"/>
      <c r="Y75" s="49"/>
      <c r="Z75" s="49"/>
    </row>
    <row r="76" spans="2:26" ht="33.75" customHeight="1">
      <c r="B76" s="769"/>
      <c r="C76" s="56"/>
      <c r="D76" s="85"/>
      <c r="E76" s="85"/>
      <c r="F76" s="85"/>
      <c r="G76" s="85"/>
      <c r="H76" s="85"/>
      <c r="I76" s="85"/>
      <c r="J76" s="85"/>
      <c r="K76" s="58"/>
      <c r="L76" s="766" t="s">
        <v>499</v>
      </c>
      <c r="M76" s="751"/>
      <c r="N76" s="751"/>
      <c r="O76" s="751"/>
      <c r="P76" s="751"/>
      <c r="Q76" s="57"/>
      <c r="R76" s="49"/>
      <c r="S76" s="49"/>
      <c r="T76" s="49"/>
      <c r="U76" s="49"/>
      <c r="V76" s="49"/>
      <c r="W76" s="49"/>
      <c r="X76" s="49"/>
      <c r="Y76" s="49"/>
      <c r="Z76" s="49"/>
    </row>
    <row r="77" spans="2:26" ht="5.25" customHeight="1">
      <c r="B77" s="769"/>
      <c r="C77" s="101"/>
      <c r="D77" s="102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4"/>
      <c r="R77" s="49"/>
      <c r="S77" s="49"/>
      <c r="T77" s="49"/>
      <c r="U77" s="49"/>
      <c r="V77" s="49"/>
      <c r="W77" s="49"/>
      <c r="X77" s="49"/>
      <c r="Y77" s="49"/>
      <c r="Z77" s="49"/>
    </row>
    <row r="78" spans="2:26" ht="5.25" customHeight="1">
      <c r="B78" s="767" t="s">
        <v>500</v>
      </c>
      <c r="C78" s="105"/>
      <c r="D78" s="106"/>
      <c r="E78" s="106"/>
      <c r="F78" s="106"/>
      <c r="G78" s="106"/>
      <c r="H78" s="106"/>
      <c r="I78" s="106"/>
      <c r="J78" s="106"/>
      <c r="K78" s="107"/>
      <c r="L78" s="106"/>
      <c r="M78" s="106"/>
      <c r="N78" s="106"/>
      <c r="O78" s="106"/>
      <c r="P78" s="106"/>
      <c r="Q78" s="108"/>
      <c r="R78" s="49"/>
      <c r="S78" s="49"/>
      <c r="T78" s="49"/>
      <c r="U78" s="49"/>
      <c r="V78" s="49"/>
      <c r="W78" s="49"/>
      <c r="X78" s="49"/>
      <c r="Y78" s="49"/>
      <c r="Z78" s="49"/>
    </row>
    <row r="79" spans="2:26" ht="13.5">
      <c r="B79" s="726"/>
      <c r="C79" s="56"/>
      <c r="D79" s="85" t="s">
        <v>501</v>
      </c>
      <c r="E79" s="85"/>
      <c r="F79" s="85"/>
      <c r="G79" s="85"/>
      <c r="H79" s="85"/>
      <c r="I79" s="85"/>
      <c r="J79" s="85"/>
      <c r="K79" s="58"/>
      <c r="L79" s="85" t="s">
        <v>502</v>
      </c>
      <c r="M79" s="85"/>
      <c r="N79" s="85"/>
      <c r="O79" s="85"/>
      <c r="P79" s="85"/>
      <c r="Q79" s="57"/>
      <c r="R79" s="49"/>
      <c r="S79" s="49"/>
      <c r="T79" s="49"/>
      <c r="U79" s="49"/>
      <c r="V79" s="49"/>
      <c r="W79" s="49"/>
      <c r="X79" s="49"/>
      <c r="Y79" s="49"/>
      <c r="Z79" s="49"/>
    </row>
    <row r="80" spans="2:26" ht="13.5">
      <c r="B80" s="726"/>
      <c r="C80" s="56"/>
      <c r="D80" s="85"/>
      <c r="E80" s="85"/>
      <c r="F80" s="85"/>
      <c r="G80" s="85"/>
      <c r="H80" s="85"/>
      <c r="I80" s="85"/>
      <c r="J80" s="85"/>
      <c r="K80" s="58"/>
      <c r="L80" s="85" t="s">
        <v>503</v>
      </c>
      <c r="M80" s="85"/>
      <c r="N80" s="85"/>
      <c r="O80" s="85"/>
      <c r="P80" s="85"/>
      <c r="Q80" s="57"/>
      <c r="R80" s="49"/>
      <c r="S80" s="49"/>
      <c r="T80" s="49"/>
      <c r="U80" s="49"/>
      <c r="V80" s="49"/>
      <c r="W80" s="49"/>
      <c r="X80" s="49"/>
      <c r="Y80" s="49"/>
      <c r="Z80" s="49"/>
    </row>
    <row r="81" spans="2:26" ht="5.25" customHeight="1" thickBot="1">
      <c r="B81" s="727"/>
      <c r="C81" s="59"/>
      <c r="D81" s="60"/>
      <c r="E81" s="60"/>
      <c r="F81" s="60"/>
      <c r="G81" s="60"/>
      <c r="H81" s="60"/>
      <c r="I81" s="60"/>
      <c r="J81" s="60"/>
      <c r="K81" s="62"/>
      <c r="L81" s="60"/>
      <c r="M81" s="60"/>
      <c r="N81" s="60"/>
      <c r="O81" s="60"/>
      <c r="P81" s="60"/>
      <c r="Q81" s="61"/>
      <c r="R81" s="49"/>
      <c r="S81" s="49"/>
      <c r="T81" s="49"/>
      <c r="U81" s="49"/>
      <c r="V81" s="49"/>
      <c r="W81" s="49"/>
      <c r="X81" s="49"/>
      <c r="Y81" s="49"/>
      <c r="Z81" s="49"/>
    </row>
    <row r="82" spans="2:26" ht="4.5" customHeight="1"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2:26" ht="13.5" hidden="1"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2:26" ht="13.5" hidden="1"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2:26" ht="13.5" hidden="1"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2:26" ht="13.5" hidden="1"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2:26" ht="13.5" hidden="1"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2:26" ht="13.5" hidden="1"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2:26" ht="13.5" hidden="1"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2:26" ht="13.5" hidden="1"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2:26" ht="13.5" hidden="1"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2:26" ht="13.5" hidden="1"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2:26" ht="13.5" hidden="1"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2:26" ht="13.5" hidden="1"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2:26" ht="13.5" hidden="1"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2:26" ht="13.5" hidden="1"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2:26" ht="13.5" hidden="1"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2:26" ht="13.5" hidden="1"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2:26" ht="13.5" hidden="1"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2:26" ht="13.5" hidden="1"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2:26" ht="13.5" hidden="1"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2:26" ht="13.5" hidden="1"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2:26" ht="13.5" hidden="1"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2:26" ht="13.5" hidden="1"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2:26" ht="13.5" hidden="1"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2:26" ht="13.5" hidden="1"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2:26" ht="13.5" hidden="1"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2:26" ht="13.5" hidden="1"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2:26" ht="13.5" hidden="1"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2:26" ht="13.5" hidden="1"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2:26" ht="13.5" hidden="1"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2:26" ht="13.5" hidden="1"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2:26" ht="13.5" hidden="1"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2:26" ht="13.5" hidden="1"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2:26" ht="13.5" hidden="1"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2:26" ht="13.5" hidden="1"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2:26" ht="13.5" hidden="1"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2:26" ht="13.5" hidden="1"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2:26" ht="13.5" hidden="1"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2:26" ht="13.5" hidden="1"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2:26" ht="13.5" hidden="1"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2:26" ht="13.5" hidden="1"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2:26" ht="13.5" hidden="1"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2:26" ht="13.5" hidden="1"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2:26" ht="13.5" hidden="1"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2:26" ht="13.5" hidden="1"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2:26" ht="13.5" hidden="1"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2:26" ht="13.5" hidden="1"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2:26" ht="13.5" hidden="1"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2:26" ht="13.5" hidden="1"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2:26" ht="13.5" hidden="1"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2:26" ht="13.5" hidden="1"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2:26" ht="13.5" hidden="1"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2:26" ht="13.5" hidden="1"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2:26" ht="13.5" hidden="1"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2:26" ht="13.5" hidden="1"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2:26" ht="13.5" hidden="1"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2:26" ht="13.5" hidden="1"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2:26" ht="13.5" hidden="1"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2:26" ht="13.5" hidden="1"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2:26" ht="13.5" hidden="1"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2:26" ht="13.5" hidden="1"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2:26" ht="13.5" hidden="1"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2:26" ht="13.5" hidden="1"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2:26" ht="13.5" hidden="1"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2:26" ht="13.5" hidden="1"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2:26" ht="13.5" hidden="1"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2:26" ht="13.5" hidden="1"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2:26" ht="13.5" hidden="1"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2:26" ht="13.5" hidden="1"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2:26" ht="13.5" hidden="1"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2:26" ht="13.5" hidden="1"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2:26" ht="13.5" hidden="1"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2:26" ht="13.5" hidden="1"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2:26" ht="13.5" hidden="1"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2:26" ht="13.5" hidden="1"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2:26" ht="13.5" hidden="1"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2:26" ht="13.5" hidden="1"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2:26" ht="13.5" hidden="1"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2:26" ht="13.5" hidden="1"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2:26" ht="13.5" hidden="1"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2:26" ht="13.5" hidden="1"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2:26" ht="13.5" hidden="1"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2:26" ht="13.5" hidden="1"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2:26" ht="13.5" hidden="1"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2:26" ht="13.5" hidden="1"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2:26" ht="13.5" hidden="1"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2:26" ht="13.5" hidden="1"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2:26" ht="13.5" hidden="1"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2:26" ht="13.5" hidden="1"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2:26" ht="13.5" hidden="1"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2:26" ht="13.5" hidden="1"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2:26" ht="13.5" hidden="1"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2:26" ht="13.5" hidden="1"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2:26" ht="13.5" hidden="1"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2:26" ht="13.5" hidden="1"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2:26" ht="13.5" hidden="1"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2:26" ht="13.5" hidden="1"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2:26" ht="13.5" hidden="1"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2:26" ht="13.5" hidden="1"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2:26" ht="13.5" hidden="1"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2:26" ht="13.5" hidden="1"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2:26" ht="13.5" hidden="1"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2:26" ht="13.5" hidden="1"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2:26" ht="13.5" hidden="1"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2:26" ht="13.5" hidden="1"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2:26" ht="13.5" hidden="1"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2:26" ht="13.5" hidden="1"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2:26" ht="13.5" hidden="1"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2:26" ht="13.5" hidden="1"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2:26" ht="13.5" hidden="1"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2:26" ht="13.5" hidden="1"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2:26" ht="13.5" hidden="1"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2:26" ht="13.5" hidden="1"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2:26" ht="13.5" hidden="1"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2:26" ht="13.5" hidden="1"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2:26" ht="13.5" hidden="1"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2:26" ht="13.5" hidden="1"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2:26" ht="13.5" hidden="1"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2:26" ht="13.5" hidden="1"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2:26" ht="13.5" hidden="1"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2:26" ht="13.5" hidden="1"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2:26" ht="13.5" hidden="1"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2:26" ht="13.5" hidden="1"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2:26" ht="13.5" hidden="1"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2:26" ht="13.5" hidden="1"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2:26" ht="13.5" hidden="1"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2:26" ht="13.5" hidden="1"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2:26" ht="13.5" hidden="1"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2:26" ht="13.5" hidden="1"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2:26" ht="13.5" hidden="1"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2:26" ht="13.5" hidden="1"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2:26" ht="13.5" hidden="1"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2:26" ht="13.5" hidden="1"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2:26" ht="13.5" hidden="1"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2:26" ht="13.5" hidden="1"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2:26" ht="13.5" hidden="1"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2:26" ht="13.5" hidden="1"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2:26" ht="13.5" hidden="1"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2:26" ht="13.5" hidden="1"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2:26" ht="13.5" hidden="1"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2:26" ht="13.5" hidden="1"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2:26" ht="13.5" hidden="1"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2:26" ht="13.5" hidden="1"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2:26" ht="13.5" hidden="1"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2:26" ht="13.5" hidden="1"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2:26" ht="13.5" hidden="1"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2:26" ht="13.5" hidden="1"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2:26" ht="13.5" hidden="1"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2:26" ht="13.5" hidden="1"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2:26" ht="13.5" hidden="1"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2:26" ht="13.5" hidden="1"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2:26" ht="13.5" hidden="1"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2:26" ht="13.5" hidden="1"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2:26" ht="13.5" hidden="1"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2:26" ht="13.5" hidden="1"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2:26" ht="13.5" hidden="1"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2:26" ht="13.5" hidden="1"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2:26" ht="13.5" hidden="1"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2:26" ht="13.5" hidden="1"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2:26" ht="13.5" hidden="1"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2:26" ht="13.5" hidden="1"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2:26" ht="13.5" hidden="1"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2:26" ht="13.5" hidden="1"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2:26" ht="13.5" hidden="1"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2:26" ht="13.5" hidden="1"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2:26" ht="13.5" hidden="1"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2:26" ht="13.5" hidden="1"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2:26" ht="13.5" hidden="1"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2:26" ht="13.5" hidden="1"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2:26" ht="13.5" hidden="1"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2:26" ht="13.5" hidden="1"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2:26" ht="13.5" hidden="1"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2:26" ht="13.5" hidden="1"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2:26" ht="13.5" hidden="1"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2:26" ht="13.5" hidden="1"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2:26" ht="13.5" hidden="1"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2:26" ht="13.5" hidden="1"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2:26" ht="13.5" hidden="1"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2:26" ht="13.5" hidden="1"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2:26" ht="13.5" hidden="1"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2:26" ht="13.5" hidden="1"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2:26" ht="13.5" hidden="1"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2:26" ht="13.5" hidden="1"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2:26" ht="13.5" hidden="1"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2:26" ht="13.5" hidden="1"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2:26" ht="13.5" hidden="1"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2:26" ht="13.5" hidden="1"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2:26" ht="13.5" hidden="1"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2:26" ht="13.5" hidden="1"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2:26" ht="13.5" hidden="1"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2:26" ht="13.5" hidden="1"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2:26" ht="13.5" hidden="1"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2:26" ht="13.5" hidden="1"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2:26" ht="13.5" hidden="1"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2:26" ht="13.5" hidden="1"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2:26" ht="13.5" hidden="1"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2:26" ht="13.5" hidden="1"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2:26" ht="13.5" hidden="1"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2:26" ht="13.5" hidden="1"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2:26" ht="13.5" hidden="1"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2:26" ht="13.5" hidden="1"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2:26" ht="13.5" hidden="1"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2:26" ht="13.5" hidden="1"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2:26" ht="13.5" hidden="1"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2:26" ht="13.5" hidden="1"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2:26" ht="13.5" hidden="1"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2:26" ht="13.5" hidden="1"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2:26" ht="13.5" hidden="1"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2:26" ht="13.5" hidden="1"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2:26" ht="13.5" hidden="1"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2:26" ht="13.5" hidden="1"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2:26" ht="13.5" hidden="1"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2:26" ht="13.5" hidden="1"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2:26" ht="13.5" hidden="1"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2:26" ht="13.5" hidden="1"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2:26" ht="13.5" hidden="1"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2:26" ht="13.5" hidden="1"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2:26" ht="13.5" hidden="1"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2:26" ht="13.5" hidden="1"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2:26" ht="13.5" hidden="1"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2:26" ht="13.5" hidden="1"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2:26" ht="13.5" hidden="1"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2:26" ht="13.5" hidden="1"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2:26" ht="13.5" hidden="1"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2:26" ht="13.5" hidden="1"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2:26" ht="13.5" hidden="1"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2:26" ht="13.5" hidden="1"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2:26" ht="13.5" hidden="1"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2:26" ht="13.5" hidden="1"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2:26" ht="13.5" hidden="1"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2:26" ht="13.5" hidden="1"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2:26" ht="13.5" hidden="1"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2:26" ht="13.5" hidden="1"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2:26" ht="13.5" hidden="1"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2:26" ht="13.5" hidden="1"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2:26" ht="13.5" hidden="1"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2:26" ht="13.5" hidden="1"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2:26" ht="13.5" hidden="1"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2:26" ht="13.5" hidden="1"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2:26" ht="13.5" hidden="1"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2:26" ht="13.5" hidden="1"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2:26" ht="13.5" hidden="1"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2:26" ht="13.5" hidden="1"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2:26" ht="13.5" hidden="1"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2:26" ht="13.5" hidden="1"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2:26" ht="13.5" hidden="1"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2:26" ht="13.5" hidden="1"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2:26" ht="13.5" hidden="1"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2:26" ht="13.5" hidden="1"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2:26" ht="13.5" hidden="1"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2:26" ht="13.5" hidden="1"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2:26" ht="13.5" hidden="1"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2:26" ht="13.5" hidden="1"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2:26" ht="13.5" hidden="1"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2:26" ht="13.5" hidden="1"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2:26" ht="13.5" hidden="1"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2:26" ht="13.5" hidden="1"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2:26" ht="13.5" hidden="1"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2:26" ht="13.5" hidden="1"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2:26" ht="13.5" hidden="1"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2:26" ht="13.5" hidden="1"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2:26" ht="13.5" hidden="1"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2:26" ht="13.5" hidden="1"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2:26" ht="13.5" hidden="1"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2:26" ht="13.5" hidden="1"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2:26" ht="13.5" hidden="1"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2:26" ht="13.5" hidden="1"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2:26" ht="13.5" hidden="1"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2:26" ht="13.5" hidden="1"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2:26" ht="13.5" hidden="1"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2:26" ht="13.5" hidden="1"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2:26" ht="13.5" hidden="1"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2:26" ht="13.5" hidden="1"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2:26" ht="13.5" hidden="1"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2:26" ht="13.5" hidden="1"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2:26" ht="13.5" hidden="1"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2:26" ht="13.5" hidden="1"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2:26" ht="13.5" hidden="1"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2:26" ht="13.5" hidden="1"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2:26" ht="13.5" hidden="1"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2:26" ht="13.5" hidden="1"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2:26" ht="13.5" hidden="1"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2:26" ht="13.5" hidden="1"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2:26" ht="13.5" hidden="1"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2:26" ht="13.5" hidden="1"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2:26" ht="13.5" hidden="1"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2:26" ht="13.5" hidden="1"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2:26" ht="13.5" hidden="1"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2:26" ht="13.5" hidden="1"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2:26" ht="13.5" hidden="1"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2:26" ht="13.5" hidden="1"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2:26" ht="13.5" hidden="1"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2:26" ht="13.5" hidden="1"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2:26" ht="13.5" hidden="1"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2:26" ht="13.5" hidden="1"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2:26" ht="13.5" hidden="1"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2:26" ht="13.5" hidden="1"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2:26" ht="13.5" hidden="1"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2:26" ht="13.5" hidden="1"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2:26" ht="13.5" hidden="1"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2:26" ht="13.5" hidden="1"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2:26" ht="13.5" hidden="1"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2:26" ht="13.5" hidden="1"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2:26" ht="13.5" hidden="1"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2:26" ht="13.5" hidden="1"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2:26" ht="13.5" hidden="1"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2:26" ht="13.5" hidden="1"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2:26" ht="13.5" hidden="1"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2:26" ht="13.5" hidden="1"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2:26" ht="13.5" hidden="1"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2:26" ht="13.5" hidden="1"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2:26" ht="13.5" hidden="1"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2:26" ht="13.5" hidden="1"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2:26" ht="13.5" hidden="1"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2:26" ht="13.5" hidden="1"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2:26" ht="13.5" hidden="1"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2:26" ht="13.5" hidden="1"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2:26" ht="13.5" hidden="1"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2:26" ht="13.5" hidden="1"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2:26" ht="13.5" hidden="1"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2:26" ht="13.5" hidden="1"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2:26" ht="13.5" hidden="1"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2:26" ht="13.5" hidden="1"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2:26" ht="13.5" hidden="1"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2:26" ht="13.5" hidden="1"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2:26" ht="13.5" hidden="1"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2:26" ht="13.5" hidden="1"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2:26" ht="13.5" hidden="1"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2:26" ht="13.5" hidden="1"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2:26" ht="13.5" hidden="1"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2:26" ht="13.5" hidden="1"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2:26" ht="13.5" hidden="1"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2:26" ht="13.5" hidden="1"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2:26" ht="13.5" hidden="1"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2:26" ht="13.5" hidden="1"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2:26" ht="13.5" hidden="1"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2:26" ht="13.5" hidden="1"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2:26" ht="13.5" hidden="1"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2:26" ht="13.5" hidden="1"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2:26" ht="13.5" hidden="1"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2:26" ht="13.5" hidden="1"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2:26" ht="13.5" hidden="1"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2:26" ht="13.5" hidden="1"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2:26" ht="13.5" hidden="1"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2:26" ht="13.5" hidden="1"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2:26" ht="13.5" hidden="1"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2:26" ht="13.5" hidden="1"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2:26" ht="13.5" hidden="1"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2:26" ht="13.5" hidden="1"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2:26" ht="13.5" hidden="1"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2:26" ht="13.5" hidden="1"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2:26" ht="13.5" hidden="1"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2:26" ht="13.5" hidden="1"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2:26" ht="13.5" hidden="1"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2:26" ht="13.5" hidden="1"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2:26" ht="13.5" hidden="1"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2:26" ht="13.5" hidden="1"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2:26" ht="13.5" hidden="1"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2:26" ht="13.5" hidden="1"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2:26" ht="13.5" hidden="1"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2:26" ht="13.5" hidden="1"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2:26" ht="13.5" hidden="1"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2:26" ht="13.5" hidden="1"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2:26" ht="13.5" hidden="1"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2:26" ht="13.5" hidden="1"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2:26" ht="13.5" hidden="1"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2:26" ht="13.5" hidden="1"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2:26" ht="13.5" hidden="1"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2:26" ht="13.5" hidden="1"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2:26" ht="13.5" hidden="1"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2:26" ht="13.5" hidden="1"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2:26" ht="13.5" hidden="1"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2:26" ht="13.5" hidden="1"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2:26" ht="13.5" hidden="1"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2:26" ht="13.5" hidden="1"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2:26" ht="13.5" hidden="1"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2:26" ht="13.5" hidden="1"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2:26" ht="13.5" hidden="1"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2:26" ht="13.5" hidden="1"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2:26" ht="13.5" hidden="1"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2:26" ht="13.5" hidden="1"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2:26" ht="13.5" hidden="1"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2:26" ht="13.5" hidden="1"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2:26" ht="13.5" hidden="1"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2:26" ht="13.5" hidden="1"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2:26" ht="13.5" hidden="1"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2:26" ht="13.5" hidden="1"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2:26" ht="13.5" hidden="1"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2:26" ht="13.5" hidden="1"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2:26" ht="13.5" hidden="1"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2:26" ht="13.5" hidden="1"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2:26" ht="13.5" hidden="1"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2:26" ht="13.5" hidden="1"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2:26" ht="13.5" hidden="1"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2:26" ht="13.5" hidden="1"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2:26" ht="13.5" hidden="1"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2:26" ht="13.5" hidden="1"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2:26" ht="13.5" hidden="1"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2:26" ht="13.5" hidden="1"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2:26" ht="13.5" hidden="1"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2:26" ht="13.5" hidden="1"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2:26" ht="13.5" hidden="1"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2:26" ht="13.5" hidden="1"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2:26" ht="13.5" hidden="1"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2:26" ht="13.5" hidden="1"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2:26" ht="13.5" hidden="1"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2:26" ht="13.5" hidden="1"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2:26" ht="13.5" hidden="1"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2:26" ht="13.5" hidden="1"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2:26" ht="13.5" hidden="1"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2:26" ht="13.5" hidden="1"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2:26" ht="13.5" hidden="1"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2:26" ht="13.5" hidden="1"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2:26" ht="13.5" hidden="1"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2:26" ht="13.5" hidden="1"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2:26" ht="13.5" hidden="1"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2:26" ht="13.5" hidden="1"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2:26" ht="13.5" hidden="1"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2:26" ht="13.5" hidden="1"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2:26" ht="13.5" hidden="1"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2:26" ht="13.5" hidden="1"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2:26" ht="13.5" hidden="1"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2:26" ht="13.5" hidden="1"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2:26" ht="13.5" hidden="1"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2:26" ht="13.5" hidden="1"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2:26" ht="13.5" hidden="1"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2:26" ht="13.5" hidden="1"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2:26" ht="13.5" hidden="1"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2:26" ht="13.5" hidden="1"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2:26" ht="13.5" hidden="1"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2:26" ht="13.5" hidden="1"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2:26" ht="13.5" hidden="1"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2:26" ht="13.5" hidden="1"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2:26" ht="13.5" hidden="1"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2:26" ht="13.5" hidden="1"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2:26" ht="13.5" hidden="1"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2:26" ht="13.5" hidden="1"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2:26" ht="13.5" hidden="1"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2:26" ht="13.5" hidden="1"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2:26" ht="13.5" hidden="1"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2:26" ht="13.5" hidden="1"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2:26" ht="13.5" hidden="1"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2:26" ht="13.5" hidden="1"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2:26" ht="13.5" hidden="1"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2:26" ht="13.5" hidden="1"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2:26" ht="13.5" hidden="1"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2:26" ht="13.5" hidden="1"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2:26" ht="13.5" hidden="1"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2:26" ht="13.5" hidden="1"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2:26" ht="13.5" hidden="1"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2:26" ht="13.5" hidden="1"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2:26" ht="13.5" hidden="1"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2:26" ht="13.5" hidden="1"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2:26" ht="13.5" hidden="1"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2:26" ht="13.5" hidden="1"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2:26" ht="13.5" hidden="1"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2:26" ht="13.5" hidden="1"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2:26" ht="13.5" hidden="1"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2:26" ht="13.5" hidden="1"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2:26" ht="13.5" hidden="1"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2:26" ht="13.5" hidden="1"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2:26" ht="13.5" hidden="1"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2:26" ht="13.5" hidden="1"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2:26" ht="13.5" hidden="1"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2:26" ht="13.5" hidden="1"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2:26" ht="13.5" hidden="1"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2:26" ht="13.5" hidden="1"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2:26" ht="13.5" hidden="1"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2:26" ht="13.5" hidden="1"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2:26" ht="13.5" hidden="1"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2:26" ht="13.5" hidden="1"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2:26" ht="13.5" hidden="1"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2:26" ht="13.5" hidden="1"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2:26" ht="13.5" hidden="1"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2:26" ht="13.5" hidden="1"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2:26" ht="13.5" hidden="1"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2:26" ht="13.5" hidden="1"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2:26" ht="13.5" hidden="1"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2:26" ht="13.5" hidden="1"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2:26" ht="13.5" hidden="1"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2:26" ht="13.5" hidden="1"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2:26" ht="13.5" hidden="1"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2:26" ht="13.5" hidden="1"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2:26" ht="13.5" hidden="1"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2:26" ht="13.5" hidden="1"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2:26" ht="13.5" hidden="1"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2:26" ht="13.5" hidden="1"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2:26" ht="13.5" hidden="1"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2:26" ht="13.5" hidden="1"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2:26" ht="13.5" hidden="1"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2:26" ht="13.5" hidden="1"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2:26" ht="13.5" hidden="1"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2:26" ht="13.5" hidden="1"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2:26" ht="13.5" hidden="1"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2:26" ht="13.5" hidden="1"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2:26" ht="13.5" hidden="1"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2:26" ht="13.5" hidden="1"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2:26" ht="13.5" hidden="1"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2:26" ht="13.5" hidden="1"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2:26" ht="13.5" hidden="1"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2:26" ht="13.5" hidden="1"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2:26" ht="13.5" hidden="1"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2:26" ht="13.5" hidden="1"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2:26" ht="13.5" hidden="1"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2:26" ht="13.5" hidden="1"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2:26" ht="13.5" hidden="1"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2:26" ht="13.5" hidden="1"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2:26" ht="13.5" hidden="1"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2:26" ht="13.5" hidden="1"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2:26" ht="13.5" hidden="1"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2:26" ht="13.5" hidden="1"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2:26" ht="13.5" hidden="1"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2:26" ht="13.5" hidden="1"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2:26" ht="13.5" hidden="1"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2:26" ht="13.5" hidden="1"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2:26" ht="13.5" hidden="1"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2:26" ht="13.5" hidden="1"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2:26" ht="13.5" hidden="1"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2:26" ht="13.5" hidden="1"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2:26" ht="13.5" hidden="1"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2:26" ht="13.5" hidden="1"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2:26" ht="13.5" hidden="1"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2:26" ht="13.5" hidden="1"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2:26" ht="13.5" hidden="1"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2:26" ht="13.5" hidden="1"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2:26" ht="13.5" hidden="1"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2:26" ht="13.5" hidden="1"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2:26" ht="13.5" hidden="1"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2:26" ht="13.5" hidden="1"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2:26" ht="13.5" hidden="1"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2:26" ht="13.5" hidden="1"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2:26" ht="13.5" hidden="1"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2:26" ht="13.5" hidden="1"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2:26" ht="13.5" hidden="1"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2:26" ht="13.5" hidden="1"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2:26" ht="13.5" hidden="1"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2:26" ht="13.5" hidden="1"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2:26" ht="13.5" hidden="1"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2:26" ht="13.5" hidden="1"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2:26" ht="13.5" hidden="1"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2:26" ht="13.5" hidden="1"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2:26" ht="13.5" hidden="1"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2:26" ht="13.5" hidden="1"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2:26" ht="13.5" hidden="1"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2:26" ht="13.5" hidden="1"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2:26" ht="13.5" hidden="1"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2:26" ht="13.5" hidden="1"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2:26" ht="13.5" hidden="1"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2:26" ht="13.5" hidden="1"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2:26" ht="13.5" hidden="1"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2:26" ht="13.5" hidden="1"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2:26" ht="13.5" hidden="1"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2:26" ht="13.5" hidden="1"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2:26" ht="13.5" hidden="1"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2:26" ht="13.5" hidden="1"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2:26" ht="13.5" hidden="1"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2:26" ht="13.5" hidden="1"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2:26" ht="13.5" hidden="1"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2:26" ht="13.5" hidden="1"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2:26" ht="13.5" hidden="1"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2:26" ht="13.5" hidden="1"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2:26" ht="13.5" hidden="1"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2:26" ht="13.5" hidden="1"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2:26" ht="13.5" hidden="1"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2:26" ht="13.5" hidden="1"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2:26" ht="13.5" hidden="1"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2:26" ht="13.5" hidden="1"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2:26" ht="13.5" hidden="1"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2:26" ht="13.5" hidden="1"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2:26" ht="13.5" hidden="1"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2:26" ht="13.5" hidden="1"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2:26" ht="13.5" hidden="1"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2:26" ht="13.5" hidden="1"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2:26" ht="13.5" hidden="1"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2:26" ht="13.5" hidden="1"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2:26" ht="13.5" hidden="1"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2:26" ht="13.5" hidden="1"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2:26" ht="13.5" hidden="1"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2:26" ht="13.5" hidden="1"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2:26" ht="13.5" hidden="1"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2:26" ht="13.5" hidden="1"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2:26" ht="13.5" hidden="1"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2:26" ht="13.5" hidden="1"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2:26" ht="13.5" hidden="1"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2:26" ht="13.5" hidden="1"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2:26" ht="13.5" hidden="1"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2:26" ht="13.5" hidden="1"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2:26" ht="13.5" hidden="1"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2:26" ht="13.5" hidden="1"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2:26" ht="13.5" hidden="1"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2:26" ht="13.5" hidden="1"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2:26" ht="13.5" hidden="1"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2:26" ht="13.5" hidden="1"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2:26" ht="13.5" hidden="1"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2:26" ht="13.5" hidden="1"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2:26" ht="13.5" hidden="1"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2:26" ht="13.5" hidden="1"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2:26" ht="13.5" hidden="1"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2:26" ht="13.5" hidden="1"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2:26" ht="13.5" hidden="1"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2:26" ht="13.5" hidden="1"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2:26" ht="13.5" hidden="1"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2:26" ht="13.5" hidden="1"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2:26" ht="13.5" hidden="1"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2:26" ht="13.5" hidden="1"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2:26" ht="13.5" hidden="1"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2:26" ht="13.5" hidden="1"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2:26" ht="13.5" hidden="1"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2:26" ht="13.5" hidden="1"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2:26" ht="13.5" hidden="1"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2:26" ht="13.5" hidden="1"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2:26" ht="13.5" hidden="1"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2:26" ht="13.5" hidden="1"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2:26" ht="13.5" hidden="1"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2:26" ht="13.5" hidden="1"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2:26" ht="13.5" hidden="1"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2:26" ht="13.5" hidden="1"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2:26" ht="13.5" hidden="1"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2:26" ht="13.5" hidden="1"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2:26" ht="13.5" hidden="1"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2:26" ht="13.5" hidden="1"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2:26" ht="13.5" hidden="1"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2:26" ht="13.5" hidden="1"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2:26" ht="13.5" hidden="1"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2:26" ht="13.5" hidden="1"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2:26" ht="13.5" hidden="1"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2:26" ht="13.5" hidden="1"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2:26" ht="13.5" hidden="1"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2:26" ht="13.5" hidden="1"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2:26" ht="13.5" hidden="1"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2:26" ht="13.5" hidden="1"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2:26" ht="13.5" hidden="1"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2:26" ht="13.5" hidden="1"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2:26" ht="13.5" hidden="1"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2:26" ht="13.5" hidden="1"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2:26" ht="13.5" hidden="1"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2:26" ht="13.5" hidden="1"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2:26" ht="13.5" hidden="1"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2:26" ht="13.5" hidden="1"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2:26" ht="13.5" hidden="1"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2:26" ht="13.5" hidden="1"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2:26" ht="13.5" hidden="1"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2:26" ht="13.5" hidden="1"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2:26" ht="13.5" hidden="1"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2:26" ht="13.5" hidden="1"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2:26" ht="13.5" hidden="1"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2:26" ht="13.5" hidden="1"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2:26" ht="13.5" hidden="1"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2:26" ht="13.5" hidden="1"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2:26" ht="13.5" hidden="1"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2:26" ht="13.5" hidden="1"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2:26" ht="13.5" hidden="1"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2:26" ht="13.5" hidden="1"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2:26" ht="13.5" hidden="1"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2:26" ht="13.5" hidden="1"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2:26" ht="13.5" hidden="1"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2:26" ht="13.5" hidden="1"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2:26" ht="13.5" hidden="1"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2:26" ht="13.5" hidden="1"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2:26" ht="13.5" hidden="1"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2:26" ht="13.5" hidden="1"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2:26" ht="13.5" hidden="1"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2:26" ht="13.5" hidden="1"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2:26" ht="13.5" hidden="1"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2:26" ht="13.5" hidden="1"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2:26" ht="13.5" hidden="1"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2:26" ht="13.5" hidden="1"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2:26" ht="13.5" hidden="1"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2:26" ht="13.5" hidden="1"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2:26" ht="13.5" hidden="1"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2:26" ht="13.5" hidden="1"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2:26" ht="13.5" hidden="1"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2:26" ht="13.5" hidden="1"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2:26" ht="13.5" hidden="1"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2:26" ht="13.5" hidden="1"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2:26" ht="13.5" hidden="1"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2:26" ht="13.5" hidden="1"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2:26" ht="13.5" hidden="1"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2:26" ht="13.5" hidden="1"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2:26" ht="13.5" hidden="1"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2:26" ht="13.5" hidden="1"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2:26" ht="13.5" hidden="1"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2:26" ht="13.5" hidden="1"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2:26" ht="13.5" hidden="1"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2:26" ht="13.5" hidden="1"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2:26" ht="13.5" hidden="1"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2:26" ht="13.5" hidden="1"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2:26" ht="13.5" hidden="1"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2:26" ht="13.5" hidden="1"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2:26" ht="13.5" hidden="1"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2:26" ht="13.5" hidden="1"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2:26" ht="13.5" hidden="1"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2:26" ht="13.5" hidden="1"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2:26" ht="13.5" hidden="1"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2:26" ht="13.5" hidden="1"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2:26" ht="13.5" hidden="1"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2:26" ht="13.5" hidden="1"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2:26" ht="13.5" hidden="1"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2:26" ht="13.5" hidden="1"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2:26" ht="13.5" hidden="1"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2:26" ht="13.5" hidden="1"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2:26" ht="13.5" hidden="1"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2:26" ht="13.5" hidden="1"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2:26" ht="13.5" hidden="1"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2:26" ht="13.5" hidden="1"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2:26" ht="13.5" hidden="1"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2:26" ht="13.5" hidden="1"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2:26" ht="13.5" hidden="1"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2:26" ht="13.5" hidden="1"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2:26" ht="13.5" hidden="1"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2:26" ht="13.5" hidden="1"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2:26" ht="13.5" hidden="1"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2:26" ht="13.5" hidden="1"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2:26" ht="13.5" hidden="1"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2:26" ht="13.5" hidden="1"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2:26" ht="13.5" hidden="1"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2:26" ht="13.5" hidden="1"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2:26" ht="13.5" hidden="1"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2:26" ht="13.5" hidden="1"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2:26" ht="13.5" hidden="1"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2:26" ht="13.5" hidden="1"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2:26" ht="13.5" hidden="1"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2:26" ht="13.5" hidden="1"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2:26" ht="13.5" hidden="1"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2:26" ht="13.5" hidden="1"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2:26" ht="13.5" hidden="1"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2:26" ht="13.5" hidden="1"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2:26" ht="13.5" hidden="1"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2:26" ht="13.5" hidden="1"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2:26" ht="13.5" hidden="1"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2:26" ht="13.5" hidden="1"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2:26" ht="13.5" hidden="1"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2:26" ht="13.5" hidden="1"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2:26" ht="13.5" hidden="1"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2:26" ht="13.5" hidden="1"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2:26" ht="13.5" hidden="1"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2:26" ht="13.5" hidden="1"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2:26" ht="13.5" hidden="1"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2:26" ht="13.5" hidden="1"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2:26" ht="13.5" hidden="1"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2:26" ht="13.5" hidden="1"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2:26" ht="13.5" hidden="1"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2:26" ht="13.5" hidden="1"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2:26" ht="13.5" hidden="1"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2:26" ht="13.5" hidden="1"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2:26" ht="13.5" hidden="1"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2:26" ht="13.5" hidden="1"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2:26" ht="13.5" hidden="1"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2:26" ht="13.5" hidden="1"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2:26" ht="13.5" hidden="1"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2:26" ht="13.5" hidden="1"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2:26" ht="13.5" hidden="1"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2:26" ht="13.5" hidden="1"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2:26" ht="13.5" hidden="1"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2:26" ht="13.5" hidden="1"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2:26" ht="13.5" hidden="1"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2:26" ht="13.5" hidden="1"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2:26" ht="13.5" hidden="1"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2:26" ht="13.5" hidden="1"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2:26" ht="13.5" hidden="1"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2:26" ht="13.5" hidden="1"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2:26" ht="13.5" hidden="1"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2:26" ht="13.5" hidden="1"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2:26" ht="13.5" hidden="1"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2:26" ht="13.5" hidden="1"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2:26" ht="13.5" hidden="1"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2:26" ht="13.5" hidden="1"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2:26" ht="13.5" hidden="1"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2:26" ht="13.5" hidden="1"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2:26" ht="13.5" hidden="1"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2:26" ht="13.5" hidden="1"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2:26" ht="13.5" hidden="1"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2:26" ht="13.5" hidden="1"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2:26" ht="13.5" hidden="1"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2:26" ht="13.5" hidden="1"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2:26" ht="13.5" hidden="1"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2:26" ht="13.5" hidden="1"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2:26" ht="13.5" hidden="1"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2:26" ht="13.5" hidden="1"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2:26" ht="13.5" hidden="1"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2:26" ht="13.5" hidden="1"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2:26" ht="13.5" hidden="1"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2:26" ht="13.5" hidden="1"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2:26" ht="13.5" hidden="1"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2:26" ht="13.5" hidden="1"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2:26" ht="13.5" hidden="1"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2:26" ht="13.5" hidden="1"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2:26" ht="13.5" hidden="1"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2:26" ht="13.5" hidden="1"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2:26" ht="13.5" hidden="1"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2:26" ht="13.5" hidden="1"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2:26" ht="13.5" hidden="1"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2:26" ht="13.5" hidden="1"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2:26" ht="13.5" hidden="1"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2:26" ht="13.5" hidden="1"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2:26" ht="13.5" hidden="1"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2:26" ht="13.5" hidden="1"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2:26" ht="13.5" hidden="1"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2:26" ht="13.5" hidden="1"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2:26" ht="13.5" hidden="1"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2:26" ht="13.5" hidden="1"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2:26" ht="13.5" hidden="1"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2:26" ht="13.5" hidden="1"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2:26" ht="13.5" hidden="1"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2:26" ht="13.5" hidden="1"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2:26" ht="13.5" hidden="1"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2:26" ht="13.5" hidden="1"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2:26" ht="13.5" hidden="1"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2:26" ht="13.5" hidden="1"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2:26" ht="13.5" hidden="1"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2:26" ht="13.5" hidden="1"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2:26" ht="13.5" hidden="1"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2:26" ht="13.5" hidden="1"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2:26" ht="13.5" hidden="1"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2:26" ht="13.5" hidden="1"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2:26" ht="13.5" hidden="1"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2:26" ht="13.5" hidden="1"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2:26" ht="13.5" hidden="1"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2:26" ht="13.5" hidden="1"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2:26" ht="13.5" hidden="1"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2:26" ht="13.5" hidden="1"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2:26" ht="13.5" hidden="1"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2:26" ht="13.5" hidden="1"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2:26" ht="13.5" hidden="1"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2:26" ht="13.5" hidden="1"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2:26" ht="13.5" hidden="1"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2:26" ht="13.5" hidden="1"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2:26" ht="13.5" hidden="1"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2:26" ht="13.5" hidden="1"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2:26" ht="13.5" hidden="1"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2:26" ht="13.5" hidden="1"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2:26" ht="13.5" hidden="1"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2:26" ht="13.5" hidden="1"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2:26" ht="13.5" hidden="1"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2:26" ht="13.5" hidden="1"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2:26" ht="13.5" hidden="1"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2:26" ht="13.5" hidden="1"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2:26" ht="13.5" hidden="1"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2:26" ht="13.5" hidden="1"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2:26" ht="13.5" hidden="1"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2:26" ht="13.5" hidden="1"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2:26" ht="13.5" hidden="1"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2:26" ht="13.5" hidden="1"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2:26" ht="13.5" hidden="1"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2:26" ht="13.5" hidden="1"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2:26" ht="13.5" hidden="1"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2:26" ht="13.5" hidden="1"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2:26" ht="13.5" hidden="1"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2:26" ht="13.5" hidden="1"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2:26" ht="13.5" hidden="1"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2:26" ht="13.5" hidden="1"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2:26" ht="13.5" hidden="1"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2:26" ht="13.5" hidden="1"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2:26" ht="13.5" hidden="1"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2:26" ht="13.5" hidden="1"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2:26" ht="13.5" hidden="1"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2:26" ht="13.5" hidden="1"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2:26" ht="13.5" hidden="1"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2:26" ht="13.5" hidden="1"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2:26" ht="13.5" hidden="1"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2:26" ht="13.5" hidden="1"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2:26" ht="13.5" hidden="1"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2:26" ht="13.5" hidden="1"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2:26" ht="13.5" hidden="1"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2:26" ht="13.5" hidden="1"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2:26" ht="13.5" hidden="1"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2:26" ht="13.5" hidden="1"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2:26" ht="13.5" hidden="1"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2:26" ht="13.5" hidden="1"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2:26" ht="13.5" hidden="1"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2:26" ht="13.5" hidden="1"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2:26" ht="13.5" hidden="1"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2:26" ht="13.5" hidden="1"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2:26" ht="13.5" hidden="1"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2:26" ht="13.5" hidden="1"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2:26" ht="13.5" hidden="1"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2:26" ht="13.5" hidden="1"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2:26" ht="13.5" hidden="1"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2:26" ht="13.5" hidden="1"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2:26" ht="13.5" hidden="1"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2:26" ht="13.5" hidden="1"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2:26" ht="13.5" hidden="1"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2:26" ht="13.5" hidden="1"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2:26" ht="13.5" hidden="1"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2:26" ht="13.5" hidden="1"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2:26" ht="13.5" hidden="1"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2:26" ht="13.5" hidden="1"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2:26" ht="13.5" hidden="1"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2:26" ht="13.5" hidden="1"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2:26" ht="13.5" hidden="1"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2:26" ht="13.5" hidden="1"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2:26" ht="13.5" hidden="1"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2:26" ht="13.5" hidden="1"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2:26" ht="13.5" hidden="1"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2:26" ht="13.5" hidden="1"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2:26" ht="13.5" hidden="1"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2:26" ht="13.5" hidden="1"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2:26" ht="13.5" hidden="1"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2:26" ht="13.5" hidden="1"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2:26" ht="13.5" hidden="1"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2:26" ht="13.5" hidden="1"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2:26" ht="13.5" hidden="1"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2:26" ht="13.5" hidden="1"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2:26" ht="13.5" hidden="1"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2:26" ht="13.5" hidden="1"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2:26" ht="13.5" hidden="1"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2:26" ht="13.5" hidden="1"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2:26" ht="13.5" hidden="1"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2:26" ht="13.5" hidden="1"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2:26" ht="13.5" hidden="1"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2:26" ht="13.5" hidden="1"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2:26" ht="13.5" hidden="1"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2:26" ht="13.5" hidden="1"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2:26" ht="13.5" hidden="1"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2:26" ht="13.5" hidden="1"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2:26" ht="13.5" hidden="1"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2:26" ht="13.5" hidden="1"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2:26" ht="13.5" hidden="1"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교육과정편제표(미래자동차부품가공과)</vt:lpstr>
      <vt:lpstr>실무과목 능력단위(미래자동차부품가공과)</vt:lpstr>
      <vt:lpstr>교육과정편제표(미래자동차금형과)</vt:lpstr>
      <vt:lpstr>실무과목 능력단위(미래자동차금형과)</vt:lpstr>
      <vt:lpstr>교육과정편제표(미래자동차전기전자과)</vt:lpstr>
      <vt:lpstr>실무과목 능력단위(미래자동차전기전자과)</vt:lpstr>
      <vt:lpstr>삭제금지</vt:lpstr>
      <vt:lpstr>(참고1) 편성 기준🔐</vt:lpstr>
      <vt:lpstr>'교육과정편제표(미래자동차금형과)'!Print_Area</vt:lpstr>
      <vt:lpstr>'교육과정편제표(미래자동차부품가공과)'!Print_Area</vt:lpstr>
      <vt:lpstr>'교육과정편제표(미래자동차전기전자과)'!Print_Area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2026-10-23T00:57:28Z</cp:lastPrinted>
  <dcterms:created xsi:type="dcterms:W3CDTF">2020-03-04T02:26:59Z</dcterms:created>
  <dcterms:modified xsi:type="dcterms:W3CDTF">2026-10-23T02:46:19Z</dcterms:modified>
</cp:coreProperties>
</file>