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2026\편제 수정\"/>
    </mc:Choice>
  </mc:AlternateContent>
  <xr:revisionPtr revIDLastSave="0" documentId="13_ncr:1_{82BC0281-A5A4-4DD0-899B-D7918DBB16C8}" xr6:coauthVersionLast="47" xr6:coauthVersionMax="47" xr10:uidLastSave="{00000000-0000-0000-0000-000000000000}"/>
  <bookViews>
    <workbookView xWindow="-108" yWindow="-108" windowWidth="23256" windowHeight="12456" tabRatio="795" activeTab="1" xr2:uid="{00000000-000D-0000-FFFF-FFFF00000000}"/>
  </bookViews>
  <sheets>
    <sheet name="교육과정편제표(2027학년도)" sheetId="26" r:id="rId1"/>
    <sheet name="실무과목 능력단위(2027학년도)" sheetId="27" r:id="rId2"/>
    <sheet name="삭제금지" sheetId="4" r:id="rId3"/>
    <sheet name="(참고1) 편성 기준🔐" sheetId="16" r:id="rId4"/>
  </sheets>
  <definedNames>
    <definedName name="_xlnm._FilterDatabase" localSheetId="0" hidden="1">'교육과정편제표(2027학년도)'!$M$3:$P$4</definedName>
    <definedName name="_xlnm._FilterDatabase" localSheetId="2" hidden="1">삭제금지!$A$1:$F$151</definedName>
    <definedName name="_xlnm._FilterDatabase" localSheetId="1" hidden="1">'실무과목 능력단위(2027학년도)'!#REF!</definedName>
    <definedName name="_xlnm.Print_Area" localSheetId="0">'교육과정편제표(2027학년도)'!$A$1:$AE$65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3" i="27" l="1"/>
  <c r="Q73" i="27"/>
  <c r="P73" i="27"/>
  <c r="O73" i="27"/>
  <c r="N73" i="27"/>
  <c r="M73" i="27"/>
  <c r="L73" i="27"/>
  <c r="K73" i="27"/>
  <c r="J73" i="27"/>
  <c r="I73" i="27"/>
  <c r="U72" i="27"/>
  <c r="T72" i="27"/>
  <c r="V72" i="27" s="1"/>
  <c r="U71" i="27"/>
  <c r="T71" i="27"/>
  <c r="T73" i="27" s="1"/>
  <c r="R71" i="27"/>
  <c r="V71" i="27" s="1"/>
  <c r="U70" i="27"/>
  <c r="R70" i="27"/>
  <c r="V70" i="27" s="1"/>
  <c r="U69" i="27"/>
  <c r="U73" i="27" s="1"/>
  <c r="R69" i="27"/>
  <c r="V69" i="27" s="1"/>
  <c r="S68" i="27"/>
  <c r="R68" i="27"/>
  <c r="Q68" i="27"/>
  <c r="P68" i="27"/>
  <c r="O68" i="27"/>
  <c r="N68" i="27"/>
  <c r="M68" i="27"/>
  <c r="L68" i="27"/>
  <c r="K68" i="27"/>
  <c r="J68" i="27"/>
  <c r="I68" i="27"/>
  <c r="V67" i="27"/>
  <c r="U67" i="27"/>
  <c r="T67" i="27"/>
  <c r="U66" i="27"/>
  <c r="T66" i="27"/>
  <c r="V66" i="27" s="1"/>
  <c r="V65" i="27"/>
  <c r="U65" i="27"/>
  <c r="R65" i="27"/>
  <c r="U64" i="27"/>
  <c r="U68" i="27" s="1"/>
  <c r="R64" i="27"/>
  <c r="V64" i="27" s="1"/>
  <c r="V68" i="27" s="1"/>
  <c r="T63" i="27"/>
  <c r="S63" i="27"/>
  <c r="R63" i="27"/>
  <c r="Q63" i="27"/>
  <c r="O63" i="27"/>
  <c r="N63" i="27"/>
  <c r="M63" i="27"/>
  <c r="L63" i="27"/>
  <c r="K63" i="27"/>
  <c r="J63" i="27"/>
  <c r="I63" i="27"/>
  <c r="U62" i="27"/>
  <c r="U63" i="27" s="1"/>
  <c r="P62" i="27"/>
  <c r="P63" i="27" s="1"/>
  <c r="U61" i="27"/>
  <c r="P61" i="27"/>
  <c r="V61" i="27" s="1"/>
  <c r="T60" i="27"/>
  <c r="S60" i="27"/>
  <c r="R60" i="27"/>
  <c r="Q60" i="27"/>
  <c r="O60" i="27"/>
  <c r="M60" i="27"/>
  <c r="L60" i="27"/>
  <c r="K60" i="27"/>
  <c r="J60" i="27"/>
  <c r="I60" i="27"/>
  <c r="U59" i="27"/>
  <c r="P59" i="27"/>
  <c r="V59" i="27" s="1"/>
  <c r="V58" i="27"/>
  <c r="U58" i="27"/>
  <c r="P58" i="27"/>
  <c r="U57" i="27"/>
  <c r="P57" i="27"/>
  <c r="P60" i="27" s="1"/>
  <c r="V56" i="27"/>
  <c r="U56" i="27"/>
  <c r="P56" i="27"/>
  <c r="U55" i="27"/>
  <c r="N55" i="27"/>
  <c r="V55" i="27" s="1"/>
  <c r="U54" i="27"/>
  <c r="U60" i="27" s="1"/>
  <c r="N54" i="27"/>
  <c r="V54" i="27" s="1"/>
  <c r="U53" i="27"/>
  <c r="N53" i="27"/>
  <c r="V53" i="27" s="1"/>
  <c r="U52" i="27"/>
  <c r="N52" i="27"/>
  <c r="V52" i="27" s="1"/>
  <c r="S51" i="27"/>
  <c r="R51" i="27"/>
  <c r="Q51" i="27"/>
  <c r="P51" i="27"/>
  <c r="O51" i="27"/>
  <c r="N51" i="27"/>
  <c r="M51" i="27"/>
  <c r="L51" i="27"/>
  <c r="K51" i="27"/>
  <c r="J51" i="27"/>
  <c r="I51" i="27"/>
  <c r="V50" i="27"/>
  <c r="U50" i="27"/>
  <c r="T50" i="27"/>
  <c r="U49" i="27"/>
  <c r="T49" i="27"/>
  <c r="T51" i="27" s="1"/>
  <c r="V48" i="27"/>
  <c r="U48" i="27"/>
  <c r="T48" i="27"/>
  <c r="R48" i="27"/>
  <c r="U47" i="27"/>
  <c r="U51" i="27" s="1"/>
  <c r="R47" i="27"/>
  <c r="V47" i="27" s="1"/>
  <c r="S46" i="27"/>
  <c r="Q46" i="27"/>
  <c r="P46" i="27"/>
  <c r="O46" i="27"/>
  <c r="N46" i="27"/>
  <c r="M46" i="27"/>
  <c r="L46" i="27"/>
  <c r="K46" i="27"/>
  <c r="J46" i="27"/>
  <c r="I46" i="27"/>
  <c r="V45" i="27"/>
  <c r="U45" i="27"/>
  <c r="T45" i="27"/>
  <c r="U44" i="27"/>
  <c r="T44" i="27"/>
  <c r="T46" i="27" s="1"/>
  <c r="U43" i="27"/>
  <c r="U46" i="27" s="1"/>
  <c r="R43" i="27"/>
  <c r="R46" i="27" s="1"/>
  <c r="U42" i="27"/>
  <c r="R42" i="27"/>
  <c r="V42" i="27" s="1"/>
  <c r="T41" i="27"/>
  <c r="S41" i="27"/>
  <c r="R41" i="27"/>
  <c r="Q41" i="27"/>
  <c r="O41" i="27"/>
  <c r="N41" i="27"/>
  <c r="M41" i="27"/>
  <c r="L41" i="27"/>
  <c r="K41" i="27"/>
  <c r="J41" i="27"/>
  <c r="I41" i="27"/>
  <c r="U40" i="27"/>
  <c r="U41" i="27" s="1"/>
  <c r="P40" i="27"/>
  <c r="P41" i="27" s="1"/>
  <c r="V39" i="27"/>
  <c r="U39" i="27"/>
  <c r="P39" i="27"/>
  <c r="T38" i="27"/>
  <c r="S38" i="27"/>
  <c r="R38" i="27"/>
  <c r="Q38" i="27"/>
  <c r="O38" i="27"/>
  <c r="M38" i="27"/>
  <c r="L38" i="27"/>
  <c r="K38" i="27"/>
  <c r="J38" i="27"/>
  <c r="I38" i="27"/>
  <c r="U37" i="27"/>
  <c r="P37" i="27"/>
  <c r="N37" i="27"/>
  <c r="V37" i="27" s="1"/>
  <c r="V36" i="27"/>
  <c r="U36" i="27"/>
  <c r="P36" i="27"/>
  <c r="N36" i="27"/>
  <c r="U35" i="27"/>
  <c r="P35" i="27"/>
  <c r="N35" i="27"/>
  <c r="V35" i="27" s="1"/>
  <c r="U34" i="27"/>
  <c r="P34" i="27"/>
  <c r="N34" i="27"/>
  <c r="V34" i="27" s="1"/>
  <c r="U33" i="27"/>
  <c r="U38" i="27" s="1"/>
  <c r="P33" i="27"/>
  <c r="V33" i="27" s="1"/>
  <c r="N33" i="27"/>
  <c r="U32" i="27"/>
  <c r="P32" i="27"/>
  <c r="P38" i="27" s="1"/>
  <c r="N32" i="27"/>
  <c r="V32" i="27" s="1"/>
  <c r="T31" i="27"/>
  <c r="S31" i="27"/>
  <c r="R31" i="27"/>
  <c r="Q31" i="27"/>
  <c r="P31" i="27"/>
  <c r="O31" i="27"/>
  <c r="N31" i="27"/>
  <c r="M31" i="27"/>
  <c r="L31" i="27"/>
  <c r="K31" i="27"/>
  <c r="J31" i="27"/>
  <c r="I31" i="27"/>
  <c r="V30" i="27"/>
  <c r="V31" i="27" s="1"/>
  <c r="U30" i="27"/>
  <c r="U31" i="27" s="1"/>
  <c r="N30" i="27"/>
  <c r="S29" i="27"/>
  <c r="R29" i="27"/>
  <c r="Q29" i="27"/>
  <c r="P29" i="27"/>
  <c r="O29" i="27"/>
  <c r="N29" i="27"/>
  <c r="M29" i="27"/>
  <c r="L29" i="27"/>
  <c r="K29" i="27"/>
  <c r="J29" i="27"/>
  <c r="I29" i="27"/>
  <c r="U28" i="27"/>
  <c r="T28" i="27"/>
  <c r="V28" i="27" s="1"/>
  <c r="U27" i="27"/>
  <c r="T27" i="27"/>
  <c r="T29" i="27" s="1"/>
  <c r="U26" i="27"/>
  <c r="R26" i="27"/>
  <c r="V26" i="27" s="1"/>
  <c r="U25" i="27"/>
  <c r="U29" i="27" s="1"/>
  <c r="R25" i="27"/>
  <c r="V25" i="27" s="1"/>
  <c r="S24" i="27"/>
  <c r="R24" i="27"/>
  <c r="Q24" i="27"/>
  <c r="P24" i="27"/>
  <c r="O24" i="27"/>
  <c r="N24" i="27"/>
  <c r="M24" i="27"/>
  <c r="L24" i="27"/>
  <c r="K24" i="27"/>
  <c r="J24" i="27"/>
  <c r="I24" i="27"/>
  <c r="V23" i="27"/>
  <c r="U23" i="27"/>
  <c r="T23" i="27"/>
  <c r="U22" i="27"/>
  <c r="U24" i="27" s="1"/>
  <c r="T22" i="27"/>
  <c r="T24" i="27" s="1"/>
  <c r="S21" i="27"/>
  <c r="Q21" i="27"/>
  <c r="P21" i="27"/>
  <c r="O21" i="27"/>
  <c r="N21" i="27"/>
  <c r="M21" i="27"/>
  <c r="L21" i="27"/>
  <c r="K21" i="27"/>
  <c r="J21" i="27"/>
  <c r="I21" i="27"/>
  <c r="V20" i="27"/>
  <c r="U20" i="27"/>
  <c r="U21" i="27" s="1"/>
  <c r="T20" i="27"/>
  <c r="U19" i="27"/>
  <c r="T19" i="27"/>
  <c r="T21" i="27" s="1"/>
  <c r="U18" i="27"/>
  <c r="R18" i="27"/>
  <c r="V18" i="27" s="1"/>
  <c r="U17" i="27"/>
  <c r="R17" i="27"/>
  <c r="V17" i="27" s="1"/>
  <c r="S16" i="27"/>
  <c r="Q16" i="27"/>
  <c r="P16" i="27"/>
  <c r="O16" i="27"/>
  <c r="N16" i="27"/>
  <c r="M16" i="27"/>
  <c r="L16" i="27"/>
  <c r="K16" i="27"/>
  <c r="J16" i="27"/>
  <c r="I16" i="27"/>
  <c r="U15" i="27"/>
  <c r="T15" i="27"/>
  <c r="V15" i="27" s="1"/>
  <c r="V14" i="27"/>
  <c r="U14" i="27"/>
  <c r="T14" i="27"/>
  <c r="U13" i="27"/>
  <c r="R13" i="27"/>
  <c r="V13" i="27" s="1"/>
  <c r="V12" i="27"/>
  <c r="U12" i="27"/>
  <c r="U16" i="27" s="1"/>
  <c r="R12" i="27"/>
  <c r="R16" i="27" s="1"/>
  <c r="T11" i="27"/>
  <c r="S11" i="27"/>
  <c r="R11" i="27"/>
  <c r="Q11" i="27"/>
  <c r="P11" i="27"/>
  <c r="O11" i="27"/>
  <c r="N11" i="27"/>
  <c r="M11" i="27"/>
  <c r="K11" i="27"/>
  <c r="J11" i="27"/>
  <c r="I11" i="27"/>
  <c r="U10" i="27"/>
  <c r="L10" i="27"/>
  <c r="V10" i="27" s="1"/>
  <c r="U9" i="27"/>
  <c r="U11" i="27" s="1"/>
  <c r="L9" i="27"/>
  <c r="V9" i="27" s="1"/>
  <c r="V11" i="27" s="1"/>
  <c r="S63" i="26"/>
  <c r="O63" i="26"/>
  <c r="W63" i="26" s="1"/>
  <c r="K63" i="26"/>
  <c r="AA62" i="26"/>
  <c r="Y62" i="26"/>
  <c r="AA64" i="26" s="1"/>
  <c r="W62" i="26"/>
  <c r="W61" i="26"/>
  <c r="Y58" i="26"/>
  <c r="W58" i="26"/>
  <c r="Q57" i="26"/>
  <c r="O57" i="26"/>
  <c r="K57" i="26"/>
  <c r="W57" i="26" s="1"/>
  <c r="AA59" i="26" s="1"/>
  <c r="Y55" i="26"/>
  <c r="U55" i="26"/>
  <c r="S55" i="26"/>
  <c r="S57" i="26" s="1"/>
  <c r="Q55" i="26"/>
  <c r="O55" i="26"/>
  <c r="M55" i="26"/>
  <c r="K55" i="26"/>
  <c r="W55" i="26" s="1"/>
  <c r="I55" i="26"/>
  <c r="I57" i="26" s="1"/>
  <c r="H55" i="26"/>
  <c r="W54" i="26"/>
  <c r="J51" i="26" s="1"/>
  <c r="W53" i="26"/>
  <c r="W52" i="26"/>
  <c r="W51" i="26"/>
  <c r="W50" i="26"/>
  <c r="W49" i="26"/>
  <c r="W48" i="26"/>
  <c r="J47" i="26" s="1"/>
  <c r="J55" i="26" s="1"/>
  <c r="J57" i="26" s="1"/>
  <c r="W47" i="26"/>
  <c r="W46" i="26"/>
  <c r="W45" i="26"/>
  <c r="W44" i="26"/>
  <c r="W43" i="26"/>
  <c r="W42" i="26"/>
  <c r="W41" i="26"/>
  <c r="W40" i="26"/>
  <c r="W39" i="26"/>
  <c r="W38" i="26"/>
  <c r="W37" i="26"/>
  <c r="W36" i="26"/>
  <c r="W35" i="26"/>
  <c r="W34" i="26"/>
  <c r="W33" i="26"/>
  <c r="W32" i="26"/>
  <c r="W31" i="26"/>
  <c r="W30" i="26"/>
  <c r="Y29" i="26"/>
  <c r="Y57" i="26" s="1"/>
  <c r="U29" i="26"/>
  <c r="U57" i="26" s="1"/>
  <c r="S29" i="26"/>
  <c r="Q29" i="26"/>
  <c r="O29" i="26"/>
  <c r="M29" i="26"/>
  <c r="M57" i="26" s="1"/>
  <c r="K29" i="26"/>
  <c r="W29" i="26" s="1"/>
  <c r="AA29" i="26" s="1"/>
  <c r="J29" i="26"/>
  <c r="H29" i="26"/>
  <c r="H57" i="26" s="1"/>
  <c r="W27" i="26"/>
  <c r="W25" i="26"/>
  <c r="W24" i="26"/>
  <c r="W23" i="26"/>
  <c r="W22" i="26"/>
  <c r="W21" i="26"/>
  <c r="X21" i="26" s="1"/>
  <c r="W20" i="26"/>
  <c r="W19" i="26"/>
  <c r="X19" i="26" s="1"/>
  <c r="W18" i="26"/>
  <c r="X17" i="26"/>
  <c r="W17" i="26"/>
  <c r="W16" i="26"/>
  <c r="W15" i="26"/>
  <c r="X15" i="26" s="1"/>
  <c r="W14" i="26"/>
  <c r="W13" i="26"/>
  <c r="X13" i="26" s="1"/>
  <c r="W12" i="26"/>
  <c r="W11" i="26"/>
  <c r="X11" i="26" s="1"/>
  <c r="W10" i="26"/>
  <c r="W9" i="26"/>
  <c r="X9" i="26" s="1"/>
  <c r="V73" i="27" l="1"/>
  <c r="V16" i="27"/>
  <c r="V60" i="27"/>
  <c r="V41" i="27"/>
  <c r="V29" i="27"/>
  <c r="V38" i="27"/>
  <c r="L11" i="27"/>
  <c r="N60" i="27"/>
  <c r="V62" i="27"/>
  <c r="V63" i="27" s="1"/>
  <c r="N38" i="27"/>
  <c r="V40" i="27"/>
  <c r="R21" i="27"/>
  <c r="V57" i="27"/>
  <c r="V19" i="27"/>
  <c r="V21" i="27" s="1"/>
  <c r="T16" i="27"/>
  <c r="V27" i="27"/>
  <c r="R73" i="27"/>
  <c r="V22" i="27"/>
  <c r="V24" i="27" s="1"/>
  <c r="V49" i="27"/>
  <c r="V51" i="27" s="1"/>
  <c r="V44" i="27"/>
  <c r="T68" i="27"/>
  <c r="V43" i="27"/>
  <c r="V46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55" authorId="0" shapeId="0" xr:uid="{962DA141-E2E8-430C-B235-BD32C41EBD0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<sst xmlns="http://schemas.openxmlformats.org/spreadsheetml/2006/main" count="1498" uniqueCount="656">
  <si>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</si>
  <si>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</si>
  <si>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</si>
  <si>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</si>
  <si>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</si>
  <si>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</si>
  <si>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</si>
  <si>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</si>
  <si>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</si>
  <si>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</si>
  <si>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</si>
  <si>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</si>
  <si>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</si>
  <si>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</si>
  <si>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</si>
  <si>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</si>
  <si>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</si>
  <si>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</si>
  <si>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</si>
  <si>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</si>
  <si>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</si>
  <si>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</si>
  <si>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</si>
  <si>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</si>
  <si>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</si>
  <si>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</si>
  <si>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</si>
  <si>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</si>
  <si>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</si>
  <si>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</si>
  <si>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</si>
  <si>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</si>
  <si>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</si>
  <si>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</si>
  <si>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</si>
  <si>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</si>
  <si>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</si>
  <si>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</si>
  <si>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</si>
  <si>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</si>
  <si>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</si>
  <si>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</si>
  <si>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</si>
  <si>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</si>
  <si>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</si>
  <si>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</si>
  <si>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</si>
  <si>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</si>
  <si>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</si>
  <si>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</si>
  <si>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</si>
  <si>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</si>
  <si>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</si>
  <si>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</si>
  <si>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</si>
  <si>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</si>
  <si>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</si>
  <si>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</si>
  <si>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</si>
  <si>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</si>
  <si>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</si>
  <si>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</si>
  <si>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</si>
  <si>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</si>
  <si>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</si>
  <si>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</si>
  <si>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</si>
  <si>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</si>
  <si>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</si>
  <si>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</si>
  <si>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</si>
  <si>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</si>
  <si>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</si>
  <si>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</si>
  <si>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</si>
  <si>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</si>
  <si>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</si>
  <si>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</si>
  <si>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</si>
  <si>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</si>
  <si>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</si>
  <si>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</si>
  <si>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</si>
  <si>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</si>
  <si>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</si>
  <si>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</si>
  <si>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</si>
  <si>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</si>
  <si>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</si>
  <si>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</si>
  <si>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</si>
  <si>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</si>
  <si>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</si>
  <si>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</si>
  <si>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</si>
  <si>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</si>
  <si>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</si>
  <si>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</si>
  <si>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</si>
  <si>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</si>
  <si>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</si>
  <si>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</si>
  <si>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</si>
  <si>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</si>
  <si>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</si>
  <si>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</si>
  <si>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</si>
  <si>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</si>
  <si>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</si>
  <si>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</si>
  <si>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</si>
  <si>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</si>
  <si>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</si>
  <si>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</si>
  <si>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</si>
  <si>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</si>
  <si>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</si>
  <si>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</si>
  <si>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</si>
  <si>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</si>
  <si>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학과명</t>
    <phoneticPr fontId="9" type="noConversion"/>
  </si>
  <si>
    <t>인력양성유형</t>
    <phoneticPr fontId="9" type="noConversion"/>
  </si>
  <si>
    <t>입학년도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</si>
  <si>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</si>
  <si>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</si>
  <si>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</si>
  <si>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</si>
  <si>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</si>
  <si>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</si>
  <si>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</si>
  <si>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</si>
  <si>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</si>
  <si>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</si>
  <si>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</si>
  <si>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</si>
  <si>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성명</t>
    <phoneticPr fontId="9" type="noConversion"/>
  </si>
  <si>
    <t>최소학점수</t>
    <phoneticPr fontId="9" type="noConversion"/>
  </si>
  <si>
    <t>전기·전자</t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</si>
  <si>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</si>
  <si>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</si>
  <si>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</si>
  <si>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</si>
  <si>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</si>
  <si>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</si>
  <si>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</si>
  <si>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</si>
  <si>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</si>
  <si>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</si>
  <si>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</si>
  <si>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</si>
  <si>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</si>
  <si>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</si>
  <si>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</si>
  <si>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</si>
  <si>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</si>
  <si>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</si>
  <si>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</si>
  <si>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</si>
  <si>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</si>
  <si>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</si>
  <si>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</si>
  <si>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</si>
  <si>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</si>
  <si>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</si>
  <si>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</si>
  <si>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</si>
  <si>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</si>
  <si>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</si>
  <si>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</si>
  <si>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전기과</t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</si>
  <si>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</si>
  <si>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</si>
  <si>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</si>
  <si>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</si>
  <si>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</si>
  <si>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</si>
  <si>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</si>
  <si>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</si>
  <si>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</si>
  <si>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</si>
  <si>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</si>
  <si>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</si>
  <si>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</si>
  <si>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</si>
  <si>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</si>
  <si>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</si>
  <si>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</si>
  <si>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</si>
  <si>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</si>
  <si>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</si>
  <si>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</si>
  <si>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</si>
  <si>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</si>
  <si>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</si>
  <si>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</si>
  <si>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</si>
  <si>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</si>
  <si>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</si>
  <si>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</si>
  <si>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</si>
  <si>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</si>
  <si>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</si>
  <si>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</si>
  <si>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</si>
  <si>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</si>
  <si>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</si>
  <si>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</si>
  <si>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</si>
  <si>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</si>
  <si>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</si>
  <si>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</si>
  <si>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</si>
  <si>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</si>
  <si>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</si>
  <si>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</si>
  <si>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</si>
  <si>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</si>
  <si>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</si>
  <si>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</si>
  <si>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</si>
  <si>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</si>
  <si>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</si>
  <si>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</si>
  <si>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</si>
  <si>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</si>
  <si>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</si>
  <si>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</si>
  <si>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</si>
  <si>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</si>
  <si>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</si>
  <si>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</si>
  <si>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</si>
  <si>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</si>
  <si>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</si>
  <si>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</si>
  <si>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</si>
  <si>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</si>
  <si>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</si>
  <si>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</si>
  <si>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</si>
  <si>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</si>
  <si>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</si>
  <si>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</si>
  <si>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</si>
  <si>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</si>
  <si>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</si>
  <si>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</si>
  <si>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</si>
  <si>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</si>
  <si>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</si>
  <si>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</si>
  <si>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</si>
  <si>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</si>
  <si>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</si>
  <si>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</si>
  <si>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</si>
  <si>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</si>
  <si>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</si>
  <si>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</si>
  <si>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</si>
  <si>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</si>
  <si>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</si>
  <si>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</si>
  <si>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</si>
  <si>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</si>
  <si>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</si>
  <si>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</si>
  <si>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</si>
  <si>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</si>
  <si>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</si>
  <si>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</si>
  <si>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</si>
  <si>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</si>
  <si>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</si>
  <si>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</si>
  <si>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</si>
  <si>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</si>
  <si>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</si>
  <si>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</si>
  <si>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</si>
  <si>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</si>
  <si>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</si>
  <si>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</si>
  <si>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</si>
  <si>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</si>
  <si>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</si>
  <si>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</si>
  <si>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</si>
  <si>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</si>
  <si>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</si>
  <si>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</si>
  <si>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</si>
  <si>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</si>
  <si>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</si>
  <si>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</si>
  <si>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</si>
  <si>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</si>
  <si>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</si>
  <si>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</si>
  <si>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</si>
  <si>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</si>
  <si>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</si>
  <si>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</si>
  <si>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</si>
  <si>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</si>
  <si>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</si>
  <si>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</si>
  <si>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</si>
  <si>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</si>
  <si>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</si>
  <si>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</si>
  <si>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</si>
  <si>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</si>
  <si>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</si>
  <si>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</si>
  <si>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</si>
  <si>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</si>
  <si>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</si>
  <si>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</si>
  <si>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</si>
  <si>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</si>
  <si>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</si>
  <si>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</si>
  <si>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</si>
  <si>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3~5</t>
    <phoneticPr fontId="9" type="noConversion"/>
  </si>
  <si>
    <t>사회(역사/도덕 포함)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</si>
  <si>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</si>
  <si>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</si>
  <si>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</si>
  <si>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</si>
  <si>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</si>
  <si>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</si>
  <si>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</si>
  <si>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</si>
  <si>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</si>
  <si>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</si>
  <si>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</si>
  <si>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</si>
  <si>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</si>
  <si>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</si>
  <si>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</si>
  <si>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</si>
  <si>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</si>
  <si>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</si>
  <si>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</si>
  <si>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</si>
  <si>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</si>
  <si>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</si>
  <si>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</si>
  <si>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</si>
  <si>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</si>
  <si>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</si>
  <si>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</si>
  <si>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</si>
  <si>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</si>
  <si>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</si>
  <si>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</si>
  <si>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</si>
  <si>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</si>
  <si>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</si>
  <si>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</si>
  <si>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</si>
  <si>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</si>
  <si>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</si>
  <si>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</si>
  <si>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</si>
  <si>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</si>
  <si>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</si>
  <si>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</si>
  <si>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</si>
  <si>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</si>
  <si>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</si>
  <si>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</si>
  <si>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</si>
  <si>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</si>
  <si>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</si>
  <si>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</si>
  <si>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</si>
  <si>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</si>
  <si>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</si>
  <si>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</si>
  <si>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</si>
  <si>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</si>
  <si>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</si>
  <si>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</si>
  <si>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</si>
  <si>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</si>
  <si>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</si>
  <si>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</si>
  <si>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</si>
  <si>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</si>
  <si>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</si>
  <si>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</si>
  <si>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</si>
  <si>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</si>
  <si>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</si>
  <si>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</si>
  <si>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</si>
  <si>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</si>
  <si>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</si>
  <si>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</si>
  <si>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</si>
  <si>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</si>
  <si>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</si>
  <si>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</si>
  <si>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</si>
  <si>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</si>
  <si>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</si>
  <si>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</si>
  <si>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</si>
  <si>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</si>
  <si>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</si>
  <si>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</si>
  <si>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</si>
  <si>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</si>
  <si>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</si>
  <si>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</si>
  <si>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</si>
  <si>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</si>
  <si>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</si>
  <si>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</si>
  <si>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</si>
  <si>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</si>
  <si>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</si>
  <si>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</si>
  <si>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</si>
  <si>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</si>
  <si>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</si>
  <si>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</si>
  <si>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</si>
  <si>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</si>
  <si>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</si>
  <si>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</si>
  <si>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</si>
  <si>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</si>
  <si>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</si>
  <si>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</si>
  <si>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</si>
  <si>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</si>
  <si>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</si>
  <si>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</si>
  <si>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</si>
  <si>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</si>
  <si>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</si>
  <si>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</si>
  <si>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</si>
  <si>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</si>
  <si>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</si>
  <si>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</si>
  <si>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</si>
  <si>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</si>
  <si>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</si>
  <si>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</si>
  <si>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</si>
  <si>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</si>
  <si>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</si>
  <si>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</si>
  <si>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</si>
  <si>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</si>
  <si>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</si>
  <si>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</si>
  <si>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</si>
  <si>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</si>
  <si>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</si>
  <si>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</si>
  <si>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</si>
  <si>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</si>
  <si>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</si>
  <si>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</si>
  <si>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</si>
  <si>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</si>
  <si>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</si>
  <si>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</si>
  <si>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</si>
  <si>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</si>
  <si>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</si>
  <si>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</si>
  <si>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</si>
  <si>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</si>
  <si>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</si>
  <si>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</si>
  <si>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</si>
  <si>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</si>
  <si>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</si>
  <si>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</si>
  <si>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</si>
  <si>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공주마이스터고등학교</t>
    <phoneticPr fontId="9" type="noConversion"/>
  </si>
  <si>
    <t>전자과</t>
  </si>
  <si>
    <t>전기전자과</t>
    <phoneticPr fontId="9" type="noConversion"/>
  </si>
  <si>
    <t>과정평가형</t>
  </si>
  <si>
    <t>박지영</t>
    <phoneticPr fontId="9" type="noConversion"/>
  </si>
  <si>
    <t>운동과 건강</t>
    <phoneticPr fontId="9" type="noConversion"/>
  </si>
  <si>
    <t>성공적인 직업생활</t>
    <phoneticPr fontId="9" type="noConversion"/>
  </si>
  <si>
    <t>전공
코스
(택1)</t>
    <phoneticPr fontId="9" type="noConversion"/>
  </si>
  <si>
    <t>전기 회로</t>
    <phoneticPr fontId="9" type="noConversion"/>
  </si>
  <si>
    <t>디지털 논리 회로</t>
    <phoneticPr fontId="9" type="noConversion"/>
  </si>
  <si>
    <t>전자 회로</t>
    <phoneticPr fontId="9" type="noConversion"/>
  </si>
  <si>
    <t>프로젝트 실무Ⅰ(고시외)</t>
    <phoneticPr fontId="9" type="noConversion"/>
  </si>
  <si>
    <t>프로젝트 실무Ⅱ(고시외)</t>
    <phoneticPr fontId="9" type="noConversion"/>
  </si>
  <si>
    <t>전공실무</t>
  </si>
  <si>
    <t>정보 통신 기기 하드웨어 개발</t>
    <phoneticPr fontId="9" type="noConversion"/>
  </si>
  <si>
    <t>빅 데이터 분석</t>
    <phoneticPr fontId="9" type="noConversion"/>
  </si>
  <si>
    <t>반도체 제조</t>
    <phoneticPr fontId="9" type="noConversion"/>
  </si>
  <si>
    <t xml:space="preserve"> </t>
    <phoneticPr fontId="9" type="noConversion"/>
  </si>
  <si>
    <t>SMT 기초(고시외)</t>
    <phoneticPr fontId="9" type="noConversion"/>
  </si>
  <si>
    <t>SMT 장비 운용(고시외)</t>
    <phoneticPr fontId="9" type="noConversion"/>
  </si>
  <si>
    <t>자동제어 시스템 운영</t>
    <phoneticPr fontId="9" type="noConversion"/>
  </si>
  <si>
    <t>전기 기기</t>
    <phoneticPr fontId="9" type="noConversion"/>
  </si>
  <si>
    <t>인공지능 일반</t>
    <phoneticPr fontId="9" type="noConversion"/>
  </si>
  <si>
    <t>전기 설비 운영</t>
    <phoneticPr fontId="9" type="noConversion"/>
  </si>
  <si>
    <t>전자 응용 기기 소프트웨어 개발</t>
    <phoneticPr fontId="9" type="noConversion"/>
  </si>
  <si>
    <t>기계 소프트웨어 개발</t>
    <phoneticPr fontId="9" type="noConversion"/>
  </si>
  <si>
    <t>기계 요소 설계</t>
    <phoneticPr fontId="9" type="noConversion"/>
  </si>
  <si>
    <t>내선 공사</t>
    <phoneticPr fontId="9" type="noConversion"/>
  </si>
  <si>
    <t>가전 기기 하드웨어 개발</t>
    <phoneticPr fontId="9" type="noConversion"/>
  </si>
  <si>
    <t>외선 공사</t>
    <phoneticPr fontId="9" type="noConversion"/>
  </si>
  <si>
    <t>기계 수동 조립</t>
    <phoneticPr fontId="9" type="noConversion"/>
  </si>
  <si>
    <t>041-840-1421</t>
    <phoneticPr fontId="9" type="noConversion"/>
  </si>
  <si>
    <t>류근정</t>
    <phoneticPr fontId="9" type="noConversion"/>
  </si>
  <si>
    <t>041-840-1401</t>
    <phoneticPr fontId="9" type="noConversion"/>
  </si>
  <si>
    <t>전기·전자 설비 유지보수원
내선·외선 공사 시공원
자동 제어 시스템 제작 및 유지 보수원</t>
    <phoneticPr fontId="9" type="noConversion"/>
  </si>
  <si>
    <t>자동제어
심화코스</t>
    <phoneticPr fontId="9" type="noConversion"/>
  </si>
  <si>
    <t>전기
심화코스</t>
    <phoneticPr fontId="9" type="noConversion"/>
  </si>
  <si>
    <t>자동화설비(기술가정 대체)</t>
    <phoneticPr fontId="9" type="noConversion"/>
  </si>
  <si>
    <t>사물 인터넷과 센서 제어(정보 대체)</t>
    <phoneticPr fontId="9" type="noConversion"/>
  </si>
  <si>
    <t>프로그래밍</t>
    <phoneticPr fontId="9" type="noConversion"/>
  </si>
  <si>
    <t>진로선택</t>
    <phoneticPr fontId="9" type="noConversion"/>
  </si>
  <si>
    <t>실무과목 능력단위 편성표</t>
    <phoneticPr fontId="9" type="noConversion"/>
  </si>
  <si>
    <t>학교명</t>
    <phoneticPr fontId="9" type="noConversion"/>
  </si>
  <si>
    <t>영역</t>
    <phoneticPr fontId="9" type="noConversion"/>
  </si>
  <si>
    <t>실무과목</t>
    <phoneticPr fontId="9" type="noConversion"/>
  </si>
  <si>
    <t>운영
학점</t>
    <phoneticPr fontId="9" type="noConversion"/>
  </si>
  <si>
    <t>내용영역(능력단위)</t>
  </si>
  <si>
    <t>능력단위코드</t>
  </si>
  <si>
    <t>훈련시간</t>
    <phoneticPr fontId="9" type="noConversion"/>
  </si>
  <si>
    <t>능력단위 수준</t>
    <phoneticPr fontId="9" type="noConversion"/>
  </si>
  <si>
    <t>유의사항</t>
    <phoneticPr fontId="9" type="noConversion"/>
  </si>
  <si>
    <t>1학기</t>
    <phoneticPr fontId="9" type="noConversion"/>
  </si>
  <si>
    <t>1. 능력단위명과 능력단위 코드는 정확하게 입력해주시기 바랍니다.</t>
    <phoneticPr fontId="9" type="noConversion"/>
  </si>
  <si>
    <t>이수학점</t>
    <phoneticPr fontId="9" type="noConversion"/>
  </si>
  <si>
    <t>이수시간</t>
    <phoneticPr fontId="9" type="noConversion"/>
  </si>
  <si>
    <t>Photo 장비 운영</t>
    <phoneticPr fontId="9" type="noConversion"/>
  </si>
  <si>
    <t>1903060201_14v3</t>
    <phoneticPr fontId="9" type="noConversion"/>
  </si>
  <si>
    <t>Etch 장비 운영</t>
    <phoneticPr fontId="9" type="noConversion"/>
  </si>
  <si>
    <t>1903060202_14v3</t>
    <phoneticPr fontId="9" type="noConversion"/>
  </si>
  <si>
    <t>박막·확산 장비 운영</t>
    <phoneticPr fontId="9" type="noConversion"/>
  </si>
  <si>
    <t>1903060203_14v3</t>
    <phoneticPr fontId="9" type="noConversion"/>
  </si>
  <si>
    <t>C&amp;C 장비 운영</t>
    <phoneticPr fontId="9" type="noConversion"/>
  </si>
  <si>
    <t>1903060204_14v3</t>
    <phoneticPr fontId="9" type="noConversion"/>
  </si>
  <si>
    <t>내용영역 합계</t>
    <phoneticPr fontId="9" type="noConversion"/>
  </si>
  <si>
    <t>자동제어
시스템 운영</t>
    <phoneticPr fontId="9" type="noConversion"/>
  </si>
  <si>
    <t>프로그램 로직 제어(PLC) 기본 운영</t>
    <phoneticPr fontId="9" type="noConversion"/>
  </si>
  <si>
    <t>1901080412_20v3</t>
    <phoneticPr fontId="9" type="noConversion"/>
  </si>
  <si>
    <t>현장 제어기기 운영</t>
    <phoneticPr fontId="9" type="noConversion"/>
  </si>
  <si>
    <t>1901080404_14v2</t>
    <phoneticPr fontId="9" type="noConversion"/>
  </si>
  <si>
    <t>HMI 운영</t>
    <phoneticPr fontId="9" type="noConversion"/>
  </si>
  <si>
    <t>1901080406_14v2</t>
    <phoneticPr fontId="9" type="noConversion"/>
  </si>
  <si>
    <t>자동 제어 심화코스</t>
    <phoneticPr fontId="9" type="noConversion"/>
  </si>
  <si>
    <t>센서 활용 기술</t>
    <phoneticPr fontId="9" type="noConversion"/>
  </si>
  <si>
    <t>1503010204_14v3</t>
    <phoneticPr fontId="9" type="noConversion"/>
  </si>
  <si>
    <t>PLC 제어 특수 모듈 프로그램 개발</t>
    <phoneticPr fontId="9" type="noConversion"/>
  </si>
  <si>
    <t>1503010211_14v3</t>
    <phoneticPr fontId="9" type="noConversion"/>
  </si>
  <si>
    <t>공기압 제어</t>
    <phoneticPr fontId="9" type="noConversion"/>
  </si>
  <si>
    <t>1503010215_16v4</t>
    <phoneticPr fontId="9" type="noConversion"/>
  </si>
  <si>
    <t>HMI 프로그램 개발</t>
    <phoneticPr fontId="9" type="noConversion"/>
  </si>
  <si>
    <t>1503010213_14v3</t>
    <phoneticPr fontId="9" type="noConversion"/>
  </si>
  <si>
    <t>모터 제어</t>
    <phoneticPr fontId="9" type="noConversion"/>
  </si>
  <si>
    <t>1503010205_14v3</t>
    <phoneticPr fontId="9" type="noConversion"/>
  </si>
  <si>
    <t>조립 도면 작성</t>
    <phoneticPr fontId="9" type="noConversion"/>
  </si>
  <si>
    <t>1503010112_16v4</t>
    <phoneticPr fontId="9" type="noConversion"/>
  </si>
  <si>
    <t>체결 요소 설계</t>
    <phoneticPr fontId="9" type="noConversion"/>
  </si>
  <si>
    <t>1501020106_16v3</t>
    <phoneticPr fontId="9" type="noConversion"/>
  </si>
  <si>
    <t>가전 기기
하드웨어
개발</t>
    <phoneticPr fontId="9" type="noConversion"/>
  </si>
  <si>
    <t>하드웨어 기능별 설계</t>
    <phoneticPr fontId="9" type="noConversion"/>
  </si>
  <si>
    <t>1903010304_21v3</t>
    <phoneticPr fontId="9" type="noConversion"/>
  </si>
  <si>
    <t>하드웨어 기초 회로 설계</t>
    <phoneticPr fontId="9" type="noConversion"/>
  </si>
  <si>
    <t>1903010305_14v2</t>
    <phoneticPr fontId="9" type="noConversion"/>
  </si>
  <si>
    <t>하드웨어 부품 선정</t>
    <phoneticPr fontId="9" type="noConversion"/>
  </si>
  <si>
    <t>1903010306_16v3</t>
    <phoneticPr fontId="9" type="noConversion"/>
  </si>
  <si>
    <t>하드웨어 회로 구현설계</t>
    <phoneticPr fontId="9" type="noConversion"/>
  </si>
  <si>
    <t>1903010307_14v2</t>
    <phoneticPr fontId="9" type="noConversion"/>
  </si>
  <si>
    <t>배관 공사</t>
    <phoneticPr fontId="9" type="noConversion"/>
  </si>
  <si>
    <t>1901070116_22v4</t>
  </si>
  <si>
    <t>배선 공사</t>
    <phoneticPr fontId="9" type="noConversion"/>
  </si>
  <si>
    <t>1901070117_22v4</t>
  </si>
  <si>
    <t>동력 설비 공사</t>
    <phoneticPr fontId="9" type="noConversion"/>
  </si>
  <si>
    <t>1901070122_22v4</t>
    <phoneticPr fontId="9" type="noConversion"/>
  </si>
  <si>
    <t>이수
학점 
합계</t>
    <phoneticPr fontId="9" type="noConversion"/>
  </si>
  <si>
    <t>정보통신기기 PCB 개발</t>
    <phoneticPr fontId="9" type="noConversion"/>
  </si>
  <si>
    <t>1903030107_22v4</t>
    <phoneticPr fontId="9" type="noConversion"/>
  </si>
  <si>
    <t>회로도작성</t>
    <phoneticPr fontId="9" type="noConversion"/>
  </si>
  <si>
    <t>1503010305_14v3</t>
    <phoneticPr fontId="9" type="noConversion"/>
  </si>
  <si>
    <t>빅 데이터
분석</t>
    <phoneticPr fontId="9" type="noConversion"/>
  </si>
  <si>
    <t>데이터 분석 기초 기술 활용</t>
    <phoneticPr fontId="9" type="noConversion"/>
  </si>
  <si>
    <t>2001010516_21v1</t>
    <phoneticPr fontId="9" type="noConversion"/>
  </si>
  <si>
    <t>분석 데이터 전처리</t>
    <phoneticPr fontId="9" type="noConversion"/>
  </si>
  <si>
    <t>2001010510_21v4</t>
    <phoneticPr fontId="9" type="noConversion"/>
  </si>
  <si>
    <t>탐색적 데이터 분석</t>
    <phoneticPr fontId="9" type="noConversion"/>
  </si>
  <si>
    <t>2001010511_21v4</t>
    <phoneticPr fontId="9" type="noConversion"/>
  </si>
  <si>
    <t>빅 데이터 분석 결과 시각화</t>
    <phoneticPr fontId="9" type="noConversion"/>
  </si>
  <si>
    <t>2001010509_21v4</t>
    <phoneticPr fontId="9" type="noConversion"/>
  </si>
  <si>
    <t>프로젝트
실무 Ⅱ</t>
    <phoneticPr fontId="9" type="noConversion"/>
  </si>
  <si>
    <t>IT 프로젝트 의사소통 관리</t>
    <phoneticPr fontId="9" type="noConversion"/>
  </si>
  <si>
    <t>IT 프로젝트 변경 관리</t>
    <phoneticPr fontId="9" type="noConversion"/>
  </si>
  <si>
    <t>제어 원리 응용</t>
    <phoneticPr fontId="9" type="noConversion"/>
  </si>
  <si>
    <t>1901080401_14v2</t>
    <phoneticPr fontId="9" type="noConversion"/>
  </si>
  <si>
    <t>전자 응용
기기 소프트웨어 개발</t>
    <phoneticPr fontId="9" type="noConversion"/>
  </si>
  <si>
    <t>소프트웨어 설계</t>
    <phoneticPr fontId="9" type="noConversion"/>
  </si>
  <si>
    <t>1903040311_16v1</t>
    <phoneticPr fontId="9" type="noConversion"/>
  </si>
  <si>
    <t>소프트웨어 프로젝트 관리</t>
    <phoneticPr fontId="9" type="noConversion"/>
  </si>
  <si>
    <t>1903040312_16v1</t>
    <phoneticPr fontId="9" type="noConversion"/>
  </si>
  <si>
    <t>프로그램 개발</t>
    <phoneticPr fontId="9" type="noConversion"/>
  </si>
  <si>
    <t>1903040313_22v2</t>
    <phoneticPr fontId="9" type="noConversion"/>
  </si>
  <si>
    <t>프로그램 테스트</t>
    <phoneticPr fontId="9" type="noConversion"/>
  </si>
  <si>
    <t>1903040315_16v1</t>
    <phoneticPr fontId="9" type="noConversion"/>
  </si>
  <si>
    <t>기계 요소
설계</t>
    <phoneticPr fontId="9" type="noConversion"/>
  </si>
  <si>
    <t>기계 수동
조립</t>
    <phoneticPr fontId="9" type="noConversion"/>
  </si>
  <si>
    <t>전기 전자 장치 조립</t>
    <phoneticPr fontId="9" type="noConversion"/>
  </si>
  <si>
    <t>내선 공사 견적</t>
    <phoneticPr fontId="9" type="noConversion"/>
  </si>
  <si>
    <t>옥내 조명 공사</t>
    <phoneticPr fontId="9" type="noConversion"/>
  </si>
  <si>
    <t>1901070119_22v4</t>
  </si>
  <si>
    <t>1901070122_22v4</t>
  </si>
  <si>
    <t>전기 심화 코스</t>
    <phoneticPr fontId="9" type="noConversion"/>
  </si>
  <si>
    <t>1901070114_22v4</t>
    <phoneticPr fontId="9" type="noConversion"/>
  </si>
  <si>
    <t>1901070116_22v4</t>
    <phoneticPr fontId="9" type="noConversion"/>
  </si>
  <si>
    <t>1901070117_22v4</t>
    <phoneticPr fontId="9" type="noConversion"/>
  </si>
  <si>
    <t>1901070119_22v4</t>
    <phoneticPr fontId="9" type="noConversion"/>
  </si>
  <si>
    <t>수변전 설비 검사</t>
    <phoneticPr fontId="9" type="noConversion"/>
  </si>
  <si>
    <t>1901070127_22v4</t>
    <phoneticPr fontId="9" type="noConversion"/>
  </si>
  <si>
    <t>접지 설비공사</t>
    <phoneticPr fontId="9" type="noConversion"/>
  </si>
  <si>
    <t>1901070128_22v4</t>
    <phoneticPr fontId="9" type="noConversion"/>
  </si>
  <si>
    <t>전기공사 문서 관리</t>
    <phoneticPr fontId="9" type="noConversion"/>
  </si>
  <si>
    <t>1901070402_22v1</t>
    <phoneticPr fontId="9" type="noConversion"/>
  </si>
  <si>
    <t>가공 배전 선로 공사</t>
    <phoneticPr fontId="9" type="noConversion"/>
  </si>
  <si>
    <t>1901070212_22v4</t>
    <phoneticPr fontId="9" type="noConversion"/>
  </si>
  <si>
    <t>개폐장치 정밀 유지보수 공사</t>
    <phoneticPr fontId="9" type="noConversion"/>
  </si>
  <si>
    <t>1901070311_16v1</t>
    <phoneticPr fontId="9" type="noConversion"/>
  </si>
  <si>
    <t>전기 설비
운영</t>
    <phoneticPr fontId="9" type="noConversion"/>
  </si>
  <si>
    <t>전동기 설비 운영</t>
    <phoneticPr fontId="9" type="noConversion"/>
  </si>
  <si>
    <t>1901060315_16v1</t>
    <phoneticPr fontId="9" type="noConversion"/>
  </si>
  <si>
    <t>반송 설비 운영</t>
    <phoneticPr fontId="9" type="noConversion"/>
  </si>
  <si>
    <t>1901060316_16v1</t>
    <phoneticPr fontId="9" type="noConversion"/>
  </si>
  <si>
    <t>보호 계전기 점검</t>
    <phoneticPr fontId="9" type="noConversion"/>
  </si>
  <si>
    <t>1901060323_16v1</t>
    <phoneticPr fontId="9" type="noConversion"/>
  </si>
  <si>
    <t>감시 제어 설비 운영</t>
    <phoneticPr fontId="9" type="noConversion"/>
  </si>
  <si>
    <t>1901060325_16v1</t>
    <phoneticPr fontId="9" type="noConversion"/>
  </si>
  <si>
    <t>이수
시간
합계</t>
    <phoneticPr fontId="9" type="noConversion"/>
  </si>
  <si>
    <t>1503010119_16v4</t>
    <phoneticPr fontId="9" type="noConversion"/>
  </si>
  <si>
    <t>2027학년도 교육과정 편제 및 학점배당표(마이스터고/특성화고)</t>
    <phoneticPr fontId="9" type="noConversion"/>
  </si>
  <si>
    <t>전기전자
공통코스</t>
    <phoneticPr fontId="9" type="noConversion"/>
  </si>
  <si>
    <t>유압제어</t>
    <phoneticPr fontId="9" type="noConversion"/>
  </si>
  <si>
    <t>1503010216_16v4</t>
    <phoneticPr fontId="9" type="noConversion"/>
  </si>
  <si>
    <t>융복합·지식 재산</t>
    <phoneticPr fontId="9" type="noConversion"/>
  </si>
  <si>
    <t>발명·특허 기초</t>
    <phoneticPr fontId="9" type="noConversion"/>
  </si>
  <si>
    <t>2001040109_14v2</t>
    <phoneticPr fontId="9" type="noConversion"/>
  </si>
  <si>
    <t>2001040111_14v2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</si>
</sst>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5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Malgun Gothic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19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rgb="FFFF0000"/>
      </right>
      <top style="medium">
        <color indexed="64"/>
      </top>
      <bottom style="hair">
        <color indexed="64"/>
      </bottom>
      <diagonal/>
    </border>
    <border>
      <left style="medium">
        <color rgb="FFFF0000"/>
      </left>
      <right/>
      <top style="hair">
        <color indexed="64"/>
      </top>
      <bottom style="hair">
        <color indexed="64"/>
      </bottom>
      <diagonal/>
    </border>
    <border>
      <left/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 style="medium">
        <color indexed="64"/>
      </top>
      <bottom/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rgb="FFFF0000"/>
      </right>
      <top style="hair">
        <color indexed="64"/>
      </top>
      <bottom style="medium">
        <color indexed="64"/>
      </bottom>
      <diagonal/>
    </border>
    <border>
      <left style="medium">
        <color rgb="FFFF0000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/>
      <bottom style="hair">
        <color indexed="64"/>
      </bottom>
      <diagonal/>
    </border>
    <border>
      <left/>
      <right style="medium">
        <color rgb="FFFF0000"/>
      </right>
      <top/>
      <bottom style="hair">
        <color indexed="64"/>
      </bottom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12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3" fillId="0" borderId="0"/>
  </cellStyleXfs>
  <cellXfs count="5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2" fillId="10" borderId="28" xfId="3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2" fillId="10" borderId="70" xfId="3" applyFont="1" applyFill="1" applyBorder="1" applyAlignment="1">
      <alignment horizontal="center" vertical="center" wrapText="1"/>
    </xf>
    <xf numFmtId="177" fontId="15" fillId="0" borderId="0" xfId="0" applyNumberFormat="1" applyFont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1" fillId="6" borderId="24" xfId="4" applyFont="1" applyFill="1" applyBorder="1" applyAlignment="1" applyProtection="1">
      <alignment horizontal="center" vertical="center" wrapText="1"/>
    </xf>
    <xf numFmtId="0" fontId="11" fillId="9" borderId="79" xfId="6" applyFont="1" applyFill="1" applyBorder="1" applyAlignment="1" applyProtection="1">
      <alignment horizontal="center" vertical="center" wrapText="1"/>
    </xf>
    <xf numFmtId="0" fontId="11" fillId="6" borderId="20" xfId="4" applyFont="1" applyFill="1" applyBorder="1" applyAlignment="1" applyProtection="1">
      <alignment horizontal="center" vertical="center" wrapText="1"/>
    </xf>
    <xf numFmtId="176" fontId="11" fillId="13" borderId="32" xfId="0" applyNumberFormat="1" applyFont="1" applyFill="1" applyBorder="1" applyAlignment="1">
      <alignment horizontal="center" vertical="center" wrapText="1"/>
    </xf>
    <xf numFmtId="0" fontId="11" fillId="13" borderId="35" xfId="4" applyFont="1" applyFill="1" applyBorder="1" applyAlignment="1" applyProtection="1">
      <alignment horizontal="center" vertical="center" wrapText="1"/>
    </xf>
    <xf numFmtId="0" fontId="11" fillId="13" borderId="59" xfId="4" applyFont="1" applyFill="1" applyBorder="1" applyAlignment="1" applyProtection="1">
      <alignment horizontal="center" vertical="center" wrapText="1"/>
    </xf>
    <xf numFmtId="0" fontId="11" fillId="13" borderId="35" xfId="5" applyFont="1" applyFill="1" applyBorder="1" applyAlignment="1" applyProtection="1">
      <alignment horizontal="center" vertical="center" wrapText="1"/>
    </xf>
    <xf numFmtId="176" fontId="11" fillId="13" borderId="33" xfId="0" applyNumberFormat="1" applyFont="1" applyFill="1" applyBorder="1" applyAlignment="1">
      <alignment horizontal="center" vertical="center" wrapText="1"/>
    </xf>
    <xf numFmtId="0" fontId="11" fillId="13" borderId="38" xfId="4" applyFont="1" applyFill="1" applyBorder="1" applyAlignment="1" applyProtection="1">
      <alignment horizontal="center" vertical="center" wrapText="1"/>
    </xf>
    <xf numFmtId="0" fontId="11" fillId="13" borderId="28" xfId="4" applyFont="1" applyFill="1" applyBorder="1" applyAlignment="1" applyProtection="1">
      <alignment horizontal="center" vertical="center" wrapText="1"/>
    </xf>
    <xf numFmtId="0" fontId="11" fillId="13" borderId="38" xfId="5" applyFont="1" applyFill="1" applyBorder="1" applyAlignment="1" applyProtection="1">
      <alignment horizontal="center" vertical="center" wrapText="1"/>
    </xf>
    <xf numFmtId="176" fontId="11" fillId="13" borderId="83" xfId="0" applyNumberFormat="1" applyFont="1" applyFill="1" applyBorder="1" applyAlignment="1">
      <alignment horizontal="center" vertical="center" wrapText="1"/>
    </xf>
    <xf numFmtId="0" fontId="11" fillId="13" borderId="40" xfId="4" applyFont="1" applyFill="1" applyBorder="1" applyAlignment="1" applyProtection="1">
      <alignment horizontal="center" vertical="center" wrapText="1"/>
    </xf>
    <xf numFmtId="0" fontId="11" fillId="13" borderId="41" xfId="4" applyFont="1" applyFill="1" applyBorder="1" applyAlignment="1" applyProtection="1">
      <alignment horizontal="center" vertical="center" wrapText="1"/>
    </xf>
    <xf numFmtId="176" fontId="11" fillId="13" borderId="34" xfId="0" applyNumberFormat="1" applyFont="1" applyFill="1" applyBorder="1" applyAlignment="1">
      <alignment horizontal="center" vertical="center" wrapText="1"/>
    </xf>
    <xf numFmtId="0" fontId="11" fillId="13" borderId="36" xfId="4" applyFont="1" applyFill="1" applyBorder="1" applyAlignment="1" applyProtection="1">
      <alignment horizontal="center" vertical="center" wrapText="1"/>
    </xf>
    <xf numFmtId="176" fontId="11" fillId="13" borderId="73" xfId="0" applyNumberFormat="1" applyFont="1" applyFill="1" applyBorder="1" applyAlignment="1">
      <alignment horizontal="center" vertical="center" wrapText="1"/>
    </xf>
    <xf numFmtId="0" fontId="11" fillId="13" borderId="67" xfId="4" applyFont="1" applyFill="1" applyBorder="1" applyAlignment="1" applyProtection="1">
      <alignment horizontal="center" vertical="center" wrapText="1"/>
    </xf>
    <xf numFmtId="0" fontId="11" fillId="13" borderId="48" xfId="4" applyFont="1" applyFill="1" applyBorder="1" applyAlignment="1" applyProtection="1">
      <alignment horizontal="center" vertical="center" wrapText="1"/>
    </xf>
    <xf numFmtId="0" fontId="11" fillId="13" borderId="40" xfId="5" applyFont="1" applyFill="1" applyBorder="1" applyAlignment="1" applyProtection="1">
      <alignment horizontal="center" vertical="center" wrapText="1"/>
    </xf>
    <xf numFmtId="0" fontId="11" fillId="13" borderId="33" xfId="4" applyFont="1" applyFill="1" applyBorder="1" applyAlignment="1" applyProtection="1">
      <alignment horizontal="center" vertical="center" wrapText="1"/>
    </xf>
    <xf numFmtId="0" fontId="11" fillId="13" borderId="33" xfId="4" applyFont="1" applyFill="1" applyBorder="1" applyAlignment="1" applyProtection="1">
      <alignment horizontal="center" vertical="center" shrinkToFit="1"/>
    </xf>
    <xf numFmtId="0" fontId="11" fillId="13" borderId="32" xfId="4" applyFont="1" applyFill="1" applyBorder="1" applyAlignment="1" applyProtection="1">
      <alignment horizontal="center" vertical="center" shrinkToFit="1"/>
    </xf>
    <xf numFmtId="0" fontId="11" fillId="13" borderId="32" xfId="4" applyFont="1" applyFill="1" applyBorder="1" applyAlignment="1" applyProtection="1">
      <alignment horizontal="center" vertical="center" wrapText="1"/>
    </xf>
    <xf numFmtId="0" fontId="11" fillId="13" borderId="34" xfId="4" applyFont="1" applyFill="1" applyBorder="1" applyAlignment="1" applyProtection="1">
      <alignment horizontal="center" vertical="center" wrapText="1"/>
    </xf>
    <xf numFmtId="0" fontId="11" fillId="13" borderId="34" xfId="4" applyFont="1" applyFill="1" applyBorder="1" applyAlignment="1" applyProtection="1">
      <alignment horizontal="center" vertical="center" shrinkToFit="1"/>
    </xf>
    <xf numFmtId="0" fontId="11" fillId="13" borderId="83" xfId="4" applyFont="1" applyFill="1" applyBorder="1" applyAlignment="1" applyProtection="1">
      <alignment horizontal="center" vertical="center" wrapText="1"/>
    </xf>
    <xf numFmtId="0" fontId="11" fillId="13" borderId="83" xfId="4" applyFont="1" applyFill="1" applyBorder="1" applyAlignment="1" applyProtection="1">
      <alignment horizontal="center" vertical="center" shrinkToFit="1"/>
    </xf>
    <xf numFmtId="0" fontId="11" fillId="6" borderId="66" xfId="4" applyFont="1" applyFill="1" applyBorder="1" applyAlignment="1" applyProtection="1">
      <alignment horizontal="center" vertical="center" wrapText="1"/>
    </xf>
    <xf numFmtId="0" fontId="19" fillId="0" borderId="0" xfId="16" applyFont="1" applyAlignment="1">
      <alignment vertical="center"/>
    </xf>
    <xf numFmtId="0" fontId="13" fillId="0" borderId="0" xfId="16" applyFont="1" applyAlignment="1"/>
    <xf numFmtId="0" fontId="19" fillId="15" borderId="101" xfId="16" applyFont="1" applyFill="1" applyBorder="1" applyAlignment="1">
      <alignment horizontal="center" vertical="center"/>
    </xf>
    <xf numFmtId="0" fontId="19" fillId="0" borderId="102" xfId="16" applyFont="1" applyBorder="1" applyAlignment="1">
      <alignment vertical="center"/>
    </xf>
    <xf numFmtId="0" fontId="19" fillId="0" borderId="23" xfId="16" applyFont="1" applyBorder="1" applyAlignment="1">
      <alignment vertical="center"/>
    </xf>
    <xf numFmtId="0" fontId="19" fillId="0" borderId="20" xfId="16" applyFont="1" applyBorder="1" applyAlignment="1">
      <alignment vertical="center"/>
    </xf>
    <xf numFmtId="0" fontId="19" fillId="0" borderId="4" xfId="16" applyFont="1" applyBorder="1" applyAlignment="1">
      <alignment vertical="center"/>
    </xf>
    <xf numFmtId="0" fontId="19" fillId="0" borderId="104" xfId="16" applyFont="1" applyBorder="1" applyAlignment="1">
      <alignment vertical="center"/>
    </xf>
    <xf numFmtId="0" fontId="19" fillId="0" borderId="16" xfId="16" applyFont="1" applyBorder="1" applyAlignment="1">
      <alignment vertical="center"/>
    </xf>
    <xf numFmtId="0" fontId="19" fillId="0" borderId="6" xfId="16" applyFont="1" applyBorder="1" applyAlignment="1">
      <alignment vertical="center"/>
    </xf>
    <xf numFmtId="0" fontId="19" fillId="0" borderId="109" xfId="16" applyFont="1" applyBorder="1" applyAlignment="1">
      <alignment vertical="center"/>
    </xf>
    <xf numFmtId="0" fontId="19" fillId="0" borderId="3" xfId="16" applyFont="1" applyBorder="1" applyAlignment="1">
      <alignment vertical="center"/>
    </xf>
    <xf numFmtId="0" fontId="19" fillId="0" borderId="17" xfId="16" applyFont="1" applyBorder="1" applyAlignment="1">
      <alignment vertical="center"/>
    </xf>
    <xf numFmtId="0" fontId="19" fillId="0" borderId="15" xfId="16" applyFont="1" applyBorder="1" applyAlignment="1">
      <alignment vertical="center"/>
    </xf>
    <xf numFmtId="0" fontId="19" fillId="17" borderId="115" xfId="16" applyFont="1" applyFill="1" applyBorder="1" applyAlignment="1">
      <alignment horizontal="center" vertical="center" wrapText="1"/>
    </xf>
    <xf numFmtId="0" fontId="19" fillId="17" borderId="116" xfId="16" applyFont="1" applyFill="1" applyBorder="1" applyAlignment="1">
      <alignment horizontal="center" vertical="center" wrapText="1"/>
    </xf>
    <xf numFmtId="0" fontId="29" fillId="17" borderId="116" xfId="16" applyFont="1" applyFill="1" applyBorder="1" applyAlignment="1">
      <alignment horizontal="center" vertical="center" wrapText="1"/>
    </xf>
    <xf numFmtId="0" fontId="29" fillId="17" borderId="117" xfId="16" applyFont="1" applyFill="1" applyBorder="1" applyAlignment="1">
      <alignment horizontal="center" vertical="center" wrapText="1"/>
    </xf>
    <xf numFmtId="0" fontId="19" fillId="0" borderId="16" xfId="16" applyFont="1" applyBorder="1" applyAlignment="1">
      <alignment vertical="center" wrapText="1"/>
    </xf>
    <xf numFmtId="0" fontId="19" fillId="0" borderId="6" xfId="16" applyFont="1" applyBorder="1" applyAlignment="1">
      <alignment vertical="center" wrapText="1"/>
    </xf>
    <xf numFmtId="0" fontId="30" fillId="0" borderId="121" xfId="16" applyFont="1" applyBorder="1" applyAlignment="1">
      <alignment horizontal="center" vertical="center" wrapText="1"/>
    </xf>
    <xf numFmtId="0" fontId="30" fillId="0" borderId="123" xfId="16" applyFont="1" applyBorder="1" applyAlignment="1">
      <alignment horizontal="center" vertical="center" wrapText="1"/>
    </xf>
    <xf numFmtId="0" fontId="30" fillId="0" borderId="127" xfId="16" applyFont="1" applyBorder="1" applyAlignment="1">
      <alignment horizontal="center" vertical="center" wrapText="1"/>
    </xf>
    <xf numFmtId="0" fontId="30" fillId="0" borderId="128" xfId="16" applyFont="1" applyBorder="1" applyAlignment="1">
      <alignment horizontal="center" vertical="center" wrapText="1"/>
    </xf>
    <xf numFmtId="0" fontId="30" fillId="0" borderId="131" xfId="16" applyFont="1" applyBorder="1" applyAlignment="1">
      <alignment horizontal="center" vertical="center" wrapText="1"/>
    </xf>
    <xf numFmtId="0" fontId="30" fillId="0" borderId="132" xfId="16" applyFont="1" applyBorder="1" applyAlignment="1">
      <alignment horizontal="center" vertical="center" wrapText="1"/>
    </xf>
    <xf numFmtId="0" fontId="30" fillId="0" borderId="134" xfId="16" applyFont="1" applyBorder="1" applyAlignment="1">
      <alignment horizontal="center" vertical="center" wrapText="1"/>
    </xf>
    <xf numFmtId="0" fontId="19" fillId="0" borderId="134" xfId="16" applyFont="1" applyBorder="1" applyAlignment="1">
      <alignment horizontal="center" vertical="center" wrapText="1"/>
    </xf>
    <xf numFmtId="0" fontId="30" fillId="0" borderId="135" xfId="16" applyFont="1" applyBorder="1" applyAlignment="1">
      <alignment horizontal="center" vertical="center" wrapText="1"/>
    </xf>
    <xf numFmtId="0" fontId="19" fillId="0" borderId="128" xfId="16" applyFont="1" applyBorder="1" applyAlignment="1">
      <alignment horizontal="center" vertical="center" wrapText="1"/>
    </xf>
    <xf numFmtId="0" fontId="19" fillId="0" borderId="131" xfId="16" applyFont="1" applyBorder="1" applyAlignment="1">
      <alignment horizontal="center" vertical="center" wrapText="1"/>
    </xf>
    <xf numFmtId="0" fontId="30" fillId="0" borderId="107" xfId="16" applyFont="1" applyBorder="1" applyAlignment="1">
      <alignment horizontal="center" vertical="center" wrapText="1"/>
    </xf>
    <xf numFmtId="0" fontId="32" fillId="17" borderId="107" xfId="16" applyFont="1" applyFill="1" applyBorder="1" applyAlignment="1">
      <alignment horizontal="center" vertical="center" wrapText="1"/>
    </xf>
    <xf numFmtId="0" fontId="33" fillId="0" borderId="128" xfId="16" applyFont="1" applyBorder="1" applyAlignment="1">
      <alignment horizontal="center" vertical="center" wrapText="1"/>
    </xf>
    <xf numFmtId="0" fontId="33" fillId="0" borderId="106" xfId="16" applyFont="1" applyBorder="1" applyAlignment="1">
      <alignment horizontal="center" vertical="center" wrapText="1"/>
    </xf>
    <xf numFmtId="0" fontId="32" fillId="0" borderId="107" xfId="16" applyFont="1" applyBorder="1" applyAlignment="1">
      <alignment horizontal="center" vertical="center" wrapText="1"/>
    </xf>
    <xf numFmtId="0" fontId="19" fillId="0" borderId="0" xfId="16" applyFont="1" applyBorder="1" applyAlignment="1">
      <alignment vertical="center"/>
    </xf>
    <xf numFmtId="0" fontId="34" fillId="0" borderId="0" xfId="16" applyFont="1" applyBorder="1" applyAlignment="1">
      <alignment horizontal="center" vertical="center"/>
    </xf>
    <xf numFmtId="0" fontId="28" fillId="0" borderId="107" xfId="16" applyFont="1" applyBorder="1" applyAlignment="1">
      <alignment horizontal="center" vertical="center"/>
    </xf>
    <xf numFmtId="0" fontId="28" fillId="16" borderId="128" xfId="16" applyFont="1" applyFill="1" applyBorder="1" applyAlignment="1">
      <alignment horizontal="center" vertical="center"/>
    </xf>
    <xf numFmtId="0" fontId="28" fillId="16" borderId="106" xfId="16" applyFont="1" applyFill="1" applyBorder="1" applyAlignment="1">
      <alignment horizontal="center" vertical="center" wrapText="1"/>
    </xf>
    <xf numFmtId="0" fontId="34" fillId="0" borderId="128" xfId="16" applyFont="1" applyBorder="1" applyAlignment="1">
      <alignment horizontal="center" vertical="center" wrapText="1"/>
    </xf>
    <xf numFmtId="0" fontId="34" fillId="0" borderId="107" xfId="16" applyFont="1" applyBorder="1" applyAlignment="1">
      <alignment horizontal="center" vertical="center" wrapText="1"/>
    </xf>
    <xf numFmtId="0" fontId="28" fillId="0" borderId="128" xfId="16" applyFont="1" applyBorder="1" applyAlignment="1">
      <alignment horizontal="center" vertical="center" wrapText="1"/>
    </xf>
    <xf numFmtId="0" fontId="28" fillId="0" borderId="107" xfId="16" applyFont="1" applyBorder="1" applyAlignment="1">
      <alignment horizontal="center" vertical="center" wrapText="1"/>
    </xf>
    <xf numFmtId="0" fontId="19" fillId="0" borderId="128" xfId="16" applyFont="1" applyBorder="1" applyAlignment="1">
      <alignment vertical="center" wrapText="1"/>
    </xf>
    <xf numFmtId="0" fontId="19" fillId="0" borderId="0" xfId="16" applyFont="1" applyBorder="1" applyAlignment="1">
      <alignment vertical="center" wrapText="1"/>
    </xf>
    <xf numFmtId="0" fontId="28" fillId="16" borderId="107" xfId="16" applyFont="1" applyFill="1" applyBorder="1" applyAlignment="1">
      <alignment horizontal="center" vertical="center"/>
    </xf>
    <xf numFmtId="0" fontId="28" fillId="0" borderId="106" xfId="16" applyFont="1" applyBorder="1" applyAlignment="1">
      <alignment horizontal="center" vertical="center"/>
    </xf>
    <xf numFmtId="0" fontId="28" fillId="0" borderId="128" xfId="16" applyFont="1" applyBorder="1" applyAlignment="1">
      <alignment horizontal="center" vertical="center"/>
    </xf>
    <xf numFmtId="0" fontId="35" fillId="0" borderId="128" xfId="16" applyFont="1" applyBorder="1" applyAlignment="1">
      <alignment horizontal="center" vertical="center"/>
    </xf>
    <xf numFmtId="0" fontId="35" fillId="0" borderId="107" xfId="16" applyFont="1" applyBorder="1" applyAlignment="1">
      <alignment horizontal="center" vertical="center"/>
    </xf>
    <xf numFmtId="0" fontId="19" fillId="0" borderId="114" xfId="16" applyFont="1" applyBorder="1" applyAlignment="1">
      <alignment vertical="center"/>
    </xf>
    <xf numFmtId="0" fontId="19" fillId="0" borderId="112" xfId="16" applyFont="1" applyBorder="1" applyAlignment="1">
      <alignment vertical="center"/>
    </xf>
    <xf numFmtId="0" fontId="19" fillId="0" borderId="139" xfId="16" applyFont="1" applyBorder="1" applyAlignment="1">
      <alignment vertical="center"/>
    </xf>
    <xf numFmtId="0" fontId="19" fillId="0" borderId="140" xfId="16" applyFont="1" applyBorder="1" applyAlignment="1">
      <alignment vertical="center"/>
    </xf>
    <xf numFmtId="0" fontId="19" fillId="0" borderId="89" xfId="16" applyFont="1" applyBorder="1" applyAlignment="1">
      <alignment vertical="center"/>
    </xf>
    <xf numFmtId="0" fontId="19" fillId="0" borderId="110" xfId="16" applyFont="1" applyBorder="1" applyAlignment="1">
      <alignment vertical="center"/>
    </xf>
    <xf numFmtId="0" fontId="19" fillId="0" borderId="142" xfId="16" applyFont="1" applyBorder="1" applyAlignment="1">
      <alignment vertical="center"/>
    </xf>
    <xf numFmtId="0" fontId="19" fillId="0" borderId="143" xfId="16" applyFont="1" applyBorder="1" applyAlignment="1">
      <alignment vertical="center"/>
    </xf>
    <xf numFmtId="0" fontId="11" fillId="13" borderId="62" xfId="4" applyFont="1" applyFill="1" applyBorder="1" applyAlignment="1" applyProtection="1">
      <alignment horizontal="center" vertical="center" wrapText="1"/>
    </xf>
    <xf numFmtId="0" fontId="11" fillId="9" borderId="50" xfId="6" applyFont="1" applyFill="1" applyBorder="1" applyAlignment="1" applyProtection="1">
      <alignment horizontal="center" vertical="center" wrapText="1"/>
    </xf>
    <xf numFmtId="0" fontId="39" fillId="0" borderId="0" xfId="0" applyFont="1" applyProtection="1">
      <alignment vertical="center"/>
      <protection locked="0"/>
    </xf>
    <xf numFmtId="0" fontId="42" fillId="10" borderId="80" xfId="0" applyFont="1" applyFill="1" applyBorder="1" applyAlignment="1" applyProtection="1">
      <alignment horizontal="center" vertical="center"/>
      <protection locked="0"/>
    </xf>
    <xf numFmtId="0" fontId="42" fillId="10" borderId="90" xfId="0" applyFont="1" applyFill="1" applyBorder="1" applyAlignment="1" applyProtection="1">
      <alignment horizontal="center" vertical="center"/>
      <protection locked="0"/>
    </xf>
    <xf numFmtId="0" fontId="42" fillId="10" borderId="25" xfId="0" applyFont="1" applyFill="1" applyBorder="1" applyAlignment="1" applyProtection="1">
      <alignment horizontal="center" vertical="center"/>
      <protection locked="0"/>
    </xf>
    <xf numFmtId="0" fontId="42" fillId="10" borderId="12" xfId="0" applyFont="1" applyFill="1" applyBorder="1" applyAlignment="1" applyProtection="1">
      <alignment horizontal="center" vertical="center"/>
      <protection locked="0"/>
    </xf>
    <xf numFmtId="0" fontId="42" fillId="0" borderId="88" xfId="0" applyFont="1" applyBorder="1" applyAlignment="1" applyProtection="1">
      <alignment horizontal="center" vertical="center"/>
      <protection locked="0"/>
    </xf>
    <xf numFmtId="0" fontId="39" fillId="0" borderId="9" xfId="0" applyFont="1" applyBorder="1" applyAlignment="1" applyProtection="1">
      <alignment horizontal="center" vertical="center"/>
      <protection locked="0"/>
    </xf>
    <xf numFmtId="0" fontId="42" fillId="10" borderId="12" xfId="0" applyFont="1" applyFill="1" applyBorder="1" applyAlignment="1" applyProtection="1">
      <alignment horizontal="center" vertical="center" shrinkToFit="1"/>
      <protection locked="0"/>
    </xf>
    <xf numFmtId="0" fontId="42" fillId="0" borderId="88" xfId="0" applyFont="1" applyBorder="1" applyAlignment="1" applyProtection="1">
      <alignment horizontal="center" vertical="center" shrinkToFit="1"/>
      <protection locked="0"/>
    </xf>
    <xf numFmtId="0" fontId="11" fillId="0" borderId="100" xfId="0" applyFont="1" applyBorder="1" applyAlignment="1" applyProtection="1">
      <alignment horizontal="center" vertical="center"/>
      <protection locked="0"/>
    </xf>
    <xf numFmtId="0" fontId="43" fillId="10" borderId="81" xfId="0" applyFont="1" applyFill="1" applyBorder="1" applyAlignment="1" applyProtection="1">
      <alignment horizontal="center" vertical="center"/>
      <protection locked="0"/>
    </xf>
    <xf numFmtId="0" fontId="43" fillId="0" borderId="7" xfId="0" applyFont="1" applyBorder="1" applyAlignment="1" applyProtection="1">
      <alignment horizontal="center" vertical="center"/>
      <protection locked="0"/>
    </xf>
    <xf numFmtId="0" fontId="39" fillId="0" borderId="26" xfId="0" applyFont="1" applyBorder="1" applyAlignment="1" applyProtection="1">
      <alignment horizontal="center" vertical="center"/>
      <protection locked="0"/>
    </xf>
    <xf numFmtId="0" fontId="44" fillId="0" borderId="0" xfId="0" applyFont="1" applyProtection="1">
      <alignment vertical="center"/>
      <protection locked="0"/>
    </xf>
    <xf numFmtId="0" fontId="45" fillId="0" borderId="0" xfId="0" applyFont="1" applyProtection="1">
      <alignment vertical="center"/>
      <protection locked="0"/>
    </xf>
    <xf numFmtId="0" fontId="46" fillId="3" borderId="49" xfId="3" applyFont="1" applyBorder="1" applyAlignment="1" applyProtection="1">
      <alignment horizontal="center" vertical="center"/>
      <protection locked="0"/>
    </xf>
    <xf numFmtId="0" fontId="39" fillId="0" borderId="5" xfId="0" applyFont="1" applyBorder="1" applyAlignment="1" applyProtection="1">
      <alignment horizontal="center" vertical="center"/>
      <protection locked="0"/>
    </xf>
    <xf numFmtId="0" fontId="39" fillId="0" borderId="80" xfId="0" applyFont="1" applyBorder="1" applyAlignment="1" applyProtection="1">
      <alignment horizontal="center" vertical="center"/>
      <protection locked="0"/>
    </xf>
    <xf numFmtId="0" fontId="39" fillId="0" borderId="25" xfId="0" applyFont="1" applyBorder="1" applyAlignment="1" applyProtection="1">
      <alignment horizontal="center" vertical="center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9" fillId="0" borderId="12" xfId="0" applyFont="1" applyBorder="1" applyAlignment="1" applyProtection="1">
      <alignment horizontal="center" vertical="center"/>
      <protection locked="0"/>
    </xf>
    <xf numFmtId="0" fontId="11" fillId="0" borderId="84" xfId="4" applyFont="1" applyFill="1" applyBorder="1" applyAlignment="1" applyProtection="1">
      <alignment horizontal="center" vertical="center" wrapText="1"/>
    </xf>
    <xf numFmtId="0" fontId="11" fillId="0" borderId="28" xfId="4" applyFont="1" applyFill="1" applyBorder="1" applyAlignment="1" applyProtection="1">
      <alignment horizontal="center" vertical="center" wrapText="1"/>
    </xf>
    <xf numFmtId="0" fontId="11" fillId="0" borderId="36" xfId="4" applyFont="1" applyFill="1" applyBorder="1" applyAlignment="1" applyProtection="1">
      <alignment horizontal="center" vertical="center" wrapText="1"/>
    </xf>
    <xf numFmtId="0" fontId="11" fillId="0" borderId="84" xfId="4" applyFont="1" applyFill="1" applyBorder="1" applyAlignment="1" applyProtection="1">
      <alignment vertical="center" wrapText="1"/>
    </xf>
    <xf numFmtId="0" fontId="11" fillId="0" borderId="41" xfId="4" applyFont="1" applyFill="1" applyBorder="1" applyAlignment="1" applyProtection="1">
      <alignment vertical="center" wrapText="1"/>
    </xf>
    <xf numFmtId="0" fontId="11" fillId="0" borderId="59" xfId="4" applyFont="1" applyFill="1" applyBorder="1" applyAlignment="1" applyProtection="1">
      <alignment vertical="center" wrapText="1"/>
    </xf>
    <xf numFmtId="0" fontId="11" fillId="0" borderId="78" xfId="4" applyFont="1" applyFill="1" applyBorder="1" applyAlignment="1" applyProtection="1">
      <alignment vertical="center" wrapText="1"/>
    </xf>
    <xf numFmtId="0" fontId="11" fillId="0" borderId="48" xfId="4" applyFont="1" applyFill="1" applyBorder="1" applyAlignment="1" applyProtection="1">
      <alignment vertical="center" wrapText="1"/>
    </xf>
    <xf numFmtId="0" fontId="11" fillId="13" borderId="64" xfId="4" applyFont="1" applyFill="1" applyBorder="1" applyAlignment="1" applyProtection="1">
      <alignment horizontal="center" vertical="center" wrapText="1"/>
    </xf>
    <xf numFmtId="0" fontId="11" fillId="13" borderId="29" xfId="4" applyFont="1" applyFill="1" applyBorder="1" applyAlignment="1" applyProtection="1">
      <alignment horizontal="center" vertical="center" wrapText="1"/>
    </xf>
    <xf numFmtId="0" fontId="11" fillId="13" borderId="146" xfId="4" applyFont="1" applyFill="1" applyBorder="1" applyAlignment="1" applyProtection="1">
      <alignment horizontal="center" vertical="center" wrapText="1"/>
    </xf>
    <xf numFmtId="0" fontId="51" fillId="0" borderId="0" xfId="0" applyFont="1">
      <alignment vertical="center"/>
    </xf>
    <xf numFmtId="0" fontId="51" fillId="0" borderId="6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16" xfId="0" applyFont="1" applyBorder="1" applyAlignment="1">
      <alignment horizontal="left" vertical="center"/>
    </xf>
    <xf numFmtId="0" fontId="53" fillId="19" borderId="182" xfId="7" applyFont="1" applyFill="1" applyBorder="1" applyAlignment="1">
      <alignment horizontal="center" vertical="center" shrinkToFit="1"/>
    </xf>
    <xf numFmtId="176" fontId="53" fillId="19" borderId="182" xfId="7" applyNumberFormat="1" applyFont="1" applyFill="1" applyBorder="1" applyAlignment="1">
      <alignment horizontal="center" vertical="center" shrinkToFit="1"/>
    </xf>
    <xf numFmtId="176" fontId="53" fillId="19" borderId="12" xfId="7" applyNumberFormat="1" applyFont="1" applyFill="1" applyBorder="1" applyAlignment="1">
      <alignment horizontal="center" vertical="center" shrinkToFit="1"/>
    </xf>
    <xf numFmtId="176" fontId="39" fillId="0" borderId="182" xfId="0" applyNumberFormat="1" applyFont="1" applyBorder="1" applyAlignment="1">
      <alignment horizontal="right" vertical="center"/>
    </xf>
    <xf numFmtId="176" fontId="39" fillId="0" borderId="183" xfId="0" applyNumberFormat="1" applyFont="1" applyBorder="1" applyAlignment="1">
      <alignment horizontal="right" vertical="center"/>
    </xf>
    <xf numFmtId="0" fontId="53" fillId="19" borderId="12" xfId="7" applyFont="1" applyFill="1" applyBorder="1" applyAlignment="1">
      <alignment horizontal="center" vertical="center" shrinkToFit="1"/>
    </xf>
    <xf numFmtId="176" fontId="39" fillId="0" borderId="12" xfId="0" applyNumberFormat="1" applyFont="1" applyBorder="1" applyAlignment="1">
      <alignment horizontal="right" vertical="center"/>
    </xf>
    <xf numFmtId="176" fontId="52" fillId="20" borderId="81" xfId="7" applyNumberFormat="1" applyFont="1" applyFill="1" applyBorder="1" applyAlignment="1">
      <alignment horizontal="center" vertical="center" shrinkToFit="1"/>
    </xf>
    <xf numFmtId="176" fontId="52" fillId="20" borderId="81" xfId="7" applyNumberFormat="1" applyFont="1" applyFill="1" applyBorder="1" applyAlignment="1">
      <alignment horizontal="right" vertical="center" shrinkToFit="1"/>
    </xf>
    <xf numFmtId="176" fontId="39" fillId="0" borderId="9" xfId="0" applyNumberFormat="1" applyFont="1" applyBorder="1" applyAlignment="1">
      <alignment horizontal="right" vertical="center"/>
    </xf>
    <xf numFmtId="0" fontId="54" fillId="18" borderId="81" xfId="7" applyFont="1" applyFill="1" applyBorder="1" applyAlignment="1">
      <alignment horizontal="center" vertical="center" wrapText="1"/>
    </xf>
    <xf numFmtId="0" fontId="53" fillId="19" borderId="185" xfId="7" applyFont="1" applyFill="1" applyBorder="1" applyAlignment="1">
      <alignment horizontal="center" vertical="center" shrinkToFit="1"/>
    </xf>
    <xf numFmtId="0" fontId="55" fillId="21" borderId="89" xfId="0" applyFont="1" applyFill="1" applyBorder="1" applyAlignment="1">
      <alignment horizontal="center" vertical="center" shrinkToFit="1"/>
    </xf>
    <xf numFmtId="0" fontId="56" fillId="0" borderId="0" xfId="0" applyFont="1" applyProtection="1">
      <alignment vertical="center"/>
      <protection locked="0"/>
    </xf>
    <xf numFmtId="0" fontId="11" fillId="13" borderId="189" xfId="4" applyFont="1" applyFill="1" applyBorder="1" applyAlignment="1" applyProtection="1">
      <alignment horizontal="center" vertical="center" shrinkToFit="1"/>
    </xf>
    <xf numFmtId="0" fontId="11" fillId="13" borderId="192" xfId="4" applyFont="1" applyFill="1" applyBorder="1" applyAlignment="1" applyProtection="1">
      <alignment horizontal="center" vertical="center" wrapText="1"/>
    </xf>
    <xf numFmtId="0" fontId="11" fillId="0" borderId="48" xfId="4" applyFont="1" applyFill="1" applyBorder="1" applyAlignment="1" applyProtection="1">
      <alignment horizontal="center" vertical="center" wrapText="1"/>
    </xf>
    <xf numFmtId="0" fontId="53" fillId="22" borderId="182" xfId="7" applyFont="1" applyFill="1" applyBorder="1" applyAlignment="1">
      <alignment horizontal="center" vertical="center" shrinkToFit="1"/>
    </xf>
    <xf numFmtId="0" fontId="53" fillId="22" borderId="12" xfId="7" applyFont="1" applyFill="1" applyBorder="1" applyAlignment="1">
      <alignment horizontal="center" vertical="center" shrinkToFit="1"/>
    </xf>
    <xf numFmtId="0" fontId="53" fillId="10" borderId="182" xfId="7" applyFont="1" applyFill="1" applyBorder="1" applyAlignment="1">
      <alignment horizontal="center" vertical="center" shrinkToFit="1"/>
    </xf>
    <xf numFmtId="0" fontId="53" fillId="10" borderId="12" xfId="7" applyFont="1" applyFill="1" applyBorder="1" applyAlignment="1">
      <alignment horizontal="center" vertical="center" shrinkToFit="1"/>
    </xf>
    <xf numFmtId="0" fontId="11" fillId="9" borderId="58" xfId="6" applyFont="1" applyFill="1" applyBorder="1" applyAlignment="1" applyProtection="1">
      <alignment horizontal="center" vertical="center" wrapText="1"/>
    </xf>
    <xf numFmtId="0" fontId="11" fillId="9" borderId="57" xfId="6" applyFont="1" applyFill="1" applyBorder="1" applyAlignment="1" applyProtection="1">
      <alignment horizontal="center" vertical="center" wrapText="1"/>
    </xf>
    <xf numFmtId="0" fontId="11" fillId="9" borderId="24" xfId="6" applyFont="1" applyFill="1" applyBorder="1" applyAlignment="1" applyProtection="1">
      <alignment horizontal="center" vertical="center" wrapText="1"/>
    </xf>
    <xf numFmtId="0" fontId="11" fillId="13" borderId="95" xfId="4" applyFont="1" applyFill="1" applyBorder="1" applyAlignment="1" applyProtection="1">
      <alignment horizontal="center" vertical="center" wrapText="1"/>
    </xf>
    <xf numFmtId="0" fontId="42" fillId="0" borderId="0" xfId="0" applyFont="1" applyAlignment="1" applyProtection="1">
      <alignment horizontal="center" vertical="center"/>
      <protection locked="0"/>
    </xf>
    <xf numFmtId="0" fontId="11" fillId="13" borderId="56" xfId="4" applyFont="1" applyFill="1" applyBorder="1" applyAlignment="1" applyProtection="1">
      <alignment horizontal="center" vertical="center" wrapText="1"/>
    </xf>
    <xf numFmtId="0" fontId="11" fillId="9" borderId="51" xfId="6" applyFont="1" applyFill="1" applyBorder="1" applyAlignment="1" applyProtection="1">
      <alignment horizontal="center" vertical="center" wrapText="1"/>
    </xf>
    <xf numFmtId="0" fontId="52" fillId="20" borderId="81" xfId="7" applyFont="1" applyFill="1" applyBorder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11" fillId="13" borderId="178" xfId="4" applyFont="1" applyFill="1" applyBorder="1" applyAlignment="1" applyProtection="1">
      <alignment horizontal="center" vertical="center" shrinkToFit="1"/>
    </xf>
    <xf numFmtId="0" fontId="11" fillId="13" borderId="193" xfId="4" applyFont="1" applyFill="1" applyBorder="1" applyAlignment="1" applyProtection="1">
      <alignment horizontal="center" vertical="center" wrapText="1"/>
    </xf>
    <xf numFmtId="0" fontId="11" fillId="9" borderId="13" xfId="6" applyFont="1" applyFill="1" applyBorder="1" applyAlignment="1" applyProtection="1">
      <alignment horizontal="center" vertical="center" wrapText="1"/>
    </xf>
    <xf numFmtId="0" fontId="11" fillId="9" borderId="58" xfId="6" applyFont="1" applyFill="1" applyBorder="1" applyAlignment="1" applyProtection="1">
      <alignment horizontal="center" vertical="center" wrapText="1"/>
    </xf>
    <xf numFmtId="0" fontId="11" fillId="9" borderId="57" xfId="6" applyFont="1" applyFill="1" applyBorder="1" applyAlignment="1" applyProtection="1">
      <alignment horizontal="center" vertical="center" wrapText="1"/>
    </xf>
    <xf numFmtId="0" fontId="11" fillId="9" borderId="24" xfId="6" applyFont="1" applyFill="1" applyBorder="1" applyAlignment="1" applyProtection="1">
      <alignment horizontal="center" vertical="center" wrapText="1"/>
    </xf>
    <xf numFmtId="0" fontId="11" fillId="13" borderId="49" xfId="6" applyFont="1" applyFill="1" applyBorder="1" applyAlignment="1" applyProtection="1">
      <alignment horizontal="center" vertical="center" wrapText="1"/>
    </xf>
    <xf numFmtId="0" fontId="11" fillId="13" borderId="65" xfId="6" applyFont="1" applyFill="1" applyBorder="1" applyAlignment="1" applyProtection="1">
      <alignment horizontal="center" vertical="center" wrapText="1"/>
    </xf>
    <xf numFmtId="0" fontId="11" fillId="13" borderId="162" xfId="4" applyFont="1" applyFill="1" applyBorder="1" applyAlignment="1" applyProtection="1">
      <alignment horizontal="center" vertical="center" wrapText="1"/>
    </xf>
    <xf numFmtId="0" fontId="11" fillId="13" borderId="45" xfId="4" applyFont="1" applyFill="1" applyBorder="1" applyAlignment="1" applyProtection="1">
      <alignment horizontal="center" vertical="center" wrapText="1"/>
    </xf>
    <xf numFmtId="0" fontId="11" fillId="13" borderId="95" xfId="4" applyFont="1" applyFill="1" applyBorder="1" applyAlignment="1" applyProtection="1">
      <alignment horizontal="center" vertical="center" wrapText="1"/>
    </xf>
    <xf numFmtId="0" fontId="11" fillId="13" borderId="163" xfId="4" applyFont="1" applyFill="1" applyBorder="1" applyAlignment="1" applyProtection="1">
      <alignment horizontal="center" vertical="center" wrapText="1"/>
    </xf>
    <xf numFmtId="0" fontId="11" fillId="0" borderId="29" xfId="4" applyFont="1" applyFill="1" applyBorder="1" applyAlignment="1" applyProtection="1">
      <alignment horizontal="center" vertical="center" wrapText="1"/>
      <protection locked="0"/>
    </xf>
    <xf numFmtId="0" fontId="11" fillId="0" borderId="159" xfId="4" applyFont="1" applyFill="1" applyBorder="1" applyAlignment="1" applyProtection="1">
      <alignment horizontal="center" vertical="center" wrapText="1"/>
      <protection locked="0"/>
    </xf>
    <xf numFmtId="0" fontId="11" fillId="0" borderId="63" xfId="4" applyFont="1" applyFill="1" applyBorder="1" applyAlignment="1" applyProtection="1">
      <alignment horizontal="center" vertical="center" wrapText="1"/>
      <protection locked="0"/>
    </xf>
    <xf numFmtId="0" fontId="11" fillId="0" borderId="30" xfId="4" applyFont="1" applyFill="1" applyBorder="1" applyAlignment="1" applyProtection="1">
      <alignment horizontal="center" vertical="center" wrapText="1"/>
      <protection locked="0"/>
    </xf>
    <xf numFmtId="0" fontId="11" fillId="0" borderId="93" xfId="4" applyFont="1" applyFill="1" applyBorder="1" applyAlignment="1" applyProtection="1">
      <alignment horizontal="center" vertical="center" wrapText="1"/>
      <protection locked="0"/>
    </xf>
    <xf numFmtId="0" fontId="11" fillId="0" borderId="94" xfId="4" applyFont="1" applyFill="1" applyBorder="1" applyAlignment="1" applyProtection="1">
      <alignment horizontal="center" vertical="center" wrapText="1"/>
      <protection locked="0"/>
    </xf>
    <xf numFmtId="0" fontId="11" fillId="0" borderId="47" xfId="4" applyFont="1" applyFill="1" applyBorder="1" applyAlignment="1" applyProtection="1">
      <alignment horizontal="center" vertical="center" wrapText="1"/>
      <protection locked="0"/>
    </xf>
    <xf numFmtId="0" fontId="11" fillId="13" borderId="65" xfId="4" applyFont="1" applyFill="1" applyBorder="1" applyAlignment="1" applyProtection="1">
      <alignment horizontal="center" vertical="center" wrapText="1"/>
    </xf>
    <xf numFmtId="0" fontId="11" fillId="13" borderId="96" xfId="4" applyFont="1" applyFill="1" applyBorder="1" applyAlignment="1" applyProtection="1">
      <alignment horizontal="center" vertical="center" wrapText="1"/>
    </xf>
    <xf numFmtId="0" fontId="11" fillId="13" borderId="97" xfId="4" applyFont="1" applyFill="1" applyBorder="1" applyAlignment="1" applyProtection="1">
      <alignment horizontal="center" vertical="center" wrapText="1"/>
    </xf>
    <xf numFmtId="0" fontId="42" fillId="11" borderId="19" xfId="0" applyFont="1" applyFill="1" applyBorder="1" applyAlignment="1" applyProtection="1">
      <alignment horizontal="center" vertical="center"/>
      <protection locked="0"/>
    </xf>
    <xf numFmtId="0" fontId="42" fillId="11" borderId="24" xfId="0" applyFont="1" applyFill="1" applyBorder="1" applyAlignment="1" applyProtection="1">
      <alignment horizontal="center" vertical="center"/>
      <protection locked="0"/>
    </xf>
    <xf numFmtId="0" fontId="11" fillId="13" borderId="11" xfId="4" applyFont="1" applyFill="1" applyBorder="1" applyAlignment="1" applyProtection="1">
      <alignment horizontal="center" vertical="center" wrapText="1"/>
    </xf>
    <xf numFmtId="0" fontId="11" fillId="13" borderId="14" xfId="4" applyFont="1" applyFill="1" applyBorder="1" applyAlignment="1" applyProtection="1">
      <alignment horizontal="center" vertical="center" wrapText="1"/>
    </xf>
    <xf numFmtId="0" fontId="11" fillId="13" borderId="73" xfId="4" applyFont="1" applyFill="1" applyBorder="1" applyAlignment="1" applyProtection="1">
      <alignment horizontal="center" vertical="center" wrapText="1"/>
    </xf>
    <xf numFmtId="0" fontId="11" fillId="13" borderId="23" xfId="4" applyFont="1" applyFill="1" applyBorder="1" applyAlignment="1" applyProtection="1">
      <alignment horizontal="center" vertical="center" wrapText="1"/>
    </xf>
    <xf numFmtId="0" fontId="11" fillId="13" borderId="0" xfId="4" applyFont="1" applyFill="1" applyBorder="1" applyAlignment="1" applyProtection="1">
      <alignment horizontal="center" vertical="center" wrapText="1"/>
    </xf>
    <xf numFmtId="0" fontId="11" fillId="13" borderId="3" xfId="4" applyFont="1" applyFill="1" applyBorder="1" applyAlignment="1" applyProtection="1">
      <alignment horizontal="center" vertical="center" wrapText="1"/>
    </xf>
    <xf numFmtId="0" fontId="11" fillId="9" borderId="19" xfId="6" applyFont="1" applyFill="1" applyBorder="1" applyAlignment="1" applyProtection="1">
      <alignment horizontal="center" vertical="center" wrapText="1"/>
    </xf>
    <xf numFmtId="0" fontId="11" fillId="9" borderId="18" xfId="6" applyFont="1" applyFill="1" applyBorder="1" applyAlignment="1" applyProtection="1">
      <alignment horizontal="center" vertical="center" wrapText="1"/>
    </xf>
    <xf numFmtId="0" fontId="11" fillId="9" borderId="172" xfId="6" applyFont="1" applyFill="1" applyBorder="1" applyAlignment="1" applyProtection="1">
      <alignment horizontal="center" vertical="center" wrapText="1"/>
    </xf>
    <xf numFmtId="0" fontId="11" fillId="9" borderId="173" xfId="6" applyFont="1" applyFill="1" applyBorder="1" applyAlignment="1" applyProtection="1">
      <alignment horizontal="center" vertical="center" wrapText="1"/>
    </xf>
    <xf numFmtId="0" fontId="11" fillId="9" borderId="174" xfId="6" applyFont="1" applyFill="1" applyBorder="1" applyAlignment="1" applyProtection="1">
      <alignment horizontal="center" vertical="center" wrapText="1"/>
    </xf>
    <xf numFmtId="0" fontId="11" fillId="9" borderId="87" xfId="6" applyFont="1" applyFill="1" applyBorder="1" applyAlignment="1" applyProtection="1">
      <alignment horizontal="center" vertical="center" wrapText="1"/>
    </xf>
    <xf numFmtId="0" fontId="42" fillId="0" borderId="0" xfId="0" applyFont="1" applyAlignment="1" applyProtection="1">
      <alignment horizontal="center" vertical="center"/>
      <protection locked="0"/>
    </xf>
    <xf numFmtId="0" fontId="11" fillId="13" borderId="46" xfId="4" applyFont="1" applyFill="1" applyBorder="1" applyAlignment="1" applyProtection="1">
      <alignment horizontal="center" vertical="center" wrapText="1"/>
    </xf>
    <xf numFmtId="0" fontId="11" fillId="13" borderId="46" xfId="6" applyFont="1" applyFill="1" applyBorder="1" applyAlignment="1" applyProtection="1">
      <alignment horizontal="center" vertical="center" wrapText="1"/>
    </xf>
    <xf numFmtId="0" fontId="11" fillId="9" borderId="170" xfId="6" applyFont="1" applyFill="1" applyBorder="1" applyAlignment="1" applyProtection="1">
      <alignment horizontal="center" vertical="center" wrapText="1"/>
    </xf>
    <xf numFmtId="0" fontId="11" fillId="9" borderId="171" xfId="6" applyFont="1" applyFill="1" applyBorder="1" applyAlignment="1" applyProtection="1">
      <alignment horizontal="center" vertical="center" wrapText="1"/>
    </xf>
    <xf numFmtId="0" fontId="42" fillId="0" borderId="3" xfId="0" applyFont="1" applyBorder="1" applyAlignment="1" applyProtection="1">
      <alignment horizontal="center" vertical="center"/>
      <protection locked="0"/>
    </xf>
    <xf numFmtId="0" fontId="11" fillId="13" borderId="4" xfId="6" applyFont="1" applyFill="1" applyBorder="1" applyAlignment="1" applyProtection="1">
      <alignment horizontal="center" vertical="center" wrapText="1"/>
    </xf>
    <xf numFmtId="0" fontId="11" fillId="13" borderId="23" xfId="6" applyFont="1" applyFill="1" applyBorder="1" applyAlignment="1" applyProtection="1">
      <alignment horizontal="center" vertical="center" wrapText="1"/>
    </xf>
    <xf numFmtId="0" fontId="11" fillId="13" borderId="20" xfId="6" applyFont="1" applyFill="1" applyBorder="1" applyAlignment="1" applyProtection="1">
      <alignment horizontal="center" vertical="center" wrapText="1"/>
    </xf>
    <xf numFmtId="0" fontId="11" fillId="13" borderId="6" xfId="6" applyFont="1" applyFill="1" applyBorder="1" applyAlignment="1" applyProtection="1">
      <alignment horizontal="center" vertical="center" wrapText="1"/>
    </xf>
    <xf numFmtId="0" fontId="11" fillId="13" borderId="0" xfId="6" applyFont="1" applyFill="1" applyBorder="1" applyAlignment="1" applyProtection="1">
      <alignment horizontal="center" vertical="center" wrapText="1"/>
    </xf>
    <xf numFmtId="0" fontId="11" fillId="13" borderId="16" xfId="6" applyFont="1" applyFill="1" applyBorder="1" applyAlignment="1" applyProtection="1">
      <alignment horizontal="center" vertical="center" wrapText="1"/>
    </xf>
    <xf numFmtId="0" fontId="11" fillId="13" borderId="15" xfId="6" applyFont="1" applyFill="1" applyBorder="1" applyAlignment="1" applyProtection="1">
      <alignment horizontal="center" vertical="center" wrapText="1"/>
    </xf>
    <xf numFmtId="0" fontId="11" fillId="13" borderId="3" xfId="6" applyFont="1" applyFill="1" applyBorder="1" applyAlignment="1" applyProtection="1">
      <alignment horizontal="center" vertical="center" wrapText="1"/>
    </xf>
    <xf numFmtId="0" fontId="11" fillId="13" borderId="17" xfId="6" applyFont="1" applyFill="1" applyBorder="1" applyAlignment="1" applyProtection="1">
      <alignment horizontal="center" vertical="center" wrapText="1"/>
    </xf>
    <xf numFmtId="0" fontId="11" fillId="13" borderId="42" xfId="6" applyFont="1" applyFill="1" applyBorder="1" applyAlignment="1" applyProtection="1">
      <alignment horizontal="center" vertical="center" wrapText="1"/>
    </xf>
    <xf numFmtId="0" fontId="11" fillId="13" borderId="72" xfId="6" applyFont="1" applyFill="1" applyBorder="1" applyAlignment="1" applyProtection="1">
      <alignment horizontal="center" vertical="center" wrapText="1"/>
    </xf>
    <xf numFmtId="0" fontId="11" fillId="0" borderId="156" xfId="4" applyFont="1" applyFill="1" applyBorder="1" applyAlignment="1" applyProtection="1">
      <alignment horizontal="center" vertical="center" wrapText="1"/>
      <protection locked="0"/>
    </xf>
    <xf numFmtId="0" fontId="11" fillId="0" borderId="44" xfId="4" applyFont="1" applyFill="1" applyBorder="1" applyAlignment="1" applyProtection="1">
      <alignment horizontal="center" vertical="center" wrapText="1"/>
      <protection locked="0"/>
    </xf>
    <xf numFmtId="0" fontId="11" fillId="0" borderId="64" xfId="4" applyFont="1" applyFill="1" applyBorder="1" applyAlignment="1" applyProtection="1">
      <alignment horizontal="center" vertical="center" wrapText="1"/>
      <protection locked="0"/>
    </xf>
    <xf numFmtId="0" fontId="11" fillId="0" borderId="157" xfId="4" applyFont="1" applyFill="1" applyBorder="1" applyAlignment="1" applyProtection="1">
      <alignment horizontal="center" vertical="center" wrapText="1"/>
      <protection locked="0"/>
    </xf>
    <xf numFmtId="0" fontId="11" fillId="0" borderId="91" xfId="4" applyFont="1" applyFill="1" applyBorder="1" applyAlignment="1" applyProtection="1">
      <alignment horizontal="center" vertical="center" wrapText="1"/>
      <protection locked="0"/>
    </xf>
    <xf numFmtId="0" fontId="11" fillId="0" borderId="92" xfId="4" applyFont="1" applyFill="1" applyBorder="1" applyAlignment="1" applyProtection="1">
      <alignment horizontal="center" vertical="center" wrapText="1"/>
      <protection locked="0"/>
    </xf>
    <xf numFmtId="0" fontId="11" fillId="0" borderId="53" xfId="4" applyFont="1" applyFill="1" applyBorder="1" applyAlignment="1" applyProtection="1">
      <alignment horizontal="center" vertical="center" wrapText="1"/>
      <protection locked="0"/>
    </xf>
    <xf numFmtId="0" fontId="11" fillId="13" borderId="85" xfId="6" applyFont="1" applyFill="1" applyBorder="1" applyAlignment="1" applyProtection="1">
      <alignment horizontal="center" vertical="center" wrapText="1"/>
    </xf>
    <xf numFmtId="0" fontId="11" fillId="13" borderId="86" xfId="6" applyFont="1" applyFill="1" applyBorder="1" applyAlignment="1" applyProtection="1">
      <alignment horizontal="center" vertical="center" wrapText="1"/>
    </xf>
    <xf numFmtId="0" fontId="11" fillId="6" borderId="11" xfId="4" applyFont="1" applyFill="1" applyBorder="1" applyAlignment="1" applyProtection="1">
      <alignment horizontal="center" vertical="center" wrapText="1"/>
    </xf>
    <xf numFmtId="0" fontId="11" fillId="6" borderId="14" xfId="4" applyFont="1" applyFill="1" applyBorder="1" applyAlignment="1" applyProtection="1">
      <alignment horizontal="center" vertical="center" wrapText="1"/>
    </xf>
    <xf numFmtId="0" fontId="11" fillId="6" borderId="83" xfId="4" applyFont="1" applyFill="1" applyBorder="1" applyAlignment="1" applyProtection="1">
      <alignment horizontal="center" vertical="center" wrapText="1"/>
    </xf>
    <xf numFmtId="0" fontId="11" fillId="13" borderId="43" xfId="6" applyFont="1" applyFill="1" applyBorder="1" applyAlignment="1" applyProtection="1">
      <alignment horizontal="center" vertical="center" wrapText="1"/>
    </xf>
    <xf numFmtId="0" fontId="11" fillId="13" borderId="63" xfId="6" applyFont="1" applyFill="1" applyBorder="1" applyAlignment="1" applyProtection="1">
      <alignment horizontal="center" vertical="center" wrapText="1"/>
    </xf>
    <xf numFmtId="0" fontId="11" fillId="0" borderId="158" xfId="4" applyFont="1" applyFill="1" applyBorder="1" applyAlignment="1" applyProtection="1">
      <alignment horizontal="center" vertical="center" wrapText="1"/>
      <protection locked="0"/>
    </xf>
    <xf numFmtId="0" fontId="11" fillId="9" borderId="23" xfId="6" applyFont="1" applyFill="1" applyBorder="1" applyAlignment="1" applyProtection="1">
      <alignment horizontal="center" vertical="center" wrapText="1"/>
    </xf>
    <xf numFmtId="0" fontId="11" fillId="9" borderId="61" xfId="6" applyFont="1" applyFill="1" applyBorder="1" applyAlignment="1" applyProtection="1">
      <alignment horizontal="center" vertical="center" wrapText="1"/>
    </xf>
    <xf numFmtId="0" fontId="11" fillId="9" borderId="3" xfId="6" applyFont="1" applyFill="1" applyBorder="1" applyAlignment="1" applyProtection="1">
      <alignment horizontal="center" vertical="center" wrapText="1"/>
    </xf>
    <xf numFmtId="0" fontId="11" fillId="9" borderId="54" xfId="6" applyFont="1" applyFill="1" applyBorder="1" applyAlignment="1" applyProtection="1">
      <alignment horizontal="center" vertical="center" wrapText="1"/>
    </xf>
    <xf numFmtId="0" fontId="11" fillId="9" borderId="60" xfId="6" applyFont="1" applyFill="1" applyBorder="1" applyAlignment="1" applyProtection="1">
      <alignment horizontal="center" vertical="center" wrapText="1"/>
    </xf>
    <xf numFmtId="0" fontId="11" fillId="9" borderId="20" xfId="6" applyFont="1" applyFill="1" applyBorder="1" applyAlignment="1" applyProtection="1">
      <alignment horizontal="center" vertical="center" wrapText="1"/>
    </xf>
    <xf numFmtId="0" fontId="11" fillId="9" borderId="56" xfId="6" applyFont="1" applyFill="1" applyBorder="1" applyAlignment="1" applyProtection="1">
      <alignment horizontal="center" vertical="center" wrapText="1"/>
    </xf>
    <xf numFmtId="0" fontId="11" fillId="9" borderId="17" xfId="6" applyFont="1" applyFill="1" applyBorder="1" applyAlignment="1" applyProtection="1">
      <alignment horizontal="center" vertical="center" wrapText="1"/>
    </xf>
    <xf numFmtId="0" fontId="11" fillId="9" borderId="4" xfId="6" applyFont="1" applyFill="1" applyBorder="1" applyAlignment="1" applyProtection="1">
      <alignment horizontal="center" vertical="center" wrapText="1"/>
    </xf>
    <xf numFmtId="0" fontId="11" fillId="9" borderId="15" xfId="6" applyFont="1" applyFill="1" applyBorder="1" applyAlignment="1" applyProtection="1">
      <alignment horizontal="center" vertical="center" wrapText="1"/>
    </xf>
    <xf numFmtId="0" fontId="11" fillId="6" borderId="73" xfId="4" applyFont="1" applyFill="1" applyBorder="1" applyAlignment="1" applyProtection="1">
      <alignment horizontal="center" vertical="center" wrapText="1"/>
    </xf>
    <xf numFmtId="0" fontId="11" fillId="9" borderId="69" xfId="6" applyFont="1" applyFill="1" applyBorder="1" applyAlignment="1" applyProtection="1">
      <alignment horizontal="center" vertical="center" wrapText="1"/>
    </xf>
    <xf numFmtId="0" fontId="11" fillId="9" borderId="67" xfId="6" applyFont="1" applyFill="1" applyBorder="1" applyAlignment="1" applyProtection="1">
      <alignment horizontal="center" vertical="center" wrapText="1"/>
    </xf>
    <xf numFmtId="0" fontId="11" fillId="9" borderId="59" xfId="6" applyFont="1" applyFill="1" applyBorder="1" applyAlignment="1" applyProtection="1">
      <alignment horizontal="center" vertical="center" wrapText="1"/>
    </xf>
    <xf numFmtId="0" fontId="11" fillId="9" borderId="48" xfId="6" applyFont="1" applyFill="1" applyBorder="1" applyAlignment="1" applyProtection="1">
      <alignment horizontal="center" vertical="center" wrapText="1"/>
    </xf>
    <xf numFmtId="0" fontId="11" fillId="9" borderId="160" xfId="6" applyFont="1" applyFill="1" applyBorder="1" applyAlignment="1" applyProtection="1">
      <alignment horizontal="center" vertical="center" wrapText="1"/>
    </xf>
    <xf numFmtId="0" fontId="11" fillId="9" borderId="168" xfId="6" applyFont="1" applyFill="1" applyBorder="1" applyAlignment="1" applyProtection="1">
      <alignment horizontal="center" vertical="center" wrapText="1"/>
    </xf>
    <xf numFmtId="0" fontId="11" fillId="9" borderId="161" xfId="6" applyFont="1" applyFill="1" applyBorder="1" applyAlignment="1" applyProtection="1">
      <alignment horizontal="center" vertical="center" wrapText="1"/>
    </xf>
    <xf numFmtId="0" fontId="11" fillId="9" borderId="169" xfId="6" applyFont="1" applyFill="1" applyBorder="1" applyAlignment="1" applyProtection="1">
      <alignment horizontal="center" vertical="center" wrapText="1"/>
    </xf>
    <xf numFmtId="0" fontId="11" fillId="9" borderId="98" xfId="6" applyFont="1" applyFill="1" applyBorder="1" applyAlignment="1" applyProtection="1">
      <alignment horizontal="center" vertical="center" wrapText="1"/>
    </xf>
    <xf numFmtId="0" fontId="11" fillId="9" borderId="77" xfId="6" applyFont="1" applyFill="1" applyBorder="1" applyAlignment="1" applyProtection="1">
      <alignment horizontal="center" vertical="center" wrapText="1"/>
    </xf>
    <xf numFmtId="0" fontId="11" fillId="0" borderId="72" xfId="4" applyFont="1" applyFill="1" applyBorder="1" applyAlignment="1" applyProtection="1">
      <alignment horizontal="center" vertical="center" wrapText="1"/>
      <protection locked="0"/>
    </xf>
    <xf numFmtId="0" fontId="11" fillId="13" borderId="10" xfId="5" applyFont="1" applyFill="1" applyBorder="1" applyAlignment="1" applyProtection="1">
      <alignment horizontal="center" vertical="center" wrapText="1"/>
    </xf>
    <xf numFmtId="0" fontId="11" fillId="13" borderId="9" xfId="5" applyFont="1" applyFill="1" applyBorder="1" applyAlignment="1" applyProtection="1">
      <alignment horizontal="center" vertical="center" wrapText="1"/>
    </xf>
    <xf numFmtId="0" fontId="11" fillId="0" borderId="49" xfId="0" applyFont="1" applyBorder="1" applyAlignment="1" applyProtection="1">
      <alignment horizontal="center" vertical="center" shrinkToFit="1"/>
      <protection locked="0"/>
    </xf>
    <xf numFmtId="0" fontId="11" fillId="0" borderId="46" xfId="0" applyFont="1" applyBorder="1" applyAlignment="1" applyProtection="1">
      <alignment horizontal="center" vertical="center" shrinkToFit="1"/>
      <protection locked="0"/>
    </xf>
    <xf numFmtId="0" fontId="11" fillId="0" borderId="162" xfId="4" applyFont="1" applyFill="1" applyBorder="1" applyAlignment="1" applyProtection="1">
      <alignment horizontal="center" vertical="center" wrapText="1"/>
      <protection locked="0"/>
    </xf>
    <xf numFmtId="0" fontId="11" fillId="0" borderId="45" xfId="4" applyFont="1" applyFill="1" applyBorder="1" applyAlignment="1" applyProtection="1">
      <alignment horizontal="center" vertical="center" wrapText="1"/>
      <protection locked="0"/>
    </xf>
    <xf numFmtId="0" fontId="11" fillId="0" borderId="95" xfId="4" applyFont="1" applyFill="1" applyBorder="1" applyAlignment="1" applyProtection="1">
      <alignment horizontal="center" vertical="center" wrapText="1"/>
      <protection locked="0"/>
    </xf>
    <xf numFmtId="0" fontId="11" fillId="0" borderId="163" xfId="4" applyFont="1" applyFill="1" applyBorder="1" applyAlignment="1" applyProtection="1">
      <alignment horizontal="center" vertical="center" wrapText="1"/>
      <protection locked="0"/>
    </xf>
    <xf numFmtId="0" fontId="11" fillId="0" borderId="65" xfId="4" applyFont="1" applyFill="1" applyBorder="1" applyAlignment="1" applyProtection="1">
      <alignment horizontal="center" vertical="center" wrapText="1"/>
      <protection locked="0"/>
    </xf>
    <xf numFmtId="0" fontId="11" fillId="0" borderId="96" xfId="4" applyFont="1" applyFill="1" applyBorder="1" applyAlignment="1" applyProtection="1">
      <alignment horizontal="center" vertical="center" wrapText="1"/>
      <protection locked="0"/>
    </xf>
    <xf numFmtId="0" fontId="11" fillId="13" borderId="8" xfId="5" applyFont="1" applyFill="1" applyBorder="1" applyAlignment="1" applyProtection="1">
      <alignment horizontal="center" vertical="center" wrapText="1"/>
    </xf>
    <xf numFmtId="0" fontId="11" fillId="13" borderId="26" xfId="5" applyFont="1" applyFill="1" applyBorder="1" applyAlignment="1" applyProtection="1">
      <alignment horizontal="center" vertical="center" wrapText="1"/>
    </xf>
    <xf numFmtId="0" fontId="11" fillId="10" borderId="64" xfId="4" applyFont="1" applyFill="1" applyBorder="1" applyAlignment="1" applyProtection="1">
      <alignment horizontal="center" vertical="center" wrapText="1"/>
      <protection locked="0"/>
    </xf>
    <xf numFmtId="0" fontId="11" fillId="10" borderId="91" xfId="4" applyFont="1" applyFill="1" applyBorder="1" applyAlignment="1" applyProtection="1">
      <alignment horizontal="center" vertical="center" wrapText="1"/>
      <protection locked="0"/>
    </xf>
    <xf numFmtId="0" fontId="11" fillId="13" borderId="5" xfId="5" applyFont="1" applyFill="1" applyBorder="1" applyAlignment="1" applyProtection="1">
      <alignment horizontal="center" vertical="center" wrapText="1"/>
    </xf>
    <xf numFmtId="0" fontId="11" fillId="13" borderId="25" xfId="5" applyFont="1" applyFill="1" applyBorder="1" applyAlignment="1" applyProtection="1">
      <alignment horizontal="center" vertical="center" wrapText="1"/>
    </xf>
    <xf numFmtId="0" fontId="11" fillId="0" borderId="43" xfId="0" applyFont="1" applyBorder="1" applyAlignment="1" applyProtection="1">
      <alignment horizontal="center" vertical="center" shrinkToFit="1"/>
      <protection locked="0"/>
    </xf>
    <xf numFmtId="0" fontId="11" fillId="0" borderId="47" xfId="0" applyFont="1" applyBorder="1" applyAlignment="1" applyProtection="1">
      <alignment horizontal="center" vertical="center" shrinkToFit="1"/>
      <protection locked="0"/>
    </xf>
    <xf numFmtId="0" fontId="11" fillId="10" borderId="29" xfId="4" applyFont="1" applyFill="1" applyBorder="1" applyAlignment="1" applyProtection="1">
      <alignment horizontal="center" vertical="center" wrapText="1"/>
      <protection locked="0"/>
    </xf>
    <xf numFmtId="0" fontId="11" fillId="10" borderId="93" xfId="4" applyFont="1" applyFill="1" applyBorder="1" applyAlignment="1" applyProtection="1">
      <alignment horizontal="center" vertical="center" wrapText="1"/>
      <protection locked="0"/>
    </xf>
    <xf numFmtId="0" fontId="11" fillId="0" borderId="42" xfId="0" applyFont="1" applyBorder="1" applyAlignment="1" applyProtection="1">
      <alignment horizontal="center" vertical="center" shrinkToFit="1"/>
      <protection locked="0"/>
    </xf>
    <xf numFmtId="0" fontId="11" fillId="0" borderId="53" xfId="0" applyFont="1" applyBorder="1" applyAlignment="1" applyProtection="1">
      <alignment horizontal="center" vertical="center" shrinkToFit="1"/>
      <protection locked="0"/>
    </xf>
    <xf numFmtId="0" fontId="11" fillId="13" borderId="60" xfId="4" applyFont="1" applyFill="1" applyBorder="1" applyAlignment="1" applyProtection="1">
      <alignment horizontal="center" vertical="center" wrapText="1"/>
    </xf>
    <xf numFmtId="0" fontId="11" fillId="13" borderId="70" xfId="4" applyFont="1" applyFill="1" applyBorder="1" applyAlignment="1" applyProtection="1">
      <alignment horizontal="center" vertical="center" wrapText="1"/>
    </xf>
    <xf numFmtId="0" fontId="11" fillId="13" borderId="56" xfId="4" applyFont="1" applyFill="1" applyBorder="1" applyAlignment="1" applyProtection="1">
      <alignment horizontal="center" vertical="center" wrapText="1"/>
    </xf>
    <xf numFmtId="0" fontId="11" fillId="22" borderId="29" xfId="4" applyFont="1" applyFill="1" applyBorder="1" applyAlignment="1" applyProtection="1">
      <alignment horizontal="center" vertical="center" wrapText="1"/>
      <protection locked="0"/>
    </xf>
    <xf numFmtId="0" fontId="11" fillId="22" borderId="93" xfId="4" applyFont="1" applyFill="1" applyBorder="1" applyAlignment="1" applyProtection="1">
      <alignment horizontal="center" vertical="center" wrapText="1"/>
      <protection locked="0"/>
    </xf>
    <xf numFmtId="0" fontId="11" fillId="10" borderId="72" xfId="4" applyFont="1" applyFill="1" applyBorder="1" applyAlignment="1" applyProtection="1">
      <alignment horizontal="center" vertical="center" wrapText="1"/>
      <protection locked="0"/>
    </xf>
    <xf numFmtId="0" fontId="11" fillId="10" borderId="44" xfId="4" applyFont="1" applyFill="1" applyBorder="1" applyAlignment="1" applyProtection="1">
      <alignment horizontal="center" vertical="center" wrapText="1"/>
      <protection locked="0"/>
    </xf>
    <xf numFmtId="0" fontId="11" fillId="13" borderId="42" xfId="5" applyFont="1" applyFill="1" applyBorder="1" applyAlignment="1" applyProtection="1">
      <alignment horizontal="center" vertical="center" wrapText="1"/>
    </xf>
    <xf numFmtId="0" fontId="11" fillId="13" borderId="53" xfId="5" applyFont="1" applyFill="1" applyBorder="1" applyAlignment="1" applyProtection="1">
      <alignment horizontal="center" vertical="center" wrapText="1"/>
    </xf>
    <xf numFmtId="0" fontId="11" fillId="0" borderId="85" xfId="0" applyFont="1" applyBorder="1" applyAlignment="1" applyProtection="1">
      <alignment horizontal="center" vertical="center" shrinkToFit="1"/>
      <protection locked="0"/>
    </xf>
    <xf numFmtId="0" fontId="11" fillId="0" borderId="86" xfId="0" applyFont="1" applyBorder="1" applyAlignment="1" applyProtection="1">
      <alignment horizontal="center" vertical="center" shrinkToFit="1"/>
      <protection locked="0"/>
    </xf>
    <xf numFmtId="0" fontId="11" fillId="0" borderId="166" xfId="4" applyFont="1" applyFill="1" applyBorder="1" applyAlignment="1" applyProtection="1">
      <alignment horizontal="center" vertical="center" wrapText="1"/>
      <protection locked="0"/>
    </xf>
    <xf numFmtId="0" fontId="11" fillId="0" borderId="145" xfId="4" applyFont="1" applyFill="1" applyBorder="1" applyAlignment="1" applyProtection="1">
      <alignment horizontal="center" vertical="center" wrapText="1"/>
      <protection locked="0"/>
    </xf>
    <xf numFmtId="0" fontId="11" fillId="0" borderId="146" xfId="4" applyFont="1" applyFill="1" applyBorder="1" applyAlignment="1" applyProtection="1">
      <alignment horizontal="center" vertical="center" wrapText="1"/>
      <protection locked="0"/>
    </xf>
    <xf numFmtId="0" fontId="11" fillId="0" borderId="167" xfId="4" applyFont="1" applyFill="1" applyBorder="1" applyAlignment="1" applyProtection="1">
      <alignment horizontal="center" vertical="center" wrapText="1"/>
      <protection locked="0"/>
    </xf>
    <xf numFmtId="0" fontId="11" fillId="22" borderId="147" xfId="4" applyFont="1" applyFill="1" applyBorder="1" applyAlignment="1" applyProtection="1">
      <alignment horizontal="center" vertical="center" wrapText="1"/>
      <protection locked="0"/>
    </xf>
    <xf numFmtId="0" fontId="11" fillId="22" borderId="145" xfId="4" applyFont="1" applyFill="1" applyBorder="1" applyAlignment="1" applyProtection="1">
      <alignment horizontal="center" vertical="center" wrapText="1"/>
      <protection locked="0"/>
    </xf>
    <xf numFmtId="0" fontId="11" fillId="22" borderId="146" xfId="4" applyFont="1" applyFill="1" applyBorder="1" applyAlignment="1" applyProtection="1">
      <alignment horizontal="center" vertical="center" wrapText="1"/>
      <protection locked="0"/>
    </xf>
    <xf numFmtId="0" fontId="11" fillId="22" borderId="148" xfId="4" applyFont="1" applyFill="1" applyBorder="1" applyAlignment="1" applyProtection="1">
      <alignment horizontal="center" vertical="center" wrapText="1"/>
      <protection locked="0"/>
    </xf>
    <xf numFmtId="0" fontId="11" fillId="0" borderId="147" xfId="4" applyFont="1" applyFill="1" applyBorder="1" applyAlignment="1" applyProtection="1">
      <alignment horizontal="center" vertical="center" wrapText="1"/>
      <protection locked="0"/>
    </xf>
    <xf numFmtId="0" fontId="11" fillId="0" borderId="180" xfId="0" applyFont="1" applyBorder="1" applyAlignment="1" applyProtection="1">
      <alignment horizontal="center" vertical="center" shrinkToFit="1"/>
      <protection locked="0"/>
    </xf>
    <xf numFmtId="0" fontId="11" fillId="0" borderId="26" xfId="0" applyFont="1" applyBorder="1" applyAlignment="1" applyProtection="1">
      <alignment horizontal="center" vertical="center" shrinkToFit="1"/>
      <protection locked="0"/>
    </xf>
    <xf numFmtId="0" fontId="11" fillId="0" borderId="97" xfId="4" applyFont="1" applyFill="1" applyBorder="1" applyAlignment="1" applyProtection="1">
      <alignment horizontal="center" vertical="center" wrapText="1"/>
      <protection locked="0"/>
    </xf>
    <xf numFmtId="0" fontId="11" fillId="0" borderId="46" xfId="4" applyFont="1" applyFill="1" applyBorder="1" applyAlignment="1" applyProtection="1">
      <alignment horizontal="center" vertical="center" wrapText="1"/>
      <protection locked="0"/>
    </xf>
    <xf numFmtId="0" fontId="11" fillId="13" borderId="144" xfId="5" applyFont="1" applyFill="1" applyBorder="1" applyAlignment="1" applyProtection="1">
      <alignment horizontal="center" vertical="center" wrapText="1"/>
    </xf>
    <xf numFmtId="0" fontId="11" fillId="13" borderId="66" xfId="5" applyFont="1" applyFill="1" applyBorder="1" applyAlignment="1" applyProtection="1">
      <alignment horizontal="center" vertical="center" wrapText="1"/>
    </xf>
    <xf numFmtId="0" fontId="11" fillId="13" borderId="43" xfId="5" applyFont="1" applyFill="1" applyBorder="1" applyAlignment="1" applyProtection="1">
      <alignment horizontal="center" vertical="center" wrapText="1"/>
    </xf>
    <xf numFmtId="0" fontId="11" fillId="13" borderId="47" xfId="5" applyFont="1" applyFill="1" applyBorder="1" applyAlignment="1" applyProtection="1">
      <alignment horizontal="center" vertical="center" wrapText="1"/>
    </xf>
    <xf numFmtId="0" fontId="11" fillId="0" borderId="191" xfId="0" applyFont="1" applyBorder="1" applyAlignment="1" applyProtection="1">
      <alignment horizontal="center" vertical="center" shrinkToFit="1"/>
      <protection locked="0"/>
    </xf>
    <xf numFmtId="0" fontId="11" fillId="0" borderId="9" xfId="0" applyFont="1" applyBorder="1" applyAlignment="1" applyProtection="1">
      <alignment horizontal="center" vertical="center" shrinkToFit="1"/>
      <protection locked="0"/>
    </xf>
    <xf numFmtId="0" fontId="11" fillId="0" borderId="191" xfId="2" applyFont="1" applyBorder="1" applyAlignment="1" applyProtection="1">
      <alignment horizontal="center" vertical="center" wrapText="1"/>
      <protection locked="0"/>
    </xf>
    <xf numFmtId="0" fontId="11" fillId="0" borderId="9" xfId="2" applyFont="1" applyBorder="1" applyAlignment="1" applyProtection="1">
      <alignment horizontal="center" vertical="center" wrapText="1"/>
      <protection locked="0"/>
    </xf>
    <xf numFmtId="176" fontId="11" fillId="13" borderId="188" xfId="0" applyNumberFormat="1" applyFont="1" applyFill="1" applyBorder="1" applyAlignment="1">
      <alignment horizontal="center" vertical="center" wrapText="1"/>
    </xf>
    <xf numFmtId="176" fontId="11" fillId="13" borderId="194" xfId="0" applyNumberFormat="1" applyFont="1" applyFill="1" applyBorder="1" applyAlignment="1">
      <alignment horizontal="center" vertical="center" wrapText="1"/>
    </xf>
    <xf numFmtId="0" fontId="11" fillId="0" borderId="190" xfId="2" applyFont="1" applyBorder="1" applyAlignment="1" applyProtection="1">
      <alignment horizontal="center" vertical="center" wrapText="1"/>
      <protection locked="0"/>
    </xf>
    <xf numFmtId="0" fontId="11" fillId="0" borderId="25" xfId="2" applyFont="1" applyBorder="1" applyAlignment="1" applyProtection="1">
      <alignment horizontal="center" vertical="center" wrapText="1"/>
      <protection locked="0"/>
    </xf>
    <xf numFmtId="0" fontId="11" fillId="13" borderId="149" xfId="5" applyFont="1" applyFill="1" applyBorder="1" applyAlignment="1" applyProtection="1">
      <alignment horizontal="center" vertical="center" wrapText="1"/>
    </xf>
    <xf numFmtId="0" fontId="11" fillId="13" borderId="150" xfId="5" applyFont="1" applyFill="1" applyBorder="1" applyAlignment="1" applyProtection="1">
      <alignment horizontal="center" vertical="center" wrapText="1"/>
    </xf>
    <xf numFmtId="0" fontId="11" fillId="6" borderId="16" xfId="4" applyFont="1" applyFill="1" applyBorder="1" applyAlignment="1" applyProtection="1">
      <alignment horizontal="center" vertical="center" wrapText="1"/>
    </xf>
    <xf numFmtId="0" fontId="11" fillId="6" borderId="17" xfId="4" applyFont="1" applyFill="1" applyBorder="1" applyAlignment="1" applyProtection="1">
      <alignment horizontal="center" vertical="center" wrapText="1"/>
    </xf>
    <xf numFmtId="0" fontId="11" fillId="9" borderId="164" xfId="6" applyFont="1" applyFill="1" applyBorder="1" applyAlignment="1" applyProtection="1">
      <alignment horizontal="center" vertical="center" wrapText="1"/>
    </xf>
    <xf numFmtId="0" fontId="11" fillId="9" borderId="51" xfId="6" applyFont="1" applyFill="1" applyBorder="1" applyAlignment="1" applyProtection="1">
      <alignment horizontal="center" vertical="center" wrapText="1"/>
    </xf>
    <xf numFmtId="0" fontId="11" fillId="9" borderId="165" xfId="6" applyFont="1" applyFill="1" applyBorder="1" applyAlignment="1" applyProtection="1">
      <alignment horizontal="center" vertical="center" wrapText="1"/>
    </xf>
    <xf numFmtId="0" fontId="11" fillId="9" borderId="76" xfId="6" applyFont="1" applyFill="1" applyBorder="1" applyAlignment="1" applyProtection="1">
      <alignment horizontal="center" vertical="center" wrapText="1"/>
    </xf>
    <xf numFmtId="0" fontId="11" fillId="9" borderId="52" xfId="6" applyFont="1" applyFill="1" applyBorder="1" applyAlignment="1" applyProtection="1">
      <alignment horizontal="center" vertical="center" wrapText="1"/>
    </xf>
    <xf numFmtId="0" fontId="11" fillId="13" borderId="4" xfId="5" applyFont="1" applyFill="1" applyBorder="1" applyAlignment="1" applyProtection="1">
      <alignment horizontal="center" vertical="center" wrapText="1"/>
    </xf>
    <xf numFmtId="0" fontId="11" fillId="13" borderId="20" xfId="5" applyFont="1" applyFill="1" applyBorder="1" applyAlignment="1" applyProtection="1">
      <alignment horizontal="center" vertical="center" wrapText="1"/>
    </xf>
    <xf numFmtId="0" fontId="11" fillId="13" borderId="6" xfId="5" applyFont="1" applyFill="1" applyBorder="1" applyAlignment="1" applyProtection="1">
      <alignment horizontal="center" vertical="center" wrapText="1"/>
    </xf>
    <xf numFmtId="0" fontId="11" fillId="13" borderId="16" xfId="5" applyFont="1" applyFill="1" applyBorder="1" applyAlignment="1" applyProtection="1">
      <alignment horizontal="center" vertical="center" wrapText="1"/>
    </xf>
    <xf numFmtId="0" fontId="11" fillId="6" borderId="27" xfId="4" applyFont="1" applyFill="1" applyBorder="1" applyAlignment="1" applyProtection="1">
      <alignment horizontal="center" vertical="center" wrapText="1"/>
    </xf>
    <xf numFmtId="0" fontId="11" fillId="0" borderId="49" xfId="4" applyFont="1" applyFill="1" applyBorder="1" applyAlignment="1" applyProtection="1">
      <alignment horizontal="center" vertical="center" wrapText="1"/>
      <protection locked="0"/>
    </xf>
    <xf numFmtId="0" fontId="20" fillId="13" borderId="11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0" fontId="11" fillId="0" borderId="42" xfId="4" applyFont="1" applyFill="1" applyBorder="1" applyAlignment="1" applyProtection="1">
      <alignment horizontal="center" vertical="center" wrapText="1"/>
      <protection locked="0"/>
    </xf>
    <xf numFmtId="0" fontId="11" fillId="0" borderId="43" xfId="4" applyFont="1" applyFill="1" applyBorder="1" applyAlignment="1" applyProtection="1">
      <alignment horizontal="center" vertical="center" wrapText="1"/>
      <protection locked="0"/>
    </xf>
    <xf numFmtId="0" fontId="11" fillId="13" borderId="11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0" fontId="11" fillId="13" borderId="68" xfId="5" applyFont="1" applyFill="1" applyBorder="1" applyAlignment="1" applyProtection="1">
      <alignment horizontal="center" vertical="center" wrapText="1"/>
    </xf>
    <xf numFmtId="0" fontId="11" fillId="13" borderId="71" xfId="5" applyFont="1" applyFill="1" applyBorder="1" applyAlignment="1" applyProtection="1">
      <alignment horizontal="center" vertical="center" wrapText="1"/>
    </xf>
    <xf numFmtId="0" fontId="11" fillId="13" borderId="68" xfId="4" applyFont="1" applyFill="1" applyBorder="1" applyAlignment="1" applyProtection="1">
      <alignment horizontal="center" vertical="center" wrapText="1"/>
    </xf>
    <xf numFmtId="0" fontId="11" fillId="13" borderId="55" xfId="4" applyFont="1" applyFill="1" applyBorder="1" applyAlignment="1" applyProtection="1">
      <alignment horizontal="center" vertical="center" wrapText="1"/>
    </xf>
    <xf numFmtId="0" fontId="11" fillId="13" borderId="20" xfId="4" applyFont="1" applyFill="1" applyBorder="1" applyAlignment="1" applyProtection="1">
      <alignment horizontal="center" vertical="center" wrapText="1"/>
    </xf>
    <xf numFmtId="0" fontId="11" fillId="13" borderId="16" xfId="4" applyFont="1" applyFill="1" applyBorder="1" applyAlignment="1" applyProtection="1">
      <alignment horizontal="center" vertical="center" wrapText="1"/>
    </xf>
    <xf numFmtId="0" fontId="11" fillId="0" borderId="15" xfId="4" applyFont="1" applyFill="1" applyBorder="1" applyAlignment="1" applyProtection="1">
      <alignment horizontal="center" vertical="center" wrapText="1"/>
      <protection locked="0"/>
    </xf>
    <xf numFmtId="0" fontId="11" fillId="0" borderId="17" xfId="4" applyFont="1" applyFill="1" applyBorder="1" applyAlignment="1" applyProtection="1">
      <alignment horizontal="center" vertical="center" wrapText="1"/>
      <protection locked="0"/>
    </xf>
    <xf numFmtId="0" fontId="11" fillId="13" borderId="73" xfId="0" applyFont="1" applyFill="1" applyBorder="1" applyAlignment="1">
      <alignment horizontal="center" vertical="center" wrapText="1"/>
    </xf>
    <xf numFmtId="0" fontId="11" fillId="0" borderId="160" xfId="4" applyFont="1" applyFill="1" applyBorder="1" applyAlignment="1" applyProtection="1">
      <alignment horizontal="center" vertical="center" wrapText="1"/>
      <protection locked="0"/>
    </xf>
    <xf numFmtId="0" fontId="11" fillId="0" borderId="61" xfId="4" applyFont="1" applyFill="1" applyBorder="1" applyAlignment="1" applyProtection="1">
      <alignment horizontal="center" vertical="center" wrapText="1"/>
      <protection locked="0"/>
    </xf>
    <xf numFmtId="0" fontId="11" fillId="0" borderId="60" xfId="4" applyFont="1" applyFill="1" applyBorder="1" applyAlignment="1" applyProtection="1">
      <alignment horizontal="center" vertical="center" wrapText="1"/>
      <protection locked="0"/>
    </xf>
    <xf numFmtId="0" fontId="11" fillId="0" borderId="161" xfId="4" applyFont="1" applyFill="1" applyBorder="1" applyAlignment="1" applyProtection="1">
      <alignment horizontal="center" vertical="center" wrapText="1"/>
      <protection locked="0"/>
    </xf>
    <xf numFmtId="0" fontId="11" fillId="0" borderId="23" xfId="4" applyFont="1" applyFill="1" applyBorder="1" applyAlignment="1" applyProtection="1">
      <alignment horizontal="center" vertical="center" wrapText="1"/>
      <protection locked="0"/>
    </xf>
    <xf numFmtId="0" fontId="11" fillId="0" borderId="98" xfId="4" applyFont="1" applyFill="1" applyBorder="1" applyAlignment="1" applyProtection="1">
      <alignment horizontal="center" vertical="center" wrapText="1"/>
      <protection locked="0"/>
    </xf>
    <xf numFmtId="0" fontId="11" fillId="13" borderId="71" xfId="4" applyFont="1" applyFill="1" applyBorder="1" applyAlignment="1" applyProtection="1">
      <alignment horizontal="center" vertical="center" wrapText="1"/>
    </xf>
    <xf numFmtId="0" fontId="11" fillId="0" borderId="99" xfId="4" applyFont="1" applyFill="1" applyBorder="1" applyAlignment="1" applyProtection="1">
      <alignment horizontal="center" vertical="center" wrapText="1"/>
      <protection locked="0"/>
    </xf>
    <xf numFmtId="0" fontId="11" fillId="0" borderId="20" xfId="4" applyFont="1" applyFill="1" applyBorder="1" applyAlignment="1" applyProtection="1">
      <alignment horizontal="center" vertical="center" wrapText="1"/>
      <protection locked="0"/>
    </xf>
    <xf numFmtId="0" fontId="45" fillId="0" borderId="3" xfId="0" applyFont="1" applyBorder="1" applyAlignment="1" applyProtection="1">
      <alignment horizontal="center" vertical="center"/>
      <protection locked="0"/>
    </xf>
    <xf numFmtId="0" fontId="11" fillId="13" borderId="4" xfId="4" applyFont="1" applyFill="1" applyBorder="1" applyAlignment="1" applyProtection="1">
      <alignment horizontal="center" vertical="center" wrapText="1"/>
    </xf>
    <xf numFmtId="0" fontId="11" fillId="13" borderId="6" xfId="4" applyFont="1" applyFill="1" applyBorder="1" applyAlignment="1" applyProtection="1">
      <alignment horizontal="center" vertical="center" wrapText="1"/>
    </xf>
    <xf numFmtId="0" fontId="11" fillId="13" borderId="15" xfId="4" applyFont="1" applyFill="1" applyBorder="1" applyAlignment="1" applyProtection="1">
      <alignment horizontal="center" vertical="center" wrapText="1"/>
    </xf>
    <xf numFmtId="0" fontId="11" fillId="13" borderId="17" xfId="4" applyFont="1" applyFill="1" applyBorder="1" applyAlignment="1" applyProtection="1">
      <alignment horizontal="center" vertical="center" wrapText="1"/>
    </xf>
    <xf numFmtId="0" fontId="41" fillId="4" borderId="35" xfId="3" applyFont="1" applyFill="1" applyBorder="1" applyAlignment="1" applyProtection="1">
      <alignment horizontal="center" vertical="center" wrapText="1"/>
      <protection locked="0"/>
    </xf>
    <xf numFmtId="0" fontId="41" fillId="4" borderId="37" xfId="3" applyFont="1" applyFill="1" applyBorder="1" applyAlignment="1" applyProtection="1">
      <alignment horizontal="center" vertical="center" wrapText="1"/>
      <protection locked="0"/>
    </xf>
    <xf numFmtId="0" fontId="41" fillId="4" borderId="38" xfId="3" applyFont="1" applyFill="1" applyBorder="1" applyAlignment="1" applyProtection="1">
      <alignment horizontal="center" vertical="center" wrapText="1"/>
      <protection locked="0"/>
    </xf>
    <xf numFmtId="0" fontId="41" fillId="4" borderId="39" xfId="3" applyFont="1" applyFill="1" applyBorder="1" applyAlignment="1" applyProtection="1">
      <alignment horizontal="center" vertical="center" wrapText="1"/>
      <protection locked="0"/>
    </xf>
    <xf numFmtId="0" fontId="41" fillId="4" borderId="53" xfId="3" applyFont="1" applyFill="1" applyBorder="1" applyAlignment="1" applyProtection="1">
      <alignment horizontal="center" vertical="center" wrapText="1"/>
      <protection locked="0"/>
    </xf>
    <xf numFmtId="0" fontId="41" fillId="4" borderId="47" xfId="3" applyFont="1" applyFill="1" applyBorder="1" applyAlignment="1" applyProtection="1">
      <alignment horizontal="center" vertical="center" wrapText="1"/>
      <protection locked="0"/>
    </xf>
    <xf numFmtId="0" fontId="46" fillId="3" borderId="31" xfId="3" applyFont="1" applyBorder="1" applyAlignment="1" applyProtection="1">
      <alignment horizontal="center" vertical="center"/>
      <protection locked="0"/>
    </xf>
    <xf numFmtId="0" fontId="46" fillId="3" borderId="66" xfId="3" applyFont="1" applyBorder="1" applyAlignment="1" applyProtection="1">
      <alignment horizontal="center" vertical="center"/>
      <protection locked="0"/>
    </xf>
    <xf numFmtId="0" fontId="41" fillId="4" borderId="154" xfId="3" applyFont="1" applyFill="1" applyBorder="1" applyAlignment="1" applyProtection="1">
      <alignment horizontal="center" vertical="center" wrapText="1"/>
      <protection locked="0"/>
    </xf>
    <xf numFmtId="0" fontId="41" fillId="4" borderId="28" xfId="3" applyFont="1" applyFill="1" applyBorder="1" applyAlignment="1" applyProtection="1">
      <alignment horizontal="center" vertical="center" wrapText="1"/>
      <protection locked="0"/>
    </xf>
    <xf numFmtId="0" fontId="41" fillId="4" borderId="155" xfId="3" applyFont="1" applyFill="1" applyBorder="1" applyAlignment="1" applyProtection="1">
      <alignment horizontal="center" vertical="center" wrapText="1"/>
      <protection locked="0"/>
    </xf>
    <xf numFmtId="0" fontId="41" fillId="4" borderId="30" xfId="3" applyFont="1" applyFill="1" applyBorder="1" applyAlignment="1" applyProtection="1">
      <alignment horizontal="center" vertical="center" wrapText="1"/>
      <protection locked="0"/>
    </xf>
    <xf numFmtId="0" fontId="41" fillId="4" borderId="75" xfId="3" applyFont="1" applyFill="1" applyBorder="1" applyAlignment="1" applyProtection="1">
      <alignment horizontal="center" vertical="center" wrapText="1"/>
      <protection locked="0"/>
    </xf>
    <xf numFmtId="0" fontId="41" fillId="4" borderId="29" xfId="3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1" fillId="4" borderId="4" xfId="3" applyFont="1" applyFill="1" applyBorder="1" applyAlignment="1" applyProtection="1">
      <alignment horizontal="center" vertical="center" wrapText="1"/>
      <protection locked="0"/>
    </xf>
    <xf numFmtId="0" fontId="41" fillId="4" borderId="20" xfId="3" applyFont="1" applyFill="1" applyBorder="1" applyAlignment="1" applyProtection="1">
      <alignment horizontal="center" vertical="center" wrapText="1"/>
      <protection locked="0"/>
    </xf>
    <xf numFmtId="0" fontId="41" fillId="4" borderId="15" xfId="3" applyFont="1" applyFill="1" applyBorder="1" applyAlignment="1" applyProtection="1">
      <alignment horizontal="center" vertical="center" wrapText="1"/>
      <protection locked="0"/>
    </xf>
    <xf numFmtId="0" fontId="41" fillId="4" borderId="17" xfId="3" applyFont="1" applyFill="1" applyBorder="1" applyAlignment="1" applyProtection="1">
      <alignment horizontal="center" vertical="center" wrapText="1"/>
      <protection locked="0"/>
    </xf>
    <xf numFmtId="0" fontId="41" fillId="4" borderId="32" xfId="3" applyFont="1" applyFill="1" applyBorder="1" applyAlignment="1" applyProtection="1">
      <alignment horizontal="center" vertical="center" wrapText="1"/>
      <protection locked="0"/>
    </xf>
    <xf numFmtId="0" fontId="41" fillId="4" borderId="33" xfId="3" applyFont="1" applyFill="1" applyBorder="1" applyAlignment="1" applyProtection="1">
      <alignment horizontal="center" vertical="center" wrapText="1"/>
      <protection locked="0"/>
    </xf>
    <xf numFmtId="0" fontId="41" fillId="4" borderId="42" xfId="3" applyFont="1" applyFill="1" applyBorder="1" applyAlignment="1" applyProtection="1">
      <alignment horizontal="center" vertical="center" wrapText="1"/>
      <protection locked="0"/>
    </xf>
    <xf numFmtId="0" fontId="41" fillId="4" borderId="72" xfId="3" applyFont="1" applyFill="1" applyBorder="1" applyAlignment="1" applyProtection="1">
      <alignment horizontal="center" vertical="center" wrapText="1"/>
      <protection locked="0"/>
    </xf>
    <xf numFmtId="0" fontId="41" fillId="4" borderId="36" xfId="3" applyFont="1" applyFill="1" applyBorder="1" applyAlignment="1" applyProtection="1">
      <alignment horizontal="center" vertical="center" wrapText="1"/>
      <protection locked="0"/>
    </xf>
    <xf numFmtId="0" fontId="41" fillId="4" borderId="64" xfId="3" applyFont="1" applyFill="1" applyBorder="1" applyAlignment="1" applyProtection="1">
      <alignment horizontal="center" vertical="center" wrapText="1"/>
      <protection locked="0"/>
    </xf>
    <xf numFmtId="0" fontId="41" fillId="4" borderId="151" xfId="3" applyFont="1" applyFill="1" applyBorder="1" applyAlignment="1" applyProtection="1">
      <alignment horizontal="center" vertical="center" wrapText="1"/>
      <protection locked="0"/>
    </xf>
    <xf numFmtId="0" fontId="41" fillId="4" borderId="152" xfId="3" applyFont="1" applyFill="1" applyBorder="1" applyAlignment="1" applyProtection="1">
      <alignment horizontal="center" vertical="center" wrapText="1"/>
      <protection locked="0"/>
    </xf>
    <xf numFmtId="0" fontId="41" fillId="4" borderId="153" xfId="3" applyFont="1" applyFill="1" applyBorder="1" applyAlignment="1" applyProtection="1">
      <alignment horizontal="center" vertical="center" wrapText="1"/>
      <protection locked="0"/>
    </xf>
    <xf numFmtId="0" fontId="41" fillId="4" borderId="44" xfId="3" applyFont="1" applyFill="1" applyBorder="1" applyAlignment="1" applyProtection="1">
      <alignment horizontal="center" vertical="center" wrapText="1"/>
      <protection locked="0"/>
    </xf>
    <xf numFmtId="0" fontId="41" fillId="4" borderId="74" xfId="3" applyFont="1" applyFill="1" applyBorder="1" applyAlignment="1" applyProtection="1">
      <alignment horizontal="center" vertical="center" wrapText="1"/>
      <protection locked="0"/>
    </xf>
    <xf numFmtId="0" fontId="40" fillId="0" borderId="3" xfId="0" applyFont="1" applyBorder="1" applyAlignment="1" applyProtection="1">
      <alignment horizontal="center" vertical="center"/>
      <protection locked="0"/>
    </xf>
    <xf numFmtId="0" fontId="40" fillId="0" borderId="17" xfId="0" applyFont="1" applyBorder="1" applyAlignment="1" applyProtection="1">
      <alignment horizontal="center" vertical="center"/>
      <protection locked="0"/>
    </xf>
    <xf numFmtId="0" fontId="41" fillId="14" borderId="19" xfId="0" applyFont="1" applyFill="1" applyBorder="1" applyAlignment="1" applyProtection="1">
      <alignment horizontal="center" vertical="center"/>
      <protection locked="0"/>
    </xf>
    <xf numFmtId="0" fontId="41" fillId="14" borderId="58" xfId="0" applyFont="1" applyFill="1" applyBorder="1" applyAlignment="1" applyProtection="1">
      <alignment horizontal="center" vertical="center"/>
      <protection locked="0"/>
    </xf>
    <xf numFmtId="0" fontId="41" fillId="14" borderId="18" xfId="0" applyFont="1" applyFill="1" applyBorder="1" applyAlignment="1" applyProtection="1">
      <alignment horizontal="center" vertical="center"/>
      <protection locked="0"/>
    </xf>
    <xf numFmtId="0" fontId="41" fillId="14" borderId="24" xfId="0" applyFont="1" applyFill="1" applyBorder="1" applyAlignment="1" applyProtection="1">
      <alignment horizontal="center" vertical="center"/>
      <protection locked="0"/>
    </xf>
    <xf numFmtId="0" fontId="42" fillId="8" borderId="82" xfId="0" applyFont="1" applyFill="1" applyBorder="1" applyAlignment="1" applyProtection="1">
      <alignment horizontal="center" vertical="center" wrapText="1"/>
      <protection locked="0"/>
    </xf>
    <xf numFmtId="0" fontId="42" fillId="8" borderId="21" xfId="0" applyFont="1" applyFill="1" applyBorder="1" applyAlignment="1" applyProtection="1">
      <alignment horizontal="center" vertical="center" wrapText="1"/>
      <protection locked="0"/>
    </xf>
    <xf numFmtId="0" fontId="42" fillId="8" borderId="22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/>
      <protection locked="0"/>
    </xf>
    <xf numFmtId="0" fontId="41" fillId="8" borderId="73" xfId="0" applyFont="1" applyFill="1" applyBorder="1" applyAlignment="1" applyProtection="1">
      <alignment horizontal="center" vertical="center"/>
      <protection locked="0"/>
    </xf>
    <xf numFmtId="0" fontId="41" fillId="8" borderId="4" xfId="0" applyFont="1" applyFill="1" applyBorder="1" applyAlignment="1" applyProtection="1">
      <alignment horizontal="center" vertical="center"/>
      <protection locked="0"/>
    </xf>
    <xf numFmtId="0" fontId="41" fillId="8" borderId="23" xfId="0" applyFont="1" applyFill="1" applyBorder="1" applyAlignment="1" applyProtection="1">
      <alignment horizontal="center" vertical="center"/>
      <protection locked="0"/>
    </xf>
    <xf numFmtId="0" fontId="41" fillId="8" borderId="15" xfId="0" applyFont="1" applyFill="1" applyBorder="1" applyAlignment="1" applyProtection="1">
      <alignment horizontal="center" vertical="center"/>
      <protection locked="0"/>
    </xf>
    <xf numFmtId="0" fontId="41" fillId="8" borderId="3" xfId="0" applyFont="1" applyFill="1" applyBorder="1" applyAlignment="1" applyProtection="1">
      <alignment horizontal="center" vertical="center"/>
      <protection locked="0"/>
    </xf>
    <xf numFmtId="0" fontId="41" fillId="8" borderId="20" xfId="0" applyFont="1" applyFill="1" applyBorder="1" applyAlignment="1" applyProtection="1">
      <alignment horizontal="center" vertical="center"/>
      <protection locked="0"/>
    </xf>
    <xf numFmtId="0" fontId="41" fillId="8" borderId="17" xfId="0" applyFont="1" applyFill="1" applyBorder="1" applyAlignment="1" applyProtection="1">
      <alignment horizontal="center" vertical="center"/>
      <protection locked="0"/>
    </xf>
    <xf numFmtId="0" fontId="41" fillId="8" borderId="19" xfId="0" applyFont="1" applyFill="1" applyBorder="1" applyAlignment="1" applyProtection="1">
      <alignment horizontal="center" vertical="center"/>
      <protection locked="0"/>
    </xf>
    <xf numFmtId="0" fontId="41" fillId="8" borderId="18" xfId="0" applyFont="1" applyFill="1" applyBorder="1" applyAlignment="1" applyProtection="1">
      <alignment horizontal="center" vertical="center"/>
      <protection locked="0"/>
    </xf>
    <xf numFmtId="0" fontId="41" fillId="8" borderId="24" xfId="0" applyFont="1" applyFill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1" fillId="0" borderId="87" xfId="0" applyFont="1" applyBorder="1" applyAlignment="1" applyProtection="1">
      <alignment horizontal="center" vertical="center"/>
      <protection locked="0"/>
    </xf>
    <xf numFmtId="0" fontId="11" fillId="0" borderId="24" xfId="0" applyFont="1" applyBorder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0" fontId="11" fillId="0" borderId="24" xfId="0" applyFont="1" applyBorder="1" applyAlignment="1" applyProtection="1">
      <alignment horizontal="center" vertical="center" wrapText="1"/>
      <protection locked="0"/>
    </xf>
    <xf numFmtId="0" fontId="52" fillId="19" borderId="11" xfId="7" applyFont="1" applyFill="1" applyBorder="1" applyAlignment="1">
      <alignment horizontal="center" vertical="center" wrapText="1"/>
    </xf>
    <xf numFmtId="0" fontId="52" fillId="19" borderId="14" xfId="7" applyFont="1" applyFill="1" applyBorder="1" applyAlignment="1">
      <alignment horizontal="center" vertical="center" wrapText="1"/>
    </xf>
    <xf numFmtId="0" fontId="52" fillId="19" borderId="73" xfId="7" applyFont="1" applyFill="1" applyBorder="1" applyAlignment="1">
      <alignment horizontal="center" vertical="center" wrapText="1"/>
    </xf>
    <xf numFmtId="0" fontId="52" fillId="10" borderId="181" xfId="7" applyFont="1" applyFill="1" applyBorder="1" applyAlignment="1">
      <alignment horizontal="center" vertical="center" wrapText="1"/>
    </xf>
    <xf numFmtId="0" fontId="52" fillId="10" borderId="10" xfId="7" applyFont="1" applyFill="1" applyBorder="1" applyAlignment="1">
      <alignment horizontal="center" vertical="center" wrapText="1"/>
    </xf>
    <xf numFmtId="0" fontId="52" fillId="10" borderId="8" xfId="7" applyFont="1" applyFill="1" applyBorder="1" applyAlignment="1">
      <alignment horizontal="center" vertical="center" wrapText="1"/>
    </xf>
    <xf numFmtId="176" fontId="52" fillId="10" borderId="182" xfId="7" applyNumberFormat="1" applyFont="1" applyFill="1" applyBorder="1" applyAlignment="1">
      <alignment horizontal="center" vertical="center" wrapText="1"/>
    </xf>
    <xf numFmtId="0" fontId="52" fillId="10" borderId="12" xfId="7" applyFont="1" applyFill="1" applyBorder="1" applyAlignment="1">
      <alignment horizontal="center" vertical="center" wrapText="1"/>
    </xf>
    <xf numFmtId="0" fontId="52" fillId="10" borderId="81" xfId="7" applyFont="1" applyFill="1" applyBorder="1" applyAlignment="1">
      <alignment horizontal="center" vertical="center" wrapText="1"/>
    </xf>
    <xf numFmtId="0" fontId="52" fillId="20" borderId="81" xfId="7" applyFont="1" applyFill="1" applyBorder="1" applyAlignment="1">
      <alignment horizontal="center" vertical="center" shrinkToFit="1"/>
    </xf>
    <xf numFmtId="0" fontId="52" fillId="19" borderId="181" xfId="7" applyFont="1" applyFill="1" applyBorder="1" applyAlignment="1">
      <alignment horizontal="center" vertical="center" wrapText="1"/>
    </xf>
    <xf numFmtId="0" fontId="52" fillId="19" borderId="10" xfId="7" applyFont="1" applyFill="1" applyBorder="1" applyAlignment="1">
      <alignment horizontal="center" vertical="center" wrapText="1"/>
    </xf>
    <xf numFmtId="0" fontId="52" fillId="19" borderId="8" xfId="7" applyFont="1" applyFill="1" applyBorder="1" applyAlignment="1">
      <alignment horizontal="center" vertical="center" wrapText="1"/>
    </xf>
    <xf numFmtId="176" fontId="52" fillId="19" borderId="182" xfId="7" applyNumberFormat="1" applyFont="1" applyFill="1" applyBorder="1" applyAlignment="1">
      <alignment horizontal="center" vertical="center" wrapText="1"/>
    </xf>
    <xf numFmtId="0" fontId="52" fillId="19" borderId="12" xfId="7" applyFont="1" applyFill="1" applyBorder="1" applyAlignment="1">
      <alignment horizontal="center" vertical="center" wrapText="1"/>
    </xf>
    <xf numFmtId="0" fontId="52" fillId="19" borderId="81" xfId="7" applyFont="1" applyFill="1" applyBorder="1" applyAlignment="1">
      <alignment horizontal="center" vertical="center" wrapText="1"/>
    </xf>
    <xf numFmtId="0" fontId="52" fillId="22" borderId="181" xfId="7" applyFont="1" applyFill="1" applyBorder="1" applyAlignment="1">
      <alignment horizontal="center" vertical="center" wrapText="1"/>
    </xf>
    <xf numFmtId="0" fontId="52" fillId="22" borderId="8" xfId="7" applyFont="1" applyFill="1" applyBorder="1" applyAlignment="1">
      <alignment horizontal="center" vertical="center" wrapText="1"/>
    </xf>
    <xf numFmtId="0" fontId="52" fillId="22" borderId="10" xfId="7" applyFont="1" applyFill="1" applyBorder="1" applyAlignment="1">
      <alignment horizontal="center" vertical="center" wrapText="1"/>
    </xf>
    <xf numFmtId="176" fontId="52" fillId="22" borderId="182" xfId="7" applyNumberFormat="1" applyFont="1" applyFill="1" applyBorder="1" applyAlignment="1">
      <alignment horizontal="center" vertical="center" wrapText="1"/>
    </xf>
    <xf numFmtId="0" fontId="52" fillId="22" borderId="12" xfId="7" applyFont="1" applyFill="1" applyBorder="1" applyAlignment="1">
      <alignment horizontal="center" vertical="center" wrapText="1"/>
    </xf>
    <xf numFmtId="0" fontId="52" fillId="22" borderId="81" xfId="7" applyFont="1" applyFill="1" applyBorder="1" applyAlignment="1">
      <alignment horizontal="center" vertical="center" wrapText="1"/>
    </xf>
    <xf numFmtId="0" fontId="51" fillId="0" borderId="4" xfId="0" applyFont="1" applyBorder="1" applyAlignment="1">
      <alignment horizontal="left" vertical="center"/>
    </xf>
    <xf numFmtId="0" fontId="51" fillId="0" borderId="23" xfId="0" applyFont="1" applyBorder="1" applyAlignment="1">
      <alignment horizontal="left" vertical="center"/>
    </xf>
    <xf numFmtId="0" fontId="51" fillId="0" borderId="20" xfId="0" applyFont="1" applyBorder="1" applyAlignment="1">
      <alignment horizontal="left" vertical="center"/>
    </xf>
    <xf numFmtId="0" fontId="52" fillId="18" borderId="12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52" fillId="18" borderId="80" xfId="7" applyFont="1" applyFill="1" applyBorder="1" applyAlignment="1">
      <alignment horizontal="center" vertical="center"/>
    </xf>
    <xf numFmtId="0" fontId="46" fillId="18" borderId="80" xfId="7" applyFont="1" applyFill="1" applyBorder="1" applyAlignment="1">
      <alignment horizontal="center" vertical="center" wrapText="1"/>
    </xf>
    <xf numFmtId="0" fontId="46" fillId="18" borderId="12" xfId="7" applyFont="1" applyFill="1" applyBorder="1" applyAlignment="1">
      <alignment horizontal="center" vertical="center"/>
    </xf>
    <xf numFmtId="0" fontId="46" fillId="18" borderId="81" xfId="7" applyFont="1" applyFill="1" applyBorder="1" applyAlignment="1">
      <alignment horizontal="center" vertical="center"/>
    </xf>
    <xf numFmtId="0" fontId="52" fillId="18" borderId="5" xfId="7" applyFont="1" applyFill="1" applyBorder="1" applyAlignment="1">
      <alignment horizontal="center" vertical="center" wrapText="1"/>
    </xf>
    <xf numFmtId="0" fontId="52" fillId="18" borderId="10" xfId="7" applyFont="1" applyFill="1" applyBorder="1" applyAlignment="1">
      <alignment horizontal="center" vertical="center" wrapText="1"/>
    </xf>
    <xf numFmtId="0" fontId="52" fillId="18" borderId="8" xfId="7" applyFont="1" applyFill="1" applyBorder="1" applyAlignment="1">
      <alignment horizontal="center" vertical="center" wrapText="1"/>
    </xf>
    <xf numFmtId="0" fontId="52" fillId="18" borderId="80" xfId="7" applyFont="1" applyFill="1" applyBorder="1" applyAlignment="1">
      <alignment horizontal="center" vertical="center" wrapText="1"/>
    </xf>
    <xf numFmtId="0" fontId="52" fillId="18" borderId="12" xfId="7" applyFont="1" applyFill="1" applyBorder="1" applyAlignment="1">
      <alignment horizontal="center" vertical="center" wrapText="1"/>
    </xf>
    <xf numFmtId="0" fontId="52" fillId="18" borderId="81" xfId="7" applyFont="1" applyFill="1" applyBorder="1" applyAlignment="1">
      <alignment horizontal="center" vertical="center" wrapText="1"/>
    </xf>
    <xf numFmtId="0" fontId="52" fillId="18" borderId="80" xfId="7" applyFont="1" applyFill="1" applyBorder="1" applyAlignment="1">
      <alignment horizontal="center" vertical="center" shrinkToFit="1"/>
    </xf>
    <xf numFmtId="0" fontId="52" fillId="18" borderId="12" xfId="7" applyFont="1" applyFill="1" applyBorder="1" applyAlignment="1">
      <alignment horizontal="center" vertical="center" shrinkToFit="1"/>
    </xf>
    <xf numFmtId="0" fontId="52" fillId="18" borderId="81" xfId="7" applyFont="1" applyFill="1" applyBorder="1" applyAlignment="1">
      <alignment horizontal="center" vertical="center" shrinkToFit="1"/>
    </xf>
    <xf numFmtId="0" fontId="52" fillId="19" borderId="21" xfId="7" applyFont="1" applyFill="1" applyBorder="1" applyAlignment="1">
      <alignment horizontal="center" vertical="center" wrapText="1"/>
    </xf>
    <xf numFmtId="0" fontId="52" fillId="19" borderId="22" xfId="7" applyFont="1" applyFill="1" applyBorder="1" applyAlignment="1">
      <alignment horizontal="center" vertical="center" wrapText="1"/>
    </xf>
    <xf numFmtId="0" fontId="52" fillId="19" borderId="184" xfId="7" applyFont="1" applyFill="1" applyBorder="1" applyAlignment="1">
      <alignment horizontal="center" vertical="center" wrapText="1"/>
    </xf>
    <xf numFmtId="0" fontId="52" fillId="19" borderId="186" xfId="7" applyFont="1" applyFill="1" applyBorder="1" applyAlignment="1">
      <alignment horizontal="center" vertical="center" wrapText="1"/>
    </xf>
    <xf numFmtId="0" fontId="52" fillId="19" borderId="187" xfId="7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8" fillId="8" borderId="175" xfId="0" applyFont="1" applyFill="1" applyBorder="1" applyAlignment="1">
      <alignment horizontal="center" vertical="center"/>
    </xf>
    <xf numFmtId="0" fontId="48" fillId="8" borderId="176" xfId="0" applyFont="1" applyFill="1" applyBorder="1" applyAlignment="1">
      <alignment horizontal="center" vertical="center"/>
    </xf>
    <xf numFmtId="0" fontId="48" fillId="8" borderId="177" xfId="0" applyFont="1" applyFill="1" applyBorder="1" applyAlignment="1">
      <alignment horizontal="center" vertical="center"/>
    </xf>
    <xf numFmtId="0" fontId="48" fillId="8" borderId="50" xfId="0" applyFont="1" applyFill="1" applyBorder="1" applyAlignment="1">
      <alignment horizontal="center" vertical="center"/>
    </xf>
    <xf numFmtId="0" fontId="48" fillId="8" borderId="52" xfId="0" applyFont="1" applyFill="1" applyBorder="1" applyAlignment="1">
      <alignment horizontal="center" vertical="center"/>
    </xf>
    <xf numFmtId="0" fontId="0" fillId="0" borderId="178" xfId="0" applyBorder="1" applyAlignment="1">
      <alignment horizontal="center" vertical="center"/>
    </xf>
    <xf numFmtId="0" fontId="0" fillId="0" borderId="179" xfId="0" applyBorder="1" applyAlignment="1">
      <alignment horizontal="center" vertical="center"/>
    </xf>
    <xf numFmtId="0" fontId="0" fillId="0" borderId="180" xfId="0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79" xfId="0" applyFont="1" applyBorder="1" applyAlignment="1">
      <alignment horizontal="center" vertical="center"/>
    </xf>
    <xf numFmtId="0" fontId="49" fillId="0" borderId="180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46" fillId="18" borderId="25" xfId="7" applyFont="1" applyFill="1" applyBorder="1" applyAlignment="1">
      <alignment horizontal="center" vertical="center" wrapText="1"/>
    </xf>
    <xf numFmtId="0" fontId="46" fillId="18" borderId="9" xfId="7" applyFont="1" applyFill="1" applyBorder="1" applyAlignment="1">
      <alignment horizontal="center" vertical="center"/>
    </xf>
    <xf numFmtId="0" fontId="46" fillId="18" borderId="26" xfId="7" applyFont="1" applyFill="1" applyBorder="1" applyAlignment="1">
      <alignment horizontal="center" vertical="center"/>
    </xf>
    <xf numFmtId="0" fontId="28" fillId="16" borderId="105" xfId="16" applyFont="1" applyFill="1" applyBorder="1" applyAlignment="1">
      <alignment horizontal="center" vertical="center"/>
    </xf>
    <xf numFmtId="0" fontId="21" fillId="0" borderId="105" xfId="16" applyFont="1" applyBorder="1"/>
    <xf numFmtId="0" fontId="21" fillId="0" borderId="106" xfId="16" applyFont="1" applyBorder="1"/>
    <xf numFmtId="0" fontId="28" fillId="0" borderId="107" xfId="16" applyFont="1" applyBorder="1" applyAlignment="1">
      <alignment horizontal="center" vertical="center"/>
    </xf>
    <xf numFmtId="0" fontId="24" fillId="0" borderId="0" xfId="16" applyFont="1" applyAlignment="1">
      <alignment horizontal="center" vertical="center"/>
    </xf>
    <xf numFmtId="0" fontId="26" fillId="0" borderId="0" xfId="16" applyFont="1" applyAlignment="1"/>
    <xf numFmtId="0" fontId="27" fillId="0" borderId="102" xfId="16" applyFont="1" applyBorder="1" applyAlignment="1">
      <alignment horizontal="center" vertical="center"/>
    </xf>
    <xf numFmtId="0" fontId="21" fillId="0" borderId="23" xfId="16" applyFont="1" applyBorder="1"/>
    <xf numFmtId="0" fontId="21" fillId="0" borderId="20" xfId="16" applyFont="1" applyBorder="1"/>
    <xf numFmtId="0" fontId="27" fillId="8" borderId="4" xfId="16" applyFont="1" applyFill="1" applyBorder="1" applyAlignment="1">
      <alignment horizontal="center" vertical="center"/>
    </xf>
    <xf numFmtId="0" fontId="21" fillId="8" borderId="23" xfId="16" applyFont="1" applyFill="1" applyBorder="1"/>
    <xf numFmtId="0" fontId="21" fillId="8" borderId="20" xfId="16" applyFont="1" applyFill="1" applyBorder="1"/>
    <xf numFmtId="0" fontId="19" fillId="15" borderId="101" xfId="16" applyFont="1" applyFill="1" applyBorder="1" applyAlignment="1">
      <alignment horizontal="center" vertical="center" wrapText="1"/>
    </xf>
    <xf numFmtId="0" fontId="21" fillId="0" borderId="103" xfId="16" applyFont="1" applyBorder="1"/>
    <xf numFmtId="0" fontId="21" fillId="0" borderId="108" xfId="16" applyFont="1" applyBorder="1"/>
    <xf numFmtId="0" fontId="28" fillId="16" borderId="110" xfId="16" applyFont="1" applyFill="1" applyBorder="1" applyAlignment="1">
      <alignment horizontal="center" vertical="center"/>
    </xf>
    <xf numFmtId="0" fontId="21" fillId="0" borderId="111" xfId="16" applyFont="1" applyBorder="1"/>
    <xf numFmtId="0" fontId="21" fillId="0" borderId="112" xfId="16" applyFont="1" applyBorder="1"/>
    <xf numFmtId="0" fontId="21" fillId="0" borderId="113" xfId="16" applyFont="1" applyBorder="1"/>
    <xf numFmtId="0" fontId="28" fillId="0" borderId="89" xfId="16" applyFont="1" applyBorder="1" applyAlignment="1">
      <alignment horizontal="center" vertical="center" wrapText="1"/>
    </xf>
    <xf numFmtId="0" fontId="21" fillId="0" borderId="110" xfId="16" applyFont="1" applyBorder="1"/>
    <xf numFmtId="0" fontId="21" fillId="0" borderId="114" xfId="16" applyFont="1" applyBorder="1"/>
    <xf numFmtId="0" fontId="29" fillId="17" borderId="117" xfId="16" applyFont="1" applyFill="1" applyBorder="1" applyAlignment="1">
      <alignment horizontal="center" vertical="center" wrapText="1"/>
    </xf>
    <xf numFmtId="0" fontId="21" fillId="0" borderId="118" xfId="16" applyFont="1" applyBorder="1"/>
    <xf numFmtId="0" fontId="30" fillId="0" borderId="119" xfId="16" applyFont="1" applyBorder="1" applyAlignment="1">
      <alignment horizontal="center" vertical="center" wrapText="1"/>
    </xf>
    <xf numFmtId="0" fontId="21" fillId="0" borderId="125" xfId="16" applyFont="1" applyBorder="1"/>
    <xf numFmtId="0" fontId="30" fillId="0" borderId="120" xfId="16" applyFont="1" applyBorder="1" applyAlignment="1">
      <alignment horizontal="center" vertical="center" wrapText="1"/>
    </xf>
    <xf numFmtId="0" fontId="21" fillId="0" borderId="126" xfId="16" applyFont="1" applyBorder="1"/>
    <xf numFmtId="0" fontId="21" fillId="0" borderId="130" xfId="16" applyFont="1" applyBorder="1"/>
    <xf numFmtId="0" fontId="30" fillId="0" borderId="122" xfId="16" applyFont="1" applyBorder="1" applyAlignment="1">
      <alignment horizontal="center" vertical="center" wrapText="1"/>
    </xf>
    <xf numFmtId="0" fontId="21" fillId="0" borderId="104" xfId="16" applyFont="1" applyBorder="1"/>
    <xf numFmtId="0" fontId="21" fillId="0" borderId="129" xfId="16" applyFont="1" applyBorder="1"/>
    <xf numFmtId="0" fontId="30" fillId="0" borderId="105" xfId="16" applyFont="1" applyBorder="1" applyAlignment="1">
      <alignment horizontal="center" vertical="center" wrapText="1"/>
    </xf>
    <xf numFmtId="0" fontId="32" fillId="0" borderId="107" xfId="16" applyFont="1" applyBorder="1" applyAlignment="1">
      <alignment horizontal="center" vertical="center" wrapText="1"/>
    </xf>
    <xf numFmtId="0" fontId="30" fillId="0" borderId="107" xfId="16" applyFont="1" applyBorder="1" applyAlignment="1">
      <alignment horizontal="center" vertical="center" wrapText="1"/>
    </xf>
    <xf numFmtId="0" fontId="30" fillId="17" borderId="107" xfId="16" applyFont="1" applyFill="1" applyBorder="1" applyAlignment="1">
      <alignment horizontal="center" vertical="center" wrapText="1"/>
    </xf>
    <xf numFmtId="0" fontId="32" fillId="17" borderId="107" xfId="16" applyFont="1" applyFill="1" applyBorder="1" applyAlignment="1">
      <alignment horizontal="center" vertical="center" wrapText="1"/>
    </xf>
    <xf numFmtId="0" fontId="21" fillId="0" borderId="124" xfId="16" applyFont="1" applyBorder="1"/>
    <xf numFmtId="0" fontId="13" fillId="0" borderId="0" xfId="16" applyFont="1" applyBorder="1" applyAlignment="1"/>
    <xf numFmtId="0" fontId="30" fillId="0" borderId="133" xfId="16" applyFont="1" applyBorder="1" applyAlignment="1">
      <alignment horizontal="center" vertical="center" wrapText="1"/>
    </xf>
    <xf numFmtId="0" fontId="30" fillId="0" borderId="135" xfId="16" applyFont="1" applyBorder="1" applyAlignment="1">
      <alignment horizontal="center" vertical="center" wrapText="1"/>
    </xf>
    <xf numFmtId="0" fontId="21" fillId="0" borderId="136" xfId="16" applyFont="1" applyBorder="1"/>
    <xf numFmtId="0" fontId="30" fillId="0" borderId="89" xfId="16" applyFont="1" applyBorder="1" applyAlignment="1">
      <alignment horizontal="center" vertical="center" wrapText="1"/>
    </xf>
    <xf numFmtId="0" fontId="30" fillId="0" borderId="137" xfId="16" applyFont="1" applyBorder="1" applyAlignment="1">
      <alignment horizontal="center" vertical="center" wrapText="1"/>
    </xf>
    <xf numFmtId="0" fontId="21" fillId="0" borderId="138" xfId="16" applyFont="1" applyBorder="1"/>
    <xf numFmtId="0" fontId="30" fillId="17" borderId="105" xfId="16" applyFont="1" applyFill="1" applyBorder="1" applyAlignment="1">
      <alignment horizontal="center" vertical="center" wrapText="1"/>
    </xf>
    <xf numFmtId="0" fontId="34" fillId="16" borderId="105" xfId="16" applyFont="1" applyFill="1" applyBorder="1" applyAlignment="1">
      <alignment horizontal="center" vertical="center"/>
    </xf>
    <xf numFmtId="0" fontId="34" fillId="0" borderId="107" xfId="16" applyFont="1" applyBorder="1" applyAlignment="1">
      <alignment horizontal="center" vertical="center"/>
    </xf>
    <xf numFmtId="0" fontId="28" fillId="0" borderId="107" xfId="16" applyFont="1" applyBorder="1" applyAlignment="1">
      <alignment horizontal="center" vertical="center" wrapText="1"/>
    </xf>
    <xf numFmtId="0" fontId="28" fillId="0" borderId="89" xfId="16" applyFont="1" applyBorder="1" applyAlignment="1">
      <alignment horizontal="center" vertical="center"/>
    </xf>
    <xf numFmtId="0" fontId="28" fillId="16" borderId="105" xfId="16" applyFont="1" applyFill="1" applyBorder="1" applyAlignment="1">
      <alignment horizontal="center" vertical="center" wrapText="1"/>
    </xf>
    <xf numFmtId="0" fontId="34" fillId="16" borderId="105" xfId="16" applyFont="1" applyFill="1" applyBorder="1" applyAlignment="1">
      <alignment horizontal="center" vertical="center" wrapText="1"/>
    </xf>
    <xf numFmtId="0" fontId="36" fillId="0" borderId="133" xfId="16" applyFont="1" applyBorder="1" applyAlignment="1">
      <alignment horizontal="center" vertical="center"/>
    </xf>
    <xf numFmtId="0" fontId="19" fillId="0" borderId="0" xfId="16" applyFont="1" applyBorder="1" applyAlignment="1">
      <alignment vertical="center" wrapText="1"/>
    </xf>
    <xf numFmtId="0" fontId="19" fillId="15" borderId="141" xfId="16" applyFont="1" applyFill="1" applyBorder="1" applyAlignment="1">
      <alignment horizontal="center" vertical="center" wrapText="1"/>
    </xf>
    <xf numFmtId="0" fontId="19" fillId="15" borderId="6" xfId="16" applyFont="1" applyFill="1" applyBorder="1" applyAlignment="1">
      <alignment horizontal="center" vertical="center" wrapText="1"/>
    </xf>
    <xf numFmtId="0" fontId="13" fillId="0" borderId="6" xfId="16" applyFont="1" applyBorder="1" applyAlignment="1"/>
    <xf numFmtId="0" fontId="34" fillId="16" borderId="111" xfId="16" applyFont="1" applyFill="1" applyBorder="1" applyAlignment="1">
      <alignment horizontal="center" vertical="center"/>
    </xf>
    <xf numFmtId="0" fontId="34" fillId="16" borderId="107" xfId="16" applyFont="1" applyFill="1" applyBorder="1" applyAlignment="1">
      <alignment horizontal="center" vertical="center"/>
    </xf>
    <xf numFmtId="0" fontId="35" fillId="0" borderId="111" xfId="16" applyFont="1" applyBorder="1" applyAlignment="1">
      <alignment horizontal="center" vertical="center"/>
    </xf>
    <xf numFmtId="0" fontId="37" fillId="0" borderId="113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06CDECC8-685B-4113-BE5F-7E385E29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0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23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E85566CF-AD3E-4EAA-A4A1-595DF9F66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0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1678-8D7F-4F56-8B36-C76631C26C67}">
  <sheetPr>
    <pageSetUpPr fitToPage="1"/>
  </sheetPr>
  <dimension ref="B1:AD96"/>
  <sheetViews>
    <sheetView view="pageBreakPreview" zoomScale="52" zoomScaleNormal="100" zoomScaleSheetLayoutView="70" workbookViewId="0">
      <pane ySplit="8" topLeftCell="A9" activePane="bottomLeft" state="frozen"/>
      <selection pane="bottomLeft" activeCell="AA48" sqref="AA48"/>
    </sheetView>
  </sheetViews>
  <sheetFormatPr defaultColWidth="8.69921875" defaultRowHeight="17.399999999999999"/>
  <cols>
    <col min="1" max="1" width="2" style="99" customWidth="1"/>
    <col min="2" max="2" width="6.59765625" style="99" customWidth="1"/>
    <col min="3" max="3" width="9.3984375" style="99" customWidth="1"/>
    <col min="4" max="4" width="12.3984375" style="99" customWidth="1"/>
    <col min="5" max="5" width="8.5" style="99" customWidth="1"/>
    <col min="6" max="6" width="25" style="99" customWidth="1"/>
    <col min="7" max="7" width="6.19921875" style="99" customWidth="1"/>
    <col min="8" max="8" width="5.59765625" style="99" customWidth="1"/>
    <col min="9" max="9" width="7.8984375" style="99" bestFit="1" customWidth="1"/>
    <col min="10" max="10" width="5.59765625" style="99" customWidth="1"/>
    <col min="11" max="22" width="3.8984375" style="99" customWidth="1"/>
    <col min="23" max="24" width="3.3984375" style="99" customWidth="1"/>
    <col min="25" max="25" width="6.3984375" style="99" customWidth="1"/>
    <col min="26" max="26" width="8.69921875" style="99"/>
    <col min="27" max="27" width="22.796875" style="99" bestFit="1" customWidth="1"/>
    <col min="28" max="29" width="12.8984375" style="99" customWidth="1"/>
    <col min="30" max="30" width="13.8984375" style="99" customWidth="1"/>
    <col min="31" max="16384" width="8.69921875" style="99"/>
  </cols>
  <sheetData>
    <row r="1" spans="2:30" ht="18" thickBot="1"/>
    <row r="2" spans="2:30" ht="30.75" customHeight="1" thickBot="1">
      <c r="B2" s="387" t="s">
        <v>648</v>
      </c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8"/>
      <c r="V2" s="389" t="s">
        <v>122</v>
      </c>
      <c r="W2" s="390"/>
      <c r="X2" s="391">
        <v>2027</v>
      </c>
      <c r="Y2" s="392"/>
      <c r="AA2" s="393" t="s">
        <v>128</v>
      </c>
      <c r="AB2" s="100" t="s">
        <v>129</v>
      </c>
      <c r="AC2" s="101" t="s">
        <v>135</v>
      </c>
      <c r="AD2" s="102" t="s">
        <v>130</v>
      </c>
    </row>
    <row r="3" spans="2:30" ht="18" thickBot="1">
      <c r="B3" s="396" t="s">
        <v>338</v>
      </c>
      <c r="C3" s="398" t="s">
        <v>49</v>
      </c>
      <c r="D3" s="399"/>
      <c r="E3" s="399"/>
      <c r="F3" s="398" t="s">
        <v>60</v>
      </c>
      <c r="G3" s="402"/>
      <c r="H3" s="398" t="s">
        <v>50</v>
      </c>
      <c r="I3" s="399"/>
      <c r="J3" s="399"/>
      <c r="K3" s="398" t="s">
        <v>51</v>
      </c>
      <c r="L3" s="399"/>
      <c r="M3" s="399"/>
      <c r="N3" s="399"/>
      <c r="O3" s="402"/>
      <c r="P3" s="404" t="s">
        <v>52</v>
      </c>
      <c r="Q3" s="405"/>
      <c r="R3" s="405"/>
      <c r="S3" s="405"/>
      <c r="T3" s="405"/>
      <c r="U3" s="405"/>
      <c r="V3" s="405"/>
      <c r="W3" s="405"/>
      <c r="X3" s="405"/>
      <c r="Y3" s="406"/>
      <c r="AA3" s="394"/>
      <c r="AB3" s="103" t="s">
        <v>131</v>
      </c>
      <c r="AC3" s="104" t="s">
        <v>518</v>
      </c>
      <c r="AD3" s="105" t="s">
        <v>519</v>
      </c>
    </row>
    <row r="4" spans="2:30" ht="18" thickBot="1">
      <c r="B4" s="397"/>
      <c r="C4" s="400"/>
      <c r="D4" s="401"/>
      <c r="E4" s="401"/>
      <c r="F4" s="400"/>
      <c r="G4" s="403"/>
      <c r="H4" s="400"/>
      <c r="I4" s="401"/>
      <c r="J4" s="401"/>
      <c r="K4" s="400"/>
      <c r="L4" s="401"/>
      <c r="M4" s="401"/>
      <c r="N4" s="401"/>
      <c r="O4" s="403"/>
      <c r="P4" s="404" t="s">
        <v>120</v>
      </c>
      <c r="Q4" s="405"/>
      <c r="R4" s="405"/>
      <c r="S4" s="405"/>
      <c r="T4" s="404" t="s">
        <v>57</v>
      </c>
      <c r="U4" s="405"/>
      <c r="V4" s="406"/>
      <c r="W4" s="405" t="s">
        <v>121</v>
      </c>
      <c r="X4" s="405"/>
      <c r="Y4" s="406"/>
      <c r="AA4" s="394"/>
      <c r="AB4" s="106" t="s">
        <v>132</v>
      </c>
      <c r="AC4" s="107" t="s">
        <v>490</v>
      </c>
      <c r="AD4" s="105" t="s">
        <v>517</v>
      </c>
    </row>
    <row r="5" spans="2:30" ht="26.25" customHeight="1" thickBot="1">
      <c r="B5" s="108" t="s">
        <v>485</v>
      </c>
      <c r="C5" s="407" t="s">
        <v>486</v>
      </c>
      <c r="D5" s="408"/>
      <c r="E5" s="409"/>
      <c r="F5" s="407" t="s">
        <v>67</v>
      </c>
      <c r="G5" s="410"/>
      <c r="H5" s="411" t="s">
        <v>169</v>
      </c>
      <c r="I5" s="408"/>
      <c r="J5" s="409"/>
      <c r="K5" s="407" t="s">
        <v>487</v>
      </c>
      <c r="L5" s="408"/>
      <c r="M5" s="408"/>
      <c r="N5" s="408"/>
      <c r="O5" s="410"/>
      <c r="P5" s="411" t="s">
        <v>488</v>
      </c>
      <c r="Q5" s="408"/>
      <c r="R5" s="408"/>
      <c r="S5" s="409"/>
      <c r="T5" s="407" t="s">
        <v>489</v>
      </c>
      <c r="U5" s="408"/>
      <c r="V5" s="409"/>
      <c r="W5" s="412" t="s">
        <v>520</v>
      </c>
      <c r="X5" s="413"/>
      <c r="Y5" s="414"/>
      <c r="AA5" s="395"/>
      <c r="AB5" s="109" t="s">
        <v>133</v>
      </c>
      <c r="AC5" s="110" t="s">
        <v>490</v>
      </c>
      <c r="AD5" s="111" t="s">
        <v>517</v>
      </c>
    </row>
    <row r="6" spans="2:30" ht="15.75" customHeight="1" thickBot="1">
      <c r="U6" s="371"/>
      <c r="V6" s="371"/>
      <c r="W6" s="371"/>
      <c r="X6" s="371"/>
      <c r="Y6" s="371"/>
    </row>
    <row r="7" spans="2:30" s="113" customFormat="1" ht="22.5" customHeight="1">
      <c r="B7" s="372" t="s">
        <v>2</v>
      </c>
      <c r="C7" s="373"/>
      <c r="D7" s="376" t="s">
        <v>116</v>
      </c>
      <c r="E7" s="378" t="s">
        <v>53</v>
      </c>
      <c r="F7" s="379"/>
      <c r="G7" s="361"/>
      <c r="H7" s="357" t="s">
        <v>123</v>
      </c>
      <c r="I7" s="380" t="s">
        <v>124</v>
      </c>
      <c r="J7" s="381" t="s">
        <v>125</v>
      </c>
      <c r="K7" s="382" t="s">
        <v>54</v>
      </c>
      <c r="L7" s="383"/>
      <c r="M7" s="383"/>
      <c r="N7" s="384"/>
      <c r="O7" s="385" t="s">
        <v>55</v>
      </c>
      <c r="P7" s="380"/>
      <c r="Q7" s="380"/>
      <c r="R7" s="386"/>
      <c r="S7" s="385" t="s">
        <v>56</v>
      </c>
      <c r="T7" s="380"/>
      <c r="U7" s="380"/>
      <c r="V7" s="381"/>
      <c r="W7" s="357" t="s">
        <v>126</v>
      </c>
      <c r="X7" s="358"/>
      <c r="Y7" s="361" t="s">
        <v>127</v>
      </c>
      <c r="Z7" s="112"/>
    </row>
    <row r="8" spans="2:30" s="113" customFormat="1" ht="22.5" customHeight="1" thickBot="1">
      <c r="B8" s="374"/>
      <c r="C8" s="375"/>
      <c r="D8" s="377"/>
      <c r="E8" s="114" t="s">
        <v>14</v>
      </c>
      <c r="F8" s="363" t="s">
        <v>15</v>
      </c>
      <c r="G8" s="364"/>
      <c r="H8" s="359"/>
      <c r="I8" s="366"/>
      <c r="J8" s="370"/>
      <c r="K8" s="365" t="s">
        <v>0</v>
      </c>
      <c r="L8" s="366"/>
      <c r="M8" s="366" t="s">
        <v>58</v>
      </c>
      <c r="N8" s="367"/>
      <c r="O8" s="368" t="s">
        <v>0</v>
      </c>
      <c r="P8" s="366"/>
      <c r="Q8" s="366" t="s">
        <v>58</v>
      </c>
      <c r="R8" s="369"/>
      <c r="S8" s="368" t="s">
        <v>0</v>
      </c>
      <c r="T8" s="366"/>
      <c r="U8" s="366" t="s">
        <v>58</v>
      </c>
      <c r="V8" s="370"/>
      <c r="W8" s="359"/>
      <c r="X8" s="360"/>
      <c r="Y8" s="362"/>
      <c r="AA8" s="352" t="s">
        <v>477</v>
      </c>
      <c r="AB8" s="352"/>
      <c r="AC8" s="352"/>
      <c r="AD8" s="352"/>
    </row>
    <row r="9" spans="2:30" ht="16.5" customHeight="1" thickBot="1">
      <c r="B9" s="353" t="s">
        <v>322</v>
      </c>
      <c r="C9" s="338"/>
      <c r="D9" s="332" t="s">
        <v>17</v>
      </c>
      <c r="E9" s="11" t="s">
        <v>12</v>
      </c>
      <c r="F9" s="330" t="s">
        <v>186</v>
      </c>
      <c r="G9" s="224"/>
      <c r="H9" s="12">
        <v>4</v>
      </c>
      <c r="I9" s="13" t="s">
        <v>323</v>
      </c>
      <c r="J9" s="128">
        <v>4</v>
      </c>
      <c r="K9" s="218"/>
      <c r="L9" s="219"/>
      <c r="M9" s="220"/>
      <c r="N9" s="221"/>
      <c r="O9" s="254">
        <v>4</v>
      </c>
      <c r="P9" s="219"/>
      <c r="Q9" s="220"/>
      <c r="R9" s="222"/>
      <c r="S9" s="223"/>
      <c r="T9" s="219"/>
      <c r="U9" s="220"/>
      <c r="V9" s="224"/>
      <c r="W9" s="14">
        <f>SUM(K9:V9)</f>
        <v>4</v>
      </c>
      <c r="X9" s="336">
        <f>SUM(W9:W10)</f>
        <v>8</v>
      </c>
      <c r="Y9" s="326">
        <v>24</v>
      </c>
      <c r="AA9" s="115" t="s">
        <v>14</v>
      </c>
      <c r="AB9" s="116" t="s">
        <v>481</v>
      </c>
      <c r="AC9" s="116" t="s">
        <v>482</v>
      </c>
      <c r="AD9" s="117" t="s">
        <v>483</v>
      </c>
    </row>
    <row r="10" spans="2:30" ht="18" thickBot="1">
      <c r="B10" s="354"/>
      <c r="C10" s="339"/>
      <c r="D10" s="333"/>
      <c r="E10" s="15" t="s">
        <v>12</v>
      </c>
      <c r="F10" s="331" t="s">
        <v>187</v>
      </c>
      <c r="G10" s="183"/>
      <c r="H10" s="16">
        <v>4</v>
      </c>
      <c r="I10" s="17" t="s">
        <v>323</v>
      </c>
      <c r="J10" s="129">
        <v>4</v>
      </c>
      <c r="K10" s="232"/>
      <c r="L10" s="180"/>
      <c r="M10" s="177"/>
      <c r="N10" s="178"/>
      <c r="O10" s="179"/>
      <c r="P10" s="180"/>
      <c r="Q10" s="177">
        <v>4</v>
      </c>
      <c r="R10" s="181"/>
      <c r="S10" s="182"/>
      <c r="T10" s="180"/>
      <c r="U10" s="177"/>
      <c r="V10" s="183"/>
      <c r="W10" s="18">
        <f t="shared" ref="W10:W20" si="0">SUM(K10:V10)</f>
        <v>4</v>
      </c>
      <c r="X10" s="349"/>
      <c r="Y10" s="326"/>
      <c r="AA10" s="118" t="s">
        <v>478</v>
      </c>
      <c r="AB10" s="119">
        <v>4</v>
      </c>
      <c r="AC10" s="119">
        <v>-1</v>
      </c>
      <c r="AD10" s="105" t="s">
        <v>323</v>
      </c>
    </row>
    <row r="11" spans="2:30" ht="18" thickBot="1">
      <c r="B11" s="354"/>
      <c r="C11" s="339"/>
      <c r="D11" s="332" t="s">
        <v>5</v>
      </c>
      <c r="E11" s="11" t="s">
        <v>12</v>
      </c>
      <c r="F11" s="330" t="s">
        <v>198</v>
      </c>
      <c r="G11" s="224"/>
      <c r="H11" s="12">
        <v>4</v>
      </c>
      <c r="I11" s="13" t="s">
        <v>323</v>
      </c>
      <c r="J11" s="128">
        <v>4</v>
      </c>
      <c r="K11" s="218">
        <v>4</v>
      </c>
      <c r="L11" s="219"/>
      <c r="M11" s="220"/>
      <c r="N11" s="221"/>
      <c r="O11" s="254"/>
      <c r="P11" s="219"/>
      <c r="Q11" s="220"/>
      <c r="R11" s="222"/>
      <c r="S11" s="223"/>
      <c r="T11" s="219"/>
      <c r="U11" s="220"/>
      <c r="V11" s="224"/>
      <c r="W11" s="14">
        <f t="shared" si="0"/>
        <v>4</v>
      </c>
      <c r="X11" s="336">
        <f>SUM(W11:W12)</f>
        <v>8</v>
      </c>
      <c r="Y11" s="326"/>
      <c r="AA11" s="118" t="s">
        <v>479</v>
      </c>
      <c r="AB11" s="119">
        <v>4</v>
      </c>
      <c r="AC11" s="119" t="s">
        <v>484</v>
      </c>
      <c r="AD11" s="105" t="s">
        <v>324</v>
      </c>
    </row>
    <row r="12" spans="2:30" ht="18" thickBot="1">
      <c r="B12" s="354"/>
      <c r="C12" s="339"/>
      <c r="D12" s="333"/>
      <c r="E12" s="15" t="s">
        <v>12</v>
      </c>
      <c r="F12" s="331" t="s">
        <v>200</v>
      </c>
      <c r="G12" s="183"/>
      <c r="H12" s="16">
        <v>4</v>
      </c>
      <c r="I12" s="17" t="s">
        <v>323</v>
      </c>
      <c r="J12" s="129">
        <v>4</v>
      </c>
      <c r="K12" s="232"/>
      <c r="L12" s="180"/>
      <c r="M12" s="177">
        <v>4</v>
      </c>
      <c r="N12" s="178"/>
      <c r="O12" s="179"/>
      <c r="P12" s="180"/>
      <c r="Q12" s="177"/>
      <c r="R12" s="181"/>
      <c r="S12" s="182"/>
      <c r="T12" s="180"/>
      <c r="U12" s="177"/>
      <c r="V12" s="183"/>
      <c r="W12" s="18">
        <f t="shared" si="0"/>
        <v>4</v>
      </c>
      <c r="X12" s="349"/>
      <c r="Y12" s="326"/>
      <c r="AA12" s="118" t="s">
        <v>480</v>
      </c>
      <c r="AB12" s="119">
        <v>3</v>
      </c>
      <c r="AC12" s="119" t="s">
        <v>484</v>
      </c>
      <c r="AD12" s="105" t="s">
        <v>329</v>
      </c>
    </row>
    <row r="13" spans="2:30" ht="18" thickBot="1">
      <c r="B13" s="354"/>
      <c r="C13" s="339"/>
      <c r="D13" s="332" t="s">
        <v>6</v>
      </c>
      <c r="E13" s="11" t="s">
        <v>12</v>
      </c>
      <c r="F13" s="330" t="s">
        <v>205</v>
      </c>
      <c r="G13" s="224"/>
      <c r="H13" s="12">
        <v>4</v>
      </c>
      <c r="I13" s="13" t="s">
        <v>323</v>
      </c>
      <c r="J13" s="128">
        <v>4</v>
      </c>
      <c r="K13" s="218">
        <v>4</v>
      </c>
      <c r="L13" s="219"/>
      <c r="M13" s="220"/>
      <c r="N13" s="221"/>
      <c r="O13" s="254"/>
      <c r="P13" s="219"/>
      <c r="Q13" s="220"/>
      <c r="R13" s="222"/>
      <c r="S13" s="223"/>
      <c r="T13" s="219"/>
      <c r="U13" s="220"/>
      <c r="V13" s="224"/>
      <c r="W13" s="14">
        <f t="shared" si="0"/>
        <v>4</v>
      </c>
      <c r="X13" s="336">
        <f>SUM(W13:W14)</f>
        <v>8</v>
      </c>
      <c r="Y13" s="326"/>
    </row>
    <row r="14" spans="2:30" ht="18" thickBot="1">
      <c r="B14" s="354"/>
      <c r="C14" s="339"/>
      <c r="D14" s="333"/>
      <c r="E14" s="15" t="s">
        <v>12</v>
      </c>
      <c r="F14" s="331" t="s">
        <v>211</v>
      </c>
      <c r="G14" s="183"/>
      <c r="H14" s="16">
        <v>4</v>
      </c>
      <c r="I14" s="17" t="s">
        <v>323</v>
      </c>
      <c r="J14" s="129">
        <v>4</v>
      </c>
      <c r="K14" s="232"/>
      <c r="L14" s="180"/>
      <c r="M14" s="177">
        <v>4</v>
      </c>
      <c r="N14" s="178"/>
      <c r="O14" s="179"/>
      <c r="P14" s="180"/>
      <c r="Q14" s="177"/>
      <c r="R14" s="181"/>
      <c r="S14" s="182"/>
      <c r="T14" s="180"/>
      <c r="U14" s="177"/>
      <c r="V14" s="183"/>
      <c r="W14" s="18">
        <f t="shared" si="0"/>
        <v>4</v>
      </c>
      <c r="X14" s="349"/>
      <c r="Y14" s="326"/>
    </row>
    <row r="15" spans="2:30" ht="18" thickBot="1">
      <c r="B15" s="354"/>
      <c r="C15" s="339"/>
      <c r="D15" s="332" t="s">
        <v>325</v>
      </c>
      <c r="E15" s="11" t="s">
        <v>12</v>
      </c>
      <c r="F15" s="330" t="s">
        <v>219</v>
      </c>
      <c r="G15" s="224"/>
      <c r="H15" s="12">
        <v>3</v>
      </c>
      <c r="I15" s="23">
        <v>3</v>
      </c>
      <c r="J15" s="128">
        <v>3</v>
      </c>
      <c r="K15" s="343">
        <v>3</v>
      </c>
      <c r="L15" s="344"/>
      <c r="M15" s="345"/>
      <c r="N15" s="346"/>
      <c r="O15" s="347"/>
      <c r="P15" s="344"/>
      <c r="Q15" s="345"/>
      <c r="R15" s="348"/>
      <c r="S15" s="350"/>
      <c r="T15" s="344"/>
      <c r="U15" s="345"/>
      <c r="V15" s="351"/>
      <c r="W15" s="14">
        <f t="shared" si="0"/>
        <v>3</v>
      </c>
      <c r="X15" s="336">
        <f>SUM(W15:W16)</f>
        <v>6</v>
      </c>
      <c r="Y15" s="326">
        <v>6</v>
      </c>
    </row>
    <row r="16" spans="2:30" ht="18" thickBot="1">
      <c r="B16" s="354"/>
      <c r="C16" s="339"/>
      <c r="D16" s="333"/>
      <c r="E16" s="24" t="s">
        <v>12</v>
      </c>
      <c r="F16" s="340" t="s">
        <v>220</v>
      </c>
      <c r="G16" s="341"/>
      <c r="H16" s="25">
        <v>3</v>
      </c>
      <c r="I16" s="26">
        <v>3</v>
      </c>
      <c r="J16" s="161">
        <v>3</v>
      </c>
      <c r="K16" s="259"/>
      <c r="L16" s="260"/>
      <c r="M16" s="261">
        <v>3</v>
      </c>
      <c r="N16" s="262"/>
      <c r="O16" s="263"/>
      <c r="P16" s="260"/>
      <c r="Q16" s="261"/>
      <c r="R16" s="264"/>
      <c r="S16" s="299"/>
      <c r="T16" s="260"/>
      <c r="U16" s="261"/>
      <c r="V16" s="300"/>
      <c r="W16" s="27">
        <f t="shared" si="0"/>
        <v>3</v>
      </c>
      <c r="X16" s="337"/>
      <c r="Y16" s="326"/>
      <c r="AA16" s="201"/>
      <c r="AB16" s="201"/>
      <c r="AC16" s="160"/>
    </row>
    <row r="17" spans="2:28" ht="18" thickBot="1">
      <c r="B17" s="354"/>
      <c r="C17" s="339"/>
      <c r="D17" s="333"/>
      <c r="E17" s="11" t="s">
        <v>12</v>
      </c>
      <c r="F17" s="330" t="s">
        <v>222</v>
      </c>
      <c r="G17" s="224"/>
      <c r="H17" s="12">
        <v>4</v>
      </c>
      <c r="I17" s="23" t="s">
        <v>323</v>
      </c>
      <c r="J17" s="128">
        <v>4</v>
      </c>
      <c r="K17" s="218"/>
      <c r="L17" s="219"/>
      <c r="M17" s="220"/>
      <c r="N17" s="221"/>
      <c r="O17" s="254">
        <v>4</v>
      </c>
      <c r="P17" s="219"/>
      <c r="Q17" s="220"/>
      <c r="R17" s="222"/>
      <c r="S17" s="223"/>
      <c r="T17" s="219"/>
      <c r="U17" s="220"/>
      <c r="V17" s="224"/>
      <c r="W17" s="14">
        <f t="shared" si="0"/>
        <v>4</v>
      </c>
      <c r="X17" s="336">
        <f>SUM(W17:W18)</f>
        <v>8</v>
      </c>
      <c r="Y17" s="326">
        <v>12</v>
      </c>
    </row>
    <row r="18" spans="2:28" ht="18" thickBot="1">
      <c r="B18" s="354"/>
      <c r="C18" s="339"/>
      <c r="D18" s="342"/>
      <c r="E18" s="22" t="s">
        <v>12</v>
      </c>
      <c r="F18" s="327" t="s">
        <v>223</v>
      </c>
      <c r="G18" s="300"/>
      <c r="H18" s="20">
        <v>4</v>
      </c>
      <c r="I18" s="21" t="s">
        <v>323</v>
      </c>
      <c r="J18" s="159">
        <v>4</v>
      </c>
      <c r="K18" s="259"/>
      <c r="L18" s="260"/>
      <c r="M18" s="261"/>
      <c r="N18" s="262"/>
      <c r="O18" s="263"/>
      <c r="P18" s="260"/>
      <c r="Q18" s="261">
        <v>4</v>
      </c>
      <c r="R18" s="264"/>
      <c r="S18" s="299"/>
      <c r="T18" s="260"/>
      <c r="U18" s="261"/>
      <c r="V18" s="300"/>
      <c r="W18" s="27">
        <f t="shared" si="0"/>
        <v>4</v>
      </c>
      <c r="X18" s="337"/>
      <c r="Y18" s="326"/>
    </row>
    <row r="19" spans="2:28" ht="18" thickBot="1">
      <c r="B19" s="354"/>
      <c r="C19" s="339"/>
      <c r="D19" s="332" t="s">
        <v>22</v>
      </c>
      <c r="E19" s="11" t="s">
        <v>12</v>
      </c>
      <c r="F19" s="330" t="s">
        <v>240</v>
      </c>
      <c r="G19" s="224"/>
      <c r="H19" s="12">
        <v>4</v>
      </c>
      <c r="I19" s="23" t="s">
        <v>323</v>
      </c>
      <c r="J19" s="128">
        <v>4</v>
      </c>
      <c r="K19" s="218"/>
      <c r="L19" s="219"/>
      <c r="M19" s="220"/>
      <c r="N19" s="221"/>
      <c r="O19" s="254">
        <v>4</v>
      </c>
      <c r="P19" s="219"/>
      <c r="Q19" s="220"/>
      <c r="R19" s="222"/>
      <c r="S19" s="223"/>
      <c r="T19" s="219"/>
      <c r="U19" s="220"/>
      <c r="V19" s="224"/>
      <c r="W19" s="14">
        <f t="shared" si="0"/>
        <v>4</v>
      </c>
      <c r="X19" s="338">
        <f>SUM(W19:W20)</f>
        <v>8</v>
      </c>
      <c r="Y19" s="326"/>
    </row>
    <row r="20" spans="2:28" ht="18" thickBot="1">
      <c r="B20" s="354"/>
      <c r="C20" s="339"/>
      <c r="D20" s="333"/>
      <c r="E20" s="15" t="s">
        <v>12</v>
      </c>
      <c r="F20" s="331" t="s">
        <v>241</v>
      </c>
      <c r="G20" s="183"/>
      <c r="H20" s="16">
        <v>4</v>
      </c>
      <c r="I20" s="17" t="s">
        <v>323</v>
      </c>
      <c r="J20" s="129">
        <v>4</v>
      </c>
      <c r="K20" s="232"/>
      <c r="L20" s="180"/>
      <c r="M20" s="177"/>
      <c r="N20" s="178"/>
      <c r="O20" s="179"/>
      <c r="P20" s="180"/>
      <c r="Q20" s="177">
        <v>4</v>
      </c>
      <c r="R20" s="181"/>
      <c r="S20" s="182"/>
      <c r="T20" s="180"/>
      <c r="U20" s="177"/>
      <c r="V20" s="183"/>
      <c r="W20" s="18">
        <f t="shared" si="0"/>
        <v>4</v>
      </c>
      <c r="X20" s="339"/>
      <c r="Y20" s="326"/>
    </row>
    <row r="21" spans="2:28" ht="16.5" customHeight="1" thickBot="1">
      <c r="B21" s="354"/>
      <c r="C21" s="339"/>
      <c r="D21" s="332" t="s">
        <v>8</v>
      </c>
      <c r="E21" s="11" t="s">
        <v>327</v>
      </c>
      <c r="F21" s="330" t="s">
        <v>328</v>
      </c>
      <c r="G21" s="224"/>
      <c r="H21" s="12">
        <v>3</v>
      </c>
      <c r="I21" s="23" t="s">
        <v>329</v>
      </c>
      <c r="J21" s="128">
        <v>2</v>
      </c>
      <c r="K21" s="218">
        <v>2</v>
      </c>
      <c r="L21" s="219"/>
      <c r="M21" s="220"/>
      <c r="N21" s="221"/>
      <c r="O21" s="254"/>
      <c r="P21" s="219"/>
      <c r="Q21" s="220"/>
      <c r="R21" s="222"/>
      <c r="S21" s="223"/>
      <c r="T21" s="219"/>
      <c r="U21" s="220"/>
      <c r="V21" s="224"/>
      <c r="W21" s="14">
        <f>SUM(K21:V21)</f>
        <v>2</v>
      </c>
      <c r="X21" s="334">
        <f>SUM(W21:W24)</f>
        <v>8</v>
      </c>
      <c r="Y21" s="326">
        <v>8</v>
      </c>
    </row>
    <row r="22" spans="2:28" ht="18" thickBot="1">
      <c r="B22" s="354"/>
      <c r="C22" s="339"/>
      <c r="D22" s="333"/>
      <c r="E22" s="15" t="s">
        <v>327</v>
      </c>
      <c r="F22" s="331" t="s">
        <v>330</v>
      </c>
      <c r="G22" s="183"/>
      <c r="H22" s="16">
        <v>3</v>
      </c>
      <c r="I22" s="17" t="s">
        <v>329</v>
      </c>
      <c r="J22" s="129">
        <v>2</v>
      </c>
      <c r="K22" s="232"/>
      <c r="L22" s="180"/>
      <c r="M22" s="177">
        <v>2</v>
      </c>
      <c r="N22" s="178"/>
      <c r="O22" s="179"/>
      <c r="P22" s="180"/>
      <c r="Q22" s="177"/>
      <c r="R22" s="181"/>
      <c r="S22" s="182"/>
      <c r="T22" s="180"/>
      <c r="U22" s="177"/>
      <c r="V22" s="183"/>
      <c r="W22" s="18">
        <f t="shared" ref="W22:W24" si="1">SUM(K22:V22)</f>
        <v>2</v>
      </c>
      <c r="X22" s="335"/>
      <c r="Y22" s="326"/>
    </row>
    <row r="23" spans="2:28" ht="18" thickBot="1">
      <c r="B23" s="354"/>
      <c r="C23" s="339"/>
      <c r="D23" s="333"/>
      <c r="E23" s="15" t="s">
        <v>526</v>
      </c>
      <c r="F23" s="331" t="s">
        <v>491</v>
      </c>
      <c r="G23" s="183"/>
      <c r="H23" s="16">
        <v>3</v>
      </c>
      <c r="I23" s="17" t="s">
        <v>329</v>
      </c>
      <c r="J23" s="129">
        <v>2</v>
      </c>
      <c r="K23" s="232"/>
      <c r="L23" s="180"/>
      <c r="M23" s="177"/>
      <c r="N23" s="178"/>
      <c r="O23" s="179">
        <v>2</v>
      </c>
      <c r="P23" s="180"/>
      <c r="Q23" s="177"/>
      <c r="R23" s="181"/>
      <c r="S23" s="182"/>
      <c r="T23" s="180"/>
      <c r="U23" s="177"/>
      <c r="V23" s="183"/>
      <c r="W23" s="18">
        <f t="shared" si="1"/>
        <v>2</v>
      </c>
      <c r="X23" s="335"/>
      <c r="Y23" s="326"/>
    </row>
    <row r="24" spans="2:28" ht="18" thickBot="1">
      <c r="B24" s="354"/>
      <c r="C24" s="339"/>
      <c r="D24" s="333"/>
      <c r="E24" s="15" t="s">
        <v>326</v>
      </c>
      <c r="F24" s="331" t="s">
        <v>331</v>
      </c>
      <c r="G24" s="183"/>
      <c r="H24" s="16">
        <v>3</v>
      </c>
      <c r="I24" s="17" t="s">
        <v>329</v>
      </c>
      <c r="J24" s="129">
        <v>2</v>
      </c>
      <c r="K24" s="232"/>
      <c r="L24" s="180"/>
      <c r="M24" s="177"/>
      <c r="N24" s="178"/>
      <c r="O24" s="179"/>
      <c r="P24" s="180"/>
      <c r="Q24" s="177">
        <v>2</v>
      </c>
      <c r="R24" s="181"/>
      <c r="S24" s="182"/>
      <c r="T24" s="180"/>
      <c r="U24" s="177"/>
      <c r="V24" s="183"/>
      <c r="W24" s="18">
        <f t="shared" si="1"/>
        <v>2</v>
      </c>
      <c r="X24" s="335"/>
      <c r="Y24" s="326"/>
    </row>
    <row r="25" spans="2:28" ht="18" thickBot="1">
      <c r="B25" s="354"/>
      <c r="C25" s="339"/>
      <c r="D25" s="332" t="s">
        <v>24</v>
      </c>
      <c r="E25" s="11" t="s">
        <v>327</v>
      </c>
      <c r="F25" s="330" t="s">
        <v>9</v>
      </c>
      <c r="G25" s="224"/>
      <c r="H25" s="12">
        <v>3</v>
      </c>
      <c r="I25" s="23" t="s">
        <v>329</v>
      </c>
      <c r="J25" s="128">
        <v>3</v>
      </c>
      <c r="K25" s="218">
        <v>3</v>
      </c>
      <c r="L25" s="219"/>
      <c r="M25" s="220"/>
      <c r="N25" s="221"/>
      <c r="O25" s="254"/>
      <c r="P25" s="219"/>
      <c r="Q25" s="220"/>
      <c r="R25" s="222"/>
      <c r="S25" s="223"/>
      <c r="T25" s="219"/>
      <c r="U25" s="220"/>
      <c r="V25" s="224"/>
      <c r="W25" s="322">
        <f>SUM(K25:V26)</f>
        <v>6</v>
      </c>
      <c r="X25" s="323"/>
      <c r="Y25" s="326">
        <v>6</v>
      </c>
    </row>
    <row r="26" spans="2:28" ht="18" thickBot="1">
      <c r="B26" s="354"/>
      <c r="C26" s="339"/>
      <c r="D26" s="333"/>
      <c r="E26" s="19" t="s">
        <v>526</v>
      </c>
      <c r="F26" s="331" t="s">
        <v>267</v>
      </c>
      <c r="G26" s="183"/>
      <c r="H26" s="16">
        <v>3</v>
      </c>
      <c r="I26" s="17" t="s">
        <v>329</v>
      </c>
      <c r="J26" s="129">
        <v>3</v>
      </c>
      <c r="K26" s="232"/>
      <c r="L26" s="180"/>
      <c r="M26" s="177">
        <v>3</v>
      </c>
      <c r="N26" s="178"/>
      <c r="O26" s="179"/>
      <c r="P26" s="180"/>
      <c r="Q26" s="177"/>
      <c r="R26" s="181"/>
      <c r="S26" s="182"/>
      <c r="T26" s="180"/>
      <c r="U26" s="177"/>
      <c r="V26" s="183"/>
      <c r="W26" s="324"/>
      <c r="X26" s="325"/>
      <c r="Y26" s="326"/>
    </row>
    <row r="27" spans="2:28" ht="16.5" customHeight="1" thickBot="1">
      <c r="B27" s="354"/>
      <c r="C27" s="339"/>
      <c r="D27" s="328" t="s">
        <v>333</v>
      </c>
      <c r="E27" s="11" t="s">
        <v>327</v>
      </c>
      <c r="F27" s="330" t="s">
        <v>524</v>
      </c>
      <c r="G27" s="224"/>
      <c r="H27" s="12">
        <v>3</v>
      </c>
      <c r="I27" s="23" t="s">
        <v>324</v>
      </c>
      <c r="J27" s="128">
        <v>4</v>
      </c>
      <c r="K27" s="218"/>
      <c r="L27" s="219"/>
      <c r="M27" s="220">
        <v>4</v>
      </c>
      <c r="N27" s="221"/>
      <c r="O27" s="254"/>
      <c r="P27" s="219"/>
      <c r="Q27" s="220"/>
      <c r="R27" s="222"/>
      <c r="S27" s="223"/>
      <c r="T27" s="219"/>
      <c r="U27" s="220"/>
      <c r="V27" s="224"/>
      <c r="W27" s="322">
        <f>SUM(K27:V28)</f>
        <v>8</v>
      </c>
      <c r="X27" s="323"/>
      <c r="Y27" s="326">
        <v>8</v>
      </c>
    </row>
    <row r="28" spans="2:28" ht="18" thickBot="1">
      <c r="B28" s="355"/>
      <c r="C28" s="356"/>
      <c r="D28" s="329"/>
      <c r="E28" s="19" t="s">
        <v>327</v>
      </c>
      <c r="F28" s="327" t="s">
        <v>523</v>
      </c>
      <c r="G28" s="300"/>
      <c r="H28" s="20">
        <v>3</v>
      </c>
      <c r="I28" s="21" t="s">
        <v>324</v>
      </c>
      <c r="J28" s="159">
        <v>4</v>
      </c>
      <c r="K28" s="259">
        <v>4</v>
      </c>
      <c r="L28" s="260"/>
      <c r="M28" s="261"/>
      <c r="N28" s="262"/>
      <c r="O28" s="179"/>
      <c r="P28" s="180"/>
      <c r="Q28" s="177"/>
      <c r="R28" s="181"/>
      <c r="S28" s="182"/>
      <c r="T28" s="180"/>
      <c r="U28" s="177"/>
      <c r="V28" s="183"/>
      <c r="W28" s="324"/>
      <c r="X28" s="325"/>
      <c r="Y28" s="326"/>
    </row>
    <row r="29" spans="2:28" ht="24.75" customHeight="1" thickBot="1">
      <c r="B29" s="195" t="s">
        <v>339</v>
      </c>
      <c r="C29" s="196"/>
      <c r="D29" s="233"/>
      <c r="E29" s="233"/>
      <c r="F29" s="233"/>
      <c r="G29" s="238"/>
      <c r="H29" s="156">
        <f>SUM(H17:H28)</f>
        <v>40</v>
      </c>
      <c r="I29" s="9"/>
      <c r="J29" s="157">
        <f>SUM(J9:J28)</f>
        <v>68</v>
      </c>
      <c r="K29" s="317">
        <f>SUM(K9:L28)</f>
        <v>20</v>
      </c>
      <c r="L29" s="318"/>
      <c r="M29" s="318">
        <f>SUM(M9:N28)</f>
        <v>20</v>
      </c>
      <c r="N29" s="319"/>
      <c r="O29" s="168">
        <f>SUM(O9:P28)</f>
        <v>14</v>
      </c>
      <c r="P29" s="318"/>
      <c r="Q29" s="318">
        <f>SUM(Q9:R28)</f>
        <v>14</v>
      </c>
      <c r="R29" s="320"/>
      <c r="S29" s="168">
        <f>SUM(S9:T28)</f>
        <v>0</v>
      </c>
      <c r="T29" s="318"/>
      <c r="U29" s="318">
        <f>SUM(U9:V28)</f>
        <v>0</v>
      </c>
      <c r="V29" s="321"/>
      <c r="W29" s="195">
        <f>SUM(K29:V29)</f>
        <v>68</v>
      </c>
      <c r="X29" s="170"/>
      <c r="Y29" s="158">
        <f>SUM(Y9:Y28)</f>
        <v>64</v>
      </c>
      <c r="AA29" s="187" t="b">
        <f>W29&gt;=Y29</f>
        <v>1</v>
      </c>
      <c r="AB29" s="188"/>
    </row>
    <row r="30" spans="2:28" ht="17.25" customHeight="1">
      <c r="B30" s="192" t="s">
        <v>649</v>
      </c>
      <c r="C30" s="192"/>
      <c r="D30" s="309" t="s">
        <v>334</v>
      </c>
      <c r="E30" s="310"/>
      <c r="F30" s="311" t="s">
        <v>492</v>
      </c>
      <c r="G30" s="312"/>
      <c r="H30" s="12"/>
      <c r="I30" s="122"/>
      <c r="J30" s="128">
        <v>2</v>
      </c>
      <c r="K30" s="218"/>
      <c r="L30" s="219"/>
      <c r="M30" s="220"/>
      <c r="N30" s="221"/>
      <c r="O30" s="254">
        <v>2</v>
      </c>
      <c r="P30" s="219"/>
      <c r="Q30" s="220"/>
      <c r="R30" s="222"/>
      <c r="S30" s="223"/>
      <c r="T30" s="219"/>
      <c r="U30" s="220"/>
      <c r="V30" s="224"/>
      <c r="W30" s="313">
        <f>SUM(K30:V30)</f>
        <v>2</v>
      </c>
      <c r="X30" s="314"/>
      <c r="Y30" s="228"/>
    </row>
    <row r="31" spans="2:28" ht="17.25" customHeight="1">
      <c r="B31" s="193"/>
      <c r="C31" s="193"/>
      <c r="D31" s="149" t="s">
        <v>67</v>
      </c>
      <c r="E31" s="150" t="s">
        <v>335</v>
      </c>
      <c r="F31" s="307" t="s">
        <v>494</v>
      </c>
      <c r="G31" s="308"/>
      <c r="H31" s="97"/>
      <c r="I31" s="120"/>
      <c r="J31" s="130">
        <v>4</v>
      </c>
      <c r="K31" s="232">
        <v>4</v>
      </c>
      <c r="L31" s="180"/>
      <c r="M31" s="177"/>
      <c r="N31" s="178"/>
      <c r="O31" s="179"/>
      <c r="P31" s="180"/>
      <c r="Q31" s="177"/>
      <c r="R31" s="181"/>
      <c r="S31" s="179"/>
      <c r="T31" s="180"/>
      <c r="U31" s="177"/>
      <c r="V31" s="183"/>
      <c r="W31" s="303">
        <f t="shared" ref="W31:W43" si="2">SUM(K31:V31)</f>
        <v>4</v>
      </c>
      <c r="X31" s="304"/>
      <c r="Y31" s="228"/>
    </row>
    <row r="32" spans="2:28" ht="17.25" customHeight="1">
      <c r="B32" s="193"/>
      <c r="C32" s="193"/>
      <c r="D32" s="149" t="s">
        <v>137</v>
      </c>
      <c r="E32" s="150" t="s">
        <v>335</v>
      </c>
      <c r="F32" s="307" t="s">
        <v>495</v>
      </c>
      <c r="G32" s="308"/>
      <c r="H32" s="97"/>
      <c r="I32" s="120"/>
      <c r="J32" s="130">
        <v>3</v>
      </c>
      <c r="K32" s="232">
        <v>3</v>
      </c>
      <c r="L32" s="180"/>
      <c r="M32" s="177"/>
      <c r="N32" s="178"/>
      <c r="O32" s="179"/>
      <c r="P32" s="180"/>
      <c r="Q32" s="177"/>
      <c r="R32" s="181"/>
      <c r="S32" s="182"/>
      <c r="T32" s="180"/>
      <c r="U32" s="177"/>
      <c r="V32" s="183"/>
      <c r="W32" s="303">
        <f t="shared" si="2"/>
        <v>3</v>
      </c>
      <c r="X32" s="304"/>
      <c r="Y32" s="228"/>
    </row>
    <row r="33" spans="2:25" ht="16.8" customHeight="1">
      <c r="B33" s="193"/>
      <c r="C33" s="193"/>
      <c r="D33" s="149" t="s">
        <v>68</v>
      </c>
      <c r="E33" s="150" t="s">
        <v>335</v>
      </c>
      <c r="F33" s="307" t="s">
        <v>525</v>
      </c>
      <c r="G33" s="308"/>
      <c r="H33" s="97"/>
      <c r="I33" s="120"/>
      <c r="J33" s="130">
        <v>3</v>
      </c>
      <c r="K33" s="232">
        <v>3</v>
      </c>
      <c r="L33" s="180"/>
      <c r="M33" s="177"/>
      <c r="N33" s="178"/>
      <c r="O33" s="179"/>
      <c r="P33" s="180"/>
      <c r="Q33" s="177"/>
      <c r="R33" s="181"/>
      <c r="S33" s="182"/>
      <c r="T33" s="180"/>
      <c r="U33" s="177"/>
      <c r="V33" s="183"/>
      <c r="W33" s="303">
        <f t="shared" si="2"/>
        <v>3</v>
      </c>
      <c r="X33" s="304"/>
      <c r="Y33" s="228"/>
    </row>
    <row r="34" spans="2:25" s="148" customFormat="1" ht="16.8" customHeight="1">
      <c r="B34" s="193"/>
      <c r="C34" s="193"/>
      <c r="D34" s="149" t="s">
        <v>652</v>
      </c>
      <c r="E34" s="150" t="s">
        <v>335</v>
      </c>
      <c r="F34" s="307" t="s">
        <v>653</v>
      </c>
      <c r="G34" s="308"/>
      <c r="H34" s="97"/>
      <c r="I34" s="120"/>
      <c r="J34" s="130">
        <v>2</v>
      </c>
      <c r="K34" s="232"/>
      <c r="L34" s="180"/>
      <c r="M34" s="177"/>
      <c r="N34" s="178"/>
      <c r="O34" s="232">
        <v>2</v>
      </c>
      <c r="P34" s="180"/>
      <c r="Q34" s="177"/>
      <c r="R34" s="181"/>
      <c r="S34" s="182"/>
      <c r="T34" s="180"/>
      <c r="U34" s="177"/>
      <c r="V34" s="183"/>
      <c r="W34" s="303">
        <f t="shared" si="2"/>
        <v>2</v>
      </c>
      <c r="X34" s="304"/>
      <c r="Y34" s="228"/>
    </row>
    <row r="35" spans="2:25" s="148" customFormat="1" ht="16.8" customHeight="1">
      <c r="B35" s="193"/>
      <c r="C35" s="193"/>
      <c r="D35" s="149" t="s">
        <v>137</v>
      </c>
      <c r="E35" s="150" t="s">
        <v>335</v>
      </c>
      <c r="F35" s="305" t="s">
        <v>507</v>
      </c>
      <c r="G35" s="306"/>
      <c r="H35" s="97"/>
      <c r="I35" s="120"/>
      <c r="J35" s="130">
        <v>3</v>
      </c>
      <c r="K35" s="232"/>
      <c r="L35" s="180"/>
      <c r="M35" s="177">
        <v>3</v>
      </c>
      <c r="N35" s="178"/>
      <c r="O35" s="179"/>
      <c r="P35" s="180"/>
      <c r="Q35" s="177"/>
      <c r="R35" s="181"/>
      <c r="S35" s="179"/>
      <c r="T35" s="180"/>
      <c r="U35" s="177"/>
      <c r="V35" s="183"/>
      <c r="W35" s="303">
        <f t="shared" si="2"/>
        <v>3</v>
      </c>
      <c r="X35" s="304"/>
      <c r="Y35" s="228"/>
    </row>
    <row r="36" spans="2:25" ht="17.25" customHeight="1">
      <c r="B36" s="193"/>
      <c r="C36" s="193"/>
      <c r="D36" s="149" t="s">
        <v>137</v>
      </c>
      <c r="E36" s="150" t="s">
        <v>335</v>
      </c>
      <c r="F36" s="305" t="s">
        <v>496</v>
      </c>
      <c r="G36" s="306"/>
      <c r="H36" s="97"/>
      <c r="I36" s="120"/>
      <c r="J36" s="130">
        <v>3</v>
      </c>
      <c r="K36" s="232"/>
      <c r="L36" s="180"/>
      <c r="M36" s="177">
        <v>3</v>
      </c>
      <c r="N36" s="178"/>
      <c r="O36" s="179"/>
      <c r="P36" s="180"/>
      <c r="Q36" s="177"/>
      <c r="R36" s="181"/>
      <c r="S36" s="179"/>
      <c r="T36" s="180"/>
      <c r="U36" s="177"/>
      <c r="V36" s="183"/>
      <c r="W36" s="303">
        <f t="shared" si="2"/>
        <v>3</v>
      </c>
      <c r="X36" s="304"/>
      <c r="Y36" s="228"/>
    </row>
    <row r="37" spans="2:25" ht="17.25" customHeight="1">
      <c r="B37" s="193"/>
      <c r="C37" s="193"/>
      <c r="D37" s="149" t="s">
        <v>68</v>
      </c>
      <c r="E37" s="150" t="s">
        <v>335</v>
      </c>
      <c r="F37" s="305" t="s">
        <v>497</v>
      </c>
      <c r="G37" s="306"/>
      <c r="H37" s="97"/>
      <c r="I37" s="121"/>
      <c r="J37" s="129">
        <v>3</v>
      </c>
      <c r="K37" s="232"/>
      <c r="L37" s="180"/>
      <c r="M37" s="177"/>
      <c r="N37" s="178"/>
      <c r="O37" s="179"/>
      <c r="P37" s="180"/>
      <c r="Q37" s="177"/>
      <c r="R37" s="181"/>
      <c r="S37" s="179">
        <v>3</v>
      </c>
      <c r="T37" s="180"/>
      <c r="U37" s="177"/>
      <c r="V37" s="183"/>
      <c r="W37" s="303">
        <f t="shared" si="2"/>
        <v>3</v>
      </c>
      <c r="X37" s="304"/>
      <c r="Y37" s="228"/>
    </row>
    <row r="38" spans="2:25" ht="16.5" customHeight="1">
      <c r="B38" s="193"/>
      <c r="C38" s="193"/>
      <c r="D38" s="149" t="s">
        <v>68</v>
      </c>
      <c r="E38" s="150" t="s">
        <v>336</v>
      </c>
      <c r="F38" s="305" t="s">
        <v>498</v>
      </c>
      <c r="G38" s="306"/>
      <c r="H38" s="16"/>
      <c r="I38" s="121"/>
      <c r="J38" s="129">
        <v>3</v>
      </c>
      <c r="K38" s="232"/>
      <c r="L38" s="180"/>
      <c r="M38" s="177"/>
      <c r="N38" s="178"/>
      <c r="O38" s="179"/>
      <c r="P38" s="180"/>
      <c r="Q38" s="177"/>
      <c r="R38" s="181"/>
      <c r="S38" s="179"/>
      <c r="T38" s="180"/>
      <c r="U38" s="177">
        <v>3</v>
      </c>
      <c r="V38" s="183"/>
      <c r="W38" s="303">
        <f t="shared" si="2"/>
        <v>3</v>
      </c>
      <c r="X38" s="304"/>
      <c r="Y38" s="228"/>
    </row>
    <row r="39" spans="2:25" ht="16.5" customHeight="1">
      <c r="B39" s="193"/>
      <c r="C39" s="193"/>
      <c r="D39" s="149" t="s">
        <v>137</v>
      </c>
      <c r="E39" s="150" t="s">
        <v>336</v>
      </c>
      <c r="F39" s="305" t="s">
        <v>500</v>
      </c>
      <c r="G39" s="306"/>
      <c r="H39" s="16"/>
      <c r="I39" s="121"/>
      <c r="J39" s="129">
        <v>4</v>
      </c>
      <c r="K39" s="232"/>
      <c r="L39" s="180"/>
      <c r="M39" s="177">
        <v>4</v>
      </c>
      <c r="N39" s="178"/>
      <c r="O39" s="179"/>
      <c r="P39" s="180"/>
      <c r="Q39" s="177"/>
      <c r="R39" s="181"/>
      <c r="S39" s="179"/>
      <c r="T39" s="180"/>
      <c r="U39" s="177"/>
      <c r="V39" s="183"/>
      <c r="W39" s="303">
        <f t="shared" si="2"/>
        <v>4</v>
      </c>
      <c r="X39" s="304"/>
      <c r="Y39" s="228"/>
    </row>
    <row r="40" spans="2:25" ht="16.5" customHeight="1">
      <c r="B40" s="193"/>
      <c r="C40" s="193"/>
      <c r="D40" s="149" t="s">
        <v>68</v>
      </c>
      <c r="E40" s="150" t="s">
        <v>335</v>
      </c>
      <c r="F40" s="305" t="s">
        <v>508</v>
      </c>
      <c r="G40" s="306"/>
      <c r="H40" s="16"/>
      <c r="I40" s="121"/>
      <c r="J40" s="129">
        <v>2</v>
      </c>
      <c r="K40" s="232"/>
      <c r="L40" s="180"/>
      <c r="M40" s="177"/>
      <c r="N40" s="178"/>
      <c r="O40" s="179"/>
      <c r="P40" s="180"/>
      <c r="Q40" s="177">
        <v>2</v>
      </c>
      <c r="R40" s="181"/>
      <c r="S40" s="179"/>
      <c r="T40" s="180"/>
      <c r="U40" s="177"/>
      <c r="V40" s="183"/>
      <c r="W40" s="303">
        <f t="shared" si="2"/>
        <v>2</v>
      </c>
      <c r="X40" s="304"/>
      <c r="Y40" s="228"/>
    </row>
    <row r="41" spans="2:25" ht="16.5" customHeight="1">
      <c r="B41" s="193"/>
      <c r="C41" s="193"/>
      <c r="D41" s="149" t="s">
        <v>64</v>
      </c>
      <c r="E41" s="150" t="s">
        <v>499</v>
      </c>
      <c r="F41" s="305" t="s">
        <v>512</v>
      </c>
      <c r="G41" s="306"/>
      <c r="H41" s="16"/>
      <c r="I41" s="121"/>
      <c r="J41" s="129">
        <v>3</v>
      </c>
      <c r="K41" s="232"/>
      <c r="L41" s="180"/>
      <c r="M41" s="177"/>
      <c r="N41" s="178"/>
      <c r="O41" s="179">
        <v>3</v>
      </c>
      <c r="P41" s="180"/>
      <c r="Q41" s="177"/>
      <c r="R41" s="181"/>
      <c r="S41" s="179"/>
      <c r="T41" s="180"/>
      <c r="U41" s="177"/>
      <c r="V41" s="183"/>
      <c r="W41" s="303">
        <f t="shared" si="2"/>
        <v>3</v>
      </c>
      <c r="X41" s="304"/>
      <c r="Y41" s="228"/>
    </row>
    <row r="42" spans="2:25" ht="16.5" customHeight="1">
      <c r="B42" s="193"/>
      <c r="C42" s="193"/>
      <c r="D42" s="149" t="s">
        <v>68</v>
      </c>
      <c r="E42" s="150" t="s">
        <v>336</v>
      </c>
      <c r="F42" s="305" t="s">
        <v>501</v>
      </c>
      <c r="G42" s="306"/>
      <c r="H42" s="16"/>
      <c r="I42" s="121"/>
      <c r="J42" s="129">
        <v>8</v>
      </c>
      <c r="K42" s="232"/>
      <c r="L42" s="180"/>
      <c r="M42" s="177"/>
      <c r="N42" s="178"/>
      <c r="O42" s="179"/>
      <c r="P42" s="180"/>
      <c r="Q42" s="177"/>
      <c r="R42" s="181"/>
      <c r="S42" s="179">
        <v>4</v>
      </c>
      <c r="T42" s="180"/>
      <c r="U42" s="177">
        <v>4</v>
      </c>
      <c r="V42" s="183"/>
      <c r="W42" s="303">
        <f t="shared" si="2"/>
        <v>8</v>
      </c>
      <c r="X42" s="304"/>
      <c r="Y42" s="228"/>
    </row>
    <row r="43" spans="2:25" ht="16.5" customHeight="1">
      <c r="B43" s="193"/>
      <c r="C43" s="193"/>
      <c r="D43" s="149" t="s">
        <v>137</v>
      </c>
      <c r="E43" s="150" t="s">
        <v>336</v>
      </c>
      <c r="F43" s="305" t="s">
        <v>502</v>
      </c>
      <c r="G43" s="306"/>
      <c r="H43" s="97"/>
      <c r="I43" s="120"/>
      <c r="J43" s="130">
        <v>8</v>
      </c>
      <c r="K43" s="232"/>
      <c r="L43" s="180"/>
      <c r="M43" s="177"/>
      <c r="N43" s="178"/>
      <c r="O43" s="179"/>
      <c r="P43" s="180"/>
      <c r="Q43" s="177"/>
      <c r="R43" s="181"/>
      <c r="S43" s="182">
        <v>4</v>
      </c>
      <c r="T43" s="180"/>
      <c r="U43" s="177">
        <v>4</v>
      </c>
      <c r="V43" s="183"/>
      <c r="W43" s="303">
        <f t="shared" si="2"/>
        <v>8</v>
      </c>
      <c r="X43" s="304"/>
      <c r="Y43" s="228"/>
    </row>
    <row r="44" spans="2:25" ht="16.5" customHeight="1">
      <c r="B44" s="193"/>
      <c r="C44" s="193"/>
      <c r="D44" s="149" t="s">
        <v>137</v>
      </c>
      <c r="E44" s="150" t="s">
        <v>335</v>
      </c>
      <c r="F44" s="305" t="s">
        <v>504</v>
      </c>
      <c r="G44" s="306"/>
      <c r="H44" s="97"/>
      <c r="I44" s="120"/>
      <c r="J44" s="130">
        <v>3</v>
      </c>
      <c r="K44" s="232"/>
      <c r="L44" s="180"/>
      <c r="M44" s="177"/>
      <c r="N44" s="178"/>
      <c r="O44" s="179"/>
      <c r="P44" s="180"/>
      <c r="Q44" s="177"/>
      <c r="R44" s="181"/>
      <c r="S44" s="182">
        <v>3</v>
      </c>
      <c r="T44" s="180"/>
      <c r="U44" s="177"/>
      <c r="V44" s="183"/>
      <c r="W44" s="303">
        <f t="shared" ref="W44:W45" si="3">SUM(O44:V44)</f>
        <v>3</v>
      </c>
      <c r="X44" s="304"/>
      <c r="Y44" s="228"/>
    </row>
    <row r="45" spans="2:25" ht="16.5" customHeight="1">
      <c r="B45" s="193"/>
      <c r="C45" s="193"/>
      <c r="D45" s="149" t="s">
        <v>137</v>
      </c>
      <c r="E45" s="150" t="s">
        <v>335</v>
      </c>
      <c r="F45" s="305" t="s">
        <v>505</v>
      </c>
      <c r="G45" s="306"/>
      <c r="H45" s="97"/>
      <c r="I45" s="120"/>
      <c r="J45" s="130">
        <v>3</v>
      </c>
      <c r="K45" s="232"/>
      <c r="L45" s="180"/>
      <c r="M45" s="177"/>
      <c r="N45" s="178"/>
      <c r="O45" s="179"/>
      <c r="P45" s="180"/>
      <c r="Q45" s="177"/>
      <c r="R45" s="181"/>
      <c r="S45" s="182"/>
      <c r="T45" s="180"/>
      <c r="U45" s="177">
        <v>3</v>
      </c>
      <c r="V45" s="183"/>
      <c r="W45" s="303">
        <f t="shared" si="3"/>
        <v>3</v>
      </c>
      <c r="X45" s="304"/>
      <c r="Y45" s="228"/>
    </row>
    <row r="46" spans="2:25" ht="16.5" customHeight="1" thickBot="1">
      <c r="B46" s="194"/>
      <c r="C46" s="194"/>
      <c r="D46" s="165" t="s">
        <v>137</v>
      </c>
      <c r="E46" s="166" t="s">
        <v>336</v>
      </c>
      <c r="F46" s="297" t="s">
        <v>510</v>
      </c>
      <c r="G46" s="298"/>
      <c r="H46" s="25"/>
      <c r="I46" s="151"/>
      <c r="J46" s="161">
        <v>12</v>
      </c>
      <c r="K46" s="259"/>
      <c r="L46" s="260"/>
      <c r="M46" s="261"/>
      <c r="N46" s="262"/>
      <c r="O46" s="263"/>
      <c r="P46" s="260"/>
      <c r="Q46" s="261"/>
      <c r="R46" s="264"/>
      <c r="S46" s="299">
        <v>6</v>
      </c>
      <c r="T46" s="260"/>
      <c r="U46" s="261">
        <v>6</v>
      </c>
      <c r="V46" s="300"/>
      <c r="W46" s="301">
        <f>SUM(O46:V46)</f>
        <v>12</v>
      </c>
      <c r="X46" s="302"/>
      <c r="Y46" s="228"/>
    </row>
    <row r="47" spans="2:25">
      <c r="B47" s="189" t="s">
        <v>493</v>
      </c>
      <c r="C47" s="189" t="s">
        <v>521</v>
      </c>
      <c r="D47" s="35" t="s">
        <v>64</v>
      </c>
      <c r="E47" s="34" t="s">
        <v>336</v>
      </c>
      <c r="F47" s="286" t="s">
        <v>511</v>
      </c>
      <c r="G47" s="287"/>
      <c r="H47" s="97"/>
      <c r="I47" s="123"/>
      <c r="J47" s="278">
        <f>SUM(W47:X50)</f>
        <v>43</v>
      </c>
      <c r="K47" s="288"/>
      <c r="L47" s="289"/>
      <c r="M47" s="290"/>
      <c r="N47" s="291"/>
      <c r="O47" s="292">
        <v>9</v>
      </c>
      <c r="P47" s="293"/>
      <c r="Q47" s="294">
        <v>9</v>
      </c>
      <c r="R47" s="295"/>
      <c r="S47" s="296"/>
      <c r="T47" s="289"/>
      <c r="U47" s="290"/>
      <c r="V47" s="296"/>
      <c r="W47" s="284">
        <f t="shared" ref="W47:W54" si="4">SUM(K47:V47)</f>
        <v>18</v>
      </c>
      <c r="X47" s="285"/>
      <c r="Y47" s="315"/>
    </row>
    <row r="48" spans="2:25">
      <c r="B48" s="190"/>
      <c r="C48" s="190"/>
      <c r="D48" s="35" t="s">
        <v>64</v>
      </c>
      <c r="E48" s="34" t="s">
        <v>499</v>
      </c>
      <c r="F48" s="271" t="s">
        <v>516</v>
      </c>
      <c r="G48" s="272"/>
      <c r="H48" s="97"/>
      <c r="I48" s="123"/>
      <c r="J48" s="278"/>
      <c r="K48" s="232"/>
      <c r="L48" s="180"/>
      <c r="M48" s="177"/>
      <c r="N48" s="178"/>
      <c r="O48" s="179"/>
      <c r="P48" s="180"/>
      <c r="Q48" s="280">
        <v>5</v>
      </c>
      <c r="R48" s="281"/>
      <c r="S48" s="179"/>
      <c r="T48" s="180"/>
      <c r="U48" s="177"/>
      <c r="V48" s="179"/>
      <c r="W48" s="255">
        <f t="shared" si="4"/>
        <v>5</v>
      </c>
      <c r="X48" s="256"/>
      <c r="Y48" s="315"/>
    </row>
    <row r="49" spans="2:29">
      <c r="B49" s="190"/>
      <c r="C49" s="190"/>
      <c r="D49" s="35" t="s">
        <v>67</v>
      </c>
      <c r="E49" s="34" t="s">
        <v>499</v>
      </c>
      <c r="F49" s="271" t="s">
        <v>514</v>
      </c>
      <c r="G49" s="272"/>
      <c r="H49" s="97"/>
      <c r="I49" s="123"/>
      <c r="J49" s="278"/>
      <c r="K49" s="232"/>
      <c r="L49" s="180"/>
      <c r="M49" s="177"/>
      <c r="N49" s="178"/>
      <c r="O49" s="179"/>
      <c r="P49" s="180"/>
      <c r="Q49" s="177"/>
      <c r="R49" s="181"/>
      <c r="S49" s="179">
        <v>5</v>
      </c>
      <c r="T49" s="180"/>
      <c r="U49" s="177">
        <v>5</v>
      </c>
      <c r="V49" s="179"/>
      <c r="W49" s="255">
        <f t="shared" si="4"/>
        <v>10</v>
      </c>
      <c r="X49" s="256"/>
      <c r="Y49" s="315"/>
    </row>
    <row r="50" spans="2:29" ht="18" thickBot="1">
      <c r="B50" s="190"/>
      <c r="C50" s="190"/>
      <c r="D50" s="33" t="s">
        <v>137</v>
      </c>
      <c r="E50" s="32" t="s">
        <v>499</v>
      </c>
      <c r="F50" s="257" t="s">
        <v>513</v>
      </c>
      <c r="G50" s="258"/>
      <c r="H50" s="20"/>
      <c r="I50" s="124"/>
      <c r="J50" s="279"/>
      <c r="K50" s="259"/>
      <c r="L50" s="260"/>
      <c r="M50" s="261"/>
      <c r="N50" s="262"/>
      <c r="O50" s="263"/>
      <c r="P50" s="260"/>
      <c r="Q50" s="261"/>
      <c r="R50" s="264"/>
      <c r="S50" s="263">
        <v>5</v>
      </c>
      <c r="T50" s="260"/>
      <c r="U50" s="261">
        <v>5</v>
      </c>
      <c r="V50" s="263"/>
      <c r="W50" s="265">
        <f t="shared" si="4"/>
        <v>10</v>
      </c>
      <c r="X50" s="266"/>
      <c r="Y50" s="315"/>
    </row>
    <row r="51" spans="2:29">
      <c r="B51" s="190"/>
      <c r="C51" s="189" t="s">
        <v>522</v>
      </c>
      <c r="D51" s="30" t="s">
        <v>137</v>
      </c>
      <c r="E51" s="31" t="s">
        <v>499</v>
      </c>
      <c r="F51" s="275" t="s">
        <v>513</v>
      </c>
      <c r="G51" s="276"/>
      <c r="H51" s="12"/>
      <c r="I51" s="125"/>
      <c r="J51" s="277">
        <f>SUM(W51:X54)</f>
        <v>43</v>
      </c>
      <c r="K51" s="218"/>
      <c r="L51" s="219"/>
      <c r="M51" s="220"/>
      <c r="N51" s="221"/>
      <c r="O51" s="282">
        <v>9</v>
      </c>
      <c r="P51" s="283"/>
      <c r="Q51" s="267">
        <v>8</v>
      </c>
      <c r="R51" s="268"/>
      <c r="S51" s="254"/>
      <c r="T51" s="219"/>
      <c r="U51" s="220"/>
      <c r="V51" s="254"/>
      <c r="W51" s="269">
        <f t="shared" si="4"/>
        <v>17</v>
      </c>
      <c r="X51" s="270"/>
      <c r="Y51" s="315"/>
      <c r="AC51" s="160"/>
    </row>
    <row r="52" spans="2:29">
      <c r="B52" s="190"/>
      <c r="C52" s="190"/>
      <c r="D52" s="35" t="s">
        <v>67</v>
      </c>
      <c r="E52" s="34" t="s">
        <v>499</v>
      </c>
      <c r="F52" s="271" t="s">
        <v>515</v>
      </c>
      <c r="G52" s="272"/>
      <c r="H52" s="97"/>
      <c r="I52" s="126"/>
      <c r="J52" s="278"/>
      <c r="K52" s="232"/>
      <c r="L52" s="180"/>
      <c r="M52" s="177"/>
      <c r="N52" s="178"/>
      <c r="O52" s="179"/>
      <c r="P52" s="180"/>
      <c r="Q52" s="273">
        <v>6</v>
      </c>
      <c r="R52" s="274"/>
      <c r="S52" s="179"/>
      <c r="T52" s="180"/>
      <c r="U52" s="177"/>
      <c r="V52" s="179"/>
      <c r="W52" s="255">
        <f t="shared" si="4"/>
        <v>6</v>
      </c>
      <c r="X52" s="256"/>
      <c r="Y52" s="315"/>
      <c r="AC52" s="160"/>
    </row>
    <row r="53" spans="2:29">
      <c r="B53" s="190"/>
      <c r="C53" s="190"/>
      <c r="D53" s="29" t="s">
        <v>137</v>
      </c>
      <c r="E53" s="28" t="s">
        <v>499</v>
      </c>
      <c r="F53" s="271" t="s">
        <v>509</v>
      </c>
      <c r="G53" s="272"/>
      <c r="H53" s="16"/>
      <c r="I53" s="126"/>
      <c r="J53" s="278"/>
      <c r="K53" s="232" t="s">
        <v>503</v>
      </c>
      <c r="L53" s="180"/>
      <c r="M53" s="177"/>
      <c r="N53" s="178"/>
      <c r="O53" s="179"/>
      <c r="P53" s="180"/>
      <c r="Q53" s="177"/>
      <c r="R53" s="181"/>
      <c r="S53" s="179">
        <v>5</v>
      </c>
      <c r="T53" s="180"/>
      <c r="U53" s="177">
        <v>5</v>
      </c>
      <c r="V53" s="179"/>
      <c r="W53" s="255">
        <f t="shared" si="4"/>
        <v>10</v>
      </c>
      <c r="X53" s="256"/>
      <c r="Y53" s="315"/>
      <c r="AC53" s="160"/>
    </row>
    <row r="54" spans="2:29" ht="18" thickBot="1">
      <c r="B54" s="191"/>
      <c r="C54" s="191"/>
      <c r="D54" s="33" t="s">
        <v>137</v>
      </c>
      <c r="E54" s="32" t="s">
        <v>499</v>
      </c>
      <c r="F54" s="257" t="s">
        <v>506</v>
      </c>
      <c r="G54" s="258"/>
      <c r="H54" s="25"/>
      <c r="I54" s="127"/>
      <c r="J54" s="279"/>
      <c r="K54" s="259"/>
      <c r="L54" s="260"/>
      <c r="M54" s="261"/>
      <c r="N54" s="262"/>
      <c r="O54" s="263"/>
      <c r="P54" s="260"/>
      <c r="Q54" s="261"/>
      <c r="R54" s="264"/>
      <c r="S54" s="263">
        <v>5</v>
      </c>
      <c r="T54" s="260"/>
      <c r="U54" s="261">
        <v>5</v>
      </c>
      <c r="V54" s="263"/>
      <c r="W54" s="265">
        <f t="shared" si="4"/>
        <v>10</v>
      </c>
      <c r="X54" s="266"/>
      <c r="Y54" s="316"/>
      <c r="AC54" s="160"/>
    </row>
    <row r="55" spans="2:29" ht="24.75" customHeight="1">
      <c r="B55" s="241" t="s">
        <v>340</v>
      </c>
      <c r="C55" s="233"/>
      <c r="D55" s="233"/>
      <c r="E55" s="233"/>
      <c r="F55" s="233"/>
      <c r="G55" s="238"/>
      <c r="H55" s="244">
        <f>SUM(H30:H43)</f>
        <v>0</v>
      </c>
      <c r="I55" s="246">
        <f>SUM(I30:I43)</f>
        <v>0</v>
      </c>
      <c r="J55" s="237">
        <f>SUM(J30:J54)-62*2</f>
        <v>31</v>
      </c>
      <c r="K55" s="248">
        <f>SUM(K30:L54)</f>
        <v>10</v>
      </c>
      <c r="L55" s="234"/>
      <c r="M55" s="237">
        <f>SUM(M30:N54)</f>
        <v>10</v>
      </c>
      <c r="N55" s="250"/>
      <c r="O55" s="233">
        <f>SUM(O30:P50)</f>
        <v>16</v>
      </c>
      <c r="P55" s="234"/>
      <c r="Q55" s="237">
        <f>SUM(Q30:R50)</f>
        <v>16</v>
      </c>
      <c r="R55" s="252"/>
      <c r="S55" s="233">
        <f>SUM(S30:T50)</f>
        <v>30</v>
      </c>
      <c r="T55" s="234"/>
      <c r="U55" s="237">
        <f>SUM(U30:V50)</f>
        <v>30</v>
      </c>
      <c r="V55" s="238"/>
      <c r="W55" s="241">
        <f>SUM(K55:V56)</f>
        <v>112</v>
      </c>
      <c r="X55" s="238"/>
      <c r="Y55" s="227">
        <f>SUM(Y30:Y47)</f>
        <v>0</v>
      </c>
      <c r="AC55" s="160"/>
    </row>
    <row r="56" spans="2:29" ht="18" thickBot="1">
      <c r="B56" s="242"/>
      <c r="C56" s="235"/>
      <c r="D56" s="235"/>
      <c r="E56" s="235"/>
      <c r="F56" s="235"/>
      <c r="G56" s="240"/>
      <c r="H56" s="245"/>
      <c r="I56" s="247"/>
      <c r="J56" s="239"/>
      <c r="K56" s="249"/>
      <c r="L56" s="236"/>
      <c r="M56" s="239"/>
      <c r="N56" s="251"/>
      <c r="O56" s="235"/>
      <c r="P56" s="236"/>
      <c r="Q56" s="239"/>
      <c r="R56" s="253"/>
      <c r="S56" s="235"/>
      <c r="T56" s="236"/>
      <c r="U56" s="239"/>
      <c r="V56" s="240"/>
      <c r="W56" s="242"/>
      <c r="X56" s="240"/>
      <c r="Y56" s="243"/>
      <c r="AC56" s="160"/>
    </row>
    <row r="57" spans="2:29" ht="17.25" customHeight="1" thickBot="1">
      <c r="B57" s="195"/>
      <c r="C57" s="196"/>
      <c r="D57" s="196"/>
      <c r="E57" s="196"/>
      <c r="F57" s="196"/>
      <c r="G57" s="170"/>
      <c r="H57" s="98">
        <f>SUM(H29,H55)</f>
        <v>40</v>
      </c>
      <c r="I57" s="162">
        <f>SUM(I29,I55)</f>
        <v>0</v>
      </c>
      <c r="J57" s="157">
        <f>SUM(J29,J55)</f>
        <v>99</v>
      </c>
      <c r="K57" s="204">
        <f>SUM(K29,K55)</f>
        <v>30</v>
      </c>
      <c r="L57" s="168"/>
      <c r="M57" s="169">
        <f>SUM(M29,M55)</f>
        <v>30</v>
      </c>
      <c r="N57" s="205"/>
      <c r="O57" s="196">
        <f>SUM(O29,O55)</f>
        <v>30</v>
      </c>
      <c r="P57" s="168"/>
      <c r="Q57" s="169">
        <f>SUM(Q29,Q55)</f>
        <v>30</v>
      </c>
      <c r="R57" s="200"/>
      <c r="S57" s="167">
        <f>SUM(S29,S55)</f>
        <v>30</v>
      </c>
      <c r="T57" s="168"/>
      <c r="U57" s="169">
        <f>SUM(U29,U55)</f>
        <v>30</v>
      </c>
      <c r="V57" s="170"/>
      <c r="W57" s="195">
        <f>SUM(K57:V57)</f>
        <v>180</v>
      </c>
      <c r="X57" s="170"/>
      <c r="Y57" s="8">
        <f>Y55+Y29</f>
        <v>64</v>
      </c>
      <c r="AA57" s="201" t="s">
        <v>138</v>
      </c>
      <c r="AB57" s="201"/>
    </row>
    <row r="58" spans="2:29" ht="18.75" customHeight="1" thickBot="1">
      <c r="B58" s="207" t="s">
        <v>341</v>
      </c>
      <c r="C58" s="208"/>
      <c r="D58" s="208"/>
      <c r="E58" s="209"/>
      <c r="F58" s="216" t="s">
        <v>337</v>
      </c>
      <c r="G58" s="217"/>
      <c r="H58" s="217"/>
      <c r="I58" s="217"/>
      <c r="J58" s="217"/>
      <c r="K58" s="218">
        <v>16</v>
      </c>
      <c r="L58" s="219"/>
      <c r="M58" s="220">
        <v>16</v>
      </c>
      <c r="N58" s="221"/>
      <c r="O58" s="254">
        <v>16</v>
      </c>
      <c r="P58" s="219"/>
      <c r="Q58" s="220">
        <v>16</v>
      </c>
      <c r="R58" s="222"/>
      <c r="S58" s="223">
        <v>16</v>
      </c>
      <c r="T58" s="219"/>
      <c r="U58" s="220">
        <v>16</v>
      </c>
      <c r="V58" s="224"/>
      <c r="W58" s="207">
        <f>SUM(K58:V60)</f>
        <v>288</v>
      </c>
      <c r="X58" s="209"/>
      <c r="Y58" s="227">
        <f>Y61*16</f>
        <v>288</v>
      </c>
      <c r="AA58" s="206"/>
      <c r="AB58" s="206"/>
    </row>
    <row r="59" spans="2:29" ht="17.25" customHeight="1" thickBot="1">
      <c r="B59" s="210"/>
      <c r="C59" s="211"/>
      <c r="D59" s="211"/>
      <c r="E59" s="212"/>
      <c r="F59" s="230" t="s">
        <v>59</v>
      </c>
      <c r="G59" s="231"/>
      <c r="H59" s="231"/>
      <c r="I59" s="231"/>
      <c r="J59" s="231"/>
      <c r="K59" s="232">
        <v>16</v>
      </c>
      <c r="L59" s="180"/>
      <c r="M59" s="177">
        <v>16</v>
      </c>
      <c r="N59" s="178"/>
      <c r="O59" s="179">
        <v>16</v>
      </c>
      <c r="P59" s="180"/>
      <c r="Q59" s="177">
        <v>16</v>
      </c>
      <c r="R59" s="181"/>
      <c r="S59" s="182">
        <v>16</v>
      </c>
      <c r="T59" s="180"/>
      <c r="U59" s="177">
        <v>16</v>
      </c>
      <c r="V59" s="183"/>
      <c r="W59" s="210"/>
      <c r="X59" s="212"/>
      <c r="Y59" s="228"/>
      <c r="AA59" s="187" t="b">
        <f>W57&gt;=Y57</f>
        <v>1</v>
      </c>
      <c r="AB59" s="188"/>
    </row>
    <row r="60" spans="2:29" ht="17.25" customHeight="1">
      <c r="B60" s="210"/>
      <c r="C60" s="211"/>
      <c r="D60" s="211"/>
      <c r="E60" s="212"/>
      <c r="F60" s="230" t="s">
        <v>11</v>
      </c>
      <c r="G60" s="231"/>
      <c r="H60" s="231"/>
      <c r="I60" s="231"/>
      <c r="J60" s="231"/>
      <c r="K60" s="232">
        <v>16</v>
      </c>
      <c r="L60" s="180"/>
      <c r="M60" s="177">
        <v>16</v>
      </c>
      <c r="N60" s="178"/>
      <c r="O60" s="179">
        <v>16</v>
      </c>
      <c r="P60" s="180"/>
      <c r="Q60" s="177">
        <v>16</v>
      </c>
      <c r="R60" s="181"/>
      <c r="S60" s="182">
        <v>16</v>
      </c>
      <c r="T60" s="180"/>
      <c r="U60" s="177">
        <v>16</v>
      </c>
      <c r="V60" s="183"/>
      <c r="W60" s="225"/>
      <c r="X60" s="226"/>
      <c r="Y60" s="229"/>
    </row>
    <row r="61" spans="2:29" ht="17.25" customHeight="1" thickBot="1">
      <c r="B61" s="213"/>
      <c r="C61" s="214"/>
      <c r="D61" s="214"/>
      <c r="E61" s="215"/>
      <c r="F61" s="171" t="s">
        <v>134</v>
      </c>
      <c r="G61" s="172"/>
      <c r="H61" s="172"/>
      <c r="I61" s="172"/>
      <c r="J61" s="172"/>
      <c r="K61" s="173">
        <v>3</v>
      </c>
      <c r="L61" s="174"/>
      <c r="M61" s="175">
        <v>3</v>
      </c>
      <c r="N61" s="176"/>
      <c r="O61" s="184">
        <v>3</v>
      </c>
      <c r="P61" s="174"/>
      <c r="Q61" s="175">
        <v>3</v>
      </c>
      <c r="R61" s="185"/>
      <c r="S61" s="186">
        <v>3</v>
      </c>
      <c r="T61" s="174"/>
      <c r="U61" s="175">
        <v>3</v>
      </c>
      <c r="V61" s="202"/>
      <c r="W61" s="171">
        <f>SUM(K61:V61)</f>
        <v>18</v>
      </c>
      <c r="X61" s="203"/>
      <c r="Y61" s="36">
        <v>18</v>
      </c>
      <c r="AA61" s="201" t="s">
        <v>139</v>
      </c>
      <c r="AB61" s="201"/>
    </row>
    <row r="62" spans="2:29" ht="17.25" customHeight="1" thickBot="1">
      <c r="B62" s="195"/>
      <c r="C62" s="196"/>
      <c r="D62" s="196"/>
      <c r="E62" s="196"/>
      <c r="F62" s="196"/>
      <c r="G62" s="196"/>
      <c r="H62" s="196"/>
      <c r="I62" s="196"/>
      <c r="J62" s="196"/>
      <c r="K62" s="204">
        <v>33</v>
      </c>
      <c r="L62" s="168"/>
      <c r="M62" s="169">
        <v>33</v>
      </c>
      <c r="N62" s="205"/>
      <c r="O62" s="196">
        <v>33</v>
      </c>
      <c r="P62" s="168"/>
      <c r="Q62" s="169">
        <v>33</v>
      </c>
      <c r="R62" s="200"/>
      <c r="S62" s="167">
        <v>33</v>
      </c>
      <c r="T62" s="168"/>
      <c r="U62" s="169">
        <v>33</v>
      </c>
      <c r="V62" s="170"/>
      <c r="W62" s="195">
        <f>SUM(K62:V62)</f>
        <v>198</v>
      </c>
      <c r="X62" s="170"/>
      <c r="Y62" s="10">
        <f>W62</f>
        <v>198</v>
      </c>
      <c r="AA62" s="187" t="b">
        <f>W61&gt;=Y61</f>
        <v>1</v>
      </c>
      <c r="AB62" s="188"/>
    </row>
    <row r="63" spans="2:29" ht="17.25" customHeight="1" thickBot="1">
      <c r="B63" s="195"/>
      <c r="C63" s="196"/>
      <c r="D63" s="196"/>
      <c r="E63" s="196"/>
      <c r="F63" s="196"/>
      <c r="G63" s="196"/>
      <c r="H63" s="196"/>
      <c r="I63" s="196"/>
      <c r="J63" s="196"/>
      <c r="K63" s="197">
        <f>SUM(K62:N62)</f>
        <v>66</v>
      </c>
      <c r="L63" s="198"/>
      <c r="M63" s="198"/>
      <c r="N63" s="199"/>
      <c r="O63" s="196">
        <f>SUM(O62:R62)</f>
        <v>66</v>
      </c>
      <c r="P63" s="196"/>
      <c r="Q63" s="196"/>
      <c r="R63" s="200"/>
      <c r="S63" s="167">
        <f>SUM(S62:V62)</f>
        <v>66</v>
      </c>
      <c r="T63" s="196"/>
      <c r="U63" s="196"/>
      <c r="V63" s="170"/>
      <c r="W63" s="195">
        <f>SUM(K63:V63)</f>
        <v>198</v>
      </c>
      <c r="X63" s="170"/>
      <c r="Y63" s="8"/>
      <c r="AA63" s="201" t="s">
        <v>136</v>
      </c>
      <c r="AB63" s="201"/>
    </row>
    <row r="64" spans="2:29" ht="17.25" customHeight="1" thickBot="1">
      <c r="AA64" s="187" t="b">
        <f>W62&gt;=Y62</f>
        <v>1</v>
      </c>
      <c r="AB64" s="188"/>
    </row>
    <row r="65" s="99" customFormat="1" ht="17.25" customHeight="1"/>
    <row r="66" s="99" customFormat="1" ht="17.25" customHeight="1"/>
    <row r="67" s="99" customFormat="1" ht="17.25" customHeight="1"/>
    <row r="69" s="99" customFormat="1" ht="24.9" customHeight="1"/>
    <row r="70" s="99" customFormat="1" ht="24.9" customHeight="1"/>
    <row r="71" s="99" customFormat="1" ht="32.25" customHeight="1"/>
    <row r="72" s="99" customFormat="1" ht="24.9" customHeight="1"/>
    <row r="74" s="99" customFormat="1" ht="16.5" customHeight="1"/>
    <row r="75" s="99" customFormat="1" ht="17.25" customHeight="1"/>
    <row r="76" s="99" customFormat="1" ht="16.5" customHeight="1"/>
    <row r="77" s="99" customFormat="1" ht="16.5" customHeight="1"/>
    <row r="78" s="99" customFormat="1" ht="16.5" customHeight="1"/>
    <row r="79" s="99" customFormat="1" ht="16.5" customHeight="1"/>
    <row r="80" s="99" customFormat="1" ht="16.5" customHeight="1"/>
    <row r="81" s="99" customFormat="1" ht="16.5" customHeight="1"/>
    <row r="82" s="99" customFormat="1" ht="16.5" customHeight="1"/>
    <row r="83" s="99" customFormat="1" ht="16.5" customHeight="1"/>
    <row r="84" s="99" customFormat="1" ht="16.5" customHeight="1"/>
    <row r="85" s="99" customFormat="1" ht="16.5" customHeight="1"/>
    <row r="86" s="99" customFormat="1" ht="16.5" customHeight="1"/>
    <row r="87" s="99" customFormat="1" ht="16.5" customHeight="1"/>
    <row r="88" s="99" customFormat="1" ht="16.5" customHeight="1"/>
    <row r="89" s="99" customFormat="1" ht="16.5" customHeight="1"/>
    <row r="90" s="99" customFormat="1" ht="16.5" customHeight="1"/>
    <row r="91" s="99" customFormat="1" ht="16.5" customHeight="1"/>
    <row r="92" s="99" customFormat="1" ht="16.5" customHeight="1"/>
    <row r="93" s="99" customFormat="1" ht="16.5" customHeight="1"/>
    <row r="94" s="99" customFormat="1" ht="16.5" customHeight="1"/>
    <row r="95" s="99" customFormat="1" ht="16.5" customHeight="1"/>
    <row r="96" s="99" customFormat="1" ht="244.5" customHeight="1"/>
  </sheetData>
  <mergeCells count="493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28"/>
    <mergeCell ref="D9:D10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D11:D12"/>
    <mergeCell ref="F11:G11"/>
    <mergeCell ref="K11:L11"/>
    <mergeCell ref="M11:N11"/>
    <mergeCell ref="O11:P11"/>
    <mergeCell ref="Q11:R11"/>
    <mergeCell ref="X9:X10"/>
    <mergeCell ref="Y9:Y14"/>
    <mergeCell ref="F10:G10"/>
    <mergeCell ref="K10:L10"/>
    <mergeCell ref="M10:N10"/>
    <mergeCell ref="O10:P10"/>
    <mergeCell ref="Q10:R10"/>
    <mergeCell ref="S10:T10"/>
    <mergeCell ref="U10:V10"/>
    <mergeCell ref="S11:T11"/>
    <mergeCell ref="U11:V11"/>
    <mergeCell ref="X11:X12"/>
    <mergeCell ref="F12:G12"/>
    <mergeCell ref="K12:L12"/>
    <mergeCell ref="M12:N12"/>
    <mergeCell ref="O12:P12"/>
    <mergeCell ref="Q12:R12"/>
    <mergeCell ref="S12:T12"/>
    <mergeCell ref="U12:V12"/>
    <mergeCell ref="D15:D18"/>
    <mergeCell ref="F15:G15"/>
    <mergeCell ref="K15:L15"/>
    <mergeCell ref="M15:N15"/>
    <mergeCell ref="O15:P15"/>
    <mergeCell ref="Q15:R15"/>
    <mergeCell ref="S13:T13"/>
    <mergeCell ref="U13:V13"/>
    <mergeCell ref="X13:X14"/>
    <mergeCell ref="F14:G14"/>
    <mergeCell ref="K14:L14"/>
    <mergeCell ref="M14:N14"/>
    <mergeCell ref="O14:P14"/>
    <mergeCell ref="Q14:R14"/>
    <mergeCell ref="S14:T14"/>
    <mergeCell ref="U14:V14"/>
    <mergeCell ref="D13:D14"/>
    <mergeCell ref="F13:G13"/>
    <mergeCell ref="K13:L13"/>
    <mergeCell ref="M13:N13"/>
    <mergeCell ref="O13:P13"/>
    <mergeCell ref="Q13:R13"/>
    <mergeCell ref="S15:T15"/>
    <mergeCell ref="U15:V15"/>
    <mergeCell ref="X15:X16"/>
    <mergeCell ref="Y15:Y16"/>
    <mergeCell ref="F16:G16"/>
    <mergeCell ref="K16:L16"/>
    <mergeCell ref="M16:N16"/>
    <mergeCell ref="O16:P16"/>
    <mergeCell ref="Q16:R16"/>
    <mergeCell ref="S16:T16"/>
    <mergeCell ref="U16:V16"/>
    <mergeCell ref="AA16:AB16"/>
    <mergeCell ref="F17:G17"/>
    <mergeCell ref="K17:L17"/>
    <mergeCell ref="M17:N17"/>
    <mergeCell ref="O17:P17"/>
    <mergeCell ref="Q17:R17"/>
    <mergeCell ref="S17:T17"/>
    <mergeCell ref="U17:V17"/>
    <mergeCell ref="X17:X18"/>
    <mergeCell ref="Y17:Y20"/>
    <mergeCell ref="F18:G18"/>
    <mergeCell ref="K18:L18"/>
    <mergeCell ref="M18:N18"/>
    <mergeCell ref="O18:P18"/>
    <mergeCell ref="Q18:R18"/>
    <mergeCell ref="S18:T18"/>
    <mergeCell ref="U18:V18"/>
    <mergeCell ref="S19:T19"/>
    <mergeCell ref="U19:V19"/>
    <mergeCell ref="X19:X20"/>
    <mergeCell ref="F20:G20"/>
    <mergeCell ref="K20:L20"/>
    <mergeCell ref="M20:N20"/>
    <mergeCell ref="O20:P20"/>
    <mergeCell ref="Q20:R20"/>
    <mergeCell ref="S20:T20"/>
    <mergeCell ref="U20:V20"/>
    <mergeCell ref="D19:D20"/>
    <mergeCell ref="F19:G19"/>
    <mergeCell ref="K19:L19"/>
    <mergeCell ref="M19:N19"/>
    <mergeCell ref="O19:P19"/>
    <mergeCell ref="Q19:R19"/>
    <mergeCell ref="X21:X24"/>
    <mergeCell ref="Y21:Y24"/>
    <mergeCell ref="F22:G22"/>
    <mergeCell ref="K22:L22"/>
    <mergeCell ref="M22:N22"/>
    <mergeCell ref="O22:P22"/>
    <mergeCell ref="Q22:R22"/>
    <mergeCell ref="S22:T22"/>
    <mergeCell ref="D21:D24"/>
    <mergeCell ref="F21:G21"/>
    <mergeCell ref="K21:L21"/>
    <mergeCell ref="M21:N21"/>
    <mergeCell ref="O21:P21"/>
    <mergeCell ref="Q21:R21"/>
    <mergeCell ref="F24:G24"/>
    <mergeCell ref="K24:L24"/>
    <mergeCell ref="M24:N24"/>
    <mergeCell ref="O24:P24"/>
    <mergeCell ref="U22:V22"/>
    <mergeCell ref="F23:G23"/>
    <mergeCell ref="K23:L23"/>
    <mergeCell ref="M23:N23"/>
    <mergeCell ref="O23:P23"/>
    <mergeCell ref="Q23:R23"/>
    <mergeCell ref="S23:T23"/>
    <mergeCell ref="U23:V23"/>
    <mergeCell ref="S21:T21"/>
    <mergeCell ref="U21:V21"/>
    <mergeCell ref="Q24:R24"/>
    <mergeCell ref="S24:T24"/>
    <mergeCell ref="U24:V24"/>
    <mergeCell ref="D25:D26"/>
    <mergeCell ref="F25:G25"/>
    <mergeCell ref="K25:L25"/>
    <mergeCell ref="M25:N25"/>
    <mergeCell ref="O25:P25"/>
    <mergeCell ref="Q25:R25"/>
    <mergeCell ref="S25:T25"/>
    <mergeCell ref="U25:V25"/>
    <mergeCell ref="W25:X26"/>
    <mergeCell ref="Y25:Y26"/>
    <mergeCell ref="F26:G26"/>
    <mergeCell ref="K26:L26"/>
    <mergeCell ref="M26:N26"/>
    <mergeCell ref="O26:P26"/>
    <mergeCell ref="Q26:R26"/>
    <mergeCell ref="S26:T26"/>
    <mergeCell ref="U26:V26"/>
    <mergeCell ref="W27:X28"/>
    <mergeCell ref="Y27:Y28"/>
    <mergeCell ref="F28:G28"/>
    <mergeCell ref="K28:L28"/>
    <mergeCell ref="M28:N28"/>
    <mergeCell ref="O28:P28"/>
    <mergeCell ref="Q28:R28"/>
    <mergeCell ref="S28:T28"/>
    <mergeCell ref="D27:D28"/>
    <mergeCell ref="F27:G27"/>
    <mergeCell ref="K27:L27"/>
    <mergeCell ref="M27:N27"/>
    <mergeCell ref="O27:P27"/>
    <mergeCell ref="Q27:R27"/>
    <mergeCell ref="U28:V28"/>
    <mergeCell ref="B29:G29"/>
    <mergeCell ref="K29:L29"/>
    <mergeCell ref="M29:N29"/>
    <mergeCell ref="O29:P29"/>
    <mergeCell ref="Q29:R29"/>
    <mergeCell ref="S29:T29"/>
    <mergeCell ref="U29:V29"/>
    <mergeCell ref="S27:T27"/>
    <mergeCell ref="U27:V27"/>
    <mergeCell ref="W29:X29"/>
    <mergeCell ref="AA29:AB29"/>
    <mergeCell ref="D30:E30"/>
    <mergeCell ref="F30:G30"/>
    <mergeCell ref="K30:L30"/>
    <mergeCell ref="M30:N30"/>
    <mergeCell ref="O30:P30"/>
    <mergeCell ref="Q30:R30"/>
    <mergeCell ref="S30:T30"/>
    <mergeCell ref="U30:V30"/>
    <mergeCell ref="W30:X30"/>
    <mergeCell ref="Y30:Y54"/>
    <mergeCell ref="F31:G31"/>
    <mergeCell ref="K31:L31"/>
    <mergeCell ref="M31:N31"/>
    <mergeCell ref="O31:P31"/>
    <mergeCell ref="Q31:R31"/>
    <mergeCell ref="S31:T31"/>
    <mergeCell ref="U31:V31"/>
    <mergeCell ref="Q34:R34"/>
    <mergeCell ref="U34:V34"/>
    <mergeCell ref="W31:X31"/>
    <mergeCell ref="F32:G32"/>
    <mergeCell ref="K32:L32"/>
    <mergeCell ref="M32:N32"/>
    <mergeCell ref="O32:P32"/>
    <mergeCell ref="Q32:R32"/>
    <mergeCell ref="S32:T32"/>
    <mergeCell ref="U32:V32"/>
    <mergeCell ref="W32:X32"/>
    <mergeCell ref="U33:V33"/>
    <mergeCell ref="W33:X33"/>
    <mergeCell ref="F34:G34"/>
    <mergeCell ref="K34:L34"/>
    <mergeCell ref="M34:N34"/>
    <mergeCell ref="O34:P34"/>
    <mergeCell ref="S34:T34"/>
    <mergeCell ref="W34:X34"/>
    <mergeCell ref="F33:G33"/>
    <mergeCell ref="K33:L33"/>
    <mergeCell ref="M33:N33"/>
    <mergeCell ref="O33:P33"/>
    <mergeCell ref="Q33:R33"/>
    <mergeCell ref="S33:T33"/>
    <mergeCell ref="U35:V35"/>
    <mergeCell ref="W35:X35"/>
    <mergeCell ref="F36:G36"/>
    <mergeCell ref="K36:L36"/>
    <mergeCell ref="M36:N36"/>
    <mergeCell ref="O36:P36"/>
    <mergeCell ref="Q36:R36"/>
    <mergeCell ref="S36:T36"/>
    <mergeCell ref="U36:V36"/>
    <mergeCell ref="W36:X36"/>
    <mergeCell ref="F35:G35"/>
    <mergeCell ref="K35:L35"/>
    <mergeCell ref="M35:N35"/>
    <mergeCell ref="O35:P35"/>
    <mergeCell ref="Q35:R35"/>
    <mergeCell ref="S35:T35"/>
    <mergeCell ref="U37:V37"/>
    <mergeCell ref="W37:X37"/>
    <mergeCell ref="F38:G38"/>
    <mergeCell ref="K38:L38"/>
    <mergeCell ref="M38:N38"/>
    <mergeCell ref="O38:P38"/>
    <mergeCell ref="Q38:R38"/>
    <mergeCell ref="S38:T38"/>
    <mergeCell ref="U38:V38"/>
    <mergeCell ref="W38:X38"/>
    <mergeCell ref="F37:G37"/>
    <mergeCell ref="K37:L37"/>
    <mergeCell ref="M37:N37"/>
    <mergeCell ref="O37:P37"/>
    <mergeCell ref="Q37:R37"/>
    <mergeCell ref="S37:T37"/>
    <mergeCell ref="U41:V41"/>
    <mergeCell ref="W41:X41"/>
    <mergeCell ref="F41:G41"/>
    <mergeCell ref="K41:L41"/>
    <mergeCell ref="M41:N41"/>
    <mergeCell ref="O41:P41"/>
    <mergeCell ref="Q41:R41"/>
    <mergeCell ref="S41:T41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O44:P44"/>
    <mergeCell ref="Q44:R44"/>
    <mergeCell ref="S44:T44"/>
    <mergeCell ref="U44:V44"/>
    <mergeCell ref="W44:X44"/>
    <mergeCell ref="F45:G45"/>
    <mergeCell ref="K45:L45"/>
    <mergeCell ref="M45:N45"/>
    <mergeCell ref="O45:P45"/>
    <mergeCell ref="Q45:R45"/>
    <mergeCell ref="F44:G44"/>
    <mergeCell ref="K44:L44"/>
    <mergeCell ref="M44:N44"/>
    <mergeCell ref="F46:G46"/>
    <mergeCell ref="K46:L46"/>
    <mergeCell ref="M46:N46"/>
    <mergeCell ref="O46:P46"/>
    <mergeCell ref="Q46:R46"/>
    <mergeCell ref="S46:T46"/>
    <mergeCell ref="U46:V46"/>
    <mergeCell ref="W46:X46"/>
    <mergeCell ref="S45:T45"/>
    <mergeCell ref="U45:V45"/>
    <mergeCell ref="W45:X45"/>
    <mergeCell ref="W47:X47"/>
    <mergeCell ref="C47:C50"/>
    <mergeCell ref="F47:G47"/>
    <mergeCell ref="J47:J50"/>
    <mergeCell ref="K47:L47"/>
    <mergeCell ref="M47:N47"/>
    <mergeCell ref="O47:P47"/>
    <mergeCell ref="Q47:R47"/>
    <mergeCell ref="S47:T47"/>
    <mergeCell ref="U47:V47"/>
    <mergeCell ref="F50:G50"/>
    <mergeCell ref="K50:L50"/>
    <mergeCell ref="M50:N50"/>
    <mergeCell ref="O50:P50"/>
    <mergeCell ref="Q50:R50"/>
    <mergeCell ref="S50:T50"/>
    <mergeCell ref="U50:V50"/>
    <mergeCell ref="W50:X50"/>
    <mergeCell ref="U48:V48"/>
    <mergeCell ref="W48:X48"/>
    <mergeCell ref="F49:G49"/>
    <mergeCell ref="K49:L49"/>
    <mergeCell ref="M49:N49"/>
    <mergeCell ref="O49:P49"/>
    <mergeCell ref="U53:V53"/>
    <mergeCell ref="Q49:R49"/>
    <mergeCell ref="S49:T49"/>
    <mergeCell ref="U49:V49"/>
    <mergeCell ref="W49:X49"/>
    <mergeCell ref="F48:G48"/>
    <mergeCell ref="K48:L48"/>
    <mergeCell ref="M48:N48"/>
    <mergeCell ref="O48:P48"/>
    <mergeCell ref="Q48:R48"/>
    <mergeCell ref="S48:T48"/>
    <mergeCell ref="K51:L51"/>
    <mergeCell ref="M51:N51"/>
    <mergeCell ref="O51:P51"/>
    <mergeCell ref="F53:G53"/>
    <mergeCell ref="K53:L53"/>
    <mergeCell ref="M53:N53"/>
    <mergeCell ref="O53:P53"/>
    <mergeCell ref="Q53:R53"/>
    <mergeCell ref="S53:T53"/>
    <mergeCell ref="C51:C54"/>
    <mergeCell ref="W53:X53"/>
    <mergeCell ref="F54:G54"/>
    <mergeCell ref="K54:L54"/>
    <mergeCell ref="M54:N54"/>
    <mergeCell ref="O54:P54"/>
    <mergeCell ref="Q54:R54"/>
    <mergeCell ref="S54:T54"/>
    <mergeCell ref="U54:V54"/>
    <mergeCell ref="W54:X54"/>
    <mergeCell ref="U52:V52"/>
    <mergeCell ref="W52:X52"/>
    <mergeCell ref="Q51:R51"/>
    <mergeCell ref="S51:T51"/>
    <mergeCell ref="U51:V51"/>
    <mergeCell ref="W51:X51"/>
    <mergeCell ref="F52:G52"/>
    <mergeCell ref="K52:L52"/>
    <mergeCell ref="M52:N52"/>
    <mergeCell ref="O52:P52"/>
    <mergeCell ref="Q52:R52"/>
    <mergeCell ref="S52:T52"/>
    <mergeCell ref="F51:G51"/>
    <mergeCell ref="J51:J54"/>
    <mergeCell ref="AA59:AB59"/>
    <mergeCell ref="F60:J60"/>
    <mergeCell ref="K60:L60"/>
    <mergeCell ref="S55:T56"/>
    <mergeCell ref="U55:V56"/>
    <mergeCell ref="W55:X56"/>
    <mergeCell ref="Y55:Y56"/>
    <mergeCell ref="B57:G57"/>
    <mergeCell ref="K57:L57"/>
    <mergeCell ref="M57:N57"/>
    <mergeCell ref="O57:P57"/>
    <mergeCell ref="Q57:R57"/>
    <mergeCell ref="S57:T57"/>
    <mergeCell ref="U57:V57"/>
    <mergeCell ref="W57:X57"/>
    <mergeCell ref="B55:G56"/>
    <mergeCell ref="H55:H56"/>
    <mergeCell ref="I55:I56"/>
    <mergeCell ref="J55:J56"/>
    <mergeCell ref="K55:L56"/>
    <mergeCell ref="M55:N56"/>
    <mergeCell ref="O55:P56"/>
    <mergeCell ref="Q55:R56"/>
    <mergeCell ref="O58:P58"/>
    <mergeCell ref="Q58:R58"/>
    <mergeCell ref="S58:T58"/>
    <mergeCell ref="U58:V58"/>
    <mergeCell ref="W58:X60"/>
    <mergeCell ref="Y58:Y60"/>
    <mergeCell ref="F59:J59"/>
    <mergeCell ref="K59:L59"/>
    <mergeCell ref="M59:N59"/>
    <mergeCell ref="O59:P59"/>
    <mergeCell ref="Q59:R59"/>
    <mergeCell ref="S59:T59"/>
    <mergeCell ref="U59:V59"/>
    <mergeCell ref="AA64:AB64"/>
    <mergeCell ref="B47:B54"/>
    <mergeCell ref="B30:C46"/>
    <mergeCell ref="W62:X62"/>
    <mergeCell ref="AA62:AB62"/>
    <mergeCell ref="B63:J63"/>
    <mergeCell ref="K63:N63"/>
    <mergeCell ref="O63:R63"/>
    <mergeCell ref="S63:V63"/>
    <mergeCell ref="W63:X63"/>
    <mergeCell ref="AA63:AB63"/>
    <mergeCell ref="U61:V61"/>
    <mergeCell ref="W61:X61"/>
    <mergeCell ref="AA61:AB61"/>
    <mergeCell ref="B62:J62"/>
    <mergeCell ref="K62:L62"/>
    <mergeCell ref="M62:N62"/>
    <mergeCell ref="O62:P62"/>
    <mergeCell ref="Q62:R62"/>
    <mergeCell ref="AA57:AB58"/>
    <mergeCell ref="B58:E61"/>
    <mergeCell ref="F58:J58"/>
    <mergeCell ref="K58:L58"/>
    <mergeCell ref="M58:N58"/>
    <mergeCell ref="S62:T62"/>
    <mergeCell ref="U62:V62"/>
    <mergeCell ref="F61:J61"/>
    <mergeCell ref="K61:L61"/>
    <mergeCell ref="M61:N61"/>
    <mergeCell ref="M60:N60"/>
    <mergeCell ref="O60:P60"/>
    <mergeCell ref="Q60:R60"/>
    <mergeCell ref="S60:T60"/>
    <mergeCell ref="U60:V60"/>
    <mergeCell ref="O61:P61"/>
    <mergeCell ref="Q61:R61"/>
    <mergeCell ref="S61:T61"/>
  </mergeCells>
  <phoneticPr fontId="9" type="noConversion"/>
  <conditionalFormatting sqref="AA29:AB29 AC54 AC56 AA59:AB59 AA62:AB62 AA64:AB64">
    <cfRule type="containsText" dxfId="0" priority="1" operator="containsText" text="FALSE">
      <formula>NOT(ISERROR(SEARCH("FALSE",AA29)))</formula>
    </cfRule>
  </conditionalFormatting>
  <printOptions horizontalCentered="1" verticalCentered="1"/>
  <pageMargins left="0.25" right="0.25" top="0.75" bottom="0.75" header="0.3" footer="0.3"/>
  <pageSetup paperSize="9" scale="39" orientation="portrait" cellComments="asDisplayed" r:id="rId1"/>
  <rowBreaks count="1" manualBreakCount="1">
    <brk id="55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25C8A-246E-46F5-92BF-CA3AFB39E77C}">
  <sheetPr>
    <pageSetUpPr fitToPage="1"/>
  </sheetPr>
  <dimension ref="B2:AH73"/>
  <sheetViews>
    <sheetView showGridLines="0" tabSelected="1" view="pageBreakPreview" topLeftCell="A6" zoomScale="55" zoomScaleNormal="85" zoomScaleSheetLayoutView="55" workbookViewId="0">
      <selection activeCell="AB20" sqref="AB20"/>
    </sheetView>
  </sheetViews>
  <sheetFormatPr defaultRowHeight="17.399999999999999"/>
  <cols>
    <col min="1" max="1" width="3" customWidth="1"/>
    <col min="2" max="2" width="11.09765625" customWidth="1"/>
    <col min="3" max="3" width="11.69921875" customWidth="1"/>
    <col min="4" max="4" width="5.59765625" customWidth="1"/>
    <col min="5" max="5" width="18.8984375" bestFit="1" customWidth="1"/>
    <col min="6" max="6" width="19" style="1" bestFit="1" customWidth="1"/>
    <col min="7" max="7" width="9.09765625" style="1" customWidth="1"/>
    <col min="8" max="8" width="10.69921875" customWidth="1"/>
    <col min="9" max="20" width="7.69921875" bestFit="1" customWidth="1"/>
    <col min="21" max="21" width="6.59765625" bestFit="1" customWidth="1"/>
    <col min="22" max="22" width="7.09765625" customWidth="1"/>
  </cols>
  <sheetData>
    <row r="2" spans="2:34" ht="39.75" customHeight="1" thickBot="1">
      <c r="C2" s="462" t="s">
        <v>527</v>
      </c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</row>
    <row r="3" spans="2:34" ht="27" customHeight="1" thickBot="1"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463" t="s">
        <v>528</v>
      </c>
      <c r="P3" s="464"/>
      <c r="Q3" s="465"/>
      <c r="R3" s="463" t="s">
        <v>120</v>
      </c>
      <c r="S3" s="464"/>
      <c r="T3" s="465"/>
      <c r="U3" s="466" t="s">
        <v>122</v>
      </c>
      <c r="V3" s="467"/>
    </row>
    <row r="4" spans="2:34" ht="27" customHeight="1" thickBot="1"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468" t="s">
        <v>486</v>
      </c>
      <c r="P4" s="469"/>
      <c r="Q4" s="470"/>
      <c r="R4" s="471" t="s">
        <v>488</v>
      </c>
      <c r="S4" s="472"/>
      <c r="T4" s="473"/>
      <c r="U4" s="474">
        <v>2027</v>
      </c>
      <c r="V4" s="475"/>
    </row>
    <row r="5" spans="2:34" ht="24" customHeight="1" thickBot="1">
      <c r="C5" s="476"/>
      <c r="D5" s="476"/>
    </row>
    <row r="6" spans="2:34" ht="20.25" customHeight="1">
      <c r="B6" s="448" t="s">
        <v>529</v>
      </c>
      <c r="C6" s="448" t="s">
        <v>530</v>
      </c>
      <c r="D6" s="451" t="s">
        <v>531</v>
      </c>
      <c r="E6" s="454" t="s">
        <v>532</v>
      </c>
      <c r="F6" s="454" t="s">
        <v>533</v>
      </c>
      <c r="G6" s="454" t="s">
        <v>534</v>
      </c>
      <c r="H6" s="454" t="s">
        <v>535</v>
      </c>
      <c r="I6" s="444" t="s">
        <v>54</v>
      </c>
      <c r="J6" s="444"/>
      <c r="K6" s="444"/>
      <c r="L6" s="444"/>
      <c r="M6" s="444" t="s">
        <v>55</v>
      </c>
      <c r="N6" s="444"/>
      <c r="O6" s="444"/>
      <c r="P6" s="444"/>
      <c r="Q6" s="444" t="s">
        <v>56</v>
      </c>
      <c r="R6" s="444"/>
      <c r="S6" s="444"/>
      <c r="T6" s="444"/>
      <c r="U6" s="445" t="s">
        <v>587</v>
      </c>
      <c r="V6" s="477" t="s">
        <v>646</v>
      </c>
      <c r="X6" s="437" t="s">
        <v>536</v>
      </c>
      <c r="Y6" s="438"/>
      <c r="Z6" s="438"/>
      <c r="AA6" s="438"/>
      <c r="AB6" s="438"/>
      <c r="AC6" s="438"/>
      <c r="AD6" s="438"/>
      <c r="AE6" s="438"/>
      <c r="AF6" s="438"/>
      <c r="AG6" s="439"/>
      <c r="AH6" s="131"/>
    </row>
    <row r="7" spans="2:34" ht="16.5" customHeight="1">
      <c r="B7" s="449"/>
      <c r="C7" s="449"/>
      <c r="D7" s="452"/>
      <c r="E7" s="455"/>
      <c r="F7" s="455"/>
      <c r="G7" s="455"/>
      <c r="H7" s="455"/>
      <c r="I7" s="440" t="s">
        <v>537</v>
      </c>
      <c r="J7" s="440"/>
      <c r="K7" s="440" t="s">
        <v>58</v>
      </c>
      <c r="L7" s="440"/>
      <c r="M7" s="440" t="s">
        <v>537</v>
      </c>
      <c r="N7" s="440"/>
      <c r="O7" s="440" t="s">
        <v>58</v>
      </c>
      <c r="P7" s="440"/>
      <c r="Q7" s="440" t="s">
        <v>537</v>
      </c>
      <c r="R7" s="440"/>
      <c r="S7" s="440" t="s">
        <v>58</v>
      </c>
      <c r="T7" s="440"/>
      <c r="U7" s="446"/>
      <c r="V7" s="478"/>
      <c r="X7" s="441" t="s">
        <v>538</v>
      </c>
      <c r="Y7" s="442"/>
      <c r="Z7" s="442"/>
      <c r="AA7" s="442"/>
      <c r="AB7" s="442"/>
      <c r="AC7" s="442"/>
      <c r="AD7" s="442"/>
      <c r="AE7" s="442"/>
      <c r="AF7" s="442"/>
      <c r="AG7" s="443"/>
      <c r="AH7" s="131"/>
    </row>
    <row r="8" spans="2:34" ht="17.25" customHeight="1" thickBot="1">
      <c r="B8" s="450"/>
      <c r="C8" s="450"/>
      <c r="D8" s="453"/>
      <c r="E8" s="456"/>
      <c r="F8" s="456"/>
      <c r="G8" s="456"/>
      <c r="H8" s="456"/>
      <c r="I8" s="145" t="s">
        <v>539</v>
      </c>
      <c r="J8" s="145" t="s">
        <v>540</v>
      </c>
      <c r="K8" s="145" t="s">
        <v>539</v>
      </c>
      <c r="L8" s="145" t="s">
        <v>540</v>
      </c>
      <c r="M8" s="145" t="s">
        <v>539</v>
      </c>
      <c r="N8" s="145" t="s">
        <v>540</v>
      </c>
      <c r="O8" s="145" t="s">
        <v>539</v>
      </c>
      <c r="P8" s="145" t="s">
        <v>540</v>
      </c>
      <c r="Q8" s="145" t="s">
        <v>539</v>
      </c>
      <c r="R8" s="145" t="s">
        <v>540</v>
      </c>
      <c r="S8" s="145" t="s">
        <v>539</v>
      </c>
      <c r="T8" s="145" t="s">
        <v>540</v>
      </c>
      <c r="U8" s="447"/>
      <c r="V8" s="479"/>
      <c r="X8" s="132"/>
      <c r="Y8" s="133"/>
      <c r="Z8" s="133"/>
      <c r="AA8" s="133"/>
      <c r="AB8" s="133"/>
      <c r="AC8" s="133"/>
      <c r="AD8" s="133"/>
      <c r="AE8" s="133"/>
      <c r="AF8" s="133"/>
      <c r="AG8" s="134"/>
      <c r="AH8" s="131"/>
    </row>
    <row r="9" spans="2:34">
      <c r="B9" s="415" t="s">
        <v>334</v>
      </c>
      <c r="C9" s="457" t="s">
        <v>500</v>
      </c>
      <c r="D9" s="459">
        <v>4</v>
      </c>
      <c r="E9" s="146" t="s">
        <v>588</v>
      </c>
      <c r="F9" s="135" t="s">
        <v>589</v>
      </c>
      <c r="G9" s="135">
        <v>45</v>
      </c>
      <c r="H9" s="135">
        <v>4</v>
      </c>
      <c r="I9" s="136"/>
      <c r="J9" s="136"/>
      <c r="K9" s="136">
        <v>2</v>
      </c>
      <c r="L9" s="136">
        <f>K9*16</f>
        <v>32</v>
      </c>
      <c r="M9" s="136"/>
      <c r="N9" s="136"/>
      <c r="O9" s="136"/>
      <c r="P9" s="136"/>
      <c r="Q9" s="136"/>
      <c r="R9" s="136"/>
      <c r="S9" s="136"/>
      <c r="T9" s="136"/>
      <c r="U9" s="138">
        <f>SUM(I9,K9,M9,O9,Q9,S9)</f>
        <v>2</v>
      </c>
      <c r="V9" s="139">
        <f>SUM(J9,L9,N9,P9,R9,T9)</f>
        <v>32</v>
      </c>
    </row>
    <row r="10" spans="2:34">
      <c r="B10" s="416"/>
      <c r="C10" s="457"/>
      <c r="D10" s="460"/>
      <c r="E10" s="146" t="s">
        <v>590</v>
      </c>
      <c r="F10" s="147" t="s">
        <v>591</v>
      </c>
      <c r="G10" s="135">
        <v>90</v>
      </c>
      <c r="H10" s="135">
        <v>4</v>
      </c>
      <c r="I10" s="136"/>
      <c r="J10" s="136"/>
      <c r="K10" s="136">
        <v>2</v>
      </c>
      <c r="L10" s="136">
        <f>K10*16</f>
        <v>32</v>
      </c>
      <c r="M10" s="136"/>
      <c r="N10" s="136"/>
      <c r="O10" s="136"/>
      <c r="P10" s="136"/>
      <c r="Q10" s="136"/>
      <c r="R10" s="136"/>
      <c r="S10" s="136"/>
      <c r="T10" s="137"/>
      <c r="U10" s="138">
        <f t="shared" ref="U10:V10" si="0">SUM(I10,K10,M10,O10,Q10,S10)</f>
        <v>2</v>
      </c>
      <c r="V10" s="139">
        <f t="shared" si="0"/>
        <v>32</v>
      </c>
    </row>
    <row r="11" spans="2:34" ht="18" thickBot="1">
      <c r="B11" s="416"/>
      <c r="C11" s="458"/>
      <c r="D11" s="461"/>
      <c r="E11" s="424" t="s">
        <v>549</v>
      </c>
      <c r="F11" s="424"/>
      <c r="G11" s="142"/>
      <c r="H11" s="142"/>
      <c r="I11" s="142">
        <f t="shared" ref="I11:J11" si="1">SUM(I9:I10)</f>
        <v>0</v>
      </c>
      <c r="J11" s="142">
        <f t="shared" si="1"/>
        <v>0</v>
      </c>
      <c r="K11" s="142">
        <f>SUM(K9:K10)</f>
        <v>4</v>
      </c>
      <c r="L11" s="142">
        <f>SUM(L9:L10)</f>
        <v>64</v>
      </c>
      <c r="M11" s="142">
        <f>SUM(M9:M10)</f>
        <v>0</v>
      </c>
      <c r="N11" s="142">
        <f t="shared" ref="N11:T11" si="2">SUM(N9:N10)</f>
        <v>0</v>
      </c>
      <c r="O11" s="142">
        <f t="shared" si="2"/>
        <v>0</v>
      </c>
      <c r="P11" s="142">
        <f t="shared" si="2"/>
        <v>0</v>
      </c>
      <c r="Q11" s="142">
        <f t="shared" si="2"/>
        <v>0</v>
      </c>
      <c r="R11" s="142">
        <f t="shared" si="2"/>
        <v>0</v>
      </c>
      <c r="S11" s="142">
        <f t="shared" si="2"/>
        <v>0</v>
      </c>
      <c r="T11" s="142">
        <f t="shared" si="2"/>
        <v>0</v>
      </c>
      <c r="U11" s="143">
        <f>SUM(U9:U10)</f>
        <v>4</v>
      </c>
      <c r="V11" s="143">
        <f>SUM(V9:V10)</f>
        <v>64</v>
      </c>
    </row>
    <row r="12" spans="2:34" ht="17.399999999999999" customHeight="1">
      <c r="B12" s="416"/>
      <c r="C12" s="425" t="s">
        <v>592</v>
      </c>
      <c r="D12" s="428">
        <v>8</v>
      </c>
      <c r="E12" s="135" t="s">
        <v>593</v>
      </c>
      <c r="F12" s="135" t="s">
        <v>594</v>
      </c>
      <c r="G12" s="135">
        <v>80</v>
      </c>
      <c r="H12" s="135">
        <v>5</v>
      </c>
      <c r="I12" s="136"/>
      <c r="J12" s="136"/>
      <c r="K12" s="136"/>
      <c r="L12" s="136"/>
      <c r="M12" s="136"/>
      <c r="N12" s="136"/>
      <c r="O12" s="136"/>
      <c r="P12" s="136"/>
      <c r="Q12" s="136">
        <v>2</v>
      </c>
      <c r="R12" s="136">
        <f>Q12*16</f>
        <v>32</v>
      </c>
      <c r="S12" s="136"/>
      <c r="T12" s="137"/>
      <c r="U12" s="138">
        <f>SUM(I12,K12,M12,O12,Q12,S12)</f>
        <v>2</v>
      </c>
      <c r="V12" s="139">
        <f>SUM(J12,L12,N12,P12,R12,T12)</f>
        <v>32</v>
      </c>
    </row>
    <row r="13" spans="2:34">
      <c r="B13" s="416"/>
      <c r="C13" s="425"/>
      <c r="D13" s="428"/>
      <c r="E13" s="135" t="s">
        <v>595</v>
      </c>
      <c r="F13" s="135" t="s">
        <v>596</v>
      </c>
      <c r="G13" s="135">
        <v>40</v>
      </c>
      <c r="H13" s="135">
        <v>5</v>
      </c>
      <c r="I13" s="136"/>
      <c r="J13" s="136"/>
      <c r="K13" s="136"/>
      <c r="L13" s="136"/>
      <c r="M13" s="136"/>
      <c r="N13" s="136"/>
      <c r="O13" s="136"/>
      <c r="P13" s="136"/>
      <c r="Q13" s="136">
        <v>2</v>
      </c>
      <c r="R13" s="136">
        <f>Q13*16</f>
        <v>32</v>
      </c>
      <c r="S13" s="136"/>
      <c r="T13" s="137"/>
      <c r="U13" s="138">
        <f t="shared" ref="U13:V13" si="3">SUM(I13,K13,M13,O13,Q13,S13)</f>
        <v>2</v>
      </c>
      <c r="V13" s="139">
        <f t="shared" si="3"/>
        <v>32</v>
      </c>
    </row>
    <row r="14" spans="2:34">
      <c r="B14" s="416"/>
      <c r="C14" s="425"/>
      <c r="D14" s="428"/>
      <c r="E14" s="135" t="s">
        <v>597</v>
      </c>
      <c r="F14" s="135" t="s">
        <v>598</v>
      </c>
      <c r="G14" s="135">
        <v>40</v>
      </c>
      <c r="H14" s="135">
        <v>6</v>
      </c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>
        <v>2</v>
      </c>
      <c r="T14" s="137">
        <f>S14*16</f>
        <v>32</v>
      </c>
      <c r="U14" s="138">
        <f>SUM(I14,K14,M14,O14,Q14,S14)</f>
        <v>2</v>
      </c>
      <c r="V14" s="139">
        <f>SUM(J14,L14,N14,P14,R14,T14)</f>
        <v>32</v>
      </c>
    </row>
    <row r="15" spans="2:34">
      <c r="B15" s="416"/>
      <c r="C15" s="426"/>
      <c r="D15" s="429"/>
      <c r="E15" s="140" t="s">
        <v>599</v>
      </c>
      <c r="F15" s="140" t="s">
        <v>600</v>
      </c>
      <c r="G15" s="140">
        <v>40</v>
      </c>
      <c r="H15" s="140">
        <v>6</v>
      </c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>
        <v>2</v>
      </c>
      <c r="T15" s="137">
        <f>S15*16</f>
        <v>32</v>
      </c>
      <c r="U15" s="141">
        <f t="shared" ref="U15:V15" si="4">SUM(I15,K15,M15,O15,Q15,S15)</f>
        <v>2</v>
      </c>
      <c r="V15" s="144">
        <f t="shared" si="4"/>
        <v>32</v>
      </c>
    </row>
    <row r="16" spans="2:34" ht="18" thickBot="1">
      <c r="B16" s="416"/>
      <c r="C16" s="427"/>
      <c r="D16" s="430"/>
      <c r="E16" s="424" t="s">
        <v>549</v>
      </c>
      <c r="F16" s="424"/>
      <c r="G16" s="142"/>
      <c r="H16" s="142"/>
      <c r="I16" s="142">
        <f t="shared" ref="I16:J16" si="5">SUM(I12:I15)</f>
        <v>0</v>
      </c>
      <c r="J16" s="142">
        <f t="shared" si="5"/>
        <v>0</v>
      </c>
      <c r="K16" s="142">
        <f>SUM(K12:K15)</f>
        <v>0</v>
      </c>
      <c r="L16" s="142">
        <f>SUM(L12:L15)</f>
        <v>0</v>
      </c>
      <c r="M16" s="142">
        <f>SUM(M12:M15)</f>
        <v>0</v>
      </c>
      <c r="N16" s="142">
        <f t="shared" ref="N16:T16" si="6">SUM(N12:N15)</f>
        <v>0</v>
      </c>
      <c r="O16" s="142">
        <f t="shared" si="6"/>
        <v>0</v>
      </c>
      <c r="P16" s="142">
        <f t="shared" si="6"/>
        <v>0</v>
      </c>
      <c r="Q16" s="142">
        <f t="shared" si="6"/>
        <v>4</v>
      </c>
      <c r="R16" s="142">
        <f t="shared" si="6"/>
        <v>64</v>
      </c>
      <c r="S16" s="142">
        <f t="shared" si="6"/>
        <v>4</v>
      </c>
      <c r="T16" s="142">
        <f t="shared" si="6"/>
        <v>64</v>
      </c>
      <c r="U16" s="143">
        <f>SUM(U12:U15)</f>
        <v>8</v>
      </c>
      <c r="V16" s="143">
        <f>SUM(V12:V15)</f>
        <v>128</v>
      </c>
    </row>
    <row r="17" spans="2:22">
      <c r="B17" s="416"/>
      <c r="C17" s="425" t="s">
        <v>502</v>
      </c>
      <c r="D17" s="428">
        <v>8</v>
      </c>
      <c r="E17" s="135" t="s">
        <v>541</v>
      </c>
      <c r="F17" s="135" t="s">
        <v>542</v>
      </c>
      <c r="G17" s="135">
        <v>50</v>
      </c>
      <c r="H17" s="135">
        <v>4</v>
      </c>
      <c r="I17" s="136"/>
      <c r="J17" s="136"/>
      <c r="K17" s="136"/>
      <c r="L17" s="136"/>
      <c r="M17" s="136"/>
      <c r="N17" s="136"/>
      <c r="O17" s="136"/>
      <c r="P17" s="136"/>
      <c r="Q17" s="136">
        <v>2</v>
      </c>
      <c r="R17" s="136">
        <f>Q17*16</f>
        <v>32</v>
      </c>
      <c r="S17" s="136"/>
      <c r="T17" s="137"/>
      <c r="U17" s="138">
        <f>SUM(I17,K17,M17,O17,Q17,S17)</f>
        <v>2</v>
      </c>
      <c r="V17" s="139">
        <f>SUM(J17,L17,N17,P17,R17,T17)</f>
        <v>32</v>
      </c>
    </row>
    <row r="18" spans="2:22">
      <c r="B18" s="416"/>
      <c r="C18" s="425"/>
      <c r="D18" s="428"/>
      <c r="E18" s="135" t="s">
        <v>543</v>
      </c>
      <c r="F18" s="135" t="s">
        <v>544</v>
      </c>
      <c r="G18" s="135">
        <v>50</v>
      </c>
      <c r="H18" s="135">
        <v>4</v>
      </c>
      <c r="I18" s="136"/>
      <c r="J18" s="136"/>
      <c r="K18" s="136"/>
      <c r="L18" s="136"/>
      <c r="M18" s="136"/>
      <c r="N18" s="136"/>
      <c r="O18" s="136"/>
      <c r="P18" s="136"/>
      <c r="Q18" s="136">
        <v>2</v>
      </c>
      <c r="R18" s="136">
        <f>Q18*16</f>
        <v>32</v>
      </c>
      <c r="S18" s="136"/>
      <c r="T18" s="137"/>
      <c r="U18" s="138">
        <f t="shared" ref="U18:V18" si="7">SUM(I18,K18,M18,O18,Q18,S18)</f>
        <v>2</v>
      </c>
      <c r="V18" s="139">
        <f t="shared" si="7"/>
        <v>32</v>
      </c>
    </row>
    <row r="19" spans="2:22">
      <c r="B19" s="416"/>
      <c r="C19" s="425"/>
      <c r="D19" s="428"/>
      <c r="E19" s="135" t="s">
        <v>545</v>
      </c>
      <c r="F19" s="135" t="s">
        <v>546</v>
      </c>
      <c r="G19" s="135">
        <v>50</v>
      </c>
      <c r="H19" s="135">
        <v>4</v>
      </c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>
        <v>2</v>
      </c>
      <c r="T19" s="137">
        <f>S19*16</f>
        <v>32</v>
      </c>
      <c r="U19" s="138">
        <f>SUM(I19,K19,M19,O19,Q19,S19)</f>
        <v>2</v>
      </c>
      <c r="V19" s="139">
        <f>SUM(J19,L19,N19,P19,R19,T19)</f>
        <v>32</v>
      </c>
    </row>
    <row r="20" spans="2:22">
      <c r="B20" s="416"/>
      <c r="C20" s="426"/>
      <c r="D20" s="429"/>
      <c r="E20" s="140" t="s">
        <v>547</v>
      </c>
      <c r="F20" s="140" t="s">
        <v>548</v>
      </c>
      <c r="G20" s="140">
        <v>50</v>
      </c>
      <c r="H20" s="140">
        <v>4</v>
      </c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>
        <v>2</v>
      </c>
      <c r="T20" s="137">
        <f>S20*16</f>
        <v>32</v>
      </c>
      <c r="U20" s="141">
        <f t="shared" ref="U20:V20" si="8">SUM(I20,K20,M20,O20,Q20,S20)</f>
        <v>2</v>
      </c>
      <c r="V20" s="144">
        <f t="shared" si="8"/>
        <v>32</v>
      </c>
    </row>
    <row r="21" spans="2:22" ht="18" thickBot="1">
      <c r="B21" s="416"/>
      <c r="C21" s="427"/>
      <c r="D21" s="430"/>
      <c r="E21" s="424" t="s">
        <v>549</v>
      </c>
      <c r="F21" s="424"/>
      <c r="G21" s="142"/>
      <c r="H21" s="142"/>
      <c r="I21" s="142">
        <f t="shared" ref="I21:J21" si="9">SUM(I17:I20)</f>
        <v>0</v>
      </c>
      <c r="J21" s="142">
        <f t="shared" si="9"/>
        <v>0</v>
      </c>
      <c r="K21" s="142">
        <f>SUM(K17:K20)</f>
        <v>0</v>
      </c>
      <c r="L21" s="142">
        <f>SUM(L17:L20)</f>
        <v>0</v>
      </c>
      <c r="M21" s="142">
        <f>SUM(M17:M20)</f>
        <v>0</v>
      </c>
      <c r="N21" s="142">
        <f t="shared" ref="N21:V21" si="10">SUM(N17:N20)</f>
        <v>0</v>
      </c>
      <c r="O21" s="142">
        <f t="shared" si="10"/>
        <v>0</v>
      </c>
      <c r="P21" s="142">
        <f t="shared" si="10"/>
        <v>0</v>
      </c>
      <c r="Q21" s="142">
        <f t="shared" si="10"/>
        <v>4</v>
      </c>
      <c r="R21" s="142">
        <f t="shared" si="10"/>
        <v>64</v>
      </c>
      <c r="S21" s="142">
        <f t="shared" si="10"/>
        <v>4</v>
      </c>
      <c r="T21" s="142">
        <f t="shared" si="10"/>
        <v>64</v>
      </c>
      <c r="U21" s="143">
        <f t="shared" si="10"/>
        <v>8</v>
      </c>
      <c r="V21" s="143">
        <f t="shared" si="10"/>
        <v>128</v>
      </c>
    </row>
    <row r="22" spans="2:22">
      <c r="B22" s="416"/>
      <c r="C22" s="425" t="s">
        <v>601</v>
      </c>
      <c r="D22" s="428">
        <v>3</v>
      </c>
      <c r="E22" s="135" t="s">
        <v>602</v>
      </c>
      <c r="F22" s="135" t="s">
        <v>654</v>
      </c>
      <c r="G22" s="135">
        <v>24</v>
      </c>
      <c r="H22" s="135">
        <v>7</v>
      </c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>
        <v>1</v>
      </c>
      <c r="T22" s="137">
        <f>S22*16</f>
        <v>16</v>
      </c>
      <c r="U22" s="138">
        <f>SUM(I22,K22,M22,O22,Q22,S22)</f>
        <v>1</v>
      </c>
      <c r="V22" s="139">
        <f>SUM(J22,L22,N22,P22,R22,T22)</f>
        <v>16</v>
      </c>
    </row>
    <row r="23" spans="2:22">
      <c r="B23" s="416"/>
      <c r="C23" s="426"/>
      <c r="D23" s="429"/>
      <c r="E23" s="140" t="s">
        <v>603</v>
      </c>
      <c r="F23" s="140" t="s">
        <v>655</v>
      </c>
      <c r="G23" s="140">
        <v>30</v>
      </c>
      <c r="H23" s="140">
        <v>6</v>
      </c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>
        <v>2</v>
      </c>
      <c r="T23" s="137">
        <f>S23*16</f>
        <v>32</v>
      </c>
      <c r="U23" s="141">
        <f t="shared" ref="U23:V23" si="11">SUM(I23,K23,M23,O23,Q23,S23)</f>
        <v>2</v>
      </c>
      <c r="V23" s="144">
        <f t="shared" si="11"/>
        <v>32</v>
      </c>
    </row>
    <row r="24" spans="2:22" ht="18" thickBot="1">
      <c r="B24" s="416"/>
      <c r="C24" s="427"/>
      <c r="D24" s="430"/>
      <c r="E24" s="424" t="s">
        <v>549</v>
      </c>
      <c r="F24" s="424"/>
      <c r="G24" s="142"/>
      <c r="H24" s="142"/>
      <c r="I24" s="142">
        <f t="shared" ref="I24:V24" si="12">SUM(I22:I23)</f>
        <v>0</v>
      </c>
      <c r="J24" s="142">
        <f t="shared" si="12"/>
        <v>0</v>
      </c>
      <c r="K24" s="142">
        <f t="shared" si="12"/>
        <v>0</v>
      </c>
      <c r="L24" s="142">
        <f t="shared" si="12"/>
        <v>0</v>
      </c>
      <c r="M24" s="142">
        <f t="shared" si="12"/>
        <v>0</v>
      </c>
      <c r="N24" s="142">
        <f t="shared" si="12"/>
        <v>0</v>
      </c>
      <c r="O24" s="142">
        <f t="shared" si="12"/>
        <v>0</v>
      </c>
      <c r="P24" s="142">
        <f t="shared" si="12"/>
        <v>0</v>
      </c>
      <c r="Q24" s="142">
        <f t="shared" si="12"/>
        <v>0</v>
      </c>
      <c r="R24" s="142">
        <f t="shared" si="12"/>
        <v>0</v>
      </c>
      <c r="S24" s="142">
        <f t="shared" si="12"/>
        <v>3</v>
      </c>
      <c r="T24" s="142">
        <f t="shared" si="12"/>
        <v>48</v>
      </c>
      <c r="U24" s="143">
        <f t="shared" si="12"/>
        <v>3</v>
      </c>
      <c r="V24" s="143">
        <f t="shared" si="12"/>
        <v>48</v>
      </c>
    </row>
    <row r="25" spans="2:22" ht="17.399999999999999" customHeight="1">
      <c r="B25" s="416"/>
      <c r="C25" s="425" t="s">
        <v>606</v>
      </c>
      <c r="D25" s="428">
        <v>12</v>
      </c>
      <c r="E25" s="135" t="s">
        <v>607</v>
      </c>
      <c r="F25" s="135" t="s">
        <v>608</v>
      </c>
      <c r="G25" s="135">
        <v>36</v>
      </c>
      <c r="H25" s="135">
        <v>5</v>
      </c>
      <c r="I25" s="136"/>
      <c r="J25" s="136"/>
      <c r="K25" s="136"/>
      <c r="L25" s="136"/>
      <c r="M25" s="136"/>
      <c r="N25" s="136"/>
      <c r="O25" s="136"/>
      <c r="P25" s="136"/>
      <c r="Q25" s="136">
        <v>3</v>
      </c>
      <c r="R25" s="136">
        <f>Q25*16</f>
        <v>48</v>
      </c>
      <c r="S25" s="136"/>
      <c r="T25" s="137"/>
      <c r="U25" s="138">
        <f>SUM(I25,K25,M25,O25,Q25,S25)</f>
        <v>3</v>
      </c>
      <c r="V25" s="139">
        <f>SUM(J25,L25,N25,P25,R25,T25)</f>
        <v>48</v>
      </c>
    </row>
    <row r="26" spans="2:22">
      <c r="B26" s="416"/>
      <c r="C26" s="425"/>
      <c r="D26" s="428"/>
      <c r="E26" s="135" t="s">
        <v>609</v>
      </c>
      <c r="F26" s="135" t="s">
        <v>610</v>
      </c>
      <c r="G26" s="135">
        <v>36</v>
      </c>
      <c r="H26" s="135">
        <v>6</v>
      </c>
      <c r="I26" s="136"/>
      <c r="J26" s="136"/>
      <c r="K26" s="136"/>
      <c r="L26" s="136"/>
      <c r="M26" s="136"/>
      <c r="N26" s="136"/>
      <c r="O26" s="136"/>
      <c r="P26" s="136"/>
      <c r="Q26" s="136">
        <v>3</v>
      </c>
      <c r="R26" s="136">
        <f>Q26*16</f>
        <v>48</v>
      </c>
      <c r="S26" s="136"/>
      <c r="T26" s="137"/>
      <c r="U26" s="138">
        <f t="shared" ref="U26:V26" si="13">SUM(I26,K26,M26,O26,Q26,S26)</f>
        <v>3</v>
      </c>
      <c r="V26" s="139">
        <f t="shared" si="13"/>
        <v>48</v>
      </c>
    </row>
    <row r="27" spans="2:22">
      <c r="B27" s="416"/>
      <c r="C27" s="425"/>
      <c r="D27" s="428"/>
      <c r="E27" s="135" t="s">
        <v>611</v>
      </c>
      <c r="F27" s="135" t="s">
        <v>612</v>
      </c>
      <c r="G27" s="135">
        <v>36</v>
      </c>
      <c r="H27" s="135">
        <v>5</v>
      </c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>
        <v>3</v>
      </c>
      <c r="T27" s="137">
        <f>S27*16</f>
        <v>48</v>
      </c>
      <c r="U27" s="138">
        <f>SUM(I27,K27,M27,O27,Q27,S27)</f>
        <v>3</v>
      </c>
      <c r="V27" s="139">
        <f>SUM(J27,L27,N27,P27,R27,T27)</f>
        <v>48</v>
      </c>
    </row>
    <row r="28" spans="2:22">
      <c r="B28" s="416"/>
      <c r="C28" s="426"/>
      <c r="D28" s="429"/>
      <c r="E28" s="140" t="s">
        <v>613</v>
      </c>
      <c r="F28" s="140" t="s">
        <v>614</v>
      </c>
      <c r="G28" s="140">
        <v>36</v>
      </c>
      <c r="H28" s="140">
        <v>2</v>
      </c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>
        <v>3</v>
      </c>
      <c r="T28" s="137">
        <f>S28*16</f>
        <v>48</v>
      </c>
      <c r="U28" s="141">
        <f t="shared" ref="U28:V28" si="14">SUM(I28,K28,M28,O28,Q28,S28)</f>
        <v>3</v>
      </c>
      <c r="V28" s="144">
        <f t="shared" si="14"/>
        <v>48</v>
      </c>
    </row>
    <row r="29" spans="2:22" ht="18" thickBot="1">
      <c r="B29" s="416"/>
      <c r="C29" s="427"/>
      <c r="D29" s="430"/>
      <c r="E29" s="424" t="s">
        <v>549</v>
      </c>
      <c r="F29" s="424"/>
      <c r="G29" s="163"/>
      <c r="H29" s="163"/>
      <c r="I29" s="142">
        <f>SUM(I25:I28)</f>
        <v>0</v>
      </c>
      <c r="J29" s="142">
        <f>SUM(J25:J28)</f>
        <v>0</v>
      </c>
      <c r="K29" s="142">
        <f>SUM(K25:K28)</f>
        <v>0</v>
      </c>
      <c r="L29" s="142">
        <f>SUM(L25:L28)</f>
        <v>0</v>
      </c>
      <c r="M29" s="142">
        <f>SUM(M25:M28)</f>
        <v>0</v>
      </c>
      <c r="N29" s="142">
        <f t="shared" ref="N29:T29" si="15">SUM(N25:N28)</f>
        <v>0</v>
      </c>
      <c r="O29" s="142">
        <f t="shared" si="15"/>
        <v>0</v>
      </c>
      <c r="P29" s="142">
        <f t="shared" si="15"/>
        <v>0</v>
      </c>
      <c r="Q29" s="142">
        <f t="shared" si="15"/>
        <v>6</v>
      </c>
      <c r="R29" s="142">
        <f t="shared" si="15"/>
        <v>96</v>
      </c>
      <c r="S29" s="142">
        <f t="shared" si="15"/>
        <v>6</v>
      </c>
      <c r="T29" s="142">
        <f t="shared" si="15"/>
        <v>96</v>
      </c>
      <c r="U29" s="143">
        <f>SUM(U25:U28)</f>
        <v>12</v>
      </c>
      <c r="V29" s="143">
        <f>SUM(V25:V28)</f>
        <v>192</v>
      </c>
    </row>
    <row r="30" spans="2:22">
      <c r="B30" s="416"/>
      <c r="C30" s="431" t="s">
        <v>615</v>
      </c>
      <c r="D30" s="434">
        <v>3</v>
      </c>
      <c r="E30" s="152" t="s">
        <v>570</v>
      </c>
      <c r="F30" s="152" t="s">
        <v>571</v>
      </c>
      <c r="G30" s="152">
        <v>30</v>
      </c>
      <c r="H30" s="152">
        <v>3</v>
      </c>
      <c r="I30" s="136"/>
      <c r="J30" s="136"/>
      <c r="K30" s="136"/>
      <c r="L30" s="136"/>
      <c r="M30" s="136">
        <v>3</v>
      </c>
      <c r="N30" s="136">
        <f>M30*16</f>
        <v>48</v>
      </c>
      <c r="O30" s="136"/>
      <c r="P30" s="136"/>
      <c r="Q30" s="136"/>
      <c r="R30" s="136"/>
      <c r="S30" s="136"/>
      <c r="T30" s="137"/>
      <c r="U30" s="138">
        <f>SUM(I30,K30,M30,O30,Q30,S30)</f>
        <v>3</v>
      </c>
      <c r="V30" s="139">
        <f>SUM(J30,L30,N30,P30,R30,T30)</f>
        <v>48</v>
      </c>
    </row>
    <row r="31" spans="2:22" ht="18" thickBot="1">
      <c r="B31" s="417"/>
      <c r="C31" s="432"/>
      <c r="D31" s="436"/>
      <c r="E31" s="424" t="s">
        <v>549</v>
      </c>
      <c r="F31" s="424"/>
      <c r="G31" s="163"/>
      <c r="H31" s="163"/>
      <c r="I31" s="142">
        <f t="shared" ref="I31:V31" si="16">SUM(I30:I30)</f>
        <v>0</v>
      </c>
      <c r="J31" s="142">
        <f t="shared" si="16"/>
        <v>0</v>
      </c>
      <c r="K31" s="142">
        <f t="shared" si="16"/>
        <v>0</v>
      </c>
      <c r="L31" s="142">
        <f t="shared" si="16"/>
        <v>0</v>
      </c>
      <c r="M31" s="142">
        <f t="shared" si="16"/>
        <v>3</v>
      </c>
      <c r="N31" s="142">
        <f t="shared" si="16"/>
        <v>48</v>
      </c>
      <c r="O31" s="142">
        <f t="shared" si="16"/>
        <v>0</v>
      </c>
      <c r="P31" s="142">
        <f t="shared" si="16"/>
        <v>0</v>
      </c>
      <c r="Q31" s="142">
        <f t="shared" si="16"/>
        <v>0</v>
      </c>
      <c r="R31" s="142">
        <f t="shared" si="16"/>
        <v>0</v>
      </c>
      <c r="S31" s="142">
        <f t="shared" si="16"/>
        <v>0</v>
      </c>
      <c r="T31" s="142">
        <f t="shared" si="16"/>
        <v>0</v>
      </c>
      <c r="U31" s="143">
        <f t="shared" si="16"/>
        <v>3</v>
      </c>
      <c r="V31" s="143">
        <f t="shared" si="16"/>
        <v>48</v>
      </c>
    </row>
    <row r="32" spans="2:22">
      <c r="B32" s="415" t="s">
        <v>557</v>
      </c>
      <c r="C32" s="431" t="s">
        <v>511</v>
      </c>
      <c r="D32" s="434">
        <v>18</v>
      </c>
      <c r="E32" s="152" t="s">
        <v>558</v>
      </c>
      <c r="F32" s="152" t="s">
        <v>559</v>
      </c>
      <c r="G32" s="152">
        <v>45</v>
      </c>
      <c r="H32" s="152">
        <v>3</v>
      </c>
      <c r="I32" s="136"/>
      <c r="J32" s="136"/>
      <c r="K32" s="136"/>
      <c r="L32" s="136"/>
      <c r="M32" s="136">
        <v>3</v>
      </c>
      <c r="N32" s="136">
        <f>M32*16</f>
        <v>48</v>
      </c>
      <c r="O32" s="136"/>
      <c r="P32" s="136">
        <f>O32*16</f>
        <v>0</v>
      </c>
      <c r="Q32" s="136"/>
      <c r="R32" s="136"/>
      <c r="S32" s="136"/>
      <c r="T32" s="137"/>
      <c r="U32" s="138">
        <f t="shared" ref="U32:V35" si="17">SUM(I32,K32,M32,O32,Q32,S32)</f>
        <v>3</v>
      </c>
      <c r="V32" s="139">
        <f t="shared" si="17"/>
        <v>48</v>
      </c>
    </row>
    <row r="33" spans="2:22">
      <c r="B33" s="416"/>
      <c r="C33" s="431"/>
      <c r="D33" s="434"/>
      <c r="E33" s="152" t="s">
        <v>566</v>
      </c>
      <c r="F33" s="152" t="s">
        <v>567</v>
      </c>
      <c r="G33" s="152">
        <v>90</v>
      </c>
      <c r="H33" s="152">
        <v>3</v>
      </c>
      <c r="I33" s="136"/>
      <c r="J33" s="136"/>
      <c r="K33" s="136"/>
      <c r="L33" s="136"/>
      <c r="M33" s="136">
        <v>3</v>
      </c>
      <c r="N33" s="136">
        <f t="shared" ref="N33:P37" si="18">M33*16</f>
        <v>48</v>
      </c>
      <c r="O33" s="136"/>
      <c r="P33" s="136">
        <f t="shared" si="18"/>
        <v>0</v>
      </c>
      <c r="Q33" s="136"/>
      <c r="R33" s="136"/>
      <c r="S33" s="136"/>
      <c r="T33" s="137"/>
      <c r="U33" s="138">
        <f t="shared" si="17"/>
        <v>3</v>
      </c>
      <c r="V33" s="139">
        <f t="shared" si="17"/>
        <v>48</v>
      </c>
    </row>
    <row r="34" spans="2:22">
      <c r="B34" s="416"/>
      <c r="C34" s="431"/>
      <c r="D34" s="434"/>
      <c r="E34" s="152" t="s">
        <v>562</v>
      </c>
      <c r="F34" s="152" t="s">
        <v>563</v>
      </c>
      <c r="G34" s="152">
        <v>50</v>
      </c>
      <c r="H34" s="152">
        <v>2</v>
      </c>
      <c r="I34" s="136"/>
      <c r="J34" s="136"/>
      <c r="K34" s="136"/>
      <c r="L34" s="136"/>
      <c r="M34" s="136">
        <v>3</v>
      </c>
      <c r="N34" s="136">
        <f t="shared" si="18"/>
        <v>48</v>
      </c>
      <c r="O34" s="136"/>
      <c r="P34" s="136">
        <f t="shared" si="18"/>
        <v>0</v>
      </c>
      <c r="Q34" s="136"/>
      <c r="R34" s="136"/>
      <c r="S34" s="136"/>
      <c r="T34" s="137"/>
      <c r="U34" s="138">
        <f t="shared" si="17"/>
        <v>3</v>
      </c>
      <c r="V34" s="139">
        <f t="shared" si="17"/>
        <v>48</v>
      </c>
    </row>
    <row r="35" spans="2:22">
      <c r="B35" s="416"/>
      <c r="C35" s="431"/>
      <c r="D35" s="434"/>
      <c r="E35" s="152" t="s">
        <v>560</v>
      </c>
      <c r="F35" s="152" t="s">
        <v>561</v>
      </c>
      <c r="G35" s="152">
        <v>60</v>
      </c>
      <c r="H35" s="152">
        <v>4</v>
      </c>
      <c r="I35" s="136"/>
      <c r="J35" s="136"/>
      <c r="K35" s="136"/>
      <c r="L35" s="136"/>
      <c r="M35" s="136"/>
      <c r="N35" s="136">
        <f t="shared" si="18"/>
        <v>0</v>
      </c>
      <c r="O35" s="136">
        <v>4</v>
      </c>
      <c r="P35" s="136">
        <f t="shared" si="18"/>
        <v>64</v>
      </c>
      <c r="Q35" s="136"/>
      <c r="R35" s="136"/>
      <c r="S35" s="136"/>
      <c r="T35" s="137"/>
      <c r="U35" s="138">
        <f t="shared" si="17"/>
        <v>4</v>
      </c>
      <c r="V35" s="139">
        <f t="shared" si="17"/>
        <v>64</v>
      </c>
    </row>
    <row r="36" spans="2:22">
      <c r="B36" s="416"/>
      <c r="C36" s="431"/>
      <c r="D36" s="434"/>
      <c r="E36" s="152" t="s">
        <v>650</v>
      </c>
      <c r="F36" s="152" t="s">
        <v>651</v>
      </c>
      <c r="G36" s="152">
        <v>50</v>
      </c>
      <c r="H36" s="152">
        <v>3</v>
      </c>
      <c r="I36" s="136"/>
      <c r="J36" s="136"/>
      <c r="K36" s="136"/>
      <c r="L36" s="136"/>
      <c r="M36" s="136"/>
      <c r="N36" s="136">
        <f t="shared" si="18"/>
        <v>0</v>
      </c>
      <c r="O36" s="136">
        <v>3</v>
      </c>
      <c r="P36" s="136">
        <f t="shared" si="18"/>
        <v>48</v>
      </c>
      <c r="Q36" s="136"/>
      <c r="R36" s="136"/>
      <c r="S36" s="136"/>
      <c r="T36" s="137"/>
      <c r="U36" s="138">
        <f>SUM(I36,K36,M36,O36,Q36,S36)</f>
        <v>3</v>
      </c>
      <c r="V36" s="139">
        <f>SUM(J36,L36,N36,P36,R36,T36)</f>
        <v>48</v>
      </c>
    </row>
    <row r="37" spans="2:22">
      <c r="B37" s="416"/>
      <c r="C37" s="431"/>
      <c r="D37" s="434"/>
      <c r="E37" s="152" t="s">
        <v>564</v>
      </c>
      <c r="F37" s="152" t="s">
        <v>565</v>
      </c>
      <c r="G37" s="152">
        <v>45</v>
      </c>
      <c r="H37" s="152">
        <v>3</v>
      </c>
      <c r="I37" s="136"/>
      <c r="J37" s="136"/>
      <c r="K37" s="136"/>
      <c r="L37" s="136"/>
      <c r="M37" s="136"/>
      <c r="N37" s="136">
        <f t="shared" si="18"/>
        <v>0</v>
      </c>
      <c r="O37" s="136">
        <v>2</v>
      </c>
      <c r="P37" s="136">
        <f t="shared" si="18"/>
        <v>32</v>
      </c>
      <c r="Q37" s="136"/>
      <c r="R37" s="136"/>
      <c r="S37" s="136"/>
      <c r="T37" s="137"/>
      <c r="U37" s="138">
        <f>SUM(I37,K37,M37,O37,Q37,S37)</f>
        <v>2</v>
      </c>
      <c r="V37" s="139">
        <f>SUM(J37,L37,N37,P37,R37,T37)</f>
        <v>32</v>
      </c>
    </row>
    <row r="38" spans="2:22" ht="18" thickBot="1">
      <c r="B38" s="416"/>
      <c r="C38" s="432"/>
      <c r="D38" s="436"/>
      <c r="E38" s="424" t="s">
        <v>549</v>
      </c>
      <c r="F38" s="424"/>
      <c r="G38" s="163"/>
      <c r="H38" s="163"/>
      <c r="I38" s="142">
        <f t="shared" ref="I38:V38" si="19">SUM(I32:I37)</f>
        <v>0</v>
      </c>
      <c r="J38" s="142">
        <f t="shared" si="19"/>
        <v>0</v>
      </c>
      <c r="K38" s="142">
        <f t="shared" si="19"/>
        <v>0</v>
      </c>
      <c r="L38" s="142">
        <f t="shared" si="19"/>
        <v>0</v>
      </c>
      <c r="M38" s="142">
        <f t="shared" si="19"/>
        <v>9</v>
      </c>
      <c r="N38" s="142">
        <f t="shared" si="19"/>
        <v>144</v>
      </c>
      <c r="O38" s="142">
        <f t="shared" si="19"/>
        <v>9</v>
      </c>
      <c r="P38" s="142">
        <f t="shared" si="19"/>
        <v>144</v>
      </c>
      <c r="Q38" s="142">
        <f t="shared" si="19"/>
        <v>0</v>
      </c>
      <c r="R38" s="142">
        <f t="shared" si="19"/>
        <v>0</v>
      </c>
      <c r="S38" s="142">
        <f t="shared" si="19"/>
        <v>0</v>
      </c>
      <c r="T38" s="142">
        <f t="shared" si="19"/>
        <v>0</v>
      </c>
      <c r="U38" s="143">
        <f t="shared" si="19"/>
        <v>18</v>
      </c>
      <c r="V38" s="143">
        <f t="shared" si="19"/>
        <v>288</v>
      </c>
    </row>
    <row r="39" spans="2:22">
      <c r="B39" s="416"/>
      <c r="C39" s="431" t="s">
        <v>616</v>
      </c>
      <c r="D39" s="434">
        <v>5</v>
      </c>
      <c r="E39" s="152" t="s">
        <v>568</v>
      </c>
      <c r="F39" s="152" t="s">
        <v>569</v>
      </c>
      <c r="G39" s="152">
        <v>45</v>
      </c>
      <c r="H39" s="152">
        <v>3</v>
      </c>
      <c r="I39" s="136"/>
      <c r="J39" s="136"/>
      <c r="K39" s="136"/>
      <c r="L39" s="136"/>
      <c r="M39" s="136"/>
      <c r="N39" s="136"/>
      <c r="O39" s="136">
        <v>3</v>
      </c>
      <c r="P39" s="136">
        <f>O39*16</f>
        <v>48</v>
      </c>
      <c r="Q39" s="136"/>
      <c r="R39" s="136"/>
      <c r="S39" s="136"/>
      <c r="T39" s="137"/>
      <c r="U39" s="138">
        <f>SUM(I39,K39,M39,O39,Q39,S39)</f>
        <v>3</v>
      </c>
      <c r="V39" s="139">
        <f>SUM(J39,L39,N39,P39,R39,T39)</f>
        <v>48</v>
      </c>
    </row>
    <row r="40" spans="2:22">
      <c r="B40" s="416"/>
      <c r="C40" s="433"/>
      <c r="D40" s="435"/>
      <c r="E40" s="153" t="s">
        <v>617</v>
      </c>
      <c r="F40" s="153" t="s">
        <v>647</v>
      </c>
      <c r="G40" s="153">
        <v>60</v>
      </c>
      <c r="H40" s="153">
        <v>3</v>
      </c>
      <c r="I40" s="137"/>
      <c r="J40" s="137"/>
      <c r="K40" s="137"/>
      <c r="L40" s="137"/>
      <c r="M40" s="137"/>
      <c r="N40" s="137"/>
      <c r="O40" s="137">
        <v>2</v>
      </c>
      <c r="P40" s="137">
        <f>O40*16</f>
        <v>32</v>
      </c>
      <c r="Q40" s="137"/>
      <c r="R40" s="137"/>
      <c r="S40" s="137"/>
      <c r="T40" s="137"/>
      <c r="U40" s="141">
        <f t="shared" ref="U40:V40" si="20">SUM(I40,K40,M40,O40,Q40,S40)</f>
        <v>2</v>
      </c>
      <c r="V40" s="144">
        <f t="shared" si="20"/>
        <v>32</v>
      </c>
    </row>
    <row r="41" spans="2:22" ht="18" thickBot="1">
      <c r="B41" s="416"/>
      <c r="C41" s="432"/>
      <c r="D41" s="436"/>
      <c r="E41" s="424" t="s">
        <v>549</v>
      </c>
      <c r="F41" s="424"/>
      <c r="G41" s="163"/>
      <c r="H41" s="163"/>
      <c r="I41" s="142">
        <f>SUM(I39:I40)</f>
        <v>0</v>
      </c>
      <c r="J41" s="142">
        <f>SUM(J39:J40)</f>
        <v>0</v>
      </c>
      <c r="K41" s="142">
        <f>SUM(K39:K40)</f>
        <v>0</v>
      </c>
      <c r="L41" s="142">
        <f>SUM(L39:L40)</f>
        <v>0</v>
      </c>
      <c r="M41" s="142">
        <f>SUM(M39:M40)</f>
        <v>0</v>
      </c>
      <c r="N41" s="142">
        <f t="shared" ref="N41:T41" si="21">SUM(N39:N40)</f>
        <v>0</v>
      </c>
      <c r="O41" s="142">
        <f t="shared" si="21"/>
        <v>5</v>
      </c>
      <c r="P41" s="142">
        <f t="shared" si="21"/>
        <v>80</v>
      </c>
      <c r="Q41" s="142">
        <f t="shared" si="21"/>
        <v>0</v>
      </c>
      <c r="R41" s="142">
        <f t="shared" si="21"/>
        <v>0</v>
      </c>
      <c r="S41" s="142">
        <f t="shared" si="21"/>
        <v>0</v>
      </c>
      <c r="T41" s="142">
        <f t="shared" si="21"/>
        <v>0</v>
      </c>
      <c r="U41" s="143">
        <f>SUM(U39:U40)</f>
        <v>5</v>
      </c>
      <c r="V41" s="143">
        <f>SUM(V39:V40)</f>
        <v>80</v>
      </c>
    </row>
    <row r="42" spans="2:22">
      <c r="B42" s="416"/>
      <c r="C42" s="425" t="s">
        <v>572</v>
      </c>
      <c r="D42" s="428">
        <v>10</v>
      </c>
      <c r="E42" s="135" t="s">
        <v>573</v>
      </c>
      <c r="F42" s="135" t="s">
        <v>574</v>
      </c>
      <c r="G42" s="135">
        <v>40</v>
      </c>
      <c r="H42" s="135">
        <v>4</v>
      </c>
      <c r="I42" s="136"/>
      <c r="J42" s="136"/>
      <c r="K42" s="136"/>
      <c r="L42" s="136"/>
      <c r="M42" s="136"/>
      <c r="N42" s="136"/>
      <c r="O42" s="136"/>
      <c r="P42" s="136"/>
      <c r="Q42" s="136">
        <v>2</v>
      </c>
      <c r="R42" s="136">
        <f>Q42*16</f>
        <v>32</v>
      </c>
      <c r="S42" s="136"/>
      <c r="T42" s="137"/>
      <c r="U42" s="138">
        <f>SUM(I42,K42,M42,O42,Q42,S42)</f>
        <v>2</v>
      </c>
      <c r="V42" s="139">
        <f>SUM(J42,L42,N42,P42,R42,T42)</f>
        <v>32</v>
      </c>
    </row>
    <row r="43" spans="2:22">
      <c r="B43" s="416"/>
      <c r="C43" s="425"/>
      <c r="D43" s="428"/>
      <c r="E43" s="135" t="s">
        <v>575</v>
      </c>
      <c r="F43" s="135" t="s">
        <v>576</v>
      </c>
      <c r="G43" s="135">
        <v>40</v>
      </c>
      <c r="H43" s="135">
        <v>5</v>
      </c>
      <c r="I43" s="136"/>
      <c r="J43" s="136"/>
      <c r="K43" s="136"/>
      <c r="L43" s="136"/>
      <c r="M43" s="136"/>
      <c r="N43" s="136"/>
      <c r="O43" s="136"/>
      <c r="P43" s="136"/>
      <c r="Q43" s="136">
        <v>3</v>
      </c>
      <c r="R43" s="136">
        <f>Q43*16</f>
        <v>48</v>
      </c>
      <c r="S43" s="136"/>
      <c r="T43" s="137"/>
      <c r="U43" s="138">
        <f t="shared" ref="U43:V43" si="22">SUM(I43,K43,M43,O43,Q43,S43)</f>
        <v>3</v>
      </c>
      <c r="V43" s="139">
        <f t="shared" si="22"/>
        <v>48</v>
      </c>
    </row>
    <row r="44" spans="2:22">
      <c r="B44" s="416"/>
      <c r="C44" s="425"/>
      <c r="D44" s="428"/>
      <c r="E44" s="135" t="s">
        <v>577</v>
      </c>
      <c r="F44" s="135" t="s">
        <v>578</v>
      </c>
      <c r="G44" s="135">
        <v>30</v>
      </c>
      <c r="H44" s="135">
        <v>3</v>
      </c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>
        <v>2</v>
      </c>
      <c r="T44" s="137">
        <f>S44*16</f>
        <v>32</v>
      </c>
      <c r="U44" s="138">
        <f>SUM(I44,K44,M44,O44,Q44,S44)</f>
        <v>2</v>
      </c>
      <c r="V44" s="139">
        <f>SUM(J44,L44,N44,P44,R44,T44)</f>
        <v>32</v>
      </c>
    </row>
    <row r="45" spans="2:22">
      <c r="B45" s="416"/>
      <c r="C45" s="426"/>
      <c r="D45" s="429"/>
      <c r="E45" s="140" t="s">
        <v>579</v>
      </c>
      <c r="F45" s="140" t="s">
        <v>580</v>
      </c>
      <c r="G45" s="140">
        <v>40</v>
      </c>
      <c r="H45" s="140">
        <v>5</v>
      </c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>
        <v>3</v>
      </c>
      <c r="T45" s="137">
        <f>S45*16</f>
        <v>48</v>
      </c>
      <c r="U45" s="141">
        <f t="shared" ref="U45:V45" si="23">SUM(I45,K45,M45,O45,Q45,S45)</f>
        <v>3</v>
      </c>
      <c r="V45" s="144">
        <f t="shared" si="23"/>
        <v>48</v>
      </c>
    </row>
    <row r="46" spans="2:22" ht="18" thickBot="1">
      <c r="B46" s="416"/>
      <c r="C46" s="427"/>
      <c r="D46" s="430"/>
      <c r="E46" s="424" t="s">
        <v>549</v>
      </c>
      <c r="F46" s="424"/>
      <c r="G46" s="163"/>
      <c r="H46" s="163"/>
      <c r="I46" s="142">
        <f>SUM(I42:I45)</f>
        <v>0</v>
      </c>
      <c r="J46" s="142">
        <f>SUM(J42:J45)</f>
        <v>0</v>
      </c>
      <c r="K46" s="142">
        <f>SUM(K42:K45)</f>
        <v>0</v>
      </c>
      <c r="L46" s="142">
        <f>SUM(L42:L45)</f>
        <v>0</v>
      </c>
      <c r="M46" s="142">
        <f>SUM(M42:M45)</f>
        <v>0</v>
      </c>
      <c r="N46" s="142">
        <f t="shared" ref="N46:T46" si="24">SUM(N42:N45)</f>
        <v>0</v>
      </c>
      <c r="O46" s="142">
        <f t="shared" si="24"/>
        <v>0</v>
      </c>
      <c r="P46" s="142">
        <f t="shared" si="24"/>
        <v>0</v>
      </c>
      <c r="Q46" s="142">
        <f t="shared" si="24"/>
        <v>5</v>
      </c>
      <c r="R46" s="142">
        <f t="shared" si="24"/>
        <v>80</v>
      </c>
      <c r="S46" s="142">
        <f t="shared" si="24"/>
        <v>5</v>
      </c>
      <c r="T46" s="142">
        <f t="shared" si="24"/>
        <v>80</v>
      </c>
      <c r="U46" s="143">
        <f>SUM(U42:U45)</f>
        <v>10</v>
      </c>
      <c r="V46" s="143">
        <f>SUM(V42:V45)</f>
        <v>160</v>
      </c>
    </row>
    <row r="47" spans="2:22">
      <c r="B47" s="416"/>
      <c r="C47" s="425" t="s">
        <v>513</v>
      </c>
      <c r="D47" s="428">
        <v>10</v>
      </c>
      <c r="E47" s="135" t="s">
        <v>581</v>
      </c>
      <c r="F47" s="135" t="s">
        <v>582</v>
      </c>
      <c r="G47" s="135">
        <v>50</v>
      </c>
      <c r="H47" s="135">
        <v>2</v>
      </c>
      <c r="I47" s="136"/>
      <c r="J47" s="136"/>
      <c r="K47" s="136"/>
      <c r="L47" s="136"/>
      <c r="M47" s="136"/>
      <c r="N47" s="136"/>
      <c r="O47" s="136"/>
      <c r="P47" s="136"/>
      <c r="Q47" s="136">
        <v>2</v>
      </c>
      <c r="R47" s="136">
        <f>Q47*16</f>
        <v>32</v>
      </c>
      <c r="S47" s="136"/>
      <c r="T47" s="137"/>
      <c r="U47" s="138">
        <f>SUM(I47,K47,M47,O47,Q47,S47)</f>
        <v>2</v>
      </c>
      <c r="V47" s="139">
        <f>SUM(J47,L47,N47,P47,R47,T47)</f>
        <v>32</v>
      </c>
    </row>
    <row r="48" spans="2:22">
      <c r="B48" s="416"/>
      <c r="C48" s="425"/>
      <c r="D48" s="428"/>
      <c r="E48" s="135" t="s">
        <v>583</v>
      </c>
      <c r="F48" s="135" t="s">
        <v>584</v>
      </c>
      <c r="G48" s="135">
        <v>50</v>
      </c>
      <c r="H48" s="135">
        <v>2</v>
      </c>
      <c r="I48" s="136"/>
      <c r="J48" s="136"/>
      <c r="K48" s="136"/>
      <c r="L48" s="136"/>
      <c r="M48" s="136"/>
      <c r="N48" s="136"/>
      <c r="O48" s="136"/>
      <c r="P48" s="136"/>
      <c r="Q48" s="136">
        <v>3</v>
      </c>
      <c r="R48" s="136">
        <f>Q48*16</f>
        <v>48</v>
      </c>
      <c r="S48" s="136"/>
      <c r="T48" s="137">
        <f>S48*16</f>
        <v>0</v>
      </c>
      <c r="U48" s="138">
        <f t="shared" ref="U48" si="25">SUM(I48,K48,M48,O48,Q48,S48)</f>
        <v>3</v>
      </c>
      <c r="V48" s="139">
        <f>SUM(J48,L48,N48,P48,R48,T48)</f>
        <v>48</v>
      </c>
    </row>
    <row r="49" spans="2:22">
      <c r="B49" s="416"/>
      <c r="C49" s="425"/>
      <c r="D49" s="428"/>
      <c r="E49" s="135" t="s">
        <v>619</v>
      </c>
      <c r="F49" s="135" t="s">
        <v>620</v>
      </c>
      <c r="G49" s="135">
        <v>40</v>
      </c>
      <c r="H49" s="135">
        <v>2</v>
      </c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>
        <v>2</v>
      </c>
      <c r="T49" s="137">
        <f>S49*16</f>
        <v>32</v>
      </c>
      <c r="U49" s="138">
        <f>SUM(I49,K49,M49,O49,Q49,S49)</f>
        <v>2</v>
      </c>
      <c r="V49" s="139">
        <f>SUM(J49,L49,N49,P49,R49,T49)</f>
        <v>32</v>
      </c>
    </row>
    <row r="50" spans="2:22">
      <c r="B50" s="416"/>
      <c r="C50" s="426"/>
      <c r="D50" s="429"/>
      <c r="E50" s="140" t="s">
        <v>585</v>
      </c>
      <c r="F50" s="140" t="s">
        <v>621</v>
      </c>
      <c r="G50" s="140">
        <v>50</v>
      </c>
      <c r="H50" s="140">
        <v>3</v>
      </c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>
        <v>3</v>
      </c>
      <c r="T50" s="137">
        <f>S50*16</f>
        <v>48</v>
      </c>
      <c r="U50" s="141">
        <f t="shared" ref="U50:V50" si="26">SUM(I50,K50,M50,O50,Q50,S50)</f>
        <v>3</v>
      </c>
      <c r="V50" s="144">
        <f t="shared" si="26"/>
        <v>48</v>
      </c>
    </row>
    <row r="51" spans="2:22" ht="18" thickBot="1">
      <c r="B51" s="417"/>
      <c r="C51" s="427"/>
      <c r="D51" s="430"/>
      <c r="E51" s="424" t="s">
        <v>549</v>
      </c>
      <c r="F51" s="424"/>
      <c r="G51" s="163"/>
      <c r="H51" s="163"/>
      <c r="I51" s="142">
        <f t="shared" ref="I51:V51" si="27">SUM(I47:I50)</f>
        <v>0</v>
      </c>
      <c r="J51" s="142">
        <f t="shared" si="27"/>
        <v>0</v>
      </c>
      <c r="K51" s="142">
        <f t="shared" si="27"/>
        <v>0</v>
      </c>
      <c r="L51" s="142">
        <f t="shared" si="27"/>
        <v>0</v>
      </c>
      <c r="M51" s="142">
        <f t="shared" si="27"/>
        <v>0</v>
      </c>
      <c r="N51" s="142">
        <f t="shared" si="27"/>
        <v>0</v>
      </c>
      <c r="O51" s="142">
        <f t="shared" si="27"/>
        <v>0</v>
      </c>
      <c r="P51" s="142">
        <f t="shared" si="27"/>
        <v>0</v>
      </c>
      <c r="Q51" s="142">
        <f t="shared" si="27"/>
        <v>5</v>
      </c>
      <c r="R51" s="142">
        <f t="shared" si="27"/>
        <v>80</v>
      </c>
      <c r="S51" s="142">
        <f t="shared" si="27"/>
        <v>5</v>
      </c>
      <c r="T51" s="142">
        <f t="shared" si="27"/>
        <v>80</v>
      </c>
      <c r="U51" s="143">
        <f t="shared" si="27"/>
        <v>10</v>
      </c>
      <c r="V51" s="143">
        <f t="shared" si="27"/>
        <v>160</v>
      </c>
    </row>
    <row r="52" spans="2:22">
      <c r="B52" s="415" t="s">
        <v>622</v>
      </c>
      <c r="C52" s="418" t="s">
        <v>513</v>
      </c>
      <c r="D52" s="421">
        <v>17</v>
      </c>
      <c r="E52" s="154" t="s">
        <v>618</v>
      </c>
      <c r="F52" s="154" t="s">
        <v>623</v>
      </c>
      <c r="G52" s="154">
        <v>40</v>
      </c>
      <c r="H52" s="154">
        <v>4</v>
      </c>
      <c r="I52" s="136"/>
      <c r="J52" s="136"/>
      <c r="K52" s="136"/>
      <c r="L52" s="136"/>
      <c r="M52" s="136">
        <v>3</v>
      </c>
      <c r="N52" s="136">
        <f>M52*16</f>
        <v>48</v>
      </c>
      <c r="O52" s="136"/>
      <c r="P52" s="136"/>
      <c r="Q52" s="136"/>
      <c r="R52" s="136"/>
      <c r="S52" s="136"/>
      <c r="T52" s="137"/>
      <c r="U52" s="138">
        <f>SUM(I52,K52,M52,O52,Q52,S52)</f>
        <v>3</v>
      </c>
      <c r="V52" s="139">
        <f>SUM(J52,L52,N52,P52,R52,T52)</f>
        <v>48</v>
      </c>
    </row>
    <row r="53" spans="2:22">
      <c r="B53" s="416"/>
      <c r="C53" s="418"/>
      <c r="D53" s="421"/>
      <c r="E53" s="154" t="s">
        <v>581</v>
      </c>
      <c r="F53" s="154" t="s">
        <v>624</v>
      </c>
      <c r="G53" s="154">
        <v>50</v>
      </c>
      <c r="H53" s="154">
        <v>2</v>
      </c>
      <c r="I53" s="136"/>
      <c r="J53" s="136"/>
      <c r="K53" s="136"/>
      <c r="L53" s="136"/>
      <c r="M53" s="136">
        <v>2</v>
      </c>
      <c r="N53" s="136">
        <f>M53*16</f>
        <v>32</v>
      </c>
      <c r="O53" s="136"/>
      <c r="P53" s="136"/>
      <c r="Q53" s="136"/>
      <c r="R53" s="136"/>
      <c r="S53" s="136"/>
      <c r="T53" s="137"/>
      <c r="U53" s="138">
        <f t="shared" ref="U53:V53" si="28">SUM(I53,K53,M53,O53,Q53,S53)</f>
        <v>2</v>
      </c>
      <c r="V53" s="139">
        <f t="shared" si="28"/>
        <v>32</v>
      </c>
    </row>
    <row r="54" spans="2:22">
      <c r="B54" s="416"/>
      <c r="C54" s="418"/>
      <c r="D54" s="421"/>
      <c r="E54" s="154" t="s">
        <v>583</v>
      </c>
      <c r="F54" s="154" t="s">
        <v>625</v>
      </c>
      <c r="G54" s="154">
        <v>50</v>
      </c>
      <c r="H54" s="154">
        <v>2</v>
      </c>
      <c r="I54" s="136"/>
      <c r="J54" s="136"/>
      <c r="K54" s="136"/>
      <c r="L54" s="136"/>
      <c r="M54" s="136">
        <v>2</v>
      </c>
      <c r="N54" s="136">
        <f>M54*16</f>
        <v>32</v>
      </c>
      <c r="O54" s="136"/>
      <c r="P54" s="136"/>
      <c r="Q54" s="136"/>
      <c r="R54" s="136"/>
      <c r="S54" s="136"/>
      <c r="T54" s="137"/>
      <c r="U54" s="138">
        <f>SUM(I54,K54,M54,O54,Q54,S54)</f>
        <v>2</v>
      </c>
      <c r="V54" s="139">
        <f>SUM(J54,L54,N54,P54,R54,T54)</f>
        <v>32</v>
      </c>
    </row>
    <row r="55" spans="2:22">
      <c r="B55" s="416"/>
      <c r="C55" s="418"/>
      <c r="D55" s="421"/>
      <c r="E55" s="154" t="s">
        <v>619</v>
      </c>
      <c r="F55" s="154" t="s">
        <v>626</v>
      </c>
      <c r="G55" s="154">
        <v>40</v>
      </c>
      <c r="H55" s="154">
        <v>2</v>
      </c>
      <c r="I55" s="136"/>
      <c r="J55" s="136"/>
      <c r="K55" s="136"/>
      <c r="L55" s="136"/>
      <c r="M55" s="136">
        <v>2</v>
      </c>
      <c r="N55" s="136">
        <f>M55*16</f>
        <v>32</v>
      </c>
      <c r="O55" s="136"/>
      <c r="P55" s="136"/>
      <c r="Q55" s="136"/>
      <c r="R55" s="136"/>
      <c r="S55" s="136"/>
      <c r="T55" s="137"/>
      <c r="U55" s="138">
        <f t="shared" ref="U55:V55" si="29">SUM(I55,K55,M55,O55,Q55,S55)</f>
        <v>2</v>
      </c>
      <c r="V55" s="139">
        <f t="shared" si="29"/>
        <v>32</v>
      </c>
    </row>
    <row r="56" spans="2:22">
      <c r="B56" s="416"/>
      <c r="C56" s="418"/>
      <c r="D56" s="421"/>
      <c r="E56" s="154" t="s">
        <v>585</v>
      </c>
      <c r="F56" s="154" t="s">
        <v>586</v>
      </c>
      <c r="G56" s="154">
        <v>50</v>
      </c>
      <c r="H56" s="154">
        <v>3</v>
      </c>
      <c r="I56" s="136"/>
      <c r="J56" s="136"/>
      <c r="K56" s="136"/>
      <c r="L56" s="136"/>
      <c r="M56" s="136"/>
      <c r="N56" s="136"/>
      <c r="O56" s="136">
        <v>2</v>
      </c>
      <c r="P56" s="136">
        <f>O56*16</f>
        <v>32</v>
      </c>
      <c r="Q56" s="136"/>
      <c r="R56" s="136"/>
      <c r="S56" s="136"/>
      <c r="T56" s="137"/>
      <c r="U56" s="138">
        <f>SUM(I56,K56,M56,O56,Q56,S56)</f>
        <v>2</v>
      </c>
      <c r="V56" s="139">
        <f>SUM(J56,L56,N56,P56,R56,T56)</f>
        <v>32</v>
      </c>
    </row>
    <row r="57" spans="2:22">
      <c r="B57" s="416"/>
      <c r="C57" s="418"/>
      <c r="D57" s="421"/>
      <c r="E57" s="154" t="s">
        <v>627</v>
      </c>
      <c r="F57" s="154" t="s">
        <v>628</v>
      </c>
      <c r="G57" s="154">
        <v>40</v>
      </c>
      <c r="H57" s="154">
        <v>5</v>
      </c>
      <c r="I57" s="136"/>
      <c r="J57" s="136"/>
      <c r="K57" s="136"/>
      <c r="L57" s="136"/>
      <c r="M57" s="136"/>
      <c r="N57" s="136"/>
      <c r="O57" s="136">
        <v>2</v>
      </c>
      <c r="P57" s="136">
        <f>O57*16</f>
        <v>32</v>
      </c>
      <c r="Q57" s="136"/>
      <c r="R57" s="136"/>
      <c r="S57" s="136"/>
      <c r="T57" s="137"/>
      <c r="U57" s="138">
        <f t="shared" ref="U57:V57" si="30">SUM(I57,K57,M57,O57,Q57,S57)</f>
        <v>2</v>
      </c>
      <c r="V57" s="139">
        <f t="shared" si="30"/>
        <v>32</v>
      </c>
    </row>
    <row r="58" spans="2:22">
      <c r="B58" s="416"/>
      <c r="C58" s="418"/>
      <c r="D58" s="421"/>
      <c r="E58" s="155" t="s">
        <v>629</v>
      </c>
      <c r="F58" s="155" t="s">
        <v>630</v>
      </c>
      <c r="G58" s="155">
        <v>50</v>
      </c>
      <c r="H58" s="155">
        <v>5</v>
      </c>
      <c r="I58" s="136"/>
      <c r="J58" s="136"/>
      <c r="K58" s="136"/>
      <c r="L58" s="136"/>
      <c r="M58" s="136"/>
      <c r="N58" s="136"/>
      <c r="O58" s="136">
        <v>2</v>
      </c>
      <c r="P58" s="136">
        <f>O58*16</f>
        <v>32</v>
      </c>
      <c r="Q58" s="136"/>
      <c r="R58" s="136"/>
      <c r="S58" s="136"/>
      <c r="T58" s="137"/>
      <c r="U58" s="138">
        <f>SUM(I58,K58,M58,O58,Q58,S58)</f>
        <v>2</v>
      </c>
      <c r="V58" s="139">
        <f>SUM(J58,L58,N58,P58,R58,T58)</f>
        <v>32</v>
      </c>
    </row>
    <row r="59" spans="2:22">
      <c r="B59" s="416"/>
      <c r="C59" s="419"/>
      <c r="D59" s="422"/>
      <c r="E59" s="155" t="s">
        <v>631</v>
      </c>
      <c r="F59" s="155" t="s">
        <v>632</v>
      </c>
      <c r="G59" s="155">
        <v>30</v>
      </c>
      <c r="H59" s="155">
        <v>4</v>
      </c>
      <c r="I59" s="137"/>
      <c r="J59" s="137"/>
      <c r="K59" s="137"/>
      <c r="L59" s="137"/>
      <c r="M59" s="137"/>
      <c r="N59" s="137"/>
      <c r="O59" s="137">
        <v>2</v>
      </c>
      <c r="P59" s="137">
        <f>O59*16</f>
        <v>32</v>
      </c>
      <c r="Q59" s="137"/>
      <c r="R59" s="137"/>
      <c r="S59" s="137"/>
      <c r="T59" s="137"/>
      <c r="U59" s="141">
        <f t="shared" ref="U59:V59" si="31">SUM(I59,K59,M59,O59,Q59,S59)</f>
        <v>2</v>
      </c>
      <c r="V59" s="144">
        <f t="shared" si="31"/>
        <v>32</v>
      </c>
    </row>
    <row r="60" spans="2:22" ht="18" thickBot="1">
      <c r="B60" s="416"/>
      <c r="C60" s="420"/>
      <c r="D60" s="423"/>
      <c r="E60" s="424" t="s">
        <v>549</v>
      </c>
      <c r="F60" s="424"/>
      <c r="G60" s="163"/>
      <c r="H60" s="163"/>
      <c r="I60" s="142">
        <f>SUM(I52:I59)</f>
        <v>0</v>
      </c>
      <c r="J60" s="142">
        <f>SUM(J52:J59)</f>
        <v>0</v>
      </c>
      <c r="K60" s="142">
        <f>SUM(K52:K59)</f>
        <v>0</v>
      </c>
      <c r="L60" s="142">
        <f>SUM(L52:L59)</f>
        <v>0</v>
      </c>
      <c r="M60" s="142">
        <f>SUM(M52:M59)</f>
        <v>9</v>
      </c>
      <c r="N60" s="142">
        <f t="shared" ref="N60:T60" si="32">SUM(N52:N59)</f>
        <v>144</v>
      </c>
      <c r="O60" s="142">
        <f t="shared" si="32"/>
        <v>8</v>
      </c>
      <c r="P60" s="142">
        <f t="shared" si="32"/>
        <v>128</v>
      </c>
      <c r="Q60" s="142">
        <f t="shared" si="32"/>
        <v>0</v>
      </c>
      <c r="R60" s="142">
        <f t="shared" si="32"/>
        <v>0</v>
      </c>
      <c r="S60" s="142">
        <f t="shared" si="32"/>
        <v>0</v>
      </c>
      <c r="T60" s="142">
        <f t="shared" si="32"/>
        <v>0</v>
      </c>
      <c r="U60" s="143">
        <f>SUM(U52:U59)</f>
        <v>17</v>
      </c>
      <c r="V60" s="143">
        <f>SUM(V52:V59)</f>
        <v>272</v>
      </c>
    </row>
    <row r="61" spans="2:22">
      <c r="B61" s="416"/>
      <c r="C61" s="418" t="s">
        <v>515</v>
      </c>
      <c r="D61" s="421">
        <v>6</v>
      </c>
      <c r="E61" s="154" t="s">
        <v>633</v>
      </c>
      <c r="F61" s="154" t="s">
        <v>634</v>
      </c>
      <c r="G61" s="154">
        <v>50</v>
      </c>
      <c r="H61" s="154">
        <v>3</v>
      </c>
      <c r="I61" s="136"/>
      <c r="J61" s="136"/>
      <c r="K61" s="136"/>
      <c r="L61" s="136"/>
      <c r="M61" s="136"/>
      <c r="N61" s="136"/>
      <c r="O61" s="136">
        <v>4</v>
      </c>
      <c r="P61" s="136">
        <f>O61*16</f>
        <v>64</v>
      </c>
      <c r="Q61" s="136"/>
      <c r="R61" s="136"/>
      <c r="S61" s="136"/>
      <c r="T61" s="137"/>
      <c r="U61" s="138">
        <f>SUM(I61,K61,M61,O61,Q61,S61)</f>
        <v>4</v>
      </c>
      <c r="V61" s="139">
        <f>SUM(J61,L61,N61,P61,R61,T61)</f>
        <v>64</v>
      </c>
    </row>
    <row r="62" spans="2:22">
      <c r="B62" s="416"/>
      <c r="C62" s="419"/>
      <c r="D62" s="422"/>
      <c r="E62" s="155" t="s">
        <v>635</v>
      </c>
      <c r="F62" s="155" t="s">
        <v>636</v>
      </c>
      <c r="G62" s="155">
        <v>50</v>
      </c>
      <c r="H62" s="155">
        <v>4</v>
      </c>
      <c r="I62" s="137"/>
      <c r="J62" s="137"/>
      <c r="K62" s="137"/>
      <c r="L62" s="137"/>
      <c r="M62" s="137"/>
      <c r="N62" s="137"/>
      <c r="O62" s="137">
        <v>2</v>
      </c>
      <c r="P62" s="137">
        <f>O62*16</f>
        <v>32</v>
      </c>
      <c r="Q62" s="137"/>
      <c r="R62" s="137"/>
      <c r="S62" s="137"/>
      <c r="T62" s="137"/>
      <c r="U62" s="141">
        <f t="shared" ref="U62:V62" si="33">SUM(I62,K62,M62,O62,Q62,S62)</f>
        <v>2</v>
      </c>
      <c r="V62" s="144">
        <f t="shared" si="33"/>
        <v>32</v>
      </c>
    </row>
    <row r="63" spans="2:22" ht="18" thickBot="1">
      <c r="B63" s="416"/>
      <c r="C63" s="420"/>
      <c r="D63" s="423"/>
      <c r="E63" s="424" t="s">
        <v>549</v>
      </c>
      <c r="F63" s="424"/>
      <c r="G63" s="163"/>
      <c r="H63" s="163"/>
      <c r="I63" s="142">
        <f t="shared" ref="I63:V63" si="34">SUM(I61:I62)</f>
        <v>0</v>
      </c>
      <c r="J63" s="142">
        <f t="shared" si="34"/>
        <v>0</v>
      </c>
      <c r="K63" s="142">
        <f t="shared" si="34"/>
        <v>0</v>
      </c>
      <c r="L63" s="142">
        <f t="shared" si="34"/>
        <v>0</v>
      </c>
      <c r="M63" s="142">
        <f t="shared" si="34"/>
        <v>0</v>
      </c>
      <c r="N63" s="142">
        <f t="shared" si="34"/>
        <v>0</v>
      </c>
      <c r="O63" s="142">
        <f>SUM(O61:O62)</f>
        <v>6</v>
      </c>
      <c r="P63" s="142">
        <f>SUM(P61:P62)</f>
        <v>96</v>
      </c>
      <c r="Q63" s="142">
        <f t="shared" si="34"/>
        <v>0</v>
      </c>
      <c r="R63" s="142">
        <f t="shared" si="34"/>
        <v>0</v>
      </c>
      <c r="S63" s="142">
        <f t="shared" si="34"/>
        <v>0</v>
      </c>
      <c r="T63" s="142">
        <f t="shared" si="34"/>
        <v>0</v>
      </c>
      <c r="U63" s="143">
        <f t="shared" si="34"/>
        <v>6</v>
      </c>
      <c r="V63" s="143">
        <f t="shared" si="34"/>
        <v>96</v>
      </c>
    </row>
    <row r="64" spans="2:22">
      <c r="B64" s="416"/>
      <c r="C64" s="425" t="s">
        <v>637</v>
      </c>
      <c r="D64" s="428">
        <v>10</v>
      </c>
      <c r="E64" s="135" t="s">
        <v>638</v>
      </c>
      <c r="F64" s="135" t="s">
        <v>639</v>
      </c>
      <c r="G64" s="135">
        <v>30</v>
      </c>
      <c r="H64" s="135">
        <v>3</v>
      </c>
      <c r="I64" s="136"/>
      <c r="J64" s="136"/>
      <c r="K64" s="136"/>
      <c r="L64" s="136"/>
      <c r="M64" s="136"/>
      <c r="N64" s="136"/>
      <c r="O64" s="136"/>
      <c r="P64" s="136"/>
      <c r="Q64" s="136">
        <v>2</v>
      </c>
      <c r="R64" s="136">
        <f>Q64*16</f>
        <v>32</v>
      </c>
      <c r="S64" s="136"/>
      <c r="T64" s="137"/>
      <c r="U64" s="138">
        <f>SUM(I64,K64,M64,O64,Q64,S64)</f>
        <v>2</v>
      </c>
      <c r="V64" s="139">
        <f>SUM(J64,L64,N64,P64,R64,T64)</f>
        <v>32</v>
      </c>
    </row>
    <row r="65" spans="2:22">
      <c r="B65" s="416"/>
      <c r="C65" s="425"/>
      <c r="D65" s="428"/>
      <c r="E65" s="135" t="s">
        <v>640</v>
      </c>
      <c r="F65" s="135" t="s">
        <v>641</v>
      </c>
      <c r="G65" s="135">
        <v>15</v>
      </c>
      <c r="H65" s="135">
        <v>3</v>
      </c>
      <c r="I65" s="136"/>
      <c r="J65" s="136"/>
      <c r="K65" s="136"/>
      <c r="L65" s="136"/>
      <c r="M65" s="136"/>
      <c r="N65" s="136"/>
      <c r="O65" s="136"/>
      <c r="P65" s="136"/>
      <c r="Q65" s="136">
        <v>3</v>
      </c>
      <c r="R65" s="136">
        <f>Q65*16</f>
        <v>48</v>
      </c>
      <c r="S65" s="136"/>
      <c r="T65" s="137"/>
      <c r="U65" s="138">
        <f t="shared" ref="U65:V65" si="35">SUM(I65,K65,M65,O65,Q65,S65)</f>
        <v>3</v>
      </c>
      <c r="V65" s="139">
        <f t="shared" si="35"/>
        <v>48</v>
      </c>
    </row>
    <row r="66" spans="2:22">
      <c r="B66" s="416"/>
      <c r="C66" s="425"/>
      <c r="D66" s="428"/>
      <c r="E66" s="135" t="s">
        <v>642</v>
      </c>
      <c r="F66" s="135" t="s">
        <v>643</v>
      </c>
      <c r="G66" s="135">
        <v>20</v>
      </c>
      <c r="H66" s="135">
        <v>2</v>
      </c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>
        <v>2</v>
      </c>
      <c r="T66" s="137">
        <f>S66*16</f>
        <v>32</v>
      </c>
      <c r="U66" s="138">
        <f>SUM(I66,K66,M66,O66,Q66,S66)</f>
        <v>2</v>
      </c>
      <c r="V66" s="139">
        <f>SUM(J66,L66,N66,P66,R66,T66)</f>
        <v>32</v>
      </c>
    </row>
    <row r="67" spans="2:22">
      <c r="B67" s="416"/>
      <c r="C67" s="426"/>
      <c r="D67" s="429"/>
      <c r="E67" s="140" t="s">
        <v>644</v>
      </c>
      <c r="F67" s="140" t="s">
        <v>645</v>
      </c>
      <c r="G67" s="140">
        <v>15</v>
      </c>
      <c r="H67" s="140">
        <v>3</v>
      </c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>
        <v>3</v>
      </c>
      <c r="T67" s="137">
        <f>S67*16</f>
        <v>48</v>
      </c>
      <c r="U67" s="141">
        <f t="shared" ref="U67:V67" si="36">SUM(I67,K67,M67,O67,Q67,S67)</f>
        <v>3</v>
      </c>
      <c r="V67" s="144">
        <f t="shared" si="36"/>
        <v>48</v>
      </c>
    </row>
    <row r="68" spans="2:22" ht="18" thickBot="1">
      <c r="B68" s="416"/>
      <c r="C68" s="427"/>
      <c r="D68" s="430"/>
      <c r="E68" s="424" t="s">
        <v>549</v>
      </c>
      <c r="F68" s="424"/>
      <c r="G68" s="163"/>
      <c r="H68" s="163"/>
      <c r="I68" s="142">
        <f>SUM(I64:I67)</f>
        <v>0</v>
      </c>
      <c r="J68" s="142">
        <f>SUM(J64:J67)</f>
        <v>0</v>
      </c>
      <c r="K68" s="142">
        <f>SUM(K64:K67)</f>
        <v>0</v>
      </c>
      <c r="L68" s="142">
        <f>SUM(L64:L67)</f>
        <v>0</v>
      </c>
      <c r="M68" s="142">
        <f>SUM(M64:M67)</f>
        <v>0</v>
      </c>
      <c r="N68" s="142">
        <f t="shared" ref="N68:T68" si="37">SUM(N64:N67)</f>
        <v>0</v>
      </c>
      <c r="O68" s="142">
        <f t="shared" si="37"/>
        <v>0</v>
      </c>
      <c r="P68" s="142">
        <f t="shared" si="37"/>
        <v>0</v>
      </c>
      <c r="Q68" s="142">
        <f t="shared" si="37"/>
        <v>5</v>
      </c>
      <c r="R68" s="142">
        <f t="shared" si="37"/>
        <v>80</v>
      </c>
      <c r="S68" s="142">
        <f t="shared" si="37"/>
        <v>5</v>
      </c>
      <c r="T68" s="142">
        <f t="shared" si="37"/>
        <v>80</v>
      </c>
      <c r="U68" s="143">
        <f>SUM(U64:U67)</f>
        <v>10</v>
      </c>
      <c r="V68" s="143">
        <f>SUM(V64:V67)</f>
        <v>160</v>
      </c>
    </row>
    <row r="69" spans="2:22">
      <c r="B69" s="416"/>
      <c r="C69" s="425" t="s">
        <v>550</v>
      </c>
      <c r="D69" s="428">
        <v>10</v>
      </c>
      <c r="E69" s="135" t="s">
        <v>604</v>
      </c>
      <c r="F69" s="135" t="s">
        <v>605</v>
      </c>
      <c r="G69" s="135">
        <v>20</v>
      </c>
      <c r="H69" s="135">
        <v>3</v>
      </c>
      <c r="I69" s="136"/>
      <c r="J69" s="136"/>
      <c r="K69" s="136"/>
      <c r="L69" s="136"/>
      <c r="M69" s="136"/>
      <c r="N69" s="136"/>
      <c r="O69" s="136"/>
      <c r="P69" s="136"/>
      <c r="Q69" s="136">
        <v>2</v>
      </c>
      <c r="R69" s="136">
        <f>Q69*16</f>
        <v>32</v>
      </c>
      <c r="S69" s="136"/>
      <c r="T69" s="137"/>
      <c r="U69" s="138">
        <f>SUM(I69,K69,M69,O69,Q69,S69)</f>
        <v>2</v>
      </c>
      <c r="V69" s="139">
        <f>SUM(J69,L69,N69,P69,R69,T69)</f>
        <v>32</v>
      </c>
    </row>
    <row r="70" spans="2:22">
      <c r="B70" s="416"/>
      <c r="C70" s="425"/>
      <c r="D70" s="428"/>
      <c r="E70" s="135" t="s">
        <v>553</v>
      </c>
      <c r="F70" s="135" t="s">
        <v>554</v>
      </c>
      <c r="G70" s="135">
        <v>30</v>
      </c>
      <c r="H70" s="135">
        <v>2</v>
      </c>
      <c r="I70" s="136"/>
      <c r="J70" s="136"/>
      <c r="K70" s="136"/>
      <c r="L70" s="136"/>
      <c r="M70" s="136"/>
      <c r="N70" s="136"/>
      <c r="O70" s="136"/>
      <c r="P70" s="136"/>
      <c r="Q70" s="136">
        <v>3</v>
      </c>
      <c r="R70" s="136">
        <f>Q70*16</f>
        <v>48</v>
      </c>
      <c r="S70" s="136"/>
      <c r="T70" s="137"/>
      <c r="U70" s="138">
        <f t="shared" ref="U70" si="38">SUM(I70,K70,M70,O70,Q70,S70)</f>
        <v>3</v>
      </c>
      <c r="V70" s="139">
        <f>SUM(J70,L70,N70,P70,R70,T70)</f>
        <v>48</v>
      </c>
    </row>
    <row r="71" spans="2:22">
      <c r="B71" s="416"/>
      <c r="C71" s="425"/>
      <c r="D71" s="428"/>
      <c r="E71" s="135" t="s">
        <v>555</v>
      </c>
      <c r="F71" s="135" t="s">
        <v>556</v>
      </c>
      <c r="G71" s="135">
        <v>40</v>
      </c>
      <c r="H71" s="135">
        <v>4</v>
      </c>
      <c r="I71" s="136"/>
      <c r="J71" s="136"/>
      <c r="K71" s="136"/>
      <c r="L71" s="136"/>
      <c r="M71" s="136"/>
      <c r="N71" s="136"/>
      <c r="O71" s="136"/>
      <c r="P71" s="136"/>
      <c r="Q71" s="136"/>
      <c r="R71" s="136">
        <f>Q71*16</f>
        <v>0</v>
      </c>
      <c r="S71" s="136">
        <v>2</v>
      </c>
      <c r="T71" s="137">
        <f>S71*16</f>
        <v>32</v>
      </c>
      <c r="U71" s="138">
        <f>SUM(I71,K71,M71,O71,Q71,S71)</f>
        <v>2</v>
      </c>
      <c r="V71" s="139">
        <f>SUM(J71,L71,N71,P71,R71,T71)</f>
        <v>32</v>
      </c>
    </row>
    <row r="72" spans="2:22">
      <c r="B72" s="416"/>
      <c r="C72" s="425"/>
      <c r="D72" s="428"/>
      <c r="E72" s="135" t="s">
        <v>551</v>
      </c>
      <c r="F72" s="135" t="s">
        <v>552</v>
      </c>
      <c r="G72" s="135">
        <v>80</v>
      </c>
      <c r="H72" s="135">
        <v>3</v>
      </c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>
        <v>3</v>
      </c>
      <c r="T72" s="137">
        <f>S72*16</f>
        <v>48</v>
      </c>
      <c r="U72" s="138">
        <f>SUM(I72,K72,M72,O72,Q72,S72)</f>
        <v>3</v>
      </c>
      <c r="V72" s="139">
        <f>SUM(J72,L72,N72,P72,R72,T72)</f>
        <v>48</v>
      </c>
    </row>
    <row r="73" spans="2:22" ht="18" thickBot="1">
      <c r="B73" s="417"/>
      <c r="C73" s="427"/>
      <c r="D73" s="430"/>
      <c r="E73" s="424" t="s">
        <v>549</v>
      </c>
      <c r="F73" s="424"/>
      <c r="G73" s="163"/>
      <c r="H73" s="163"/>
      <c r="I73" s="142">
        <f t="shared" ref="I73:V73" si="39">SUM(I69:I72)</f>
        <v>0</v>
      </c>
      <c r="J73" s="142">
        <f t="shared" si="39"/>
        <v>0</v>
      </c>
      <c r="K73" s="142">
        <f t="shared" si="39"/>
        <v>0</v>
      </c>
      <c r="L73" s="142">
        <f t="shared" si="39"/>
        <v>0</v>
      </c>
      <c r="M73" s="142">
        <f t="shared" si="39"/>
        <v>0</v>
      </c>
      <c r="N73" s="142">
        <f t="shared" si="39"/>
        <v>0</v>
      </c>
      <c r="O73" s="142">
        <f t="shared" si="39"/>
        <v>0</v>
      </c>
      <c r="P73" s="142">
        <f t="shared" si="39"/>
        <v>0</v>
      </c>
      <c r="Q73" s="142">
        <f t="shared" si="39"/>
        <v>5</v>
      </c>
      <c r="R73" s="142">
        <f t="shared" si="39"/>
        <v>80</v>
      </c>
      <c r="S73" s="142">
        <f t="shared" si="39"/>
        <v>5</v>
      </c>
      <c r="T73" s="142">
        <f t="shared" si="39"/>
        <v>80</v>
      </c>
      <c r="U73" s="143">
        <f t="shared" si="39"/>
        <v>10</v>
      </c>
      <c r="V73" s="143">
        <f t="shared" si="39"/>
        <v>160</v>
      </c>
    </row>
  </sheetData>
  <mergeCells count="73">
    <mergeCell ref="F6:F8"/>
    <mergeCell ref="C2:V2"/>
    <mergeCell ref="O3:Q3"/>
    <mergeCell ref="R3:T3"/>
    <mergeCell ref="U3:V3"/>
    <mergeCell ref="O4:Q4"/>
    <mergeCell ref="R4:T4"/>
    <mergeCell ref="U4:V4"/>
    <mergeCell ref="C5:D5"/>
    <mergeCell ref="V6:V8"/>
    <mergeCell ref="G6:G8"/>
    <mergeCell ref="H6:H8"/>
    <mergeCell ref="B6:B8"/>
    <mergeCell ref="C6:C8"/>
    <mergeCell ref="D6:D8"/>
    <mergeCell ref="E6:E8"/>
    <mergeCell ref="E21:F21"/>
    <mergeCell ref="B9:B31"/>
    <mergeCell ref="C9:C11"/>
    <mergeCell ref="D9:D11"/>
    <mergeCell ref="E11:F11"/>
    <mergeCell ref="C12:C16"/>
    <mergeCell ref="D12:D16"/>
    <mergeCell ref="E16:F16"/>
    <mergeCell ref="C17:C21"/>
    <mergeCell ref="D17:D21"/>
    <mergeCell ref="C30:C31"/>
    <mergeCell ref="D30:D31"/>
    <mergeCell ref="X6:AG6"/>
    <mergeCell ref="I7:J7"/>
    <mergeCell ref="K7:L7"/>
    <mergeCell ref="M7:N7"/>
    <mergeCell ref="O7:P7"/>
    <mergeCell ref="Q7:R7"/>
    <mergeCell ref="S7:T7"/>
    <mergeCell ref="X7:AG7"/>
    <mergeCell ref="I6:L6"/>
    <mergeCell ref="M6:P6"/>
    <mergeCell ref="Q6:T6"/>
    <mergeCell ref="U6:U8"/>
    <mergeCell ref="C22:C24"/>
    <mergeCell ref="D22:D24"/>
    <mergeCell ref="E24:F24"/>
    <mergeCell ref="E51:F51"/>
    <mergeCell ref="C39:C41"/>
    <mergeCell ref="D39:D41"/>
    <mergeCell ref="E41:F41"/>
    <mergeCell ref="C42:C46"/>
    <mergeCell ref="D42:D46"/>
    <mergeCell ref="E46:F46"/>
    <mergeCell ref="D32:D38"/>
    <mergeCell ref="E38:F38"/>
    <mergeCell ref="B32:B51"/>
    <mergeCell ref="C47:C51"/>
    <mergeCell ref="C25:C29"/>
    <mergeCell ref="D25:D29"/>
    <mergeCell ref="E29:F29"/>
    <mergeCell ref="C32:C38"/>
    <mergeCell ref="E31:F31"/>
    <mergeCell ref="D47:D51"/>
    <mergeCell ref="B52:B73"/>
    <mergeCell ref="C52:C60"/>
    <mergeCell ref="D52:D60"/>
    <mergeCell ref="E60:F60"/>
    <mergeCell ref="C61:C63"/>
    <mergeCell ref="D61:D63"/>
    <mergeCell ref="E63:F63"/>
    <mergeCell ref="C64:C68"/>
    <mergeCell ref="D64:D68"/>
    <mergeCell ref="E68:F68"/>
    <mergeCell ref="C69:C73"/>
    <mergeCell ref="D69:D73"/>
    <mergeCell ref="E73:F7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27" orientation="portrait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82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15</v>
      </c>
      <c r="B1" s="2" t="s">
        <v>1</v>
      </c>
      <c r="C1" s="2" t="s">
        <v>3</v>
      </c>
      <c r="D1" s="2" t="s">
        <v>14</v>
      </c>
      <c r="E1" s="2" t="s">
        <v>118</v>
      </c>
      <c r="F1" s="2" t="s">
        <v>16</v>
      </c>
      <c r="G1" s="4"/>
      <c r="H1" s="5" t="s">
        <v>69</v>
      </c>
      <c r="I1" s="5" t="s">
        <v>61</v>
      </c>
      <c r="J1" s="5" t="s">
        <v>87</v>
      </c>
      <c r="K1" s="5" t="s">
        <v>88</v>
      </c>
      <c r="L1" s="5" t="s">
        <v>113</v>
      </c>
    </row>
    <row r="2" spans="1:12">
      <c r="A2" s="3" t="s">
        <v>186</v>
      </c>
      <c r="B2" s="3" t="s">
        <v>13</v>
      </c>
      <c r="C2" s="3" t="s">
        <v>17</v>
      </c>
      <c r="D2" s="3" t="s">
        <v>29</v>
      </c>
      <c r="E2" s="3">
        <v>4</v>
      </c>
      <c r="F2" s="6" t="s">
        <v>323</v>
      </c>
      <c r="G2" s="4"/>
      <c r="H2" s="3" t="s">
        <v>70</v>
      </c>
      <c r="I2" s="3" t="s">
        <v>62</v>
      </c>
      <c r="J2" s="3" t="s">
        <v>150</v>
      </c>
      <c r="K2" s="3" t="s">
        <v>150</v>
      </c>
      <c r="L2" s="3" t="s">
        <v>119</v>
      </c>
    </row>
    <row r="3" spans="1:12">
      <c r="A3" s="3" t="s">
        <v>187</v>
      </c>
      <c r="B3" s="3" t="s">
        <v>13</v>
      </c>
      <c r="C3" s="3" t="s">
        <v>17</v>
      </c>
      <c r="D3" s="3" t="s">
        <v>12</v>
      </c>
      <c r="E3" s="3">
        <v>4</v>
      </c>
      <c r="F3" s="6" t="s">
        <v>323</v>
      </c>
      <c r="G3" s="4"/>
      <c r="H3" s="3" t="s">
        <v>71</v>
      </c>
      <c r="I3" s="3" t="s">
        <v>63</v>
      </c>
      <c r="J3" s="3" t="s">
        <v>151</v>
      </c>
      <c r="K3" s="3" t="s">
        <v>151</v>
      </c>
      <c r="L3" s="3" t="s">
        <v>114</v>
      </c>
    </row>
    <row r="4" spans="1:12">
      <c r="A4" s="3" t="s">
        <v>189</v>
      </c>
      <c r="B4" s="3" t="s">
        <v>13</v>
      </c>
      <c r="C4" s="3" t="s">
        <v>17</v>
      </c>
      <c r="D4" s="3" t="s">
        <v>30</v>
      </c>
      <c r="E4" s="3">
        <v>4</v>
      </c>
      <c r="F4" s="6" t="s">
        <v>324</v>
      </c>
      <c r="G4" s="4"/>
      <c r="H4" s="3" t="s">
        <v>72</v>
      </c>
      <c r="I4" s="3" t="s">
        <v>140</v>
      </c>
      <c r="J4" s="3" t="s">
        <v>89</v>
      </c>
      <c r="K4" s="3" t="s">
        <v>89</v>
      </c>
      <c r="L4" s="3" t="s">
        <v>115</v>
      </c>
    </row>
    <row r="5" spans="1:12">
      <c r="A5" s="3" t="s">
        <v>190</v>
      </c>
      <c r="B5" s="3" t="s">
        <v>13</v>
      </c>
      <c r="C5" s="3" t="s">
        <v>17</v>
      </c>
      <c r="D5" s="3" t="s">
        <v>30</v>
      </c>
      <c r="E5" s="3">
        <v>4</v>
      </c>
      <c r="F5" s="6" t="s">
        <v>324</v>
      </c>
      <c r="G5" s="4"/>
      <c r="H5" s="3" t="s">
        <v>73</v>
      </c>
      <c r="I5" s="3" t="s">
        <v>141</v>
      </c>
      <c r="J5" s="3" t="s">
        <v>152</v>
      </c>
      <c r="K5" s="3" t="s">
        <v>152</v>
      </c>
      <c r="L5" s="3"/>
    </row>
    <row r="6" spans="1:12">
      <c r="A6" s="3" t="s">
        <v>4</v>
      </c>
      <c r="B6" s="3" t="s">
        <v>13</v>
      </c>
      <c r="C6" s="3" t="s">
        <v>17</v>
      </c>
      <c r="D6" s="3" t="s">
        <v>30</v>
      </c>
      <c r="E6" s="3">
        <v>4</v>
      </c>
      <c r="F6" s="6" t="s">
        <v>324</v>
      </c>
      <c r="G6" s="4"/>
      <c r="H6" s="3" t="s">
        <v>74</v>
      </c>
      <c r="I6" s="3" t="s">
        <v>142</v>
      </c>
      <c r="J6" s="3" t="s">
        <v>153</v>
      </c>
      <c r="K6" s="3" t="s">
        <v>153</v>
      </c>
      <c r="L6" s="7"/>
    </row>
    <row r="7" spans="1:12">
      <c r="A7" s="3" t="s">
        <v>191</v>
      </c>
      <c r="B7" s="3" t="s">
        <v>13</v>
      </c>
      <c r="C7" s="3" t="s">
        <v>17</v>
      </c>
      <c r="D7" s="3" t="s">
        <v>31</v>
      </c>
      <c r="E7" s="3">
        <v>4</v>
      </c>
      <c r="F7" s="6" t="s">
        <v>324</v>
      </c>
      <c r="G7" s="4"/>
      <c r="H7" s="3" t="s">
        <v>75</v>
      </c>
      <c r="I7" s="3" t="s">
        <v>148</v>
      </c>
      <c r="J7" s="3" t="s">
        <v>90</v>
      </c>
      <c r="K7" s="3" t="s">
        <v>90</v>
      </c>
      <c r="L7" s="4"/>
    </row>
    <row r="8" spans="1:12">
      <c r="A8" s="3" t="s">
        <v>192</v>
      </c>
      <c r="B8" s="3" t="s">
        <v>13</v>
      </c>
      <c r="C8" s="3" t="s">
        <v>17</v>
      </c>
      <c r="D8" s="3" t="s">
        <v>31</v>
      </c>
      <c r="E8" s="3">
        <v>4</v>
      </c>
      <c r="F8" s="6" t="s">
        <v>324</v>
      </c>
      <c r="G8" s="4"/>
      <c r="H8" s="3" t="s">
        <v>76</v>
      </c>
      <c r="I8" s="3" t="s">
        <v>143</v>
      </c>
      <c r="J8" s="3" t="s">
        <v>154</v>
      </c>
      <c r="K8" s="3" t="s">
        <v>154</v>
      </c>
      <c r="L8" s="4"/>
    </row>
    <row r="9" spans="1:12">
      <c r="A9" s="3" t="s">
        <v>193</v>
      </c>
      <c r="B9" s="3" t="s">
        <v>13</v>
      </c>
      <c r="C9" s="3" t="s">
        <v>17</v>
      </c>
      <c r="D9" s="3" t="s">
        <v>31</v>
      </c>
      <c r="E9" s="3">
        <v>4</v>
      </c>
      <c r="F9" s="6" t="s">
        <v>324</v>
      </c>
      <c r="G9" s="4"/>
      <c r="H9" s="3" t="s">
        <v>77</v>
      </c>
      <c r="I9" s="3" t="s">
        <v>64</v>
      </c>
      <c r="J9" s="3" t="s">
        <v>155</v>
      </c>
      <c r="K9" s="3" t="s">
        <v>155</v>
      </c>
      <c r="L9" s="4"/>
    </row>
    <row r="10" spans="1:12">
      <c r="A10" s="3" t="s">
        <v>194</v>
      </c>
      <c r="B10" s="3" t="s">
        <v>13</v>
      </c>
      <c r="C10" s="3" t="s">
        <v>17</v>
      </c>
      <c r="D10" s="3" t="s">
        <v>197</v>
      </c>
      <c r="E10" s="3">
        <v>4</v>
      </c>
      <c r="F10" s="6" t="s">
        <v>324</v>
      </c>
      <c r="G10" s="4"/>
      <c r="H10" s="3" t="s">
        <v>78</v>
      </c>
      <c r="I10" s="3" t="s">
        <v>65</v>
      </c>
      <c r="J10" s="3" t="s">
        <v>108</v>
      </c>
      <c r="K10" s="3" t="s">
        <v>108</v>
      </c>
      <c r="L10" s="4"/>
    </row>
    <row r="11" spans="1:12">
      <c r="A11" s="3" t="s">
        <v>195</v>
      </c>
      <c r="B11" s="3" t="s">
        <v>13</v>
      </c>
      <c r="C11" s="3" t="s">
        <v>17</v>
      </c>
      <c r="D11" s="3" t="s">
        <v>197</v>
      </c>
      <c r="E11" s="3">
        <v>4</v>
      </c>
      <c r="F11" s="6" t="s">
        <v>324</v>
      </c>
      <c r="G11" s="4"/>
      <c r="H11" s="3" t="s">
        <v>79</v>
      </c>
      <c r="I11" s="3" t="s">
        <v>66</v>
      </c>
      <c r="J11" s="3" t="s">
        <v>91</v>
      </c>
      <c r="K11" s="3" t="s">
        <v>91</v>
      </c>
      <c r="L11" s="4"/>
    </row>
    <row r="12" spans="1:12">
      <c r="A12" s="3" t="s">
        <v>196</v>
      </c>
      <c r="B12" s="3" t="s">
        <v>13</v>
      </c>
      <c r="C12" s="3" t="s">
        <v>17</v>
      </c>
      <c r="D12" s="3" t="s">
        <v>197</v>
      </c>
      <c r="E12" s="3">
        <v>4</v>
      </c>
      <c r="F12" s="6" t="s">
        <v>324</v>
      </c>
      <c r="G12" s="4"/>
      <c r="H12" s="3" t="s">
        <v>80</v>
      </c>
      <c r="I12" s="3" t="s">
        <v>144</v>
      </c>
      <c r="J12" s="3" t="s">
        <v>92</v>
      </c>
      <c r="K12" s="3" t="s">
        <v>92</v>
      </c>
      <c r="L12" s="4"/>
    </row>
    <row r="13" spans="1:12">
      <c r="A13" s="3" t="s">
        <v>198</v>
      </c>
      <c r="B13" s="3" t="s">
        <v>13</v>
      </c>
      <c r="C13" s="3" t="s">
        <v>18</v>
      </c>
      <c r="D13" s="3" t="s">
        <v>29</v>
      </c>
      <c r="E13" s="3">
        <v>4</v>
      </c>
      <c r="F13" s="6" t="s">
        <v>323</v>
      </c>
      <c r="G13" s="4"/>
      <c r="H13" s="3" t="s">
        <v>81</v>
      </c>
      <c r="I13" s="3" t="s">
        <v>67</v>
      </c>
      <c r="J13" s="3" t="s">
        <v>156</v>
      </c>
      <c r="K13" s="3" t="s">
        <v>156</v>
      </c>
      <c r="L13" s="4"/>
    </row>
    <row r="14" spans="1:12">
      <c r="A14" s="3" t="s">
        <v>200</v>
      </c>
      <c r="B14" s="3" t="s">
        <v>13</v>
      </c>
      <c r="C14" s="3" t="s">
        <v>18</v>
      </c>
      <c r="D14" s="3" t="s">
        <v>12</v>
      </c>
      <c r="E14" s="3">
        <v>4</v>
      </c>
      <c r="F14" s="6" t="s">
        <v>323</v>
      </c>
      <c r="G14" s="4"/>
      <c r="H14" s="3" t="s">
        <v>82</v>
      </c>
      <c r="I14" s="3" t="s">
        <v>68</v>
      </c>
      <c r="J14" s="3" t="s">
        <v>93</v>
      </c>
      <c r="K14" s="3" t="s">
        <v>93</v>
      </c>
      <c r="L14" s="4"/>
    </row>
    <row r="15" spans="1:12">
      <c r="A15" s="3" t="s">
        <v>201</v>
      </c>
      <c r="B15" s="3" t="s">
        <v>13</v>
      </c>
      <c r="C15" s="3" t="s">
        <v>18</v>
      </c>
      <c r="D15" s="3" t="s">
        <v>30</v>
      </c>
      <c r="E15" s="3">
        <v>4</v>
      </c>
      <c r="F15" s="6" t="s">
        <v>324</v>
      </c>
      <c r="G15" s="4"/>
      <c r="H15" s="3" t="s">
        <v>83</v>
      </c>
      <c r="I15" s="3" t="s">
        <v>145</v>
      </c>
      <c r="J15" s="3" t="s">
        <v>157</v>
      </c>
      <c r="K15" s="3" t="s">
        <v>157</v>
      </c>
      <c r="L15" s="4"/>
    </row>
    <row r="16" spans="1:12">
      <c r="A16" s="3" t="s">
        <v>202</v>
      </c>
      <c r="B16" s="3" t="s">
        <v>13</v>
      </c>
      <c r="C16" s="3" t="s">
        <v>18</v>
      </c>
      <c r="D16" s="3" t="s">
        <v>30</v>
      </c>
      <c r="E16" s="3">
        <v>4</v>
      </c>
      <c r="F16" s="6" t="s">
        <v>324</v>
      </c>
      <c r="G16" s="4"/>
      <c r="H16" s="3" t="s">
        <v>84</v>
      </c>
      <c r="I16" s="3" t="s">
        <v>146</v>
      </c>
      <c r="J16" s="3" t="s">
        <v>158</v>
      </c>
      <c r="K16" s="3" t="s">
        <v>158</v>
      </c>
      <c r="L16" s="4"/>
    </row>
    <row r="17" spans="1:12">
      <c r="A17" s="3" t="s">
        <v>32</v>
      </c>
      <c r="B17" s="3" t="s">
        <v>13</v>
      </c>
      <c r="C17" s="3" t="s">
        <v>18</v>
      </c>
      <c r="D17" s="3" t="s">
        <v>30</v>
      </c>
      <c r="E17" s="3">
        <v>4</v>
      </c>
      <c r="F17" s="6" t="s">
        <v>324</v>
      </c>
      <c r="G17" s="4"/>
      <c r="H17" s="3" t="s">
        <v>85</v>
      </c>
      <c r="I17" s="3" t="s">
        <v>147</v>
      </c>
      <c r="J17" s="3" t="s">
        <v>159</v>
      </c>
      <c r="K17" s="3" t="s">
        <v>159</v>
      </c>
      <c r="L17" s="4"/>
    </row>
    <row r="18" spans="1:12">
      <c r="A18" s="3" t="s">
        <v>203</v>
      </c>
      <c r="B18" s="3" t="s">
        <v>13</v>
      </c>
      <c r="C18" s="3" t="s">
        <v>18</v>
      </c>
      <c r="D18" s="3" t="s">
        <v>31</v>
      </c>
      <c r="E18" s="3">
        <v>4</v>
      </c>
      <c r="F18" s="6" t="s">
        <v>324</v>
      </c>
      <c r="G18" s="4"/>
      <c r="H18" s="3" t="s">
        <v>86</v>
      </c>
      <c r="I18" s="3" t="s">
        <v>149</v>
      </c>
      <c r="J18" s="3" t="s">
        <v>160</v>
      </c>
      <c r="K18" s="3" t="s">
        <v>160</v>
      </c>
      <c r="L18" s="4"/>
    </row>
    <row r="19" spans="1:12">
      <c r="A19" s="3" t="s">
        <v>33</v>
      </c>
      <c r="B19" s="3" t="s">
        <v>13</v>
      </c>
      <c r="C19" s="3" t="s">
        <v>18</v>
      </c>
      <c r="D19" s="3" t="s">
        <v>31</v>
      </c>
      <c r="E19" s="3">
        <v>4</v>
      </c>
      <c r="F19" s="6" t="s">
        <v>324</v>
      </c>
      <c r="G19" s="4"/>
      <c r="J19" s="3" t="s">
        <v>107</v>
      </c>
      <c r="K19" s="3" t="s">
        <v>107</v>
      </c>
      <c r="L19" s="4"/>
    </row>
    <row r="20" spans="1:12">
      <c r="A20" s="3" t="s">
        <v>117</v>
      </c>
      <c r="B20" s="3" t="s">
        <v>13</v>
      </c>
      <c r="C20" s="3" t="s">
        <v>18</v>
      </c>
      <c r="D20" s="3" t="s">
        <v>31</v>
      </c>
      <c r="E20" s="3">
        <v>4</v>
      </c>
      <c r="F20" s="6" t="s">
        <v>324</v>
      </c>
      <c r="G20" s="4"/>
      <c r="J20" s="3" t="s">
        <v>161</v>
      </c>
      <c r="K20" s="3" t="s">
        <v>161</v>
      </c>
      <c r="L20" s="4"/>
    </row>
    <row r="21" spans="1:12">
      <c r="A21" s="3" t="s">
        <v>204</v>
      </c>
      <c r="B21" s="3" t="s">
        <v>13</v>
      </c>
      <c r="C21" s="3" t="s">
        <v>18</v>
      </c>
      <c r="D21" s="3" t="s">
        <v>31</v>
      </c>
      <c r="E21" s="3">
        <v>4</v>
      </c>
      <c r="F21" s="6" t="s">
        <v>324</v>
      </c>
      <c r="G21" s="4"/>
      <c r="J21" s="3" t="s">
        <v>94</v>
      </c>
      <c r="K21" s="3" t="s">
        <v>94</v>
      </c>
      <c r="L21" s="4"/>
    </row>
    <row r="22" spans="1:12">
      <c r="A22" s="3" t="s">
        <v>206</v>
      </c>
      <c r="B22" s="3" t="s">
        <v>13</v>
      </c>
      <c r="C22" s="3" t="s">
        <v>5</v>
      </c>
      <c r="D22" s="3" t="s">
        <v>207</v>
      </c>
      <c r="E22" s="3">
        <v>4</v>
      </c>
      <c r="F22" s="6" t="s">
        <v>324</v>
      </c>
      <c r="G22" s="4"/>
      <c r="H22" s="3"/>
      <c r="I22" s="3"/>
      <c r="J22" s="3" t="s">
        <v>162</v>
      </c>
      <c r="K22" s="3" t="s">
        <v>162</v>
      </c>
      <c r="L22" s="4"/>
    </row>
    <row r="23" spans="1:12">
      <c r="A23" s="3" t="s">
        <v>208</v>
      </c>
      <c r="B23" s="3" t="s">
        <v>13</v>
      </c>
      <c r="C23" s="3" t="s">
        <v>5</v>
      </c>
      <c r="D23" s="3" t="s">
        <v>197</v>
      </c>
      <c r="E23" s="3">
        <v>4</v>
      </c>
      <c r="F23" s="6" t="s">
        <v>324</v>
      </c>
      <c r="G23" s="4"/>
      <c r="H23" s="3"/>
      <c r="I23" s="3"/>
      <c r="J23" s="3" t="s">
        <v>163</v>
      </c>
      <c r="K23" s="3" t="s">
        <v>163</v>
      </c>
      <c r="L23" s="4"/>
    </row>
    <row r="24" spans="1:12">
      <c r="A24" s="3" t="s">
        <v>209</v>
      </c>
      <c r="B24" s="3" t="s">
        <v>13</v>
      </c>
      <c r="C24" s="3" t="s">
        <v>5</v>
      </c>
      <c r="D24" s="3" t="s">
        <v>197</v>
      </c>
      <c r="E24" s="3">
        <v>4</v>
      </c>
      <c r="F24" s="6" t="s">
        <v>324</v>
      </c>
      <c r="G24" s="4"/>
      <c r="H24" s="3"/>
      <c r="I24" s="3"/>
      <c r="J24" s="3" t="s">
        <v>164</v>
      </c>
      <c r="K24" s="3" t="s">
        <v>164</v>
      </c>
      <c r="L24" s="4"/>
    </row>
    <row r="25" spans="1:12">
      <c r="A25" s="3" t="s">
        <v>210</v>
      </c>
      <c r="B25" s="3" t="s">
        <v>13</v>
      </c>
      <c r="C25" s="3" t="s">
        <v>5</v>
      </c>
      <c r="D25" s="3" t="s">
        <v>197</v>
      </c>
      <c r="E25" s="3">
        <v>4</v>
      </c>
      <c r="F25" s="6" t="s">
        <v>324</v>
      </c>
      <c r="G25" s="4"/>
      <c r="H25" s="3"/>
      <c r="I25" s="3"/>
      <c r="J25" s="3" t="s">
        <v>165</v>
      </c>
      <c r="K25" s="3" t="s">
        <v>165</v>
      </c>
      <c r="L25" s="4"/>
    </row>
    <row r="26" spans="1:12">
      <c r="A26" s="3" t="s">
        <v>205</v>
      </c>
      <c r="B26" s="3" t="s">
        <v>13</v>
      </c>
      <c r="C26" s="3" t="s">
        <v>19</v>
      </c>
      <c r="D26" s="3" t="s">
        <v>29</v>
      </c>
      <c r="E26" s="3">
        <v>4</v>
      </c>
      <c r="F26" s="6" t="s">
        <v>323</v>
      </c>
      <c r="G26" s="4"/>
      <c r="H26" s="4"/>
      <c r="I26" s="3"/>
      <c r="J26" s="3" t="s">
        <v>95</v>
      </c>
      <c r="K26" s="3" t="s">
        <v>95</v>
      </c>
      <c r="L26" s="4"/>
    </row>
    <row r="27" spans="1:12">
      <c r="A27" s="3" t="s">
        <v>211</v>
      </c>
      <c r="B27" s="3" t="s">
        <v>13</v>
      </c>
      <c r="C27" s="3" t="s">
        <v>19</v>
      </c>
      <c r="D27" s="3" t="s">
        <v>30</v>
      </c>
      <c r="E27" s="3">
        <v>4</v>
      </c>
      <c r="F27" s="6" t="s">
        <v>324</v>
      </c>
      <c r="G27" s="4"/>
      <c r="H27" s="4"/>
      <c r="I27" s="4"/>
      <c r="J27" s="3" t="s">
        <v>166</v>
      </c>
      <c r="K27" s="3" t="s">
        <v>166</v>
      </c>
      <c r="L27" s="4"/>
    </row>
    <row r="28" spans="1:12">
      <c r="A28" s="3" t="s">
        <v>34</v>
      </c>
      <c r="B28" s="3" t="s">
        <v>13</v>
      </c>
      <c r="C28" s="3" t="s">
        <v>19</v>
      </c>
      <c r="D28" s="3" t="s">
        <v>30</v>
      </c>
      <c r="E28" s="3">
        <v>4</v>
      </c>
      <c r="F28" s="6" t="s">
        <v>324</v>
      </c>
      <c r="G28" s="4"/>
      <c r="H28" s="4"/>
      <c r="I28" s="4"/>
      <c r="J28" s="3" t="s">
        <v>96</v>
      </c>
      <c r="K28" s="3" t="s">
        <v>96</v>
      </c>
      <c r="L28" s="4"/>
    </row>
    <row r="29" spans="1:12">
      <c r="A29" s="3" t="s">
        <v>35</v>
      </c>
      <c r="B29" s="3" t="s">
        <v>13</v>
      </c>
      <c r="C29" s="3" t="s">
        <v>19</v>
      </c>
      <c r="D29" s="3" t="s">
        <v>30</v>
      </c>
      <c r="E29" s="3">
        <v>4</v>
      </c>
      <c r="F29" s="6" t="s">
        <v>324</v>
      </c>
      <c r="G29" s="4"/>
      <c r="H29" s="4"/>
      <c r="I29" s="4"/>
      <c r="J29" s="3" t="s">
        <v>97</v>
      </c>
      <c r="K29" s="3" t="s">
        <v>97</v>
      </c>
      <c r="L29" s="4"/>
    </row>
    <row r="30" spans="1:12">
      <c r="A30" s="3" t="s">
        <v>36</v>
      </c>
      <c r="B30" s="3" t="s">
        <v>13</v>
      </c>
      <c r="C30" s="3" t="s">
        <v>19</v>
      </c>
      <c r="D30" s="3" t="s">
        <v>30</v>
      </c>
      <c r="E30" s="3">
        <v>4</v>
      </c>
      <c r="F30" s="6" t="s">
        <v>324</v>
      </c>
      <c r="G30" s="4"/>
      <c r="H30" s="4"/>
      <c r="I30" s="4"/>
      <c r="J30" s="3" t="s">
        <v>98</v>
      </c>
      <c r="K30" s="3" t="s">
        <v>98</v>
      </c>
      <c r="L30" s="4"/>
    </row>
    <row r="31" spans="1:12">
      <c r="A31" s="3" t="s">
        <v>37</v>
      </c>
      <c r="B31" s="3" t="s">
        <v>13</v>
      </c>
      <c r="C31" s="3" t="s">
        <v>19</v>
      </c>
      <c r="D31" s="3" t="s">
        <v>31</v>
      </c>
      <c r="E31" s="3">
        <v>4</v>
      </c>
      <c r="F31" s="6" t="s">
        <v>324</v>
      </c>
      <c r="G31" s="4"/>
      <c r="H31" s="4"/>
      <c r="I31" s="4"/>
      <c r="J31" s="3" t="s">
        <v>99</v>
      </c>
      <c r="K31" s="3" t="s">
        <v>99</v>
      </c>
      <c r="L31" s="4"/>
    </row>
    <row r="32" spans="1:12">
      <c r="A32" s="3" t="s">
        <v>212</v>
      </c>
      <c r="B32" s="3" t="s">
        <v>13</v>
      </c>
      <c r="C32" s="3" t="s">
        <v>19</v>
      </c>
      <c r="D32" s="3" t="s">
        <v>31</v>
      </c>
      <c r="E32" s="3">
        <v>4</v>
      </c>
      <c r="F32" s="6" t="s">
        <v>324</v>
      </c>
      <c r="G32" s="4"/>
      <c r="H32" s="4"/>
      <c r="I32" s="4"/>
      <c r="J32" s="3" t="s">
        <v>100</v>
      </c>
      <c r="K32" s="3" t="s">
        <v>100</v>
      </c>
      <c r="L32" s="4"/>
    </row>
    <row r="33" spans="1:12">
      <c r="A33" s="3" t="s">
        <v>213</v>
      </c>
      <c r="B33" s="3" t="s">
        <v>13</v>
      </c>
      <c r="C33" s="3" t="s">
        <v>19</v>
      </c>
      <c r="D33" s="3" t="s">
        <v>31</v>
      </c>
      <c r="E33" s="3">
        <v>4</v>
      </c>
      <c r="F33" s="6" t="s">
        <v>324</v>
      </c>
      <c r="G33" s="4"/>
      <c r="H33" s="4"/>
      <c r="I33" s="4"/>
      <c r="J33" s="3" t="s">
        <v>101</v>
      </c>
      <c r="K33" s="3" t="s">
        <v>101</v>
      </c>
      <c r="L33" s="4"/>
    </row>
    <row r="34" spans="1:12">
      <c r="A34" s="3" t="s">
        <v>214</v>
      </c>
      <c r="B34" s="3" t="s">
        <v>13</v>
      </c>
      <c r="C34" s="3" t="s">
        <v>19</v>
      </c>
      <c r="D34" s="3" t="s">
        <v>31</v>
      </c>
      <c r="E34" s="3">
        <v>4</v>
      </c>
      <c r="F34" s="6" t="s">
        <v>324</v>
      </c>
      <c r="G34" s="4"/>
      <c r="H34" s="4"/>
      <c r="I34" s="4"/>
      <c r="J34" s="3" t="s">
        <v>167</v>
      </c>
      <c r="K34" s="3" t="s">
        <v>167</v>
      </c>
      <c r="L34" s="4"/>
    </row>
    <row r="35" spans="1:12">
      <c r="A35" s="3" t="s">
        <v>215</v>
      </c>
      <c r="B35" s="3" t="s">
        <v>13</v>
      </c>
      <c r="C35" s="3" t="s">
        <v>6</v>
      </c>
      <c r="D35" s="3" t="s">
        <v>207</v>
      </c>
      <c r="E35" s="3">
        <v>4</v>
      </c>
      <c r="F35" s="6" t="s">
        <v>324</v>
      </c>
      <c r="G35" s="4"/>
      <c r="H35" s="4"/>
      <c r="I35" s="4"/>
      <c r="J35" s="3" t="s">
        <v>168</v>
      </c>
      <c r="K35" s="3" t="s">
        <v>168</v>
      </c>
      <c r="L35" s="4"/>
    </row>
    <row r="36" spans="1:12">
      <c r="A36" s="3" t="s">
        <v>216</v>
      </c>
      <c r="B36" s="3" t="s">
        <v>13</v>
      </c>
      <c r="C36" s="3" t="s">
        <v>6</v>
      </c>
      <c r="D36" s="3" t="s">
        <v>197</v>
      </c>
      <c r="E36" s="3">
        <v>4</v>
      </c>
      <c r="F36" s="6" t="s">
        <v>324</v>
      </c>
      <c r="G36" s="4"/>
      <c r="H36" s="4"/>
      <c r="I36" s="4"/>
      <c r="J36" s="3" t="s">
        <v>102</v>
      </c>
      <c r="K36" s="3" t="s">
        <v>102</v>
      </c>
      <c r="L36" s="4"/>
    </row>
    <row r="37" spans="1:12">
      <c r="A37" s="3" t="s">
        <v>217</v>
      </c>
      <c r="B37" s="3" t="s">
        <v>13</v>
      </c>
      <c r="C37" s="3" t="s">
        <v>6</v>
      </c>
      <c r="D37" s="3" t="s">
        <v>197</v>
      </c>
      <c r="E37" s="3">
        <v>4</v>
      </c>
      <c r="F37" s="6" t="s">
        <v>324</v>
      </c>
      <c r="G37" s="4"/>
      <c r="H37" s="4"/>
      <c r="I37" s="4"/>
      <c r="J37" s="3" t="s">
        <v>103</v>
      </c>
      <c r="K37" s="3" t="s">
        <v>103</v>
      </c>
      <c r="L37" s="4"/>
    </row>
    <row r="38" spans="1:12">
      <c r="A38" s="3" t="s">
        <v>218</v>
      </c>
      <c r="B38" s="3" t="s">
        <v>13</v>
      </c>
      <c r="C38" s="3" t="s">
        <v>6</v>
      </c>
      <c r="D38" s="3" t="s">
        <v>197</v>
      </c>
      <c r="E38" s="3">
        <v>4</v>
      </c>
      <c r="F38" s="6" t="s">
        <v>324</v>
      </c>
      <c r="G38" s="4"/>
      <c r="H38" s="4"/>
      <c r="I38" s="4"/>
      <c r="J38" s="3" t="s">
        <v>104</v>
      </c>
      <c r="K38" s="3" t="s">
        <v>104</v>
      </c>
      <c r="L38" s="4"/>
    </row>
    <row r="39" spans="1:12">
      <c r="A39" s="3" t="s">
        <v>219</v>
      </c>
      <c r="B39" s="3" t="s">
        <v>13</v>
      </c>
      <c r="C39" s="3" t="s">
        <v>20</v>
      </c>
      <c r="D39" s="3" t="s">
        <v>29</v>
      </c>
      <c r="E39" s="3">
        <v>3</v>
      </c>
      <c r="F39" s="6" t="s">
        <v>343</v>
      </c>
      <c r="G39" s="4"/>
      <c r="H39" s="4"/>
      <c r="I39" s="4"/>
      <c r="J39" s="3" t="s">
        <v>105</v>
      </c>
      <c r="K39" s="3" t="s">
        <v>105</v>
      </c>
      <c r="L39" s="4"/>
    </row>
    <row r="40" spans="1:12">
      <c r="A40" s="3" t="s">
        <v>220</v>
      </c>
      <c r="B40" s="3" t="s">
        <v>13</v>
      </c>
      <c r="C40" s="3" t="s">
        <v>7</v>
      </c>
      <c r="D40" s="3" t="s">
        <v>221</v>
      </c>
      <c r="E40" s="3">
        <v>3</v>
      </c>
      <c r="F40" s="6" t="s">
        <v>343</v>
      </c>
      <c r="G40" s="4"/>
      <c r="H40" s="4"/>
      <c r="I40" s="4"/>
      <c r="J40" s="3" t="s">
        <v>170</v>
      </c>
      <c r="K40" s="3" t="s">
        <v>170</v>
      </c>
      <c r="L40" s="4"/>
    </row>
    <row r="41" spans="1:12" ht="17.25" customHeight="1">
      <c r="A41" s="3" t="s">
        <v>222</v>
      </c>
      <c r="B41" s="3" t="s">
        <v>13</v>
      </c>
      <c r="C41" s="3" t="s">
        <v>21</v>
      </c>
      <c r="D41" s="3" t="s">
        <v>29</v>
      </c>
      <c r="E41" s="3">
        <v>4</v>
      </c>
      <c r="F41" s="6" t="s">
        <v>323</v>
      </c>
      <c r="G41" s="4"/>
      <c r="H41" s="4"/>
      <c r="I41" s="4"/>
      <c r="J41" s="3" t="s">
        <v>106</v>
      </c>
      <c r="K41" s="3" t="s">
        <v>106</v>
      </c>
      <c r="L41" s="4"/>
    </row>
    <row r="42" spans="1:12" ht="17.25" customHeight="1">
      <c r="A42" s="3" t="s">
        <v>223</v>
      </c>
      <c r="B42" s="3" t="s">
        <v>13</v>
      </c>
      <c r="C42" s="3" t="s">
        <v>21</v>
      </c>
      <c r="D42" s="3" t="s">
        <v>12</v>
      </c>
      <c r="E42" s="3">
        <v>4</v>
      </c>
      <c r="F42" s="6" t="s">
        <v>323</v>
      </c>
      <c r="G42" s="4"/>
      <c r="H42" s="4"/>
      <c r="I42" s="4"/>
      <c r="J42" s="3" t="s">
        <v>171</v>
      </c>
      <c r="K42" s="3" t="s">
        <v>171</v>
      </c>
      <c r="L42" s="4"/>
    </row>
    <row r="43" spans="1:12" ht="17.25" customHeight="1">
      <c r="A43" s="3" t="s">
        <v>235</v>
      </c>
      <c r="B43" s="3" t="s">
        <v>13</v>
      </c>
      <c r="C43" s="3" t="s">
        <v>21</v>
      </c>
      <c r="D43" s="3" t="s">
        <v>239</v>
      </c>
      <c r="E43" s="3">
        <v>4</v>
      </c>
      <c r="F43" s="6" t="s">
        <v>324</v>
      </c>
      <c r="G43" s="4"/>
      <c r="H43" s="4"/>
      <c r="I43" s="4"/>
      <c r="J43" s="3" t="s">
        <v>172</v>
      </c>
      <c r="K43" s="3" t="s">
        <v>172</v>
      </c>
      <c r="L43" s="4"/>
    </row>
    <row r="44" spans="1:12" ht="17.25" customHeight="1">
      <c r="A44" s="3" t="s">
        <v>236</v>
      </c>
      <c r="B44" s="3" t="s">
        <v>13</v>
      </c>
      <c r="C44" s="3" t="s">
        <v>21</v>
      </c>
      <c r="D44" s="3" t="s">
        <v>239</v>
      </c>
      <c r="E44" s="3">
        <v>4</v>
      </c>
      <c r="F44" s="6" t="s">
        <v>324</v>
      </c>
      <c r="G44" s="4"/>
      <c r="H44" s="4"/>
      <c r="I44" s="4"/>
      <c r="J44" s="3" t="s">
        <v>109</v>
      </c>
      <c r="K44" s="3" t="s">
        <v>109</v>
      </c>
      <c r="L44" s="4"/>
    </row>
    <row r="45" spans="1:12" ht="17.25" customHeight="1">
      <c r="A45" s="3" t="s">
        <v>237</v>
      </c>
      <c r="B45" s="3" t="s">
        <v>13</v>
      </c>
      <c r="C45" s="3" t="s">
        <v>21</v>
      </c>
      <c r="D45" s="3" t="s">
        <v>239</v>
      </c>
      <c r="E45" s="3">
        <v>4</v>
      </c>
      <c r="F45" s="6" t="s">
        <v>324</v>
      </c>
      <c r="G45" s="4"/>
      <c r="H45" s="4"/>
      <c r="I45" s="4"/>
      <c r="J45" s="3" t="s">
        <v>173</v>
      </c>
      <c r="K45" s="3" t="s">
        <v>173</v>
      </c>
      <c r="L45" s="4"/>
    </row>
    <row r="46" spans="1:12" ht="17.25" customHeight="1">
      <c r="A46" s="3" t="s">
        <v>238</v>
      </c>
      <c r="B46" s="3" t="s">
        <v>13</v>
      </c>
      <c r="C46" s="3" t="s">
        <v>21</v>
      </c>
      <c r="D46" s="3" t="s">
        <v>30</v>
      </c>
      <c r="E46" s="3">
        <v>4</v>
      </c>
      <c r="F46" s="6" t="s">
        <v>324</v>
      </c>
      <c r="G46" s="4"/>
      <c r="H46" s="4"/>
      <c r="I46" s="4"/>
      <c r="J46" s="3" t="s">
        <v>110</v>
      </c>
      <c r="K46" s="3" t="s">
        <v>110</v>
      </c>
      <c r="L46" s="4"/>
    </row>
    <row r="47" spans="1:12">
      <c r="A47" s="3" t="s">
        <v>224</v>
      </c>
      <c r="B47" s="3" t="s">
        <v>13</v>
      </c>
      <c r="C47" s="3" t="s">
        <v>21</v>
      </c>
      <c r="D47" s="3" t="s">
        <v>31</v>
      </c>
      <c r="E47" s="3">
        <v>4</v>
      </c>
      <c r="F47" s="6" t="s">
        <v>324</v>
      </c>
      <c r="G47" s="4"/>
      <c r="H47" s="4"/>
      <c r="I47" s="4"/>
      <c r="J47" s="3" t="s">
        <v>111</v>
      </c>
      <c r="K47" s="3" t="s">
        <v>111</v>
      </c>
      <c r="L47" s="4"/>
    </row>
    <row r="48" spans="1:12">
      <c r="A48" s="3" t="s">
        <v>225</v>
      </c>
      <c r="B48" s="3" t="s">
        <v>13</v>
      </c>
      <c r="C48" s="3" t="s">
        <v>21</v>
      </c>
      <c r="D48" s="3" t="s">
        <v>31</v>
      </c>
      <c r="E48" s="3">
        <v>4</v>
      </c>
      <c r="F48" s="6" t="s">
        <v>324</v>
      </c>
      <c r="G48" s="4"/>
      <c r="H48" s="4"/>
      <c r="I48" s="4"/>
      <c r="J48" s="3" t="s">
        <v>112</v>
      </c>
      <c r="K48" s="3" t="s">
        <v>112</v>
      </c>
      <c r="L48" s="4"/>
    </row>
    <row r="49" spans="1:12">
      <c r="A49" s="3" t="s">
        <v>226</v>
      </c>
      <c r="B49" s="3" t="s">
        <v>13</v>
      </c>
      <c r="C49" s="3" t="s">
        <v>21</v>
      </c>
      <c r="D49" s="3" t="s">
        <v>31</v>
      </c>
      <c r="E49" s="3">
        <v>4</v>
      </c>
      <c r="F49" s="6" t="s">
        <v>324</v>
      </c>
      <c r="G49" s="4"/>
      <c r="H49" s="4"/>
      <c r="I49" s="4"/>
      <c r="J49" s="4" t="s">
        <v>174</v>
      </c>
      <c r="K49" s="4" t="s">
        <v>174</v>
      </c>
      <c r="L49" s="4"/>
    </row>
    <row r="50" spans="1:12">
      <c r="A50" s="3" t="s">
        <v>227</v>
      </c>
      <c r="B50" s="3" t="s">
        <v>13</v>
      </c>
      <c r="C50" s="3" t="s">
        <v>21</v>
      </c>
      <c r="D50" s="3" t="s">
        <v>31</v>
      </c>
      <c r="E50" s="3">
        <v>4</v>
      </c>
      <c r="F50" s="6" t="s">
        <v>324</v>
      </c>
      <c r="G50" s="4"/>
      <c r="H50" s="4"/>
      <c r="I50" s="4"/>
      <c r="J50" s="4" t="s">
        <v>175</v>
      </c>
      <c r="K50" s="4" t="s">
        <v>175</v>
      </c>
      <c r="L50" s="4"/>
    </row>
    <row r="51" spans="1:12">
      <c r="A51" s="3" t="s">
        <v>38</v>
      </c>
      <c r="B51" s="3" t="s">
        <v>13</v>
      </c>
      <c r="C51" s="3" t="s">
        <v>21</v>
      </c>
      <c r="D51" s="3" t="s">
        <v>31</v>
      </c>
      <c r="E51" s="3">
        <v>4</v>
      </c>
      <c r="F51" s="6" t="s">
        <v>324</v>
      </c>
      <c r="G51" s="4"/>
      <c r="H51" s="4"/>
      <c r="I51" s="4"/>
      <c r="J51" s="4" t="s">
        <v>176</v>
      </c>
      <c r="K51" s="4" t="s">
        <v>176</v>
      </c>
      <c r="L51" s="4"/>
    </row>
    <row r="52" spans="1:12">
      <c r="A52" s="3" t="s">
        <v>228</v>
      </c>
      <c r="B52" s="3" t="s">
        <v>13</v>
      </c>
      <c r="C52" s="3" t="s">
        <v>21</v>
      </c>
      <c r="D52" s="3" t="s">
        <v>31</v>
      </c>
      <c r="E52" s="3">
        <v>4</v>
      </c>
      <c r="F52" s="6" t="s">
        <v>324</v>
      </c>
      <c r="G52" s="4"/>
      <c r="H52" s="4"/>
      <c r="I52" s="4"/>
      <c r="J52" s="4" t="s">
        <v>177</v>
      </c>
      <c r="K52" s="4" t="s">
        <v>177</v>
      </c>
      <c r="L52" s="4"/>
    </row>
    <row r="53" spans="1:12">
      <c r="A53" s="3" t="s">
        <v>39</v>
      </c>
      <c r="B53" s="3" t="s">
        <v>13</v>
      </c>
      <c r="C53" s="3" t="s">
        <v>21</v>
      </c>
      <c r="D53" s="3" t="s">
        <v>31</v>
      </c>
      <c r="E53" s="3">
        <v>4</v>
      </c>
      <c r="F53" s="6" t="s">
        <v>324</v>
      </c>
      <c r="G53" s="4"/>
      <c r="H53" s="4"/>
      <c r="I53" s="4"/>
      <c r="J53" s="4" t="s">
        <v>178</v>
      </c>
      <c r="K53" s="4" t="s">
        <v>178</v>
      </c>
      <c r="L53" s="4"/>
    </row>
    <row r="54" spans="1:12">
      <c r="A54" s="3" t="s">
        <v>229</v>
      </c>
      <c r="B54" s="3" t="s">
        <v>13</v>
      </c>
      <c r="C54" s="3" t="s">
        <v>21</v>
      </c>
      <c r="D54" s="3" t="s">
        <v>31</v>
      </c>
      <c r="E54" s="3">
        <v>4</v>
      </c>
      <c r="F54" s="6" t="s">
        <v>324</v>
      </c>
      <c r="G54" s="4"/>
      <c r="H54" s="4"/>
      <c r="I54" s="4"/>
      <c r="J54" s="4" t="s">
        <v>179</v>
      </c>
      <c r="K54" s="4" t="s">
        <v>179</v>
      </c>
      <c r="L54" s="4"/>
    </row>
    <row r="55" spans="1:12">
      <c r="A55" s="3" t="s">
        <v>230</v>
      </c>
      <c r="B55" s="3" t="s">
        <v>13</v>
      </c>
      <c r="C55" s="3" t="s">
        <v>21</v>
      </c>
      <c r="D55" s="3" t="s">
        <v>31</v>
      </c>
      <c r="E55" s="3">
        <v>4</v>
      </c>
      <c r="F55" s="6" t="s">
        <v>324</v>
      </c>
      <c r="G55" s="4"/>
      <c r="H55" s="4"/>
      <c r="I55" s="4"/>
      <c r="J55" s="4" t="s">
        <v>181</v>
      </c>
      <c r="K55" s="4" t="s">
        <v>181</v>
      </c>
      <c r="L55" s="4"/>
    </row>
    <row r="56" spans="1:12">
      <c r="A56" s="3" t="s">
        <v>40</v>
      </c>
      <c r="B56" s="3" t="s">
        <v>13</v>
      </c>
      <c r="C56" s="3" t="s">
        <v>21</v>
      </c>
      <c r="D56" s="3" t="s">
        <v>197</v>
      </c>
      <c r="E56" s="3">
        <v>4</v>
      </c>
      <c r="F56" s="6" t="s">
        <v>324</v>
      </c>
      <c r="G56" s="4"/>
      <c r="H56" s="4"/>
      <c r="I56" s="4"/>
      <c r="J56" s="4" t="s">
        <v>180</v>
      </c>
      <c r="K56" s="4" t="s">
        <v>180</v>
      </c>
      <c r="L56" s="4"/>
    </row>
    <row r="57" spans="1:12">
      <c r="A57" s="3" t="s">
        <v>41</v>
      </c>
      <c r="B57" s="3" t="s">
        <v>13</v>
      </c>
      <c r="C57" s="3" t="s">
        <v>21</v>
      </c>
      <c r="D57" s="3" t="s">
        <v>197</v>
      </c>
      <c r="E57" s="3">
        <v>4</v>
      </c>
      <c r="F57" s="6" t="s">
        <v>324</v>
      </c>
      <c r="G57" s="4"/>
      <c r="H57" s="4"/>
      <c r="I57" s="4"/>
      <c r="J57" s="4" t="s">
        <v>182</v>
      </c>
      <c r="K57" s="4" t="s">
        <v>182</v>
      </c>
      <c r="L57" s="4"/>
    </row>
    <row r="58" spans="1:12">
      <c r="A58" s="3" t="s">
        <v>231</v>
      </c>
      <c r="B58" s="3" t="s">
        <v>13</v>
      </c>
      <c r="C58" s="3" t="s">
        <v>21</v>
      </c>
      <c r="D58" s="3" t="s">
        <v>197</v>
      </c>
      <c r="E58" s="3">
        <v>4</v>
      </c>
      <c r="F58" s="6" t="s">
        <v>324</v>
      </c>
      <c r="G58" s="4"/>
      <c r="H58" s="4"/>
      <c r="I58" s="4"/>
      <c r="J58" s="4" t="s">
        <v>183</v>
      </c>
      <c r="K58" s="4" t="s">
        <v>183</v>
      </c>
      <c r="L58" s="4"/>
    </row>
    <row r="59" spans="1:12">
      <c r="A59" s="3" t="s">
        <v>232</v>
      </c>
      <c r="B59" s="3" t="s">
        <v>13</v>
      </c>
      <c r="C59" s="3" t="s">
        <v>21</v>
      </c>
      <c r="D59" s="3" t="s">
        <v>197</v>
      </c>
      <c r="E59" s="3">
        <v>4</v>
      </c>
      <c r="F59" s="6" t="s">
        <v>324</v>
      </c>
      <c r="G59" s="4"/>
      <c r="H59" s="4"/>
      <c r="I59" s="4"/>
      <c r="J59" s="4" t="s">
        <v>184</v>
      </c>
      <c r="K59" s="4" t="s">
        <v>184</v>
      </c>
      <c r="L59" s="4"/>
    </row>
    <row r="60" spans="1:12">
      <c r="A60" s="3" t="s">
        <v>233</v>
      </c>
      <c r="B60" s="3" t="s">
        <v>13</v>
      </c>
      <c r="C60" s="3" t="s">
        <v>21</v>
      </c>
      <c r="D60" s="3" t="s">
        <v>197</v>
      </c>
      <c r="E60" s="3">
        <v>4</v>
      </c>
      <c r="F60" s="6" t="s">
        <v>324</v>
      </c>
      <c r="G60" s="4"/>
      <c r="H60" s="4"/>
      <c r="I60" s="4"/>
      <c r="J60" s="3"/>
      <c r="K60" s="3"/>
      <c r="L60" s="4"/>
    </row>
    <row r="61" spans="1:12">
      <c r="A61" s="3" t="s">
        <v>234</v>
      </c>
      <c r="B61" s="3" t="s">
        <v>13</v>
      </c>
      <c r="C61" s="3" t="s">
        <v>21</v>
      </c>
      <c r="D61" s="3" t="s">
        <v>197</v>
      </c>
      <c r="E61" s="3">
        <v>4</v>
      </c>
      <c r="F61" s="6" t="s">
        <v>324</v>
      </c>
      <c r="G61" s="4"/>
      <c r="H61" s="4"/>
      <c r="I61" s="4"/>
      <c r="J61" s="3"/>
      <c r="K61" s="3"/>
      <c r="L61" s="4"/>
    </row>
    <row r="62" spans="1:12">
      <c r="A62" s="3" t="s">
        <v>240</v>
      </c>
      <c r="B62" s="3" t="s">
        <v>13</v>
      </c>
      <c r="C62" s="3" t="s">
        <v>22</v>
      </c>
      <c r="D62" s="3" t="s">
        <v>29</v>
      </c>
      <c r="E62" s="3">
        <v>4</v>
      </c>
      <c r="F62" s="6" t="s">
        <v>323</v>
      </c>
      <c r="G62" s="4"/>
      <c r="H62" s="4"/>
      <c r="I62" s="4"/>
      <c r="L62" s="4"/>
    </row>
    <row r="63" spans="1:12">
      <c r="A63" s="3" t="s">
        <v>241</v>
      </c>
      <c r="B63" s="3" t="s">
        <v>13</v>
      </c>
      <c r="C63" s="3" t="s">
        <v>22</v>
      </c>
      <c r="D63" s="3" t="s">
        <v>221</v>
      </c>
      <c r="E63" s="3">
        <v>4</v>
      </c>
      <c r="F63" s="6" t="s">
        <v>323</v>
      </c>
      <c r="G63" s="4"/>
      <c r="H63" s="4"/>
      <c r="I63" s="4"/>
      <c r="J63" s="3"/>
      <c r="K63" s="3"/>
      <c r="L63" s="4"/>
    </row>
    <row r="64" spans="1:12">
      <c r="A64" s="3" t="s">
        <v>242</v>
      </c>
      <c r="B64" s="3" t="s">
        <v>13</v>
      </c>
      <c r="C64" s="3" t="s">
        <v>22</v>
      </c>
      <c r="D64" s="3" t="s">
        <v>29</v>
      </c>
      <c r="E64" s="3">
        <v>4</v>
      </c>
      <c r="F64" s="6" t="s">
        <v>323</v>
      </c>
      <c r="G64" s="4"/>
      <c r="H64" s="4"/>
      <c r="I64" s="4"/>
      <c r="L64" s="4"/>
    </row>
    <row r="65" spans="1:12">
      <c r="A65" s="3" t="s">
        <v>243</v>
      </c>
      <c r="B65" s="3" t="s">
        <v>13</v>
      </c>
      <c r="C65" s="3" t="s">
        <v>22</v>
      </c>
      <c r="D65" s="3" t="s">
        <v>12</v>
      </c>
      <c r="E65" s="3">
        <v>4</v>
      </c>
      <c r="F65" s="6" t="s">
        <v>323</v>
      </c>
      <c r="G65" s="4"/>
      <c r="H65" s="4"/>
      <c r="I65" s="4"/>
      <c r="J65" s="3"/>
      <c r="K65" s="3"/>
      <c r="L65" s="4"/>
    </row>
    <row r="66" spans="1:12">
      <c r="A66" s="3" t="s">
        <v>244</v>
      </c>
      <c r="B66" s="3" t="s">
        <v>13</v>
      </c>
      <c r="C66" s="3" t="s">
        <v>22</v>
      </c>
      <c r="D66" s="3" t="s">
        <v>30</v>
      </c>
      <c r="E66" s="3">
        <v>4</v>
      </c>
      <c r="F66" s="6" t="s">
        <v>324</v>
      </c>
      <c r="G66" s="4"/>
      <c r="H66" s="4"/>
      <c r="I66" s="4"/>
      <c r="J66" s="3"/>
      <c r="K66" s="3"/>
      <c r="L66" s="4"/>
    </row>
    <row r="67" spans="1:12">
      <c r="A67" s="3" t="s">
        <v>245</v>
      </c>
      <c r="B67" s="3" t="s">
        <v>13</v>
      </c>
      <c r="C67" s="3" t="s">
        <v>22</v>
      </c>
      <c r="D67" s="3" t="s">
        <v>30</v>
      </c>
      <c r="E67" s="3">
        <v>4</v>
      </c>
      <c r="F67" s="6" t="s">
        <v>324</v>
      </c>
      <c r="G67" s="4"/>
      <c r="H67" s="4"/>
      <c r="I67" s="4"/>
      <c r="J67" s="3"/>
      <c r="K67" s="3"/>
      <c r="L67" s="4"/>
    </row>
    <row r="68" spans="1:12">
      <c r="A68" s="3" t="s">
        <v>246</v>
      </c>
      <c r="B68" s="3" t="s">
        <v>13</v>
      </c>
      <c r="C68" s="3" t="s">
        <v>22</v>
      </c>
      <c r="D68" s="3" t="s">
        <v>30</v>
      </c>
      <c r="E68" s="3">
        <v>4</v>
      </c>
      <c r="F68" s="6" t="s">
        <v>324</v>
      </c>
      <c r="G68" s="4"/>
      <c r="H68" s="4"/>
      <c r="I68" s="4"/>
      <c r="J68" s="3"/>
      <c r="K68" s="3"/>
      <c r="L68" s="4"/>
    </row>
    <row r="69" spans="1:12">
      <c r="A69" s="3" t="s">
        <v>247</v>
      </c>
      <c r="B69" s="3" t="s">
        <v>13</v>
      </c>
      <c r="C69" s="3" t="s">
        <v>22</v>
      </c>
      <c r="D69" s="3" t="s">
        <v>30</v>
      </c>
      <c r="E69" s="3">
        <v>4</v>
      </c>
      <c r="F69" s="6" t="s">
        <v>324</v>
      </c>
      <c r="G69" s="4"/>
      <c r="H69" s="4"/>
      <c r="I69" s="4"/>
      <c r="L69" s="4"/>
    </row>
    <row r="70" spans="1:12">
      <c r="A70" s="3" t="s">
        <v>248</v>
      </c>
      <c r="B70" s="3" t="s">
        <v>13</v>
      </c>
      <c r="C70" s="3" t="s">
        <v>22</v>
      </c>
      <c r="D70" s="3" t="s">
        <v>31</v>
      </c>
      <c r="E70" s="3">
        <v>4</v>
      </c>
      <c r="F70" s="6" t="s">
        <v>324</v>
      </c>
      <c r="G70" s="4"/>
      <c r="H70" s="4"/>
      <c r="I70" s="4"/>
      <c r="L70" s="4"/>
    </row>
    <row r="71" spans="1:12">
      <c r="A71" s="3" t="s">
        <v>249</v>
      </c>
      <c r="B71" s="3" t="s">
        <v>13</v>
      </c>
      <c r="C71" s="3" t="s">
        <v>22</v>
      </c>
      <c r="D71" s="3" t="s">
        <v>31</v>
      </c>
      <c r="E71" s="3">
        <v>4</v>
      </c>
      <c r="F71" s="6" t="s">
        <v>324</v>
      </c>
      <c r="G71" s="4"/>
      <c r="H71" s="4"/>
      <c r="I71" s="4"/>
      <c r="L71" s="4"/>
    </row>
    <row r="72" spans="1:12">
      <c r="A72" s="3" t="s">
        <v>250</v>
      </c>
      <c r="B72" s="3" t="s">
        <v>13</v>
      </c>
      <c r="C72" s="3" t="s">
        <v>22</v>
      </c>
      <c r="D72" s="3" t="s">
        <v>31</v>
      </c>
      <c r="E72" s="3">
        <v>4</v>
      </c>
      <c r="F72" s="6" t="s">
        <v>324</v>
      </c>
      <c r="G72" s="4"/>
      <c r="H72" s="4"/>
      <c r="I72" s="4"/>
      <c r="L72" s="4"/>
    </row>
    <row r="73" spans="1:12">
      <c r="A73" s="3" t="s">
        <v>251</v>
      </c>
      <c r="B73" s="3" t="s">
        <v>13</v>
      </c>
      <c r="C73" s="3" t="s">
        <v>22</v>
      </c>
      <c r="D73" s="3" t="s">
        <v>31</v>
      </c>
      <c r="E73" s="3">
        <v>4</v>
      </c>
      <c r="F73" s="6" t="s">
        <v>324</v>
      </c>
      <c r="G73" s="4"/>
      <c r="H73" s="4"/>
      <c r="I73" s="4"/>
      <c r="L73" s="4"/>
    </row>
    <row r="74" spans="1:12">
      <c r="A74" s="3" t="s">
        <v>252</v>
      </c>
      <c r="B74" s="3" t="s">
        <v>13</v>
      </c>
      <c r="C74" s="3" t="s">
        <v>22</v>
      </c>
      <c r="D74" s="3" t="s">
        <v>31</v>
      </c>
      <c r="E74" s="3">
        <v>4</v>
      </c>
      <c r="F74" s="6" t="s">
        <v>324</v>
      </c>
      <c r="G74" s="4"/>
      <c r="H74" s="4"/>
      <c r="I74" s="4"/>
      <c r="L74" s="4"/>
    </row>
    <row r="75" spans="1:12">
      <c r="A75" s="3" t="s">
        <v>253</v>
      </c>
      <c r="B75" s="3" t="s">
        <v>13</v>
      </c>
      <c r="C75" s="3" t="s">
        <v>22</v>
      </c>
      <c r="D75" s="3" t="s">
        <v>31</v>
      </c>
      <c r="E75" s="3">
        <v>4</v>
      </c>
      <c r="F75" s="6" t="s">
        <v>324</v>
      </c>
      <c r="G75" s="4"/>
      <c r="H75" s="4"/>
      <c r="I75" s="4"/>
      <c r="L75" s="4"/>
    </row>
    <row r="76" spans="1:12">
      <c r="A76" s="3" t="s">
        <v>254</v>
      </c>
      <c r="B76" s="3" t="s">
        <v>13</v>
      </c>
      <c r="C76" s="3" t="s">
        <v>22</v>
      </c>
      <c r="D76" s="3" t="s">
        <v>31</v>
      </c>
      <c r="E76" s="3">
        <v>4</v>
      </c>
      <c r="F76" s="6" t="s">
        <v>324</v>
      </c>
      <c r="G76" s="4"/>
      <c r="H76" s="4"/>
      <c r="I76" s="4"/>
      <c r="L76" s="4"/>
    </row>
    <row r="77" spans="1:12">
      <c r="A77" s="3" t="s">
        <v>255</v>
      </c>
      <c r="B77" s="3" t="s">
        <v>13</v>
      </c>
      <c r="C77" s="3" t="s">
        <v>22</v>
      </c>
      <c r="D77" s="3" t="s">
        <v>31</v>
      </c>
      <c r="E77" s="3">
        <v>4</v>
      </c>
      <c r="F77" s="6" t="s">
        <v>324</v>
      </c>
      <c r="G77" s="4"/>
      <c r="H77" s="4"/>
      <c r="I77" s="4"/>
      <c r="L77" s="4"/>
    </row>
    <row r="78" spans="1:12">
      <c r="A78" s="3" t="s">
        <v>256</v>
      </c>
      <c r="B78" s="3" t="s">
        <v>13</v>
      </c>
      <c r="C78" s="3" t="s">
        <v>22</v>
      </c>
      <c r="D78" s="3" t="s">
        <v>259</v>
      </c>
      <c r="E78" s="3">
        <v>4</v>
      </c>
      <c r="F78" s="6" t="s">
        <v>324</v>
      </c>
      <c r="G78" s="4"/>
      <c r="H78" s="4"/>
      <c r="I78" s="4"/>
      <c r="L78" s="4"/>
    </row>
    <row r="79" spans="1:12">
      <c r="A79" s="3" t="s">
        <v>257</v>
      </c>
      <c r="B79" s="3" t="s">
        <v>13</v>
      </c>
      <c r="C79" s="3" t="s">
        <v>22</v>
      </c>
      <c r="D79" s="3" t="s">
        <v>197</v>
      </c>
      <c r="E79" s="3">
        <v>4</v>
      </c>
      <c r="F79" s="6" t="s">
        <v>324</v>
      </c>
      <c r="G79" s="4"/>
      <c r="H79" s="4"/>
      <c r="I79" s="4"/>
      <c r="L79" s="4"/>
    </row>
    <row r="80" spans="1:12">
      <c r="A80" s="3" t="s">
        <v>258</v>
      </c>
      <c r="B80" s="3" t="s">
        <v>13</v>
      </c>
      <c r="C80" s="3" t="s">
        <v>22</v>
      </c>
      <c r="D80" s="3" t="s">
        <v>197</v>
      </c>
      <c r="E80" s="3">
        <v>4</v>
      </c>
      <c r="F80" s="6" t="s">
        <v>324</v>
      </c>
      <c r="G80" s="4"/>
      <c r="H80" s="4"/>
      <c r="I80" s="4"/>
      <c r="L80" s="4"/>
    </row>
    <row r="81" spans="1:12">
      <c r="A81" s="3" t="s">
        <v>260</v>
      </c>
      <c r="B81" s="3" t="s">
        <v>13</v>
      </c>
      <c r="C81" s="3" t="s">
        <v>23</v>
      </c>
      <c r="D81" s="3" t="s">
        <v>30</v>
      </c>
      <c r="E81" s="3">
        <v>3</v>
      </c>
      <c r="F81" s="6" t="s">
        <v>329</v>
      </c>
      <c r="G81" s="4"/>
      <c r="H81" s="4"/>
      <c r="I81" s="4"/>
      <c r="L81" s="4"/>
    </row>
    <row r="82" spans="1:12">
      <c r="A82" s="3" t="s">
        <v>261</v>
      </c>
      <c r="B82" s="3" t="s">
        <v>13</v>
      </c>
      <c r="C82" s="3" t="s">
        <v>23</v>
      </c>
      <c r="D82" s="3" t="s">
        <v>30</v>
      </c>
      <c r="E82" s="3">
        <v>3</v>
      </c>
      <c r="F82" s="6" t="s">
        <v>329</v>
      </c>
      <c r="G82" s="4"/>
      <c r="H82" s="4"/>
      <c r="I82" s="4"/>
      <c r="L82" s="4"/>
    </row>
    <row r="83" spans="1:12">
      <c r="A83" s="3" t="s">
        <v>262</v>
      </c>
      <c r="B83" s="3" t="s">
        <v>13</v>
      </c>
      <c r="C83" s="3" t="s">
        <v>23</v>
      </c>
      <c r="D83" s="3" t="s">
        <v>31</v>
      </c>
      <c r="E83" s="3">
        <v>3</v>
      </c>
      <c r="F83" s="6" t="s">
        <v>329</v>
      </c>
      <c r="G83" s="4"/>
      <c r="H83" s="4"/>
      <c r="I83" s="4"/>
      <c r="L83" s="4"/>
    </row>
    <row r="84" spans="1:12">
      <c r="A84" s="3" t="s">
        <v>263</v>
      </c>
      <c r="B84" s="3" t="s">
        <v>13</v>
      </c>
      <c r="C84" s="3" t="s">
        <v>8</v>
      </c>
      <c r="D84" s="3" t="s">
        <v>31</v>
      </c>
      <c r="E84" s="3">
        <v>3</v>
      </c>
      <c r="F84" s="6" t="s">
        <v>329</v>
      </c>
      <c r="G84" s="4"/>
      <c r="H84" s="4"/>
      <c r="I84" s="4"/>
      <c r="L84" s="4"/>
    </row>
    <row r="85" spans="1:12">
      <c r="A85" s="3" t="s">
        <v>42</v>
      </c>
      <c r="B85" s="3" t="s">
        <v>13</v>
      </c>
      <c r="C85" s="3" t="s">
        <v>8</v>
      </c>
      <c r="D85" s="3" t="s">
        <v>31</v>
      </c>
      <c r="E85" s="3">
        <v>2</v>
      </c>
      <c r="F85" s="6" t="s">
        <v>332</v>
      </c>
      <c r="G85" s="4"/>
      <c r="H85" s="4"/>
      <c r="I85" s="4"/>
      <c r="J85" s="4"/>
      <c r="K85" s="4"/>
      <c r="L85" s="4"/>
    </row>
    <row r="86" spans="1:12">
      <c r="A86" s="3" t="s">
        <v>264</v>
      </c>
      <c r="B86" s="3" t="s">
        <v>13</v>
      </c>
      <c r="C86" s="3" t="s">
        <v>8</v>
      </c>
      <c r="D86" s="3" t="s">
        <v>197</v>
      </c>
      <c r="E86" s="3">
        <v>3</v>
      </c>
      <c r="F86" s="6" t="s">
        <v>329</v>
      </c>
      <c r="G86" s="4"/>
      <c r="H86" s="4"/>
      <c r="I86" s="4"/>
      <c r="J86" s="4"/>
      <c r="K86" s="4"/>
      <c r="L86" s="4"/>
    </row>
    <row r="87" spans="1:12">
      <c r="A87" s="3" t="s">
        <v>265</v>
      </c>
      <c r="B87" s="3" t="s">
        <v>13</v>
      </c>
      <c r="C87" s="3" t="s">
        <v>8</v>
      </c>
      <c r="D87" s="3" t="s">
        <v>197</v>
      </c>
      <c r="E87" s="3">
        <v>2</v>
      </c>
      <c r="F87" s="6" t="s">
        <v>332</v>
      </c>
      <c r="G87" s="4"/>
      <c r="H87" s="4"/>
      <c r="I87" s="4"/>
      <c r="J87" s="4"/>
      <c r="K87" s="4"/>
      <c r="L87" s="4"/>
    </row>
    <row r="88" spans="1:12" ht="17.25" customHeight="1">
      <c r="A88" s="3" t="s">
        <v>9</v>
      </c>
      <c r="B88" s="3" t="s">
        <v>13</v>
      </c>
      <c r="C88" s="3" t="s">
        <v>24</v>
      </c>
      <c r="D88" s="3" t="s">
        <v>30</v>
      </c>
      <c r="E88" s="3">
        <v>3</v>
      </c>
      <c r="F88" s="6" t="s">
        <v>329</v>
      </c>
      <c r="G88" s="4"/>
      <c r="H88" s="4"/>
      <c r="I88" s="4"/>
      <c r="J88" s="4"/>
      <c r="K88" s="4"/>
      <c r="L88" s="4"/>
    </row>
    <row r="89" spans="1:12">
      <c r="A89" s="3" t="s">
        <v>43</v>
      </c>
      <c r="B89" s="3" t="s">
        <v>13</v>
      </c>
      <c r="C89" s="3" t="s">
        <v>24</v>
      </c>
      <c r="D89" s="3" t="s">
        <v>30</v>
      </c>
      <c r="E89" s="3">
        <v>3</v>
      </c>
      <c r="F89" s="6" t="s">
        <v>329</v>
      </c>
      <c r="G89" s="4"/>
      <c r="H89" s="4"/>
      <c r="I89" s="4"/>
      <c r="J89" s="4"/>
      <c r="K89" s="4"/>
      <c r="L89" s="4"/>
    </row>
    <row r="90" spans="1:12">
      <c r="A90" s="3" t="s">
        <v>44</v>
      </c>
      <c r="B90" s="3" t="s">
        <v>13</v>
      </c>
      <c r="C90" s="3" t="s">
        <v>24</v>
      </c>
      <c r="D90" s="3" t="s">
        <v>30</v>
      </c>
      <c r="E90" s="3">
        <v>3</v>
      </c>
      <c r="F90" s="6" t="s">
        <v>329</v>
      </c>
      <c r="G90" s="4"/>
      <c r="H90" s="4"/>
      <c r="I90" s="4"/>
      <c r="J90" s="4"/>
      <c r="K90" s="4"/>
      <c r="L90" s="4"/>
    </row>
    <row r="91" spans="1:12">
      <c r="A91" s="3" t="s">
        <v>266</v>
      </c>
      <c r="B91" s="3" t="s">
        <v>13</v>
      </c>
      <c r="C91" s="3" t="s">
        <v>24</v>
      </c>
      <c r="D91" s="3" t="s">
        <v>207</v>
      </c>
      <c r="E91" s="3">
        <v>3</v>
      </c>
      <c r="F91" s="6" t="s">
        <v>329</v>
      </c>
      <c r="G91" s="4"/>
      <c r="H91" s="4"/>
      <c r="I91" s="4"/>
      <c r="J91" s="4"/>
      <c r="K91" s="4"/>
      <c r="L91" s="4"/>
    </row>
    <row r="92" spans="1:12">
      <c r="A92" s="3" t="s">
        <v>267</v>
      </c>
      <c r="B92" s="3" t="s">
        <v>13</v>
      </c>
      <c r="C92" s="3" t="s">
        <v>24</v>
      </c>
      <c r="D92" s="3" t="s">
        <v>207</v>
      </c>
      <c r="E92" s="3">
        <v>3</v>
      </c>
      <c r="F92" s="6" t="s">
        <v>329</v>
      </c>
      <c r="G92" s="4"/>
      <c r="H92" s="4"/>
      <c r="I92" s="4"/>
      <c r="J92" s="4"/>
      <c r="K92" s="4"/>
      <c r="L92" s="4"/>
    </row>
    <row r="93" spans="1:12">
      <c r="A93" s="3" t="s">
        <v>268</v>
      </c>
      <c r="B93" s="3" t="s">
        <v>13</v>
      </c>
      <c r="C93" s="3" t="s">
        <v>24</v>
      </c>
      <c r="D93" s="3" t="s">
        <v>207</v>
      </c>
      <c r="E93" s="3">
        <v>3</v>
      </c>
      <c r="F93" s="6" t="s">
        <v>329</v>
      </c>
      <c r="G93" s="4"/>
      <c r="H93" s="4"/>
      <c r="I93" s="4"/>
      <c r="J93" s="4"/>
      <c r="K93" s="4"/>
      <c r="L93" s="4"/>
    </row>
    <row r="94" spans="1:12">
      <c r="A94" s="3" t="s">
        <v>269</v>
      </c>
      <c r="B94" s="3" t="s">
        <v>13</v>
      </c>
      <c r="C94" s="3" t="s">
        <v>24</v>
      </c>
      <c r="D94" s="3" t="s">
        <v>207</v>
      </c>
      <c r="E94" s="3">
        <v>3</v>
      </c>
      <c r="F94" s="6" t="s">
        <v>329</v>
      </c>
      <c r="G94" s="4"/>
      <c r="H94" s="4"/>
      <c r="I94" s="4"/>
      <c r="J94" s="4"/>
      <c r="K94" s="4"/>
      <c r="L94" s="4"/>
    </row>
    <row r="95" spans="1:12">
      <c r="A95" s="3" t="s">
        <v>270</v>
      </c>
      <c r="B95" s="3" t="s">
        <v>13</v>
      </c>
      <c r="C95" s="3" t="s">
        <v>24</v>
      </c>
      <c r="D95" s="3" t="s">
        <v>197</v>
      </c>
      <c r="E95" s="3">
        <v>3</v>
      </c>
      <c r="F95" s="6" t="s">
        <v>329</v>
      </c>
      <c r="G95" s="4"/>
      <c r="H95" s="4"/>
      <c r="I95" s="4"/>
      <c r="J95" s="4"/>
      <c r="K95" s="4"/>
      <c r="L95" s="4"/>
    </row>
    <row r="96" spans="1:12">
      <c r="A96" s="3" t="s">
        <v>271</v>
      </c>
      <c r="B96" s="3" t="s">
        <v>13</v>
      </c>
      <c r="C96" s="3" t="s">
        <v>24</v>
      </c>
      <c r="D96" s="3" t="s">
        <v>197</v>
      </c>
      <c r="E96" s="3">
        <v>3</v>
      </c>
      <c r="F96" s="6" t="s">
        <v>329</v>
      </c>
      <c r="G96" s="4"/>
      <c r="H96" s="4"/>
      <c r="I96" s="4"/>
      <c r="J96" s="4"/>
      <c r="K96" s="4"/>
      <c r="L96" s="4"/>
    </row>
    <row r="97" spans="1:12">
      <c r="A97" s="3" t="s">
        <v>25</v>
      </c>
      <c r="B97" s="3" t="s">
        <v>13</v>
      </c>
      <c r="C97" s="3" t="s">
        <v>25</v>
      </c>
      <c r="D97" s="3" t="s">
        <v>30</v>
      </c>
      <c r="E97" s="3">
        <v>4</v>
      </c>
      <c r="F97" s="6" t="s">
        <v>324</v>
      </c>
      <c r="G97" s="4"/>
      <c r="H97" s="4"/>
      <c r="I97" s="4"/>
      <c r="J97" s="4"/>
      <c r="K97" s="4"/>
      <c r="L97" s="4"/>
    </row>
    <row r="98" spans="1:12">
      <c r="A98" s="3" t="s">
        <v>45</v>
      </c>
      <c r="B98" s="3" t="s">
        <v>13</v>
      </c>
      <c r="C98" s="3" t="s">
        <v>25</v>
      </c>
      <c r="D98" s="3" t="s">
        <v>30</v>
      </c>
      <c r="E98" s="3">
        <v>4</v>
      </c>
      <c r="F98" s="6" t="s">
        <v>324</v>
      </c>
      <c r="G98" s="4"/>
      <c r="H98" s="4"/>
      <c r="I98" s="4"/>
      <c r="J98" s="4"/>
      <c r="K98" s="4"/>
      <c r="L98" s="4"/>
    </row>
    <row r="99" spans="1:12">
      <c r="A99" s="3" t="s">
        <v>272</v>
      </c>
      <c r="B99" s="3" t="s">
        <v>13</v>
      </c>
      <c r="C99" s="3" t="s">
        <v>10</v>
      </c>
      <c r="D99" s="3" t="s">
        <v>207</v>
      </c>
      <c r="E99" s="3">
        <v>4</v>
      </c>
      <c r="F99" s="6" t="s">
        <v>324</v>
      </c>
      <c r="G99" s="4"/>
      <c r="H99" s="4"/>
      <c r="I99" s="4"/>
      <c r="J99" s="4"/>
      <c r="K99" s="4"/>
      <c r="L99" s="4"/>
    </row>
    <row r="100" spans="1:12">
      <c r="A100" s="3" t="s">
        <v>273</v>
      </c>
      <c r="B100" s="3" t="s">
        <v>13</v>
      </c>
      <c r="C100" s="3" t="s">
        <v>10</v>
      </c>
      <c r="D100" s="3" t="s">
        <v>31</v>
      </c>
      <c r="E100" s="3">
        <v>4</v>
      </c>
      <c r="F100" s="6" t="s">
        <v>324</v>
      </c>
      <c r="G100" s="4"/>
      <c r="H100" s="4"/>
      <c r="I100" s="4"/>
      <c r="J100" s="4"/>
      <c r="K100" s="4"/>
      <c r="L100" s="4"/>
    </row>
    <row r="101" spans="1:12">
      <c r="A101" s="3" t="s">
        <v>274</v>
      </c>
      <c r="B101" s="3" t="s">
        <v>13</v>
      </c>
      <c r="C101" s="3" t="s">
        <v>10</v>
      </c>
      <c r="D101" s="3" t="s">
        <v>31</v>
      </c>
      <c r="E101" s="3">
        <v>4</v>
      </c>
      <c r="F101" s="6" t="s">
        <v>324</v>
      </c>
      <c r="G101" s="4"/>
      <c r="H101" s="4"/>
      <c r="I101" s="4"/>
      <c r="J101" s="4"/>
      <c r="K101" s="4"/>
      <c r="L101" s="4"/>
    </row>
    <row r="102" spans="1:12">
      <c r="A102" s="3" t="s">
        <v>275</v>
      </c>
      <c r="B102" s="3" t="s">
        <v>13</v>
      </c>
      <c r="C102" s="3" t="s">
        <v>10</v>
      </c>
      <c r="D102" s="3" t="s">
        <v>31</v>
      </c>
      <c r="E102" s="3">
        <v>4</v>
      </c>
      <c r="F102" s="6" t="s">
        <v>324</v>
      </c>
      <c r="G102" s="4"/>
      <c r="H102" s="4"/>
      <c r="I102" s="4"/>
      <c r="J102" s="4"/>
      <c r="K102" s="4"/>
      <c r="L102" s="4"/>
    </row>
    <row r="103" spans="1:12">
      <c r="A103" s="3" t="s">
        <v>276</v>
      </c>
      <c r="B103" s="3" t="s">
        <v>13</v>
      </c>
      <c r="C103" s="3" t="s">
        <v>10</v>
      </c>
      <c r="D103" s="3" t="s">
        <v>197</v>
      </c>
      <c r="E103" s="3">
        <v>4</v>
      </c>
      <c r="F103" s="6" t="s">
        <v>324</v>
      </c>
      <c r="G103" s="4"/>
      <c r="H103" s="4"/>
      <c r="I103" s="4"/>
      <c r="J103" s="4"/>
      <c r="K103" s="4"/>
      <c r="L103" s="4"/>
    </row>
    <row r="104" spans="1:12">
      <c r="A104" s="3" t="s">
        <v>277</v>
      </c>
      <c r="B104" s="3" t="s">
        <v>13</v>
      </c>
      <c r="C104" s="3" t="s">
        <v>10</v>
      </c>
      <c r="D104" s="3" t="s">
        <v>197</v>
      </c>
      <c r="E104" s="3">
        <v>4</v>
      </c>
      <c r="F104" s="6" t="s">
        <v>324</v>
      </c>
      <c r="G104" s="4"/>
      <c r="H104" s="4"/>
      <c r="I104" s="4"/>
      <c r="J104" s="4"/>
      <c r="K104" s="4"/>
      <c r="L104" s="4"/>
    </row>
    <row r="105" spans="1:12">
      <c r="A105" s="3" t="s">
        <v>278</v>
      </c>
      <c r="B105" s="3" t="s">
        <v>13</v>
      </c>
      <c r="C105" s="3" t="s">
        <v>10</v>
      </c>
      <c r="D105" s="3" t="s">
        <v>197</v>
      </c>
      <c r="E105" s="3">
        <v>4</v>
      </c>
      <c r="F105" s="6" t="s">
        <v>324</v>
      </c>
      <c r="G105" s="4"/>
      <c r="H105" s="4"/>
      <c r="I105" s="4"/>
      <c r="J105" s="4"/>
      <c r="K105" s="4"/>
      <c r="L105" s="4"/>
    </row>
    <row r="106" spans="1:12">
      <c r="A106" s="3" t="s">
        <v>279</v>
      </c>
      <c r="B106" s="3" t="s">
        <v>13</v>
      </c>
      <c r="C106" s="3" t="s">
        <v>10</v>
      </c>
      <c r="D106" s="3" t="s">
        <v>197</v>
      </c>
      <c r="E106" s="3">
        <v>2</v>
      </c>
      <c r="F106" s="6" t="s">
        <v>332</v>
      </c>
      <c r="G106" s="4"/>
      <c r="H106" s="4"/>
      <c r="I106" s="4"/>
      <c r="J106" s="4"/>
      <c r="K106" s="4"/>
      <c r="L106" s="4"/>
    </row>
    <row r="107" spans="1:12">
      <c r="A107" s="3" t="s">
        <v>280</v>
      </c>
      <c r="B107" s="3" t="s">
        <v>13</v>
      </c>
      <c r="C107" s="3" t="s">
        <v>10</v>
      </c>
      <c r="D107" s="3" t="s">
        <v>197</v>
      </c>
      <c r="E107" s="3">
        <v>4</v>
      </c>
      <c r="F107" s="6" t="s">
        <v>324</v>
      </c>
      <c r="G107" s="4"/>
      <c r="H107" s="4"/>
      <c r="I107" s="4"/>
      <c r="J107" s="4"/>
      <c r="K107" s="4"/>
      <c r="L107" s="4"/>
    </row>
    <row r="108" spans="1:12">
      <c r="A108" s="3" t="s">
        <v>281</v>
      </c>
      <c r="B108" s="3" t="s">
        <v>13</v>
      </c>
      <c r="C108" s="3" t="s">
        <v>26</v>
      </c>
      <c r="D108" s="3" t="s">
        <v>30</v>
      </c>
      <c r="E108" s="3">
        <v>4</v>
      </c>
      <c r="F108" s="6" t="s">
        <v>324</v>
      </c>
      <c r="G108" s="4"/>
      <c r="H108" s="4"/>
      <c r="I108" s="4"/>
      <c r="J108" s="4"/>
      <c r="K108" s="4"/>
      <c r="L108" s="4"/>
    </row>
    <row r="109" spans="1:12">
      <c r="A109" s="3" t="s">
        <v>282</v>
      </c>
      <c r="B109" s="3" t="s">
        <v>13</v>
      </c>
      <c r="C109" s="3" t="s">
        <v>25</v>
      </c>
      <c r="D109" s="3" t="s">
        <v>30</v>
      </c>
      <c r="E109" s="3">
        <v>4</v>
      </c>
      <c r="F109" s="6" t="s">
        <v>324</v>
      </c>
      <c r="G109" s="4"/>
      <c r="H109" s="4"/>
      <c r="I109" s="4"/>
      <c r="J109" s="4"/>
      <c r="K109" s="4"/>
      <c r="L109" s="4"/>
    </row>
    <row r="110" spans="1:12">
      <c r="A110" s="3" t="s">
        <v>283</v>
      </c>
      <c r="B110" s="3" t="s">
        <v>13</v>
      </c>
      <c r="C110" s="3" t="s">
        <v>25</v>
      </c>
      <c r="D110" s="3" t="s">
        <v>30</v>
      </c>
      <c r="E110" s="3">
        <v>4</v>
      </c>
      <c r="F110" s="6" t="s">
        <v>324</v>
      </c>
      <c r="G110" s="4"/>
      <c r="H110" s="4"/>
      <c r="I110" s="4"/>
      <c r="J110" s="4"/>
      <c r="K110" s="4"/>
      <c r="L110" s="4"/>
    </row>
    <row r="111" spans="1:12">
      <c r="A111" s="3" t="s">
        <v>284</v>
      </c>
      <c r="B111" s="3" t="s">
        <v>13</v>
      </c>
      <c r="C111" s="3" t="s">
        <v>25</v>
      </c>
      <c r="D111" s="3" t="s">
        <v>30</v>
      </c>
      <c r="E111" s="3">
        <v>4</v>
      </c>
      <c r="F111" s="6" t="s">
        <v>324</v>
      </c>
      <c r="G111" s="4"/>
      <c r="H111" s="4"/>
      <c r="I111" s="4"/>
      <c r="J111" s="4"/>
      <c r="K111" s="4"/>
      <c r="L111" s="4"/>
    </row>
    <row r="112" spans="1:12">
      <c r="A112" s="3" t="s">
        <v>285</v>
      </c>
      <c r="B112" s="3" t="s">
        <v>13</v>
      </c>
      <c r="C112" s="3" t="s">
        <v>25</v>
      </c>
      <c r="D112" s="3" t="s">
        <v>30</v>
      </c>
      <c r="E112" s="3">
        <v>4</v>
      </c>
      <c r="F112" s="6" t="s">
        <v>324</v>
      </c>
      <c r="G112" s="4"/>
      <c r="H112" s="4"/>
      <c r="I112" s="4"/>
      <c r="J112" s="4"/>
      <c r="K112" s="4"/>
      <c r="L112" s="4"/>
    </row>
    <row r="113" spans="1:12">
      <c r="A113" s="3" t="s">
        <v>286</v>
      </c>
      <c r="B113" s="3" t="s">
        <v>13</v>
      </c>
      <c r="C113" s="3" t="s">
        <v>25</v>
      </c>
      <c r="D113" s="3" t="s">
        <v>30</v>
      </c>
      <c r="E113" s="3">
        <v>4</v>
      </c>
      <c r="F113" s="6" t="s">
        <v>324</v>
      </c>
      <c r="G113" s="4"/>
      <c r="H113" s="4"/>
      <c r="I113" s="4"/>
      <c r="J113" s="4"/>
      <c r="K113" s="4"/>
      <c r="L113" s="4"/>
    </row>
    <row r="114" spans="1:12">
      <c r="A114" s="3" t="s">
        <v>287</v>
      </c>
      <c r="B114" s="3" t="s">
        <v>13</v>
      </c>
      <c r="C114" s="3" t="s">
        <v>26</v>
      </c>
      <c r="D114" s="3" t="s">
        <v>30</v>
      </c>
      <c r="E114" s="3">
        <v>4</v>
      </c>
      <c r="F114" s="6" t="s">
        <v>324</v>
      </c>
      <c r="G114" s="4"/>
      <c r="H114" s="4"/>
      <c r="I114" s="4"/>
      <c r="J114" s="4"/>
      <c r="K114" s="4"/>
      <c r="L114" s="4"/>
    </row>
    <row r="115" spans="1:12">
      <c r="A115" s="3" t="s">
        <v>288</v>
      </c>
      <c r="B115" s="3" t="s">
        <v>13</v>
      </c>
      <c r="C115" s="3" t="s">
        <v>26</v>
      </c>
      <c r="D115" s="3" t="s">
        <v>30</v>
      </c>
      <c r="E115" s="3">
        <v>4</v>
      </c>
      <c r="F115" s="6" t="s">
        <v>324</v>
      </c>
      <c r="G115" s="4"/>
      <c r="H115" s="4"/>
      <c r="I115" s="4"/>
      <c r="J115" s="4"/>
      <c r="K115" s="4"/>
      <c r="L115" s="4"/>
    </row>
    <row r="116" spans="1:12">
      <c r="A116" s="3" t="s">
        <v>289</v>
      </c>
      <c r="B116" s="3" t="s">
        <v>13</v>
      </c>
      <c r="C116" s="3" t="s">
        <v>26</v>
      </c>
      <c r="D116" s="3" t="s">
        <v>30</v>
      </c>
      <c r="E116" s="3">
        <v>4</v>
      </c>
      <c r="F116" s="6" t="s">
        <v>324</v>
      </c>
      <c r="G116" s="4"/>
      <c r="H116" s="4"/>
      <c r="I116" s="4"/>
      <c r="J116" s="4"/>
      <c r="K116" s="4"/>
      <c r="L116" s="4"/>
    </row>
    <row r="117" spans="1:12">
      <c r="A117" s="3" t="s">
        <v>290</v>
      </c>
      <c r="B117" s="3" t="s">
        <v>13</v>
      </c>
      <c r="C117" s="3" t="s">
        <v>26</v>
      </c>
      <c r="D117" s="3" t="s">
        <v>30</v>
      </c>
      <c r="E117" s="3">
        <v>4</v>
      </c>
      <c r="F117" s="6" t="s">
        <v>324</v>
      </c>
      <c r="G117" s="4"/>
      <c r="H117" s="4"/>
      <c r="I117" s="4"/>
      <c r="J117" s="4"/>
      <c r="K117" s="4"/>
      <c r="L117" s="4"/>
    </row>
    <row r="118" spans="1:12">
      <c r="A118" s="3" t="s">
        <v>291</v>
      </c>
      <c r="B118" s="3" t="s">
        <v>13</v>
      </c>
      <c r="C118" s="3" t="s">
        <v>26</v>
      </c>
      <c r="D118" s="3" t="s">
        <v>30</v>
      </c>
      <c r="E118" s="3">
        <v>4</v>
      </c>
      <c r="F118" s="6" t="s">
        <v>324</v>
      </c>
      <c r="G118" s="4"/>
      <c r="H118" s="4"/>
      <c r="I118" s="4"/>
      <c r="J118" s="4"/>
      <c r="K118" s="4"/>
      <c r="L118" s="4"/>
    </row>
    <row r="119" spans="1:12">
      <c r="A119" s="3" t="s">
        <v>292</v>
      </c>
      <c r="B119" s="3" t="s">
        <v>13</v>
      </c>
      <c r="C119" s="3" t="s">
        <v>26</v>
      </c>
      <c r="D119" s="3" t="s">
        <v>30</v>
      </c>
      <c r="E119" s="3">
        <v>4</v>
      </c>
      <c r="F119" s="6" t="s">
        <v>324</v>
      </c>
      <c r="G119" s="4"/>
      <c r="H119" s="4"/>
      <c r="I119" s="4"/>
      <c r="J119" s="4"/>
      <c r="K119" s="4"/>
      <c r="L119" s="4"/>
    </row>
    <row r="120" spans="1:12">
      <c r="A120" s="3" t="s">
        <v>293</v>
      </c>
      <c r="B120" s="3" t="s">
        <v>13</v>
      </c>
      <c r="C120" s="3" t="s">
        <v>26</v>
      </c>
      <c r="D120" s="3" t="s">
        <v>30</v>
      </c>
      <c r="E120" s="3">
        <v>4</v>
      </c>
      <c r="F120" s="6" t="s">
        <v>324</v>
      </c>
      <c r="G120" s="4"/>
      <c r="H120" s="4"/>
      <c r="I120" s="4"/>
      <c r="J120" s="4"/>
      <c r="K120" s="4"/>
      <c r="L120" s="4"/>
    </row>
    <row r="121" spans="1:12">
      <c r="A121" s="3" t="s">
        <v>294</v>
      </c>
      <c r="B121" s="3" t="s">
        <v>13</v>
      </c>
      <c r="C121" s="3" t="s">
        <v>26</v>
      </c>
      <c r="D121" s="3" t="s">
        <v>30</v>
      </c>
      <c r="E121" s="3">
        <v>4</v>
      </c>
      <c r="F121" s="6" t="s">
        <v>324</v>
      </c>
      <c r="G121" s="4"/>
      <c r="H121" s="4"/>
      <c r="I121" s="4"/>
      <c r="J121" s="4"/>
      <c r="K121" s="4"/>
      <c r="L121" s="4"/>
    </row>
    <row r="122" spans="1:12">
      <c r="A122" s="3" t="s">
        <v>295</v>
      </c>
      <c r="B122" s="3" t="s">
        <v>13</v>
      </c>
      <c r="C122" s="3" t="s">
        <v>26</v>
      </c>
      <c r="D122" s="3" t="s">
        <v>30</v>
      </c>
      <c r="E122" s="3">
        <v>4</v>
      </c>
      <c r="F122" s="6" t="s">
        <v>324</v>
      </c>
      <c r="G122" s="4"/>
      <c r="H122" s="4"/>
      <c r="I122" s="4"/>
      <c r="J122" s="4"/>
      <c r="K122" s="4"/>
      <c r="L122" s="4"/>
    </row>
    <row r="123" spans="1:12">
      <c r="A123" s="3" t="s">
        <v>296</v>
      </c>
      <c r="B123" s="3" t="s">
        <v>13</v>
      </c>
      <c r="C123" s="3" t="s">
        <v>26</v>
      </c>
      <c r="D123" s="3" t="s">
        <v>30</v>
      </c>
      <c r="E123" s="3">
        <v>4</v>
      </c>
      <c r="F123" s="6" t="s">
        <v>324</v>
      </c>
      <c r="G123" s="4"/>
      <c r="H123" s="4"/>
      <c r="I123" s="4"/>
      <c r="J123" s="4"/>
      <c r="K123" s="4"/>
      <c r="L123" s="4"/>
    </row>
    <row r="124" spans="1:12">
      <c r="A124" s="3" t="s">
        <v>297</v>
      </c>
      <c r="B124" s="3" t="s">
        <v>13</v>
      </c>
      <c r="C124" s="3" t="s">
        <v>26</v>
      </c>
      <c r="D124" s="3" t="s">
        <v>31</v>
      </c>
      <c r="E124" s="3">
        <v>4</v>
      </c>
      <c r="F124" s="6" t="s">
        <v>324</v>
      </c>
      <c r="G124" s="4"/>
      <c r="H124" s="4"/>
      <c r="I124" s="4"/>
      <c r="J124" s="4"/>
      <c r="K124" s="4"/>
      <c r="L124" s="4"/>
    </row>
    <row r="125" spans="1:12">
      <c r="A125" s="3" t="s">
        <v>298</v>
      </c>
      <c r="B125" s="3" t="s">
        <v>13</v>
      </c>
      <c r="C125" s="3" t="s">
        <v>26</v>
      </c>
      <c r="D125" s="3" t="s">
        <v>31</v>
      </c>
      <c r="E125" s="3">
        <v>4</v>
      </c>
      <c r="F125" s="6" t="s">
        <v>324</v>
      </c>
      <c r="G125" s="4"/>
      <c r="H125" s="4"/>
      <c r="I125" s="4"/>
      <c r="J125" s="4"/>
      <c r="K125" s="4"/>
      <c r="L125" s="4"/>
    </row>
    <row r="126" spans="1:12">
      <c r="A126" s="3" t="s">
        <v>300</v>
      </c>
      <c r="B126" s="3" t="s">
        <v>13</v>
      </c>
      <c r="C126" s="3" t="s">
        <v>26</v>
      </c>
      <c r="D126" s="3" t="s">
        <v>31</v>
      </c>
      <c r="E126" s="3">
        <v>4</v>
      </c>
      <c r="F126" s="6" t="s">
        <v>324</v>
      </c>
      <c r="G126" s="4"/>
      <c r="H126" s="4"/>
      <c r="I126" s="4"/>
      <c r="J126" s="4"/>
      <c r="K126" s="4"/>
      <c r="L126" s="4"/>
    </row>
    <row r="127" spans="1:12">
      <c r="A127" s="3" t="s">
        <v>299</v>
      </c>
      <c r="B127" s="3" t="s">
        <v>13</v>
      </c>
      <c r="C127" s="3" t="s">
        <v>26</v>
      </c>
      <c r="D127" s="3" t="s">
        <v>31</v>
      </c>
      <c r="E127" s="3">
        <v>4</v>
      </c>
      <c r="F127" s="6" t="s">
        <v>324</v>
      </c>
      <c r="G127" s="4"/>
      <c r="H127" s="4"/>
      <c r="I127" s="4"/>
      <c r="J127" s="4"/>
      <c r="K127" s="4"/>
      <c r="L127" s="4"/>
    </row>
    <row r="128" spans="1:12">
      <c r="A128" s="3" t="s">
        <v>301</v>
      </c>
      <c r="B128" s="3" t="s">
        <v>13</v>
      </c>
      <c r="C128" s="3" t="s">
        <v>26</v>
      </c>
      <c r="D128" s="3" t="s">
        <v>31</v>
      </c>
      <c r="E128" s="3">
        <v>4</v>
      </c>
      <c r="F128" s="6" t="s">
        <v>324</v>
      </c>
      <c r="G128" s="4"/>
      <c r="H128" s="4"/>
      <c r="I128" s="4"/>
      <c r="J128" s="4"/>
      <c r="K128" s="4"/>
      <c r="L128" s="4"/>
    </row>
    <row r="129" spans="1:12">
      <c r="A129" s="3" t="s">
        <v>302</v>
      </c>
      <c r="B129" s="3" t="s">
        <v>13</v>
      </c>
      <c r="C129" s="3" t="s">
        <v>26</v>
      </c>
      <c r="D129" s="3" t="s">
        <v>31</v>
      </c>
      <c r="E129" s="3">
        <v>4</v>
      </c>
      <c r="F129" s="6" t="s">
        <v>324</v>
      </c>
      <c r="G129" s="4"/>
      <c r="H129" s="4"/>
      <c r="I129" s="4"/>
      <c r="J129" s="4"/>
      <c r="K129" s="4"/>
      <c r="L129" s="4"/>
    </row>
    <row r="130" spans="1:12">
      <c r="A130" s="3" t="s">
        <v>303</v>
      </c>
      <c r="B130" s="3" t="s">
        <v>13</v>
      </c>
      <c r="C130" s="3" t="s">
        <v>26</v>
      </c>
      <c r="D130" s="3" t="s">
        <v>31</v>
      </c>
      <c r="E130" s="3">
        <v>4</v>
      </c>
      <c r="F130" s="6" t="s">
        <v>324</v>
      </c>
      <c r="G130" s="4"/>
      <c r="H130" s="4"/>
      <c r="I130" s="4"/>
      <c r="J130" s="4"/>
      <c r="K130" s="4"/>
      <c r="L130" s="4"/>
    </row>
    <row r="131" spans="1:12">
      <c r="A131" s="3" t="s">
        <v>307</v>
      </c>
      <c r="B131" s="3" t="s">
        <v>13</v>
      </c>
      <c r="C131" s="3" t="s">
        <v>26</v>
      </c>
      <c r="D131" s="3" t="s">
        <v>197</v>
      </c>
      <c r="E131" s="3">
        <v>4</v>
      </c>
      <c r="F131" s="6" t="s">
        <v>324</v>
      </c>
      <c r="G131" s="4"/>
      <c r="H131" s="4"/>
      <c r="I131" s="4"/>
      <c r="J131" s="4"/>
      <c r="K131" s="4"/>
      <c r="L131" s="4"/>
    </row>
    <row r="132" spans="1:12">
      <c r="A132" s="3" t="s">
        <v>308</v>
      </c>
      <c r="B132" s="3" t="s">
        <v>13</v>
      </c>
      <c r="C132" s="3" t="s">
        <v>26</v>
      </c>
      <c r="D132" s="3" t="s">
        <v>197</v>
      </c>
      <c r="E132" s="3">
        <v>4</v>
      </c>
      <c r="F132" s="6" t="s">
        <v>324</v>
      </c>
      <c r="G132" s="4"/>
      <c r="H132" s="4"/>
      <c r="I132" s="4"/>
      <c r="J132" s="4"/>
      <c r="K132" s="4"/>
      <c r="L132" s="4"/>
    </row>
    <row r="133" spans="1:12">
      <c r="A133" s="3" t="s">
        <v>309</v>
      </c>
      <c r="B133" s="3" t="s">
        <v>13</v>
      </c>
      <c r="C133" s="3" t="s">
        <v>26</v>
      </c>
      <c r="D133" s="3" t="s">
        <v>197</v>
      </c>
      <c r="E133" s="3">
        <v>4</v>
      </c>
      <c r="F133" s="6" t="s">
        <v>324</v>
      </c>
      <c r="G133" s="4"/>
      <c r="H133" s="4"/>
      <c r="I133" s="4"/>
      <c r="J133" s="4"/>
      <c r="K133" s="4"/>
      <c r="L133" s="4"/>
    </row>
    <row r="134" spans="1:12">
      <c r="A134" s="3" t="s">
        <v>310</v>
      </c>
      <c r="B134" s="3" t="s">
        <v>13</v>
      </c>
      <c r="C134" s="3" t="s">
        <v>26</v>
      </c>
      <c r="D134" s="3" t="s">
        <v>197</v>
      </c>
      <c r="E134" s="3">
        <v>4</v>
      </c>
      <c r="F134" s="6" t="s">
        <v>324</v>
      </c>
      <c r="G134" s="4"/>
      <c r="H134" s="4"/>
      <c r="I134" s="4"/>
      <c r="J134" s="4"/>
      <c r="K134" s="4"/>
      <c r="L134" s="4"/>
    </row>
    <row r="135" spans="1:12">
      <c r="A135" s="3" t="s">
        <v>311</v>
      </c>
      <c r="B135" s="3" t="s">
        <v>13</v>
      </c>
      <c r="C135" s="3" t="s">
        <v>26</v>
      </c>
      <c r="D135" s="3" t="s">
        <v>197</v>
      </c>
      <c r="E135" s="3">
        <v>4</v>
      </c>
      <c r="F135" s="6" t="s">
        <v>324</v>
      </c>
      <c r="G135" s="4"/>
      <c r="H135" s="4"/>
      <c r="I135" s="4"/>
      <c r="J135" s="4"/>
      <c r="K135" s="4"/>
      <c r="L135" s="4"/>
    </row>
    <row r="136" spans="1:12">
      <c r="A136" s="3" t="s">
        <v>312</v>
      </c>
      <c r="B136" s="3" t="s">
        <v>13</v>
      </c>
      <c r="C136" s="3" t="s">
        <v>26</v>
      </c>
      <c r="D136" s="3" t="s">
        <v>197</v>
      </c>
      <c r="E136" s="3">
        <v>4</v>
      </c>
      <c r="F136" s="6" t="s">
        <v>324</v>
      </c>
      <c r="G136" s="4"/>
      <c r="H136" s="4"/>
      <c r="I136" s="4"/>
      <c r="J136" s="4"/>
      <c r="K136" s="4"/>
      <c r="L136" s="4"/>
    </row>
    <row r="137" spans="1:12">
      <c r="A137" s="3" t="s">
        <v>313</v>
      </c>
      <c r="B137" s="3" t="s">
        <v>13</v>
      </c>
      <c r="C137" s="3" t="s">
        <v>26</v>
      </c>
      <c r="D137" s="3" t="s">
        <v>197</v>
      </c>
      <c r="E137" s="3">
        <v>4</v>
      </c>
      <c r="F137" s="6" t="s">
        <v>324</v>
      </c>
      <c r="G137" s="4"/>
      <c r="H137" s="4"/>
      <c r="I137" s="4"/>
      <c r="J137" s="4"/>
      <c r="K137" s="4"/>
      <c r="L137" s="4"/>
    </row>
    <row r="138" spans="1:12">
      <c r="A138" s="3" t="s">
        <v>314</v>
      </c>
      <c r="B138" s="3" t="s">
        <v>13</v>
      </c>
      <c r="C138" s="3" t="s">
        <v>26</v>
      </c>
      <c r="D138" s="3" t="s">
        <v>197</v>
      </c>
      <c r="E138" s="3">
        <v>4</v>
      </c>
      <c r="F138" s="6" t="s">
        <v>324</v>
      </c>
      <c r="G138" s="4"/>
      <c r="H138" s="4"/>
      <c r="I138" s="4"/>
      <c r="J138" s="4"/>
      <c r="K138" s="4"/>
      <c r="L138" s="4"/>
    </row>
    <row r="139" spans="1:12">
      <c r="A139" s="3" t="s">
        <v>305</v>
      </c>
      <c r="B139" s="3" t="s">
        <v>13</v>
      </c>
      <c r="C139" s="3" t="s">
        <v>305</v>
      </c>
      <c r="D139" s="3" t="s">
        <v>239</v>
      </c>
      <c r="E139" s="3">
        <v>4</v>
      </c>
      <c r="F139" s="6" t="s">
        <v>324</v>
      </c>
      <c r="G139" s="4"/>
      <c r="H139" s="4"/>
      <c r="I139" s="4"/>
      <c r="J139" s="4"/>
      <c r="K139" s="4"/>
      <c r="L139" s="4"/>
    </row>
    <row r="140" spans="1:12">
      <c r="A140" s="3" t="s">
        <v>304</v>
      </c>
      <c r="B140" s="3" t="s">
        <v>13</v>
      </c>
      <c r="C140" s="3" t="s">
        <v>27</v>
      </c>
      <c r="D140" s="3" t="s">
        <v>31</v>
      </c>
      <c r="E140" s="3">
        <v>4</v>
      </c>
      <c r="F140" s="6" t="s">
        <v>324</v>
      </c>
      <c r="G140" s="4"/>
      <c r="H140" s="4"/>
      <c r="I140" s="4"/>
      <c r="J140" s="4"/>
      <c r="K140" s="4"/>
      <c r="L140" s="4"/>
    </row>
    <row r="141" spans="1:12">
      <c r="A141" s="3" t="s">
        <v>46</v>
      </c>
      <c r="B141" s="3" t="s">
        <v>13</v>
      </c>
      <c r="C141" s="3" t="s">
        <v>28</v>
      </c>
      <c r="D141" s="3" t="s">
        <v>30</v>
      </c>
      <c r="E141" s="3">
        <v>3</v>
      </c>
      <c r="F141" s="6" t="s">
        <v>329</v>
      </c>
      <c r="G141" s="4"/>
      <c r="H141" s="4"/>
      <c r="I141" s="4"/>
      <c r="J141" s="4"/>
      <c r="K141" s="4"/>
      <c r="L141" s="4"/>
    </row>
    <row r="142" spans="1:12">
      <c r="A142" s="3" t="s">
        <v>315</v>
      </c>
      <c r="B142" s="3" t="s">
        <v>13</v>
      </c>
      <c r="C142" s="3" t="s">
        <v>28</v>
      </c>
      <c r="D142" s="3" t="s">
        <v>30</v>
      </c>
      <c r="E142" s="3">
        <v>3</v>
      </c>
      <c r="F142" s="6" t="s">
        <v>329</v>
      </c>
      <c r="G142" s="4"/>
      <c r="H142" s="4"/>
      <c r="I142" s="4"/>
      <c r="J142" s="4"/>
      <c r="K142" s="4"/>
      <c r="L142" s="4"/>
    </row>
    <row r="143" spans="1:12">
      <c r="A143" s="3" t="s">
        <v>316</v>
      </c>
      <c r="B143" s="3" t="s">
        <v>13</v>
      </c>
      <c r="C143" s="3" t="s">
        <v>28</v>
      </c>
      <c r="D143" s="3" t="s">
        <v>31</v>
      </c>
      <c r="E143" s="3">
        <v>3</v>
      </c>
      <c r="F143" s="6" t="s">
        <v>329</v>
      </c>
      <c r="G143" s="4"/>
      <c r="H143" s="4"/>
      <c r="I143" s="4"/>
      <c r="J143" s="4"/>
      <c r="K143" s="4"/>
      <c r="L143" s="4"/>
    </row>
    <row r="144" spans="1:12">
      <c r="A144" s="3" t="s">
        <v>317</v>
      </c>
      <c r="B144" s="3" t="s">
        <v>13</v>
      </c>
      <c r="C144" s="3" t="s">
        <v>28</v>
      </c>
      <c r="D144" s="3" t="s">
        <v>31</v>
      </c>
      <c r="E144" s="3">
        <v>3</v>
      </c>
      <c r="F144" s="6" t="s">
        <v>329</v>
      </c>
      <c r="G144" s="4"/>
      <c r="H144" s="4"/>
      <c r="I144" s="4"/>
      <c r="J144" s="4"/>
      <c r="K144" s="4"/>
      <c r="L144" s="4"/>
    </row>
    <row r="145" spans="1:12">
      <c r="A145" s="3" t="s">
        <v>318</v>
      </c>
      <c r="B145" s="3" t="s">
        <v>13</v>
      </c>
      <c r="C145" s="3" t="s">
        <v>28</v>
      </c>
      <c r="D145" s="3" t="s">
        <v>31</v>
      </c>
      <c r="E145" s="3">
        <v>3</v>
      </c>
      <c r="F145" s="6" t="s">
        <v>329</v>
      </c>
      <c r="G145" s="4"/>
      <c r="H145" s="4"/>
      <c r="I145" s="4"/>
      <c r="J145" s="4"/>
      <c r="K145" s="4"/>
      <c r="L145" s="4"/>
    </row>
    <row r="146" spans="1:12">
      <c r="A146" s="3" t="s">
        <v>319</v>
      </c>
      <c r="B146" s="3" t="s">
        <v>13</v>
      </c>
      <c r="C146" s="3" t="s">
        <v>28</v>
      </c>
      <c r="D146" s="3" t="s">
        <v>31</v>
      </c>
      <c r="E146" s="3">
        <v>3</v>
      </c>
      <c r="F146" s="6" t="s">
        <v>329</v>
      </c>
      <c r="G146" s="4"/>
      <c r="H146" s="4"/>
      <c r="I146" s="4"/>
      <c r="J146" s="4"/>
      <c r="K146" s="4"/>
      <c r="L146" s="4"/>
    </row>
    <row r="147" spans="1:12">
      <c r="A147" s="3" t="s">
        <v>320</v>
      </c>
      <c r="B147" s="3" t="s">
        <v>13</v>
      </c>
      <c r="C147" s="3" t="s">
        <v>28</v>
      </c>
      <c r="D147" s="3" t="s">
        <v>31</v>
      </c>
      <c r="E147" s="3">
        <v>3</v>
      </c>
      <c r="F147" s="6" t="s">
        <v>329</v>
      </c>
      <c r="G147" s="4"/>
      <c r="H147" s="4"/>
      <c r="I147" s="4"/>
      <c r="J147" s="4"/>
      <c r="K147" s="4"/>
      <c r="L147" s="4"/>
    </row>
    <row r="148" spans="1:12">
      <c r="A148" s="3" t="s">
        <v>47</v>
      </c>
      <c r="B148" s="3" t="s">
        <v>13</v>
      </c>
      <c r="C148" s="3" t="s">
        <v>28</v>
      </c>
      <c r="D148" s="3" t="s">
        <v>31</v>
      </c>
      <c r="E148" s="3">
        <v>3</v>
      </c>
      <c r="F148" s="6" t="s">
        <v>329</v>
      </c>
      <c r="G148" s="4"/>
      <c r="H148" s="4"/>
      <c r="I148" s="4"/>
      <c r="J148" s="4"/>
      <c r="K148" s="4"/>
      <c r="L148" s="4"/>
    </row>
    <row r="149" spans="1:12">
      <c r="A149" s="3" t="s">
        <v>321</v>
      </c>
      <c r="B149" s="3" t="s">
        <v>13</v>
      </c>
      <c r="C149" s="3" t="s">
        <v>28</v>
      </c>
      <c r="D149" s="3" t="s">
        <v>259</v>
      </c>
      <c r="E149" s="3">
        <v>3</v>
      </c>
      <c r="F149" s="6" t="s">
        <v>329</v>
      </c>
      <c r="G149" s="4"/>
      <c r="H149" s="4"/>
      <c r="I149" s="4"/>
      <c r="J149" s="4"/>
      <c r="K149" s="4"/>
      <c r="L149" s="4"/>
    </row>
    <row r="150" spans="1:12">
      <c r="A150" s="3" t="s">
        <v>48</v>
      </c>
      <c r="B150" s="3" t="s">
        <v>13</v>
      </c>
      <c r="C150" s="3" t="s">
        <v>28</v>
      </c>
      <c r="D150" s="3" t="s">
        <v>197</v>
      </c>
      <c r="E150" s="3">
        <v>3</v>
      </c>
      <c r="F150" s="6" t="s">
        <v>329</v>
      </c>
      <c r="G150" s="4"/>
      <c r="H150" s="4"/>
      <c r="I150" s="4"/>
      <c r="J150" s="4"/>
      <c r="K150" s="4"/>
      <c r="L150" s="4"/>
    </row>
    <row r="151" spans="1:12">
      <c r="A151" s="3"/>
      <c r="B151" s="3"/>
      <c r="C151" s="3"/>
      <c r="D151" s="3"/>
      <c r="E151" s="3"/>
      <c r="F151" s="6"/>
      <c r="G151" s="4"/>
      <c r="H151" s="4"/>
      <c r="I151" s="4"/>
      <c r="J151" s="4"/>
      <c r="K151" s="4"/>
      <c r="L151" s="4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6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38" customWidth="1"/>
    <col min="2" max="2" width="7.5" style="38" customWidth="1"/>
    <col min="3" max="3" width="0.8984375" style="38" customWidth="1"/>
    <col min="4" max="4" width="4" style="38" customWidth="1"/>
    <col min="5" max="5" width="5.8984375" style="38" customWidth="1"/>
    <col min="6" max="6" width="5.59765625" style="38" customWidth="1"/>
    <col min="7" max="7" width="11.19921875" style="38" customWidth="1"/>
    <col min="8" max="8" width="9.09765625" style="38" customWidth="1"/>
    <col min="9" max="9" width="12.69921875" style="38" customWidth="1"/>
    <col min="10" max="10" width="1.3984375" style="38" customWidth="1"/>
    <col min="11" max="11" width="1" style="38" customWidth="1"/>
    <col min="12" max="12" width="10.69921875" style="38" customWidth="1"/>
    <col min="13" max="13" width="10.09765625" style="38" customWidth="1"/>
    <col min="14" max="14" width="16.59765625" style="38" customWidth="1"/>
    <col min="15" max="15" width="8.3984375" style="38" customWidth="1"/>
    <col min="16" max="16" width="9.5" style="38" customWidth="1"/>
    <col min="17" max="17" width="1.19921875" style="38" customWidth="1"/>
    <col min="18" max="18" width="0.5" style="38" customWidth="1"/>
    <col min="19" max="26" width="0" style="38" hidden="1" customWidth="1"/>
    <col min="27" max="16384" width="11" style="38" hidden="1"/>
  </cols>
  <sheetData>
    <row r="1" spans="2:26" ht="15.6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2:26" ht="36.6" thickBot="1">
      <c r="B2" s="484" t="s">
        <v>346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37"/>
      <c r="S2" s="37"/>
      <c r="T2" s="37"/>
      <c r="U2" s="37"/>
      <c r="V2" s="37"/>
      <c r="W2" s="37"/>
      <c r="X2" s="37"/>
      <c r="Y2" s="37"/>
      <c r="Z2" s="37"/>
    </row>
    <row r="3" spans="2:26" ht="24" customHeight="1" thickBot="1">
      <c r="B3" s="39" t="s">
        <v>347</v>
      </c>
      <c r="C3" s="486" t="s">
        <v>348</v>
      </c>
      <c r="D3" s="487"/>
      <c r="E3" s="487"/>
      <c r="F3" s="487"/>
      <c r="G3" s="487"/>
      <c r="H3" s="487"/>
      <c r="I3" s="487"/>
      <c r="J3" s="488"/>
      <c r="K3" s="489" t="s">
        <v>349</v>
      </c>
      <c r="L3" s="490"/>
      <c r="M3" s="490"/>
      <c r="N3" s="490"/>
      <c r="O3" s="490"/>
      <c r="P3" s="490"/>
      <c r="Q3" s="491"/>
      <c r="R3" s="37"/>
      <c r="S3" s="37"/>
      <c r="T3" s="37"/>
      <c r="U3" s="37"/>
      <c r="V3" s="37"/>
      <c r="W3" s="37"/>
      <c r="X3" s="37"/>
      <c r="Y3" s="37"/>
      <c r="Z3" s="37"/>
    </row>
    <row r="4" spans="2:26" ht="15.6">
      <c r="B4" s="492" t="s">
        <v>350</v>
      </c>
      <c r="C4" s="40" t="s">
        <v>351</v>
      </c>
      <c r="D4" s="41"/>
      <c r="E4" s="41"/>
      <c r="F4" s="41"/>
      <c r="G4" s="41"/>
      <c r="H4" s="41"/>
      <c r="I4" s="41"/>
      <c r="J4" s="42"/>
      <c r="K4" s="43" t="s">
        <v>351</v>
      </c>
      <c r="L4" s="41"/>
      <c r="M4" s="41"/>
      <c r="N4" s="41"/>
      <c r="O4" s="41"/>
      <c r="P4" s="41"/>
      <c r="Q4" s="42"/>
      <c r="R4" s="37"/>
      <c r="S4" s="37"/>
      <c r="T4" s="37"/>
      <c r="U4" s="37"/>
      <c r="V4" s="37"/>
      <c r="W4" s="37"/>
      <c r="X4" s="37"/>
      <c r="Y4" s="37"/>
      <c r="Z4" s="37"/>
    </row>
    <row r="5" spans="2:26" ht="18.75" customHeight="1">
      <c r="B5" s="493"/>
      <c r="C5" s="44"/>
      <c r="D5" s="480" t="s">
        <v>352</v>
      </c>
      <c r="E5" s="481"/>
      <c r="F5" s="481"/>
      <c r="G5" s="482"/>
      <c r="H5" s="483" t="s">
        <v>353</v>
      </c>
      <c r="I5" s="481"/>
      <c r="J5" s="45"/>
      <c r="K5" s="46"/>
      <c r="L5" s="480" t="s">
        <v>352</v>
      </c>
      <c r="M5" s="481"/>
      <c r="N5" s="482"/>
      <c r="O5" s="483" t="s">
        <v>354</v>
      </c>
      <c r="P5" s="481"/>
      <c r="Q5" s="45"/>
      <c r="R5" s="37"/>
      <c r="S5" s="37"/>
      <c r="T5" s="37"/>
      <c r="U5" s="37"/>
      <c r="V5" s="37"/>
      <c r="W5" s="37"/>
      <c r="X5" s="37"/>
      <c r="Y5" s="37"/>
      <c r="Z5" s="37"/>
    </row>
    <row r="6" spans="2:26" ht="18.75" customHeight="1">
      <c r="B6" s="493"/>
      <c r="C6" s="44"/>
      <c r="D6" s="480" t="s">
        <v>355</v>
      </c>
      <c r="E6" s="481"/>
      <c r="F6" s="481"/>
      <c r="G6" s="482"/>
      <c r="H6" s="483" t="s">
        <v>356</v>
      </c>
      <c r="I6" s="481"/>
      <c r="J6" s="45"/>
      <c r="K6" s="46"/>
      <c r="L6" s="480" t="s">
        <v>355</v>
      </c>
      <c r="M6" s="481"/>
      <c r="N6" s="482"/>
      <c r="O6" s="483" t="s">
        <v>357</v>
      </c>
      <c r="P6" s="481"/>
      <c r="Q6" s="45"/>
      <c r="R6" s="37"/>
      <c r="S6" s="37"/>
      <c r="T6" s="37"/>
      <c r="U6" s="37"/>
      <c r="V6" s="37"/>
      <c r="W6" s="37"/>
      <c r="X6" s="37"/>
      <c r="Y6" s="37"/>
      <c r="Z6" s="37"/>
    </row>
    <row r="7" spans="2:26" ht="18.75" customHeight="1">
      <c r="B7" s="493"/>
      <c r="C7" s="44"/>
      <c r="D7" s="480" t="s">
        <v>358</v>
      </c>
      <c r="E7" s="481"/>
      <c r="F7" s="481"/>
      <c r="G7" s="482"/>
      <c r="H7" s="483" t="s">
        <v>359</v>
      </c>
      <c r="I7" s="481"/>
      <c r="J7" s="45"/>
      <c r="K7" s="46"/>
      <c r="L7" s="480" t="s">
        <v>358</v>
      </c>
      <c r="M7" s="481"/>
      <c r="N7" s="482"/>
      <c r="O7" s="483" t="s">
        <v>360</v>
      </c>
      <c r="P7" s="481"/>
      <c r="Q7" s="45"/>
      <c r="R7" s="37"/>
      <c r="S7" s="37"/>
      <c r="T7" s="37"/>
      <c r="U7" s="37"/>
      <c r="V7" s="37"/>
      <c r="W7" s="37"/>
      <c r="X7" s="37"/>
      <c r="Y7" s="37"/>
      <c r="Z7" s="37"/>
    </row>
    <row r="8" spans="2:26" ht="18.75" customHeight="1">
      <c r="B8" s="493"/>
      <c r="C8" s="44"/>
      <c r="D8" s="480" t="s">
        <v>361</v>
      </c>
      <c r="E8" s="481"/>
      <c r="F8" s="481"/>
      <c r="G8" s="482"/>
      <c r="H8" s="483" t="s">
        <v>362</v>
      </c>
      <c r="I8" s="481"/>
      <c r="J8" s="45"/>
      <c r="K8" s="46"/>
      <c r="L8" s="480" t="s">
        <v>361</v>
      </c>
      <c r="M8" s="481"/>
      <c r="N8" s="482"/>
      <c r="O8" s="483" t="s">
        <v>362</v>
      </c>
      <c r="P8" s="481"/>
      <c r="Q8" s="45"/>
      <c r="R8" s="37"/>
      <c r="S8" s="37"/>
      <c r="T8" s="37"/>
      <c r="U8" s="37"/>
      <c r="V8" s="37"/>
      <c r="W8" s="37"/>
      <c r="X8" s="37"/>
      <c r="Y8" s="37"/>
      <c r="Z8" s="37"/>
    </row>
    <row r="9" spans="2:26" ht="8.25" customHeight="1" thickBot="1">
      <c r="B9" s="494"/>
      <c r="C9" s="47"/>
      <c r="D9" s="48"/>
      <c r="E9" s="48"/>
      <c r="F9" s="48"/>
      <c r="G9" s="48"/>
      <c r="H9" s="48"/>
      <c r="I9" s="48"/>
      <c r="J9" s="49"/>
      <c r="K9" s="50"/>
      <c r="L9" s="48"/>
      <c r="M9" s="48"/>
      <c r="N9" s="48"/>
      <c r="O9" s="48"/>
      <c r="P9" s="48"/>
      <c r="Q9" s="49"/>
      <c r="R9" s="37"/>
      <c r="S9" s="37"/>
      <c r="T9" s="37"/>
      <c r="U9" s="37"/>
      <c r="V9" s="37"/>
      <c r="W9" s="37"/>
      <c r="X9" s="37"/>
      <c r="Y9" s="37"/>
      <c r="Z9" s="37"/>
    </row>
    <row r="10" spans="2:26" ht="6.75" customHeight="1">
      <c r="B10" s="492" t="s">
        <v>363</v>
      </c>
      <c r="C10" s="40"/>
      <c r="D10" s="41"/>
      <c r="E10" s="41"/>
      <c r="F10" s="41"/>
      <c r="G10" s="41"/>
      <c r="H10" s="41"/>
      <c r="I10" s="41"/>
      <c r="J10" s="42"/>
      <c r="K10" s="43"/>
      <c r="L10" s="41"/>
      <c r="M10" s="41"/>
      <c r="N10" s="41"/>
      <c r="O10" s="41"/>
      <c r="P10" s="41"/>
      <c r="Q10" s="42"/>
      <c r="R10" s="37"/>
      <c r="S10" s="37"/>
      <c r="T10" s="37"/>
      <c r="U10" s="37"/>
      <c r="V10" s="37"/>
      <c r="W10" s="37"/>
      <c r="X10" s="37"/>
      <c r="Y10" s="37"/>
      <c r="Z10" s="37"/>
    </row>
    <row r="11" spans="2:26" ht="16.5" customHeight="1">
      <c r="B11" s="493"/>
      <c r="C11" s="44"/>
      <c r="D11" s="480" t="s">
        <v>306</v>
      </c>
      <c r="E11" s="481"/>
      <c r="F11" s="481"/>
      <c r="G11" s="483" t="s">
        <v>364</v>
      </c>
      <c r="H11" s="481"/>
      <c r="I11" s="481"/>
      <c r="J11" s="45"/>
      <c r="K11" s="46"/>
      <c r="L11" s="495" t="s">
        <v>306</v>
      </c>
      <c r="M11" s="496"/>
      <c r="N11" s="499" t="s">
        <v>365</v>
      </c>
      <c r="O11" s="500"/>
      <c r="P11" s="500"/>
      <c r="Q11" s="45"/>
      <c r="R11" s="37"/>
      <c r="S11" s="37"/>
      <c r="T11" s="37"/>
      <c r="U11" s="37"/>
      <c r="V11" s="37"/>
      <c r="W11" s="37"/>
      <c r="X11" s="37"/>
      <c r="Y11" s="37"/>
      <c r="Z11" s="37"/>
    </row>
    <row r="12" spans="2:26" ht="16.5" customHeight="1">
      <c r="B12" s="493"/>
      <c r="C12" s="44"/>
      <c r="D12" s="480" t="s">
        <v>366</v>
      </c>
      <c r="E12" s="481"/>
      <c r="F12" s="481"/>
      <c r="G12" s="483" t="s">
        <v>367</v>
      </c>
      <c r="H12" s="481"/>
      <c r="I12" s="481"/>
      <c r="J12" s="45"/>
      <c r="K12" s="46"/>
      <c r="L12" s="497"/>
      <c r="M12" s="498"/>
      <c r="N12" s="501"/>
      <c r="O12" s="497"/>
      <c r="P12" s="497"/>
      <c r="Q12" s="45"/>
      <c r="R12" s="37"/>
      <c r="S12" s="37"/>
      <c r="T12" s="37"/>
      <c r="U12" s="37"/>
      <c r="V12" s="37"/>
      <c r="W12" s="37"/>
      <c r="X12" s="37"/>
      <c r="Y12" s="37"/>
      <c r="Z12" s="37"/>
    </row>
    <row r="13" spans="2:26" ht="16.5" customHeight="1">
      <c r="B13" s="493"/>
      <c r="C13" s="44"/>
      <c r="D13" s="480" t="s">
        <v>368</v>
      </c>
      <c r="E13" s="481"/>
      <c r="F13" s="481"/>
      <c r="G13" s="483" t="s">
        <v>369</v>
      </c>
      <c r="H13" s="481"/>
      <c r="I13" s="481"/>
      <c r="J13" s="45"/>
      <c r="K13" s="46"/>
      <c r="L13" s="480" t="s">
        <v>370</v>
      </c>
      <c r="M13" s="482"/>
      <c r="N13" s="483" t="s">
        <v>369</v>
      </c>
      <c r="O13" s="481"/>
      <c r="P13" s="481"/>
      <c r="Q13" s="45"/>
      <c r="R13" s="37"/>
      <c r="S13" s="37"/>
      <c r="T13" s="37"/>
      <c r="U13" s="37"/>
      <c r="V13" s="37"/>
      <c r="W13" s="37"/>
      <c r="X13" s="37"/>
      <c r="Y13" s="37"/>
      <c r="Z13" s="37"/>
    </row>
    <row r="14" spans="2:26" ht="6.75" customHeight="1" thickBot="1">
      <c r="B14" s="494"/>
      <c r="C14" s="47"/>
      <c r="D14" s="48"/>
      <c r="E14" s="48"/>
      <c r="F14" s="48"/>
      <c r="G14" s="48"/>
      <c r="H14" s="48"/>
      <c r="I14" s="48"/>
      <c r="J14" s="49"/>
      <c r="K14" s="50"/>
      <c r="L14" s="48"/>
      <c r="M14" s="48"/>
      <c r="N14" s="48"/>
      <c r="O14" s="48"/>
      <c r="P14" s="48"/>
      <c r="Q14" s="49"/>
      <c r="R14" s="37"/>
      <c r="S14" s="37"/>
      <c r="T14" s="37"/>
      <c r="U14" s="37"/>
      <c r="V14" s="37"/>
      <c r="W14" s="37"/>
      <c r="X14" s="37"/>
      <c r="Y14" s="37"/>
      <c r="Z14" s="37"/>
    </row>
    <row r="15" spans="2:26" ht="6.75" customHeight="1">
      <c r="B15" s="492" t="s">
        <v>371</v>
      </c>
      <c r="C15" s="40"/>
      <c r="D15" s="41"/>
      <c r="E15" s="41"/>
      <c r="F15" s="41"/>
      <c r="G15" s="41"/>
      <c r="H15" s="41"/>
      <c r="I15" s="41"/>
      <c r="J15" s="42"/>
      <c r="K15" s="43"/>
      <c r="L15" s="41"/>
      <c r="M15" s="41"/>
      <c r="N15" s="41"/>
      <c r="O15" s="41"/>
      <c r="P15" s="41"/>
      <c r="Q15" s="42"/>
      <c r="R15" s="37"/>
      <c r="S15" s="37"/>
      <c r="T15" s="37"/>
      <c r="U15" s="37"/>
      <c r="V15" s="37"/>
      <c r="W15" s="37"/>
      <c r="X15" s="37"/>
      <c r="Y15" s="37"/>
      <c r="Z15" s="37"/>
    </row>
    <row r="16" spans="2:26" ht="20.25" customHeight="1">
      <c r="B16" s="493"/>
      <c r="C16" s="44"/>
      <c r="D16" s="480" t="s">
        <v>372</v>
      </c>
      <c r="E16" s="481"/>
      <c r="F16" s="481"/>
      <c r="G16" s="482"/>
      <c r="H16" s="483">
        <v>1</v>
      </c>
      <c r="I16" s="481"/>
      <c r="J16" s="45"/>
      <c r="K16" s="46"/>
      <c r="L16" s="480" t="s">
        <v>372</v>
      </c>
      <c r="M16" s="481"/>
      <c r="N16" s="482"/>
      <c r="O16" s="483" t="s">
        <v>373</v>
      </c>
      <c r="P16" s="481"/>
      <c r="Q16" s="45"/>
      <c r="R16" s="37"/>
      <c r="S16" s="37"/>
      <c r="T16" s="37"/>
      <c r="U16" s="37"/>
      <c r="V16" s="37"/>
      <c r="W16" s="37"/>
      <c r="X16" s="37"/>
      <c r="Y16" s="37"/>
      <c r="Z16" s="37"/>
    </row>
    <row r="17" spans="2:26" ht="20.25" customHeight="1">
      <c r="B17" s="493"/>
      <c r="C17" s="44"/>
      <c r="D17" s="480" t="s">
        <v>374</v>
      </c>
      <c r="E17" s="481"/>
      <c r="F17" s="481"/>
      <c r="G17" s="482"/>
      <c r="H17" s="483">
        <v>179</v>
      </c>
      <c r="I17" s="481"/>
      <c r="J17" s="45"/>
      <c r="K17" s="46"/>
      <c r="L17" s="480" t="s">
        <v>375</v>
      </c>
      <c r="M17" s="481"/>
      <c r="N17" s="482"/>
      <c r="O17" s="483" t="s">
        <v>376</v>
      </c>
      <c r="P17" s="481"/>
      <c r="Q17" s="45"/>
      <c r="R17" s="37"/>
      <c r="S17" s="37"/>
      <c r="T17" s="37"/>
      <c r="U17" s="37"/>
      <c r="V17" s="37"/>
      <c r="W17" s="37"/>
      <c r="X17" s="37"/>
      <c r="Y17" s="37"/>
      <c r="Z17" s="37"/>
    </row>
    <row r="18" spans="2:26" ht="20.25" customHeight="1">
      <c r="B18" s="493"/>
      <c r="C18" s="44"/>
      <c r="D18" s="480" t="s">
        <v>377</v>
      </c>
      <c r="E18" s="481"/>
      <c r="F18" s="481"/>
      <c r="G18" s="482"/>
      <c r="H18" s="483">
        <v>368</v>
      </c>
      <c r="I18" s="481"/>
      <c r="J18" s="45"/>
      <c r="K18" s="46"/>
      <c r="L18" s="480" t="s">
        <v>378</v>
      </c>
      <c r="M18" s="481"/>
      <c r="N18" s="482"/>
      <c r="O18" s="483" t="s">
        <v>379</v>
      </c>
      <c r="P18" s="481"/>
      <c r="Q18" s="45"/>
      <c r="R18" s="37"/>
      <c r="S18" s="37"/>
      <c r="T18" s="37"/>
      <c r="U18" s="37"/>
      <c r="V18" s="37"/>
      <c r="W18" s="37"/>
      <c r="X18" s="37"/>
      <c r="Y18" s="37"/>
      <c r="Z18" s="37"/>
    </row>
    <row r="19" spans="2:26" ht="20.25" customHeight="1">
      <c r="B19" s="493"/>
      <c r="C19" s="44"/>
      <c r="D19" s="480" t="s">
        <v>380</v>
      </c>
      <c r="E19" s="481"/>
      <c r="F19" s="481"/>
      <c r="G19" s="482"/>
      <c r="H19" s="483">
        <v>548</v>
      </c>
      <c r="I19" s="481"/>
      <c r="J19" s="45"/>
      <c r="K19" s="46"/>
      <c r="L19" s="480" t="s">
        <v>380</v>
      </c>
      <c r="M19" s="481"/>
      <c r="N19" s="482"/>
      <c r="O19" s="483" t="s">
        <v>381</v>
      </c>
      <c r="P19" s="481"/>
      <c r="Q19" s="45"/>
      <c r="R19" s="37"/>
      <c r="S19" s="37"/>
      <c r="T19" s="37"/>
      <c r="U19" s="37"/>
      <c r="V19" s="37"/>
      <c r="W19" s="37"/>
      <c r="X19" s="37"/>
      <c r="Y19" s="37"/>
      <c r="Z19" s="37"/>
    </row>
    <row r="20" spans="2:26" ht="5.25" customHeight="1" thickBot="1">
      <c r="B20" s="494"/>
      <c r="C20" s="47"/>
      <c r="D20" s="48"/>
      <c r="E20" s="48"/>
      <c r="F20" s="48"/>
      <c r="G20" s="48"/>
      <c r="H20" s="48"/>
      <c r="I20" s="48"/>
      <c r="J20" s="49"/>
      <c r="K20" s="50"/>
      <c r="L20" s="48"/>
      <c r="M20" s="48"/>
      <c r="N20" s="48"/>
      <c r="O20" s="48"/>
      <c r="P20" s="48"/>
      <c r="Q20" s="49"/>
      <c r="R20" s="37"/>
      <c r="S20" s="37"/>
      <c r="T20" s="37"/>
      <c r="U20" s="37"/>
      <c r="V20" s="37"/>
      <c r="W20" s="37"/>
      <c r="X20" s="37"/>
      <c r="Y20" s="37"/>
      <c r="Z20" s="37"/>
    </row>
    <row r="21" spans="2:26" ht="5.25" customHeight="1">
      <c r="B21" s="492" t="s">
        <v>382</v>
      </c>
      <c r="C21" s="40"/>
      <c r="D21" s="41"/>
      <c r="E21" s="41"/>
      <c r="F21" s="41"/>
      <c r="G21" s="41"/>
      <c r="H21" s="41"/>
      <c r="I21" s="41"/>
      <c r="J21" s="42"/>
      <c r="K21" s="43"/>
      <c r="L21" s="41"/>
      <c r="M21" s="41"/>
      <c r="N21" s="41"/>
      <c r="O21" s="41"/>
      <c r="P21" s="41"/>
      <c r="Q21" s="42"/>
      <c r="R21" s="37"/>
      <c r="S21" s="37"/>
      <c r="T21" s="37"/>
      <c r="U21" s="37"/>
      <c r="V21" s="37"/>
      <c r="W21" s="37"/>
      <c r="X21" s="37"/>
      <c r="Y21" s="37"/>
      <c r="Z21" s="37"/>
    </row>
    <row r="22" spans="2:26" ht="31.8" thickBot="1">
      <c r="B22" s="493"/>
      <c r="C22" s="44"/>
      <c r="D22" s="51"/>
      <c r="E22" s="52"/>
      <c r="F22" s="53" t="s">
        <v>383</v>
      </c>
      <c r="G22" s="53" t="s">
        <v>384</v>
      </c>
      <c r="H22" s="53" t="s">
        <v>385</v>
      </c>
      <c r="I22" s="54" t="s">
        <v>386</v>
      </c>
      <c r="J22" s="55"/>
      <c r="K22" s="56"/>
      <c r="L22" s="51"/>
      <c r="M22" s="53" t="s">
        <v>384</v>
      </c>
      <c r="N22" s="53" t="s">
        <v>387</v>
      </c>
      <c r="O22" s="502" t="s">
        <v>386</v>
      </c>
      <c r="P22" s="503"/>
      <c r="Q22" s="45"/>
      <c r="R22" s="37"/>
      <c r="S22" s="37"/>
      <c r="T22" s="37"/>
      <c r="U22" s="37"/>
      <c r="V22" s="37"/>
      <c r="W22" s="37"/>
      <c r="X22" s="37"/>
      <c r="Y22" s="37"/>
      <c r="Z22" s="37"/>
    </row>
    <row r="23" spans="2:26" ht="16.2" thickTop="1">
      <c r="B23" s="493"/>
      <c r="C23" s="44"/>
      <c r="D23" s="504" t="s">
        <v>384</v>
      </c>
      <c r="E23" s="506" t="s">
        <v>388</v>
      </c>
      <c r="F23" s="506" t="s">
        <v>389</v>
      </c>
      <c r="G23" s="57" t="s">
        <v>390</v>
      </c>
      <c r="H23" s="57" t="s">
        <v>391</v>
      </c>
      <c r="I23" s="509">
        <v>24</v>
      </c>
      <c r="J23" s="55"/>
      <c r="K23" s="56"/>
      <c r="L23" s="504" t="s">
        <v>392</v>
      </c>
      <c r="M23" s="58" t="s">
        <v>390</v>
      </c>
      <c r="N23" s="58" t="s">
        <v>393</v>
      </c>
      <c r="O23" s="509">
        <v>24</v>
      </c>
      <c r="P23" s="517"/>
      <c r="Q23" s="45"/>
      <c r="R23" s="37"/>
      <c r="S23" s="37"/>
      <c r="T23" s="37"/>
      <c r="U23" s="37"/>
      <c r="V23" s="37"/>
      <c r="W23" s="37"/>
      <c r="X23" s="37"/>
      <c r="Y23" s="37"/>
      <c r="Z23" s="37"/>
    </row>
    <row r="24" spans="2:26" ht="15.6">
      <c r="B24" s="493"/>
      <c r="C24" s="44"/>
      <c r="D24" s="505"/>
      <c r="E24" s="507"/>
      <c r="F24" s="507"/>
      <c r="G24" s="59" t="s">
        <v>394</v>
      </c>
      <c r="H24" s="59" t="s">
        <v>395</v>
      </c>
      <c r="I24" s="510"/>
      <c r="J24" s="55"/>
      <c r="K24" s="56"/>
      <c r="L24" s="505"/>
      <c r="M24" s="60" t="s">
        <v>394</v>
      </c>
      <c r="N24" s="60" t="s">
        <v>396</v>
      </c>
      <c r="O24" s="510"/>
      <c r="P24" s="518"/>
      <c r="Q24" s="45"/>
      <c r="R24" s="37"/>
      <c r="S24" s="37"/>
      <c r="T24" s="37"/>
      <c r="U24" s="37"/>
      <c r="V24" s="37"/>
      <c r="W24" s="37"/>
      <c r="X24" s="37"/>
      <c r="Y24" s="37"/>
      <c r="Z24" s="37"/>
    </row>
    <row r="25" spans="2:26" ht="15.6">
      <c r="B25" s="493"/>
      <c r="C25" s="44"/>
      <c r="D25" s="505"/>
      <c r="E25" s="507"/>
      <c r="F25" s="507"/>
      <c r="G25" s="59" t="s">
        <v>397</v>
      </c>
      <c r="H25" s="59" t="s">
        <v>398</v>
      </c>
      <c r="I25" s="511"/>
      <c r="J25" s="55"/>
      <c r="K25" s="56"/>
      <c r="L25" s="505"/>
      <c r="M25" s="60" t="s">
        <v>397</v>
      </c>
      <c r="N25" s="60" t="s">
        <v>399</v>
      </c>
      <c r="O25" s="501"/>
      <c r="P25" s="497"/>
      <c r="Q25" s="45"/>
      <c r="R25" s="37"/>
      <c r="S25" s="37"/>
      <c r="T25" s="37"/>
      <c r="U25" s="37"/>
      <c r="V25" s="37"/>
      <c r="W25" s="37"/>
      <c r="X25" s="37"/>
      <c r="Y25" s="37"/>
      <c r="Z25" s="37"/>
    </row>
    <row r="26" spans="2:26" ht="15.6">
      <c r="B26" s="493"/>
      <c r="C26" s="44"/>
      <c r="D26" s="505"/>
      <c r="E26" s="507"/>
      <c r="F26" s="508"/>
      <c r="G26" s="61" t="s">
        <v>400</v>
      </c>
      <c r="H26" s="61" t="s">
        <v>401</v>
      </c>
      <c r="I26" s="62">
        <v>6</v>
      </c>
      <c r="J26" s="55"/>
      <c r="K26" s="56"/>
      <c r="L26" s="505"/>
      <c r="M26" s="519" t="s">
        <v>402</v>
      </c>
      <c r="N26" s="63" t="s">
        <v>403</v>
      </c>
      <c r="O26" s="520">
        <v>6</v>
      </c>
      <c r="P26" s="521"/>
      <c r="Q26" s="45"/>
      <c r="R26" s="37"/>
      <c r="S26" s="37"/>
      <c r="T26" s="37"/>
      <c r="U26" s="37"/>
      <c r="V26" s="37"/>
      <c r="W26" s="37"/>
      <c r="X26" s="37"/>
      <c r="Y26" s="37"/>
      <c r="Z26" s="37"/>
    </row>
    <row r="27" spans="2:26" ht="46.8">
      <c r="B27" s="493"/>
      <c r="C27" s="44"/>
      <c r="D27" s="505"/>
      <c r="E27" s="507"/>
      <c r="F27" s="519" t="s">
        <v>404</v>
      </c>
      <c r="G27" s="63" t="s">
        <v>402</v>
      </c>
      <c r="H27" s="63" t="s">
        <v>405</v>
      </c>
      <c r="I27" s="522">
        <v>12</v>
      </c>
      <c r="J27" s="55"/>
      <c r="K27" s="56"/>
      <c r="L27" s="505"/>
      <c r="M27" s="508"/>
      <c r="N27" s="61" t="s">
        <v>406</v>
      </c>
      <c r="O27" s="523">
        <v>12</v>
      </c>
      <c r="P27" s="524"/>
      <c r="Q27" s="45"/>
      <c r="R27" s="37"/>
      <c r="S27" s="37"/>
      <c r="T27" s="37"/>
      <c r="U27" s="37"/>
      <c r="V27" s="37"/>
      <c r="W27" s="37"/>
      <c r="X27" s="37"/>
      <c r="Y27" s="37"/>
      <c r="Z27" s="37"/>
    </row>
    <row r="28" spans="2:26" ht="31.2">
      <c r="B28" s="493"/>
      <c r="C28" s="44"/>
      <c r="D28" s="505"/>
      <c r="E28" s="507"/>
      <c r="F28" s="508"/>
      <c r="G28" s="61" t="s">
        <v>407</v>
      </c>
      <c r="H28" s="61" t="s">
        <v>408</v>
      </c>
      <c r="I28" s="501"/>
      <c r="J28" s="55"/>
      <c r="K28" s="56"/>
      <c r="L28" s="505"/>
      <c r="M28" s="60" t="s">
        <v>407</v>
      </c>
      <c r="N28" s="60" t="s">
        <v>409</v>
      </c>
      <c r="O28" s="501"/>
      <c r="P28" s="497"/>
      <c r="Q28" s="45"/>
      <c r="R28" s="37"/>
      <c r="S28" s="37"/>
      <c r="T28" s="37"/>
      <c r="U28" s="37"/>
      <c r="V28" s="37"/>
      <c r="W28" s="37"/>
      <c r="X28" s="37"/>
      <c r="Y28" s="37"/>
      <c r="Z28" s="37"/>
    </row>
    <row r="29" spans="2:26" ht="15.6">
      <c r="B29" s="493"/>
      <c r="C29" s="44"/>
      <c r="D29" s="505"/>
      <c r="E29" s="507"/>
      <c r="F29" s="519" t="s">
        <v>410</v>
      </c>
      <c r="G29" s="63" t="s">
        <v>411</v>
      </c>
      <c r="H29" s="64"/>
      <c r="I29" s="65">
        <v>8</v>
      </c>
      <c r="J29" s="55"/>
      <c r="K29" s="56"/>
      <c r="L29" s="505"/>
      <c r="M29" s="60" t="s">
        <v>411</v>
      </c>
      <c r="N29" s="66"/>
      <c r="O29" s="514">
        <v>8</v>
      </c>
      <c r="P29" s="481"/>
      <c r="Q29" s="45"/>
      <c r="R29" s="37"/>
      <c r="S29" s="37"/>
      <c r="T29" s="37"/>
      <c r="U29" s="37"/>
      <c r="V29" s="37"/>
      <c r="W29" s="37"/>
      <c r="X29" s="37"/>
      <c r="Y29" s="37"/>
      <c r="Z29" s="37"/>
    </row>
    <row r="30" spans="2:26" ht="15.6">
      <c r="B30" s="493"/>
      <c r="C30" s="44"/>
      <c r="D30" s="505"/>
      <c r="E30" s="507"/>
      <c r="F30" s="508"/>
      <c r="G30" s="61" t="s">
        <v>412</v>
      </c>
      <c r="H30" s="67"/>
      <c r="I30" s="62">
        <v>6</v>
      </c>
      <c r="J30" s="55"/>
      <c r="K30" s="56"/>
      <c r="L30" s="505"/>
      <c r="M30" s="60" t="s">
        <v>412</v>
      </c>
      <c r="N30" s="66"/>
      <c r="O30" s="514">
        <v>6</v>
      </c>
      <c r="P30" s="481"/>
      <c r="Q30" s="45"/>
      <c r="R30" s="37"/>
      <c r="S30" s="37"/>
      <c r="T30" s="37"/>
      <c r="U30" s="37"/>
      <c r="V30" s="37"/>
      <c r="W30" s="37"/>
      <c r="X30" s="37"/>
      <c r="Y30" s="37"/>
      <c r="Z30" s="37"/>
    </row>
    <row r="31" spans="2:26" ht="62.4">
      <c r="B31" s="493"/>
      <c r="C31" s="44"/>
      <c r="D31" s="505"/>
      <c r="E31" s="507"/>
      <c r="F31" s="60" t="s">
        <v>413</v>
      </c>
      <c r="G31" s="60" t="s">
        <v>414</v>
      </c>
      <c r="H31" s="66"/>
      <c r="I31" s="68">
        <v>10</v>
      </c>
      <c r="J31" s="55"/>
      <c r="K31" s="56"/>
      <c r="L31" s="505"/>
      <c r="M31" s="60" t="s">
        <v>415</v>
      </c>
      <c r="N31" s="66"/>
      <c r="O31" s="514">
        <v>8</v>
      </c>
      <c r="P31" s="481"/>
      <c r="Q31" s="45"/>
      <c r="R31" s="37"/>
      <c r="S31" s="37"/>
      <c r="T31" s="37"/>
      <c r="U31" s="37"/>
      <c r="V31" s="37"/>
      <c r="W31" s="37"/>
      <c r="X31" s="37"/>
      <c r="Y31" s="37"/>
      <c r="Z31" s="37"/>
    </row>
    <row r="32" spans="2:26" ht="18.75" customHeight="1">
      <c r="B32" s="493"/>
      <c r="C32" s="44"/>
      <c r="D32" s="505"/>
      <c r="E32" s="508"/>
      <c r="F32" s="515" t="s">
        <v>380</v>
      </c>
      <c r="G32" s="481"/>
      <c r="H32" s="482"/>
      <c r="I32" s="69">
        <v>66</v>
      </c>
      <c r="J32" s="55"/>
      <c r="K32" s="56"/>
      <c r="L32" s="498"/>
      <c r="M32" s="515" t="s">
        <v>380</v>
      </c>
      <c r="N32" s="482"/>
      <c r="O32" s="516">
        <v>64</v>
      </c>
      <c r="P32" s="481"/>
      <c r="Q32" s="45"/>
      <c r="R32" s="37"/>
      <c r="S32" s="37"/>
      <c r="T32" s="37"/>
      <c r="U32" s="37"/>
      <c r="V32" s="37"/>
      <c r="W32" s="37"/>
      <c r="X32" s="37"/>
      <c r="Y32" s="37"/>
      <c r="Z32" s="37"/>
    </row>
    <row r="33" spans="2:26" ht="35.25" customHeight="1">
      <c r="B33" s="493"/>
      <c r="C33" s="44"/>
      <c r="D33" s="498"/>
      <c r="E33" s="70" t="s">
        <v>416</v>
      </c>
      <c r="F33" s="515" t="s">
        <v>417</v>
      </c>
      <c r="G33" s="481"/>
      <c r="H33" s="482"/>
      <c r="I33" s="69">
        <v>86</v>
      </c>
      <c r="J33" s="55"/>
      <c r="K33" s="56"/>
      <c r="L33" s="71" t="s">
        <v>418</v>
      </c>
      <c r="M33" s="515" t="s">
        <v>419</v>
      </c>
      <c r="N33" s="482"/>
      <c r="O33" s="516">
        <v>80</v>
      </c>
      <c r="P33" s="481"/>
      <c r="Q33" s="45"/>
      <c r="R33" s="37"/>
      <c r="S33" s="37"/>
      <c r="T33" s="37"/>
      <c r="U33" s="37"/>
      <c r="V33" s="37"/>
      <c r="W33" s="37"/>
      <c r="X33" s="37"/>
      <c r="Y33" s="37"/>
      <c r="Z33" s="37"/>
    </row>
    <row r="34" spans="2:26" ht="21.75" customHeight="1">
      <c r="B34" s="493"/>
      <c r="C34" s="44"/>
      <c r="D34" s="512" t="s">
        <v>358</v>
      </c>
      <c r="E34" s="481"/>
      <c r="F34" s="481"/>
      <c r="G34" s="481"/>
      <c r="H34" s="482"/>
      <c r="I34" s="72">
        <v>22</v>
      </c>
      <c r="J34" s="55"/>
      <c r="K34" s="56"/>
      <c r="L34" s="512" t="s">
        <v>358</v>
      </c>
      <c r="M34" s="481"/>
      <c r="N34" s="482"/>
      <c r="O34" s="513">
        <v>30</v>
      </c>
      <c r="P34" s="481"/>
      <c r="Q34" s="45"/>
      <c r="R34" s="37"/>
      <c r="S34" s="37"/>
      <c r="T34" s="37"/>
      <c r="U34" s="37"/>
      <c r="V34" s="37"/>
      <c r="W34" s="37"/>
      <c r="X34" s="37"/>
      <c r="Y34" s="37"/>
      <c r="Z34" s="37"/>
    </row>
    <row r="35" spans="2:26" ht="24" customHeight="1">
      <c r="B35" s="493"/>
      <c r="C35" s="44"/>
      <c r="D35" s="512" t="s">
        <v>361</v>
      </c>
      <c r="E35" s="481"/>
      <c r="F35" s="481"/>
      <c r="G35" s="481"/>
      <c r="H35" s="482"/>
      <c r="I35" s="72">
        <v>18</v>
      </c>
      <c r="J35" s="55"/>
      <c r="K35" s="56"/>
      <c r="L35" s="512" t="s">
        <v>361</v>
      </c>
      <c r="M35" s="481"/>
      <c r="N35" s="482"/>
      <c r="O35" s="513">
        <v>18</v>
      </c>
      <c r="P35" s="481"/>
      <c r="Q35" s="45"/>
      <c r="R35" s="37"/>
      <c r="S35" s="37"/>
      <c r="T35" s="37"/>
      <c r="U35" s="37"/>
      <c r="V35" s="37"/>
      <c r="W35" s="37"/>
      <c r="X35" s="37"/>
      <c r="Y35" s="37"/>
      <c r="Z35" s="37"/>
    </row>
    <row r="36" spans="2:26" ht="15.6">
      <c r="B36" s="493"/>
      <c r="C36" s="44"/>
      <c r="D36" s="525" t="s">
        <v>420</v>
      </c>
      <c r="E36" s="481"/>
      <c r="F36" s="481"/>
      <c r="G36" s="481"/>
      <c r="H36" s="482"/>
      <c r="I36" s="69">
        <v>192</v>
      </c>
      <c r="J36" s="55"/>
      <c r="K36" s="56"/>
      <c r="L36" s="525" t="s">
        <v>420</v>
      </c>
      <c r="M36" s="481"/>
      <c r="N36" s="482"/>
      <c r="O36" s="516">
        <v>192</v>
      </c>
      <c r="P36" s="481"/>
      <c r="Q36" s="45"/>
      <c r="R36" s="37"/>
      <c r="S36" s="37"/>
      <c r="T36" s="37"/>
      <c r="U36" s="37"/>
      <c r="V36" s="37"/>
      <c r="W36" s="37"/>
      <c r="X36" s="37"/>
      <c r="Y36" s="37"/>
      <c r="Z36" s="37"/>
    </row>
    <row r="37" spans="2:26" ht="5.25" customHeight="1" thickBot="1">
      <c r="B37" s="494"/>
      <c r="C37" s="47"/>
      <c r="D37" s="48"/>
      <c r="E37" s="48"/>
      <c r="F37" s="48"/>
      <c r="G37" s="48"/>
      <c r="H37" s="48"/>
      <c r="I37" s="48"/>
      <c r="J37" s="49"/>
      <c r="K37" s="50"/>
      <c r="L37" s="48"/>
      <c r="M37" s="48"/>
      <c r="N37" s="48"/>
      <c r="O37" s="48"/>
      <c r="P37" s="48"/>
      <c r="Q37" s="49"/>
      <c r="R37" s="37"/>
      <c r="S37" s="37"/>
      <c r="T37" s="37"/>
      <c r="U37" s="37"/>
      <c r="V37" s="37"/>
      <c r="W37" s="37"/>
      <c r="X37" s="37"/>
      <c r="Y37" s="37"/>
      <c r="Z37" s="37"/>
    </row>
    <row r="38" spans="2:26" ht="5.25" customHeight="1">
      <c r="B38" s="492" t="s">
        <v>421</v>
      </c>
      <c r="C38" s="40"/>
      <c r="D38" s="41"/>
      <c r="E38" s="41"/>
      <c r="F38" s="41"/>
      <c r="G38" s="41"/>
      <c r="H38" s="41"/>
      <c r="I38" s="41"/>
      <c r="J38" s="42"/>
      <c r="K38" s="43"/>
      <c r="L38" s="41"/>
      <c r="M38" s="41"/>
      <c r="N38" s="41"/>
      <c r="O38" s="41"/>
      <c r="P38" s="41"/>
      <c r="Q38" s="42"/>
      <c r="R38" s="37"/>
      <c r="S38" s="37"/>
      <c r="T38" s="37"/>
      <c r="U38" s="37"/>
      <c r="V38" s="37"/>
      <c r="W38" s="37"/>
      <c r="X38" s="37"/>
      <c r="Y38" s="37"/>
      <c r="Z38" s="37"/>
    </row>
    <row r="39" spans="2:26" ht="15.6">
      <c r="B39" s="493"/>
      <c r="C39" s="44" t="s">
        <v>422</v>
      </c>
      <c r="D39" s="73"/>
      <c r="E39" s="73"/>
      <c r="F39" s="73"/>
      <c r="G39" s="73"/>
      <c r="H39" s="73"/>
      <c r="I39" s="73"/>
      <c r="J39" s="45"/>
      <c r="K39" s="46"/>
      <c r="L39" s="73" t="s">
        <v>423</v>
      </c>
      <c r="M39" s="73"/>
      <c r="N39" s="73"/>
      <c r="O39" s="73"/>
      <c r="P39" s="73"/>
      <c r="Q39" s="45"/>
      <c r="R39" s="37"/>
      <c r="S39" s="37"/>
      <c r="T39" s="37"/>
      <c r="U39" s="37"/>
      <c r="V39" s="37"/>
      <c r="W39" s="37"/>
      <c r="X39" s="37"/>
      <c r="Y39" s="37"/>
      <c r="Z39" s="37"/>
    </row>
    <row r="40" spans="2:26" ht="15.6">
      <c r="B40" s="493"/>
      <c r="C40" s="44" t="s">
        <v>424</v>
      </c>
      <c r="D40" s="73"/>
      <c r="E40" s="73"/>
      <c r="F40" s="73"/>
      <c r="G40" s="73"/>
      <c r="H40" s="73"/>
      <c r="I40" s="73"/>
      <c r="J40" s="45"/>
      <c r="K40" s="46"/>
      <c r="L40" s="73" t="s">
        <v>425</v>
      </c>
      <c r="M40" s="73"/>
      <c r="N40" s="73"/>
      <c r="O40" s="73"/>
      <c r="P40" s="73"/>
      <c r="Q40" s="45"/>
      <c r="R40" s="37"/>
      <c r="S40" s="37"/>
      <c r="T40" s="37"/>
      <c r="U40" s="37"/>
      <c r="V40" s="37"/>
      <c r="W40" s="37"/>
      <c r="X40" s="37"/>
      <c r="Y40" s="37"/>
      <c r="Z40" s="37"/>
    </row>
    <row r="41" spans="2:26" ht="5.25" customHeight="1" thickBot="1">
      <c r="B41" s="494"/>
      <c r="C41" s="47"/>
      <c r="D41" s="48"/>
      <c r="E41" s="48"/>
      <c r="F41" s="48"/>
      <c r="G41" s="48"/>
      <c r="H41" s="48"/>
      <c r="I41" s="48"/>
      <c r="J41" s="49"/>
      <c r="K41" s="50"/>
      <c r="L41" s="48"/>
      <c r="M41" s="48"/>
      <c r="N41" s="48"/>
      <c r="O41" s="48"/>
      <c r="P41" s="48"/>
      <c r="Q41" s="49"/>
      <c r="R41" s="37"/>
      <c r="S41" s="37"/>
      <c r="T41" s="37"/>
      <c r="U41" s="37"/>
      <c r="V41" s="37"/>
      <c r="W41" s="37"/>
      <c r="X41" s="37"/>
      <c r="Y41" s="37"/>
      <c r="Z41" s="37"/>
    </row>
    <row r="42" spans="2:26" ht="5.25" customHeight="1">
      <c r="B42" s="492" t="s">
        <v>426</v>
      </c>
      <c r="C42" s="40"/>
      <c r="D42" s="41"/>
      <c r="E42" s="41"/>
      <c r="F42" s="41"/>
      <c r="G42" s="41"/>
      <c r="H42" s="41"/>
      <c r="I42" s="41"/>
      <c r="J42" s="42"/>
      <c r="K42" s="43"/>
      <c r="L42" s="41"/>
      <c r="M42" s="41"/>
      <c r="N42" s="41"/>
      <c r="O42" s="41"/>
      <c r="P42" s="41"/>
      <c r="Q42" s="42"/>
      <c r="R42" s="37"/>
      <c r="S42" s="37"/>
      <c r="T42" s="37"/>
      <c r="U42" s="37"/>
      <c r="V42" s="37"/>
      <c r="W42" s="37"/>
      <c r="X42" s="37"/>
      <c r="Y42" s="37"/>
      <c r="Z42" s="37"/>
    </row>
    <row r="43" spans="2:26" ht="15.6">
      <c r="B43" s="493"/>
      <c r="C43" s="44"/>
      <c r="D43" s="73" t="s">
        <v>427</v>
      </c>
      <c r="E43" s="73"/>
      <c r="F43" s="73"/>
      <c r="G43" s="73"/>
      <c r="H43" s="73"/>
      <c r="I43" s="73"/>
      <c r="J43" s="45"/>
      <c r="K43" s="46"/>
      <c r="L43" s="73" t="s">
        <v>428</v>
      </c>
      <c r="M43" s="73"/>
      <c r="N43" s="73"/>
      <c r="O43" s="73"/>
      <c r="P43" s="73"/>
      <c r="Q43" s="45"/>
      <c r="R43" s="37"/>
      <c r="S43" s="37"/>
      <c r="T43" s="37"/>
      <c r="U43" s="37"/>
      <c r="V43" s="37"/>
      <c r="W43" s="37"/>
      <c r="X43" s="37"/>
      <c r="Y43" s="37"/>
      <c r="Z43" s="37"/>
    </row>
    <row r="44" spans="2:26" ht="15.6">
      <c r="B44" s="493"/>
      <c r="C44" s="44"/>
      <c r="D44" s="73" t="s">
        <v>429</v>
      </c>
      <c r="E44" s="74"/>
      <c r="F44" s="74"/>
      <c r="G44" s="74"/>
      <c r="H44" s="74"/>
      <c r="I44" s="74"/>
      <c r="J44" s="45"/>
      <c r="K44" s="46"/>
      <c r="L44" s="73"/>
      <c r="M44" s="73"/>
      <c r="N44" s="73"/>
      <c r="O44" s="73"/>
      <c r="P44" s="73"/>
      <c r="Q44" s="45"/>
      <c r="R44" s="37"/>
      <c r="S44" s="37"/>
      <c r="T44" s="37"/>
      <c r="U44" s="37"/>
      <c r="V44" s="37"/>
      <c r="W44" s="37"/>
      <c r="X44" s="37"/>
      <c r="Y44" s="37"/>
      <c r="Z44" s="37"/>
    </row>
    <row r="45" spans="2:26" ht="15.6">
      <c r="B45" s="493"/>
      <c r="C45" s="44"/>
      <c r="D45" s="526" t="s">
        <v>347</v>
      </c>
      <c r="E45" s="481"/>
      <c r="F45" s="482"/>
      <c r="G45" s="527" t="s">
        <v>430</v>
      </c>
      <c r="H45" s="482"/>
      <c r="I45" s="75" t="s">
        <v>431</v>
      </c>
      <c r="J45" s="45"/>
      <c r="K45" s="46"/>
      <c r="L45" s="526" t="s">
        <v>347</v>
      </c>
      <c r="M45" s="482"/>
      <c r="N45" s="527" t="s">
        <v>430</v>
      </c>
      <c r="O45" s="482"/>
      <c r="P45" s="75" t="s">
        <v>432</v>
      </c>
      <c r="Q45" s="45"/>
      <c r="R45" s="37"/>
      <c r="S45" s="37"/>
      <c r="T45" s="37"/>
      <c r="U45" s="37"/>
      <c r="V45" s="37"/>
      <c r="W45" s="37"/>
      <c r="X45" s="37"/>
      <c r="Y45" s="37"/>
      <c r="Z45" s="37"/>
    </row>
    <row r="46" spans="2:26" ht="38.25" customHeight="1">
      <c r="B46" s="493"/>
      <c r="C46" s="44"/>
      <c r="D46" s="480" t="s">
        <v>433</v>
      </c>
      <c r="E46" s="482"/>
      <c r="F46" s="76">
        <v>1</v>
      </c>
      <c r="G46" s="528" t="s">
        <v>434</v>
      </c>
      <c r="H46" s="482"/>
      <c r="I46" s="529">
        <v>86</v>
      </c>
      <c r="J46" s="45"/>
      <c r="K46" s="46"/>
      <c r="L46" s="77" t="s">
        <v>433</v>
      </c>
      <c r="M46" s="76">
        <v>3</v>
      </c>
      <c r="N46" s="528" t="s">
        <v>435</v>
      </c>
      <c r="O46" s="482"/>
      <c r="P46" s="529">
        <v>80</v>
      </c>
      <c r="Q46" s="45"/>
      <c r="R46" s="37"/>
      <c r="S46" s="37"/>
      <c r="T46" s="37"/>
      <c r="U46" s="37"/>
      <c r="V46" s="37"/>
      <c r="W46" s="37"/>
      <c r="X46" s="37"/>
      <c r="Y46" s="37"/>
      <c r="Z46" s="37"/>
    </row>
    <row r="47" spans="2:26" ht="16.5" customHeight="1">
      <c r="B47" s="493"/>
      <c r="C47" s="44"/>
      <c r="D47" s="480" t="s">
        <v>436</v>
      </c>
      <c r="E47" s="482"/>
      <c r="F47" s="76">
        <v>179</v>
      </c>
      <c r="G47" s="483" t="s">
        <v>419</v>
      </c>
      <c r="H47" s="482"/>
      <c r="I47" s="510"/>
      <c r="J47" s="45"/>
      <c r="K47" s="46"/>
      <c r="L47" s="77" t="s">
        <v>437</v>
      </c>
      <c r="M47" s="76">
        <v>216</v>
      </c>
      <c r="N47" s="483" t="s">
        <v>419</v>
      </c>
      <c r="O47" s="482"/>
      <c r="P47" s="510"/>
      <c r="Q47" s="45"/>
      <c r="R47" s="37"/>
      <c r="S47" s="37"/>
      <c r="T47" s="37"/>
      <c r="U47" s="37"/>
      <c r="V47" s="37"/>
      <c r="W47" s="37"/>
      <c r="X47" s="37"/>
      <c r="Y47" s="37"/>
      <c r="Z47" s="37"/>
    </row>
    <row r="48" spans="2:26" ht="16.5" customHeight="1">
      <c r="B48" s="493"/>
      <c r="C48" s="44"/>
      <c r="D48" s="480" t="s">
        <v>438</v>
      </c>
      <c r="E48" s="482"/>
      <c r="F48" s="76">
        <v>368</v>
      </c>
      <c r="G48" s="483" t="s">
        <v>419</v>
      </c>
      <c r="H48" s="482"/>
      <c r="I48" s="501"/>
      <c r="J48" s="45"/>
      <c r="K48" s="46"/>
      <c r="L48" s="77" t="s">
        <v>439</v>
      </c>
      <c r="M48" s="76">
        <v>309</v>
      </c>
      <c r="N48" s="483" t="s">
        <v>419</v>
      </c>
      <c r="O48" s="482"/>
      <c r="P48" s="501"/>
      <c r="Q48" s="45"/>
      <c r="R48" s="37"/>
      <c r="S48" s="37"/>
      <c r="T48" s="37"/>
      <c r="U48" s="37"/>
      <c r="V48" s="37"/>
      <c r="W48" s="37"/>
      <c r="X48" s="37"/>
      <c r="Y48" s="37"/>
      <c r="Z48" s="37"/>
    </row>
    <row r="49" spans="2:26" ht="5.25" customHeight="1" thickBot="1">
      <c r="B49" s="494"/>
      <c r="C49" s="47"/>
      <c r="D49" s="48"/>
      <c r="E49" s="48"/>
      <c r="F49" s="48"/>
      <c r="G49" s="48"/>
      <c r="H49" s="48"/>
      <c r="I49" s="48"/>
      <c r="J49" s="49"/>
      <c r="K49" s="50"/>
      <c r="L49" s="48"/>
      <c r="M49" s="48"/>
      <c r="N49" s="48"/>
      <c r="O49" s="48"/>
      <c r="P49" s="48"/>
      <c r="Q49" s="49"/>
      <c r="R49" s="37"/>
      <c r="S49" s="37"/>
      <c r="T49" s="37"/>
      <c r="U49" s="37"/>
      <c r="V49" s="37"/>
      <c r="W49" s="37"/>
      <c r="X49" s="37"/>
      <c r="Y49" s="37"/>
      <c r="Z49" s="37"/>
    </row>
    <row r="50" spans="2:26" ht="5.25" customHeight="1">
      <c r="B50" s="492" t="s">
        <v>440</v>
      </c>
      <c r="C50" s="40"/>
      <c r="D50" s="41"/>
      <c r="E50" s="41"/>
      <c r="F50" s="41"/>
      <c r="G50" s="41"/>
      <c r="H50" s="41"/>
      <c r="I50" s="41"/>
      <c r="J50" s="42"/>
      <c r="K50" s="43"/>
      <c r="L50" s="41"/>
      <c r="M50" s="41"/>
      <c r="N50" s="41"/>
      <c r="O50" s="41"/>
      <c r="P50" s="41"/>
      <c r="Q50" s="42"/>
      <c r="R50" s="37"/>
      <c r="S50" s="37"/>
      <c r="T50" s="37"/>
      <c r="U50" s="37"/>
      <c r="V50" s="37"/>
      <c r="W50" s="37"/>
      <c r="X50" s="37"/>
      <c r="Y50" s="37"/>
      <c r="Z50" s="37"/>
    </row>
    <row r="51" spans="2:26" ht="26.4">
      <c r="B51" s="493"/>
      <c r="C51" s="44"/>
      <c r="D51" s="531" t="s">
        <v>347</v>
      </c>
      <c r="E51" s="481"/>
      <c r="F51" s="482"/>
      <c r="G51" s="78" t="s">
        <v>441</v>
      </c>
      <c r="H51" s="78" t="s">
        <v>442</v>
      </c>
      <c r="I51" s="79" t="s">
        <v>443</v>
      </c>
      <c r="J51" s="55"/>
      <c r="K51" s="56"/>
      <c r="L51" s="531" t="s">
        <v>347</v>
      </c>
      <c r="M51" s="482"/>
      <c r="N51" s="78" t="s">
        <v>441</v>
      </c>
      <c r="O51" s="78" t="s">
        <v>442</v>
      </c>
      <c r="P51" s="79" t="s">
        <v>444</v>
      </c>
      <c r="Q51" s="45"/>
      <c r="R51" s="37"/>
      <c r="S51" s="37"/>
      <c r="T51" s="37"/>
      <c r="U51" s="37"/>
      <c r="V51" s="37"/>
      <c r="W51" s="37"/>
      <c r="X51" s="37"/>
      <c r="Y51" s="37"/>
      <c r="Z51" s="37"/>
    </row>
    <row r="52" spans="2:26" ht="15.6">
      <c r="B52" s="493"/>
      <c r="C52" s="44"/>
      <c r="D52" s="530" t="s">
        <v>445</v>
      </c>
      <c r="E52" s="481"/>
      <c r="F52" s="482"/>
      <c r="G52" s="80">
        <v>8</v>
      </c>
      <c r="H52" s="80">
        <v>-2</v>
      </c>
      <c r="I52" s="81" t="s">
        <v>446</v>
      </c>
      <c r="J52" s="55"/>
      <c r="K52" s="56"/>
      <c r="L52" s="530" t="s">
        <v>445</v>
      </c>
      <c r="M52" s="482"/>
      <c r="N52" s="80">
        <v>4</v>
      </c>
      <c r="O52" s="80">
        <v>-1</v>
      </c>
      <c r="P52" s="81" t="s">
        <v>342</v>
      </c>
      <c r="Q52" s="45"/>
      <c r="R52" s="37"/>
      <c r="S52" s="37"/>
      <c r="T52" s="37"/>
      <c r="U52" s="37"/>
      <c r="V52" s="37"/>
      <c r="W52" s="37"/>
      <c r="X52" s="37"/>
      <c r="Y52" s="37"/>
      <c r="Z52" s="37"/>
    </row>
    <row r="53" spans="2:26" ht="27.75" customHeight="1">
      <c r="B53" s="493"/>
      <c r="C53" s="44"/>
      <c r="D53" s="530" t="s">
        <v>447</v>
      </c>
      <c r="E53" s="481"/>
      <c r="F53" s="482"/>
      <c r="G53" s="80">
        <v>6</v>
      </c>
      <c r="H53" s="82"/>
      <c r="I53" s="81" t="s">
        <v>448</v>
      </c>
      <c r="J53" s="55"/>
      <c r="K53" s="56"/>
      <c r="L53" s="530" t="s">
        <v>449</v>
      </c>
      <c r="M53" s="482"/>
      <c r="N53" s="80">
        <v>3</v>
      </c>
      <c r="O53" s="82"/>
      <c r="P53" s="81">
        <v>3</v>
      </c>
      <c r="Q53" s="45"/>
      <c r="R53" s="37"/>
      <c r="S53" s="37"/>
      <c r="T53" s="37"/>
      <c r="U53" s="37"/>
      <c r="V53" s="37"/>
      <c r="W53" s="37"/>
      <c r="X53" s="37"/>
      <c r="Y53" s="37"/>
      <c r="Z53" s="37"/>
    </row>
    <row r="54" spans="2:26" ht="15.6">
      <c r="B54" s="493"/>
      <c r="C54" s="44"/>
      <c r="D54" s="530" t="s">
        <v>450</v>
      </c>
      <c r="E54" s="481"/>
      <c r="F54" s="482"/>
      <c r="G54" s="80">
        <v>5</v>
      </c>
      <c r="H54" s="80" t="s">
        <v>451</v>
      </c>
      <c r="I54" s="81" t="s">
        <v>452</v>
      </c>
      <c r="J54" s="55"/>
      <c r="K54" s="56"/>
      <c r="L54" s="530" t="s">
        <v>453</v>
      </c>
      <c r="M54" s="482"/>
      <c r="N54" s="80">
        <v>4</v>
      </c>
      <c r="O54" s="80" t="s">
        <v>454</v>
      </c>
      <c r="P54" s="81" t="s">
        <v>344</v>
      </c>
      <c r="Q54" s="45"/>
      <c r="R54" s="37"/>
      <c r="S54" s="37"/>
      <c r="T54" s="37"/>
      <c r="U54" s="37"/>
      <c r="V54" s="37"/>
      <c r="W54" s="37"/>
      <c r="X54" s="37"/>
      <c r="Y54" s="37"/>
      <c r="Z54" s="37"/>
    </row>
    <row r="55" spans="2:26" ht="15.6">
      <c r="B55" s="493"/>
      <c r="C55" s="44"/>
      <c r="D55" s="530" t="s">
        <v>455</v>
      </c>
      <c r="E55" s="481"/>
      <c r="F55" s="482"/>
      <c r="G55" s="80">
        <v>5</v>
      </c>
      <c r="H55" s="80" t="s">
        <v>456</v>
      </c>
      <c r="I55" s="81" t="s">
        <v>457</v>
      </c>
      <c r="J55" s="55"/>
      <c r="K55" s="56"/>
      <c r="L55" s="530" t="s">
        <v>458</v>
      </c>
      <c r="M55" s="482"/>
      <c r="N55" s="80">
        <v>3</v>
      </c>
      <c r="O55" s="80" t="s">
        <v>454</v>
      </c>
      <c r="P55" s="81" t="s">
        <v>345</v>
      </c>
      <c r="Q55" s="45"/>
      <c r="R55" s="37"/>
      <c r="S55" s="37"/>
      <c r="T55" s="37"/>
      <c r="U55" s="37"/>
      <c r="V55" s="37"/>
      <c r="W55" s="37"/>
      <c r="X55" s="37"/>
      <c r="Y55" s="37"/>
      <c r="Z55" s="37"/>
    </row>
    <row r="56" spans="2:26" ht="15.6">
      <c r="B56" s="493"/>
      <c r="C56" s="44"/>
      <c r="D56" s="530" t="s">
        <v>459</v>
      </c>
      <c r="E56" s="481"/>
      <c r="F56" s="482"/>
      <c r="G56" s="80">
        <v>5</v>
      </c>
      <c r="H56" s="80" t="s">
        <v>456</v>
      </c>
      <c r="I56" s="81" t="s">
        <v>457</v>
      </c>
      <c r="J56" s="55"/>
      <c r="K56" s="56"/>
      <c r="L56" s="530" t="s">
        <v>370</v>
      </c>
      <c r="M56" s="482"/>
      <c r="N56" s="528" t="s">
        <v>460</v>
      </c>
      <c r="O56" s="481"/>
      <c r="P56" s="481"/>
      <c r="Q56" s="45"/>
      <c r="R56" s="37"/>
      <c r="S56" s="37"/>
      <c r="T56" s="37"/>
      <c r="U56" s="37"/>
      <c r="V56" s="37"/>
      <c r="W56" s="37"/>
      <c r="X56" s="37"/>
      <c r="Y56" s="37"/>
      <c r="Z56" s="37"/>
    </row>
    <row r="57" spans="2:26" ht="15.6">
      <c r="B57" s="493"/>
      <c r="C57" s="44"/>
      <c r="D57" s="530" t="s">
        <v>368</v>
      </c>
      <c r="E57" s="481"/>
      <c r="F57" s="482"/>
      <c r="G57" s="528" t="s">
        <v>460</v>
      </c>
      <c r="H57" s="481"/>
      <c r="I57" s="481"/>
      <c r="J57" s="55"/>
      <c r="K57" s="56"/>
      <c r="L57" s="83"/>
      <c r="M57" s="73"/>
      <c r="N57" s="73"/>
      <c r="O57" s="73"/>
      <c r="P57" s="73"/>
      <c r="Q57" s="45"/>
      <c r="R57" s="37"/>
      <c r="S57" s="37"/>
      <c r="T57" s="37"/>
      <c r="U57" s="37"/>
      <c r="V57" s="37"/>
      <c r="W57" s="37"/>
      <c r="X57" s="37"/>
      <c r="Y57" s="37"/>
      <c r="Z57" s="37"/>
    </row>
    <row r="58" spans="2:26" ht="15.6">
      <c r="B58" s="493"/>
      <c r="C58" s="44"/>
      <c r="D58" s="73"/>
      <c r="E58" s="73"/>
      <c r="F58" s="73"/>
      <c r="G58" s="73"/>
      <c r="H58" s="73"/>
      <c r="I58" s="73"/>
      <c r="J58" s="45"/>
      <c r="K58" s="46"/>
      <c r="L58" s="73"/>
      <c r="M58" s="73"/>
      <c r="N58" s="73"/>
      <c r="O58" s="73"/>
      <c r="P58" s="73"/>
      <c r="Q58" s="45"/>
      <c r="R58" s="37"/>
      <c r="S58" s="37"/>
      <c r="T58" s="37"/>
      <c r="U58" s="37"/>
      <c r="V58" s="37"/>
      <c r="W58" s="37"/>
      <c r="X58" s="37"/>
      <c r="Y58" s="37"/>
      <c r="Z58" s="37"/>
    </row>
    <row r="59" spans="2:26" ht="33.75" customHeight="1">
      <c r="B59" s="493"/>
      <c r="C59" s="44"/>
      <c r="D59" s="533" t="s">
        <v>461</v>
      </c>
      <c r="E59" s="518"/>
      <c r="F59" s="518"/>
      <c r="G59" s="518"/>
      <c r="H59" s="518"/>
      <c r="I59" s="518"/>
      <c r="J59" s="45"/>
      <c r="K59" s="46"/>
      <c r="L59" s="533" t="s">
        <v>462</v>
      </c>
      <c r="M59" s="533"/>
      <c r="N59" s="533"/>
      <c r="O59" s="533"/>
      <c r="P59" s="533"/>
      <c r="Q59" s="45"/>
      <c r="R59" s="37"/>
      <c r="S59" s="37"/>
      <c r="T59" s="37"/>
      <c r="U59" s="37"/>
      <c r="V59" s="37"/>
      <c r="W59" s="37"/>
      <c r="X59" s="37"/>
      <c r="Y59" s="37"/>
      <c r="Z59" s="37"/>
    </row>
    <row r="60" spans="2:26" ht="5.25" customHeight="1" thickBot="1">
      <c r="B60" s="494"/>
      <c r="C60" s="47"/>
      <c r="D60" s="48"/>
      <c r="E60" s="48"/>
      <c r="F60" s="48"/>
      <c r="G60" s="48"/>
      <c r="H60" s="48"/>
      <c r="I60" s="48"/>
      <c r="J60" s="49"/>
      <c r="K60" s="50"/>
      <c r="L60" s="48"/>
      <c r="M60" s="48"/>
      <c r="N60" s="48"/>
      <c r="O60" s="48"/>
      <c r="P60" s="48"/>
      <c r="Q60" s="49"/>
      <c r="R60" s="37"/>
      <c r="S60" s="37"/>
      <c r="T60" s="37"/>
      <c r="U60" s="37"/>
      <c r="V60" s="37"/>
      <c r="W60" s="37"/>
      <c r="X60" s="37"/>
      <c r="Y60" s="37"/>
      <c r="Z60" s="37"/>
    </row>
    <row r="61" spans="2:26" ht="5.25" customHeight="1">
      <c r="B61" s="535" t="s">
        <v>463</v>
      </c>
      <c r="C61" s="44"/>
      <c r="D61" s="73"/>
      <c r="E61" s="73"/>
      <c r="F61" s="73"/>
      <c r="G61" s="73"/>
      <c r="H61" s="73"/>
      <c r="I61" s="73"/>
      <c r="J61" s="73"/>
      <c r="K61" s="43"/>
      <c r="L61" s="41"/>
      <c r="M61" s="41"/>
      <c r="N61" s="41"/>
      <c r="O61" s="41"/>
      <c r="P61" s="41"/>
      <c r="Q61" s="42"/>
      <c r="R61" s="37"/>
      <c r="S61" s="37"/>
      <c r="T61" s="37"/>
      <c r="U61" s="37"/>
      <c r="V61" s="37"/>
      <c r="W61" s="37"/>
      <c r="X61" s="37"/>
      <c r="Y61" s="37"/>
      <c r="Z61" s="37"/>
    </row>
    <row r="62" spans="2:26" ht="15.6">
      <c r="B62" s="536"/>
      <c r="C62" s="44"/>
      <c r="D62" s="73"/>
      <c r="E62" s="73"/>
      <c r="F62" s="73"/>
      <c r="G62" s="73"/>
      <c r="H62" s="73"/>
      <c r="I62" s="73"/>
      <c r="J62" s="73"/>
      <c r="K62" s="46"/>
      <c r="L62" s="73" t="s">
        <v>464</v>
      </c>
      <c r="M62" s="73"/>
      <c r="N62" s="73"/>
      <c r="O62" s="73"/>
      <c r="P62" s="73"/>
      <c r="Q62" s="45"/>
      <c r="R62" s="37"/>
      <c r="S62" s="37"/>
      <c r="T62" s="37"/>
      <c r="U62" s="37"/>
      <c r="V62" s="37"/>
      <c r="W62" s="37"/>
      <c r="X62" s="37"/>
      <c r="Y62" s="37"/>
      <c r="Z62" s="37"/>
    </row>
    <row r="63" spans="2:26" ht="15.6">
      <c r="B63" s="536"/>
      <c r="C63" s="44"/>
      <c r="D63" s="73"/>
      <c r="E63" s="73"/>
      <c r="F63" s="73"/>
      <c r="G63" s="73"/>
      <c r="H63" s="73"/>
      <c r="I63" s="73"/>
      <c r="J63" s="73"/>
      <c r="K63" s="46"/>
      <c r="L63" s="73" t="s">
        <v>465</v>
      </c>
      <c r="M63" s="73"/>
      <c r="N63" s="73"/>
      <c r="O63" s="73"/>
      <c r="P63" s="73"/>
      <c r="Q63" s="45"/>
      <c r="R63" s="37"/>
      <c r="S63" s="37"/>
      <c r="T63" s="37"/>
      <c r="U63" s="37"/>
      <c r="V63" s="37"/>
      <c r="W63" s="37"/>
      <c r="X63" s="37"/>
      <c r="Y63" s="37"/>
      <c r="Z63" s="37"/>
    </row>
    <row r="64" spans="2:26" ht="15.6">
      <c r="B64" s="536"/>
      <c r="C64" s="44"/>
      <c r="D64" s="73"/>
      <c r="E64" s="73"/>
      <c r="F64" s="73"/>
      <c r="G64" s="73"/>
      <c r="H64" s="73"/>
      <c r="I64" s="73"/>
      <c r="J64" s="73"/>
      <c r="K64" s="46"/>
      <c r="L64" s="537" t="s">
        <v>347</v>
      </c>
      <c r="M64" s="538" t="s">
        <v>466</v>
      </c>
      <c r="N64" s="482"/>
      <c r="O64" s="538" t="s">
        <v>467</v>
      </c>
      <c r="P64" s="481"/>
      <c r="Q64" s="45"/>
      <c r="R64" s="37"/>
      <c r="S64" s="37"/>
      <c r="T64" s="37"/>
      <c r="U64" s="37"/>
      <c r="V64" s="37"/>
      <c r="W64" s="37"/>
      <c r="X64" s="37"/>
      <c r="Y64" s="37"/>
      <c r="Z64" s="37"/>
    </row>
    <row r="65" spans="2:26" ht="15.6">
      <c r="B65" s="536"/>
      <c r="C65" s="44"/>
      <c r="D65" s="73"/>
      <c r="E65" s="73"/>
      <c r="F65" s="73"/>
      <c r="G65" s="73"/>
      <c r="H65" s="73"/>
      <c r="I65" s="73"/>
      <c r="J65" s="73"/>
      <c r="K65" s="46"/>
      <c r="L65" s="498"/>
      <c r="M65" s="76" t="s">
        <v>0</v>
      </c>
      <c r="N65" s="76" t="s">
        <v>468</v>
      </c>
      <c r="O65" s="76" t="s">
        <v>0</v>
      </c>
      <c r="P65" s="84" t="s">
        <v>468</v>
      </c>
      <c r="Q65" s="45"/>
      <c r="R65" s="37"/>
      <c r="S65" s="37"/>
      <c r="T65" s="37"/>
      <c r="U65" s="37"/>
      <c r="V65" s="37"/>
      <c r="W65" s="37"/>
      <c r="X65" s="37"/>
      <c r="Y65" s="37"/>
      <c r="Z65" s="37"/>
    </row>
    <row r="66" spans="2:26" ht="15.6">
      <c r="B66" s="536"/>
      <c r="C66" s="44"/>
      <c r="D66" s="73"/>
      <c r="E66" s="73"/>
      <c r="F66" s="73"/>
      <c r="G66" s="73"/>
      <c r="H66" s="73"/>
      <c r="I66" s="73"/>
      <c r="J66" s="73"/>
      <c r="K66" s="46"/>
      <c r="L66" s="85" t="s">
        <v>185</v>
      </c>
      <c r="M66" s="86">
        <v>2</v>
      </c>
      <c r="N66" s="86">
        <v>2</v>
      </c>
      <c r="O66" s="86">
        <v>4</v>
      </c>
      <c r="P66" s="75">
        <v>0</v>
      </c>
      <c r="Q66" s="45"/>
      <c r="R66" s="37"/>
      <c r="S66" s="37"/>
      <c r="T66" s="37"/>
      <c r="U66" s="37"/>
      <c r="V66" s="37"/>
      <c r="W66" s="37"/>
      <c r="X66" s="37"/>
      <c r="Y66" s="37"/>
      <c r="Z66" s="37"/>
    </row>
    <row r="67" spans="2:26" ht="15.6">
      <c r="B67" s="536"/>
      <c r="C67" s="44"/>
      <c r="D67" s="73"/>
      <c r="E67" s="73"/>
      <c r="F67" s="73"/>
      <c r="G67" s="73"/>
      <c r="H67" s="73"/>
      <c r="I67" s="73"/>
      <c r="J67" s="73"/>
      <c r="K67" s="46"/>
      <c r="L67" s="85" t="s">
        <v>199</v>
      </c>
      <c r="M67" s="86">
        <v>2</v>
      </c>
      <c r="N67" s="86">
        <v>2</v>
      </c>
      <c r="O67" s="86">
        <v>0</v>
      </c>
      <c r="P67" s="75">
        <v>4</v>
      </c>
      <c r="Q67" s="45"/>
      <c r="R67" s="37"/>
      <c r="S67" s="37"/>
      <c r="T67" s="37"/>
      <c r="U67" s="37"/>
      <c r="V67" s="37"/>
      <c r="W67" s="37"/>
      <c r="X67" s="37"/>
      <c r="Y67" s="37"/>
      <c r="Z67" s="37"/>
    </row>
    <row r="68" spans="2:26" ht="15.6">
      <c r="B68" s="536"/>
      <c r="C68" s="44"/>
      <c r="D68" s="73"/>
      <c r="E68" s="73"/>
      <c r="F68" s="73"/>
      <c r="G68" s="73"/>
      <c r="H68" s="73"/>
      <c r="I68" s="73"/>
      <c r="J68" s="73"/>
      <c r="K68" s="46"/>
      <c r="L68" s="85" t="s">
        <v>188</v>
      </c>
      <c r="M68" s="86">
        <v>2</v>
      </c>
      <c r="N68" s="86">
        <v>2</v>
      </c>
      <c r="O68" s="86">
        <v>4</v>
      </c>
      <c r="P68" s="75">
        <v>0</v>
      </c>
      <c r="Q68" s="45"/>
      <c r="R68" s="37"/>
      <c r="S68" s="37"/>
      <c r="T68" s="37"/>
      <c r="U68" s="37"/>
      <c r="V68" s="37"/>
      <c r="W68" s="37"/>
      <c r="X68" s="37"/>
      <c r="Y68" s="37"/>
      <c r="Z68" s="37"/>
    </row>
    <row r="69" spans="2:26" ht="15.6">
      <c r="B69" s="536"/>
      <c r="C69" s="44"/>
      <c r="D69" s="73"/>
      <c r="E69" s="73"/>
      <c r="F69" s="73"/>
      <c r="G69" s="73"/>
      <c r="H69" s="73"/>
      <c r="I69" s="73"/>
      <c r="J69" s="73"/>
      <c r="K69" s="46"/>
      <c r="L69" s="73" t="s">
        <v>469</v>
      </c>
      <c r="M69" s="73"/>
      <c r="N69" s="73"/>
      <c r="O69" s="73"/>
      <c r="P69" s="73"/>
      <c r="Q69" s="45"/>
      <c r="R69" s="37"/>
      <c r="S69" s="37"/>
      <c r="T69" s="37"/>
      <c r="U69" s="37"/>
      <c r="V69" s="37"/>
      <c r="W69" s="37"/>
      <c r="X69" s="37"/>
      <c r="Y69" s="37"/>
      <c r="Z69" s="37"/>
    </row>
    <row r="70" spans="2:26" ht="15.6">
      <c r="B70" s="536"/>
      <c r="C70" s="44"/>
      <c r="D70" s="73"/>
      <c r="E70" s="73"/>
      <c r="F70" s="73"/>
      <c r="G70" s="73"/>
      <c r="H70" s="73"/>
      <c r="I70" s="73"/>
      <c r="J70" s="73"/>
      <c r="K70" s="46"/>
      <c r="L70" s="537" t="s">
        <v>347</v>
      </c>
      <c r="M70" s="538" t="s">
        <v>466</v>
      </c>
      <c r="N70" s="482"/>
      <c r="O70" s="538" t="s">
        <v>467</v>
      </c>
      <c r="P70" s="481"/>
      <c r="Q70" s="45"/>
      <c r="R70" s="37"/>
      <c r="S70" s="37"/>
      <c r="T70" s="37"/>
      <c r="U70" s="37"/>
      <c r="V70" s="37"/>
      <c r="W70" s="37"/>
      <c r="X70" s="37"/>
      <c r="Y70" s="37"/>
      <c r="Z70" s="37"/>
    </row>
    <row r="71" spans="2:26" ht="15.6">
      <c r="B71" s="536"/>
      <c r="C71" s="44"/>
      <c r="D71" s="73"/>
      <c r="E71" s="73"/>
      <c r="F71" s="73"/>
      <c r="G71" s="73"/>
      <c r="H71" s="73"/>
      <c r="I71" s="73"/>
      <c r="J71" s="73"/>
      <c r="K71" s="46"/>
      <c r="L71" s="498"/>
      <c r="M71" s="76" t="s">
        <v>0</v>
      </c>
      <c r="N71" s="76" t="s">
        <v>468</v>
      </c>
      <c r="O71" s="76" t="s">
        <v>0</v>
      </c>
      <c r="P71" s="84" t="s">
        <v>468</v>
      </c>
      <c r="Q71" s="45"/>
      <c r="R71" s="37"/>
      <c r="S71" s="37"/>
      <c r="T71" s="37"/>
      <c r="U71" s="37"/>
      <c r="V71" s="37"/>
      <c r="W71" s="37"/>
      <c r="X71" s="37"/>
      <c r="Y71" s="37"/>
      <c r="Z71" s="37"/>
    </row>
    <row r="72" spans="2:26" ht="15.6">
      <c r="B72" s="536"/>
      <c r="C72" s="44"/>
      <c r="D72" s="73"/>
      <c r="E72" s="73"/>
      <c r="F72" s="73"/>
      <c r="G72" s="73"/>
      <c r="H72" s="73"/>
      <c r="I72" s="73"/>
      <c r="J72" s="73"/>
      <c r="K72" s="46"/>
      <c r="L72" s="85" t="s">
        <v>433</v>
      </c>
      <c r="M72" s="86">
        <v>1</v>
      </c>
      <c r="N72" s="86">
        <v>1</v>
      </c>
      <c r="O72" s="86">
        <v>2</v>
      </c>
      <c r="P72" s="75">
        <v>0</v>
      </c>
      <c r="Q72" s="45"/>
      <c r="R72" s="37"/>
      <c r="S72" s="37"/>
      <c r="T72" s="37"/>
      <c r="U72" s="37"/>
      <c r="V72" s="37"/>
      <c r="W72" s="37"/>
      <c r="X72" s="37"/>
      <c r="Y72" s="37"/>
      <c r="Z72" s="37"/>
    </row>
    <row r="73" spans="2:26" ht="15.6">
      <c r="B73" s="536"/>
      <c r="C73" s="44"/>
      <c r="D73" s="73"/>
      <c r="E73" s="73"/>
      <c r="F73" s="73"/>
      <c r="G73" s="73"/>
      <c r="H73" s="73"/>
      <c r="I73" s="73"/>
      <c r="J73" s="73"/>
      <c r="K73" s="46"/>
      <c r="L73" s="85" t="s">
        <v>437</v>
      </c>
      <c r="M73" s="86">
        <v>2</v>
      </c>
      <c r="N73" s="86">
        <v>2</v>
      </c>
      <c r="O73" s="86">
        <v>0</v>
      </c>
      <c r="P73" s="75">
        <v>4</v>
      </c>
      <c r="Q73" s="45"/>
      <c r="R73" s="37"/>
      <c r="S73" s="37"/>
      <c r="T73" s="37"/>
      <c r="U73" s="37"/>
      <c r="V73" s="37"/>
      <c r="W73" s="37"/>
      <c r="X73" s="37"/>
      <c r="Y73" s="37"/>
      <c r="Z73" s="37"/>
    </row>
    <row r="74" spans="2:26" ht="15.6">
      <c r="B74" s="536"/>
      <c r="C74" s="44"/>
      <c r="D74" s="73"/>
      <c r="E74" s="73"/>
      <c r="F74" s="73"/>
      <c r="G74" s="73"/>
      <c r="H74" s="73"/>
      <c r="I74" s="73"/>
      <c r="J74" s="73"/>
      <c r="K74" s="46"/>
      <c r="L74" s="539" t="s">
        <v>470</v>
      </c>
      <c r="M74" s="532" t="s">
        <v>471</v>
      </c>
      <c r="N74" s="532" t="s">
        <v>471</v>
      </c>
      <c r="O74" s="87">
        <v>8</v>
      </c>
      <c r="P74" s="88">
        <v>0</v>
      </c>
      <c r="Q74" s="45"/>
      <c r="R74" s="37"/>
      <c r="S74" s="37"/>
      <c r="T74" s="37"/>
      <c r="U74" s="37"/>
      <c r="V74" s="37"/>
      <c r="W74" s="37"/>
      <c r="X74" s="37"/>
      <c r="Y74" s="37"/>
      <c r="Z74" s="37"/>
    </row>
    <row r="75" spans="2:26" ht="15.6">
      <c r="B75" s="536"/>
      <c r="C75" s="44"/>
      <c r="D75" s="73"/>
      <c r="E75" s="73"/>
      <c r="F75" s="73"/>
      <c r="G75" s="73"/>
      <c r="H75" s="73"/>
      <c r="I75" s="73"/>
      <c r="J75" s="73"/>
      <c r="K75" s="46"/>
      <c r="L75" s="540"/>
      <c r="M75" s="508"/>
      <c r="N75" s="508"/>
      <c r="O75" s="87">
        <v>4</v>
      </c>
      <c r="P75" s="88">
        <v>4</v>
      </c>
      <c r="Q75" s="45"/>
      <c r="R75" s="37"/>
      <c r="S75" s="37"/>
      <c r="T75" s="37"/>
      <c r="U75" s="37"/>
      <c r="V75" s="37"/>
      <c r="W75" s="37"/>
      <c r="X75" s="37"/>
      <c r="Y75" s="37"/>
      <c r="Z75" s="37"/>
    </row>
    <row r="76" spans="2:26" ht="33.75" customHeight="1">
      <c r="B76" s="536"/>
      <c r="C76" s="44"/>
      <c r="D76" s="73"/>
      <c r="E76" s="73"/>
      <c r="F76" s="73"/>
      <c r="G76" s="73"/>
      <c r="H76" s="73"/>
      <c r="I76" s="73"/>
      <c r="J76" s="73"/>
      <c r="K76" s="46"/>
      <c r="L76" s="533" t="s">
        <v>472</v>
      </c>
      <c r="M76" s="518"/>
      <c r="N76" s="518"/>
      <c r="O76" s="518"/>
      <c r="P76" s="518"/>
      <c r="Q76" s="45"/>
      <c r="R76" s="37"/>
      <c r="S76" s="37"/>
      <c r="T76" s="37"/>
      <c r="U76" s="37"/>
      <c r="V76" s="37"/>
      <c r="W76" s="37"/>
      <c r="X76" s="37"/>
      <c r="Y76" s="37"/>
      <c r="Z76" s="37"/>
    </row>
    <row r="77" spans="2:26" ht="5.25" customHeight="1">
      <c r="B77" s="536"/>
      <c r="C77" s="89"/>
      <c r="D77" s="90"/>
      <c r="E77" s="90"/>
      <c r="F77" s="90"/>
      <c r="G77" s="90"/>
      <c r="H77" s="90"/>
      <c r="I77" s="90"/>
      <c r="J77" s="90"/>
      <c r="K77" s="91"/>
      <c r="L77" s="90"/>
      <c r="M77" s="90"/>
      <c r="N77" s="90"/>
      <c r="O77" s="90"/>
      <c r="P77" s="90"/>
      <c r="Q77" s="92"/>
      <c r="R77" s="37"/>
      <c r="S77" s="37"/>
      <c r="T77" s="37"/>
      <c r="U77" s="37"/>
      <c r="V77" s="37"/>
      <c r="W77" s="37"/>
      <c r="X77" s="37"/>
      <c r="Y77" s="37"/>
      <c r="Z77" s="37"/>
    </row>
    <row r="78" spans="2:26" ht="5.25" customHeight="1">
      <c r="B78" s="534" t="s">
        <v>473</v>
      </c>
      <c r="C78" s="93"/>
      <c r="D78" s="94"/>
      <c r="E78" s="94"/>
      <c r="F78" s="94"/>
      <c r="G78" s="94"/>
      <c r="H78" s="94"/>
      <c r="I78" s="94"/>
      <c r="J78" s="94"/>
      <c r="K78" s="95"/>
      <c r="L78" s="94"/>
      <c r="M78" s="94"/>
      <c r="N78" s="94"/>
      <c r="O78" s="94"/>
      <c r="P78" s="94"/>
      <c r="Q78" s="96"/>
      <c r="R78" s="37"/>
      <c r="S78" s="37"/>
      <c r="T78" s="37"/>
      <c r="U78" s="37"/>
      <c r="V78" s="37"/>
      <c r="W78" s="37"/>
      <c r="X78" s="37"/>
      <c r="Y78" s="37"/>
      <c r="Z78" s="37"/>
    </row>
    <row r="79" spans="2:26" ht="15.6">
      <c r="B79" s="493"/>
      <c r="C79" s="44"/>
      <c r="D79" s="73" t="s">
        <v>474</v>
      </c>
      <c r="E79" s="73"/>
      <c r="F79" s="73"/>
      <c r="G79" s="73"/>
      <c r="H79" s="73"/>
      <c r="I79" s="73"/>
      <c r="J79" s="73"/>
      <c r="K79" s="46"/>
      <c r="L79" s="73" t="s">
        <v>475</v>
      </c>
      <c r="M79" s="73"/>
      <c r="N79" s="73"/>
      <c r="O79" s="73"/>
      <c r="P79" s="73"/>
      <c r="Q79" s="45"/>
      <c r="R79" s="37"/>
      <c r="S79" s="37"/>
      <c r="T79" s="37"/>
      <c r="U79" s="37"/>
      <c r="V79" s="37"/>
      <c r="W79" s="37"/>
      <c r="X79" s="37"/>
      <c r="Y79" s="37"/>
      <c r="Z79" s="37"/>
    </row>
    <row r="80" spans="2:26" ht="15.6">
      <c r="B80" s="493"/>
      <c r="C80" s="44"/>
      <c r="D80" s="73"/>
      <c r="E80" s="73"/>
      <c r="F80" s="73"/>
      <c r="G80" s="73"/>
      <c r="H80" s="73"/>
      <c r="I80" s="73"/>
      <c r="J80" s="73"/>
      <c r="K80" s="46"/>
      <c r="L80" s="73" t="s">
        <v>476</v>
      </c>
      <c r="M80" s="73"/>
      <c r="N80" s="73"/>
      <c r="O80" s="73"/>
      <c r="P80" s="73"/>
      <c r="Q80" s="45"/>
      <c r="R80" s="37"/>
      <c r="S80" s="37"/>
      <c r="T80" s="37"/>
      <c r="U80" s="37"/>
      <c r="V80" s="37"/>
      <c r="W80" s="37"/>
      <c r="X80" s="37"/>
      <c r="Y80" s="37"/>
      <c r="Z80" s="37"/>
    </row>
    <row r="81" spans="2:26" ht="5.25" customHeight="1" thickBot="1">
      <c r="B81" s="494"/>
      <c r="C81" s="47"/>
      <c r="D81" s="48"/>
      <c r="E81" s="48"/>
      <c r="F81" s="48"/>
      <c r="G81" s="48"/>
      <c r="H81" s="48"/>
      <c r="I81" s="48"/>
      <c r="J81" s="48"/>
      <c r="K81" s="50"/>
      <c r="L81" s="48"/>
      <c r="M81" s="48"/>
      <c r="N81" s="48"/>
      <c r="O81" s="48"/>
      <c r="P81" s="48"/>
      <c r="Q81" s="49"/>
      <c r="R81" s="37"/>
      <c r="S81" s="37"/>
      <c r="T81" s="37"/>
      <c r="U81" s="37"/>
      <c r="V81" s="37"/>
      <c r="W81" s="37"/>
      <c r="X81" s="37"/>
      <c r="Y81" s="37"/>
      <c r="Z81" s="37"/>
    </row>
    <row r="82" spans="2:26" ht="4.5" customHeight="1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2:26" ht="15.6" hidden="1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2:26" ht="15.6" hidden="1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2:26" ht="15.6" hidden="1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2:26" ht="15.6" hidden="1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2:26" ht="15.6" hidden="1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2:26" ht="15.6" hidden="1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2:26" ht="15.6" hidden="1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2:26" ht="15.6" hidden="1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2:26" ht="15.6" hidden="1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2:26" ht="15.6" hidden="1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2:26" ht="15.6" hidden="1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2:26" ht="15.6" hidden="1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2:26" ht="15.6" hidden="1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2:26" ht="15.6" hidden="1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2:26" ht="15.6" hidden="1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2:26" ht="15.6" hidden="1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2:26" ht="15.6" hidden="1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2:26" ht="15.6" hidden="1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2:26" ht="15.6" hidden="1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2:26" ht="15.6" hidden="1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2:26" ht="15.6" hidden="1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2:26" ht="15.6" hidden="1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2:26" ht="15.6" hidden="1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2:26" ht="15.6" hidden="1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2:26" ht="15.6" hidden="1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2:26" ht="15.6" hidden="1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2:26" ht="15.6" hidden="1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2:26" ht="15.6" hidden="1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2:26" ht="15.6" hidden="1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2:26" ht="15.6" hidden="1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2:26" ht="15.6" hidden="1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2:26" ht="15.6" hidden="1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2:26" ht="15.6" hidden="1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2:26" ht="15.6" hidden="1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2:26" ht="15.6" hidden="1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2:26" ht="15.6" hidden="1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2:26" ht="15.6" hidden="1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2:26" ht="15.6" hidden="1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2:26" ht="15.6" hidden="1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2:26" ht="15.6" hidden="1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2:26" ht="15.6" hidden="1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2:26" ht="15.6" hidden="1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2:26" ht="15.6" hidden="1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2:26" ht="15.6" hidden="1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2:26" ht="15.6" hidden="1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2:26" ht="15.6" hidden="1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2:26" ht="15.6" hidden="1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2:26" ht="15.6" hidden="1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2:26" ht="15.6" hidden="1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2:26" ht="15.6" hidden="1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2:26" ht="15.6" hidden="1"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2:26" ht="15.6" hidden="1"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2:26" ht="15.6" hidden="1"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2:26" ht="15.6" hidden="1"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2:26" ht="15.6" hidden="1"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2:26" ht="15.6" hidden="1"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2:26" ht="15.6" hidden="1"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2:26" ht="15.6" hidden="1"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2:26" ht="15.6" hidden="1"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2:26" ht="15.6" hidden="1"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2:26" ht="15.6" hidden="1"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2:26" ht="15.6" hidden="1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2:26" ht="15.6" hidden="1"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2:26" ht="15.6" hidden="1"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2:26" ht="15.6" hidden="1"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2:26" ht="15.6" hidden="1"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2:26" ht="15.6" hidden="1"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2:26" ht="15.6" hidden="1"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2:26" ht="15.6" hidden="1"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2:26" ht="15.6" hidden="1"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2:26" ht="15.6" hidden="1"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2:26" ht="15.6" hidden="1"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2:26" ht="15.6" hidden="1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2:26" ht="15.6" hidden="1"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2:26" ht="15.6" hidden="1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2:26" ht="15.6" hidden="1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2:26" ht="15.6" hidden="1"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2:26" ht="15.6" hidden="1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2:26" ht="15.6" hidden="1"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2:26" ht="15.6" hidden="1"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2:26" ht="15.6" hidden="1"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2:26" ht="15.6" hidden="1"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2:26" ht="15.6" hidden="1"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2:26" ht="15.6" hidden="1"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2:26" ht="15.6" hidden="1"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2:26" ht="15.6" hidden="1"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2:26" ht="15.6" hidden="1"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2:26" ht="15.6" hidden="1"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2:26" ht="15.6" hidden="1"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2:26" ht="15.6" hidden="1"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2:26" ht="15.6" hidden="1"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2:26" ht="15.6" hidden="1"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2:26" ht="15.6" hidden="1"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2:26" ht="15.6" hidden="1"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2:26" ht="15.6" hidden="1"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2:26" ht="15.6" hidden="1"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2:26" ht="15.6" hidden="1"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2:26" ht="15.6" hidden="1"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2:26" ht="15.6" hidden="1"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2:26" ht="15.6" hidden="1"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2:26" ht="15.6" hidden="1"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2:26" ht="15.6" hidden="1"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2:26" ht="15.6" hidden="1"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2:26" ht="15.6" hidden="1"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2:26" ht="15.6" hidden="1"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2:26" ht="15.6" hidden="1"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2:26" ht="15.6" hidden="1"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2:26" ht="15.6" hidden="1"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2:26" ht="15.6" hidden="1"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2:26" ht="15.6" hidden="1"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2:26" ht="15.6" hidden="1"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2:26" ht="15.6" hidden="1"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2:26" ht="15.6" hidden="1"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2:26" ht="15.6" hidden="1"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2:26" ht="15.6" hidden="1"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2:26" ht="15.6" hidden="1"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2:26" ht="15.6" hidden="1"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2:26" ht="15.6" hidden="1"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2:26" ht="15.6" hidden="1"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2:26" ht="15.6" hidden="1"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2:26" ht="15.6" hidden="1"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2:26" ht="15.6" hidden="1"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2:26" ht="15.6" hidden="1"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2:26" ht="15.6" hidden="1"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2:26" ht="15.6" hidden="1"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2:26" ht="15.6" hidden="1"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2:26" ht="15.6" hidden="1"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2:26" ht="15.6" hidden="1"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2:26" ht="15.6" hidden="1"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2:26" ht="15.6" hidden="1"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2:26" ht="15.6" hidden="1"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2:26" ht="15.6" hidden="1"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2:26" ht="15.6" hidden="1"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2:26" ht="15.6" hidden="1"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2:26" ht="15.6" hidden="1"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2:26" ht="15.6" hidden="1"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2:26" ht="15.6" hidden="1"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2:26" ht="15.6" hidden="1"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2:26" ht="15.6" hidden="1"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2:26" ht="15.6" hidden="1"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2:26" ht="15.6" hidden="1"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2:26" ht="15.6" hidden="1"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2:26" ht="15.6" hidden="1"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2:26" ht="15.6" hidden="1"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2:26" ht="15.6" hidden="1"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2:26" ht="15.6" hidden="1"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2:26" ht="15.6" hidden="1"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2:26" ht="15.6" hidden="1"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2:26" ht="15.6" hidden="1"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2:26" ht="15.6" hidden="1"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2:26" ht="15.6" hidden="1"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2:26" ht="15.6" hidden="1"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2:26" ht="15.6" hidden="1"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2:26" ht="15.6" hidden="1"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2:26" ht="15.6" hidden="1"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2:26" ht="15.6" hidden="1"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2:26" ht="15.6" hidden="1"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2:26" ht="15.6" hidden="1"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2:26" ht="15.6" hidden="1"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2:26" ht="15.6" hidden="1"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2:26" ht="15.6" hidden="1"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2:26" ht="15.6" hidden="1"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2:26" ht="15.6" hidden="1"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2:26" ht="15.6" hidden="1"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2:26" ht="15.6" hidden="1"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2:26" ht="15.6" hidden="1"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2:26" ht="15.6" hidden="1"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2:26" ht="15.6" hidden="1"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2:26" ht="15.6" hidden="1"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2:26" ht="15.6" hidden="1"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2:26" ht="15.6" hidden="1"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2:26" ht="15.6" hidden="1"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2:26" ht="15.6" hidden="1"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2:26" ht="15.6" hidden="1"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2:26" ht="15.6" hidden="1"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2:26" ht="15.6" hidden="1"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2:26" ht="15.6" hidden="1"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2:26" ht="15.6" hidden="1"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2:26" ht="15.6" hidden="1"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2:26" ht="15.6" hidden="1"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2:26" ht="15.6" hidden="1"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2:26" ht="15.6" hidden="1"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2:26" ht="15.6" hidden="1"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2:26" ht="15.6" hidden="1"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2:26" ht="15.6" hidden="1"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2:26" ht="15.6" hidden="1"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2:26" ht="15.6" hidden="1"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2:26" ht="15.6" hidden="1"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2:26" ht="15.6" hidden="1"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2:26" ht="15.6" hidden="1"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2:26" ht="15.6" hidden="1"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2:26" ht="15.6" hidden="1"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2:26" ht="15.6" hidden="1"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2:26" ht="15.6" hidden="1"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2:26" ht="15.6" hidden="1"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2:26" ht="15.6" hidden="1"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2:26" ht="15.6" hidden="1"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2:26" ht="15.6" hidden="1"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2:26" ht="15.6" hidden="1"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2:26" ht="15.6" hidden="1"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2:26" ht="15.6" hidden="1"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2:26" ht="15.6" hidden="1"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2:26" ht="15.6" hidden="1"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2:26" ht="15.6" hidden="1"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2:26" ht="15.6" hidden="1"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2:26" ht="15.6" hidden="1"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2:26" ht="15.6" hidden="1"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2:26" ht="15.6" hidden="1"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2:26" ht="15.6" hidden="1"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2:26" ht="15.6" hidden="1"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2:26" ht="15.6" hidden="1"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2:26" ht="15.6" hidden="1"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2:26" ht="15.6" hidden="1"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2:26" ht="15.6" hidden="1"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2:26" ht="15.6" hidden="1"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2:26" ht="15.6" hidden="1"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2:26" ht="15.6" hidden="1"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2:26" ht="15.6" hidden="1"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2:26" ht="15.6" hidden="1"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2:26" ht="15.6" hidden="1"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2:26" ht="15.6" hidden="1"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2:26" ht="15.6" hidden="1"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2:26" ht="15.6" hidden="1"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2:26" ht="15.6" hidden="1"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2:26" ht="15.6" hidden="1"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2:26" ht="15.6" hidden="1"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2:26" ht="15.6" hidden="1"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2:26" ht="15.6" hidden="1"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2:26" ht="15.6" hidden="1"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2:26" ht="15.6" hidden="1"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2:26" ht="15.6" hidden="1"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2:26" ht="15.6" hidden="1"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2:26" ht="15.6" hidden="1"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2:26" ht="15.6" hidden="1"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2:26" ht="15.6" hidden="1"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2:26" ht="15.6" hidden="1"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2:26" ht="15.6" hidden="1"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2:26" ht="15.6" hidden="1"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2:26" ht="15.6" hidden="1"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2:26" ht="15.6" hidden="1"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2:26" ht="15.6" hidden="1"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2:26" ht="15.6" hidden="1"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2:26" ht="15.6" hidden="1"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2:26" ht="15.6" hidden="1"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2:26" ht="15.6" hidden="1"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2:26" ht="15.6" hidden="1"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2:26" ht="15.6" hidden="1"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2:26" ht="15.6" hidden="1"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2:26" ht="15.6" hidden="1"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2:26" ht="15.6" hidden="1"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2:26" ht="15.6" hidden="1"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2:26" ht="15.6" hidden="1"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2:26" ht="15.6" hidden="1"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2:26" ht="15.6" hidden="1"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2:26" ht="15.6" hidden="1"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2:26" ht="15.6" hidden="1"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2:26" ht="15.6" hidden="1"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2:26" ht="15.6" hidden="1"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2:26" ht="15.6" hidden="1"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2:26" ht="15.6" hidden="1"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2:26" ht="15.6" hidden="1"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2:26" ht="15.6" hidden="1"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2:26" ht="15.6" hidden="1"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2:26" ht="15.6" hidden="1"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2:26" ht="15.6" hidden="1"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2:26" ht="15.6" hidden="1"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2:26" ht="15.6" hidden="1"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2:26" ht="15.6" hidden="1"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2:26" ht="15.6" hidden="1"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2:26" ht="15.6" hidden="1"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2:26" ht="15.6" hidden="1"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2:26" ht="15.6" hidden="1"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2:26" ht="15.6" hidden="1"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2:26" ht="15.6" hidden="1"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2:26" ht="15.6" hidden="1"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2:26" ht="15.6" hidden="1"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2:26" ht="15.6" hidden="1"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2:26" ht="15.6" hidden="1"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2:26" ht="15.6" hidden="1"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2:26" ht="15.6" hidden="1"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2:26" ht="15.6" hidden="1"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2:26" ht="15.6" hidden="1"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2:26" ht="15.6" hidden="1"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2:26" ht="15.6" hidden="1"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2:26" ht="15.6" hidden="1"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2:26" ht="15.6" hidden="1"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2:26" ht="15.6" hidden="1"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2:26" ht="15.6" hidden="1"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2:26" ht="15.6" hidden="1"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2:26" ht="15.6" hidden="1"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2:26" ht="15.6" hidden="1"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2:26" ht="15.6" hidden="1"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2:26" ht="15.6" hidden="1"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2:26" ht="15.6" hidden="1"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2:26" ht="15.6" hidden="1"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2:26" ht="15.6" hidden="1"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2:26" ht="15.6" hidden="1"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2:26" ht="15.6" hidden="1"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2:26" ht="15.6" hidden="1"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2:26" ht="15.6" hidden="1"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2:26" ht="15.6" hidden="1"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2:26" ht="15.6" hidden="1"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2:26" ht="15.6" hidden="1"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2:26" ht="15.6" hidden="1"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2:26" ht="15.6" hidden="1"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2:26" ht="15.6" hidden="1"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2:26" ht="15.6" hidden="1"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2:26" ht="15.6" hidden="1"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2:26" ht="15.6" hidden="1"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2:26" ht="15.6" hidden="1"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2:26" ht="15.6" hidden="1"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2:26" ht="15.6" hidden="1"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2:26" ht="15.6" hidden="1"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2:26" ht="15.6" hidden="1"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2:26" ht="15.6" hidden="1"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2:26" ht="15.6" hidden="1"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2:26" ht="15.6" hidden="1"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2:26" ht="15.6" hidden="1"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2:26" ht="15.6" hidden="1"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2:26" ht="15.6" hidden="1"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2:26" ht="15.6" hidden="1"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2:26" ht="15.6" hidden="1"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2:26" ht="15.6" hidden="1"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2:26" ht="15.6" hidden="1"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2:26" ht="15.6" hidden="1"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2:26" ht="15.6" hidden="1"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2:26" ht="15.6" hidden="1"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2:26" ht="15.6" hidden="1"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2:26" ht="15.6" hidden="1"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2:26" ht="15.6" hidden="1"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2:26" ht="15.6" hidden="1"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2:26" ht="15.6" hidden="1"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2:26" ht="15.6" hidden="1"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2:26" ht="15.6" hidden="1"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2:26" ht="15.6" hidden="1"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2:26" ht="15.6" hidden="1"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2:26" ht="15.6" hidden="1"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2:26" ht="15.6" hidden="1"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2:26" ht="15.6" hidden="1"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2:26" ht="15.6" hidden="1"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2:26" ht="15.6" hidden="1"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2:26" ht="15.6" hidden="1"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2:26" ht="15.6" hidden="1"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2:26" ht="15.6" hidden="1"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2:26" ht="15.6" hidden="1"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2:26" ht="15.6" hidden="1"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2:26" ht="15.6" hidden="1"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2:26" ht="15.6" hidden="1"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2:26" ht="15.6" hidden="1"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2:26" ht="15.6" hidden="1"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2:26" ht="15.6" hidden="1"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2:26" ht="15.6" hidden="1"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2:26" ht="15.6" hidden="1"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2:26" ht="15.6" hidden="1"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2:26" ht="15.6" hidden="1"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2:26" ht="15.6" hidden="1"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2:26" ht="15.6" hidden="1"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2:26" ht="15.6" hidden="1"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2:26" ht="15.6" hidden="1"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2:26" ht="15.6" hidden="1"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2:26" ht="15.6" hidden="1"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2:26" ht="15.6" hidden="1"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2:26" ht="15.6" hidden="1"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2:26" ht="15.6" hidden="1"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2:26" ht="15.6" hidden="1"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2:26" ht="15.6" hidden="1"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2:26" ht="15.6" hidden="1"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2:26" ht="15.6" hidden="1"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2:26" ht="15.6" hidden="1"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2:26" ht="15.6" hidden="1"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2:26" ht="15.6" hidden="1"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2:26" ht="15.6" hidden="1"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2:26" ht="15.6" hidden="1"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2:26" ht="15.6" hidden="1"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2:26" ht="15.6" hidden="1"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2:26" ht="15.6" hidden="1"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2:26" ht="15.6" hidden="1"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2:26" ht="15.6" hidden="1"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2:26" ht="15.6" hidden="1"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2:26" ht="15.6" hidden="1"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2:26" ht="15.6" hidden="1"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2:26" ht="15.6" hidden="1"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2:26" ht="15.6" hidden="1"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2:26" ht="15.6" hidden="1"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2:26" ht="15.6" hidden="1"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2:26" ht="15.6" hidden="1"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2:26" ht="15.6" hidden="1"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2:26" ht="15.6" hidden="1"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2:26" ht="15.6" hidden="1"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2:26" ht="15.6" hidden="1"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2:26" ht="15.6" hidden="1"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2:26" ht="15.6" hidden="1"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2:26" ht="15.6" hidden="1"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2:26" ht="15.6" hidden="1"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2:26" ht="15.6" hidden="1"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2:26" ht="15.6" hidden="1"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2:26" ht="15.6" hidden="1"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2:26" ht="15.6" hidden="1"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2:26" ht="15.6" hidden="1"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2:26" ht="15.6" hidden="1"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2:26" ht="15.6" hidden="1"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2:26" ht="15.6" hidden="1"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2:26" ht="15.6" hidden="1"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2:26" ht="15.6" hidden="1"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2:26" ht="15.6" hidden="1"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2:26" ht="15.6" hidden="1"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2:26" ht="15.6" hidden="1"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2:26" ht="15.6" hidden="1"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2:26" ht="15.6" hidden="1"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2:26" ht="15.6" hidden="1"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2:26" ht="15.6" hidden="1"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2:26" ht="15.6" hidden="1"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2:26" ht="15.6" hidden="1"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2:26" ht="15.6" hidden="1"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2:26" ht="15.6" hidden="1"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2:26" ht="15.6" hidden="1"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2:26" ht="15.6" hidden="1"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2:26" ht="15.6" hidden="1"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2:26" ht="15.6" hidden="1"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2:26" ht="15.6" hidden="1"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2:26" ht="15.6" hidden="1"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2:26" ht="15.6" hidden="1"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2:26" ht="15.6" hidden="1"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2:26" ht="15.6" hidden="1"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2:26" ht="15.6" hidden="1"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2:26" ht="15.6" hidden="1"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2:26" ht="15.6" hidden="1"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2:26" ht="15.6" hidden="1"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2:26" ht="15.6" hidden="1"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2:26" ht="15.6" hidden="1"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2:26" ht="15.6" hidden="1"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2:26" ht="15.6" hidden="1"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2:26" ht="15.6" hidden="1"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2:26" ht="15.6" hidden="1"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2:26" ht="15.6" hidden="1"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2:26" ht="15.6" hidden="1"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2:26" ht="15.6" hidden="1"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2:26" ht="15.6" hidden="1"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2:26" ht="15.6" hidden="1"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2:26" ht="15.6" hidden="1"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2:26" ht="15.6" hidden="1"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2:26" ht="15.6" hidden="1"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2:26" ht="15.6" hidden="1"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2:26" ht="15.6" hidden="1"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2:26" ht="15.6" hidden="1"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2:26" ht="15.6" hidden="1"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2:26" ht="15.6" hidden="1"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2:26" ht="15.6" hidden="1"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2:26" ht="15.6" hidden="1"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2:26" ht="15.6" hidden="1"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2:26" ht="15.6" hidden="1"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2:26" ht="15.6" hidden="1"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2:26" ht="15.6" hidden="1"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2:26" ht="15.6" hidden="1"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2:26" ht="15.6" hidden="1"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2:26" ht="15.6" hidden="1"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2:26" ht="15.6" hidden="1"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2:26" ht="15.6" hidden="1"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2:26" ht="15.6" hidden="1"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2:26" ht="15.6" hidden="1"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2:26" ht="15.6" hidden="1"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2:26" ht="15.6" hidden="1"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2:26" ht="15.6" hidden="1"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2:26" ht="15.6" hidden="1"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2:26" ht="15.6" hidden="1"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2:26" ht="15.6" hidden="1"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2:26" ht="15.6" hidden="1"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2:26" ht="15.6" hidden="1"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2:26" ht="15.6" hidden="1"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2:26" ht="15.6" hidden="1"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2:26" ht="15.6" hidden="1"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2:26" ht="15.6" hidden="1"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2:26" ht="15.6" hidden="1"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2:26" ht="15.6" hidden="1"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2:26" ht="15.6" hidden="1"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2:26" ht="15.6" hidden="1"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2:26" ht="15.6" hidden="1"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2:26" ht="15.6" hidden="1"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2:26" ht="15.6" hidden="1"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2:26" ht="15.6" hidden="1"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2:26" ht="15.6" hidden="1"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2:26" ht="15.6" hidden="1"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2:26" ht="15.6" hidden="1"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2:26" ht="15.6" hidden="1"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2:26" ht="15.6" hidden="1"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2:26" ht="15.6" hidden="1"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2:26" ht="15.6" hidden="1"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2:26" ht="15.6" hidden="1"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2:26" ht="15.6" hidden="1"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2:26" ht="15.6" hidden="1"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2:26" ht="15.6" hidden="1"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2:26" ht="15.6" hidden="1"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2:26" ht="15.6" hidden="1"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2:26" ht="15.6" hidden="1"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2:26" ht="15.6" hidden="1"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2:26" ht="15.6" hidden="1"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2:26" ht="15.6" hidden="1"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2:26" ht="15.6" hidden="1"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2:26" ht="15.6" hidden="1"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2:26" ht="15.6" hidden="1"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2:26" ht="15.6" hidden="1"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2:26" ht="15.6" hidden="1"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2:26" ht="15.6" hidden="1"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2:26" ht="15.6" hidden="1"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2:26" ht="15.6" hidden="1"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2:26" ht="15.6" hidden="1"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2:26" ht="15.6" hidden="1"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2:26" ht="15.6" hidden="1"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2:26" ht="15.6" hidden="1"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2:26" ht="15.6" hidden="1"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2:26" ht="15.6" hidden="1"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2:26" ht="15.6" hidden="1"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2:26" ht="15.6" hidden="1"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2:26" ht="15.6" hidden="1"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2:26" ht="15.6" hidden="1"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2:26" ht="15.6" hidden="1"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2:26" ht="15.6" hidden="1"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2:26" ht="15.6" hidden="1"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2:26" ht="15.6" hidden="1"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2:26" ht="15.6" hidden="1"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2:26" ht="15.6" hidden="1"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2:26" ht="15.6" hidden="1"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2:26" ht="15.6" hidden="1"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2:26" ht="15.6" hidden="1"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2:26" ht="15.6" hidden="1"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2:26" ht="15.6" hidden="1"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2:26" ht="15.6" hidden="1"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2:26" ht="15.6" hidden="1"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2:26" ht="15.6" hidden="1"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2:26" ht="15.6" hidden="1"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2:26" ht="15.6" hidden="1"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2:26" ht="15.6" hidden="1"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2:26" ht="15.6" hidden="1"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2:26" ht="15.6" hidden="1"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2:26" ht="15.6" hidden="1"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2:26" ht="15.6" hidden="1"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2:26" ht="15.6" hidden="1"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2:26" ht="15.6" hidden="1"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2:26" ht="15.6" hidden="1"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2:26" ht="15.6" hidden="1"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2:26" ht="15.6" hidden="1"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2:26" ht="15.6" hidden="1"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2:26" ht="15.6" hidden="1"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2:26" ht="15.6" hidden="1"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2:26" ht="15.6" hidden="1"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2:26" ht="15.6" hidden="1"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2:26" ht="15.6" hidden="1"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2:26" ht="15.6" hidden="1"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2:26" ht="15.6" hidden="1"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2:26" ht="15.6" hidden="1"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2:26" ht="15.6" hidden="1"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2:26" ht="15.6" hidden="1"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2:26" ht="15.6" hidden="1"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2:26" ht="15.6" hidden="1"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2:26" ht="15.6" hidden="1"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2:26" ht="15.6" hidden="1"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2:26" ht="15.6" hidden="1"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2:26" ht="15.6" hidden="1"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2:26" ht="15.6" hidden="1"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2:26" ht="15.6" hidden="1"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2:26" ht="15.6" hidden="1"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2:26" ht="15.6" hidden="1"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2:26" ht="15.6" hidden="1"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2:26" ht="15.6" hidden="1"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2:26" ht="15.6" hidden="1"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2:26" ht="15.6" hidden="1"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2:26" ht="15.6" hidden="1"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2:26" ht="15.6" hidden="1"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2:26" ht="15.6" hidden="1"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2:26" ht="15.6" hidden="1"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2:26" ht="15.6" hidden="1"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2:26" ht="15.6" hidden="1"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2:26" ht="15.6" hidden="1"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2:26" ht="15.6" hidden="1"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2:26" ht="15.6" hidden="1"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2:26" ht="15.6" hidden="1"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2:26" ht="15.6" hidden="1"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2:26" ht="15.6" hidden="1"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2:26" ht="15.6" hidden="1"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2:26" ht="15.6" hidden="1"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2:26" ht="15.6" hidden="1"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2:26" ht="15.6" hidden="1"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2:26" ht="15.6" hidden="1"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2:26" ht="15.6" hidden="1"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2:26" ht="15.6" hidden="1"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2:26" ht="15.6" hidden="1"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2:26" ht="15.6" hidden="1"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2:26" ht="15.6" hidden="1"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2:26" ht="15.6" hidden="1"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2:26" ht="15.6" hidden="1"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2:26" ht="15.6" hidden="1"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2:26" ht="15.6" hidden="1"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2:26" ht="15.6" hidden="1"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2:26" ht="15.6" hidden="1"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2:26" ht="15.6" hidden="1"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2:26" ht="15.6" hidden="1"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2:26" ht="15.6" hidden="1"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2:26" ht="15.6" hidden="1"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2:26" ht="15.6" hidden="1"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2:26" ht="15.6" hidden="1"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2:26" ht="15.6" hidden="1"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2:26" ht="15.6" hidden="1"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2:26" ht="15.6" hidden="1"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2:26" ht="15.6" hidden="1"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2:26" ht="15.6" hidden="1"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2:26" ht="15.6" hidden="1"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2:26" ht="15.6" hidden="1"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2:26" ht="15.6" hidden="1"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2:26" ht="15.6" hidden="1"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2:26" ht="15.6" hidden="1"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2:26" ht="15.6" hidden="1"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2:26" ht="15.6" hidden="1"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2:26" ht="15.6" hidden="1"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2:26" ht="15.6" hidden="1"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2:26" ht="15.6" hidden="1"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2:26" ht="15.6" hidden="1"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2:26" ht="15.6" hidden="1"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2:26" ht="15.6" hidden="1"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2:26" ht="15.6" hidden="1"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2:26" ht="15.6" hidden="1"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2:26" ht="15.6" hidden="1"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2:26" ht="15.6" hidden="1"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2:26" ht="15.6" hidden="1"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2:26" ht="15.6" hidden="1"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2:26" ht="15.6" hidden="1"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2:26" ht="15.6" hidden="1"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2:26" ht="15.6" hidden="1"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2:26" ht="15.6" hidden="1"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2:26" ht="15.6" hidden="1"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2:26" ht="15.6" hidden="1"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2:26" ht="15.6" hidden="1"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2:26" ht="15.6" hidden="1"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2:26" ht="15.6" hidden="1"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2:26" ht="15.6" hidden="1"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2:26" ht="15.6" hidden="1"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2:26" ht="15.6" hidden="1"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2:26" ht="15.6" hidden="1"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2:26" ht="15.6" hidden="1"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2:26" ht="15.6" hidden="1"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2:26" ht="15.6" hidden="1"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2:26" ht="15.6" hidden="1"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2:26" ht="15.6" hidden="1"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2:26" ht="15.6" hidden="1"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2:26" ht="15.6" hidden="1"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2:26" ht="15.6" hidden="1"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2:26" ht="15.6" hidden="1"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2:26" ht="15.6" hidden="1"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2:26" ht="15.6" hidden="1"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2:26" ht="15.6" hidden="1"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2:26" ht="15.6" hidden="1"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2:26" ht="15.6" hidden="1"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2:26" ht="15.6" hidden="1"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2:26" ht="15.6" hidden="1"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2:26" ht="15.6" hidden="1"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2:26" ht="15.6" hidden="1"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2:26" ht="15.6" hidden="1"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2:26" ht="15.6" hidden="1"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2:26" ht="15.6" hidden="1"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2:26" ht="15.6" hidden="1"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2:26" ht="15.6" hidden="1"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2:26" ht="15.6" hidden="1"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2:26" ht="15.6" hidden="1"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2:26" ht="15.6" hidden="1"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2:26" ht="15.6" hidden="1"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2:26" ht="15.6" hidden="1"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2:26" ht="15.6" hidden="1"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2:26" ht="15.6" hidden="1"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2:26" ht="15.6" hidden="1"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2:26" ht="15.6" hidden="1"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2:26" ht="15.6" hidden="1"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2:26" ht="15.6" hidden="1"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2:26" ht="15.6" hidden="1"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2:26" ht="15.6" hidden="1"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2:26" ht="15.6" hidden="1"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2:26" ht="15.6" hidden="1"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2:26" ht="15.6" hidden="1"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2:26" ht="15.6" hidden="1"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2:26" ht="15.6" hidden="1"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2:26" ht="15.6" hidden="1"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2:26" ht="15.6" hidden="1"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2:26" ht="15.6" hidden="1"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2:26" ht="15.6" hidden="1"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2:26" ht="15.6" hidden="1"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2:26" ht="15.6" hidden="1"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2:26" ht="15.6" hidden="1"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2:26" ht="15.6" hidden="1"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2:26" ht="15.6" hidden="1"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2:26" ht="15.6" hidden="1"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2:26" ht="15.6" hidden="1"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2:26" ht="15.6" hidden="1"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2:26" ht="15.6" hidden="1"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2:26" ht="15.6" hidden="1"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2:26" ht="15.6" hidden="1"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2:26" ht="15.6" hidden="1"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2:26" ht="15.6" hidden="1"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2:26" ht="15.6" hidden="1"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2:26" ht="15.6" hidden="1"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2:26" ht="15.6" hidden="1"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2:26" ht="15.6" hidden="1"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2:26" ht="15.6" hidden="1"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2:26" ht="15.6" hidden="1"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2:26" ht="15.6" hidden="1"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2:26" ht="15.6" hidden="1"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2:26" ht="15.6" hidden="1"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2:26" ht="15.6" hidden="1"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2:26" ht="15.6" hidden="1"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2:26" ht="15.6" hidden="1"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2:26" ht="15.6" hidden="1"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2:26" ht="15.6" hidden="1"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2:26" ht="15.6" hidden="1"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2:26" ht="15.6" hidden="1"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2:26" ht="15.6" hidden="1"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2:26" ht="15.6" hidden="1"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2:26" ht="15.6" hidden="1"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2:26" ht="15.6" hidden="1"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2:26" ht="15.6" hidden="1"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2:26" ht="15.6" hidden="1"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2:26" ht="15.6" hidden="1"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2:26" ht="15.6" hidden="1"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2:26" ht="15.6" hidden="1"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2:26" ht="15.6" hidden="1"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2:26" ht="15.6" hidden="1"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2:26" ht="15.6" hidden="1"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2:26" ht="15.6" hidden="1"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2:26" ht="15.6" hidden="1"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2:26" ht="15.6" hidden="1"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2:26" ht="15.6" hidden="1"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2:26" ht="15.6" hidden="1"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2:26" ht="15.6" hidden="1"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2:26" ht="15.6" hidden="1"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2:26" ht="15.6" hidden="1"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2:26" ht="15.6" hidden="1"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2:26" ht="15.6" hidden="1"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2:26" ht="15.6" hidden="1"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2:26" ht="15.6" hidden="1"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2:26" ht="15.6" hidden="1"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2:26" ht="15.6" hidden="1"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2:26" ht="15.6" hidden="1"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2:26" ht="15.6" hidden="1"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2:26" ht="15.6" hidden="1"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2:26" ht="15.6" hidden="1"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2:26" ht="15.6" hidden="1"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2:26" ht="15.6" hidden="1"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2:26" ht="15.6" hidden="1"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2:26" ht="15.6" hidden="1"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2:26" ht="15.6" hidden="1"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2:26" ht="15.6" hidden="1"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2:26" ht="15.6" hidden="1"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2:26" ht="15.6" hidden="1"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2:26" ht="15.6" hidden="1"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2:26" ht="15.6" hidden="1"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2:26" ht="15.6" hidden="1"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2:26" ht="15.6" hidden="1"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2:26" ht="15.6" hidden="1"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2:26" ht="15.6" hidden="1"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2:26" ht="15.6" hidden="1"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2:26" ht="15.6" hidden="1"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2:26" ht="15.6" hidden="1"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2:26" ht="15.6" hidden="1"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2:26" ht="15.6" hidden="1"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2:26" ht="15.6" hidden="1"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2:26" ht="15.6" hidden="1"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2:26" ht="15.6" hidden="1"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2:26" ht="15.6" hidden="1"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2:26" ht="15.6" hidden="1"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2:26" ht="15.6" hidden="1"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2:26" ht="15.6" hidden="1"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2:26" ht="15.6" hidden="1"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2:26" ht="15.6" hidden="1"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2:26" ht="15.6" hidden="1"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2:26" ht="15.6" hidden="1"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2:26" ht="15.6" hidden="1"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2:26" ht="15.6" hidden="1"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2:26" ht="15.6" hidden="1"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2:26" ht="15.6" hidden="1"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2:26" ht="15.6" hidden="1"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2:26" ht="15.6" hidden="1"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2:26" ht="15.6" hidden="1"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2:26" ht="15.6" hidden="1"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2:26" ht="15.6" hidden="1"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2:26" ht="15.6" hidden="1"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2:26" ht="15.6" hidden="1"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2:26" ht="15.6" hidden="1"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2:26" ht="15.6" hidden="1"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2:26" ht="15.6" hidden="1"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2:26" ht="15.6" hidden="1"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2:26" ht="15.6" hidden="1"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2:26" ht="15.6" hidden="1"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2:26" ht="15.6" hidden="1"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2:26" ht="15.6" hidden="1"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2:26" ht="15.6" hidden="1"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2:26" ht="15.6" hidden="1"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2:26" ht="15.6" hidden="1"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2:26" ht="15.6" hidden="1"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2:26" ht="15.6" hidden="1"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2:26" ht="15.6" hidden="1"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2:26" ht="15.6" hidden="1"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2:26" ht="15.6" hidden="1"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2:26" ht="15.6" hidden="1"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2:26" ht="15.6" hidden="1"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2:26" ht="15.6" hidden="1"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2:26" ht="15.6" hidden="1"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2:26" ht="15.6" hidden="1"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2:26" ht="15.6" hidden="1"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2:26" ht="15.6" hidden="1"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2:26" ht="15.6" hidden="1"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2:26" ht="15.6" hidden="1"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2:26" ht="15.6" hidden="1"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2:26" ht="15.6" hidden="1"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2:26" ht="15.6" hidden="1"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2:26" ht="15.6" hidden="1"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2:26" ht="15.6" hidden="1"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2:26" ht="15.6" hidden="1"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2:26" ht="15.6" hidden="1"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2:26" ht="15.6" hidden="1"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2:26" ht="15.6" hidden="1"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2:26" ht="15.6" hidden="1"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2:26" ht="15.6" hidden="1"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2:26" ht="15.6" hidden="1"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2:26" ht="15.6" hidden="1"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2:26" ht="15.6" hidden="1"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2:26" ht="15.6" hidden="1"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2:26" ht="15.6" hidden="1"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2:26" ht="15.6" hidden="1"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2:26" ht="15.6" hidden="1"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2:26" ht="15.6" hidden="1"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2:26" ht="15.6" hidden="1"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2:26" ht="15.6" hidden="1"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2:26" ht="15.6" hidden="1"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2:26" ht="15.6" hidden="1"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2:26" ht="15.6" hidden="1"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2:26" ht="15.6" hidden="1"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2:26" ht="15.6" hidden="1"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2:26" ht="15.6" hidden="1"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2:26" ht="15.6" hidden="1"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2:26" ht="15.6" hidden="1"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2:26" ht="15.6" hidden="1"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2:26" ht="15.6" hidden="1"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2:26" ht="15.6" hidden="1"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2:26" ht="15.6" hidden="1"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2:26" ht="15.6" hidden="1"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2:26" ht="15.6" hidden="1"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2:26" ht="15.6" hidden="1"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2:26" ht="15.6" hidden="1"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2:26" ht="15.6" hidden="1"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2:26" ht="15.6" hidden="1"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2:26" ht="15.6" hidden="1"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2:26" ht="15.6" hidden="1"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2:26" ht="15.6" hidden="1"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2:26" ht="15.6" hidden="1"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2:26" ht="15.6" hidden="1"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2:26" ht="15.6" hidden="1"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2:26" ht="15.6" hidden="1"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2:26" ht="15.6" hidden="1"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2:26" ht="15.6" hidden="1"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2:26" ht="15.6" hidden="1"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2:26" ht="15.6" hidden="1"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2:26" ht="15.6" hidden="1"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2:26" ht="15.6" hidden="1"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2:26" ht="15.6" hidden="1"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2:26" ht="15.6" hidden="1"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2:26" ht="15.6" hidden="1"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2:26" ht="15.6" hidden="1"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2:26" ht="15.6" hidden="1"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2:26" ht="15.6" hidden="1"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2:26" ht="15.6" hidden="1"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2:26" ht="15.6" hidden="1"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2:26" ht="15.6" hidden="1"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2:26" ht="15.6" hidden="1"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2:26" ht="15.6" hidden="1"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2:26" ht="15.6" hidden="1"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2:26" ht="15.6" hidden="1"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2:26" ht="15.6" hidden="1"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2:26" ht="15.6" hidden="1"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2:26" ht="15.6" hidden="1"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2:26" ht="15.6" hidden="1"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2:26" ht="15.6" hidden="1"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2:26" ht="15.6" hidden="1"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2:26" ht="15.6" hidden="1"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2:26" ht="15.6" hidden="1"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2:26" ht="15.6" hidden="1"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2:26" ht="15.6" hidden="1"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2:26" ht="15.6" hidden="1"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2:26" ht="15.6" hidden="1"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2:26" ht="15.6" hidden="1"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2:26" ht="15.6" hidden="1"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2:26" ht="15.6" hidden="1"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2:26" ht="15.6" hidden="1"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2:26" ht="15.6" hidden="1"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2:26" ht="15.6" hidden="1"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2:26" ht="15.6" hidden="1"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2:26" ht="15.6" hidden="1"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2:26" ht="15.6" hidden="1"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2:26" ht="15.6" hidden="1"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2:26" ht="15.6" hidden="1"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2:26" ht="15.6" hidden="1"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2:26" ht="15.6" hidden="1"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2:26" ht="15.6" hidden="1"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2:26" ht="15.6" hidden="1"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2:26" ht="15.6" hidden="1"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2:26" ht="15.6" hidden="1"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2:26" ht="15.6" hidden="1"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2:26" ht="15.6" hidden="1"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2:26" ht="15.6" hidden="1"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2:26" ht="15.6" hidden="1"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2:26" ht="15.6" hidden="1"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2:26" ht="15.6" hidden="1"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2:26" ht="15.6" hidden="1"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2:26" ht="15.6" hidden="1"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2:26" ht="15.6" hidden="1"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2:26" ht="15.6" hidden="1"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2:26" ht="15.6" hidden="1"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2:26" ht="15.6" hidden="1"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2:26" ht="15.6" hidden="1"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2:26" ht="15.6" hidden="1"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2:26" ht="15.6" hidden="1"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2:26" ht="15.6" hidden="1"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교육과정편제표(2027학년도)</vt:lpstr>
      <vt:lpstr>실무과목 능력단위(2027학년도)</vt:lpstr>
      <vt:lpstr>삭제금지</vt:lpstr>
      <vt:lpstr>(참고1) 편성 기준🔐</vt:lpstr>
      <vt:lpstr>'교육과정편제표(2027학년도)'!Print_Area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2026-10-26T05:34:41Z</cp:lastPrinted>
  <dcterms:created xsi:type="dcterms:W3CDTF">2020-03-04T02:26:59Z</dcterms:created>
  <dcterms:modified xsi:type="dcterms:W3CDTF">2026-10-27T10:27:24Z</dcterms:modified>
</cp:coreProperties>
</file>