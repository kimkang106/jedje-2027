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선하\천안여상\2026\교무부\교육과정\2027\"/>
    </mc:Choice>
  </mc:AlternateContent>
  <xr:revisionPtr revIDLastSave="0" documentId="13_ncr:1_{2F6203B7-F31A-4203-ADEF-CC99616865AF}" xr6:coauthVersionLast="36" xr6:coauthVersionMax="47" xr10:uidLastSave="{00000000-0000-0000-0000-000000000000}"/>
  <bookViews>
    <workbookView xWindow="28680" yWindow="-120" windowWidth="29040" windowHeight="15720" tabRatio="795" xr2:uid="{00000000-000D-0000-FFFF-FFFF00000000}"/>
  </bookViews>
  <sheets>
    <sheet name="교육과정편제표(유통플랫폼과)" sheetId="8" r:id="rId1"/>
    <sheet name="실무과목 능력단위(유통플랫폼과)" sheetId="17" r:id="rId2"/>
    <sheet name="삭제금지" sheetId="4" r:id="rId3"/>
    <sheet name="(참고1) 편성 기준🔐" sheetId="16" r:id="rId4"/>
  </sheets>
  <definedNames>
    <definedName name="_xlnm._FilterDatabase" localSheetId="0" hidden="1">'교육과정편제표(유통플랫폼과)'!$M$3:$P$4</definedName>
    <definedName name="_xlnm._FilterDatabase" localSheetId="2" hidden="1">삭제금지!$A$1:$F$151</definedName>
    <definedName name="_xlnm._FilterDatabase" localSheetId="1" hidden="1">'실무과목 능력단위(유통플랫폼과)'!#REF!</definedName>
    <definedName name="_xlnm.Print_Area" localSheetId="0">'교육과정편제표(유통플랫폼과)'!$A$1:$AE$73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6" i="8" l="1"/>
  <c r="H36" i="8"/>
  <c r="U63" i="8"/>
  <c r="S63" i="8"/>
  <c r="Q63" i="8"/>
  <c r="O63" i="8"/>
  <c r="M63" i="8"/>
  <c r="H63" i="8"/>
  <c r="T15" i="17" l="1"/>
  <c r="U15" i="17"/>
  <c r="T9" i="17"/>
  <c r="U9" i="17"/>
  <c r="T10" i="17"/>
  <c r="U10" i="17"/>
  <c r="T11" i="17"/>
  <c r="T13" i="17" s="1"/>
  <c r="U11" i="17"/>
  <c r="T12" i="17"/>
  <c r="U12" i="17"/>
  <c r="P13" i="17"/>
  <c r="Q13" i="17"/>
  <c r="R13" i="17"/>
  <c r="S13" i="17"/>
  <c r="T14" i="17"/>
  <c r="U14" i="17"/>
  <c r="N16" i="17"/>
  <c r="O16" i="17"/>
  <c r="Q16" i="17"/>
  <c r="R16" i="17"/>
  <c r="S16" i="17"/>
  <c r="T17" i="17"/>
  <c r="U17" i="17"/>
  <c r="T18" i="17"/>
  <c r="T19" i="17" s="1"/>
  <c r="U18" i="17"/>
  <c r="U19" i="17" s="1"/>
  <c r="L19" i="17"/>
  <c r="M19" i="17"/>
  <c r="N19" i="17"/>
  <c r="O19" i="17"/>
  <c r="P19" i="17"/>
  <c r="Q19" i="17"/>
  <c r="R19" i="17"/>
  <c r="S19" i="17"/>
  <c r="T20" i="17"/>
  <c r="U20" i="17"/>
  <c r="T21" i="17"/>
  <c r="U21" i="17"/>
  <c r="T22" i="17"/>
  <c r="U22" i="17"/>
  <c r="T23" i="17"/>
  <c r="U23" i="17"/>
  <c r="P24" i="17"/>
  <c r="Q24" i="17"/>
  <c r="R24" i="17"/>
  <c r="S24" i="17"/>
  <c r="T25" i="17"/>
  <c r="U25" i="17"/>
  <c r="T26" i="17"/>
  <c r="U26" i="17"/>
  <c r="U27" i="17" s="1"/>
  <c r="L27" i="17"/>
  <c r="M27" i="17"/>
  <c r="N27" i="17"/>
  <c r="O27" i="17"/>
  <c r="P27" i="17"/>
  <c r="Q27" i="17"/>
  <c r="R27" i="17"/>
  <c r="S27" i="17"/>
  <c r="T27" i="17"/>
  <c r="T28" i="17"/>
  <c r="U28" i="17"/>
  <c r="T29" i="17"/>
  <c r="T30" i="17" s="1"/>
  <c r="U29" i="17"/>
  <c r="L30" i="17"/>
  <c r="M30" i="17"/>
  <c r="N30" i="17"/>
  <c r="O30" i="17"/>
  <c r="P30" i="17"/>
  <c r="Q30" i="17"/>
  <c r="R30" i="17"/>
  <c r="S30" i="17"/>
  <c r="T31" i="17"/>
  <c r="U31" i="17"/>
  <c r="U33" i="17" s="1"/>
  <c r="T32" i="17"/>
  <c r="T33" i="17" s="1"/>
  <c r="U32" i="17"/>
  <c r="L33" i="17"/>
  <c r="M33" i="17"/>
  <c r="N33" i="17"/>
  <c r="O33" i="17"/>
  <c r="P33" i="17"/>
  <c r="Q33" i="17"/>
  <c r="R33" i="17"/>
  <c r="S33" i="17"/>
  <c r="T34" i="17"/>
  <c r="U34" i="17"/>
  <c r="T35" i="17"/>
  <c r="U35" i="17"/>
  <c r="L36" i="17"/>
  <c r="M36" i="17"/>
  <c r="N36" i="17"/>
  <c r="O36" i="17"/>
  <c r="P36" i="17"/>
  <c r="Q36" i="17"/>
  <c r="R36" i="17"/>
  <c r="S36" i="17"/>
  <c r="T37" i="17"/>
  <c r="U37" i="17"/>
  <c r="T38" i="17"/>
  <c r="T39" i="17" s="1"/>
  <c r="U38" i="17"/>
  <c r="L39" i="17"/>
  <c r="M39" i="17"/>
  <c r="N39" i="17"/>
  <c r="O39" i="17"/>
  <c r="P39" i="17"/>
  <c r="Q39" i="17"/>
  <c r="R39" i="17"/>
  <c r="S39" i="17"/>
  <c r="T40" i="17"/>
  <c r="U40" i="17"/>
  <c r="T41" i="17"/>
  <c r="U41" i="17"/>
  <c r="L42" i="17"/>
  <c r="M42" i="17"/>
  <c r="N42" i="17"/>
  <c r="O42" i="17"/>
  <c r="P42" i="17"/>
  <c r="Q42" i="17"/>
  <c r="R42" i="17"/>
  <c r="S42" i="17"/>
  <c r="T43" i="17"/>
  <c r="U43" i="17"/>
  <c r="T44" i="17"/>
  <c r="T45" i="17" s="1"/>
  <c r="U44" i="17"/>
  <c r="U45" i="17" s="1"/>
  <c r="L45" i="17"/>
  <c r="M45" i="17"/>
  <c r="N45" i="17"/>
  <c r="O45" i="17"/>
  <c r="P45" i="17"/>
  <c r="Q45" i="17"/>
  <c r="R45" i="17"/>
  <c r="S45" i="17"/>
  <c r="U39" i="17" l="1"/>
  <c r="U36" i="17"/>
  <c r="T36" i="17"/>
  <c r="T42" i="17"/>
  <c r="U30" i="17"/>
  <c r="U24" i="17"/>
  <c r="U13" i="17"/>
  <c r="U42" i="17"/>
  <c r="T24" i="17"/>
  <c r="S71" i="8"/>
  <c r="O71" i="8"/>
  <c r="K71" i="8"/>
  <c r="W70" i="8"/>
  <c r="Y70" i="8" s="1"/>
  <c r="W69" i="8"/>
  <c r="AA70" i="8" s="1"/>
  <c r="Y66" i="8"/>
  <c r="W66" i="8"/>
  <c r="Y63" i="8"/>
  <c r="K63" i="8"/>
  <c r="I63" i="8"/>
  <c r="I65" i="8" s="1"/>
  <c r="J63" i="8"/>
  <c r="W57" i="8"/>
  <c r="W56" i="8"/>
  <c r="W55" i="8"/>
  <c r="W54" i="8"/>
  <c r="W53" i="8"/>
  <c r="W52" i="8"/>
  <c r="W40" i="8"/>
  <c r="W39" i="8"/>
  <c r="W38" i="8"/>
  <c r="W37" i="8"/>
  <c r="Y36" i="8"/>
  <c r="U36" i="8"/>
  <c r="S36" i="8"/>
  <c r="Q36" i="8"/>
  <c r="O36" i="8"/>
  <c r="M36" i="8"/>
  <c r="K36" i="8"/>
  <c r="W33" i="8"/>
  <c r="W31" i="8"/>
  <c r="W30" i="8"/>
  <c r="W29" i="8"/>
  <c r="W28" i="8"/>
  <c r="W27" i="8"/>
  <c r="W26" i="8"/>
  <c r="W25" i="8"/>
  <c r="W24" i="8"/>
  <c r="W23" i="8"/>
  <c r="W22" i="8"/>
  <c r="W21" i="8"/>
  <c r="W20" i="8"/>
  <c r="W18" i="8"/>
  <c r="W17" i="8"/>
  <c r="W16" i="8"/>
  <c r="W14" i="8"/>
  <c r="W13" i="8"/>
  <c r="W12" i="8"/>
  <c r="W10" i="8"/>
  <c r="W9" i="8"/>
  <c r="O65" i="8" l="1"/>
  <c r="X23" i="8"/>
  <c r="X27" i="8"/>
  <c r="X17" i="8"/>
  <c r="M65" i="8"/>
  <c r="W71" i="8"/>
  <c r="Q65" i="8"/>
  <c r="U65" i="8"/>
  <c r="W63" i="8"/>
  <c r="X25" i="8"/>
  <c r="S65" i="8"/>
  <c r="X13" i="8"/>
  <c r="J65" i="8"/>
  <c r="X9" i="8"/>
  <c r="AA72" i="8"/>
  <c r="Y65" i="8"/>
  <c r="H65" i="8"/>
  <c r="W36" i="8"/>
  <c r="AA36" i="8" s="1"/>
  <c r="X21" i="8"/>
  <c r="W59" i="8"/>
  <c r="K65" i="8"/>
  <c r="W65" i="8" l="1"/>
  <c r="AA67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7" authorId="0" shapeId="0" xr:uid="{3A7FA50C-F21E-46FD-A9A4-F7E332FA43DA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38" authorId="0" shapeId="0" xr:uid="{A1F71FE4-64BC-4482-A032-DA4E5F98D368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63" authorId="0" shapeId="0" xr:uid="{35EE88F9-7B79-4ABA-A5C8-06BA4520E9A4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<sst xmlns="http://schemas.openxmlformats.org/spreadsheetml/2006/main" count="1467" uniqueCount="642">
  <si>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</si>
  <si>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</si>
  <si>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</si>
  <si>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</si>
  <si>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</si>
  <si>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</si>
  <si>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</si>
  <si>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</si>
  <si>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</si>
  <si>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</si>
  <si>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</si>
  <si>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</si>
  <si>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</si>
  <si>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</si>
  <si>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</si>
  <si>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</si>
  <si>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</si>
  <si>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</si>
  <si>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</si>
  <si>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</si>
  <si>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</si>
  <si>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</si>
  <si>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</si>
  <si>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</si>
  <si>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</si>
  <si>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</si>
  <si>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</si>
  <si>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</si>
  <si>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</si>
  <si>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</si>
  <si>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</si>
  <si>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</si>
  <si>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</si>
  <si>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</si>
  <si>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</si>
  <si>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</si>
  <si>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</si>
  <si>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</si>
  <si>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</si>
  <si>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</si>
  <si>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</si>
  <si>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</si>
  <si>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</si>
  <si>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</si>
  <si>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</si>
  <si>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</si>
  <si>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</si>
  <si>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</si>
  <si>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</si>
  <si>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</si>
  <si>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</si>
  <si>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</si>
  <si>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</si>
  <si>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</si>
  <si>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</si>
  <si>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</si>
  <si>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</si>
  <si>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</si>
  <si>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</si>
  <si>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</si>
  <si>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</si>
  <si>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</si>
  <si>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</si>
  <si>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</si>
  <si>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</si>
  <si>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</si>
  <si>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</si>
  <si>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</si>
  <si>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</si>
  <si>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</si>
  <si>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</si>
  <si>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</si>
  <si>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</si>
  <si>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</si>
  <si>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</si>
  <si>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</si>
  <si>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</si>
  <si>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</si>
  <si>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</si>
  <si>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</si>
  <si>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</si>
  <si>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</si>
  <si>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</si>
  <si>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</si>
  <si>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</si>
  <si>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</si>
  <si>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</si>
  <si>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</si>
  <si>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</si>
  <si>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</si>
  <si>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</si>
  <si>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</si>
  <si>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</si>
  <si>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</si>
  <si>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</si>
  <si>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</si>
  <si>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</si>
  <si>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</si>
  <si>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</si>
  <si>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</si>
  <si>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</si>
  <si>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</si>
  <si>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</si>
  <si>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</si>
  <si>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</si>
  <si>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</si>
  <si>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</si>
  <si>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</si>
  <si>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</si>
  <si>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</si>
  <si>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</si>
  <si>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</si>
  <si>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</si>
  <si>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</si>
  <si>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</si>
  <si>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</si>
  <si>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</si>
  <si>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</si>
  <si>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</si>
  <si>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</si>
  <si>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</si>
  <si>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</si>
  <si>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</si>
  <si>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</si>
  <si>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</si>
  <si>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</si>
  <si>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</si>
  <si>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</si>
  <si>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</si>
  <si>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</si>
  <si>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</si>
  <si>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</si>
  <si>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</si>
  <si>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정보·통신</t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</si>
  <si>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</si>
  <si>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</si>
  <si>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</si>
  <si>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</si>
  <si>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</si>
  <si>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</si>
  <si>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</si>
  <si>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</si>
  <si>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</si>
  <si>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</si>
  <si>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</si>
  <si>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</si>
  <si>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</si>
  <si>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</si>
  <si>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</si>
  <si>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</si>
  <si>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</si>
  <si>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</si>
  <si>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</si>
  <si>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</si>
  <si>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전공
선택
(택1)</t>
    <phoneticPr fontId="9" type="noConversion"/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</si>
  <si>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</si>
  <si>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</si>
  <si>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</si>
  <si>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</si>
  <si>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</si>
  <si>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</si>
  <si>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</si>
  <si>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</si>
  <si>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</si>
  <si>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</si>
  <si>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</si>
  <si>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</si>
  <si>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</si>
  <si>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</si>
  <si>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</si>
  <si>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</si>
  <si>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</si>
  <si>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</si>
  <si>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</si>
  <si>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</si>
  <si>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</si>
  <si>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</si>
  <si>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</si>
  <si>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</si>
  <si>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</si>
  <si>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</si>
  <si>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</si>
  <si>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</si>
  <si>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</si>
  <si>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</si>
  <si>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</si>
  <si>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</si>
  <si>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</si>
  <si>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</si>
  <si>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</si>
  <si>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</si>
  <si>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</si>
  <si>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</si>
  <si>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</si>
  <si>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</si>
  <si>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</si>
  <si>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</si>
  <si>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</si>
  <si>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</si>
  <si>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</si>
  <si>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</si>
  <si>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</si>
  <si>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</si>
  <si>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</si>
  <si>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</si>
  <si>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</si>
  <si>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</si>
  <si>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</si>
  <si>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</si>
  <si>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</si>
  <si>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</si>
  <si>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</si>
  <si>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</si>
  <si>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</si>
  <si>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</si>
  <si>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</si>
  <si>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</si>
  <si>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</si>
  <si>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</si>
  <si>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</si>
  <si>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</si>
  <si>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</si>
  <si>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</si>
  <si>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</si>
  <si>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</si>
  <si>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</si>
  <si>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</si>
  <si>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</si>
  <si>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</si>
  <si>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</si>
  <si>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</si>
  <si>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</si>
  <si>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</si>
  <si>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</si>
  <si>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</si>
  <si>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</si>
  <si>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</si>
  <si>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</si>
  <si>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</si>
  <si>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</si>
  <si>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</si>
  <si>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</si>
  <si>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</si>
  <si>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</si>
  <si>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</si>
  <si>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</si>
  <si>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</si>
  <si>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</si>
  <si>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</si>
  <si>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</si>
  <si>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</si>
  <si>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</si>
  <si>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</si>
  <si>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</si>
  <si>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</si>
  <si>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</si>
  <si>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</si>
  <si>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</si>
  <si>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</si>
  <si>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</si>
  <si>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</si>
  <si>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</si>
  <si>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</si>
  <si>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</si>
  <si>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</si>
  <si>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</si>
  <si>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</si>
  <si>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</si>
  <si>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</si>
  <si>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</si>
  <si>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</si>
  <si>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</si>
  <si>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</si>
  <si>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</si>
  <si>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</si>
  <si>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</si>
  <si>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</si>
  <si>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</si>
  <si>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</si>
  <si>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</si>
  <si>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</si>
  <si>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</si>
  <si>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</si>
  <si>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</si>
  <si>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</si>
  <si>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</si>
  <si>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</si>
  <si>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</si>
  <si>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</si>
  <si>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</si>
  <si>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</si>
  <si>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</si>
  <si>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</si>
  <si>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</si>
  <si>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</si>
  <si>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</si>
  <si>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</si>
  <si>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</si>
  <si>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</si>
  <si>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</si>
  <si>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</si>
  <si>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</si>
  <si>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</si>
  <si>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</si>
  <si>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</si>
  <si>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</si>
  <si>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</si>
  <si>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</si>
  <si>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</si>
  <si>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</si>
  <si>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</si>
  <si>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</si>
  <si>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</si>
  <si>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</si>
  <si>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</si>
  <si>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</si>
  <si>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</si>
  <si>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</si>
  <si>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</si>
  <si>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</si>
  <si>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</si>
  <si>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</si>
  <si>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</si>
  <si>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</si>
  <si>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</si>
  <si>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</si>
  <si>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</si>
  <si>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</si>
  <si>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</si>
  <si>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</si>
  <si>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</si>
  <si>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</si>
  <si>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</si>
  <si>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</si>
  <si>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</si>
  <si>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</si>
  <si>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</si>
  <si>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</si>
  <si>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</si>
  <si>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</si>
  <si>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3~5</t>
    <phoneticPr fontId="9" type="noConversion"/>
  </si>
  <si>
    <t>사회(역사/도덕 포함)</t>
    <phoneticPr fontId="9" type="noConversion"/>
  </si>
  <si>
    <t>2~4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</si>
  <si>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</si>
  <si>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</si>
  <si>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</si>
  <si>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t>전문공통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</si>
  <si>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</si>
  <si>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</si>
  <si>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</si>
  <si>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</si>
  <si>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</si>
  <si>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</si>
  <si>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</si>
  <si>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</si>
  <si>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</si>
  <si>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</si>
  <si>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</si>
  <si>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</si>
  <si>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</si>
  <si>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</si>
  <si>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</si>
  <si>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</si>
  <si>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</si>
  <si>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</si>
  <si>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</si>
  <si>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</si>
  <si>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</si>
  <si>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</si>
  <si>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</si>
  <si>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</si>
  <si>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</si>
  <si>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</si>
  <si>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</si>
  <si>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</si>
  <si>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</si>
  <si>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</si>
  <si>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</si>
  <si>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</si>
  <si>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</si>
  <si>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</si>
  <si>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</si>
  <si>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</si>
  <si>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</si>
  <si>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</si>
  <si>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</si>
  <si>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</si>
  <si>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</si>
  <si>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</si>
  <si>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</si>
  <si>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</si>
  <si>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</si>
  <si>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</si>
  <si>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</si>
  <si>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</si>
  <si>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</si>
  <si>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</si>
  <si>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</si>
  <si>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</si>
  <si>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</si>
  <si>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</si>
  <si>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</si>
  <si>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</si>
  <si>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</si>
  <si>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</si>
  <si>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</si>
  <si>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</si>
  <si>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</si>
  <si>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</si>
  <si>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</si>
  <si>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</si>
  <si>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</si>
  <si>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</si>
  <si>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</si>
  <si>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</si>
  <si>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</si>
  <si>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</si>
  <si>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</si>
  <si>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</si>
  <si>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</si>
  <si>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</si>
  <si>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</si>
  <si>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</si>
  <si>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</si>
  <si>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</si>
  <si>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</si>
  <si>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</si>
  <si>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</si>
  <si>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</si>
  <si>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</si>
  <si>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</si>
  <si>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</si>
  <si>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</si>
  <si>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</si>
  <si>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</si>
  <si>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</si>
  <si>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</si>
  <si>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</si>
  <si>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</si>
  <si>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</si>
  <si>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</si>
  <si>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</si>
  <si>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</si>
  <si>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</si>
  <si>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</si>
  <si>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</si>
  <si>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</si>
  <si>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</si>
  <si>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</si>
  <si>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</si>
  <si>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</si>
  <si>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</si>
  <si>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</si>
  <si>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</si>
  <si>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</si>
  <si>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</si>
  <si>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</si>
  <si>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</si>
  <si>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</si>
  <si>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</si>
  <si>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</si>
  <si>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</si>
  <si>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</si>
  <si>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</si>
  <si>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</si>
  <si>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</si>
  <si>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</si>
  <si>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</si>
  <si>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</si>
  <si>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</si>
  <si>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</si>
  <si>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</si>
  <si>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</si>
  <si>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</si>
  <si>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</si>
  <si>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</si>
  <si>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</si>
  <si>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</si>
  <si>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</si>
  <si>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</si>
  <si>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</si>
  <si>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</si>
  <si>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</si>
  <si>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</si>
  <si>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</si>
  <si>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</si>
  <si>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</si>
  <si>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</si>
  <si>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구분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</si>
  <si>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</si>
  <si>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</si>
  <si>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</si>
  <si>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</si>
  <si>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전문교과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</si>
  <si>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</si>
  <si>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</si>
  <si>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</si>
  <si>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3~4</t>
    <phoneticPr fontId="9" type="noConversion"/>
  </si>
  <si>
    <t>3~5</t>
    <phoneticPr fontId="9" type="noConversion"/>
  </si>
  <si>
    <t>2~4</t>
    <phoneticPr fontId="9" type="noConversion"/>
  </si>
  <si>
    <t>±1</t>
    <phoneticPr fontId="9" type="noConversion"/>
  </si>
  <si>
    <t>충남</t>
  </si>
  <si>
    <t>학교장</t>
    <phoneticPr fontId="9" type="noConversion"/>
  </si>
  <si>
    <t>2027학년도 교육과정 편제 및 학점배당표(마이스터고/특성화고)</t>
    <phoneticPr fontId="9" type="noConversion"/>
  </si>
  <si>
    <t>천안여자상업고등학교</t>
    <phoneticPr fontId="9" type="noConversion"/>
  </si>
  <si>
    <t>김영선</t>
    <phoneticPr fontId="9" type="noConversion"/>
  </si>
  <si>
    <t>박선하</t>
    <phoneticPr fontId="9" type="noConversion"/>
  </si>
  <si>
    <t>070-4626-8803</t>
    <phoneticPr fontId="9" type="noConversion"/>
  </si>
  <si>
    <t>070-4626-8804</t>
    <phoneticPr fontId="9" type="noConversion"/>
  </si>
  <si>
    <t>김상배</t>
    <phoneticPr fontId="9" type="noConversion"/>
  </si>
  <si>
    <t>070-4626-8802</t>
    <phoneticPr fontId="9" type="noConversion"/>
  </si>
  <si>
    <t>공통국어1</t>
    <phoneticPr fontId="9" type="noConversion"/>
  </si>
  <si>
    <t>공통국어2</t>
  </si>
  <si>
    <t>문학</t>
  </si>
  <si>
    <t>직무 의사소통</t>
  </si>
  <si>
    <t>공통수학1</t>
  </si>
  <si>
    <t>대수</t>
  </si>
  <si>
    <t>직무 수학</t>
  </si>
  <si>
    <t>공통영어2</t>
  </si>
  <si>
    <t>영어Ⅰ</t>
  </si>
  <si>
    <t>공통영어1</t>
    <phoneticPr fontId="9" type="noConversion"/>
  </si>
  <si>
    <t>미디어 영어</t>
    <phoneticPr fontId="9" type="noConversion"/>
  </si>
  <si>
    <t>한국사1</t>
  </si>
  <si>
    <t>한국사2</t>
  </si>
  <si>
    <t>통합사회1</t>
  </si>
  <si>
    <t>통합사회2</t>
  </si>
  <si>
    <t>통합과학1</t>
  </si>
  <si>
    <t>통합과학2</t>
  </si>
  <si>
    <t>체육1</t>
  </si>
  <si>
    <t>체육2</t>
  </si>
  <si>
    <t>스포츠 생활1</t>
  </si>
  <si>
    <t>스포츠 생활2</t>
  </si>
  <si>
    <t>미술</t>
  </si>
  <si>
    <t>음악</t>
  </si>
  <si>
    <t>기술·가정</t>
  </si>
  <si>
    <t>일본어</t>
  </si>
  <si>
    <t>정보</t>
  </si>
  <si>
    <t>공통</t>
  </si>
  <si>
    <t>일반선택</t>
  </si>
  <si>
    <t>진로선택</t>
  </si>
  <si>
    <t>융합선택</t>
  </si>
  <si>
    <t>융합선택</t>
    <phoneticPr fontId="9" type="noConversion"/>
  </si>
  <si>
    <t>3~</t>
  </si>
  <si>
    <t>경영·금융</t>
  </si>
  <si>
    <t>경영사무과</t>
  </si>
  <si>
    <t>유통과</t>
  </si>
  <si>
    <t>유통플랫폼과</t>
    <phoneticPr fontId="9" type="noConversion"/>
  </si>
  <si>
    <t>유통플랫폼 전문가</t>
    <phoneticPr fontId="9" type="noConversion"/>
  </si>
  <si>
    <t>물류관리시스템 실무</t>
    <phoneticPr fontId="9" type="noConversion"/>
  </si>
  <si>
    <t>기업 통합 프로세스 실무</t>
    <phoneticPr fontId="9" type="noConversion"/>
  </si>
  <si>
    <t>0204010405_24v3</t>
  </si>
  <si>
    <t>공급망생산운영</t>
  </si>
  <si>
    <t>0204030508_22v4</t>
  </si>
  <si>
    <t>물류정보시스템 활용</t>
  </si>
  <si>
    <t>물류관리시스템</t>
    <phoneticPr fontId="9" type="noConversion"/>
  </si>
  <si>
    <t>0201030413_21v2</t>
  </si>
  <si>
    <t>회계정보시스템 운용</t>
  </si>
  <si>
    <t>유통정보관리</t>
  </si>
  <si>
    <t>기업 프로세스 기초</t>
    <phoneticPr fontId="9" type="noConversion"/>
  </si>
  <si>
    <t>0201030408_21v2</t>
    <phoneticPr fontId="9" type="noConversion"/>
  </si>
  <si>
    <t>유통 물류 관리</t>
    <phoneticPr fontId="9" type="noConversion"/>
  </si>
  <si>
    <t>0201030402_21v2</t>
    <phoneticPr fontId="9" type="noConversion"/>
  </si>
  <si>
    <t>상품 매입</t>
    <phoneticPr fontId="9" type="noConversion"/>
  </si>
  <si>
    <t>유통 관리</t>
    <phoneticPr fontId="9" type="noConversion"/>
  </si>
  <si>
    <t>0204010205_20v2</t>
    <phoneticPr fontId="9" type="noConversion"/>
  </si>
  <si>
    <t>자재 운영 관리</t>
    <phoneticPr fontId="9" type="noConversion"/>
  </si>
  <si>
    <t>0204010203_20v2</t>
    <phoneticPr fontId="9" type="noConversion"/>
  </si>
  <si>
    <t>자재 입고 관리</t>
    <phoneticPr fontId="9" type="noConversion"/>
  </si>
  <si>
    <t>자재 관리</t>
    <phoneticPr fontId="9" type="noConversion"/>
  </si>
  <si>
    <t>응대업무</t>
    <phoneticPr fontId="9" type="noConversion"/>
  </si>
  <si>
    <t>0202030104_22v2</t>
    <phoneticPr fontId="9" type="noConversion"/>
  </si>
  <si>
    <t>출장관리</t>
    <phoneticPr fontId="9" type="noConversion"/>
  </si>
  <si>
    <t>비서</t>
    <phoneticPr fontId="9" type="noConversion"/>
  </si>
  <si>
    <t>수입 대금 결제</t>
    <phoneticPr fontId="9" type="noConversion"/>
  </si>
  <si>
    <t>수출입 운송 보험</t>
    <phoneticPr fontId="9" type="noConversion"/>
  </si>
  <si>
    <t>수출입 계약</t>
    <phoneticPr fontId="9" type="noConversion"/>
  </si>
  <si>
    <t>수출입 사전 준비</t>
    <phoneticPr fontId="9" type="noConversion"/>
  </si>
  <si>
    <t>수출입 관리</t>
    <phoneticPr fontId="9" type="noConversion"/>
  </si>
  <si>
    <t>0203010205_20v3</t>
    <phoneticPr fontId="9" type="noConversion"/>
  </si>
  <si>
    <t>자금 정보 제공</t>
    <phoneticPr fontId="9" type="noConversion"/>
  </si>
  <si>
    <t>0203010104_20v3</t>
    <phoneticPr fontId="9" type="noConversion"/>
  </si>
  <si>
    <t>추정 재무제표 작성</t>
    <phoneticPr fontId="9" type="noConversion"/>
  </si>
  <si>
    <t>예산·자금</t>
    <phoneticPr fontId="9" type="noConversion"/>
  </si>
  <si>
    <t>회계 실무</t>
    <phoneticPr fontId="9" type="noConversion"/>
  </si>
  <si>
    <t>0202030202_22v3</t>
    <phoneticPr fontId="9" type="noConversion"/>
  </si>
  <si>
    <t>문서관리</t>
    <phoneticPr fontId="9" type="noConversion"/>
  </si>
  <si>
    <t>0202030201_22v3</t>
    <phoneticPr fontId="9" type="noConversion"/>
  </si>
  <si>
    <t>문서작성</t>
    <phoneticPr fontId="9" type="noConversion"/>
  </si>
  <si>
    <t>0202030209_22v2</t>
    <phoneticPr fontId="9" type="noConversion"/>
  </si>
  <si>
    <t>사무자동화프로그램활용</t>
    <phoneticPr fontId="9" type="noConversion"/>
  </si>
  <si>
    <t>0202030208_22v4</t>
    <phoneticPr fontId="9" type="noConversion"/>
  </si>
  <si>
    <t>사무환경조성</t>
    <phoneticPr fontId="9" type="noConversion"/>
  </si>
  <si>
    <t>사무 행정</t>
    <phoneticPr fontId="9" type="noConversion"/>
  </si>
  <si>
    <t>전표 관리</t>
  </si>
  <si>
    <t>0203020101_20v4</t>
  </si>
  <si>
    <t>결산 처리</t>
  </si>
  <si>
    <t>0203020104_23v5</t>
  </si>
  <si>
    <t>0204030201_24v2</t>
    <phoneticPr fontId="9" type="noConversion"/>
  </si>
  <si>
    <t>0204030204_24v2</t>
    <phoneticPr fontId="9" type="noConversion"/>
  </si>
  <si>
    <t>0204030205_24v2</t>
    <phoneticPr fontId="9" type="noConversion"/>
  </si>
  <si>
    <t>0204030213_24v3</t>
    <phoneticPr fontId="9" type="noConversion"/>
  </si>
  <si>
    <t>0202030105_22v2</t>
    <phoneticPr fontId="9" type="noConversion"/>
  </si>
  <si>
    <t>0203020105_20v4</t>
    <phoneticPr fontId="9" type="noConversion"/>
  </si>
  <si>
    <t>공급망재고운영</t>
  </si>
  <si>
    <t>0204010407_24v3</t>
  </si>
  <si>
    <t>예산관리</t>
  </si>
  <si>
    <t>0201010106_13v1</t>
  </si>
  <si>
    <t>구매발주관리</t>
  </si>
  <si>
    <t>0204010104_23v3</t>
  </si>
  <si>
    <t>공급망조달운영</t>
  </si>
  <si>
    <t>0204010406_24v3</t>
  </si>
  <si>
    <t>전공심화</t>
    <phoneticPr fontId="9" type="noConversion"/>
  </si>
  <si>
    <t>심화코스</t>
    <phoneticPr fontId="9" type="noConversion"/>
  </si>
  <si>
    <t>선택과목</t>
    <phoneticPr fontId="9" type="noConversion"/>
  </si>
  <si>
    <t>전공실무</t>
  </si>
  <si>
    <t>예산·자금</t>
  </si>
  <si>
    <t>수출입 관리</t>
  </si>
  <si>
    <t>기업 프로세스 기초</t>
  </si>
  <si>
    <t>물류관리시스템</t>
  </si>
  <si>
    <t>기업 통합 프로세스 실무</t>
  </si>
  <si>
    <t>물류관리 시스템 실무</t>
  </si>
  <si>
    <t>전공일반</t>
  </si>
  <si>
    <t>상업 경제</t>
  </si>
  <si>
    <t>금융 일반</t>
  </si>
  <si>
    <t>회계 원리</t>
  </si>
  <si>
    <t>회계 정보 처리 시스템</t>
  </si>
  <si>
    <t>사무 관리</t>
  </si>
  <si>
    <t>정보처리와 관리</t>
  </si>
  <si>
    <t>컴퓨터 시스템 일반</t>
  </si>
  <si>
    <t>사무 행정</t>
  </si>
  <si>
    <t>무역 일반</t>
  </si>
  <si>
    <t>유통 일반</t>
  </si>
  <si>
    <t>무역 영어</t>
  </si>
  <si>
    <t>비즈니스 커뮤니케이션</t>
  </si>
  <si>
    <t>기업과 경영</t>
  </si>
  <si>
    <t>유통 관리</t>
  </si>
  <si>
    <t>비서</t>
  </si>
  <si>
    <t>자재 관리</t>
  </si>
  <si>
    <t>회계 실무</t>
  </si>
  <si>
    <t>직무 영어</t>
    <phoneticPr fontId="9" type="noConversion"/>
  </si>
  <si>
    <t>빅데이터 엑셀</t>
    <phoneticPr fontId="9" type="noConversion"/>
  </si>
  <si>
    <t>성공적인 직업생활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</si>
</sst>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62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Malgun Gothic"/>
      <family val="3"/>
      <charset val="129"/>
    </font>
    <font>
      <sz val="8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9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7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hair">
        <color indexed="64"/>
      </top>
      <bottom/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3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2" fillId="0" borderId="0"/>
  </cellStyleXfs>
  <cellXfs count="55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3" xfId="3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1" fillId="0" borderId="0" xfId="0" applyFont="1">
      <alignment vertical="center"/>
    </xf>
    <xf numFmtId="0" fontId="14" fillId="12" borderId="76" xfId="3" applyFont="1" applyFill="1" applyBorder="1" applyAlignment="1">
      <alignment horizontal="center" vertical="center" wrapText="1"/>
    </xf>
    <xf numFmtId="177" fontId="21" fillId="0" borderId="0" xfId="0" applyNumberFormat="1" applyFont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5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8" xfId="4" applyFont="1" applyFill="1" applyBorder="1" applyAlignment="1" applyProtection="1">
      <alignment horizontal="center" vertical="center" wrapText="1"/>
    </xf>
    <xf numFmtId="0" fontId="30" fillId="0" borderId="6" xfId="0" applyFont="1" applyBorder="1" applyAlignment="1">
      <alignment vertical="center"/>
    </xf>
    <xf numFmtId="0" fontId="30" fillId="0" borderId="0" xfId="0" applyFont="1" applyBorder="1" applyAlignment="1">
      <alignment vertical="center"/>
    </xf>
    <xf numFmtId="0" fontId="30" fillId="0" borderId="6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30" fillId="0" borderId="20" xfId="0" applyFont="1" applyBorder="1" applyAlignment="1">
      <alignment horizontal="left" vertical="center"/>
    </xf>
    <xf numFmtId="0" fontId="30" fillId="0" borderId="20" xfId="0" applyFont="1" applyBorder="1" applyAlignment="1">
      <alignment vertical="center"/>
    </xf>
    <xf numFmtId="0" fontId="13" fillId="10" borderId="95" xfId="6" applyFont="1" applyFill="1" applyBorder="1" applyAlignment="1" applyProtection="1">
      <alignment horizontal="center" vertical="center" wrapText="1"/>
    </xf>
    <xf numFmtId="0" fontId="12" fillId="12" borderId="96" xfId="0" applyFont="1" applyFill="1" applyBorder="1" applyAlignment="1" applyProtection="1">
      <alignment horizontal="center" vertical="center"/>
      <protection locked="0"/>
    </xf>
    <xf numFmtId="0" fontId="12" fillId="12" borderId="29" xfId="0" applyFont="1" applyFill="1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 shrinkToFit="1"/>
      <protection locked="0"/>
    </xf>
    <xf numFmtId="0" fontId="31" fillId="12" borderId="97" xfId="0" applyFont="1" applyFill="1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24" fillId="3" borderId="55" xfId="3" applyFont="1" applyBorder="1" applyAlignment="1" applyProtection="1">
      <alignment horizontal="center" vertical="center"/>
      <protection locked="0"/>
    </xf>
    <xf numFmtId="0" fontId="36" fillId="9" borderId="14" xfId="7" applyNumberFormat="1" applyFont="1" applyFill="1" applyBorder="1" applyAlignment="1" applyProtection="1">
      <alignment horizontal="center" vertical="center" shrinkToFit="1"/>
    </xf>
    <xf numFmtId="176" fontId="36" fillId="9" borderId="14" xfId="7" applyNumberFormat="1" applyFont="1" applyFill="1" applyBorder="1" applyAlignment="1" applyProtection="1">
      <alignment horizontal="center" vertical="center" shrinkToFit="1"/>
    </xf>
    <xf numFmtId="0" fontId="27" fillId="11" borderId="97" xfId="7" applyFont="1" applyFill="1" applyBorder="1" applyAlignment="1" applyProtection="1">
      <alignment horizontal="center" vertical="center" wrapText="1"/>
    </xf>
    <xf numFmtId="0" fontId="36" fillId="9" borderId="96" xfId="7" applyNumberFormat="1" applyFont="1" applyFill="1" applyBorder="1" applyAlignment="1" applyProtection="1">
      <alignment horizontal="center" vertical="center" shrinkToFit="1"/>
    </xf>
    <xf numFmtId="176" fontId="36" fillId="9" borderId="96" xfId="7" applyNumberFormat="1" applyFont="1" applyFill="1" applyBorder="1" applyAlignment="1" applyProtection="1">
      <alignment horizontal="center" vertical="center" shrinkToFit="1"/>
    </xf>
    <xf numFmtId="176" fontId="35" fillId="16" borderId="97" xfId="7" applyNumberFormat="1" applyFont="1" applyFill="1" applyBorder="1" applyAlignment="1" applyProtection="1">
      <alignment horizontal="center" vertical="center" shrinkToFit="1"/>
    </xf>
    <xf numFmtId="0" fontId="37" fillId="18" borderId="115" xfId="0" applyFont="1" applyFill="1" applyBorder="1" applyAlignment="1">
      <alignment horizontal="center" vertical="center" shrinkToFit="1"/>
    </xf>
    <xf numFmtId="0" fontId="36" fillId="9" borderId="31" xfId="7" applyNumberFormat="1" applyFont="1" applyFill="1" applyBorder="1" applyAlignment="1" applyProtection="1">
      <alignment horizontal="center" vertical="center" shrinkToFit="1"/>
    </xf>
    <xf numFmtId="0" fontId="36" fillId="9" borderId="112" xfId="7" applyNumberFormat="1" applyFont="1" applyFill="1" applyBorder="1" applyAlignment="1" applyProtection="1">
      <alignment horizontal="center" vertical="center" shrinkToFit="1"/>
    </xf>
    <xf numFmtId="176" fontId="7" fillId="0" borderId="106" xfId="0" applyNumberFormat="1" applyFont="1" applyBorder="1" applyAlignment="1">
      <alignment horizontal="right" vertical="center"/>
    </xf>
    <xf numFmtId="176" fontId="7" fillId="0" borderId="11" xfId="0" applyNumberFormat="1" applyFont="1" applyBorder="1" applyAlignment="1">
      <alignment horizontal="right" vertical="center"/>
    </xf>
    <xf numFmtId="176" fontId="36" fillId="9" borderId="11" xfId="7" applyNumberFormat="1" applyFont="1" applyFill="1" applyBorder="1" applyAlignment="1" applyProtection="1">
      <alignment horizontal="center" vertical="center" shrinkToFit="1"/>
    </xf>
    <xf numFmtId="0" fontId="36" fillId="9" borderId="11" xfId="7" applyNumberFormat="1" applyFont="1" applyFill="1" applyBorder="1" applyAlignment="1" applyProtection="1">
      <alignment horizontal="center" vertical="center" shrinkToFit="1"/>
    </xf>
    <xf numFmtId="0" fontId="36" fillId="9" borderId="118" xfId="7" applyNumberFormat="1" applyFont="1" applyFill="1" applyBorder="1" applyAlignment="1" applyProtection="1">
      <alignment horizontal="center" vertical="center" shrinkToFit="1"/>
    </xf>
    <xf numFmtId="0" fontId="36" fillId="9" borderId="116" xfId="7" applyNumberFormat="1" applyFont="1" applyFill="1" applyBorder="1" applyAlignment="1" applyProtection="1">
      <alignment horizontal="center" vertical="center" shrinkToFit="1"/>
    </xf>
    <xf numFmtId="176" fontId="7" fillId="0" borderId="29" xfId="0" applyNumberFormat="1" applyFont="1" applyBorder="1" applyAlignment="1">
      <alignment horizontal="right" vertical="center"/>
    </xf>
    <xf numFmtId="176" fontId="7" fillId="0" borderId="96" xfId="0" applyNumberFormat="1" applyFont="1" applyBorder="1" applyAlignment="1">
      <alignment horizontal="right" vertical="center"/>
    </xf>
    <xf numFmtId="176" fontId="35" fillId="16" borderId="31" xfId="7" applyNumberFormat="1" applyFont="1" applyFill="1" applyBorder="1" applyAlignment="1" applyProtection="1">
      <alignment horizontal="center" vertical="center" shrinkToFit="1"/>
    </xf>
    <xf numFmtId="0" fontId="36" fillId="0" borderId="116" xfId="7" applyNumberFormat="1" applyFont="1" applyFill="1" applyBorder="1" applyAlignment="1" applyProtection="1">
      <alignment horizontal="center" vertical="center" shrinkToFit="1"/>
    </xf>
    <xf numFmtId="0" fontId="36" fillId="0" borderId="111" xfId="7" applyNumberFormat="1" applyFont="1" applyFill="1" applyBorder="1" applyAlignment="1" applyProtection="1">
      <alignment horizontal="center" vertical="center" shrinkToFit="1"/>
    </xf>
    <xf numFmtId="0" fontId="12" fillId="12" borderId="119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6" borderId="24" xfId="4" applyFont="1" applyFill="1" applyBorder="1" applyAlignment="1" applyProtection="1">
      <alignment horizontal="center" vertical="center" wrapText="1"/>
    </xf>
    <xf numFmtId="0" fontId="12" fillId="0" borderId="110" xfId="0" applyFont="1" applyBorder="1" applyAlignment="1" applyProtection="1">
      <alignment horizontal="center" vertical="center"/>
      <protection locked="0"/>
    </xf>
    <xf numFmtId="0" fontId="12" fillId="0" borderId="110" xfId="0" applyFont="1" applyBorder="1" applyAlignment="1" applyProtection="1">
      <alignment horizontal="center" vertical="center" shrinkToFit="1"/>
      <protection locked="0"/>
    </xf>
    <xf numFmtId="176" fontId="13" fillId="15" borderId="37" xfId="0" applyNumberFormat="1" applyFont="1" applyFill="1" applyBorder="1" applyAlignment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wrapText="1"/>
    </xf>
    <xf numFmtId="0" fontId="13" fillId="15" borderId="65" xfId="4" applyFont="1" applyFill="1" applyBorder="1" applyAlignment="1" applyProtection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0" fontId="13" fillId="15" borderId="40" xfId="5" applyFont="1" applyFill="1" applyBorder="1" applyAlignment="1" applyProtection="1">
      <alignment horizontal="center" vertical="center" wrapText="1"/>
    </xf>
    <xf numFmtId="176" fontId="13" fillId="15" borderId="38" xfId="0" applyNumberFormat="1" applyFont="1" applyFill="1" applyBorder="1" applyAlignment="1">
      <alignment horizontal="center" vertical="center" wrapText="1"/>
    </xf>
    <xf numFmtId="0" fontId="13" fillId="15" borderId="43" xfId="4" applyFont="1" applyFill="1" applyBorder="1" applyAlignment="1" applyProtection="1">
      <alignment horizontal="center" vertical="center" wrapText="1"/>
    </xf>
    <xf numFmtId="0" fontId="13" fillId="15" borderId="33" xfId="4" applyFont="1" applyFill="1" applyBorder="1" applyAlignment="1" applyProtection="1">
      <alignment horizontal="center" vertical="center" wrapText="1"/>
    </xf>
    <xf numFmtId="0" fontId="13" fillId="15" borderId="44" xfId="4" applyFont="1" applyFill="1" applyBorder="1" applyAlignment="1" applyProtection="1">
      <alignment horizontal="center" vertical="center" wrapText="1"/>
    </xf>
    <xf numFmtId="0" fontId="13" fillId="15" borderId="43" xfId="5" applyFont="1" applyFill="1" applyBorder="1" applyAlignment="1" applyProtection="1">
      <alignment horizontal="center" vertical="center" wrapText="1"/>
    </xf>
    <xf numFmtId="176" fontId="13" fillId="15" borderId="99" xfId="0" applyNumberFormat="1" applyFont="1" applyFill="1" applyBorder="1" applyAlignment="1">
      <alignment horizontal="center" vertical="center" wrapText="1"/>
    </xf>
    <xf numFmtId="0" fontId="13" fillId="15" borderId="45" xfId="4" applyFont="1" applyFill="1" applyBorder="1" applyAlignment="1" applyProtection="1">
      <alignment horizontal="center" vertical="center" wrapText="1"/>
    </xf>
    <xf numFmtId="0" fontId="13" fillId="15" borderId="46" xfId="4" applyFont="1" applyFill="1" applyBorder="1" applyAlignment="1" applyProtection="1">
      <alignment horizontal="center" vertical="center" wrapText="1"/>
    </xf>
    <xf numFmtId="0" fontId="13" fillId="15" borderId="47" xfId="4" applyFont="1" applyFill="1" applyBorder="1" applyAlignment="1" applyProtection="1">
      <alignment horizontal="center" vertical="center" wrapText="1"/>
    </xf>
    <xf numFmtId="176" fontId="13" fillId="15" borderId="39" xfId="0" applyNumberFormat="1" applyFont="1" applyFill="1" applyBorder="1" applyAlignment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176" fontId="13" fillId="15" borderId="79" xfId="0" applyNumberFormat="1" applyFont="1" applyFill="1" applyBorder="1" applyAlignment="1">
      <alignment horizontal="center" vertical="center" wrapText="1"/>
    </xf>
    <xf numFmtId="0" fontId="13" fillId="15" borderId="73" xfId="4" applyFont="1" applyFill="1" applyBorder="1" applyAlignment="1" applyProtection="1">
      <alignment horizontal="center" vertical="center" wrapText="1"/>
    </xf>
    <xf numFmtId="0" fontId="13" fillId="15" borderId="54" xfId="4" applyFont="1" applyFill="1" applyBorder="1" applyAlignment="1" applyProtection="1">
      <alignment horizontal="center" vertical="center" wrapText="1"/>
    </xf>
    <xf numFmtId="0" fontId="13" fillId="15" borderId="61" xfId="4" applyFont="1" applyFill="1" applyBorder="1" applyAlignment="1" applyProtection="1">
      <alignment horizontal="center" vertical="center" wrapText="1"/>
    </xf>
    <xf numFmtId="0" fontId="13" fillId="15" borderId="45" xfId="5" applyFont="1" applyFill="1" applyBorder="1" applyAlignment="1" applyProtection="1">
      <alignment horizontal="center" vertical="center" wrapText="1"/>
    </xf>
    <xf numFmtId="0" fontId="13" fillId="15" borderId="94" xfId="4" applyFont="1" applyFill="1" applyBorder="1" applyAlignment="1" applyProtection="1">
      <alignment horizontal="center" vertical="center" wrapText="1"/>
    </xf>
    <xf numFmtId="0" fontId="13" fillId="15" borderId="100" xfId="4" applyFont="1" applyFill="1" applyBorder="1" applyAlignment="1" applyProtection="1">
      <alignment horizontal="center" vertical="center" shrinkToFit="1"/>
    </xf>
    <xf numFmtId="0" fontId="13" fillId="15" borderId="38" xfId="4" applyFont="1" applyFill="1" applyBorder="1" applyAlignment="1" applyProtection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shrinkToFit="1"/>
    </xf>
    <xf numFmtId="0" fontId="13" fillId="15" borderId="16" xfId="4" applyFont="1" applyFill="1" applyBorder="1" applyAlignment="1" applyProtection="1">
      <alignment horizontal="center" vertical="center" shrinkToFit="1"/>
    </xf>
    <xf numFmtId="0" fontId="13" fillId="15" borderId="37" xfId="4" applyFont="1" applyFill="1" applyBorder="1" applyAlignment="1" applyProtection="1">
      <alignment horizontal="center" vertical="center" shrinkToFit="1"/>
    </xf>
    <xf numFmtId="0" fontId="13" fillId="15" borderId="37" xfId="4" applyFont="1" applyFill="1" applyBorder="1" applyAlignment="1" applyProtection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shrinkToFit="1"/>
    </xf>
    <xf numFmtId="0" fontId="13" fillId="15" borderId="99" xfId="4" applyFont="1" applyFill="1" applyBorder="1" applyAlignment="1" applyProtection="1">
      <alignment horizontal="center" vertical="center" wrapText="1"/>
    </xf>
    <xf numFmtId="0" fontId="22" fillId="0" borderId="0" xfId="0" applyFont="1" applyAlignment="1" applyProtection="1">
      <alignment horizontal="center" vertical="center"/>
      <protection locked="0"/>
    </xf>
    <xf numFmtId="0" fontId="13" fillId="15" borderId="99" xfId="4" applyFont="1" applyFill="1" applyBorder="1" applyAlignment="1" applyProtection="1">
      <alignment horizontal="center" vertical="center" shrinkToFit="1"/>
    </xf>
    <xf numFmtId="0" fontId="13" fillId="6" borderId="72" xfId="4" applyFont="1" applyFill="1" applyBorder="1" applyAlignment="1" applyProtection="1">
      <alignment horizontal="center" vertical="center" wrapText="1"/>
    </xf>
    <xf numFmtId="0" fontId="21" fillId="0" borderId="129" xfId="0" applyFont="1" applyBorder="1" applyAlignment="1" applyProtection="1">
      <alignment horizontal="center" vertical="center"/>
      <protection locked="0"/>
    </xf>
    <xf numFmtId="0" fontId="34" fillId="0" borderId="0" xfId="16" applyFont="1" applyAlignment="1">
      <alignment vertical="center"/>
    </xf>
    <xf numFmtId="0" fontId="16" fillId="0" borderId="0" xfId="16" applyFont="1" applyAlignment="1"/>
    <xf numFmtId="0" fontId="34" fillId="19" borderId="130" xfId="16" applyFont="1" applyFill="1" applyBorder="1" applyAlignment="1">
      <alignment horizontal="center" vertical="center"/>
    </xf>
    <xf numFmtId="0" fontId="34" fillId="0" borderId="131" xfId="16" applyFont="1" applyBorder="1" applyAlignment="1">
      <alignment vertical="center"/>
    </xf>
    <xf numFmtId="0" fontId="34" fillId="0" borderId="27" xfId="16" applyFont="1" applyBorder="1" applyAlignment="1">
      <alignment vertical="center"/>
    </xf>
    <xf numFmtId="0" fontId="34" fillId="0" borderId="24" xfId="16" applyFont="1" applyBorder="1" applyAlignment="1">
      <alignment vertical="center"/>
    </xf>
    <xf numFmtId="0" fontId="34" fillId="0" borderId="4" xfId="16" applyFont="1" applyBorder="1" applyAlignment="1">
      <alignment vertical="center"/>
    </xf>
    <xf numFmtId="0" fontId="34" fillId="0" borderId="133" xfId="16" applyFont="1" applyBorder="1" applyAlignment="1">
      <alignment vertical="center"/>
    </xf>
    <xf numFmtId="0" fontId="34" fillId="0" borderId="20" xfId="16" applyFont="1" applyBorder="1" applyAlignment="1">
      <alignment vertical="center"/>
    </xf>
    <xf numFmtId="0" fontId="34" fillId="0" borderId="6" xfId="16" applyFont="1" applyBorder="1" applyAlignment="1">
      <alignment vertical="center"/>
    </xf>
    <xf numFmtId="0" fontId="34" fillId="0" borderId="138" xfId="16" applyFont="1" applyBorder="1" applyAlignment="1">
      <alignment vertical="center"/>
    </xf>
    <xf numFmtId="0" fontId="34" fillId="0" borderId="3" xfId="16" applyFont="1" applyBorder="1" applyAlignment="1">
      <alignment vertical="center"/>
    </xf>
    <xf numFmtId="0" fontId="34" fillId="0" borderId="21" xfId="16" applyFont="1" applyBorder="1" applyAlignment="1">
      <alignment vertical="center"/>
    </xf>
    <xf numFmtId="0" fontId="34" fillId="0" borderId="18" xfId="16" applyFont="1" applyBorder="1" applyAlignment="1">
      <alignment vertical="center"/>
    </xf>
    <xf numFmtId="0" fontId="34" fillId="21" borderId="144" xfId="16" applyFont="1" applyFill="1" applyBorder="1" applyAlignment="1">
      <alignment horizontal="center" vertical="center" wrapText="1"/>
    </xf>
    <xf numFmtId="0" fontId="34" fillId="21" borderId="145" xfId="16" applyFont="1" applyFill="1" applyBorder="1" applyAlignment="1">
      <alignment horizontal="center" vertical="center" wrapText="1"/>
    </xf>
    <xf numFmtId="0" fontId="48" fillId="21" borderId="145" xfId="16" applyFont="1" applyFill="1" applyBorder="1" applyAlignment="1">
      <alignment horizontal="center" vertical="center" wrapText="1"/>
    </xf>
    <xf numFmtId="0" fontId="48" fillId="21" borderId="146" xfId="16" applyFont="1" applyFill="1" applyBorder="1" applyAlignment="1">
      <alignment horizontal="center" vertical="center" wrapText="1"/>
    </xf>
    <xf numFmtId="0" fontId="34" fillId="0" borderId="20" xfId="16" applyFont="1" applyBorder="1" applyAlignment="1">
      <alignment vertical="center" wrapText="1"/>
    </xf>
    <xf numFmtId="0" fontId="34" fillId="0" borderId="6" xfId="16" applyFont="1" applyBorder="1" applyAlignment="1">
      <alignment vertical="center" wrapText="1"/>
    </xf>
    <xf numFmtId="0" fontId="49" fillId="0" borderId="150" xfId="16" applyFont="1" applyBorder="1" applyAlignment="1">
      <alignment horizontal="center" vertical="center" wrapText="1"/>
    </xf>
    <xf numFmtId="0" fontId="49" fillId="0" borderId="152" xfId="16" applyFont="1" applyBorder="1" applyAlignment="1">
      <alignment horizontal="center" vertical="center" wrapText="1"/>
    </xf>
    <xf numFmtId="0" fontId="49" fillId="0" borderId="156" xfId="16" applyFont="1" applyBorder="1" applyAlignment="1">
      <alignment horizontal="center" vertical="center" wrapText="1"/>
    </xf>
    <xf numFmtId="0" fontId="49" fillId="0" borderId="157" xfId="16" applyFont="1" applyBorder="1" applyAlignment="1">
      <alignment horizontal="center" vertical="center" wrapText="1"/>
    </xf>
    <xf numFmtId="0" fontId="49" fillId="0" borderId="160" xfId="16" applyFont="1" applyBorder="1" applyAlignment="1">
      <alignment horizontal="center" vertical="center" wrapText="1"/>
    </xf>
    <xf numFmtId="0" fontId="49" fillId="0" borderId="161" xfId="16" applyFont="1" applyBorder="1" applyAlignment="1">
      <alignment horizontal="center" vertical="center" wrapText="1"/>
    </xf>
    <xf numFmtId="0" fontId="49" fillId="0" borderId="163" xfId="16" applyFont="1" applyBorder="1" applyAlignment="1">
      <alignment horizontal="center" vertical="center" wrapText="1"/>
    </xf>
    <xf numFmtId="0" fontId="34" fillId="0" borderId="163" xfId="16" applyFont="1" applyBorder="1" applyAlignment="1">
      <alignment horizontal="center" vertical="center" wrapText="1"/>
    </xf>
    <xf numFmtId="0" fontId="49" fillId="0" borderId="164" xfId="16" applyFont="1" applyBorder="1" applyAlignment="1">
      <alignment horizontal="center" vertical="center" wrapText="1"/>
    </xf>
    <xf numFmtId="0" fontId="34" fillId="0" borderId="157" xfId="16" applyFont="1" applyBorder="1" applyAlignment="1">
      <alignment horizontal="center" vertical="center" wrapText="1"/>
    </xf>
    <xf numFmtId="0" fontId="34" fillId="0" borderId="160" xfId="16" applyFont="1" applyBorder="1" applyAlignment="1">
      <alignment horizontal="center" vertical="center" wrapText="1"/>
    </xf>
    <xf numFmtId="0" fontId="49" fillId="0" borderId="136" xfId="16" applyFont="1" applyBorder="1" applyAlignment="1">
      <alignment horizontal="center" vertical="center" wrapText="1"/>
    </xf>
    <xf numFmtId="0" fontId="51" fillId="21" borderId="136" xfId="16" applyFont="1" applyFill="1" applyBorder="1" applyAlignment="1">
      <alignment horizontal="center" vertical="center" wrapText="1"/>
    </xf>
    <xf numFmtId="0" fontId="52" fillId="0" borderId="157" xfId="16" applyFont="1" applyBorder="1" applyAlignment="1">
      <alignment horizontal="center" vertical="center" wrapText="1"/>
    </xf>
    <xf numFmtId="0" fontId="52" fillId="0" borderId="135" xfId="16" applyFont="1" applyBorder="1" applyAlignment="1">
      <alignment horizontal="center" vertical="center" wrapText="1"/>
    </xf>
    <xf numFmtId="0" fontId="51" fillId="0" borderId="136" xfId="16" applyFont="1" applyBorder="1" applyAlignment="1">
      <alignment horizontal="center" vertical="center" wrapText="1"/>
    </xf>
    <xf numFmtId="0" fontId="34" fillId="0" borderId="0" xfId="16" applyFont="1" applyBorder="1" applyAlignment="1">
      <alignment vertical="center"/>
    </xf>
    <xf numFmtId="0" fontId="53" fillId="0" borderId="0" xfId="16" applyFont="1" applyBorder="1" applyAlignment="1">
      <alignment horizontal="center" vertical="center"/>
    </xf>
    <xf numFmtId="0" fontId="47" fillId="0" borderId="136" xfId="16" applyFont="1" applyBorder="1" applyAlignment="1">
      <alignment horizontal="center" vertical="center"/>
    </xf>
    <xf numFmtId="0" fontId="47" fillId="20" borderId="157" xfId="16" applyFont="1" applyFill="1" applyBorder="1" applyAlignment="1">
      <alignment horizontal="center" vertical="center"/>
    </xf>
    <xf numFmtId="0" fontId="47" fillId="20" borderId="135" xfId="16" applyFont="1" applyFill="1" applyBorder="1" applyAlignment="1">
      <alignment horizontal="center" vertical="center" wrapText="1"/>
    </xf>
    <xf numFmtId="0" fontId="53" fillId="0" borderId="157" xfId="16" applyFont="1" applyBorder="1" applyAlignment="1">
      <alignment horizontal="center" vertical="center" wrapText="1"/>
    </xf>
    <xf numFmtId="0" fontId="53" fillId="0" borderId="136" xfId="16" applyFont="1" applyBorder="1" applyAlignment="1">
      <alignment horizontal="center" vertical="center" wrapText="1"/>
    </xf>
    <xf numFmtId="0" fontId="47" fillId="0" borderId="157" xfId="16" applyFont="1" applyBorder="1" applyAlignment="1">
      <alignment horizontal="center" vertical="center" wrapText="1"/>
    </xf>
    <xf numFmtId="0" fontId="47" fillId="0" borderId="136" xfId="16" applyFont="1" applyBorder="1" applyAlignment="1">
      <alignment horizontal="center" vertical="center" wrapText="1"/>
    </xf>
    <xf numFmtId="0" fontId="34" fillId="0" borderId="157" xfId="16" applyFont="1" applyBorder="1" applyAlignment="1">
      <alignment vertical="center" wrapText="1"/>
    </xf>
    <xf numFmtId="0" fontId="34" fillId="0" borderId="0" xfId="16" applyFont="1" applyBorder="1" applyAlignment="1">
      <alignment vertical="center" wrapText="1"/>
    </xf>
    <xf numFmtId="0" fontId="47" fillId="20" borderId="136" xfId="16" applyFont="1" applyFill="1" applyBorder="1" applyAlignment="1">
      <alignment horizontal="center" vertical="center"/>
    </xf>
    <xf numFmtId="0" fontId="47" fillId="0" borderId="135" xfId="16" applyFont="1" applyBorder="1" applyAlignment="1">
      <alignment horizontal="center" vertical="center"/>
    </xf>
    <xf numFmtId="0" fontId="47" fillId="0" borderId="157" xfId="16" applyFont="1" applyBorder="1" applyAlignment="1">
      <alignment horizontal="center" vertical="center"/>
    </xf>
    <xf numFmtId="0" fontId="54" fillId="0" borderId="157" xfId="16" applyFont="1" applyBorder="1" applyAlignment="1">
      <alignment horizontal="center" vertical="center"/>
    </xf>
    <xf numFmtId="0" fontId="54" fillId="0" borderId="136" xfId="16" applyFont="1" applyBorder="1" applyAlignment="1">
      <alignment horizontal="center" vertical="center"/>
    </xf>
    <xf numFmtId="0" fontId="34" fillId="0" borderId="143" xfId="16" applyFont="1" applyBorder="1" applyAlignment="1">
      <alignment vertical="center"/>
    </xf>
    <xf numFmtId="0" fontId="34" fillId="0" borderId="141" xfId="16" applyFont="1" applyBorder="1" applyAlignment="1">
      <alignment vertical="center"/>
    </xf>
    <xf numFmtId="0" fontId="34" fillId="0" borderId="168" xfId="16" applyFont="1" applyBorder="1" applyAlignment="1">
      <alignment vertical="center"/>
    </xf>
    <xf numFmtId="0" fontId="34" fillId="0" borderId="169" xfId="16" applyFont="1" applyBorder="1" applyAlignment="1">
      <alignment vertical="center"/>
    </xf>
    <xf numFmtId="0" fontId="34" fillId="0" borderId="115" xfId="16" applyFont="1" applyBorder="1" applyAlignment="1">
      <alignment vertical="center"/>
    </xf>
    <xf numFmtId="0" fontId="34" fillId="0" borderId="139" xfId="16" applyFont="1" applyBorder="1" applyAlignment="1">
      <alignment vertical="center"/>
    </xf>
    <xf numFmtId="0" fontId="34" fillId="0" borderId="171" xfId="16" applyFont="1" applyBorder="1" applyAlignment="1">
      <alignment vertical="center"/>
    </xf>
    <xf numFmtId="0" fontId="34" fillId="0" borderId="172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6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13" fillId="15" borderId="173" xfId="4" applyFont="1" applyFill="1" applyBorder="1" applyAlignment="1" applyProtection="1">
      <alignment horizontal="center" vertical="center" wrapText="1"/>
    </xf>
    <xf numFmtId="0" fontId="13" fillId="15" borderId="174" xfId="4" applyFont="1" applyFill="1" applyBorder="1" applyAlignment="1" applyProtection="1">
      <alignment horizontal="center" vertical="center" wrapText="1"/>
    </xf>
    <xf numFmtId="0" fontId="13" fillId="15" borderId="175" xfId="4" applyFont="1" applyFill="1" applyBorder="1" applyAlignment="1" applyProtection="1">
      <alignment horizontal="center" vertical="center" wrapText="1"/>
    </xf>
    <xf numFmtId="0" fontId="0" fillId="0" borderId="107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0" fillId="0" borderId="108" xfId="0" applyBorder="1" applyAlignment="1" applyProtection="1">
      <alignment horizontal="center" vertical="center"/>
      <protection locked="0"/>
    </xf>
    <xf numFmtId="176" fontId="13" fillId="15" borderId="100" xfId="0" applyNumberFormat="1" applyFont="1" applyFill="1" applyBorder="1" applyAlignment="1">
      <alignment horizontal="center" vertical="center" wrapText="1"/>
    </xf>
    <xf numFmtId="0" fontId="18" fillId="16" borderId="97" xfId="7" applyNumberFormat="1" applyFont="1" applyFill="1" applyBorder="1" applyAlignment="1" applyProtection="1">
      <alignment horizontal="center" vertical="center" shrinkToFit="1"/>
    </xf>
    <xf numFmtId="0" fontId="35" fillId="16" borderId="97" xfId="7" applyNumberFormat="1" applyFont="1" applyFill="1" applyBorder="1" applyAlignment="1" applyProtection="1">
      <alignment horizontal="center" vertical="center" shrinkToFit="1"/>
    </xf>
    <xf numFmtId="0" fontId="19" fillId="0" borderId="0" xfId="0" applyFont="1" applyAlignment="1">
      <alignment horizontal="center" vertical="center"/>
    </xf>
    <xf numFmtId="176" fontId="35" fillId="16" borderId="30" xfId="7" applyNumberFormat="1" applyFont="1" applyFill="1" applyBorder="1" applyAlignment="1" applyProtection="1">
      <alignment horizontal="right" vertical="center" shrinkToFit="1"/>
    </xf>
    <xf numFmtId="176" fontId="35" fillId="16" borderId="97" xfId="7" applyNumberFormat="1" applyFont="1" applyFill="1" applyBorder="1" applyAlignment="1" applyProtection="1">
      <alignment horizontal="right" vertical="center" shrinkToFit="1"/>
    </xf>
    <xf numFmtId="0" fontId="59" fillId="9" borderId="159" xfId="0" applyFont="1" applyFill="1" applyBorder="1" applyAlignment="1">
      <alignment horizontal="center" vertical="center" wrapText="1"/>
    </xf>
    <xf numFmtId="0" fontId="60" fillId="0" borderId="142" xfId="0" applyFont="1" applyBorder="1" applyAlignment="1">
      <alignment horizontal="center" vertical="center" wrapText="1"/>
    </xf>
    <xf numFmtId="0" fontId="59" fillId="9" borderId="157" xfId="0" applyFont="1" applyFill="1" applyBorder="1" applyAlignment="1">
      <alignment horizontal="center" vertical="center" wrapText="1"/>
    </xf>
    <xf numFmtId="0" fontId="60" fillId="0" borderId="135" xfId="0" applyFont="1" applyBorder="1" applyAlignment="1">
      <alignment horizontal="center" vertical="center" wrapText="1"/>
    </xf>
    <xf numFmtId="0" fontId="36" fillId="9" borderId="117" xfId="7" applyNumberFormat="1" applyFont="1" applyFill="1" applyBorder="1" applyAlignment="1" applyProtection="1">
      <alignment horizontal="center" vertical="center" shrinkToFit="1"/>
    </xf>
    <xf numFmtId="176" fontId="35" fillId="16" borderId="31" xfId="7" applyNumberFormat="1" applyFont="1" applyFill="1" applyBorder="1" applyAlignment="1" applyProtection="1">
      <alignment horizontal="right" vertical="center" shrinkToFit="1"/>
    </xf>
    <xf numFmtId="0" fontId="36" fillId="9" borderId="176" xfId="7" applyNumberFormat="1" applyFont="1" applyFill="1" applyBorder="1" applyAlignment="1" applyProtection="1">
      <alignment horizontal="center" vertical="center" shrinkToFit="1"/>
    </xf>
    <xf numFmtId="0" fontId="36" fillId="9" borderId="9" xfId="7" applyNumberFormat="1" applyFont="1" applyFill="1" applyBorder="1" applyAlignment="1" applyProtection="1">
      <alignment horizontal="center" vertical="center" shrinkToFit="1"/>
    </xf>
    <xf numFmtId="176" fontId="36" fillId="9" borderId="9" xfId="7" applyNumberFormat="1" applyFont="1" applyFill="1" applyBorder="1" applyAlignment="1" applyProtection="1">
      <alignment horizontal="center" vertical="center" shrinkToFit="1"/>
    </xf>
    <xf numFmtId="0" fontId="61" fillId="9" borderId="157" xfId="0" applyFont="1" applyFill="1" applyBorder="1" applyAlignment="1">
      <alignment horizontal="center" vertical="center" wrapText="1"/>
    </xf>
    <xf numFmtId="0" fontId="61" fillId="9" borderId="159" xfId="0" applyFont="1" applyFill="1" applyBorder="1" applyAlignment="1">
      <alignment horizontal="center" vertical="center" wrapText="1"/>
    </xf>
    <xf numFmtId="0" fontId="13" fillId="15" borderId="74" xfId="4" applyFont="1" applyFill="1" applyBorder="1" applyAlignment="1" applyProtection="1">
      <alignment horizontal="center" vertical="center" wrapText="1"/>
    </xf>
    <xf numFmtId="0" fontId="13" fillId="15" borderId="77" xfId="4" applyFont="1" applyFill="1" applyBorder="1" applyAlignment="1" applyProtection="1">
      <alignment horizontal="center" vertical="center" wrapText="1"/>
    </xf>
    <xf numFmtId="0" fontId="13" fillId="15" borderId="61" xfId="4" applyFont="1" applyFill="1" applyBorder="1" applyAlignment="1" applyProtection="1">
      <alignment horizontal="center" vertical="center" wrapText="1"/>
    </xf>
    <xf numFmtId="0" fontId="13" fillId="15" borderId="56" xfId="4" applyFont="1" applyFill="1" applyBorder="1" applyAlignment="1" applyProtection="1">
      <alignment horizontal="center" vertical="center" wrapText="1"/>
    </xf>
    <xf numFmtId="0" fontId="13" fillId="0" borderId="57" xfId="4" applyFont="1" applyFill="1" applyBorder="1" applyAlignment="1" applyProtection="1">
      <alignment horizontal="center" vertical="center" wrapText="1"/>
    </xf>
    <xf numFmtId="0" fontId="13" fillId="15" borderId="58" xfId="4" applyFont="1" applyFill="1" applyBorder="1" applyAlignment="1" applyProtection="1">
      <alignment horizontal="center" vertical="center" wrapText="1"/>
    </xf>
    <xf numFmtId="0" fontId="13" fillId="15" borderId="68" xfId="4" applyFont="1" applyFill="1" applyBorder="1" applyAlignment="1" applyProtection="1">
      <alignment horizontal="center" vertical="center" wrapText="1"/>
    </xf>
    <xf numFmtId="0" fontId="13" fillId="0" borderId="101" xfId="4" applyFont="1" applyFill="1" applyBorder="1" applyAlignment="1" applyProtection="1">
      <alignment horizontal="center" vertical="center" wrapText="1"/>
    </xf>
    <xf numFmtId="0" fontId="13" fillId="15" borderId="102" xfId="4" applyFont="1" applyFill="1" applyBorder="1" applyAlignment="1" applyProtection="1">
      <alignment horizontal="center" vertical="center" wrapText="1"/>
    </xf>
    <xf numFmtId="0" fontId="13" fillId="0" borderId="33" xfId="4" applyFont="1" applyFill="1" applyBorder="1" applyAlignment="1" applyProtection="1">
      <alignment horizontal="center" vertical="center" wrapText="1"/>
    </xf>
    <xf numFmtId="0" fontId="13" fillId="0" borderId="65" xfId="4" applyFont="1" applyFill="1" applyBorder="1" applyAlignment="1" applyProtection="1">
      <alignment vertical="center" wrapText="1"/>
    </xf>
    <xf numFmtId="0" fontId="13" fillId="0" borderId="54" xfId="4" applyFont="1" applyFill="1" applyBorder="1" applyAlignment="1" applyProtection="1">
      <alignment vertical="center" wrapText="1"/>
    </xf>
    <xf numFmtId="0" fontId="13" fillId="0" borderId="41" xfId="4" applyFont="1" applyFill="1" applyBorder="1" applyAlignment="1" applyProtection="1">
      <alignment vertical="center" wrapText="1"/>
    </xf>
    <xf numFmtId="0" fontId="13" fillId="0" borderId="33" xfId="4" applyFont="1" applyFill="1" applyBorder="1" applyAlignment="1" applyProtection="1">
      <alignment vertical="center" wrapText="1"/>
    </xf>
    <xf numFmtId="0" fontId="13" fillId="15" borderId="48" xfId="5" applyFont="1" applyFill="1" applyBorder="1" applyAlignment="1" applyProtection="1">
      <alignment horizontal="center" vertical="center" wrapText="1"/>
    </xf>
    <xf numFmtId="0" fontId="13" fillId="15" borderId="59" xfId="5" applyFont="1" applyFill="1" applyBorder="1" applyAlignment="1" applyProtection="1">
      <alignment horizontal="center" vertical="center" wrapText="1"/>
    </xf>
    <xf numFmtId="0" fontId="13" fillId="15" borderId="49" xfId="5" applyFont="1" applyFill="1" applyBorder="1" applyAlignment="1" applyProtection="1">
      <alignment horizontal="center" vertical="center" wrapText="1"/>
    </xf>
    <xf numFmtId="0" fontId="13" fillId="15" borderId="53" xfId="5" applyFont="1" applyFill="1" applyBorder="1" applyAlignment="1" applyProtection="1">
      <alignment horizontal="center" vertical="center" wrapText="1"/>
    </xf>
    <xf numFmtId="0" fontId="13" fillId="15" borderId="18" xfId="5" applyFont="1" applyFill="1" applyBorder="1" applyAlignment="1" applyProtection="1">
      <alignment horizontal="center" vertical="center" wrapText="1"/>
    </xf>
    <xf numFmtId="0" fontId="13" fillId="15" borderId="21" xfId="5" applyFont="1" applyFill="1" applyBorder="1" applyAlignment="1" applyProtection="1">
      <alignment horizontal="center" vertical="center" wrapText="1"/>
    </xf>
    <xf numFmtId="0" fontId="13" fillId="6" borderId="13" xfId="4" applyFont="1" applyFill="1" applyBorder="1" applyAlignment="1" applyProtection="1">
      <alignment horizontal="center" vertical="center" wrapText="1"/>
    </xf>
    <xf numFmtId="0" fontId="13" fillId="6" borderId="16" xfId="4" applyFont="1" applyFill="1" applyBorder="1" applyAlignment="1" applyProtection="1">
      <alignment horizontal="center" vertical="center" wrapText="1"/>
    </xf>
    <xf numFmtId="0" fontId="13" fillId="6" borderId="79" xfId="4" applyFont="1" applyFill="1" applyBorder="1" applyAlignment="1" applyProtection="1">
      <alignment horizontal="center" vertical="center" wrapText="1"/>
    </xf>
    <xf numFmtId="0" fontId="13" fillId="0" borderId="128" xfId="4" applyFont="1" applyFill="1" applyBorder="1" applyAlignment="1" applyProtection="1">
      <alignment horizontal="center" vertical="center" wrapText="1"/>
      <protection locked="0"/>
    </xf>
    <xf numFmtId="0" fontId="13" fillId="0" borderId="67" xfId="4" applyFont="1" applyFill="1" applyBorder="1" applyAlignment="1" applyProtection="1">
      <alignment horizontal="center" vertical="center" wrapText="1"/>
      <protection locked="0"/>
    </xf>
    <xf numFmtId="0" fontId="13" fillId="0" borderId="80" xfId="4" applyFont="1" applyFill="1" applyBorder="1" applyAlignment="1" applyProtection="1">
      <alignment horizontal="center" vertical="center" wrapText="1"/>
      <protection locked="0"/>
    </xf>
    <xf numFmtId="0" fontId="13" fillId="0" borderId="60" xfId="4" applyFont="1" applyFill="1" applyBorder="1" applyAlignment="1" applyProtection="1">
      <alignment horizontal="center" vertical="center" wrapText="1"/>
      <protection locked="0"/>
    </xf>
    <xf numFmtId="0" fontId="13" fillId="0" borderId="4" xfId="4" applyFont="1" applyFill="1" applyBorder="1" applyAlignment="1" applyProtection="1">
      <alignment horizontal="center" vertical="center" wrapText="1"/>
      <protection locked="0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35" xfId="4" applyFont="1" applyFill="1" applyBorder="1" applyAlignment="1" applyProtection="1">
      <alignment horizontal="center" vertical="center" wrapText="1"/>
      <protection locked="0"/>
    </xf>
    <xf numFmtId="0" fontId="13" fillId="0" borderId="6" xfId="4" applyFont="1" applyFill="1" applyBorder="1" applyAlignment="1" applyProtection="1">
      <alignment horizontal="center" vertical="center" wrapText="1"/>
      <protection locked="0"/>
    </xf>
    <xf numFmtId="0" fontId="13" fillId="0" borderId="90" xfId="4" applyFont="1" applyFill="1" applyBorder="1" applyAlignment="1" applyProtection="1">
      <alignment horizontal="center" vertical="center" wrapText="1"/>
      <protection locked="0"/>
    </xf>
    <xf numFmtId="0" fontId="13" fillId="0" borderId="55" xfId="4" applyFont="1" applyFill="1" applyBorder="1" applyAlignment="1" applyProtection="1">
      <alignment horizontal="center" vertical="center" wrapText="1"/>
      <protection locked="0"/>
    </xf>
    <xf numFmtId="0" fontId="13" fillId="0" borderId="51" xfId="4" applyFont="1" applyFill="1" applyBorder="1" applyAlignment="1" applyProtection="1">
      <alignment horizontal="center" vertical="center" wrapText="1"/>
      <protection locked="0"/>
    </xf>
    <xf numFmtId="0" fontId="13" fillId="0" borderId="66" xfId="4" applyFont="1" applyFill="1" applyBorder="1" applyAlignment="1" applyProtection="1">
      <alignment horizontal="center" vertical="center" wrapText="1"/>
      <protection locked="0"/>
    </xf>
    <xf numFmtId="0" fontId="13" fillId="0" borderId="127" xfId="4" applyFont="1" applyFill="1" applyBorder="1" applyAlignment="1" applyProtection="1">
      <alignment horizontal="center" vertical="center" wrapText="1"/>
      <protection locked="0"/>
    </xf>
    <xf numFmtId="0" fontId="13" fillId="0" borderId="34" xfId="4" applyFont="1" applyFill="1" applyBorder="1" applyAlignment="1" applyProtection="1">
      <alignment horizontal="center" vertical="center" wrapText="1"/>
      <protection locked="0"/>
    </xf>
    <xf numFmtId="0" fontId="13" fillId="0" borderId="122" xfId="4" applyFont="1" applyFill="1" applyBorder="1" applyAlignment="1" applyProtection="1">
      <alignment horizontal="center" vertical="center" wrapText="1"/>
      <protection locked="0"/>
    </xf>
    <xf numFmtId="0" fontId="13" fillId="0" borderId="62" xfId="4" applyFont="1" applyFill="1" applyBorder="1" applyAlignment="1" applyProtection="1">
      <alignment horizontal="center" vertical="center" wrapText="1"/>
      <protection locked="0"/>
    </xf>
    <xf numFmtId="0" fontId="13" fillId="0" borderId="89" xfId="4" applyFont="1" applyFill="1" applyBorder="1" applyAlignment="1" applyProtection="1">
      <alignment horizontal="center" vertical="center" wrapText="1"/>
      <protection locked="0"/>
    </xf>
    <xf numFmtId="0" fontId="13" fillId="0" borderId="121" xfId="4" quotePrefix="1" applyFont="1" applyFill="1" applyBorder="1" applyAlignment="1" applyProtection="1">
      <alignment horizontal="center" vertical="center" wrapText="1"/>
      <protection locked="0"/>
    </xf>
    <xf numFmtId="0" fontId="13" fillId="0" borderId="78" xfId="4" quotePrefix="1" applyFont="1" applyFill="1" applyBorder="1" applyAlignment="1" applyProtection="1">
      <alignment horizontal="center" vertical="center" wrapText="1"/>
      <protection locked="0"/>
    </xf>
    <xf numFmtId="0" fontId="13" fillId="0" borderId="70" xfId="4" quotePrefix="1" applyFont="1" applyFill="1" applyBorder="1" applyAlignment="1" applyProtection="1">
      <alignment horizontal="center" vertical="center" wrapText="1"/>
      <protection locked="0"/>
    </xf>
    <xf numFmtId="0" fontId="13" fillId="0" borderId="120" xfId="4" quotePrefix="1" applyFont="1" applyFill="1" applyBorder="1" applyAlignment="1" applyProtection="1">
      <alignment horizontal="center" vertical="center" wrapText="1"/>
      <protection locked="0"/>
    </xf>
    <xf numFmtId="0" fontId="13" fillId="0" borderId="69" xfId="4" quotePrefix="1" applyFont="1" applyFill="1" applyBorder="1" applyAlignment="1" applyProtection="1">
      <alignment horizontal="center" vertical="center" wrapText="1"/>
      <protection locked="0"/>
    </xf>
    <xf numFmtId="0" fontId="13" fillId="0" borderId="123" xfId="4" quotePrefix="1" applyFont="1" applyFill="1" applyBorder="1" applyAlignment="1" applyProtection="1">
      <alignment horizontal="center" vertical="center" wrapText="1"/>
      <protection locked="0"/>
    </xf>
    <xf numFmtId="0" fontId="13" fillId="0" borderId="35" xfId="4" quotePrefix="1" applyFont="1" applyFill="1" applyBorder="1" applyAlignment="1" applyProtection="1">
      <alignment horizontal="center" vertical="center" wrapText="1"/>
      <protection locked="0"/>
    </xf>
    <xf numFmtId="0" fontId="13" fillId="0" borderId="80" xfId="4" quotePrefix="1" applyFont="1" applyFill="1" applyBorder="1" applyAlignment="1" applyProtection="1">
      <alignment horizontal="center" vertical="center" wrapText="1"/>
      <protection locked="0"/>
    </xf>
    <xf numFmtId="0" fontId="13" fillId="0" borderId="3" xfId="4" quotePrefix="1" applyFont="1" applyFill="1" applyBorder="1" applyAlignment="1" applyProtection="1">
      <alignment horizontal="center" vertical="center" wrapText="1"/>
      <protection locked="0"/>
    </xf>
    <xf numFmtId="0" fontId="13" fillId="0" borderId="34" xfId="4" quotePrefix="1" applyFont="1" applyFill="1" applyBorder="1" applyAlignment="1" applyProtection="1">
      <alignment horizontal="center" vertical="center" wrapText="1"/>
      <protection locked="0"/>
    </xf>
    <xf numFmtId="0" fontId="13" fillId="0" borderId="122" xfId="4" quotePrefix="1" applyFont="1" applyFill="1" applyBorder="1" applyAlignment="1" applyProtection="1">
      <alignment horizontal="center" vertical="center" wrapText="1"/>
      <protection locked="0"/>
    </xf>
    <xf numFmtId="0" fontId="13" fillId="0" borderId="124" xfId="4" quotePrefix="1" applyFont="1" applyFill="1" applyBorder="1" applyAlignment="1" applyProtection="1">
      <alignment horizontal="center" vertical="center" wrapText="1"/>
      <protection locked="0"/>
    </xf>
    <xf numFmtId="0" fontId="13" fillId="0" borderId="125" xfId="4" quotePrefix="1" applyFont="1" applyFill="1" applyBorder="1" applyAlignment="1" applyProtection="1">
      <alignment horizontal="center" vertical="center" wrapText="1"/>
      <protection locked="0"/>
    </xf>
    <xf numFmtId="0" fontId="13" fillId="0" borderId="121" xfId="4" applyFont="1" applyFill="1" applyBorder="1" applyAlignment="1" applyProtection="1">
      <alignment horizontal="center" vertical="center" wrapText="1"/>
      <protection locked="0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0" borderId="19" xfId="4" applyFont="1" applyFill="1" applyBorder="1" applyAlignment="1" applyProtection="1">
      <alignment horizontal="center" vertical="center" wrapText="1"/>
      <protection locked="0"/>
    </xf>
    <xf numFmtId="0" fontId="13" fillId="0" borderId="123" xfId="4" applyFont="1" applyFill="1" applyBorder="1" applyAlignment="1" applyProtection="1">
      <alignment horizontal="center" vertical="center" wrapText="1"/>
      <protection locked="0"/>
    </xf>
    <xf numFmtId="0" fontId="13" fillId="0" borderId="53" xfId="4" applyFont="1" applyFill="1" applyBorder="1" applyAlignment="1" applyProtection="1">
      <alignment horizontal="center" vertical="center" wrapText="1"/>
      <protection locked="0"/>
    </xf>
    <xf numFmtId="0" fontId="13" fillId="0" borderId="49" xfId="2" applyFont="1" applyBorder="1" applyAlignment="1" applyProtection="1">
      <alignment horizontal="center" vertical="center" wrapText="1"/>
      <protection locked="0"/>
    </xf>
    <xf numFmtId="0" fontId="13" fillId="0" borderId="53" xfId="2" applyFont="1" applyBorder="1" applyAlignment="1" applyProtection="1">
      <alignment horizontal="center" vertical="center" wrapText="1"/>
      <protection locked="0"/>
    </xf>
    <xf numFmtId="176" fontId="13" fillId="15" borderId="23" xfId="0" applyNumberFormat="1" applyFont="1" applyFill="1" applyBorder="1" applyAlignment="1">
      <alignment horizontal="center" vertical="center" wrapText="1"/>
    </xf>
    <xf numFmtId="176" fontId="13" fillId="15" borderId="28" xfId="0" applyNumberFormat="1" applyFont="1" applyFill="1" applyBorder="1" applyAlignment="1">
      <alignment horizontal="center" vertical="center" wrapText="1"/>
    </xf>
    <xf numFmtId="0" fontId="0" fillId="0" borderId="97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28" xfId="6" applyFont="1" applyFill="1" applyBorder="1" applyAlignment="1" applyProtection="1">
      <alignment horizontal="center" vertical="center" wrapText="1"/>
    </xf>
    <xf numFmtId="0" fontId="13" fillId="10" borderId="109" xfId="6" applyFont="1" applyFill="1" applyBorder="1" applyAlignment="1" applyProtection="1">
      <alignment horizontal="center" vertical="center" wrapText="1"/>
    </xf>
    <xf numFmtId="0" fontId="13" fillId="10" borderId="15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55" xfId="6" applyFont="1" applyFill="1" applyBorder="1" applyAlignment="1" applyProtection="1">
      <alignment horizontal="center" vertical="center" wrapText="1"/>
    </xf>
    <xf numFmtId="0" fontId="13" fillId="15" borderId="71" xfId="6" applyFont="1" applyFill="1" applyBorder="1" applyAlignment="1" applyProtection="1">
      <alignment horizontal="center" vertical="center" wrapText="1"/>
    </xf>
    <xf numFmtId="0" fontId="13" fillId="15" borderId="52" xfId="6" applyFont="1" applyFill="1" applyBorder="1" applyAlignment="1" applyProtection="1">
      <alignment horizontal="center" vertical="center" wrapText="1"/>
    </xf>
    <xf numFmtId="0" fontId="13" fillId="15" borderId="55" xfId="4" applyFont="1" applyFill="1" applyBorder="1" applyAlignment="1" applyProtection="1">
      <alignment horizontal="center" vertical="center" wrapText="1"/>
    </xf>
    <xf numFmtId="0" fontId="13" fillId="15" borderId="51" xfId="4" applyFont="1" applyFill="1" applyBorder="1" applyAlignment="1" applyProtection="1">
      <alignment horizontal="center" vertical="center" wrapText="1"/>
    </xf>
    <xf numFmtId="0" fontId="13" fillId="15" borderId="124" xfId="4" applyFont="1" applyFill="1" applyBorder="1" applyAlignment="1" applyProtection="1">
      <alignment horizontal="center" vertical="center" wrapText="1"/>
    </xf>
    <xf numFmtId="0" fontId="13" fillId="15" borderId="125" xfId="4" applyFont="1" applyFill="1" applyBorder="1" applyAlignment="1" applyProtection="1">
      <alignment horizontal="center" vertical="center" wrapText="1"/>
    </xf>
    <xf numFmtId="0" fontId="13" fillId="15" borderId="126" xfId="4" applyFont="1" applyFill="1" applyBorder="1" applyAlignment="1" applyProtection="1">
      <alignment horizontal="center" vertical="center" wrapText="1"/>
    </xf>
    <xf numFmtId="0" fontId="13" fillId="15" borderId="52" xfId="4" applyFont="1" applyFill="1" applyBorder="1" applyAlignment="1" applyProtection="1">
      <alignment horizontal="center" vertical="center" wrapText="1"/>
    </xf>
    <xf numFmtId="0" fontId="22" fillId="13" borderId="23" xfId="0" applyFont="1" applyFill="1" applyBorder="1" applyAlignment="1" applyProtection="1">
      <alignment horizontal="center" vertical="center"/>
      <protection locked="0"/>
    </xf>
    <xf numFmtId="0" fontId="22" fillId="13" borderId="28" xfId="0" applyFont="1" applyFill="1" applyBorder="1" applyAlignment="1" applyProtection="1">
      <alignment horizontal="center" vertical="center"/>
      <protection locked="0"/>
    </xf>
    <xf numFmtId="0" fontId="13" fillId="15" borderId="49" xfId="6" applyFont="1" applyFill="1" applyBorder="1" applyAlignment="1" applyProtection="1">
      <alignment horizontal="center" vertical="center" wrapText="1"/>
    </xf>
    <xf numFmtId="0" fontId="13" fillId="15" borderId="69" xfId="6" applyFont="1" applyFill="1" applyBorder="1" applyAlignment="1" applyProtection="1">
      <alignment horizontal="center" vertical="center" wrapText="1"/>
    </xf>
    <xf numFmtId="0" fontId="13" fillId="15" borderId="53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24" xfId="6" applyFont="1" applyFill="1" applyBorder="1" applyAlignment="1" applyProtection="1">
      <alignment horizontal="center" vertical="center" wrapText="1"/>
    </xf>
    <xf numFmtId="0" fontId="13" fillId="10" borderId="18" xfId="6" applyFont="1" applyFill="1" applyBorder="1" applyAlignment="1" applyProtection="1">
      <alignment horizontal="center" vertical="center" wrapText="1"/>
    </xf>
    <xf numFmtId="0" fontId="13" fillId="10" borderId="21" xfId="6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7" xfId="6" applyFont="1" applyFill="1" applyBorder="1" applyAlignment="1" applyProtection="1">
      <alignment horizontal="center" vertical="center" wrapText="1"/>
    </xf>
    <xf numFmtId="0" fontId="13" fillId="15" borderId="24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20" xfId="6" applyFont="1" applyFill="1" applyBorder="1" applyAlignment="1" applyProtection="1">
      <alignment horizontal="center" vertical="center" wrapText="1"/>
    </xf>
    <xf numFmtId="0" fontId="13" fillId="15" borderId="18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1" xfId="6" applyFont="1" applyFill="1" applyBorder="1" applyAlignment="1" applyProtection="1">
      <alignment horizontal="center" vertical="center" wrapText="1"/>
    </xf>
    <xf numFmtId="0" fontId="13" fillId="15" borderId="48" xfId="6" applyFont="1" applyFill="1" applyBorder="1" applyAlignment="1" applyProtection="1">
      <alignment horizontal="center" vertical="center" wrapText="1"/>
    </xf>
    <xf numFmtId="0" fontId="13" fillId="15" borderId="78" xfId="6" applyFont="1" applyFill="1" applyBorder="1" applyAlignment="1" applyProtection="1">
      <alignment horizontal="center" vertical="center" wrapText="1"/>
    </xf>
    <xf numFmtId="0" fontId="13" fillId="15" borderId="59" xfId="6" applyFont="1" applyFill="1" applyBorder="1" applyAlignment="1" applyProtection="1">
      <alignment horizontal="center" vertical="center" wrapText="1"/>
    </xf>
    <xf numFmtId="0" fontId="13" fillId="0" borderId="48" xfId="4" applyFont="1" applyFill="1" applyBorder="1" applyAlignment="1" applyProtection="1">
      <alignment horizontal="center" vertical="center" wrapText="1"/>
      <protection locked="0"/>
    </xf>
    <xf numFmtId="0" fontId="13" fillId="0" borderId="70" xfId="4" applyFont="1" applyFill="1" applyBorder="1" applyAlignment="1" applyProtection="1">
      <alignment horizontal="center" vertical="center" wrapText="1"/>
      <protection locked="0"/>
    </xf>
    <xf numFmtId="0" fontId="13" fillId="0" borderId="120" xfId="4" applyFont="1" applyFill="1" applyBorder="1" applyAlignment="1" applyProtection="1">
      <alignment horizontal="center" vertical="center" wrapText="1"/>
      <protection locked="0"/>
    </xf>
    <xf numFmtId="0" fontId="13" fillId="0" borderId="59" xfId="4" applyFont="1" applyFill="1" applyBorder="1" applyAlignment="1" applyProtection="1">
      <alignment horizontal="center" vertical="center" wrapText="1"/>
      <protection locked="0"/>
    </xf>
    <xf numFmtId="0" fontId="13" fillId="15" borderId="103" xfId="6" applyFont="1" applyFill="1" applyBorder="1" applyAlignment="1" applyProtection="1">
      <alignment horizontal="center" vertical="center" wrapText="1"/>
    </xf>
    <xf numFmtId="0" fontId="13" fillId="15" borderId="104" xfId="6" applyFont="1" applyFill="1" applyBorder="1" applyAlignment="1" applyProtection="1">
      <alignment horizontal="center" vertical="center" wrapText="1"/>
    </xf>
    <xf numFmtId="0" fontId="13" fillId="6" borderId="99" xfId="4" applyFont="1" applyFill="1" applyBorder="1" applyAlignment="1" applyProtection="1">
      <alignment horizontal="center" vertical="center" wrapText="1"/>
    </xf>
    <xf numFmtId="0" fontId="13" fillId="10" borderId="66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0" borderId="36" xfId="4" applyFont="1" applyFill="1" applyBorder="1" applyAlignment="1" applyProtection="1">
      <alignment horizontal="center" vertical="center" wrapText="1"/>
      <protection locked="0"/>
    </xf>
    <xf numFmtId="0" fontId="13" fillId="0" borderId="72" xfId="4" applyFont="1" applyFill="1" applyBorder="1" applyAlignment="1" applyProtection="1">
      <alignment horizontal="center" vertical="center" wrapText="1"/>
      <protection locked="0"/>
    </xf>
    <xf numFmtId="0" fontId="13" fillId="0" borderId="24" xfId="4" applyFont="1" applyFill="1" applyBorder="1" applyAlignment="1" applyProtection="1">
      <alignment horizontal="center" vertical="center" wrapText="1"/>
      <protection locked="0"/>
    </xf>
    <xf numFmtId="0" fontId="13" fillId="0" borderId="124" xfId="4" applyFont="1" applyFill="1" applyBorder="1" applyAlignment="1" applyProtection="1">
      <alignment horizontal="center" vertical="center" wrapText="1"/>
      <protection locked="0"/>
    </xf>
    <xf numFmtId="0" fontId="13" fillId="0" borderId="52" xfId="4" applyFont="1" applyFill="1" applyBorder="1" applyAlignment="1" applyProtection="1">
      <alignment horizontal="center" vertical="center" wrapText="1"/>
      <protection locked="0"/>
    </xf>
    <xf numFmtId="0" fontId="39" fillId="15" borderId="4" xfId="4" applyFont="1" applyFill="1" applyBorder="1" applyAlignment="1" applyProtection="1">
      <alignment horizontal="center" vertical="center" wrapText="1"/>
    </xf>
    <xf numFmtId="0" fontId="39" fillId="15" borderId="6" xfId="4" applyFont="1" applyFill="1" applyBorder="1" applyAlignment="1" applyProtection="1">
      <alignment horizontal="center" vertical="center" wrapText="1"/>
    </xf>
    <xf numFmtId="0" fontId="39" fillId="15" borderId="18" xfId="4" applyFont="1" applyFill="1" applyBorder="1" applyAlignment="1" applyProtection="1">
      <alignment horizontal="center" vertical="center" wrapText="1"/>
    </xf>
    <xf numFmtId="0" fontId="13" fillId="15" borderId="24" xfId="4" applyFont="1" applyFill="1" applyBorder="1" applyAlignment="1" applyProtection="1">
      <alignment horizontal="center" vertical="center" wrapText="1"/>
    </xf>
    <xf numFmtId="0" fontId="13" fillId="15" borderId="20" xfId="4" applyFont="1" applyFill="1" applyBorder="1" applyAlignment="1" applyProtection="1">
      <alignment horizontal="center" vertical="center" wrapText="1"/>
    </xf>
    <xf numFmtId="0" fontId="13" fillId="15" borderId="21" xfId="4" applyFont="1" applyFill="1" applyBorder="1" applyAlignment="1" applyProtection="1">
      <alignment horizontal="center" vertical="center" wrapText="1"/>
    </xf>
    <xf numFmtId="0" fontId="13" fillId="0" borderId="177" xfId="0" applyFont="1" applyBorder="1" applyAlignment="1" applyProtection="1">
      <alignment horizontal="center" vertical="center" shrinkToFit="1"/>
      <protection locked="0"/>
    </xf>
    <xf numFmtId="0" fontId="13" fillId="0" borderId="72" xfId="0" applyFont="1" applyBorder="1" applyAlignment="1" applyProtection="1">
      <alignment horizontal="center" vertical="center" shrinkToFit="1"/>
      <protection locked="0"/>
    </xf>
    <xf numFmtId="0" fontId="13" fillId="0" borderId="55" xfId="0" applyFont="1" applyBorder="1" applyAlignment="1" applyProtection="1">
      <alignment horizontal="center" vertical="center" shrinkToFit="1"/>
      <protection locked="0"/>
    </xf>
    <xf numFmtId="0" fontId="13" fillId="0" borderId="52" xfId="0" applyFont="1" applyBorder="1" applyAlignment="1" applyProtection="1">
      <alignment horizontal="center" vertical="center" shrinkToFit="1"/>
      <protection locked="0"/>
    </xf>
    <xf numFmtId="0" fontId="13" fillId="0" borderId="4" xfId="0" applyFont="1" applyBorder="1" applyAlignment="1" applyProtection="1">
      <alignment horizontal="center" vertical="center" shrinkToFit="1"/>
      <protection locked="0"/>
    </xf>
    <xf numFmtId="0" fontId="13" fillId="0" borderId="24" xfId="0" applyFont="1" applyBorder="1" applyAlignment="1" applyProtection="1">
      <alignment horizontal="center" vertical="center" shrinkToFit="1"/>
      <protection locked="0"/>
    </xf>
    <xf numFmtId="0" fontId="13" fillId="10" borderId="27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75" xfId="6" applyFont="1" applyFill="1" applyBorder="1" applyAlignment="1" applyProtection="1">
      <alignment horizontal="center" vertical="center" wrapText="1"/>
    </xf>
    <xf numFmtId="0" fontId="13" fillId="10" borderId="73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54" xfId="6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67" xfId="6" applyFont="1" applyFill="1" applyBorder="1" applyAlignment="1" applyProtection="1">
      <alignment horizontal="center" vertical="center" wrapText="1"/>
    </xf>
    <xf numFmtId="0" fontId="13" fillId="10" borderId="60" xfId="6" applyFont="1" applyFill="1" applyBorder="1" applyAlignment="1" applyProtection="1">
      <alignment horizontal="center" vertical="center" wrapText="1"/>
    </xf>
    <xf numFmtId="0" fontId="13" fillId="10" borderId="128" xfId="6" applyFont="1" applyFill="1" applyBorder="1" applyAlignment="1" applyProtection="1">
      <alignment horizontal="center" vertical="center" wrapText="1"/>
    </xf>
    <xf numFmtId="0" fontId="13" fillId="10" borderId="80" xfId="6" applyFont="1" applyFill="1" applyBorder="1" applyAlignment="1" applyProtection="1">
      <alignment horizontal="center" vertical="center" wrapText="1"/>
    </xf>
    <xf numFmtId="0" fontId="13" fillId="10" borderId="127" xfId="6" applyFont="1" applyFill="1" applyBorder="1" applyAlignment="1" applyProtection="1">
      <alignment horizontal="center" vertical="center" wrapText="1"/>
    </xf>
    <xf numFmtId="0" fontId="13" fillId="10" borderId="89" xfId="6" applyFont="1" applyFill="1" applyBorder="1" applyAlignment="1" applyProtection="1">
      <alignment horizontal="center" vertical="center" wrapText="1"/>
    </xf>
    <xf numFmtId="0" fontId="38" fillId="15" borderId="13" xfId="4" applyFont="1" applyFill="1" applyBorder="1" applyAlignment="1" applyProtection="1">
      <alignment horizontal="center" vertical="center" wrapText="1"/>
    </xf>
    <xf numFmtId="0" fontId="38" fillId="15" borderId="79" xfId="4" applyFont="1" applyFill="1" applyBorder="1" applyAlignment="1" applyProtection="1">
      <alignment horizontal="center" vertical="center" wrapText="1"/>
    </xf>
    <xf numFmtId="0" fontId="13" fillId="0" borderId="48" xfId="0" applyFont="1" applyBorder="1" applyAlignment="1" applyProtection="1">
      <alignment horizontal="center" vertical="center" shrinkToFit="1"/>
      <protection locked="0"/>
    </xf>
    <xf numFmtId="0" fontId="13" fillId="0" borderId="59" xfId="0" applyFont="1" applyBorder="1" applyAlignment="1" applyProtection="1">
      <alignment horizontal="center" vertical="center" shrinkToFit="1"/>
      <protection locked="0"/>
    </xf>
    <xf numFmtId="0" fontId="13" fillId="15" borderId="74" xfId="4" applyFont="1" applyFill="1" applyBorder="1" applyAlignment="1" applyProtection="1">
      <alignment horizontal="center" vertical="center" wrapText="1"/>
    </xf>
    <xf numFmtId="0" fontId="13" fillId="15" borderId="61" xfId="4" applyFont="1" applyFill="1" applyBorder="1" applyAlignment="1" applyProtection="1">
      <alignment horizontal="center" vertical="center" wrapText="1"/>
    </xf>
    <xf numFmtId="0" fontId="13" fillId="0" borderId="78" xfId="4" applyFont="1" applyFill="1" applyBorder="1" applyAlignment="1" applyProtection="1">
      <alignment horizontal="center" vertical="center" wrapText="1"/>
      <protection locked="0"/>
    </xf>
    <xf numFmtId="0" fontId="13" fillId="0" borderId="71" xfId="4" applyFont="1" applyFill="1" applyBorder="1" applyAlignment="1" applyProtection="1">
      <alignment horizontal="center" vertical="center" wrapText="1"/>
      <protection locked="0"/>
    </xf>
    <xf numFmtId="0" fontId="13" fillId="0" borderId="126" xfId="4" applyFont="1" applyFill="1" applyBorder="1" applyAlignment="1" applyProtection="1">
      <alignment horizontal="center" vertical="center" wrapText="1"/>
      <protection locked="0"/>
    </xf>
    <xf numFmtId="0" fontId="13" fillId="0" borderId="125" xfId="4" applyFont="1" applyFill="1" applyBorder="1" applyAlignment="1" applyProtection="1">
      <alignment horizontal="center" vertical="center" wrapText="1"/>
      <protection locked="0"/>
    </xf>
    <xf numFmtId="0" fontId="13" fillId="15" borderId="13" xfId="4" applyFont="1" applyFill="1" applyBorder="1" applyAlignment="1" applyProtection="1">
      <alignment horizontal="center" vertical="center" wrapText="1"/>
    </xf>
    <xf numFmtId="0" fontId="13" fillId="15" borderId="79" xfId="4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21" fillId="15" borderId="4" xfId="4" applyFont="1" applyFill="1" applyBorder="1" applyAlignment="1" applyProtection="1">
      <alignment horizontal="center" vertical="center" wrapText="1"/>
    </xf>
    <xf numFmtId="0" fontId="21" fillId="15" borderId="24" xfId="4" applyFont="1" applyFill="1" applyBorder="1" applyAlignment="1" applyProtection="1">
      <alignment horizontal="center" vertical="center" wrapText="1"/>
    </xf>
    <xf numFmtId="0" fontId="21" fillId="15" borderId="6" xfId="4" applyFont="1" applyFill="1" applyBorder="1" applyAlignment="1" applyProtection="1">
      <alignment horizontal="center" vertical="center" wrapText="1"/>
    </xf>
    <xf numFmtId="0" fontId="21" fillId="15" borderId="20" xfId="4" applyFont="1" applyFill="1" applyBorder="1" applyAlignment="1" applyProtection="1">
      <alignment horizontal="center" vertical="center" wrapText="1"/>
    </xf>
    <xf numFmtId="0" fontId="13" fillId="0" borderId="23" xfId="0" applyFont="1" applyBorder="1" applyAlignment="1" applyProtection="1">
      <alignment horizontal="center" vertical="center" wrapText="1"/>
      <protection locked="0"/>
    </xf>
    <xf numFmtId="0" fontId="13" fillId="0" borderId="28" xfId="0" applyFont="1" applyBorder="1" applyAlignment="1" applyProtection="1">
      <alignment horizontal="center" vertical="center" wrapText="1"/>
      <protection locked="0"/>
    </xf>
    <xf numFmtId="0" fontId="13" fillId="0" borderId="23" xfId="4" applyFont="1" applyFill="1" applyBorder="1" applyAlignment="1" applyProtection="1">
      <alignment horizontal="center" vertical="center" wrapText="1"/>
      <protection locked="0"/>
    </xf>
    <xf numFmtId="0" fontId="13" fillId="0" borderId="64" xfId="4" applyFont="1" applyFill="1" applyBorder="1" applyAlignment="1" applyProtection="1">
      <alignment horizontal="center" vertical="center" wrapText="1"/>
      <protection locked="0"/>
    </xf>
    <xf numFmtId="0" fontId="13" fillId="0" borderId="49" xfId="0" applyFont="1" applyFill="1" applyBorder="1" applyAlignment="1" applyProtection="1">
      <alignment horizontal="center" vertical="center" shrinkToFit="1"/>
      <protection locked="0"/>
    </xf>
    <xf numFmtId="0" fontId="13" fillId="0" borderId="53" xfId="0" applyFont="1" applyFill="1" applyBorder="1" applyAlignment="1" applyProtection="1">
      <alignment horizontal="center" vertical="center" shrinkToFit="1"/>
      <protection locked="0"/>
    </xf>
    <xf numFmtId="0" fontId="13" fillId="0" borderId="49" xfId="0" applyFont="1" applyBorder="1" applyAlignment="1" applyProtection="1">
      <alignment horizontal="center" vertical="center" shrinkToFit="1"/>
      <protection locked="0"/>
    </xf>
    <xf numFmtId="0" fontId="13" fillId="0" borderId="53" xfId="0" applyFont="1" applyBorder="1" applyAlignment="1" applyProtection="1">
      <alignment horizontal="center" vertical="center" shrinkToFit="1"/>
      <protection locked="0"/>
    </xf>
    <xf numFmtId="0" fontId="13" fillId="9" borderId="49" xfId="4" applyFont="1" applyFill="1" applyBorder="1" applyAlignment="1" applyProtection="1">
      <alignment horizontal="center" vertical="center" wrapText="1"/>
      <protection locked="0"/>
    </xf>
    <xf numFmtId="0" fontId="13" fillId="9" borderId="35" xfId="4" applyFont="1" applyFill="1" applyBorder="1" applyAlignment="1" applyProtection="1">
      <alignment horizontal="center" vertical="center" wrapText="1"/>
      <protection locked="0"/>
    </xf>
    <xf numFmtId="0" fontId="13" fillId="0" borderId="69" xfId="4" applyFont="1" applyFill="1" applyBorder="1" applyAlignment="1" applyProtection="1">
      <alignment horizontal="center" vertical="center" wrapText="1"/>
      <protection locked="0"/>
    </xf>
    <xf numFmtId="0" fontId="13" fillId="15" borderId="13" xfId="0" applyFont="1" applyFill="1" applyBorder="1" applyAlignment="1">
      <alignment horizontal="center" vertical="center" wrapText="1"/>
    </xf>
    <xf numFmtId="0" fontId="13" fillId="15" borderId="16" xfId="0" applyFont="1" applyFill="1" applyBorder="1" applyAlignment="1">
      <alignment horizontal="center" vertical="center" wrapText="1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4" xfId="5" applyFont="1" applyFill="1" applyBorder="1" applyAlignment="1" applyProtection="1">
      <alignment horizontal="center" vertical="center" wrapText="1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20" xfId="5" applyFont="1" applyFill="1" applyBorder="1" applyAlignment="1" applyProtection="1">
      <alignment horizontal="center" vertical="center" wrapText="1"/>
    </xf>
    <xf numFmtId="0" fontId="13" fillId="6" borderId="32" xfId="4" applyFont="1" applyFill="1" applyBorder="1" applyAlignment="1" applyProtection="1">
      <alignment horizontal="center" vertical="center" wrapText="1"/>
    </xf>
    <xf numFmtId="0" fontId="39" fillId="15" borderId="13" xfId="0" applyFont="1" applyFill="1" applyBorder="1" applyAlignment="1">
      <alignment horizontal="center" vertical="center" wrapText="1"/>
    </xf>
    <xf numFmtId="0" fontId="39" fillId="15" borderId="16" xfId="0" applyFont="1" applyFill="1" applyBorder="1" applyAlignment="1">
      <alignment horizontal="center" vertical="center" wrapText="1"/>
    </xf>
    <xf numFmtId="0" fontId="13" fillId="15" borderId="79" xfId="0" applyFont="1" applyFill="1" applyBorder="1" applyAlignment="1">
      <alignment horizontal="center" vertical="center" wrapText="1"/>
    </xf>
    <xf numFmtId="0" fontId="13" fillId="15" borderId="74" xfId="5" applyFont="1" applyFill="1" applyBorder="1" applyAlignment="1" applyProtection="1">
      <alignment horizontal="center" vertical="center" wrapText="1"/>
    </xf>
    <xf numFmtId="0" fontId="13" fillId="15" borderId="77" xfId="5" applyFont="1" applyFill="1" applyBorder="1" applyAlignment="1" applyProtection="1">
      <alignment horizontal="center" vertical="center" wrapText="1"/>
    </xf>
    <xf numFmtId="0" fontId="13" fillId="15" borderId="61" xfId="5" applyFont="1" applyFill="1" applyBorder="1" applyAlignment="1" applyProtection="1">
      <alignment horizontal="center" vertical="center" wrapText="1"/>
    </xf>
    <xf numFmtId="0" fontId="13" fillId="15" borderId="77" xfId="4" applyFont="1" applyFill="1" applyBorder="1" applyAlignment="1" applyProtection="1">
      <alignment horizontal="center" vertical="center" wrapText="1"/>
    </xf>
    <xf numFmtId="0" fontId="13" fillId="0" borderId="18" xfId="4" applyFont="1" applyFill="1" applyBorder="1" applyAlignment="1" applyProtection="1">
      <alignment horizontal="center" vertical="center" wrapText="1"/>
      <protection locked="0"/>
    </xf>
    <xf numFmtId="0" fontId="13" fillId="0" borderId="21" xfId="4" applyFont="1" applyFill="1" applyBorder="1" applyAlignment="1" applyProtection="1">
      <alignment horizontal="center" vertical="center" wrapText="1"/>
      <protection locked="0"/>
    </xf>
    <xf numFmtId="0" fontId="21" fillId="0" borderId="15" xfId="0" applyFont="1" applyBorder="1" applyAlignment="1" applyProtection="1">
      <alignment horizontal="center" vertical="center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0" fontId="21" fillId="0" borderId="109" xfId="0" applyFont="1" applyBorder="1" applyAlignment="1" applyProtection="1">
      <alignment horizontal="center" vertical="center"/>
      <protection locked="0"/>
    </xf>
    <xf numFmtId="0" fontId="21" fillId="0" borderId="28" xfId="0" applyFont="1" applyBorder="1" applyAlignment="1" applyProtection="1">
      <alignment horizontal="center" vertical="center"/>
      <protection locked="0"/>
    </xf>
    <xf numFmtId="0" fontId="21" fillId="0" borderId="23" xfId="0" applyFont="1" applyBorder="1" applyAlignment="1" applyProtection="1">
      <alignment horizontal="center" vertical="center"/>
      <protection locked="0"/>
    </xf>
    <xf numFmtId="0" fontId="58" fillId="0" borderId="15" xfId="0" applyFont="1" applyBorder="1" applyAlignment="1" applyProtection="1">
      <alignment horizontal="center" vertical="center" wrapText="1"/>
      <protection locked="0"/>
    </xf>
    <xf numFmtId="0" fontId="58" fillId="0" borderId="22" xfId="0" applyFont="1" applyBorder="1" applyAlignment="1" applyProtection="1">
      <alignment horizontal="center" vertical="center" wrapText="1"/>
      <protection locked="0"/>
    </xf>
    <xf numFmtId="0" fontId="58" fillId="0" borderId="28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4" xfId="3" applyFont="1" applyFill="1" applyBorder="1" applyAlignment="1" applyProtection="1">
      <alignment horizontal="center" vertical="center" wrapText="1"/>
      <protection locked="0"/>
    </xf>
    <xf numFmtId="0" fontId="14" fillId="4" borderId="18" xfId="3" applyFont="1" applyFill="1" applyBorder="1" applyAlignment="1" applyProtection="1">
      <alignment horizontal="center" vertical="center" wrapText="1"/>
      <protection locked="0"/>
    </xf>
    <xf numFmtId="0" fontId="14" fillId="4" borderId="21" xfId="3" applyFont="1" applyFill="1" applyBorder="1" applyAlignment="1" applyProtection="1">
      <alignment horizontal="center" vertical="center" wrapText="1"/>
      <protection locked="0"/>
    </xf>
    <xf numFmtId="0" fontId="14" fillId="4" borderId="37" xfId="3" applyFont="1" applyFill="1" applyBorder="1" applyAlignment="1" applyProtection="1">
      <alignment horizontal="center" vertical="center" wrapText="1"/>
      <protection locked="0"/>
    </xf>
    <xf numFmtId="0" fontId="14" fillId="4" borderId="38" xfId="3" applyFont="1" applyFill="1" applyBorder="1" applyAlignment="1" applyProtection="1">
      <alignment horizontal="center" vertical="center" wrapText="1"/>
      <protection locked="0"/>
    </xf>
    <xf numFmtId="0" fontId="14" fillId="4" borderId="48" xfId="3" applyFont="1" applyFill="1" applyBorder="1" applyAlignment="1" applyProtection="1">
      <alignment horizontal="center" vertical="center" wrapText="1"/>
      <protection locked="0"/>
    </xf>
    <xf numFmtId="0" fontId="14" fillId="4" borderId="78" xfId="3" applyFont="1" applyFill="1" applyBorder="1" applyAlignment="1" applyProtection="1">
      <alignment horizontal="center" vertical="center" wrapText="1"/>
      <protection locked="0"/>
    </xf>
    <xf numFmtId="0" fontId="14" fillId="4" borderId="59" xfId="3" applyFont="1" applyFill="1" applyBorder="1" applyAlignment="1" applyProtection="1">
      <alignment horizontal="center" vertical="center" wrapText="1"/>
      <protection locked="0"/>
    </xf>
    <xf numFmtId="0" fontId="14" fillId="4" borderId="40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50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84" xfId="3" applyFont="1" applyFill="1" applyBorder="1" applyAlignment="1" applyProtection="1">
      <alignment horizontal="center" vertical="center" wrapText="1"/>
      <protection locked="0"/>
    </xf>
    <xf numFmtId="0" fontId="14" fillId="4" borderId="87" xfId="3" applyFont="1" applyFill="1" applyBorder="1" applyAlignment="1" applyProtection="1">
      <alignment horizontal="center" vertical="center" wrapText="1"/>
      <protection locked="0"/>
    </xf>
    <xf numFmtId="0" fontId="14" fillId="4" borderId="70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44" xfId="3" applyFont="1" applyFill="1" applyBorder="1" applyAlignment="1" applyProtection="1">
      <alignment horizontal="center" vertical="center" wrapText="1"/>
      <protection locked="0"/>
    </xf>
    <xf numFmtId="0" fontId="14" fillId="4" borderId="53" xfId="3" applyFont="1" applyFill="1" applyBorder="1" applyAlignment="1" applyProtection="1">
      <alignment horizontal="center" vertical="center" wrapText="1"/>
      <protection locked="0"/>
    </xf>
    <xf numFmtId="0" fontId="24" fillId="3" borderId="36" xfId="3" applyFont="1" applyBorder="1" applyAlignment="1" applyProtection="1">
      <alignment horizontal="center" vertical="center"/>
      <protection locked="0"/>
    </xf>
    <xf numFmtId="0" fontId="24" fillId="3" borderId="72" xfId="3" applyFont="1" applyBorder="1" applyAlignment="1" applyProtection="1">
      <alignment horizontal="center" vertical="center"/>
      <protection locked="0"/>
    </xf>
    <xf numFmtId="0" fontId="14" fillId="4" borderId="35" xfId="3" applyFont="1" applyFill="1" applyBorder="1" applyAlignment="1" applyProtection="1">
      <alignment horizontal="center" vertical="center" wrapText="1"/>
      <protection locked="0"/>
    </xf>
    <xf numFmtId="0" fontId="14" fillId="4" borderId="33" xfId="3" applyFont="1" applyFill="1" applyBorder="1" applyAlignment="1" applyProtection="1">
      <alignment horizontal="center" vertical="center" wrapText="1"/>
      <protection locked="0"/>
    </xf>
    <xf numFmtId="0" fontId="14" fillId="4" borderId="85" xfId="3" applyFont="1" applyFill="1" applyBorder="1" applyAlignment="1" applyProtection="1">
      <alignment horizontal="center" vertical="center" wrapText="1"/>
      <protection locked="0"/>
    </xf>
    <xf numFmtId="0" fontId="14" fillId="4" borderId="88" xfId="3" applyFont="1" applyFill="1" applyBorder="1" applyAlignment="1" applyProtection="1">
      <alignment horizontal="center" vertical="center" wrapText="1"/>
      <protection locked="0"/>
    </xf>
    <xf numFmtId="0" fontId="15" fillId="8" borderId="13" xfId="0" applyFont="1" applyFill="1" applyBorder="1" applyAlignment="1" applyProtection="1">
      <alignment horizontal="center" vertical="center"/>
      <protection locked="0"/>
    </xf>
    <xf numFmtId="0" fontId="15" fillId="8" borderId="79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7" xfId="0" applyFont="1" applyFill="1" applyBorder="1" applyAlignment="1" applyProtection="1">
      <alignment horizontal="center" vertical="center"/>
      <protection locked="0"/>
    </xf>
    <xf numFmtId="0" fontId="15" fillId="8" borderId="18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center" vertical="center"/>
      <protection locked="0"/>
    </xf>
    <xf numFmtId="0" fontId="15" fillId="8" borderId="21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8" xfId="0" applyFont="1" applyFill="1" applyBorder="1" applyAlignment="1" applyProtection="1">
      <alignment horizontal="center" vertical="center"/>
      <protection locked="0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6" xfId="4" applyFont="1" applyFill="1" applyBorder="1" applyAlignment="1" applyProtection="1">
      <alignment horizontal="center" vertical="center" wrapText="1"/>
    </xf>
    <xf numFmtId="0" fontId="13" fillId="15" borderId="18" xfId="4" applyFont="1" applyFill="1" applyBorder="1" applyAlignment="1" applyProtection="1">
      <alignment horizontal="center" vertical="center" wrapText="1"/>
    </xf>
    <xf numFmtId="0" fontId="15" fillId="17" borderId="22" xfId="0" applyFont="1" applyFill="1" applyBorder="1" applyAlignment="1" applyProtection="1">
      <alignment horizontal="center" vertical="center"/>
      <protection locked="0"/>
    </xf>
    <xf numFmtId="0" fontId="15" fillId="17" borderId="28" xfId="0" applyFont="1" applyFill="1" applyBorder="1" applyAlignment="1" applyProtection="1">
      <alignment horizontal="center" vertical="center"/>
      <protection locked="0"/>
    </xf>
    <xf numFmtId="0" fontId="28" fillId="0" borderId="3" xfId="0" applyFont="1" applyBorder="1" applyAlignment="1" applyProtection="1">
      <alignment horizontal="center" vertical="center"/>
      <protection locked="0"/>
    </xf>
    <xf numFmtId="0" fontId="28" fillId="0" borderId="21" xfId="0" applyFont="1" applyBorder="1" applyAlignment="1" applyProtection="1">
      <alignment horizontal="center" vertical="center"/>
      <protection locked="0"/>
    </xf>
    <xf numFmtId="0" fontId="15" fillId="17" borderId="23" xfId="0" applyFont="1" applyFill="1" applyBorder="1" applyAlignment="1" applyProtection="1">
      <alignment horizontal="center" vertical="center"/>
      <protection locked="0"/>
    </xf>
    <xf numFmtId="0" fontId="15" fillId="17" borderId="64" xfId="0" applyFont="1" applyFill="1" applyBorder="1" applyAlignment="1" applyProtection="1">
      <alignment horizontal="center" vertical="center"/>
      <protection locked="0"/>
    </xf>
    <xf numFmtId="0" fontId="12" fillId="8" borderId="98" xfId="0" applyFont="1" applyFill="1" applyBorder="1" applyAlignment="1" applyProtection="1">
      <alignment horizontal="center" vertical="center" wrapText="1"/>
      <protection locked="0"/>
    </xf>
    <xf numFmtId="0" fontId="12" fillId="8" borderId="25" xfId="0" applyFont="1" applyFill="1" applyBorder="1" applyAlignment="1" applyProtection="1">
      <alignment horizontal="center" vertical="center" wrapText="1"/>
      <protection locked="0"/>
    </xf>
    <xf numFmtId="0" fontId="12" fillId="8" borderId="26" xfId="0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13" fillId="10" borderId="82" xfId="6" applyFont="1" applyFill="1" applyBorder="1" applyAlignment="1" applyProtection="1">
      <alignment horizontal="center" vertical="center" wrapText="1"/>
    </xf>
    <xf numFmtId="0" fontId="13" fillId="0" borderId="63" xfId="4" applyFont="1" applyFill="1" applyBorder="1" applyAlignment="1" applyProtection="1">
      <alignment horizontal="center" vertical="center" wrapText="1"/>
      <protection locked="0"/>
    </xf>
    <xf numFmtId="0" fontId="13" fillId="0" borderId="109" xfId="4" applyFont="1" applyFill="1" applyBorder="1" applyAlignment="1" applyProtection="1">
      <alignment horizontal="center" vertical="center" wrapText="1"/>
      <protection locked="0"/>
    </xf>
    <xf numFmtId="0" fontId="13" fillId="0" borderId="15" xfId="4" applyFont="1" applyFill="1" applyBorder="1" applyAlignment="1" applyProtection="1">
      <alignment horizontal="center" vertical="center" wrapText="1"/>
      <protection locked="0"/>
    </xf>
    <xf numFmtId="0" fontId="13" fillId="0" borderId="28" xfId="4" applyFont="1" applyFill="1" applyBorder="1" applyAlignment="1" applyProtection="1">
      <alignment horizontal="center" vertical="center" wrapText="1"/>
      <protection locked="0"/>
    </xf>
    <xf numFmtId="0" fontId="13" fillId="15" borderId="23" xfId="5" applyFont="1" applyFill="1" applyBorder="1" applyAlignment="1" applyProtection="1">
      <alignment horizontal="center" vertical="center" wrapText="1"/>
    </xf>
    <xf numFmtId="0" fontId="13" fillId="15" borderId="28" xfId="5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86" xfId="6" applyFont="1" applyFill="1" applyBorder="1" applyAlignment="1" applyProtection="1">
      <alignment horizontal="center" vertical="center" wrapText="1"/>
    </xf>
    <xf numFmtId="0" fontId="17" fillId="9" borderId="5" xfId="7" applyFont="1" applyFill="1" applyBorder="1" applyAlignment="1" applyProtection="1">
      <alignment horizontal="center" vertical="center" wrapText="1"/>
    </xf>
    <xf numFmtId="0" fontId="17" fillId="9" borderId="12" xfId="7" applyFont="1" applyFill="1" applyBorder="1" applyAlignment="1" applyProtection="1">
      <alignment horizontal="center" vertical="center" wrapText="1"/>
    </xf>
    <xf numFmtId="0" fontId="17" fillId="9" borderId="8" xfId="7" applyFont="1" applyFill="1" applyBorder="1" applyAlignment="1" applyProtection="1">
      <alignment horizontal="center" vertical="center" wrapText="1"/>
    </xf>
    <xf numFmtId="176" fontId="17" fillId="9" borderId="96" xfId="7" applyNumberFormat="1" applyFont="1" applyFill="1" applyBorder="1" applyAlignment="1" applyProtection="1">
      <alignment horizontal="center" vertical="center" wrapText="1"/>
    </xf>
    <xf numFmtId="0" fontId="17" fillId="9" borderId="14" xfId="7" applyFont="1" applyFill="1" applyBorder="1" applyAlignment="1" applyProtection="1">
      <alignment horizontal="center" vertical="center" wrapText="1"/>
    </xf>
    <xf numFmtId="0" fontId="17" fillId="9" borderId="97" xfId="7" applyFont="1" applyFill="1" applyBorder="1" applyAlignment="1" applyProtection="1">
      <alignment horizontal="center" vertical="center" wrapText="1"/>
    </xf>
    <xf numFmtId="0" fontId="18" fillId="16" borderId="97" xfId="7" applyNumberFormat="1" applyFont="1" applyFill="1" applyBorder="1" applyAlignment="1" applyProtection="1">
      <alignment horizontal="center" vertical="center" shrinkToFit="1"/>
    </xf>
    <xf numFmtId="0" fontId="17" fillId="9" borderId="98" xfId="7" applyFont="1" applyFill="1" applyBorder="1" applyAlignment="1" applyProtection="1">
      <alignment horizontal="center" vertical="center" wrapText="1"/>
    </xf>
    <xf numFmtId="0" fontId="17" fillId="9" borderId="25" xfId="7" applyFont="1" applyFill="1" applyBorder="1" applyAlignment="1" applyProtection="1">
      <alignment horizontal="center" vertical="center" wrapText="1"/>
    </xf>
    <xf numFmtId="0" fontId="17" fillId="9" borderId="26" xfId="7" applyFont="1" applyFill="1" applyBorder="1" applyAlignment="1" applyProtection="1">
      <alignment horizontal="center" vertical="center" wrapText="1"/>
    </xf>
    <xf numFmtId="0" fontId="17" fillId="9" borderId="113" xfId="7" applyFont="1" applyFill="1" applyBorder="1" applyAlignment="1" applyProtection="1">
      <alignment horizontal="center" vertical="center" wrapText="1"/>
    </xf>
    <xf numFmtId="0" fontId="17" fillId="9" borderId="9" xfId="7" applyFont="1" applyFill="1" applyBorder="1" applyAlignment="1" applyProtection="1">
      <alignment horizontal="center" vertical="center" wrapText="1"/>
    </xf>
    <xf numFmtId="0" fontId="17" fillId="9" borderId="114" xfId="7" applyFont="1" applyFill="1" applyBorder="1" applyAlignment="1" applyProtection="1">
      <alignment horizontal="center" vertical="center" wrapText="1"/>
    </xf>
    <xf numFmtId="0" fontId="17" fillId="9" borderId="105" xfId="7" applyFont="1" applyFill="1" applyBorder="1" applyAlignment="1" applyProtection="1">
      <alignment horizontal="center" vertical="center" wrapText="1"/>
    </xf>
    <xf numFmtId="0" fontId="17" fillId="9" borderId="107" xfId="7" applyFont="1" applyFill="1" applyBorder="1" applyAlignment="1" applyProtection="1">
      <alignment horizontal="center" vertical="center" wrapText="1"/>
    </xf>
    <xf numFmtId="176" fontId="17" fillId="9" borderId="11" xfId="7" applyNumberFormat="1" applyFont="1" applyFill="1" applyBorder="1" applyAlignment="1" applyProtection="1">
      <alignment horizontal="center" vertical="center" wrapText="1"/>
    </xf>
    <xf numFmtId="0" fontId="17" fillId="9" borderId="31" xfId="7" applyFont="1" applyFill="1" applyBorder="1" applyAlignment="1" applyProtection="1">
      <alignment horizontal="center" vertical="center" wrapText="1"/>
    </xf>
    <xf numFmtId="176" fontId="17" fillId="9" borderId="9" xfId="7" applyNumberFormat="1" applyFont="1" applyFill="1" applyBorder="1" applyAlignment="1" applyProtection="1">
      <alignment horizontal="center" vertical="center" wrapText="1"/>
    </xf>
    <xf numFmtId="0" fontId="26" fillId="11" borderId="96" xfId="7" applyFont="1" applyFill="1" applyBorder="1" applyAlignment="1">
      <alignment horizontal="center" vertical="center" wrapText="1"/>
    </xf>
    <xf numFmtId="0" fontId="26" fillId="11" borderId="14" xfId="7" applyFont="1" applyFill="1" applyBorder="1" applyAlignment="1">
      <alignment horizontal="center" vertical="center"/>
    </xf>
    <xf numFmtId="0" fontId="26" fillId="11" borderId="97" xfId="7" applyFont="1" applyFill="1" applyBorder="1" applyAlignment="1">
      <alignment horizontal="center" vertical="center"/>
    </xf>
    <xf numFmtId="0" fontId="26" fillId="11" borderId="29" xfId="7" applyFont="1" applyFill="1" applyBorder="1" applyAlignment="1">
      <alignment horizontal="center" vertical="center" wrapText="1"/>
    </xf>
    <xf numFmtId="0" fontId="26" fillId="11" borderId="10" xfId="7" applyFont="1" applyFill="1" applyBorder="1" applyAlignment="1">
      <alignment horizontal="center" vertical="center"/>
    </xf>
    <xf numFmtId="0" fontId="26" fillId="11" borderId="30" xfId="7" applyFont="1" applyFill="1" applyBorder="1" applyAlignment="1">
      <alignment horizontal="center" vertical="center"/>
    </xf>
    <xf numFmtId="0" fontId="30" fillId="0" borderId="4" xfId="0" applyFont="1" applyBorder="1" applyAlignment="1">
      <alignment horizontal="left" vertical="center"/>
    </xf>
    <xf numFmtId="0" fontId="30" fillId="0" borderId="27" xfId="0" applyFont="1" applyBorder="1" applyAlignment="1">
      <alignment horizontal="left" vertical="center"/>
    </xf>
    <xf numFmtId="0" fontId="30" fillId="0" borderId="24" xfId="0" applyFont="1" applyBorder="1" applyAlignment="1">
      <alignment horizontal="left" vertical="center"/>
    </xf>
    <xf numFmtId="0" fontId="17" fillId="11" borderId="14" xfId="7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17" fillId="11" borderId="96" xfId="7" applyNumberFormat="1" applyFont="1" applyFill="1" applyBorder="1" applyAlignment="1" applyProtection="1">
      <alignment horizontal="center" vertical="center" shrinkToFit="1"/>
    </xf>
    <xf numFmtId="0" fontId="17" fillId="11" borderId="14" xfId="7" applyNumberFormat="1" applyFont="1" applyFill="1" applyBorder="1" applyAlignment="1" applyProtection="1">
      <alignment horizontal="center" vertical="center" shrinkToFit="1"/>
    </xf>
    <xf numFmtId="0" fontId="17" fillId="11" borderId="97" xfId="7" applyNumberFormat="1" applyFont="1" applyFill="1" applyBorder="1" applyAlignment="1" applyProtection="1">
      <alignment horizontal="center" vertical="center" shrinkToFit="1"/>
    </xf>
    <xf numFmtId="0" fontId="17" fillId="11" borderId="96" xfId="7" applyFont="1" applyFill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7" fillId="11" borderId="5" xfId="7" applyFont="1" applyFill="1" applyBorder="1" applyAlignment="1" applyProtection="1">
      <alignment horizontal="center" vertical="center" wrapText="1"/>
    </xf>
    <xf numFmtId="0" fontId="17" fillId="11" borderId="12" xfId="7" applyFont="1" applyFill="1" applyBorder="1" applyAlignment="1" applyProtection="1">
      <alignment horizontal="center" vertical="center" wrapText="1"/>
    </xf>
    <xf numFmtId="0" fontId="17" fillId="11" borderId="8" xfId="7" applyFont="1" applyFill="1" applyBorder="1" applyAlignment="1" applyProtection="1">
      <alignment horizontal="center" vertical="center" wrapText="1"/>
    </xf>
    <xf numFmtId="0" fontId="17" fillId="11" borderId="96" xfId="7" applyFont="1" applyFill="1" applyBorder="1" applyAlignment="1" applyProtection="1">
      <alignment horizontal="center" vertical="center" wrapText="1"/>
    </xf>
    <xf numFmtId="0" fontId="17" fillId="11" borderId="14" xfId="7" applyFont="1" applyFill="1" applyBorder="1" applyAlignment="1" applyProtection="1">
      <alignment horizontal="center" vertical="center" wrapText="1"/>
    </xf>
    <xf numFmtId="0" fontId="17" fillId="11" borderId="97" xfId="7" applyFont="1" applyFill="1" applyBorder="1" applyAlignment="1" applyProtection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5" fillId="8" borderId="83" xfId="0" applyFont="1" applyFill="1" applyBorder="1" applyAlignment="1">
      <alignment horizontal="center" vertical="center"/>
    </xf>
    <xf numFmtId="0" fontId="25" fillId="8" borderId="91" xfId="0" applyFont="1" applyFill="1" applyBorder="1" applyAlignment="1">
      <alignment horizontal="center" vertical="center"/>
    </xf>
    <xf numFmtId="0" fontId="25" fillId="8" borderId="92" xfId="0" applyFont="1" applyFill="1" applyBorder="1" applyAlignment="1">
      <alignment horizontal="center" vertical="center"/>
    </xf>
    <xf numFmtId="0" fontId="25" fillId="8" borderId="56" xfId="0" applyFont="1" applyFill="1" applyBorder="1" applyAlignment="1">
      <alignment horizontal="center" vertical="center"/>
    </xf>
    <xf numFmtId="0" fontId="25" fillId="8" borderId="58" xfId="0" applyFont="1" applyFill="1" applyBorder="1" applyAlignment="1">
      <alignment horizontal="center" vertical="center"/>
    </xf>
    <xf numFmtId="0" fontId="0" fillId="0" borderId="93" xfId="0" applyFont="1" applyBorder="1" applyAlignment="1">
      <alignment horizontal="center" vertical="center"/>
    </xf>
    <xf numFmtId="0" fontId="0" fillId="0" borderId="81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81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55" fillId="0" borderId="162" xfId="16" applyFont="1" applyBorder="1" applyAlignment="1">
      <alignment horizontal="center" vertical="center"/>
    </xf>
    <xf numFmtId="0" fontId="40" fillId="0" borderId="159" xfId="16" applyFont="1" applyBorder="1"/>
    <xf numFmtId="0" fontId="34" fillId="0" borderId="0" xfId="16" applyFont="1" applyBorder="1" applyAlignment="1">
      <alignment vertical="center" wrapText="1"/>
    </xf>
    <xf numFmtId="0" fontId="16" fillId="0" borderId="0" xfId="16" applyFont="1" applyBorder="1" applyAlignment="1"/>
    <xf numFmtId="0" fontId="34" fillId="19" borderId="170" xfId="16" applyFont="1" applyFill="1" applyBorder="1" applyAlignment="1">
      <alignment horizontal="center" vertical="center" wrapText="1"/>
    </xf>
    <xf numFmtId="0" fontId="40" fillId="0" borderId="132" xfId="16" applyFont="1" applyBorder="1"/>
    <xf numFmtId="0" fontId="40" fillId="0" borderId="137" xfId="16" applyFont="1" applyBorder="1"/>
    <xf numFmtId="0" fontId="34" fillId="19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53" fillId="20" borderId="140" xfId="16" applyFont="1" applyFill="1" applyBorder="1" applyAlignment="1">
      <alignment horizontal="center" vertical="center"/>
    </xf>
    <xf numFmtId="0" fontId="40" fillId="0" borderId="142" xfId="16" applyFont="1" applyBorder="1"/>
    <xf numFmtId="0" fontId="53" fillId="20" borderId="136" xfId="16" applyFont="1" applyFill="1" applyBorder="1" applyAlignment="1">
      <alignment horizontal="center" vertical="center"/>
    </xf>
    <xf numFmtId="0" fontId="40" fillId="0" borderId="135" xfId="16" applyFont="1" applyBorder="1"/>
    <xf numFmtId="0" fontId="40" fillId="0" borderId="134" xfId="16" applyFont="1" applyBorder="1"/>
    <xf numFmtId="0" fontId="54" fillId="0" borderId="140" xfId="16" applyFont="1" applyBorder="1" applyAlignment="1">
      <alignment horizontal="center" vertical="center"/>
    </xf>
    <xf numFmtId="0" fontId="56" fillId="0" borderId="142" xfId="16" applyFont="1" applyBorder="1"/>
    <xf numFmtId="0" fontId="47" fillId="20" borderId="134" xfId="16" applyFont="1" applyFill="1" applyBorder="1" applyAlignment="1">
      <alignment horizontal="center" vertical="center" wrapText="1"/>
    </xf>
    <xf numFmtId="0" fontId="47" fillId="0" borderId="136" xfId="16" applyFont="1" applyBorder="1" applyAlignment="1">
      <alignment horizontal="center" vertical="center" wrapText="1"/>
    </xf>
    <xf numFmtId="0" fontId="34" fillId="19" borderId="130" xfId="16" applyFont="1" applyFill="1" applyBorder="1" applyAlignment="1">
      <alignment horizontal="center" vertical="center" wrapText="1"/>
    </xf>
    <xf numFmtId="0" fontId="53" fillId="20" borderId="134" xfId="16" applyFont="1" applyFill="1" applyBorder="1" applyAlignment="1">
      <alignment horizontal="center" vertical="center" wrapText="1"/>
    </xf>
    <xf numFmtId="0" fontId="49" fillId="21" borderId="134" xfId="16" applyFont="1" applyFill="1" applyBorder="1" applyAlignment="1">
      <alignment horizontal="center" vertical="center" wrapText="1"/>
    </xf>
    <xf numFmtId="0" fontId="51" fillId="21" borderId="136" xfId="16" applyFont="1" applyFill="1" applyBorder="1" applyAlignment="1">
      <alignment horizontal="center" vertical="center" wrapText="1"/>
    </xf>
    <xf numFmtId="0" fontId="53" fillId="20" borderId="134" xfId="16" applyFont="1" applyFill="1" applyBorder="1" applyAlignment="1">
      <alignment horizontal="center" vertical="center"/>
    </xf>
    <xf numFmtId="0" fontId="53" fillId="0" borderId="136" xfId="16" applyFont="1" applyBorder="1" applyAlignment="1">
      <alignment horizontal="center" vertical="center"/>
    </xf>
    <xf numFmtId="0" fontId="47" fillId="20" borderId="134" xfId="16" applyFont="1" applyFill="1" applyBorder="1" applyAlignment="1">
      <alignment horizontal="center" vertical="center"/>
    </xf>
    <xf numFmtId="0" fontId="47" fillId="0" borderId="115" xfId="16" applyFont="1" applyBorder="1" applyAlignment="1">
      <alignment horizontal="center" vertical="center"/>
    </xf>
    <xf numFmtId="0" fontId="40" fillId="0" borderId="133" xfId="16" applyFont="1" applyBorder="1"/>
    <xf numFmtId="0" fontId="40" fillId="0" borderId="143" xfId="16" applyFont="1" applyBorder="1"/>
    <xf numFmtId="0" fontId="47" fillId="0" borderId="136" xfId="16" applyFont="1" applyBorder="1" applyAlignment="1">
      <alignment horizontal="center" vertical="center"/>
    </xf>
    <xf numFmtId="0" fontId="49" fillId="0" borderId="148" xfId="16" applyFont="1" applyBorder="1" applyAlignment="1">
      <alignment horizontal="center" vertical="center" wrapText="1"/>
    </xf>
    <xf numFmtId="0" fontId="40" fillId="0" borderId="154" xfId="16" applyFont="1" applyBorder="1"/>
    <xf numFmtId="0" fontId="49" fillId="0" borderId="151" xfId="16" applyFont="1" applyBorder="1" applyAlignment="1">
      <alignment horizontal="center" vertical="center" wrapText="1"/>
    </xf>
    <xf numFmtId="0" fontId="40" fillId="0" borderId="153" xfId="16" applyFont="1" applyBorder="1"/>
    <xf numFmtId="0" fontId="40" fillId="0" borderId="141" xfId="16" applyFont="1" applyBorder="1"/>
    <xf numFmtId="0" fontId="49" fillId="0" borderId="162" xfId="16" applyFont="1" applyBorder="1" applyAlignment="1">
      <alignment horizontal="center" vertical="center" wrapText="1"/>
    </xf>
    <xf numFmtId="0" fontId="49" fillId="0" borderId="164" xfId="16" applyFont="1" applyBorder="1" applyAlignment="1">
      <alignment horizontal="center" vertical="center" wrapText="1"/>
    </xf>
    <xf numFmtId="0" fontId="40" fillId="0" borderId="165" xfId="16" applyFont="1" applyBorder="1"/>
    <xf numFmtId="0" fontId="49" fillId="0" borderId="115" xfId="16" applyFont="1" applyBorder="1" applyAlignment="1">
      <alignment horizontal="center" vertical="center" wrapText="1"/>
    </xf>
    <xf numFmtId="0" fontId="49" fillId="0" borderId="166" xfId="16" applyFont="1" applyBorder="1" applyAlignment="1">
      <alignment horizontal="center" vertical="center" wrapText="1"/>
    </xf>
    <xf numFmtId="0" fontId="40" fillId="0" borderId="167" xfId="16" applyFont="1" applyBorder="1"/>
    <xf numFmtId="0" fontId="49" fillId="0" borderId="136" xfId="16" applyFont="1" applyBorder="1" applyAlignment="1">
      <alignment horizontal="center" vertical="center" wrapText="1"/>
    </xf>
    <xf numFmtId="0" fontId="48" fillId="21" borderId="146" xfId="16" applyFont="1" applyFill="1" applyBorder="1" applyAlignment="1">
      <alignment horizontal="center" vertical="center" wrapText="1"/>
    </xf>
    <xf numFmtId="0" fontId="40" fillId="0" borderId="147" xfId="16" applyFont="1" applyBorder="1"/>
    <xf numFmtId="0" fontId="49" fillId="0" borderId="149" xfId="16" applyFont="1" applyBorder="1" applyAlignment="1">
      <alignment horizontal="center" vertical="center" wrapText="1"/>
    </xf>
    <xf numFmtId="0" fontId="40" fillId="0" borderId="155" xfId="16" applyFont="1" applyBorder="1"/>
    <xf numFmtId="0" fontId="40" fillId="0" borderId="158" xfId="16" applyFont="1" applyBorder="1"/>
    <xf numFmtId="0" fontId="49" fillId="0" borderId="134" xfId="16" applyFont="1" applyBorder="1" applyAlignment="1">
      <alignment horizontal="center" vertical="center" wrapText="1"/>
    </xf>
    <xf numFmtId="0" fontId="51" fillId="0" borderId="136" xfId="16" applyFont="1" applyBorder="1" applyAlignment="1">
      <alignment horizontal="center" vertical="center" wrapText="1"/>
    </xf>
    <xf numFmtId="0" fontId="49" fillId="21" borderId="136" xfId="16" applyFont="1" applyFill="1" applyBorder="1" applyAlignment="1">
      <alignment horizontal="center" vertical="center" wrapText="1"/>
    </xf>
    <xf numFmtId="0" fontId="47" fillId="20" borderId="139" xfId="16" applyFont="1" applyFill="1" applyBorder="1" applyAlignment="1">
      <alignment horizontal="center" vertical="center"/>
    </xf>
    <xf numFmtId="0" fontId="40" fillId="0" borderId="140" xfId="16" applyFont="1" applyBorder="1"/>
    <xf numFmtId="0" fontId="47" fillId="0" borderId="115" xfId="16" applyFont="1" applyBorder="1" applyAlignment="1">
      <alignment horizontal="center" vertical="center" wrapText="1"/>
    </xf>
    <xf numFmtId="0" fontId="40" fillId="0" borderId="139" xfId="16" applyFont="1" applyBorder="1"/>
    <xf numFmtId="0" fontId="43" fillId="0" borderId="0" xfId="16" applyFont="1" applyAlignment="1">
      <alignment horizontal="center" vertical="center"/>
    </xf>
    <xf numFmtId="0" fontId="45" fillId="0" borderId="0" xfId="16" applyFont="1" applyAlignment="1"/>
    <xf numFmtId="0" fontId="46" fillId="0" borderId="131" xfId="16" applyFont="1" applyBorder="1" applyAlignment="1">
      <alignment horizontal="center" vertical="center"/>
    </xf>
    <xf numFmtId="0" fontId="40" fillId="0" borderId="27" xfId="16" applyFont="1" applyBorder="1"/>
    <xf numFmtId="0" fontId="40" fillId="0" borderId="24" xfId="16" applyFont="1" applyBorder="1"/>
    <xf numFmtId="0" fontId="46" fillId="8" borderId="4" xfId="16" applyFont="1" applyFill="1" applyBorder="1" applyAlignment="1">
      <alignment horizontal="center" vertical="center"/>
    </xf>
    <xf numFmtId="0" fontId="40" fillId="8" borderId="27" xfId="16" applyFont="1" applyFill="1" applyBorder="1"/>
    <xf numFmtId="0" fontId="40" fillId="8" borderId="24" xfId="16" applyFont="1" applyFill="1" applyBorder="1"/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35F11D7D-D922-4573-B4B5-572EDA444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63800" y="154305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B1:AD104"/>
  <sheetViews>
    <sheetView tabSelected="1" view="pageBreakPreview" zoomScaleNormal="100" zoomScaleSheetLayoutView="100" workbookViewId="0">
      <pane ySplit="8" topLeftCell="A9" activePane="bottomLeft" state="frozen"/>
      <selection pane="bottomLeft" activeCell="B2" sqref="B2:U2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375" style="4" customWidth="1"/>
    <col min="26" max="26" width="8.75" style="4"/>
    <col min="27" max="27" width="16.375" style="4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420" t="s">
        <v>503</v>
      </c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  <c r="R2" s="420"/>
      <c r="S2" s="420"/>
      <c r="T2" s="420"/>
      <c r="U2" s="421"/>
      <c r="V2" s="422" t="s">
        <v>130</v>
      </c>
      <c r="W2" s="423"/>
      <c r="X2" s="418">
        <v>2027</v>
      </c>
      <c r="Y2" s="419"/>
      <c r="AA2" s="424" t="s">
        <v>144</v>
      </c>
      <c r="AB2" s="19" t="s">
        <v>145</v>
      </c>
      <c r="AC2" s="47" t="s">
        <v>152</v>
      </c>
      <c r="AD2" s="20" t="s">
        <v>146</v>
      </c>
    </row>
    <row r="3" spans="2:30" ht="17.25" thickBot="1">
      <c r="B3" s="404" t="s">
        <v>348</v>
      </c>
      <c r="C3" s="406" t="s">
        <v>53</v>
      </c>
      <c r="D3" s="407"/>
      <c r="E3" s="407"/>
      <c r="F3" s="406" t="s">
        <v>64</v>
      </c>
      <c r="G3" s="410"/>
      <c r="H3" s="406" t="s">
        <v>54</v>
      </c>
      <c r="I3" s="407"/>
      <c r="J3" s="407"/>
      <c r="K3" s="406" t="s">
        <v>55</v>
      </c>
      <c r="L3" s="407"/>
      <c r="M3" s="407"/>
      <c r="N3" s="407"/>
      <c r="O3" s="410"/>
      <c r="P3" s="412" t="s">
        <v>56</v>
      </c>
      <c r="Q3" s="413"/>
      <c r="R3" s="413"/>
      <c r="S3" s="413"/>
      <c r="T3" s="413"/>
      <c r="U3" s="413"/>
      <c r="V3" s="413"/>
      <c r="W3" s="413"/>
      <c r="X3" s="413"/>
      <c r="Y3" s="414"/>
      <c r="AA3" s="425"/>
      <c r="AB3" s="21" t="s">
        <v>147</v>
      </c>
      <c r="AC3" s="54" t="s">
        <v>509</v>
      </c>
      <c r="AD3" s="22" t="s">
        <v>510</v>
      </c>
    </row>
    <row r="4" spans="2:30" ht="17.25" thickBot="1">
      <c r="B4" s="405"/>
      <c r="C4" s="408"/>
      <c r="D4" s="409"/>
      <c r="E4" s="409"/>
      <c r="F4" s="408"/>
      <c r="G4" s="411"/>
      <c r="H4" s="408"/>
      <c r="I4" s="409"/>
      <c r="J4" s="409"/>
      <c r="K4" s="408"/>
      <c r="L4" s="409"/>
      <c r="M4" s="409"/>
      <c r="N4" s="409"/>
      <c r="O4" s="411"/>
      <c r="P4" s="412" t="s">
        <v>127</v>
      </c>
      <c r="Q4" s="413"/>
      <c r="R4" s="413"/>
      <c r="S4" s="413"/>
      <c r="T4" s="412" t="s">
        <v>61</v>
      </c>
      <c r="U4" s="413"/>
      <c r="V4" s="414"/>
      <c r="W4" s="413" t="s">
        <v>128</v>
      </c>
      <c r="X4" s="413"/>
      <c r="Y4" s="414"/>
      <c r="AA4" s="425"/>
      <c r="AB4" s="23" t="s">
        <v>148</v>
      </c>
      <c r="AC4" s="55" t="s">
        <v>505</v>
      </c>
      <c r="AD4" s="22" t="s">
        <v>507</v>
      </c>
    </row>
    <row r="5" spans="2:30" ht="26.25" customHeight="1" thickBot="1">
      <c r="B5" s="90" t="s">
        <v>501</v>
      </c>
      <c r="C5" s="370" t="s">
        <v>504</v>
      </c>
      <c r="D5" s="371"/>
      <c r="E5" s="372"/>
      <c r="F5" s="370" t="s">
        <v>543</v>
      </c>
      <c r="G5" s="373"/>
      <c r="H5" s="374" t="s">
        <v>545</v>
      </c>
      <c r="I5" s="371"/>
      <c r="J5" s="372"/>
      <c r="K5" s="370" t="s">
        <v>544</v>
      </c>
      <c r="L5" s="371"/>
      <c r="M5" s="371"/>
      <c r="N5" s="371"/>
      <c r="O5" s="373"/>
      <c r="P5" s="374" t="s">
        <v>546</v>
      </c>
      <c r="Q5" s="371"/>
      <c r="R5" s="371"/>
      <c r="S5" s="372"/>
      <c r="T5" s="370" t="s">
        <v>34</v>
      </c>
      <c r="U5" s="371"/>
      <c r="V5" s="372"/>
      <c r="W5" s="375" t="s">
        <v>547</v>
      </c>
      <c r="X5" s="376"/>
      <c r="Y5" s="377"/>
      <c r="AA5" s="426"/>
      <c r="AB5" s="24" t="s">
        <v>149</v>
      </c>
      <c r="AC5" s="157" t="s">
        <v>506</v>
      </c>
      <c r="AD5" s="25" t="s">
        <v>508</v>
      </c>
    </row>
    <row r="6" spans="2:30" ht="15.75" customHeight="1" thickBot="1">
      <c r="U6" s="378"/>
      <c r="V6" s="378"/>
      <c r="W6" s="378"/>
      <c r="X6" s="378"/>
      <c r="Y6" s="378"/>
    </row>
    <row r="7" spans="2:30" s="10" customFormat="1" ht="22.5" customHeight="1">
      <c r="B7" s="379" t="s">
        <v>2</v>
      </c>
      <c r="C7" s="380"/>
      <c r="D7" s="383" t="s">
        <v>120</v>
      </c>
      <c r="E7" s="385" t="s">
        <v>57</v>
      </c>
      <c r="F7" s="386"/>
      <c r="G7" s="387"/>
      <c r="H7" s="388" t="s">
        <v>134</v>
      </c>
      <c r="I7" s="391" t="s">
        <v>135</v>
      </c>
      <c r="J7" s="395" t="s">
        <v>136</v>
      </c>
      <c r="K7" s="390" t="s">
        <v>58</v>
      </c>
      <c r="L7" s="391"/>
      <c r="M7" s="391"/>
      <c r="N7" s="392"/>
      <c r="O7" s="393" t="s">
        <v>59</v>
      </c>
      <c r="P7" s="391"/>
      <c r="Q7" s="391"/>
      <c r="R7" s="392"/>
      <c r="S7" s="390" t="s">
        <v>60</v>
      </c>
      <c r="T7" s="391"/>
      <c r="U7" s="391"/>
      <c r="V7" s="394"/>
      <c r="W7" s="388" t="s">
        <v>137</v>
      </c>
      <c r="X7" s="395"/>
      <c r="Y7" s="387" t="s">
        <v>138</v>
      </c>
      <c r="Z7" s="9"/>
    </row>
    <row r="8" spans="2:30" s="10" customFormat="1" ht="22.5" customHeight="1" thickBot="1">
      <c r="B8" s="381"/>
      <c r="C8" s="382"/>
      <c r="D8" s="384"/>
      <c r="E8" s="26" t="s">
        <v>18</v>
      </c>
      <c r="F8" s="398" t="s">
        <v>19</v>
      </c>
      <c r="G8" s="399"/>
      <c r="H8" s="389"/>
      <c r="I8" s="401"/>
      <c r="J8" s="396"/>
      <c r="K8" s="400" t="s">
        <v>0</v>
      </c>
      <c r="L8" s="401"/>
      <c r="M8" s="401" t="s">
        <v>62</v>
      </c>
      <c r="N8" s="402"/>
      <c r="O8" s="403" t="s">
        <v>0</v>
      </c>
      <c r="P8" s="401"/>
      <c r="Q8" s="401" t="s">
        <v>62</v>
      </c>
      <c r="R8" s="402"/>
      <c r="S8" s="400" t="s">
        <v>0</v>
      </c>
      <c r="T8" s="401"/>
      <c r="U8" s="401" t="s">
        <v>62</v>
      </c>
      <c r="V8" s="427"/>
      <c r="W8" s="389"/>
      <c r="X8" s="396"/>
      <c r="Y8" s="397"/>
      <c r="AA8" s="245" t="s">
        <v>487</v>
      </c>
      <c r="AB8" s="245"/>
      <c r="AC8" s="245"/>
      <c r="AD8" s="245"/>
    </row>
    <row r="9" spans="2:30" ht="16.5" customHeight="1" thickBot="1">
      <c r="B9" s="415" t="s">
        <v>338</v>
      </c>
      <c r="C9" s="302"/>
      <c r="D9" s="354" t="s">
        <v>21</v>
      </c>
      <c r="E9" s="56" t="s">
        <v>537</v>
      </c>
      <c r="F9" s="285" t="s">
        <v>511</v>
      </c>
      <c r="G9" s="288"/>
      <c r="H9" s="57">
        <v>4</v>
      </c>
      <c r="I9" s="58" t="s">
        <v>352</v>
      </c>
      <c r="J9" s="59">
        <v>3</v>
      </c>
      <c r="K9" s="285">
        <v>3</v>
      </c>
      <c r="L9" s="235"/>
      <c r="M9" s="286"/>
      <c r="N9" s="287"/>
      <c r="O9" s="234"/>
      <c r="P9" s="235"/>
      <c r="Q9" s="286"/>
      <c r="R9" s="287"/>
      <c r="S9" s="234"/>
      <c r="T9" s="235"/>
      <c r="U9" s="286"/>
      <c r="V9" s="288"/>
      <c r="W9" s="60">
        <f>SUM(K9:V9)</f>
        <v>3</v>
      </c>
      <c r="X9" s="329">
        <f>SUM(W9:W12)</f>
        <v>12</v>
      </c>
      <c r="Y9" s="360">
        <v>24</v>
      </c>
      <c r="AA9" s="151" t="s">
        <v>488</v>
      </c>
      <c r="AB9" s="152" t="s">
        <v>494</v>
      </c>
      <c r="AC9" s="152" t="s">
        <v>495</v>
      </c>
      <c r="AD9" s="153" t="s">
        <v>496</v>
      </c>
    </row>
    <row r="10" spans="2:30" ht="17.25" thickBot="1">
      <c r="B10" s="416"/>
      <c r="C10" s="303"/>
      <c r="D10" s="355"/>
      <c r="E10" s="61" t="s">
        <v>537</v>
      </c>
      <c r="F10" s="209" t="s">
        <v>512</v>
      </c>
      <c r="G10" s="238"/>
      <c r="H10" s="62">
        <v>4</v>
      </c>
      <c r="I10" s="63" t="s">
        <v>352</v>
      </c>
      <c r="J10" s="64">
        <v>3</v>
      </c>
      <c r="K10" s="209"/>
      <c r="L10" s="210"/>
      <c r="M10" s="217">
        <v>3</v>
      </c>
      <c r="N10" s="218"/>
      <c r="O10" s="237"/>
      <c r="P10" s="210"/>
      <c r="Q10" s="217"/>
      <c r="R10" s="218"/>
      <c r="S10" s="237"/>
      <c r="T10" s="210"/>
      <c r="U10" s="217"/>
      <c r="V10" s="238"/>
      <c r="W10" s="65">
        <f t="shared" ref="W10:W26" si="0">SUM(K10:V10)</f>
        <v>3</v>
      </c>
      <c r="X10" s="367"/>
      <c r="Y10" s="360"/>
      <c r="AA10" s="154" t="s">
        <v>489</v>
      </c>
      <c r="AB10" s="155">
        <v>4</v>
      </c>
      <c r="AC10" s="155">
        <v>-1</v>
      </c>
      <c r="AD10" s="22" t="s">
        <v>497</v>
      </c>
    </row>
    <row r="11" spans="2:30" ht="17.25" thickBot="1">
      <c r="B11" s="416"/>
      <c r="C11" s="303"/>
      <c r="D11" s="355"/>
      <c r="E11" s="66" t="s">
        <v>538</v>
      </c>
      <c r="F11" s="209" t="s">
        <v>513</v>
      </c>
      <c r="G11" s="238"/>
      <c r="H11" s="158">
        <v>4</v>
      </c>
      <c r="I11" s="159" t="s">
        <v>354</v>
      </c>
      <c r="J11" s="160">
        <v>3</v>
      </c>
      <c r="K11" s="209"/>
      <c r="L11" s="210"/>
      <c r="M11" s="217"/>
      <c r="N11" s="218"/>
      <c r="O11" s="237"/>
      <c r="P11" s="210"/>
      <c r="Q11" s="217">
        <v>3</v>
      </c>
      <c r="R11" s="218"/>
      <c r="S11" s="237"/>
      <c r="T11" s="210"/>
      <c r="U11" s="217"/>
      <c r="V11" s="238"/>
      <c r="W11" s="65">
        <v>3</v>
      </c>
      <c r="X11" s="367"/>
      <c r="Y11" s="360"/>
      <c r="AA11" s="154"/>
      <c r="AB11" s="155"/>
      <c r="AC11" s="155"/>
      <c r="AD11" s="22"/>
    </row>
    <row r="12" spans="2:30" ht="17.25" thickBot="1">
      <c r="B12" s="416"/>
      <c r="C12" s="303"/>
      <c r="D12" s="363"/>
      <c r="E12" s="66" t="s">
        <v>539</v>
      </c>
      <c r="F12" s="213" t="s">
        <v>514</v>
      </c>
      <c r="G12" s="298"/>
      <c r="H12" s="67">
        <v>4</v>
      </c>
      <c r="I12" s="68" t="s">
        <v>354</v>
      </c>
      <c r="J12" s="69">
        <v>3</v>
      </c>
      <c r="K12" s="213"/>
      <c r="L12" s="214"/>
      <c r="M12" s="297"/>
      <c r="N12" s="334"/>
      <c r="O12" s="333"/>
      <c r="P12" s="214"/>
      <c r="Q12" s="297"/>
      <c r="R12" s="334"/>
      <c r="S12" s="333">
        <v>3</v>
      </c>
      <c r="T12" s="214"/>
      <c r="U12" s="297"/>
      <c r="V12" s="298"/>
      <c r="W12" s="65">
        <f t="shared" si="0"/>
        <v>3</v>
      </c>
      <c r="X12" s="367"/>
      <c r="Y12" s="360"/>
      <c r="AA12" s="154" t="s">
        <v>490</v>
      </c>
      <c r="AB12" s="155">
        <v>3</v>
      </c>
      <c r="AC12" s="155"/>
      <c r="AD12" s="22">
        <v>3</v>
      </c>
    </row>
    <row r="13" spans="2:30" ht="17.25" thickBot="1">
      <c r="B13" s="416"/>
      <c r="C13" s="303"/>
      <c r="D13" s="354" t="s">
        <v>5</v>
      </c>
      <c r="E13" s="56" t="s">
        <v>537</v>
      </c>
      <c r="F13" s="285" t="s">
        <v>515</v>
      </c>
      <c r="G13" s="288"/>
      <c r="H13" s="57">
        <v>4</v>
      </c>
      <c r="I13" s="58" t="s">
        <v>352</v>
      </c>
      <c r="J13" s="59">
        <v>3</v>
      </c>
      <c r="K13" s="285">
        <v>3</v>
      </c>
      <c r="L13" s="235"/>
      <c r="M13" s="286"/>
      <c r="N13" s="287"/>
      <c r="O13" s="234"/>
      <c r="P13" s="235"/>
      <c r="Q13" s="286"/>
      <c r="R13" s="287"/>
      <c r="S13" s="234"/>
      <c r="T13" s="235"/>
      <c r="U13" s="286"/>
      <c r="V13" s="288"/>
      <c r="W13" s="60">
        <f t="shared" si="0"/>
        <v>3</v>
      </c>
      <c r="X13" s="329">
        <f t="shared" ref="X13" si="1">SUM(W13:W16)</f>
        <v>12</v>
      </c>
      <c r="Y13" s="360"/>
      <c r="AA13" s="154" t="s">
        <v>491</v>
      </c>
      <c r="AB13" s="155">
        <v>4</v>
      </c>
      <c r="AC13" s="155" t="s">
        <v>500</v>
      </c>
      <c r="AD13" s="22" t="s">
        <v>498</v>
      </c>
    </row>
    <row r="14" spans="2:30" ht="17.25" thickBot="1">
      <c r="B14" s="416"/>
      <c r="C14" s="303"/>
      <c r="D14" s="355"/>
      <c r="E14" s="61" t="s">
        <v>537</v>
      </c>
      <c r="F14" s="209" t="s">
        <v>215</v>
      </c>
      <c r="G14" s="238"/>
      <c r="H14" s="62">
        <v>4</v>
      </c>
      <c r="I14" s="63" t="s">
        <v>352</v>
      </c>
      <c r="J14" s="64">
        <v>3</v>
      </c>
      <c r="K14" s="209"/>
      <c r="L14" s="210"/>
      <c r="M14" s="217">
        <v>3</v>
      </c>
      <c r="N14" s="218"/>
      <c r="O14" s="237"/>
      <c r="P14" s="210"/>
      <c r="Q14" s="217"/>
      <c r="R14" s="218"/>
      <c r="S14" s="237"/>
      <c r="T14" s="210"/>
      <c r="U14" s="217"/>
      <c r="V14" s="238"/>
      <c r="W14" s="65">
        <f t="shared" si="0"/>
        <v>3</v>
      </c>
      <c r="X14" s="367"/>
      <c r="Y14" s="360"/>
      <c r="AA14" s="154" t="s">
        <v>492</v>
      </c>
      <c r="AB14" s="155">
        <v>3</v>
      </c>
      <c r="AC14" s="155" t="s">
        <v>500</v>
      </c>
      <c r="AD14" s="22" t="s">
        <v>499</v>
      </c>
    </row>
    <row r="15" spans="2:30" ht="17.25" thickBot="1">
      <c r="B15" s="416"/>
      <c r="C15" s="303"/>
      <c r="D15" s="355"/>
      <c r="E15" s="66" t="s">
        <v>538</v>
      </c>
      <c r="F15" s="209" t="s">
        <v>516</v>
      </c>
      <c r="G15" s="238"/>
      <c r="H15" s="158">
        <v>4</v>
      </c>
      <c r="I15" s="159" t="s">
        <v>354</v>
      </c>
      <c r="J15" s="160">
        <v>3</v>
      </c>
      <c r="K15" s="209"/>
      <c r="L15" s="210"/>
      <c r="M15" s="217"/>
      <c r="N15" s="218"/>
      <c r="O15" s="237"/>
      <c r="P15" s="210"/>
      <c r="Q15" s="217">
        <v>3</v>
      </c>
      <c r="R15" s="218"/>
      <c r="S15" s="237"/>
      <c r="T15" s="210"/>
      <c r="U15" s="217"/>
      <c r="V15" s="238"/>
      <c r="W15" s="65">
        <v>3</v>
      </c>
      <c r="X15" s="367"/>
      <c r="Y15" s="360"/>
      <c r="AA15" s="161"/>
      <c r="AB15" s="162"/>
      <c r="AC15" s="162"/>
      <c r="AD15" s="163"/>
    </row>
    <row r="16" spans="2:30" ht="17.25" thickBot="1">
      <c r="B16" s="416"/>
      <c r="C16" s="303"/>
      <c r="D16" s="363"/>
      <c r="E16" s="66" t="s">
        <v>539</v>
      </c>
      <c r="F16" s="213" t="s">
        <v>517</v>
      </c>
      <c r="G16" s="298"/>
      <c r="H16" s="67">
        <v>4</v>
      </c>
      <c r="I16" s="68" t="s">
        <v>354</v>
      </c>
      <c r="J16" s="69">
        <v>3</v>
      </c>
      <c r="K16" s="213"/>
      <c r="L16" s="214"/>
      <c r="M16" s="297"/>
      <c r="N16" s="334"/>
      <c r="O16" s="333"/>
      <c r="P16" s="214"/>
      <c r="Q16" s="297"/>
      <c r="R16" s="334"/>
      <c r="S16" s="333">
        <v>3</v>
      </c>
      <c r="T16" s="214"/>
      <c r="U16" s="297"/>
      <c r="V16" s="298"/>
      <c r="W16" s="65">
        <f t="shared" si="0"/>
        <v>3</v>
      </c>
      <c r="X16" s="367"/>
      <c r="Y16" s="360"/>
      <c r="AA16" s="156" t="s">
        <v>493</v>
      </c>
      <c r="AB16" s="243" t="s">
        <v>502</v>
      </c>
      <c r="AC16" s="243"/>
      <c r="AD16" s="244"/>
    </row>
    <row r="17" spans="2:29" ht="17.25" thickBot="1">
      <c r="B17" s="416"/>
      <c r="C17" s="303"/>
      <c r="D17" s="354" t="s">
        <v>6</v>
      </c>
      <c r="E17" s="56" t="s">
        <v>537</v>
      </c>
      <c r="F17" s="285" t="s">
        <v>520</v>
      </c>
      <c r="G17" s="288"/>
      <c r="H17" s="57">
        <v>4</v>
      </c>
      <c r="I17" s="58" t="s">
        <v>352</v>
      </c>
      <c r="J17" s="59">
        <v>3</v>
      </c>
      <c r="K17" s="285">
        <v>3</v>
      </c>
      <c r="L17" s="235"/>
      <c r="M17" s="286"/>
      <c r="N17" s="287"/>
      <c r="O17" s="234"/>
      <c r="P17" s="235"/>
      <c r="Q17" s="286"/>
      <c r="R17" s="287"/>
      <c r="S17" s="234"/>
      <c r="T17" s="235"/>
      <c r="U17" s="286"/>
      <c r="V17" s="288"/>
      <c r="W17" s="60">
        <f t="shared" si="0"/>
        <v>3</v>
      </c>
      <c r="X17" s="329">
        <f t="shared" ref="X17" si="2">SUM(W17:W20)</f>
        <v>14</v>
      </c>
      <c r="Y17" s="360"/>
    </row>
    <row r="18" spans="2:29" ht="17.25" thickBot="1">
      <c r="B18" s="416"/>
      <c r="C18" s="303"/>
      <c r="D18" s="355"/>
      <c r="E18" s="61" t="s">
        <v>537</v>
      </c>
      <c r="F18" s="209" t="s">
        <v>518</v>
      </c>
      <c r="G18" s="238"/>
      <c r="H18" s="62">
        <v>4</v>
      </c>
      <c r="I18" s="63" t="s">
        <v>352</v>
      </c>
      <c r="J18" s="64">
        <v>3</v>
      </c>
      <c r="K18" s="209"/>
      <c r="L18" s="210"/>
      <c r="M18" s="217">
        <v>3</v>
      </c>
      <c r="N18" s="218"/>
      <c r="O18" s="237"/>
      <c r="P18" s="210"/>
      <c r="Q18" s="217"/>
      <c r="R18" s="218"/>
      <c r="S18" s="237"/>
      <c r="T18" s="210"/>
      <c r="U18" s="217"/>
      <c r="V18" s="238"/>
      <c r="W18" s="65">
        <f t="shared" si="0"/>
        <v>3</v>
      </c>
      <c r="X18" s="367"/>
      <c r="Y18" s="360"/>
    </row>
    <row r="19" spans="2:29" ht="17.25" thickBot="1">
      <c r="B19" s="416"/>
      <c r="C19" s="303"/>
      <c r="D19" s="355"/>
      <c r="E19" s="164" t="s">
        <v>538</v>
      </c>
      <c r="F19" s="209" t="s">
        <v>519</v>
      </c>
      <c r="G19" s="238"/>
      <c r="H19" s="158">
        <v>4</v>
      </c>
      <c r="I19" s="159" t="s">
        <v>354</v>
      </c>
      <c r="J19" s="160">
        <v>3</v>
      </c>
      <c r="K19" s="209"/>
      <c r="L19" s="210"/>
      <c r="M19" s="217"/>
      <c r="N19" s="218"/>
      <c r="O19" s="237">
        <v>3</v>
      </c>
      <c r="P19" s="210"/>
      <c r="Q19" s="217"/>
      <c r="R19" s="218"/>
      <c r="S19" s="237"/>
      <c r="T19" s="210"/>
      <c r="U19" s="217"/>
      <c r="V19" s="238"/>
      <c r="W19" s="65">
        <v>3</v>
      </c>
      <c r="X19" s="367"/>
      <c r="Y19" s="360"/>
    </row>
    <row r="20" spans="2:29" ht="17.25" thickBot="1">
      <c r="B20" s="416"/>
      <c r="C20" s="303"/>
      <c r="D20" s="363"/>
      <c r="E20" s="70" t="s">
        <v>541</v>
      </c>
      <c r="F20" s="213" t="s">
        <v>521</v>
      </c>
      <c r="G20" s="298"/>
      <c r="H20" s="67">
        <v>4</v>
      </c>
      <c r="I20" s="68" t="s">
        <v>354</v>
      </c>
      <c r="J20" s="69">
        <v>5</v>
      </c>
      <c r="K20" s="213"/>
      <c r="L20" s="214"/>
      <c r="M20" s="297"/>
      <c r="N20" s="334"/>
      <c r="O20" s="333"/>
      <c r="P20" s="214"/>
      <c r="Q20" s="297">
        <v>5</v>
      </c>
      <c r="R20" s="334"/>
      <c r="S20" s="333"/>
      <c r="T20" s="214"/>
      <c r="U20" s="297"/>
      <c r="V20" s="298"/>
      <c r="W20" s="65">
        <f t="shared" si="0"/>
        <v>5</v>
      </c>
      <c r="X20" s="367"/>
      <c r="Y20" s="360"/>
    </row>
    <row r="21" spans="2:29" ht="17.25" thickBot="1">
      <c r="B21" s="416"/>
      <c r="C21" s="303"/>
      <c r="D21" s="354" t="s">
        <v>341</v>
      </c>
      <c r="E21" s="56" t="s">
        <v>537</v>
      </c>
      <c r="F21" s="285" t="s">
        <v>522</v>
      </c>
      <c r="G21" s="288"/>
      <c r="H21" s="57">
        <v>3</v>
      </c>
      <c r="I21" s="71" t="s">
        <v>542</v>
      </c>
      <c r="J21" s="59">
        <v>3</v>
      </c>
      <c r="K21" s="208"/>
      <c r="L21" s="205"/>
      <c r="M21" s="215"/>
      <c r="N21" s="216"/>
      <c r="O21" s="204">
        <v>3</v>
      </c>
      <c r="P21" s="205"/>
      <c r="Q21" s="215"/>
      <c r="R21" s="216"/>
      <c r="S21" s="204"/>
      <c r="T21" s="205"/>
      <c r="U21" s="215"/>
      <c r="V21" s="296"/>
      <c r="W21" s="60">
        <f t="shared" si="0"/>
        <v>3</v>
      </c>
      <c r="X21" s="329">
        <f>SUM(W21:W22)</f>
        <v>6</v>
      </c>
      <c r="Y21" s="360">
        <v>6</v>
      </c>
    </row>
    <row r="22" spans="2:29" ht="17.25" thickBot="1">
      <c r="B22" s="416"/>
      <c r="C22" s="303"/>
      <c r="D22" s="355"/>
      <c r="E22" s="72" t="s">
        <v>537</v>
      </c>
      <c r="F22" s="368" t="s">
        <v>523</v>
      </c>
      <c r="G22" s="369"/>
      <c r="H22" s="73">
        <v>3</v>
      </c>
      <c r="I22" s="74" t="s">
        <v>542</v>
      </c>
      <c r="J22" s="75">
        <v>3</v>
      </c>
      <c r="K22" s="213"/>
      <c r="L22" s="214"/>
      <c r="M22" s="297"/>
      <c r="N22" s="334"/>
      <c r="O22" s="333"/>
      <c r="P22" s="214"/>
      <c r="Q22" s="297">
        <v>3</v>
      </c>
      <c r="R22" s="334"/>
      <c r="S22" s="333"/>
      <c r="T22" s="214"/>
      <c r="U22" s="297"/>
      <c r="V22" s="298"/>
      <c r="W22" s="76">
        <f t="shared" si="0"/>
        <v>3</v>
      </c>
      <c r="X22" s="330"/>
      <c r="Y22" s="360"/>
      <c r="AA22" s="251"/>
      <c r="AB22" s="251"/>
      <c r="AC22" s="48"/>
    </row>
    <row r="23" spans="2:29" ht="17.25" thickBot="1">
      <c r="B23" s="416"/>
      <c r="C23" s="303"/>
      <c r="D23" s="355"/>
      <c r="E23" s="56" t="s">
        <v>537</v>
      </c>
      <c r="F23" s="285" t="s">
        <v>524</v>
      </c>
      <c r="G23" s="288"/>
      <c r="H23" s="57">
        <v>4</v>
      </c>
      <c r="I23" s="71" t="s">
        <v>352</v>
      </c>
      <c r="J23" s="59">
        <v>3</v>
      </c>
      <c r="K23" s="285">
        <v>3</v>
      </c>
      <c r="L23" s="235"/>
      <c r="M23" s="286"/>
      <c r="N23" s="287"/>
      <c r="O23" s="234"/>
      <c r="P23" s="235"/>
      <c r="Q23" s="286"/>
      <c r="R23" s="287"/>
      <c r="S23" s="234"/>
      <c r="T23" s="235"/>
      <c r="U23" s="286"/>
      <c r="V23" s="288"/>
      <c r="W23" s="60">
        <f t="shared" si="0"/>
        <v>3</v>
      </c>
      <c r="X23" s="329">
        <f>SUM(W23:W24)</f>
        <v>6</v>
      </c>
      <c r="Y23" s="360">
        <v>12</v>
      </c>
    </row>
    <row r="24" spans="2:29" ht="17.25" thickBot="1">
      <c r="B24" s="416"/>
      <c r="C24" s="303"/>
      <c r="D24" s="363"/>
      <c r="E24" s="70" t="s">
        <v>537</v>
      </c>
      <c r="F24" s="213" t="s">
        <v>525</v>
      </c>
      <c r="G24" s="298"/>
      <c r="H24" s="67">
        <v>4</v>
      </c>
      <c r="I24" s="68" t="s">
        <v>352</v>
      </c>
      <c r="J24" s="69">
        <v>3</v>
      </c>
      <c r="K24" s="213"/>
      <c r="L24" s="214"/>
      <c r="M24" s="297">
        <v>3</v>
      </c>
      <c r="N24" s="334"/>
      <c r="O24" s="333"/>
      <c r="P24" s="214"/>
      <c r="Q24" s="297"/>
      <c r="R24" s="334"/>
      <c r="S24" s="333"/>
      <c r="T24" s="214"/>
      <c r="U24" s="297"/>
      <c r="V24" s="298"/>
      <c r="W24" s="76">
        <f t="shared" si="0"/>
        <v>3</v>
      </c>
      <c r="X24" s="330"/>
      <c r="Y24" s="360"/>
    </row>
    <row r="25" spans="2:29" ht="17.25" thickBot="1">
      <c r="B25" s="416"/>
      <c r="C25" s="303"/>
      <c r="D25" s="354" t="s">
        <v>26</v>
      </c>
      <c r="E25" s="56" t="s">
        <v>537</v>
      </c>
      <c r="F25" s="285" t="s">
        <v>526</v>
      </c>
      <c r="G25" s="288"/>
      <c r="H25" s="57">
        <v>4</v>
      </c>
      <c r="I25" s="71" t="s">
        <v>352</v>
      </c>
      <c r="J25" s="59">
        <v>3</v>
      </c>
      <c r="K25" s="285">
        <v>3</v>
      </c>
      <c r="L25" s="235"/>
      <c r="M25" s="286"/>
      <c r="N25" s="287"/>
      <c r="O25" s="234"/>
      <c r="P25" s="235"/>
      <c r="Q25" s="286"/>
      <c r="R25" s="287"/>
      <c r="S25" s="234"/>
      <c r="T25" s="235"/>
      <c r="U25" s="286"/>
      <c r="V25" s="288"/>
      <c r="W25" s="60">
        <f t="shared" si="0"/>
        <v>3</v>
      </c>
      <c r="X25" s="302">
        <f>SUM(W25:W26)</f>
        <v>6</v>
      </c>
      <c r="Y25" s="360"/>
    </row>
    <row r="26" spans="2:29" ht="17.25" thickBot="1">
      <c r="B26" s="416"/>
      <c r="C26" s="303"/>
      <c r="D26" s="363"/>
      <c r="E26" s="70" t="s">
        <v>537</v>
      </c>
      <c r="F26" s="213" t="s">
        <v>527</v>
      </c>
      <c r="G26" s="298"/>
      <c r="H26" s="67">
        <v>4</v>
      </c>
      <c r="I26" s="68" t="s">
        <v>352</v>
      </c>
      <c r="J26" s="69">
        <v>3</v>
      </c>
      <c r="K26" s="213"/>
      <c r="L26" s="214"/>
      <c r="M26" s="297">
        <v>3</v>
      </c>
      <c r="N26" s="334"/>
      <c r="O26" s="333"/>
      <c r="P26" s="214"/>
      <c r="Q26" s="297"/>
      <c r="R26" s="334"/>
      <c r="S26" s="333"/>
      <c r="T26" s="214"/>
      <c r="U26" s="297"/>
      <c r="V26" s="298"/>
      <c r="W26" s="76">
        <f t="shared" si="0"/>
        <v>3</v>
      </c>
      <c r="X26" s="304"/>
      <c r="Y26" s="360"/>
    </row>
    <row r="27" spans="2:29" ht="16.5" customHeight="1" thickBot="1">
      <c r="B27" s="416"/>
      <c r="C27" s="303"/>
      <c r="D27" s="354" t="s">
        <v>8</v>
      </c>
      <c r="E27" s="56" t="s">
        <v>538</v>
      </c>
      <c r="F27" s="285" t="s">
        <v>528</v>
      </c>
      <c r="G27" s="288"/>
      <c r="H27" s="57">
        <v>3</v>
      </c>
      <c r="I27" s="71" t="s">
        <v>355</v>
      </c>
      <c r="J27" s="59">
        <v>2</v>
      </c>
      <c r="K27" s="285">
        <v>2</v>
      </c>
      <c r="L27" s="235"/>
      <c r="M27" s="286"/>
      <c r="N27" s="287"/>
      <c r="O27" s="234"/>
      <c r="P27" s="235"/>
      <c r="Q27" s="286"/>
      <c r="R27" s="287"/>
      <c r="S27" s="234"/>
      <c r="T27" s="235"/>
      <c r="U27" s="286"/>
      <c r="V27" s="288"/>
      <c r="W27" s="60">
        <f>SUM(K27:V27)</f>
        <v>2</v>
      </c>
      <c r="X27" s="364">
        <f>SUM(W27:W30)</f>
        <v>8</v>
      </c>
      <c r="Y27" s="360">
        <v>8</v>
      </c>
    </row>
    <row r="28" spans="2:29" ht="17.25" thickBot="1">
      <c r="B28" s="416"/>
      <c r="C28" s="303"/>
      <c r="D28" s="355"/>
      <c r="E28" s="61" t="s">
        <v>538</v>
      </c>
      <c r="F28" s="209" t="s">
        <v>529</v>
      </c>
      <c r="G28" s="238"/>
      <c r="H28" s="62">
        <v>3</v>
      </c>
      <c r="I28" s="63" t="s">
        <v>355</v>
      </c>
      <c r="J28" s="64">
        <v>2</v>
      </c>
      <c r="K28" s="209"/>
      <c r="L28" s="210"/>
      <c r="M28" s="217">
        <v>2</v>
      </c>
      <c r="N28" s="218"/>
      <c r="O28" s="237"/>
      <c r="P28" s="210"/>
      <c r="Q28" s="217"/>
      <c r="R28" s="218"/>
      <c r="S28" s="237"/>
      <c r="T28" s="210"/>
      <c r="U28" s="217"/>
      <c r="V28" s="238"/>
      <c r="W28" s="65">
        <f t="shared" ref="W28:W30" si="3">SUM(K28:V28)</f>
        <v>2</v>
      </c>
      <c r="X28" s="365"/>
      <c r="Y28" s="360"/>
    </row>
    <row r="29" spans="2:29" ht="17.25" thickBot="1">
      <c r="B29" s="416"/>
      <c r="C29" s="303"/>
      <c r="D29" s="355"/>
      <c r="E29" s="61" t="s">
        <v>540</v>
      </c>
      <c r="F29" s="209" t="s">
        <v>530</v>
      </c>
      <c r="G29" s="238"/>
      <c r="H29" s="62">
        <v>3</v>
      </c>
      <c r="I29" s="63" t="s">
        <v>355</v>
      </c>
      <c r="J29" s="64">
        <v>2</v>
      </c>
      <c r="K29" s="209"/>
      <c r="L29" s="210"/>
      <c r="M29" s="217"/>
      <c r="N29" s="218"/>
      <c r="O29" s="237">
        <v>2</v>
      </c>
      <c r="P29" s="210"/>
      <c r="Q29" s="217"/>
      <c r="R29" s="218"/>
      <c r="S29" s="237"/>
      <c r="T29" s="210"/>
      <c r="U29" s="217"/>
      <c r="V29" s="238"/>
      <c r="W29" s="65">
        <f t="shared" si="3"/>
        <v>2</v>
      </c>
      <c r="X29" s="365"/>
      <c r="Y29" s="360"/>
    </row>
    <row r="30" spans="2:29" ht="17.25" thickBot="1">
      <c r="B30" s="416"/>
      <c r="C30" s="303"/>
      <c r="D30" s="363"/>
      <c r="E30" s="70" t="s">
        <v>540</v>
      </c>
      <c r="F30" s="213" t="s">
        <v>531</v>
      </c>
      <c r="G30" s="298"/>
      <c r="H30" s="67">
        <v>3</v>
      </c>
      <c r="I30" s="68" t="s">
        <v>355</v>
      </c>
      <c r="J30" s="69">
        <v>2</v>
      </c>
      <c r="K30" s="213"/>
      <c r="L30" s="214"/>
      <c r="M30" s="297"/>
      <c r="N30" s="334"/>
      <c r="O30" s="333"/>
      <c r="P30" s="214"/>
      <c r="Q30" s="297">
        <v>2</v>
      </c>
      <c r="R30" s="334"/>
      <c r="S30" s="333"/>
      <c r="T30" s="214"/>
      <c r="U30" s="297"/>
      <c r="V30" s="298"/>
      <c r="W30" s="76">
        <f t="shared" si="3"/>
        <v>2</v>
      </c>
      <c r="X30" s="366"/>
      <c r="Y30" s="360"/>
    </row>
    <row r="31" spans="2:29" ht="17.25" thickBot="1">
      <c r="B31" s="416"/>
      <c r="C31" s="303"/>
      <c r="D31" s="354" t="s">
        <v>28</v>
      </c>
      <c r="E31" s="56" t="s">
        <v>538</v>
      </c>
      <c r="F31" s="285" t="s">
        <v>532</v>
      </c>
      <c r="G31" s="288"/>
      <c r="H31" s="57">
        <v>3</v>
      </c>
      <c r="I31" s="77" t="s">
        <v>355</v>
      </c>
      <c r="J31" s="59">
        <v>3</v>
      </c>
      <c r="K31" s="285"/>
      <c r="L31" s="235"/>
      <c r="M31" s="286"/>
      <c r="N31" s="287"/>
      <c r="O31" s="234">
        <v>3</v>
      </c>
      <c r="P31" s="235"/>
      <c r="Q31" s="286"/>
      <c r="R31" s="287"/>
      <c r="S31" s="234"/>
      <c r="T31" s="235"/>
      <c r="U31" s="286"/>
      <c r="V31" s="288"/>
      <c r="W31" s="356">
        <f>SUM(K31:V32)</f>
        <v>6</v>
      </c>
      <c r="X31" s="357"/>
      <c r="Y31" s="360">
        <v>6</v>
      </c>
    </row>
    <row r="32" spans="2:29" ht="17.25" thickBot="1">
      <c r="B32" s="416"/>
      <c r="C32" s="303"/>
      <c r="D32" s="355"/>
      <c r="E32" s="66" t="s">
        <v>538</v>
      </c>
      <c r="F32" s="209" t="s">
        <v>533</v>
      </c>
      <c r="G32" s="238"/>
      <c r="H32" s="62">
        <v>3</v>
      </c>
      <c r="I32" s="63" t="s">
        <v>355</v>
      </c>
      <c r="J32" s="64">
        <v>3</v>
      </c>
      <c r="K32" s="209"/>
      <c r="L32" s="210"/>
      <c r="M32" s="217"/>
      <c r="N32" s="218"/>
      <c r="O32" s="237"/>
      <c r="P32" s="210"/>
      <c r="Q32" s="217">
        <v>3</v>
      </c>
      <c r="R32" s="218"/>
      <c r="S32" s="237"/>
      <c r="T32" s="210"/>
      <c r="U32" s="217"/>
      <c r="V32" s="238"/>
      <c r="W32" s="358"/>
      <c r="X32" s="359"/>
      <c r="Y32" s="360"/>
    </row>
    <row r="33" spans="2:28" ht="16.5" customHeight="1" thickBot="1">
      <c r="B33" s="416"/>
      <c r="C33" s="303"/>
      <c r="D33" s="361" t="s">
        <v>344</v>
      </c>
      <c r="E33" s="56" t="s">
        <v>538</v>
      </c>
      <c r="F33" s="285" t="s">
        <v>534</v>
      </c>
      <c r="G33" s="288"/>
      <c r="H33" s="57">
        <v>3</v>
      </c>
      <c r="I33" s="71" t="s">
        <v>355</v>
      </c>
      <c r="J33" s="59">
        <v>3</v>
      </c>
      <c r="K33" s="285"/>
      <c r="L33" s="235"/>
      <c r="M33" s="286"/>
      <c r="N33" s="287"/>
      <c r="O33" s="234">
        <v>3</v>
      </c>
      <c r="P33" s="235"/>
      <c r="Q33" s="286"/>
      <c r="R33" s="287"/>
      <c r="S33" s="234"/>
      <c r="T33" s="235"/>
      <c r="U33" s="286"/>
      <c r="V33" s="288"/>
      <c r="W33" s="356">
        <f>SUM(K33:V35)</f>
        <v>9</v>
      </c>
      <c r="X33" s="357"/>
      <c r="Y33" s="360">
        <v>8</v>
      </c>
    </row>
    <row r="34" spans="2:28" ht="16.5" customHeight="1" thickBot="1">
      <c r="B34" s="416"/>
      <c r="C34" s="303"/>
      <c r="D34" s="362"/>
      <c r="E34" s="66" t="s">
        <v>538</v>
      </c>
      <c r="F34" s="209" t="s">
        <v>535</v>
      </c>
      <c r="G34" s="238"/>
      <c r="H34" s="62">
        <v>3</v>
      </c>
      <c r="I34" s="63" t="s">
        <v>355</v>
      </c>
      <c r="J34" s="64">
        <v>3</v>
      </c>
      <c r="K34" s="209"/>
      <c r="L34" s="210"/>
      <c r="M34" s="217"/>
      <c r="N34" s="218"/>
      <c r="O34" s="237"/>
      <c r="P34" s="210"/>
      <c r="Q34" s="217">
        <v>3</v>
      </c>
      <c r="R34" s="218"/>
      <c r="S34" s="237"/>
      <c r="T34" s="210"/>
      <c r="U34" s="217"/>
      <c r="V34" s="238"/>
      <c r="W34" s="358"/>
      <c r="X34" s="359"/>
      <c r="Y34" s="360"/>
    </row>
    <row r="35" spans="2:28" ht="17.25" thickBot="1">
      <c r="B35" s="417"/>
      <c r="C35" s="304"/>
      <c r="D35" s="362"/>
      <c r="E35" s="66" t="s">
        <v>538</v>
      </c>
      <c r="F35" s="213" t="s">
        <v>536</v>
      </c>
      <c r="G35" s="298"/>
      <c r="H35" s="67">
        <v>3</v>
      </c>
      <c r="I35" s="68" t="s">
        <v>355</v>
      </c>
      <c r="J35" s="69">
        <v>3</v>
      </c>
      <c r="K35" s="213"/>
      <c r="L35" s="214"/>
      <c r="M35" s="297">
        <v>3</v>
      </c>
      <c r="N35" s="334"/>
      <c r="O35" s="237"/>
      <c r="P35" s="210"/>
      <c r="Q35" s="217"/>
      <c r="R35" s="218"/>
      <c r="S35" s="237"/>
      <c r="T35" s="210"/>
      <c r="U35" s="217"/>
      <c r="V35" s="238"/>
      <c r="W35" s="358"/>
      <c r="X35" s="359"/>
      <c r="Y35" s="360"/>
    </row>
    <row r="36" spans="2:28" ht="24.75" customHeight="1" thickBot="1">
      <c r="B36" s="246" t="s">
        <v>349</v>
      </c>
      <c r="C36" s="247"/>
      <c r="D36" s="247"/>
      <c r="E36" s="247"/>
      <c r="F36" s="247"/>
      <c r="G36" s="248"/>
      <c r="H36" s="51">
        <f>SUM(H9:H35)</f>
        <v>97</v>
      </c>
      <c r="I36" s="18"/>
      <c r="J36" s="52">
        <f>SUM(J9:J35)</f>
        <v>79</v>
      </c>
      <c r="K36" s="337">
        <f>SUM(K9:L35)</f>
        <v>17</v>
      </c>
      <c r="L36" s="338"/>
      <c r="M36" s="338">
        <f>SUM(M9:N35)</f>
        <v>20</v>
      </c>
      <c r="N36" s="267"/>
      <c r="O36" s="428">
        <f>SUM(O9:P35)</f>
        <v>14</v>
      </c>
      <c r="P36" s="338"/>
      <c r="Q36" s="338">
        <f>SUM(Q9:R35)</f>
        <v>22</v>
      </c>
      <c r="R36" s="436"/>
      <c r="S36" s="266">
        <f>SUM(S9:T35)</f>
        <v>6</v>
      </c>
      <c r="T36" s="338"/>
      <c r="U36" s="338">
        <f>SUM(U9:V35)</f>
        <v>0</v>
      </c>
      <c r="V36" s="435"/>
      <c r="W36" s="246">
        <f>SUM(K36:V36)</f>
        <v>79</v>
      </c>
      <c r="X36" s="266"/>
      <c r="Y36" s="52">
        <f>SUM(Y9:Y35)</f>
        <v>64</v>
      </c>
      <c r="AA36" s="261" t="b">
        <f>W36&gt;=Y36</f>
        <v>1</v>
      </c>
      <c r="AB36" s="262"/>
    </row>
    <row r="37" spans="2:28" ht="17.25" customHeight="1" thickBot="1">
      <c r="B37" s="339" t="s">
        <v>345</v>
      </c>
      <c r="C37" s="340"/>
      <c r="D37" s="241" t="s">
        <v>346</v>
      </c>
      <c r="E37" s="242"/>
      <c r="F37" s="343" t="s">
        <v>641</v>
      </c>
      <c r="G37" s="344"/>
      <c r="H37" s="184"/>
      <c r="I37" s="185"/>
      <c r="J37" s="186">
        <v>2</v>
      </c>
      <c r="K37" s="345"/>
      <c r="L37" s="346"/>
      <c r="M37" s="429"/>
      <c r="N37" s="430"/>
      <c r="O37" s="431"/>
      <c r="P37" s="346"/>
      <c r="Q37" s="429"/>
      <c r="R37" s="430"/>
      <c r="S37" s="431"/>
      <c r="T37" s="346"/>
      <c r="U37" s="429">
        <v>2</v>
      </c>
      <c r="V37" s="432"/>
      <c r="W37" s="433">
        <f>SUM(K37:V37)</f>
        <v>2</v>
      </c>
      <c r="X37" s="434"/>
      <c r="Y37" s="201">
        <v>80</v>
      </c>
    </row>
    <row r="38" spans="2:28" ht="17.25" customHeight="1">
      <c r="B38" s="341"/>
      <c r="C38" s="342"/>
      <c r="D38" s="78" t="s">
        <v>543</v>
      </c>
      <c r="E38" s="79" t="s">
        <v>621</v>
      </c>
      <c r="F38" s="239" t="s">
        <v>622</v>
      </c>
      <c r="G38" s="240"/>
      <c r="H38" s="187"/>
      <c r="I38" s="188"/>
      <c r="J38" s="189">
        <v>3</v>
      </c>
      <c r="K38" s="209">
        <v>3</v>
      </c>
      <c r="L38" s="210"/>
      <c r="M38" s="217"/>
      <c r="N38" s="353"/>
      <c r="O38" s="237"/>
      <c r="P38" s="210"/>
      <c r="Q38" s="217"/>
      <c r="R38" s="218"/>
      <c r="S38" s="353"/>
      <c r="T38" s="210"/>
      <c r="U38" s="217"/>
      <c r="V38" s="238"/>
      <c r="W38" s="197">
        <f t="shared" ref="W38:W56" si="4">SUM(K38:V38)</f>
        <v>3</v>
      </c>
      <c r="X38" s="198"/>
      <c r="Y38" s="202"/>
    </row>
    <row r="39" spans="2:28" ht="17.25" customHeight="1">
      <c r="B39" s="341"/>
      <c r="C39" s="342"/>
      <c r="D39" s="78" t="s">
        <v>543</v>
      </c>
      <c r="E39" s="79" t="s">
        <v>621</v>
      </c>
      <c r="F39" s="239" t="s">
        <v>623</v>
      </c>
      <c r="G39" s="240"/>
      <c r="H39" s="187"/>
      <c r="I39" s="188"/>
      <c r="J39" s="189">
        <v>3</v>
      </c>
      <c r="K39" s="209"/>
      <c r="L39" s="210"/>
      <c r="M39" s="217">
        <v>3</v>
      </c>
      <c r="N39" s="218"/>
      <c r="O39" s="237"/>
      <c r="P39" s="210"/>
      <c r="Q39" s="217"/>
      <c r="R39" s="218"/>
      <c r="S39" s="237"/>
      <c r="T39" s="210"/>
      <c r="U39" s="217"/>
      <c r="V39" s="238"/>
      <c r="W39" s="197">
        <f t="shared" si="4"/>
        <v>3</v>
      </c>
      <c r="X39" s="198"/>
      <c r="Y39" s="202"/>
    </row>
    <row r="40" spans="2:28" ht="17.25" customHeight="1">
      <c r="B40" s="341"/>
      <c r="C40" s="342"/>
      <c r="D40" s="78" t="s">
        <v>543</v>
      </c>
      <c r="E40" s="79" t="s">
        <v>621</v>
      </c>
      <c r="F40" s="239" t="s">
        <v>624</v>
      </c>
      <c r="G40" s="240"/>
      <c r="H40" s="187"/>
      <c r="I40" s="188"/>
      <c r="J40" s="189">
        <v>3</v>
      </c>
      <c r="K40" s="209">
        <v>3</v>
      </c>
      <c r="L40" s="210"/>
      <c r="M40" s="217"/>
      <c r="N40" s="218"/>
      <c r="O40" s="237"/>
      <c r="P40" s="210"/>
      <c r="Q40" s="217"/>
      <c r="R40" s="218"/>
      <c r="S40" s="237"/>
      <c r="T40" s="210"/>
      <c r="U40" s="217"/>
      <c r="V40" s="238"/>
      <c r="W40" s="197">
        <f t="shared" si="4"/>
        <v>3</v>
      </c>
      <c r="X40" s="198"/>
      <c r="Y40" s="202"/>
    </row>
    <row r="41" spans="2:28" ht="17.25" customHeight="1">
      <c r="B41" s="341"/>
      <c r="C41" s="342"/>
      <c r="D41" s="78" t="s">
        <v>543</v>
      </c>
      <c r="E41" s="79" t="s">
        <v>621</v>
      </c>
      <c r="F41" s="239" t="s">
        <v>625</v>
      </c>
      <c r="G41" s="240"/>
      <c r="H41" s="187"/>
      <c r="I41" s="188"/>
      <c r="J41" s="189">
        <v>3</v>
      </c>
      <c r="K41" s="209"/>
      <c r="L41" s="210"/>
      <c r="M41" s="217">
        <v>3</v>
      </c>
      <c r="N41" s="218"/>
      <c r="O41" s="237"/>
      <c r="P41" s="210"/>
      <c r="Q41" s="217"/>
      <c r="R41" s="218"/>
      <c r="S41" s="237"/>
      <c r="T41" s="210"/>
      <c r="U41" s="217"/>
      <c r="V41" s="238"/>
      <c r="W41" s="197">
        <v>3</v>
      </c>
      <c r="X41" s="198"/>
      <c r="Y41" s="202"/>
    </row>
    <row r="42" spans="2:28" ht="17.25" customHeight="1">
      <c r="B42" s="341"/>
      <c r="C42" s="342"/>
      <c r="D42" s="78" t="s">
        <v>543</v>
      </c>
      <c r="E42" s="79" t="s">
        <v>621</v>
      </c>
      <c r="F42" s="239" t="s">
        <v>626</v>
      </c>
      <c r="G42" s="240"/>
      <c r="H42" s="187"/>
      <c r="I42" s="188"/>
      <c r="J42" s="189">
        <v>3</v>
      </c>
      <c r="K42" s="209">
        <v>3</v>
      </c>
      <c r="L42" s="210"/>
      <c r="M42" s="217"/>
      <c r="N42" s="218"/>
      <c r="O42" s="237"/>
      <c r="P42" s="210"/>
      <c r="Q42" s="217"/>
      <c r="R42" s="218"/>
      <c r="S42" s="237"/>
      <c r="T42" s="210"/>
      <c r="U42" s="217"/>
      <c r="V42" s="238"/>
      <c r="W42" s="197">
        <v>3</v>
      </c>
      <c r="X42" s="198"/>
      <c r="Y42" s="202"/>
    </row>
    <row r="43" spans="2:28" ht="17.25" customHeight="1">
      <c r="B43" s="341"/>
      <c r="C43" s="342"/>
      <c r="D43" s="78" t="s">
        <v>133</v>
      </c>
      <c r="E43" s="79" t="s">
        <v>621</v>
      </c>
      <c r="F43" s="239" t="s">
        <v>627</v>
      </c>
      <c r="G43" s="240"/>
      <c r="H43" s="187"/>
      <c r="I43" s="188"/>
      <c r="J43" s="189">
        <v>3</v>
      </c>
      <c r="K43" s="209"/>
      <c r="L43" s="210"/>
      <c r="M43" s="217">
        <v>3</v>
      </c>
      <c r="N43" s="218"/>
      <c r="O43" s="237"/>
      <c r="P43" s="210"/>
      <c r="Q43" s="217"/>
      <c r="R43" s="218"/>
      <c r="S43" s="237"/>
      <c r="T43" s="210"/>
      <c r="U43" s="217"/>
      <c r="V43" s="238"/>
      <c r="W43" s="197">
        <v>3</v>
      </c>
      <c r="X43" s="198"/>
      <c r="Y43" s="202"/>
    </row>
    <row r="44" spans="2:28" ht="17.25" customHeight="1">
      <c r="B44" s="341"/>
      <c r="C44" s="342"/>
      <c r="D44" s="78" t="s">
        <v>133</v>
      </c>
      <c r="E44" s="79" t="s">
        <v>621</v>
      </c>
      <c r="F44" s="239" t="s">
        <v>628</v>
      </c>
      <c r="G44" s="240"/>
      <c r="H44" s="187"/>
      <c r="I44" s="188"/>
      <c r="J44" s="189">
        <v>3</v>
      </c>
      <c r="K44" s="209">
        <v>3</v>
      </c>
      <c r="L44" s="210"/>
      <c r="M44" s="217"/>
      <c r="N44" s="218"/>
      <c r="O44" s="237"/>
      <c r="P44" s="210"/>
      <c r="Q44" s="217"/>
      <c r="R44" s="218"/>
      <c r="S44" s="237"/>
      <c r="T44" s="210"/>
      <c r="U44" s="217"/>
      <c r="V44" s="238"/>
      <c r="W44" s="197">
        <v>3</v>
      </c>
      <c r="X44" s="198"/>
      <c r="Y44" s="202"/>
    </row>
    <row r="45" spans="2:28" ht="17.25" customHeight="1">
      <c r="B45" s="341"/>
      <c r="C45" s="342"/>
      <c r="D45" s="78" t="s">
        <v>543</v>
      </c>
      <c r="E45" s="79" t="s">
        <v>621</v>
      </c>
      <c r="F45" s="239" t="s">
        <v>639</v>
      </c>
      <c r="G45" s="240"/>
      <c r="H45" s="187"/>
      <c r="I45" s="188"/>
      <c r="J45" s="189">
        <v>2</v>
      </c>
      <c r="K45" s="209"/>
      <c r="L45" s="210"/>
      <c r="M45" s="217"/>
      <c r="N45" s="218"/>
      <c r="O45" s="237"/>
      <c r="P45" s="210"/>
      <c r="Q45" s="217"/>
      <c r="R45" s="218"/>
      <c r="S45" s="237">
        <v>2</v>
      </c>
      <c r="T45" s="210"/>
      <c r="U45" s="217"/>
      <c r="V45" s="238"/>
      <c r="W45" s="197">
        <v>2</v>
      </c>
      <c r="X45" s="198"/>
      <c r="Y45" s="202"/>
    </row>
    <row r="46" spans="2:28" ht="17.25" customHeight="1">
      <c r="B46" s="341"/>
      <c r="C46" s="342"/>
      <c r="D46" s="78" t="s">
        <v>543</v>
      </c>
      <c r="E46" s="79" t="s">
        <v>614</v>
      </c>
      <c r="F46" s="239" t="s">
        <v>629</v>
      </c>
      <c r="G46" s="240"/>
      <c r="H46" s="187"/>
      <c r="I46" s="188"/>
      <c r="J46" s="189">
        <v>8</v>
      </c>
      <c r="K46" s="209"/>
      <c r="L46" s="210"/>
      <c r="M46" s="217"/>
      <c r="N46" s="218"/>
      <c r="O46" s="237"/>
      <c r="P46" s="210"/>
      <c r="Q46" s="217"/>
      <c r="R46" s="218"/>
      <c r="S46" s="237">
        <v>4</v>
      </c>
      <c r="T46" s="210"/>
      <c r="U46" s="217">
        <v>4</v>
      </c>
      <c r="V46" s="238"/>
      <c r="W46" s="197">
        <v>8</v>
      </c>
      <c r="X46" s="198"/>
      <c r="Y46" s="202"/>
    </row>
    <row r="47" spans="2:28" ht="17.25" customHeight="1">
      <c r="B47" s="341"/>
      <c r="C47" s="342"/>
      <c r="D47" s="78" t="s">
        <v>543</v>
      </c>
      <c r="E47" s="79" t="s">
        <v>621</v>
      </c>
      <c r="F47" s="239" t="s">
        <v>630</v>
      </c>
      <c r="G47" s="240"/>
      <c r="H47" s="187"/>
      <c r="I47" s="188"/>
      <c r="J47" s="189">
        <v>4</v>
      </c>
      <c r="K47" s="209"/>
      <c r="L47" s="210"/>
      <c r="M47" s="217"/>
      <c r="N47" s="218"/>
      <c r="O47" s="237">
        <v>4</v>
      </c>
      <c r="P47" s="210"/>
      <c r="Q47" s="217"/>
      <c r="R47" s="218"/>
      <c r="S47" s="237"/>
      <c r="T47" s="210"/>
      <c r="U47" s="217"/>
      <c r="V47" s="238"/>
      <c r="W47" s="197">
        <v>4</v>
      </c>
      <c r="X47" s="198"/>
      <c r="Y47" s="202"/>
    </row>
    <row r="48" spans="2:28" ht="17.25" customHeight="1">
      <c r="B48" s="341"/>
      <c r="C48" s="342"/>
      <c r="D48" s="78" t="s">
        <v>543</v>
      </c>
      <c r="E48" s="79" t="s">
        <v>621</v>
      </c>
      <c r="F48" s="239" t="s">
        <v>631</v>
      </c>
      <c r="G48" s="240"/>
      <c r="H48" s="187"/>
      <c r="I48" s="188"/>
      <c r="J48" s="189">
        <v>3</v>
      </c>
      <c r="K48" s="209"/>
      <c r="L48" s="210"/>
      <c r="M48" s="217"/>
      <c r="N48" s="218"/>
      <c r="O48" s="237"/>
      <c r="P48" s="210"/>
      <c r="Q48" s="217">
        <v>3</v>
      </c>
      <c r="R48" s="218"/>
      <c r="S48" s="237"/>
      <c r="T48" s="210"/>
      <c r="U48" s="217"/>
      <c r="V48" s="238"/>
      <c r="W48" s="197">
        <v>3</v>
      </c>
      <c r="X48" s="198"/>
      <c r="Y48" s="202"/>
    </row>
    <row r="49" spans="2:29" ht="17.25" customHeight="1">
      <c r="B49" s="341"/>
      <c r="C49" s="342"/>
      <c r="D49" s="78" t="s">
        <v>543</v>
      </c>
      <c r="E49" s="79" t="s">
        <v>621</v>
      </c>
      <c r="F49" s="239" t="s">
        <v>632</v>
      </c>
      <c r="G49" s="240"/>
      <c r="H49" s="187"/>
      <c r="I49" s="188"/>
      <c r="J49" s="189">
        <v>4</v>
      </c>
      <c r="K49" s="209"/>
      <c r="L49" s="210"/>
      <c r="M49" s="217"/>
      <c r="N49" s="218"/>
      <c r="O49" s="237"/>
      <c r="P49" s="210"/>
      <c r="Q49" s="217"/>
      <c r="R49" s="218"/>
      <c r="S49" s="237">
        <v>4</v>
      </c>
      <c r="T49" s="210"/>
      <c r="U49" s="217"/>
      <c r="V49" s="238"/>
      <c r="W49" s="197">
        <v>4</v>
      </c>
      <c r="X49" s="198"/>
      <c r="Y49" s="202"/>
    </row>
    <row r="50" spans="2:29" ht="17.25" customHeight="1">
      <c r="B50" s="341"/>
      <c r="C50" s="342"/>
      <c r="D50" s="78" t="s">
        <v>543</v>
      </c>
      <c r="E50" s="79" t="s">
        <v>621</v>
      </c>
      <c r="F50" s="239" t="s">
        <v>633</v>
      </c>
      <c r="G50" s="240"/>
      <c r="H50" s="187"/>
      <c r="I50" s="188"/>
      <c r="J50" s="189">
        <v>2</v>
      </c>
      <c r="K50" s="209"/>
      <c r="L50" s="210"/>
      <c r="M50" s="217"/>
      <c r="N50" s="218"/>
      <c r="O50" s="237"/>
      <c r="P50" s="210"/>
      <c r="Q50" s="217"/>
      <c r="R50" s="218"/>
      <c r="S50" s="237">
        <v>2</v>
      </c>
      <c r="T50" s="210"/>
      <c r="U50" s="217"/>
      <c r="V50" s="238"/>
      <c r="W50" s="197">
        <v>2</v>
      </c>
      <c r="X50" s="198"/>
      <c r="Y50" s="202"/>
    </row>
    <row r="51" spans="2:29" ht="17.25" customHeight="1">
      <c r="B51" s="341"/>
      <c r="C51" s="342"/>
      <c r="D51" s="78" t="s">
        <v>543</v>
      </c>
      <c r="E51" s="79" t="s">
        <v>621</v>
      </c>
      <c r="F51" s="239" t="s">
        <v>640</v>
      </c>
      <c r="G51" s="240"/>
      <c r="H51" s="187"/>
      <c r="I51" s="188"/>
      <c r="J51" s="189">
        <v>4</v>
      </c>
      <c r="K51" s="209"/>
      <c r="L51" s="210"/>
      <c r="M51" s="217"/>
      <c r="N51" s="218"/>
      <c r="O51" s="237">
        <v>4</v>
      </c>
      <c r="P51" s="210"/>
      <c r="Q51" s="217"/>
      <c r="R51" s="218"/>
      <c r="S51" s="237"/>
      <c r="T51" s="210"/>
      <c r="U51" s="217"/>
      <c r="V51" s="238"/>
      <c r="W51" s="197">
        <v>4</v>
      </c>
      <c r="X51" s="198"/>
      <c r="Y51" s="202"/>
    </row>
    <row r="52" spans="2:29" ht="17.25" customHeight="1">
      <c r="B52" s="341"/>
      <c r="C52" s="342"/>
      <c r="D52" s="78" t="s">
        <v>543</v>
      </c>
      <c r="E52" s="79" t="s">
        <v>621</v>
      </c>
      <c r="F52" s="347" t="s">
        <v>634</v>
      </c>
      <c r="G52" s="348"/>
      <c r="H52" s="187"/>
      <c r="I52" s="188"/>
      <c r="J52" s="189">
        <v>3</v>
      </c>
      <c r="K52" s="209"/>
      <c r="L52" s="210"/>
      <c r="M52" s="217"/>
      <c r="N52" s="218"/>
      <c r="O52" s="237"/>
      <c r="P52" s="210"/>
      <c r="Q52" s="217"/>
      <c r="R52" s="218"/>
      <c r="S52" s="237"/>
      <c r="T52" s="210"/>
      <c r="U52" s="217">
        <v>3</v>
      </c>
      <c r="V52" s="238"/>
      <c r="W52" s="197">
        <f t="shared" si="4"/>
        <v>3</v>
      </c>
      <c r="X52" s="198"/>
      <c r="Y52" s="202"/>
    </row>
    <row r="53" spans="2:29" ht="17.25" customHeight="1">
      <c r="B53" s="341"/>
      <c r="C53" s="342"/>
      <c r="D53" s="78" t="s">
        <v>543</v>
      </c>
      <c r="E53" s="79" t="s">
        <v>614</v>
      </c>
      <c r="F53" s="347" t="s">
        <v>635</v>
      </c>
      <c r="G53" s="348"/>
      <c r="H53" s="187"/>
      <c r="I53" s="188"/>
      <c r="J53" s="189">
        <v>4</v>
      </c>
      <c r="K53" s="209"/>
      <c r="L53" s="210"/>
      <c r="M53" s="217"/>
      <c r="N53" s="353"/>
      <c r="O53" s="237"/>
      <c r="P53" s="210"/>
      <c r="Q53" s="217"/>
      <c r="R53" s="218"/>
      <c r="S53" s="353">
        <v>2</v>
      </c>
      <c r="T53" s="210"/>
      <c r="U53" s="217">
        <v>2</v>
      </c>
      <c r="V53" s="238"/>
      <c r="W53" s="197">
        <f t="shared" si="4"/>
        <v>4</v>
      </c>
      <c r="X53" s="198"/>
      <c r="Y53" s="202"/>
    </row>
    <row r="54" spans="2:29" ht="17.25" customHeight="1">
      <c r="B54" s="341"/>
      <c r="C54" s="342"/>
      <c r="D54" s="80" t="s">
        <v>543</v>
      </c>
      <c r="E54" s="79" t="s">
        <v>614</v>
      </c>
      <c r="F54" s="347" t="s">
        <v>636</v>
      </c>
      <c r="G54" s="348"/>
      <c r="H54" s="187"/>
      <c r="I54" s="190"/>
      <c r="J54" s="64">
        <v>3</v>
      </c>
      <c r="K54" s="209"/>
      <c r="L54" s="210"/>
      <c r="M54" s="217"/>
      <c r="N54" s="353"/>
      <c r="O54" s="237"/>
      <c r="P54" s="210"/>
      <c r="Q54" s="217"/>
      <c r="R54" s="218"/>
      <c r="S54" s="353"/>
      <c r="T54" s="210"/>
      <c r="U54" s="217">
        <v>3</v>
      </c>
      <c r="V54" s="238"/>
      <c r="W54" s="197">
        <f t="shared" si="4"/>
        <v>3</v>
      </c>
      <c r="X54" s="198"/>
      <c r="Y54" s="202"/>
    </row>
    <row r="55" spans="2:29" ht="16.5" customHeight="1">
      <c r="B55" s="341"/>
      <c r="C55" s="342"/>
      <c r="D55" s="81" t="s">
        <v>543</v>
      </c>
      <c r="E55" s="79" t="s">
        <v>614</v>
      </c>
      <c r="F55" s="349" t="s">
        <v>637</v>
      </c>
      <c r="G55" s="350"/>
      <c r="H55" s="62"/>
      <c r="I55" s="190"/>
      <c r="J55" s="64">
        <v>4</v>
      </c>
      <c r="K55" s="351"/>
      <c r="L55" s="352"/>
      <c r="M55" s="217"/>
      <c r="N55" s="353"/>
      <c r="O55" s="237"/>
      <c r="P55" s="210"/>
      <c r="Q55" s="217"/>
      <c r="R55" s="218"/>
      <c r="S55" s="353"/>
      <c r="T55" s="210"/>
      <c r="U55" s="217">
        <v>4</v>
      </c>
      <c r="V55" s="238"/>
      <c r="W55" s="197">
        <f t="shared" si="4"/>
        <v>4</v>
      </c>
      <c r="X55" s="198"/>
      <c r="Y55" s="202"/>
    </row>
    <row r="56" spans="2:29" ht="16.5" customHeight="1" thickBot="1">
      <c r="B56" s="341"/>
      <c r="C56" s="342"/>
      <c r="D56" s="80" t="s">
        <v>543</v>
      </c>
      <c r="E56" s="79" t="s">
        <v>614</v>
      </c>
      <c r="F56" s="349" t="s">
        <v>638</v>
      </c>
      <c r="G56" s="350"/>
      <c r="H56" s="62"/>
      <c r="I56" s="190"/>
      <c r="J56" s="64">
        <v>4</v>
      </c>
      <c r="K56" s="351"/>
      <c r="L56" s="352"/>
      <c r="M56" s="217"/>
      <c r="N56" s="353"/>
      <c r="O56" s="237">
        <v>4</v>
      </c>
      <c r="P56" s="210"/>
      <c r="Q56" s="217"/>
      <c r="R56" s="218"/>
      <c r="S56" s="353"/>
      <c r="T56" s="210"/>
      <c r="U56" s="217"/>
      <c r="V56" s="238"/>
      <c r="W56" s="197">
        <f t="shared" si="4"/>
        <v>4</v>
      </c>
      <c r="X56" s="198"/>
      <c r="Y56" s="202"/>
    </row>
    <row r="57" spans="2:29" ht="20.25" customHeight="1">
      <c r="B57" s="325" t="s">
        <v>154</v>
      </c>
      <c r="C57" s="335" t="s">
        <v>613</v>
      </c>
      <c r="D57" s="82" t="s">
        <v>543</v>
      </c>
      <c r="E57" s="83" t="s">
        <v>614</v>
      </c>
      <c r="F57" s="327" t="s">
        <v>615</v>
      </c>
      <c r="G57" s="328"/>
      <c r="H57" s="57"/>
      <c r="I57" s="193"/>
      <c r="J57" s="329">
        <v>6</v>
      </c>
      <c r="K57" s="285"/>
      <c r="L57" s="235"/>
      <c r="M57" s="286"/>
      <c r="N57" s="331"/>
      <c r="O57" s="234"/>
      <c r="P57" s="235"/>
      <c r="Q57" s="286"/>
      <c r="R57" s="287"/>
      <c r="S57" s="204">
        <v>3</v>
      </c>
      <c r="T57" s="205"/>
      <c r="U57" s="215">
        <v>3</v>
      </c>
      <c r="V57" s="296"/>
      <c r="W57" s="356">
        <f>SUM(O57:V58)</f>
        <v>6</v>
      </c>
      <c r="X57" s="357"/>
      <c r="Y57" s="202"/>
    </row>
    <row r="58" spans="2:29" ht="20.25" customHeight="1" thickBot="1">
      <c r="B58" s="326"/>
      <c r="C58" s="336"/>
      <c r="D58" s="85" t="s">
        <v>543</v>
      </c>
      <c r="E58" s="84" t="s">
        <v>614</v>
      </c>
      <c r="F58" s="307" t="s">
        <v>616</v>
      </c>
      <c r="G58" s="308"/>
      <c r="H58" s="67"/>
      <c r="I58" s="192"/>
      <c r="J58" s="330"/>
      <c r="K58" s="213"/>
      <c r="L58" s="214"/>
      <c r="M58" s="297"/>
      <c r="N58" s="332"/>
      <c r="O58" s="333"/>
      <c r="P58" s="214"/>
      <c r="Q58" s="297"/>
      <c r="R58" s="334"/>
      <c r="S58" s="206"/>
      <c r="T58" s="207"/>
      <c r="U58" s="219"/>
      <c r="V58" s="369"/>
      <c r="W58" s="199"/>
      <c r="X58" s="200"/>
      <c r="Y58" s="202"/>
    </row>
    <row r="59" spans="2:29" ht="16.5" customHeight="1">
      <c r="B59" s="299" t="s">
        <v>611</v>
      </c>
      <c r="C59" s="302" t="s">
        <v>612</v>
      </c>
      <c r="D59" s="82" t="s">
        <v>543</v>
      </c>
      <c r="E59" s="86" t="s">
        <v>614</v>
      </c>
      <c r="F59" s="309" t="s">
        <v>617</v>
      </c>
      <c r="G59" s="310"/>
      <c r="H59" s="187"/>
      <c r="I59" s="191"/>
      <c r="J59" s="181">
        <v>3</v>
      </c>
      <c r="K59" s="208"/>
      <c r="L59" s="205"/>
      <c r="M59" s="215"/>
      <c r="N59" s="216"/>
      <c r="O59" s="221">
        <v>3</v>
      </c>
      <c r="P59" s="222"/>
      <c r="Q59" s="223"/>
      <c r="R59" s="224"/>
      <c r="S59" s="234"/>
      <c r="T59" s="235"/>
      <c r="U59" s="215"/>
      <c r="V59" s="296"/>
      <c r="W59" s="195">
        <f>J59</f>
        <v>3</v>
      </c>
      <c r="X59" s="196"/>
      <c r="Y59" s="202"/>
    </row>
    <row r="60" spans="2:29" ht="16.5" customHeight="1">
      <c r="B60" s="300"/>
      <c r="C60" s="303"/>
      <c r="D60" s="88" t="s">
        <v>543</v>
      </c>
      <c r="E60" s="79" t="s">
        <v>614</v>
      </c>
      <c r="F60" s="305" t="s">
        <v>618</v>
      </c>
      <c r="G60" s="306"/>
      <c r="H60" s="187"/>
      <c r="I60" s="194"/>
      <c r="J60" s="182">
        <v>4</v>
      </c>
      <c r="K60" s="209"/>
      <c r="L60" s="210"/>
      <c r="M60" s="217"/>
      <c r="N60" s="218"/>
      <c r="O60" s="225"/>
      <c r="P60" s="225"/>
      <c r="Q60" s="230">
        <v>4</v>
      </c>
      <c r="R60" s="231"/>
      <c r="S60" s="236"/>
      <c r="T60" s="212"/>
      <c r="U60" s="294"/>
      <c r="V60" s="295"/>
      <c r="W60" s="197">
        <v>4</v>
      </c>
      <c r="X60" s="198"/>
      <c r="Y60" s="202"/>
    </row>
    <row r="61" spans="2:29" ht="16.5" customHeight="1">
      <c r="B61" s="300"/>
      <c r="C61" s="303"/>
      <c r="D61" s="88" t="s">
        <v>543</v>
      </c>
      <c r="E61" s="79" t="s">
        <v>614</v>
      </c>
      <c r="F61" s="305" t="s">
        <v>619</v>
      </c>
      <c r="G61" s="306"/>
      <c r="H61" s="62"/>
      <c r="I61" s="194"/>
      <c r="J61" s="182">
        <v>6</v>
      </c>
      <c r="K61" s="211"/>
      <c r="L61" s="212"/>
      <c r="M61" s="217"/>
      <c r="N61" s="218"/>
      <c r="O61" s="226"/>
      <c r="P61" s="227"/>
      <c r="Q61" s="225"/>
      <c r="R61" s="231"/>
      <c r="S61" s="237">
        <v>6</v>
      </c>
      <c r="T61" s="210"/>
      <c r="U61" s="294"/>
      <c r="V61" s="295"/>
      <c r="W61" s="197">
        <v>6</v>
      </c>
      <c r="X61" s="198"/>
      <c r="Y61" s="202"/>
      <c r="AC61" s="48"/>
    </row>
    <row r="62" spans="2:29" ht="16.5" customHeight="1" thickBot="1">
      <c r="B62" s="301"/>
      <c r="C62" s="304"/>
      <c r="D62" s="78" t="s">
        <v>543</v>
      </c>
      <c r="E62" s="84" t="s">
        <v>614</v>
      </c>
      <c r="F62" s="307" t="s">
        <v>620</v>
      </c>
      <c r="G62" s="308"/>
      <c r="H62" s="67"/>
      <c r="I62" s="192"/>
      <c r="J62" s="183">
        <v>8</v>
      </c>
      <c r="K62" s="213"/>
      <c r="L62" s="214"/>
      <c r="M62" s="219"/>
      <c r="N62" s="220"/>
      <c r="O62" s="228"/>
      <c r="P62" s="229"/>
      <c r="Q62" s="232"/>
      <c r="R62" s="233"/>
      <c r="S62" s="206"/>
      <c r="T62" s="207"/>
      <c r="U62" s="297">
        <v>8</v>
      </c>
      <c r="V62" s="298"/>
      <c r="W62" s="199">
        <v>8</v>
      </c>
      <c r="X62" s="200"/>
      <c r="Y62" s="203"/>
      <c r="AC62" s="87"/>
    </row>
    <row r="63" spans="2:29" ht="24.75" customHeight="1">
      <c r="B63" s="268" t="s">
        <v>350</v>
      </c>
      <c r="C63" s="311"/>
      <c r="D63" s="311"/>
      <c r="E63" s="311"/>
      <c r="F63" s="311"/>
      <c r="G63" s="269"/>
      <c r="H63" s="313">
        <f>SUM(H37:H62)</f>
        <v>0</v>
      </c>
      <c r="I63" s="315">
        <f>SUM(I37:I56)</f>
        <v>0</v>
      </c>
      <c r="J63" s="317">
        <f>SUM(J37:J62)</f>
        <v>95</v>
      </c>
      <c r="K63" s="268">
        <f>SUM(K37:L62)</f>
        <v>12</v>
      </c>
      <c r="L63" s="319"/>
      <c r="M63" s="292">
        <f>SUM(M37:N62)</f>
        <v>9</v>
      </c>
      <c r="N63" s="311"/>
      <c r="O63" s="321">
        <f>SUM(O37:P62)</f>
        <v>15</v>
      </c>
      <c r="P63" s="319"/>
      <c r="Q63" s="292">
        <f>SUM(Q37:R62)</f>
        <v>7</v>
      </c>
      <c r="R63" s="323"/>
      <c r="S63" s="311">
        <f>SUM(S37:T62)</f>
        <v>23</v>
      </c>
      <c r="T63" s="319"/>
      <c r="U63" s="292">
        <f>SUM(U37:V62)</f>
        <v>29</v>
      </c>
      <c r="V63" s="269"/>
      <c r="W63" s="268">
        <f>SUM(K63:V64)</f>
        <v>95</v>
      </c>
      <c r="X63" s="269"/>
      <c r="Y63" s="201">
        <f>SUM(Y37:Y58)</f>
        <v>80</v>
      </c>
      <c r="AC63" s="48"/>
    </row>
    <row r="64" spans="2:29" ht="17.25" thickBot="1">
      <c r="B64" s="270"/>
      <c r="C64" s="312"/>
      <c r="D64" s="312"/>
      <c r="E64" s="312"/>
      <c r="F64" s="312"/>
      <c r="G64" s="271"/>
      <c r="H64" s="314"/>
      <c r="I64" s="316"/>
      <c r="J64" s="318"/>
      <c r="K64" s="270"/>
      <c r="L64" s="320"/>
      <c r="M64" s="293"/>
      <c r="N64" s="312"/>
      <c r="O64" s="322"/>
      <c r="P64" s="320"/>
      <c r="Q64" s="293"/>
      <c r="R64" s="324"/>
      <c r="S64" s="312"/>
      <c r="T64" s="320"/>
      <c r="U64" s="293"/>
      <c r="V64" s="271"/>
      <c r="W64" s="270"/>
      <c r="X64" s="271"/>
      <c r="Y64" s="203"/>
      <c r="AC64" s="87"/>
    </row>
    <row r="65" spans="2:28" ht="17.25" customHeight="1" thickBot="1">
      <c r="B65" s="246"/>
      <c r="C65" s="247"/>
      <c r="D65" s="247"/>
      <c r="E65" s="247"/>
      <c r="F65" s="247"/>
      <c r="G65" s="248"/>
      <c r="H65" s="49">
        <f>SUM(H36,H63)</f>
        <v>97</v>
      </c>
      <c r="I65" s="50">
        <f>SUM(I36,I63)</f>
        <v>0</v>
      </c>
      <c r="J65" s="52">
        <f>SUM(J36,J63)</f>
        <v>174</v>
      </c>
      <c r="K65" s="246">
        <f>SUM(K36,K63)</f>
        <v>29</v>
      </c>
      <c r="L65" s="266"/>
      <c r="M65" s="267">
        <f>SUM(M36,M63)</f>
        <v>29</v>
      </c>
      <c r="N65" s="249"/>
      <c r="O65" s="250">
        <f>SUM(O36,O63)</f>
        <v>29</v>
      </c>
      <c r="P65" s="266"/>
      <c r="Q65" s="267">
        <f>SUM(Q36,Q63)</f>
        <v>29</v>
      </c>
      <c r="R65" s="249"/>
      <c r="S65" s="250">
        <f>SUM(S36,S63)</f>
        <v>29</v>
      </c>
      <c r="T65" s="266"/>
      <c r="U65" s="267">
        <f>SUM(U36,U63)</f>
        <v>29</v>
      </c>
      <c r="V65" s="248"/>
      <c r="W65" s="246">
        <f>SUM(K65:V65)</f>
        <v>174</v>
      </c>
      <c r="X65" s="248"/>
      <c r="Y65" s="11">
        <f>Y63+Y36</f>
        <v>144</v>
      </c>
      <c r="AA65" s="251" t="s">
        <v>155</v>
      </c>
      <c r="AB65" s="251"/>
    </row>
    <row r="66" spans="2:28" ht="18.75" customHeight="1" thickBot="1">
      <c r="B66" s="273" t="s">
        <v>351</v>
      </c>
      <c r="C66" s="274"/>
      <c r="D66" s="274"/>
      <c r="E66" s="275"/>
      <c r="F66" s="282" t="s">
        <v>347</v>
      </c>
      <c r="G66" s="283"/>
      <c r="H66" s="283"/>
      <c r="I66" s="283"/>
      <c r="J66" s="284"/>
      <c r="K66" s="285">
        <v>16</v>
      </c>
      <c r="L66" s="235"/>
      <c r="M66" s="286">
        <v>16</v>
      </c>
      <c r="N66" s="287"/>
      <c r="O66" s="234">
        <v>16</v>
      </c>
      <c r="P66" s="235"/>
      <c r="Q66" s="286">
        <v>16</v>
      </c>
      <c r="R66" s="287"/>
      <c r="S66" s="234">
        <v>16</v>
      </c>
      <c r="T66" s="235"/>
      <c r="U66" s="286">
        <v>16</v>
      </c>
      <c r="V66" s="288"/>
      <c r="W66" s="273">
        <f>SUM(K66:V68)</f>
        <v>288</v>
      </c>
      <c r="X66" s="275"/>
      <c r="Y66" s="201">
        <f>Y69*16</f>
        <v>288</v>
      </c>
      <c r="AA66" s="272"/>
      <c r="AB66" s="272"/>
    </row>
    <row r="67" spans="2:28" ht="17.25" customHeight="1" thickBot="1">
      <c r="B67" s="276"/>
      <c r="C67" s="277"/>
      <c r="D67" s="277"/>
      <c r="E67" s="278"/>
      <c r="F67" s="263" t="s">
        <v>63</v>
      </c>
      <c r="G67" s="264"/>
      <c r="H67" s="264"/>
      <c r="I67" s="264"/>
      <c r="J67" s="265"/>
      <c r="K67" s="209">
        <v>16</v>
      </c>
      <c r="L67" s="210"/>
      <c r="M67" s="217">
        <v>16</v>
      </c>
      <c r="N67" s="218"/>
      <c r="O67" s="237">
        <v>16</v>
      </c>
      <c r="P67" s="210"/>
      <c r="Q67" s="217">
        <v>16</v>
      </c>
      <c r="R67" s="218"/>
      <c r="S67" s="237">
        <v>16</v>
      </c>
      <c r="T67" s="210"/>
      <c r="U67" s="217">
        <v>16</v>
      </c>
      <c r="V67" s="238"/>
      <c r="W67" s="276"/>
      <c r="X67" s="278"/>
      <c r="Y67" s="202"/>
      <c r="AA67" s="261" t="b">
        <f>W65&gt;=Y65</f>
        <v>1</v>
      </c>
      <c r="AB67" s="262"/>
    </row>
    <row r="68" spans="2:28" ht="17.25" customHeight="1">
      <c r="B68" s="276"/>
      <c r="C68" s="277"/>
      <c r="D68" s="277"/>
      <c r="E68" s="278"/>
      <c r="F68" s="263" t="s">
        <v>11</v>
      </c>
      <c r="G68" s="264"/>
      <c r="H68" s="264"/>
      <c r="I68" s="264"/>
      <c r="J68" s="265"/>
      <c r="K68" s="209">
        <v>16</v>
      </c>
      <c r="L68" s="210"/>
      <c r="M68" s="217">
        <v>16</v>
      </c>
      <c r="N68" s="218"/>
      <c r="O68" s="237">
        <v>16</v>
      </c>
      <c r="P68" s="210"/>
      <c r="Q68" s="217">
        <v>16</v>
      </c>
      <c r="R68" s="218"/>
      <c r="S68" s="237">
        <v>16</v>
      </c>
      <c r="T68" s="210"/>
      <c r="U68" s="217">
        <v>16</v>
      </c>
      <c r="V68" s="238"/>
      <c r="W68" s="289"/>
      <c r="X68" s="290"/>
      <c r="Y68" s="291"/>
    </row>
    <row r="69" spans="2:28" ht="17.25" customHeight="1" thickBot="1">
      <c r="B69" s="279"/>
      <c r="C69" s="280"/>
      <c r="D69" s="280"/>
      <c r="E69" s="281"/>
      <c r="F69" s="252" t="s">
        <v>150</v>
      </c>
      <c r="G69" s="253"/>
      <c r="H69" s="253"/>
      <c r="I69" s="253"/>
      <c r="J69" s="254"/>
      <c r="K69" s="255">
        <v>3</v>
      </c>
      <c r="L69" s="256"/>
      <c r="M69" s="257">
        <v>3</v>
      </c>
      <c r="N69" s="258"/>
      <c r="O69" s="259">
        <v>3</v>
      </c>
      <c r="P69" s="256"/>
      <c r="Q69" s="257">
        <v>3</v>
      </c>
      <c r="R69" s="258"/>
      <c r="S69" s="259">
        <v>3</v>
      </c>
      <c r="T69" s="256"/>
      <c r="U69" s="257">
        <v>3</v>
      </c>
      <c r="V69" s="260"/>
      <c r="W69" s="252">
        <f>SUM(K69:V69)</f>
        <v>18</v>
      </c>
      <c r="X69" s="254"/>
      <c r="Y69" s="89">
        <v>18</v>
      </c>
      <c r="AA69" s="251" t="s">
        <v>156</v>
      </c>
      <c r="AB69" s="251"/>
    </row>
    <row r="70" spans="2:28" ht="17.25" customHeight="1" thickBot="1">
      <c r="B70" s="246"/>
      <c r="C70" s="247"/>
      <c r="D70" s="247"/>
      <c r="E70" s="247"/>
      <c r="F70" s="247"/>
      <c r="G70" s="247"/>
      <c r="H70" s="247"/>
      <c r="I70" s="247"/>
      <c r="J70" s="248"/>
      <c r="K70" s="246">
        <v>32</v>
      </c>
      <c r="L70" s="266"/>
      <c r="M70" s="267">
        <v>32</v>
      </c>
      <c r="N70" s="249"/>
      <c r="O70" s="250">
        <v>32</v>
      </c>
      <c r="P70" s="266"/>
      <c r="Q70" s="267">
        <v>32</v>
      </c>
      <c r="R70" s="249"/>
      <c r="S70" s="250">
        <v>32</v>
      </c>
      <c r="T70" s="266"/>
      <c r="U70" s="267">
        <v>32</v>
      </c>
      <c r="V70" s="248"/>
      <c r="W70" s="246">
        <f>SUM(K70:V70)</f>
        <v>192</v>
      </c>
      <c r="X70" s="248"/>
      <c r="Y70" s="53">
        <f>W70</f>
        <v>192</v>
      </c>
      <c r="AA70" s="261" t="b">
        <f>W69&gt;=Y69</f>
        <v>1</v>
      </c>
      <c r="AB70" s="262"/>
    </row>
    <row r="71" spans="2:28" ht="17.25" customHeight="1" thickBot="1">
      <c r="B71" s="246"/>
      <c r="C71" s="247"/>
      <c r="D71" s="247"/>
      <c r="E71" s="247"/>
      <c r="F71" s="247"/>
      <c r="G71" s="247"/>
      <c r="H71" s="247"/>
      <c r="I71" s="247"/>
      <c r="J71" s="248"/>
      <c r="K71" s="246">
        <f>SUM(K70:N70)</f>
        <v>64</v>
      </c>
      <c r="L71" s="247"/>
      <c r="M71" s="247"/>
      <c r="N71" s="249"/>
      <c r="O71" s="250">
        <f>SUM(O70:R70)</f>
        <v>64</v>
      </c>
      <c r="P71" s="247"/>
      <c r="Q71" s="247"/>
      <c r="R71" s="249"/>
      <c r="S71" s="250">
        <f>SUM(S70:V70)</f>
        <v>64</v>
      </c>
      <c r="T71" s="247"/>
      <c r="U71" s="247"/>
      <c r="V71" s="248"/>
      <c r="W71" s="246">
        <f>SUM(K71:V71)</f>
        <v>192</v>
      </c>
      <c r="X71" s="248"/>
      <c r="Y71" s="11"/>
      <c r="AA71" s="251" t="s">
        <v>153</v>
      </c>
      <c r="AB71" s="251"/>
    </row>
    <row r="72" spans="2:28" ht="17.25" customHeight="1" thickBot="1">
      <c r="AA72" s="261" t="b">
        <f>W70&gt;=Y70</f>
        <v>1</v>
      </c>
      <c r="AB72" s="262"/>
    </row>
    <row r="73" spans="2:28" ht="17.25" customHeight="1"/>
    <row r="74" spans="2:28" ht="17.25" customHeight="1"/>
    <row r="75" spans="2:28" ht="17.25" customHeight="1"/>
    <row r="77" spans="2:28" ht="24.95" customHeight="1"/>
    <row r="78" spans="2:28" ht="24.95" customHeight="1"/>
    <row r="79" spans="2:28" ht="32.25" customHeight="1"/>
    <row r="80" spans="2:28" ht="24.95" customHeight="1"/>
    <row r="82" ht="16.5" customHeight="1"/>
    <row r="83" ht="17.2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244.5" customHeight="1"/>
  </sheetData>
  <mergeCells count="548">
    <mergeCell ref="K15:L15"/>
    <mergeCell ref="F15:G15"/>
    <mergeCell ref="F19:G19"/>
    <mergeCell ref="K19:L19"/>
    <mergeCell ref="M19:N19"/>
    <mergeCell ref="O19:P19"/>
    <mergeCell ref="Q19:R19"/>
    <mergeCell ref="S19:T19"/>
    <mergeCell ref="U19:V19"/>
    <mergeCell ref="O11:P11"/>
    <mergeCell ref="Q11:R11"/>
    <mergeCell ref="S11:T11"/>
    <mergeCell ref="U11:V11"/>
    <mergeCell ref="U15:V15"/>
    <mergeCell ref="S15:T15"/>
    <mergeCell ref="Q15:R15"/>
    <mergeCell ref="O15:P15"/>
    <mergeCell ref="M15:N15"/>
    <mergeCell ref="M38:N38"/>
    <mergeCell ref="Q37:R37"/>
    <mergeCell ref="S37:T37"/>
    <mergeCell ref="U37:V37"/>
    <mergeCell ref="W37:X37"/>
    <mergeCell ref="U38:V38"/>
    <mergeCell ref="O33:P33"/>
    <mergeCell ref="U52:V52"/>
    <mergeCell ref="W52:X52"/>
    <mergeCell ref="W39:X39"/>
    <mergeCell ref="Q39:R39"/>
    <mergeCell ref="Q40:R40"/>
    <mergeCell ref="S40:T40"/>
    <mergeCell ref="U40:V40"/>
    <mergeCell ref="S38:T38"/>
    <mergeCell ref="U35:V35"/>
    <mergeCell ref="U36:V36"/>
    <mergeCell ref="W36:X36"/>
    <mergeCell ref="W40:X40"/>
    <mergeCell ref="W38:X38"/>
    <mergeCell ref="Q38:R38"/>
    <mergeCell ref="Q36:R36"/>
    <mergeCell ref="S36:T36"/>
    <mergeCell ref="U45:V45"/>
    <mergeCell ref="Y27:Y30"/>
    <mergeCell ref="M33:N33"/>
    <mergeCell ref="M34:N34"/>
    <mergeCell ref="O35:P35"/>
    <mergeCell ref="M36:N36"/>
    <mergeCell ref="O36:P36"/>
    <mergeCell ref="O34:P34"/>
    <mergeCell ref="M35:N35"/>
    <mergeCell ref="M37:N37"/>
    <mergeCell ref="O37:P37"/>
    <mergeCell ref="M32:N32"/>
    <mergeCell ref="M27:N27"/>
    <mergeCell ref="O27:P27"/>
    <mergeCell ref="Q27:R27"/>
    <mergeCell ref="S27:T27"/>
    <mergeCell ref="U27:V27"/>
    <mergeCell ref="M28:N28"/>
    <mergeCell ref="O28:P28"/>
    <mergeCell ref="Q28:R28"/>
    <mergeCell ref="S28:T28"/>
    <mergeCell ref="U28:V28"/>
    <mergeCell ref="M30:N30"/>
    <mergeCell ref="O30:P30"/>
    <mergeCell ref="Q30:R30"/>
    <mergeCell ref="S8:T8"/>
    <mergeCell ref="U8:V8"/>
    <mergeCell ref="Q10:R10"/>
    <mergeCell ref="S10:T10"/>
    <mergeCell ref="U10:V10"/>
    <mergeCell ref="U31:V31"/>
    <mergeCell ref="S54:T54"/>
    <mergeCell ref="M54:N54"/>
    <mergeCell ref="O54:P54"/>
    <mergeCell ref="U53:V53"/>
    <mergeCell ref="M39:N39"/>
    <mergeCell ref="M40:N40"/>
    <mergeCell ref="O39:P39"/>
    <mergeCell ref="O40:P40"/>
    <mergeCell ref="S39:T39"/>
    <mergeCell ref="U39:V39"/>
    <mergeCell ref="M12:N12"/>
    <mergeCell ref="O12:P12"/>
    <mergeCell ref="Q12:R12"/>
    <mergeCell ref="S12:T12"/>
    <mergeCell ref="U12:V12"/>
    <mergeCell ref="O38:P38"/>
    <mergeCell ref="Q35:R35"/>
    <mergeCell ref="S35:T35"/>
    <mergeCell ref="X2:Y2"/>
    <mergeCell ref="B2:U2"/>
    <mergeCell ref="V2:W2"/>
    <mergeCell ref="AA2:AA5"/>
    <mergeCell ref="S55:T55"/>
    <mergeCell ref="U54:V54"/>
    <mergeCell ref="W54:X54"/>
    <mergeCell ref="U55:V55"/>
    <mergeCell ref="W53:X53"/>
    <mergeCell ref="M52:N52"/>
    <mergeCell ref="O52:P52"/>
    <mergeCell ref="M53:N53"/>
    <mergeCell ref="O53:P53"/>
    <mergeCell ref="Q52:R52"/>
    <mergeCell ref="S52:T52"/>
    <mergeCell ref="Q33:R33"/>
    <mergeCell ref="Q34:R34"/>
    <mergeCell ref="S33:T33"/>
    <mergeCell ref="S34:T34"/>
    <mergeCell ref="U33:V33"/>
    <mergeCell ref="U34:V34"/>
    <mergeCell ref="U14:V14"/>
    <mergeCell ref="M10:N10"/>
    <mergeCell ref="O10:P10"/>
    <mergeCell ref="Y21:Y22"/>
    <mergeCell ref="AA22:AB22"/>
    <mergeCell ref="M21:N21"/>
    <mergeCell ref="O21:P21"/>
    <mergeCell ref="Q21:R21"/>
    <mergeCell ref="S21:T21"/>
    <mergeCell ref="U21:V21"/>
    <mergeCell ref="M20:N20"/>
    <mergeCell ref="O20:P20"/>
    <mergeCell ref="Q20:R20"/>
    <mergeCell ref="S20:T20"/>
    <mergeCell ref="U20:V20"/>
    <mergeCell ref="Y9:Y20"/>
    <mergeCell ref="M18:N18"/>
    <mergeCell ref="O18:P18"/>
    <mergeCell ref="Q18:R18"/>
    <mergeCell ref="S18:T18"/>
    <mergeCell ref="U18:V18"/>
    <mergeCell ref="M17:N17"/>
    <mergeCell ref="O17:P17"/>
    <mergeCell ref="Q17:R17"/>
    <mergeCell ref="S17:T17"/>
    <mergeCell ref="U17:V17"/>
    <mergeCell ref="M9:N9"/>
    <mergeCell ref="F25:G25"/>
    <mergeCell ref="K25:L25"/>
    <mergeCell ref="F11:G11"/>
    <mergeCell ref="K11:L11"/>
    <mergeCell ref="M11:N11"/>
    <mergeCell ref="Y23:Y26"/>
    <mergeCell ref="M24:N24"/>
    <mergeCell ref="O24:P24"/>
    <mergeCell ref="Q24:R24"/>
    <mergeCell ref="S24:T24"/>
    <mergeCell ref="U24:V24"/>
    <mergeCell ref="M23:N23"/>
    <mergeCell ref="O23:P23"/>
    <mergeCell ref="Q23:R23"/>
    <mergeCell ref="S23:T23"/>
    <mergeCell ref="U23:V23"/>
    <mergeCell ref="M26:N26"/>
    <mergeCell ref="O26:P26"/>
    <mergeCell ref="Q26:R26"/>
    <mergeCell ref="S26:T26"/>
    <mergeCell ref="U26:V26"/>
    <mergeCell ref="S25:T25"/>
    <mergeCell ref="U25:V25"/>
    <mergeCell ref="X25:X26"/>
    <mergeCell ref="Q56:R56"/>
    <mergeCell ref="O51:P51"/>
    <mergeCell ref="Q51:R51"/>
    <mergeCell ref="M55:N55"/>
    <mergeCell ref="O55:P55"/>
    <mergeCell ref="B9:C35"/>
    <mergeCell ref="D9:D12"/>
    <mergeCell ref="F9:G9"/>
    <mergeCell ref="K9:L9"/>
    <mergeCell ref="F10:G10"/>
    <mergeCell ref="K10:L10"/>
    <mergeCell ref="M25:N25"/>
    <mergeCell ref="O25:P25"/>
    <mergeCell ref="Q25:R25"/>
    <mergeCell ref="Q22:R22"/>
    <mergeCell ref="F12:G12"/>
    <mergeCell ref="K12:L12"/>
    <mergeCell ref="D13:D16"/>
    <mergeCell ref="F13:G13"/>
    <mergeCell ref="K13:L13"/>
    <mergeCell ref="D17:D20"/>
    <mergeCell ref="F17:G17"/>
    <mergeCell ref="K17:L17"/>
    <mergeCell ref="D25:D26"/>
    <mergeCell ref="S56:T56"/>
    <mergeCell ref="U56:V56"/>
    <mergeCell ref="W56:X56"/>
    <mergeCell ref="U57:V58"/>
    <mergeCell ref="W57:X58"/>
    <mergeCell ref="S48:T48"/>
    <mergeCell ref="U48:V48"/>
    <mergeCell ref="S49:T49"/>
    <mergeCell ref="U49:V49"/>
    <mergeCell ref="S51:T51"/>
    <mergeCell ref="U51:V51"/>
    <mergeCell ref="S50:T50"/>
    <mergeCell ref="W55:X55"/>
    <mergeCell ref="S53:T53"/>
    <mergeCell ref="U50:V50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K7:N7"/>
    <mergeCell ref="O7:R7"/>
    <mergeCell ref="S7:V7"/>
    <mergeCell ref="W7:X8"/>
    <mergeCell ref="Y7:Y8"/>
    <mergeCell ref="F8:G8"/>
    <mergeCell ref="K8:L8"/>
    <mergeCell ref="I7:I8"/>
    <mergeCell ref="J7:J8"/>
    <mergeCell ref="M8:N8"/>
    <mergeCell ref="O8:P8"/>
    <mergeCell ref="Q8:R8"/>
    <mergeCell ref="X13:X16"/>
    <mergeCell ref="F14:G14"/>
    <mergeCell ref="K14:L14"/>
    <mergeCell ref="F16:G16"/>
    <mergeCell ref="K16:L16"/>
    <mergeCell ref="X9:X12"/>
    <mergeCell ref="O9:P9"/>
    <mergeCell ref="Q9:R9"/>
    <mergeCell ref="S9:T9"/>
    <mergeCell ref="U9:V9"/>
    <mergeCell ref="M16:N16"/>
    <mergeCell ref="O16:P16"/>
    <mergeCell ref="Q16:R16"/>
    <mergeCell ref="S16:T16"/>
    <mergeCell ref="U16:V16"/>
    <mergeCell ref="M14:N14"/>
    <mergeCell ref="O14:P14"/>
    <mergeCell ref="Q14:R14"/>
    <mergeCell ref="S14:T14"/>
    <mergeCell ref="M13:N13"/>
    <mergeCell ref="O13:P13"/>
    <mergeCell ref="Q13:R13"/>
    <mergeCell ref="S13:T13"/>
    <mergeCell ref="U13:V13"/>
    <mergeCell ref="X17:X20"/>
    <mergeCell ref="F18:G18"/>
    <mergeCell ref="K18:L18"/>
    <mergeCell ref="F20:G20"/>
    <mergeCell ref="K20:L20"/>
    <mergeCell ref="D21:D24"/>
    <mergeCell ref="F21:G21"/>
    <mergeCell ref="K21:L21"/>
    <mergeCell ref="X21:X22"/>
    <mergeCell ref="F22:G22"/>
    <mergeCell ref="K22:L22"/>
    <mergeCell ref="F23:G23"/>
    <mergeCell ref="K23:L23"/>
    <mergeCell ref="X23:X24"/>
    <mergeCell ref="F24:G24"/>
    <mergeCell ref="K24:L24"/>
    <mergeCell ref="U22:V22"/>
    <mergeCell ref="M22:N22"/>
    <mergeCell ref="O22:P22"/>
    <mergeCell ref="S22:T22"/>
    <mergeCell ref="F26:G26"/>
    <mergeCell ref="K26:L26"/>
    <mergeCell ref="D27:D30"/>
    <mergeCell ref="F27:G27"/>
    <mergeCell ref="K27:L27"/>
    <mergeCell ref="X27:X30"/>
    <mergeCell ref="F28:G28"/>
    <mergeCell ref="K28:L28"/>
    <mergeCell ref="F29:G29"/>
    <mergeCell ref="K29:L29"/>
    <mergeCell ref="F30:G30"/>
    <mergeCell ref="K30:L30"/>
    <mergeCell ref="O29:P29"/>
    <mergeCell ref="Q29:R29"/>
    <mergeCell ref="S29:T29"/>
    <mergeCell ref="U29:V29"/>
    <mergeCell ref="S30:T30"/>
    <mergeCell ref="U30:V30"/>
    <mergeCell ref="M29:N29"/>
    <mergeCell ref="D31:D32"/>
    <mergeCell ref="F31:G31"/>
    <mergeCell ref="K31:L31"/>
    <mergeCell ref="W31:X32"/>
    <mergeCell ref="Y31:Y32"/>
    <mergeCell ref="F32:G32"/>
    <mergeCell ref="K32:L32"/>
    <mergeCell ref="D33:D35"/>
    <mergeCell ref="F33:G33"/>
    <mergeCell ref="K33:L33"/>
    <mergeCell ref="W33:X35"/>
    <mergeCell ref="Y33:Y35"/>
    <mergeCell ref="F34:G34"/>
    <mergeCell ref="K34:L34"/>
    <mergeCell ref="F35:G35"/>
    <mergeCell ref="K35:L35"/>
    <mergeCell ref="O32:P32"/>
    <mergeCell ref="Q32:R32"/>
    <mergeCell ref="S32:T32"/>
    <mergeCell ref="U32:V32"/>
    <mergeCell ref="M31:N31"/>
    <mergeCell ref="O31:P31"/>
    <mergeCell ref="Q31:R31"/>
    <mergeCell ref="S31:T31"/>
    <mergeCell ref="B36:G36"/>
    <mergeCell ref="K36:L36"/>
    <mergeCell ref="AA36:AB36"/>
    <mergeCell ref="B37:C56"/>
    <mergeCell ref="F37:G37"/>
    <mergeCell ref="K37:L37"/>
    <mergeCell ref="F38:G38"/>
    <mergeCell ref="K38:L38"/>
    <mergeCell ref="F39:G39"/>
    <mergeCell ref="K39:L39"/>
    <mergeCell ref="F40:G40"/>
    <mergeCell ref="K40:L40"/>
    <mergeCell ref="F52:G52"/>
    <mergeCell ref="K52:L52"/>
    <mergeCell ref="F53:G53"/>
    <mergeCell ref="K53:L53"/>
    <mergeCell ref="F54:G54"/>
    <mergeCell ref="K54:L54"/>
    <mergeCell ref="F55:G55"/>
    <mergeCell ref="K55:L55"/>
    <mergeCell ref="F56:G56"/>
    <mergeCell ref="K56:L56"/>
    <mergeCell ref="M56:N56"/>
    <mergeCell ref="O56:P56"/>
    <mergeCell ref="B57:B58"/>
    <mergeCell ref="F57:G57"/>
    <mergeCell ref="J57:J58"/>
    <mergeCell ref="K57:L57"/>
    <mergeCell ref="M57:N57"/>
    <mergeCell ref="O57:P57"/>
    <mergeCell ref="Q57:R57"/>
    <mergeCell ref="F58:G58"/>
    <mergeCell ref="K58:L58"/>
    <mergeCell ref="M58:N58"/>
    <mergeCell ref="O58:P58"/>
    <mergeCell ref="Q58:R58"/>
    <mergeCell ref="C57:C58"/>
    <mergeCell ref="Q54:R54"/>
    <mergeCell ref="Q55:R55"/>
    <mergeCell ref="Q53:R53"/>
    <mergeCell ref="M48:N48"/>
    <mergeCell ref="O48:P48"/>
    <mergeCell ref="Q48:R48"/>
    <mergeCell ref="F49:G49"/>
    <mergeCell ref="K49:L49"/>
    <mergeCell ref="M49:N49"/>
    <mergeCell ref="F50:G50"/>
    <mergeCell ref="K50:L50"/>
    <mergeCell ref="M50:N50"/>
    <mergeCell ref="O50:P50"/>
    <mergeCell ref="Q50:R50"/>
    <mergeCell ref="O49:P49"/>
    <mergeCell ref="Q49:R49"/>
    <mergeCell ref="M51:N51"/>
    <mergeCell ref="U63:V64"/>
    <mergeCell ref="U60:V60"/>
    <mergeCell ref="U59:V59"/>
    <mergeCell ref="U61:V61"/>
    <mergeCell ref="U62:V62"/>
    <mergeCell ref="B59:B62"/>
    <mergeCell ref="C59:C62"/>
    <mergeCell ref="F60:G60"/>
    <mergeCell ref="F61:G61"/>
    <mergeCell ref="F62:G62"/>
    <mergeCell ref="F59:G59"/>
    <mergeCell ref="B63:G64"/>
    <mergeCell ref="H63:H64"/>
    <mergeCell ref="I63:I64"/>
    <mergeCell ref="J63:J64"/>
    <mergeCell ref="K63:L64"/>
    <mergeCell ref="M63:N64"/>
    <mergeCell ref="O63:P64"/>
    <mergeCell ref="Q63:R64"/>
    <mergeCell ref="S63:T64"/>
    <mergeCell ref="W63:X64"/>
    <mergeCell ref="Y63:Y64"/>
    <mergeCell ref="W65:X65"/>
    <mergeCell ref="AA65:AB66"/>
    <mergeCell ref="B66:E69"/>
    <mergeCell ref="F66:J66"/>
    <mergeCell ref="K66:L66"/>
    <mergeCell ref="M66:N66"/>
    <mergeCell ref="O66:P66"/>
    <mergeCell ref="Q66:R66"/>
    <mergeCell ref="S66:T66"/>
    <mergeCell ref="U66:V66"/>
    <mergeCell ref="W66:X68"/>
    <mergeCell ref="Y66:Y68"/>
    <mergeCell ref="F67:J67"/>
    <mergeCell ref="K67:L67"/>
    <mergeCell ref="M67:N67"/>
    <mergeCell ref="O67:P67"/>
    <mergeCell ref="Q67:R67"/>
    <mergeCell ref="O68:P68"/>
    <mergeCell ref="Q68:R68"/>
    <mergeCell ref="S68:T68"/>
    <mergeCell ref="U68:V68"/>
    <mergeCell ref="B65:G65"/>
    <mergeCell ref="K65:L65"/>
    <mergeCell ref="M65:N65"/>
    <mergeCell ref="O65:P65"/>
    <mergeCell ref="Q65:R65"/>
    <mergeCell ref="S65:T65"/>
    <mergeCell ref="U65:V65"/>
    <mergeCell ref="AA72:AB72"/>
    <mergeCell ref="B70:J70"/>
    <mergeCell ref="K70:L70"/>
    <mergeCell ref="M70:N70"/>
    <mergeCell ref="O70:P70"/>
    <mergeCell ref="Q70:R70"/>
    <mergeCell ref="S70:T70"/>
    <mergeCell ref="U70:V70"/>
    <mergeCell ref="W70:X70"/>
    <mergeCell ref="AA70:AB70"/>
    <mergeCell ref="D37:E37"/>
    <mergeCell ref="AB16:AD16"/>
    <mergeCell ref="AA8:AD8"/>
    <mergeCell ref="B71:J71"/>
    <mergeCell ref="K71:N71"/>
    <mergeCell ref="O71:R71"/>
    <mergeCell ref="S71:V71"/>
    <mergeCell ref="W71:X71"/>
    <mergeCell ref="AA71:AB71"/>
    <mergeCell ref="F69:J69"/>
    <mergeCell ref="K69:L69"/>
    <mergeCell ref="M69:N69"/>
    <mergeCell ref="O69:P69"/>
    <mergeCell ref="Q69:R69"/>
    <mergeCell ref="S69:T69"/>
    <mergeCell ref="U69:V69"/>
    <mergeCell ref="W69:X69"/>
    <mergeCell ref="AA69:AB69"/>
    <mergeCell ref="S67:T67"/>
    <mergeCell ref="U67:V67"/>
    <mergeCell ref="AA67:AB67"/>
    <mergeCell ref="F68:J68"/>
    <mergeCell ref="K68:L68"/>
    <mergeCell ref="M68:N68"/>
    <mergeCell ref="F41:G41"/>
    <mergeCell ref="F42:G42"/>
    <mergeCell ref="F43:G43"/>
    <mergeCell ref="F44:G44"/>
    <mergeCell ref="F45:G45"/>
    <mergeCell ref="F46:G46"/>
    <mergeCell ref="F47:G47"/>
    <mergeCell ref="F51:G51"/>
    <mergeCell ref="K41:L41"/>
    <mergeCell ref="K42:L42"/>
    <mergeCell ref="K43:L43"/>
    <mergeCell ref="K44:L44"/>
    <mergeCell ref="K45:L45"/>
    <mergeCell ref="K46:L46"/>
    <mergeCell ref="K47:L47"/>
    <mergeCell ref="K51:L51"/>
    <mergeCell ref="F48:G48"/>
    <mergeCell ref="K48:L48"/>
    <mergeCell ref="M41:N41"/>
    <mergeCell ref="M42:N42"/>
    <mergeCell ref="M43:N43"/>
    <mergeCell ref="M44:N44"/>
    <mergeCell ref="M45:N45"/>
    <mergeCell ref="O41:P41"/>
    <mergeCell ref="Q41:R41"/>
    <mergeCell ref="S41:T41"/>
    <mergeCell ref="U41:V41"/>
    <mergeCell ref="O42:P42"/>
    <mergeCell ref="Q42:R42"/>
    <mergeCell ref="S42:T42"/>
    <mergeCell ref="U42:V42"/>
    <mergeCell ref="O43:P43"/>
    <mergeCell ref="Q43:R43"/>
    <mergeCell ref="S43:T43"/>
    <mergeCell ref="U43:V43"/>
    <mergeCell ref="O44:P44"/>
    <mergeCell ref="O45:P45"/>
    <mergeCell ref="Q44:R44"/>
    <mergeCell ref="Q45:R45"/>
    <mergeCell ref="S44:T44"/>
    <mergeCell ref="S45:T45"/>
    <mergeCell ref="U44:V44"/>
    <mergeCell ref="M46:N46"/>
    <mergeCell ref="M47:N47"/>
    <mergeCell ref="O46:P46"/>
    <mergeCell ref="Q46:R46"/>
    <mergeCell ref="S46:T46"/>
    <mergeCell ref="U46:V46"/>
    <mergeCell ref="U47:V47"/>
    <mergeCell ref="S47:T47"/>
    <mergeCell ref="Q47:R47"/>
    <mergeCell ref="O47:P47"/>
    <mergeCell ref="S57:T58"/>
    <mergeCell ref="K59:L59"/>
    <mergeCell ref="K60:L60"/>
    <mergeCell ref="K61:L61"/>
    <mergeCell ref="K62:L62"/>
    <mergeCell ref="M59:N59"/>
    <mergeCell ref="M60:N60"/>
    <mergeCell ref="M61:N61"/>
    <mergeCell ref="M62:N62"/>
    <mergeCell ref="O59:P59"/>
    <mergeCell ref="Q59:R59"/>
    <mergeCell ref="O60:P60"/>
    <mergeCell ref="O61:P61"/>
    <mergeCell ref="O62:P62"/>
    <mergeCell ref="Q60:R60"/>
    <mergeCell ref="Q61:R61"/>
    <mergeCell ref="Q62:R62"/>
    <mergeCell ref="S59:T59"/>
    <mergeCell ref="S60:T60"/>
    <mergeCell ref="S61:T61"/>
    <mergeCell ref="S62:T62"/>
    <mergeCell ref="W59:X59"/>
    <mergeCell ref="W60:X60"/>
    <mergeCell ref="W61:X61"/>
    <mergeCell ref="W62:X62"/>
    <mergeCell ref="Y37:Y62"/>
    <mergeCell ref="W41:X41"/>
    <mergeCell ref="W42:X42"/>
    <mergeCell ref="W43:X43"/>
    <mergeCell ref="W44:X44"/>
    <mergeCell ref="W45:X45"/>
    <mergeCell ref="W46:X46"/>
    <mergeCell ref="W47:X47"/>
    <mergeCell ref="W48:X48"/>
    <mergeCell ref="W49:X49"/>
    <mergeCell ref="W50:X50"/>
    <mergeCell ref="W51:X51"/>
  </mergeCells>
  <phoneticPr fontId="9" type="noConversion"/>
  <conditionalFormatting sqref="AA36:AB36 AC62 AC64 AA67:AB67 AA70:AB70 AA72:AB72">
    <cfRule type="containsText" dxfId="0" priority="1" operator="containsText" text="FALSE">
      <formula>NOT(ISERROR(SEARCH("FALSE",AA36)))</formula>
    </cfRule>
  </conditionalFormatting>
  <dataValidations count="1">
    <dataValidation type="list" allowBlank="1" showInputMessage="1" showErrorMessage="1" sqref="D59:D61" xr:uid="{390F5271-A939-4C5D-A4A8-57847F49C417}"/>
  </dataValidations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63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13749EF-2DBF-4A58-A5FA-C327F91AFEF0}">
          <x14:formula1>
            <xm:f>삭제금지!$H$2:$H$18</xm:f>
          </x14:formula1>
          <xm:sqref>B5</xm:sqref>
        </x14:dataValidation>
        <x14:dataValidation type="list" allowBlank="1" showInputMessage="1" showErrorMessage="1" xr:uid="{A1FA711F-4BCD-4570-AB57-78C14C1C3F27}">
          <x14:formula1>
            <xm:f>삭제금지!$L$2:$L$4</xm:f>
          </x14:formula1>
          <xm:sqref>T5:V5</xm:sqref>
        </x14:dataValidation>
        <x14:dataValidation type="list" allowBlank="1" showInputMessage="1" showErrorMessage="1" xr:uid="{00C85D30-DC56-42A7-B90D-4A6337879662}">
          <x14:formula1>
            <xm:f>삭제금지!$K$2:$K$59</xm:f>
          </x14:formula1>
          <xm:sqref>K5:O5</xm:sqref>
        </x14:dataValidation>
        <x14:dataValidation type="list" allowBlank="1" showInputMessage="1" showErrorMessage="1" xr:uid="{19439246-B3F5-4180-9CDB-41A19D34EA1E}">
          <x14:formula1>
            <xm:f>삭제금지!$I$2:$I$18</xm:f>
          </x14:formula1>
          <xm:sqref>F5:G5</xm:sqref>
        </x14:dataValidation>
        <x14:dataValidation type="list" allowBlank="1" showInputMessage="1" showErrorMessage="1" xr:uid="{C27BB231-7DC0-49A2-8365-F18C42D609A6}">
          <x14:formula1>
            <xm:f>삭제금지!$J$2:$J$59</xm:f>
          </x14:formula1>
          <xm:sqref>H5:J5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4B20E-1481-4EFF-B9F6-D5FBC51A4A8A}">
  <sheetPr>
    <pageSetUpPr fitToPage="1"/>
  </sheetPr>
  <dimension ref="B2:AG45"/>
  <sheetViews>
    <sheetView showGridLines="0" view="pageBreakPreview" zoomScale="90" zoomScaleNormal="85" zoomScaleSheetLayoutView="90" workbookViewId="0">
      <selection activeCell="B2" sqref="B2:U2"/>
    </sheetView>
  </sheetViews>
  <sheetFormatPr defaultRowHeight="16.5"/>
  <cols>
    <col min="1" max="1" width="3" customWidth="1"/>
    <col min="2" max="2" width="11.75" customWidth="1"/>
    <col min="3" max="3" width="5.625" customWidth="1"/>
    <col min="4" max="4" width="18.875" bestFit="1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33" ht="39.75" customHeight="1" thickBot="1">
      <c r="B2" s="479" t="s">
        <v>151</v>
      </c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</row>
    <row r="3" spans="2:33" ht="27" customHeight="1" thickBot="1"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480" t="s">
        <v>129</v>
      </c>
      <c r="O3" s="481"/>
      <c r="P3" s="482"/>
      <c r="Q3" s="480" t="s">
        <v>127</v>
      </c>
      <c r="R3" s="481"/>
      <c r="S3" s="482"/>
      <c r="T3" s="483" t="s">
        <v>130</v>
      </c>
      <c r="U3" s="484"/>
    </row>
    <row r="4" spans="2:33" ht="27" customHeight="1" thickBot="1"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485" t="s">
        <v>504</v>
      </c>
      <c r="O4" s="486"/>
      <c r="P4" s="487"/>
      <c r="Q4" s="488" t="s">
        <v>546</v>
      </c>
      <c r="R4" s="489"/>
      <c r="S4" s="490"/>
      <c r="T4" s="491">
        <v>2027</v>
      </c>
      <c r="U4" s="492"/>
    </row>
    <row r="5" spans="2:33" ht="24" customHeight="1" thickBot="1">
      <c r="B5" s="472"/>
      <c r="C5" s="472"/>
    </row>
    <row r="6" spans="2:33" ht="20.25" customHeight="1">
      <c r="B6" s="473" t="s">
        <v>13</v>
      </c>
      <c r="C6" s="476" t="s">
        <v>141</v>
      </c>
      <c r="D6" s="468" t="s">
        <v>14</v>
      </c>
      <c r="E6" s="468" t="s">
        <v>15</v>
      </c>
      <c r="F6" s="468" t="s">
        <v>142</v>
      </c>
      <c r="G6" s="468" t="s">
        <v>143</v>
      </c>
      <c r="H6" s="471" t="s">
        <v>58</v>
      </c>
      <c r="I6" s="471"/>
      <c r="J6" s="471"/>
      <c r="K6" s="471"/>
      <c r="L6" s="471" t="s">
        <v>59</v>
      </c>
      <c r="M6" s="471"/>
      <c r="N6" s="471"/>
      <c r="O6" s="471"/>
      <c r="P6" s="471" t="s">
        <v>60</v>
      </c>
      <c r="Q6" s="471"/>
      <c r="R6" s="471"/>
      <c r="S6" s="471"/>
      <c r="T6" s="455" t="s">
        <v>140</v>
      </c>
      <c r="U6" s="458" t="s">
        <v>126</v>
      </c>
      <c r="W6" s="461" t="s">
        <v>131</v>
      </c>
      <c r="X6" s="462"/>
      <c r="Y6" s="462"/>
      <c r="Z6" s="462"/>
      <c r="AA6" s="462"/>
      <c r="AB6" s="462"/>
      <c r="AC6" s="462"/>
      <c r="AD6" s="462"/>
      <c r="AE6" s="462"/>
      <c r="AF6" s="463"/>
      <c r="AG6" s="13"/>
    </row>
    <row r="7" spans="2:33" ht="16.5" customHeight="1">
      <c r="B7" s="474"/>
      <c r="C7" s="477"/>
      <c r="D7" s="469"/>
      <c r="E7" s="469"/>
      <c r="F7" s="469"/>
      <c r="G7" s="469"/>
      <c r="H7" s="464" t="s">
        <v>124</v>
      </c>
      <c r="I7" s="464"/>
      <c r="J7" s="464" t="s">
        <v>62</v>
      </c>
      <c r="K7" s="464"/>
      <c r="L7" s="464" t="s">
        <v>124</v>
      </c>
      <c r="M7" s="464"/>
      <c r="N7" s="464" t="s">
        <v>62</v>
      </c>
      <c r="O7" s="464"/>
      <c r="P7" s="464" t="s">
        <v>124</v>
      </c>
      <c r="Q7" s="464"/>
      <c r="R7" s="464" t="s">
        <v>62</v>
      </c>
      <c r="S7" s="464"/>
      <c r="T7" s="456"/>
      <c r="U7" s="459"/>
      <c r="W7" s="465" t="s">
        <v>132</v>
      </c>
      <c r="X7" s="466"/>
      <c r="Y7" s="466"/>
      <c r="Z7" s="466"/>
      <c r="AA7" s="466"/>
      <c r="AB7" s="466"/>
      <c r="AC7" s="466"/>
      <c r="AD7" s="466"/>
      <c r="AE7" s="466"/>
      <c r="AF7" s="467"/>
      <c r="AG7" s="13"/>
    </row>
    <row r="8" spans="2:33" ht="17.25" customHeight="1" thickBot="1">
      <c r="B8" s="475"/>
      <c r="C8" s="478"/>
      <c r="D8" s="470"/>
      <c r="E8" s="470"/>
      <c r="F8" s="470"/>
      <c r="G8" s="470"/>
      <c r="H8" s="29" t="s">
        <v>139</v>
      </c>
      <c r="I8" s="29" t="s">
        <v>125</v>
      </c>
      <c r="J8" s="29" t="s">
        <v>139</v>
      </c>
      <c r="K8" s="29" t="s">
        <v>125</v>
      </c>
      <c r="L8" s="29" t="s">
        <v>139</v>
      </c>
      <c r="M8" s="29" t="s">
        <v>125</v>
      </c>
      <c r="N8" s="29" t="s">
        <v>139</v>
      </c>
      <c r="O8" s="29" t="s">
        <v>125</v>
      </c>
      <c r="P8" s="29" t="s">
        <v>139</v>
      </c>
      <c r="Q8" s="29" t="s">
        <v>125</v>
      </c>
      <c r="R8" s="29" t="s">
        <v>139</v>
      </c>
      <c r="S8" s="29" t="s">
        <v>125</v>
      </c>
      <c r="T8" s="457"/>
      <c r="U8" s="460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444" t="s">
        <v>592</v>
      </c>
      <c r="C9" s="447">
        <v>8</v>
      </c>
      <c r="D9" s="174" t="s">
        <v>591</v>
      </c>
      <c r="E9" s="30" t="s">
        <v>590</v>
      </c>
      <c r="F9" s="30">
        <v>20</v>
      </c>
      <c r="G9" s="30">
        <v>2</v>
      </c>
      <c r="H9" s="31"/>
      <c r="I9" s="31"/>
      <c r="J9" s="31"/>
      <c r="K9" s="31"/>
      <c r="L9" s="31"/>
      <c r="M9" s="31"/>
      <c r="N9" s="31"/>
      <c r="O9" s="31"/>
      <c r="P9" s="31">
        <v>1</v>
      </c>
      <c r="Q9" s="31">
        <v>16</v>
      </c>
      <c r="R9" s="31"/>
      <c r="S9" s="31"/>
      <c r="T9" s="43">
        <f t="shared" ref="T9:U12" si="0">SUM(H9,J9,L9,N9,P9,R9)</f>
        <v>1</v>
      </c>
      <c r="U9" s="42">
        <f t="shared" si="0"/>
        <v>16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445"/>
      <c r="C10" s="448"/>
      <c r="D10" s="41" t="s">
        <v>589</v>
      </c>
      <c r="E10" s="34" t="s">
        <v>588</v>
      </c>
      <c r="F10" s="39">
        <v>80</v>
      </c>
      <c r="G10" s="39">
        <v>3</v>
      </c>
      <c r="H10" s="38"/>
      <c r="I10" s="38"/>
      <c r="J10" s="38"/>
      <c r="K10" s="38"/>
      <c r="L10" s="38"/>
      <c r="M10" s="38"/>
      <c r="N10" s="38"/>
      <c r="O10" s="38"/>
      <c r="P10" s="38">
        <v>3</v>
      </c>
      <c r="Q10" s="38">
        <v>48</v>
      </c>
      <c r="R10" s="38"/>
      <c r="S10" s="38"/>
      <c r="T10" s="37">
        <f t="shared" si="0"/>
        <v>3</v>
      </c>
      <c r="U10" s="36">
        <f t="shared" si="0"/>
        <v>48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 ht="16.5" customHeight="1">
      <c r="B11" s="445"/>
      <c r="C11" s="448"/>
      <c r="D11" s="41" t="s">
        <v>587</v>
      </c>
      <c r="E11" s="176" t="s">
        <v>586</v>
      </c>
      <c r="F11" s="39">
        <v>20</v>
      </c>
      <c r="G11" s="39">
        <v>3</v>
      </c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>
        <v>3</v>
      </c>
      <c r="S11" s="38">
        <v>48</v>
      </c>
      <c r="T11" s="37">
        <f t="shared" si="0"/>
        <v>3</v>
      </c>
      <c r="U11" s="36">
        <f t="shared" si="0"/>
        <v>48</v>
      </c>
      <c r="W11" s="12"/>
      <c r="X11" s="13"/>
      <c r="Y11" s="13"/>
      <c r="Z11" s="13"/>
      <c r="AA11" s="13"/>
      <c r="AB11" s="13"/>
      <c r="AC11" s="13"/>
      <c r="AD11" s="13"/>
      <c r="AE11" s="13"/>
      <c r="AF11" s="17"/>
      <c r="AG11" s="13"/>
    </row>
    <row r="12" spans="2:33" ht="16.5" customHeight="1">
      <c r="B12" s="445"/>
      <c r="C12" s="448"/>
      <c r="D12" s="41" t="s">
        <v>585</v>
      </c>
      <c r="E12" s="33" t="s">
        <v>584</v>
      </c>
      <c r="F12" s="39">
        <v>20</v>
      </c>
      <c r="G12" s="39">
        <v>2</v>
      </c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>
        <v>1</v>
      </c>
      <c r="S12" s="28">
        <v>16</v>
      </c>
      <c r="T12" s="37">
        <f t="shared" si="0"/>
        <v>1</v>
      </c>
      <c r="U12" s="36">
        <f t="shared" si="0"/>
        <v>16</v>
      </c>
      <c r="W12" s="12"/>
      <c r="X12" s="13"/>
      <c r="Y12" s="13"/>
      <c r="Z12" s="13"/>
      <c r="AA12" s="13"/>
      <c r="AB12" s="13"/>
      <c r="AC12" s="13"/>
      <c r="AD12" s="13"/>
      <c r="AE12" s="13"/>
      <c r="AF12" s="17"/>
      <c r="AG12" s="13"/>
    </row>
    <row r="13" spans="2:33" ht="17.25" thickBot="1">
      <c r="B13" s="446"/>
      <c r="C13" s="449"/>
      <c r="D13" s="443" t="s">
        <v>16</v>
      </c>
      <c r="E13" s="443"/>
      <c r="F13" s="166"/>
      <c r="G13" s="166"/>
      <c r="H13" s="32"/>
      <c r="I13" s="32"/>
      <c r="J13" s="32"/>
      <c r="K13" s="32"/>
      <c r="L13" s="32"/>
      <c r="M13" s="32"/>
      <c r="N13" s="32"/>
      <c r="O13" s="32"/>
      <c r="P13" s="32">
        <f t="shared" ref="P13:U13" si="1">SUM(P9:P12)</f>
        <v>4</v>
      </c>
      <c r="Q13" s="32">
        <f t="shared" si="1"/>
        <v>64</v>
      </c>
      <c r="R13" s="32">
        <f t="shared" si="1"/>
        <v>4</v>
      </c>
      <c r="S13" s="32">
        <f t="shared" si="1"/>
        <v>64</v>
      </c>
      <c r="T13" s="169">
        <f t="shared" si="1"/>
        <v>8</v>
      </c>
      <c r="U13" s="168">
        <f t="shared" si="1"/>
        <v>128</v>
      </c>
    </row>
    <row r="14" spans="2:33">
      <c r="B14" s="450" t="s">
        <v>583</v>
      </c>
      <c r="C14" s="452">
        <v>4</v>
      </c>
      <c r="D14" s="173" t="s">
        <v>593</v>
      </c>
      <c r="E14" s="179" t="s">
        <v>594</v>
      </c>
      <c r="F14" s="39">
        <v>40</v>
      </c>
      <c r="G14" s="39">
        <v>2</v>
      </c>
      <c r="H14" s="38"/>
      <c r="I14" s="38"/>
      <c r="J14" s="38"/>
      <c r="K14" s="38"/>
      <c r="L14" s="38">
        <v>2</v>
      </c>
      <c r="M14" s="38">
        <v>32</v>
      </c>
      <c r="N14" s="38"/>
      <c r="O14" s="38"/>
      <c r="P14" s="38"/>
      <c r="Q14" s="38"/>
      <c r="R14" s="38"/>
      <c r="S14" s="38"/>
      <c r="T14" s="37">
        <f>SUM(L14,N14,P14,R14)</f>
        <v>2</v>
      </c>
      <c r="U14" s="36">
        <f>SUM(M14,O14,Q14,S14)</f>
        <v>32</v>
      </c>
    </row>
    <row r="15" spans="2:33">
      <c r="B15" s="445"/>
      <c r="C15" s="454"/>
      <c r="D15" s="171" t="s">
        <v>595</v>
      </c>
      <c r="E15" s="180" t="s">
        <v>596</v>
      </c>
      <c r="F15" s="177">
        <v>30</v>
      </c>
      <c r="G15" s="177">
        <v>2</v>
      </c>
      <c r="H15" s="178"/>
      <c r="I15" s="178"/>
      <c r="J15" s="178"/>
      <c r="K15" s="178"/>
      <c r="L15" s="178">
        <v>2</v>
      </c>
      <c r="M15" s="178">
        <v>32</v>
      </c>
      <c r="N15" s="178"/>
      <c r="O15" s="178"/>
      <c r="P15" s="178"/>
      <c r="Q15" s="178"/>
      <c r="R15" s="178"/>
      <c r="S15" s="178"/>
      <c r="T15" s="37">
        <f>SUM(L15,N15,P15,R15)</f>
        <v>2</v>
      </c>
      <c r="U15" s="36">
        <f>SUM(M15,O15,Q15,S15)</f>
        <v>32</v>
      </c>
    </row>
    <row r="16" spans="2:33" ht="17.25" thickBot="1">
      <c r="B16" s="439"/>
      <c r="C16" s="442"/>
      <c r="D16" s="443" t="s">
        <v>16</v>
      </c>
      <c r="E16" s="443"/>
      <c r="F16" s="166"/>
      <c r="G16" s="166"/>
      <c r="H16" s="32"/>
      <c r="I16" s="32"/>
      <c r="J16" s="32"/>
      <c r="K16" s="32"/>
      <c r="L16" s="32">
        <v>4</v>
      </c>
      <c r="M16" s="32">
        <v>64</v>
      </c>
      <c r="N16" s="32">
        <f>SUM(N14:N14)</f>
        <v>0</v>
      </c>
      <c r="O16" s="32">
        <f>SUM(O14:O14)</f>
        <v>0</v>
      </c>
      <c r="P16" s="32"/>
      <c r="Q16" s="32">
        <f>SUM(Q14:Q14)</f>
        <v>0</v>
      </c>
      <c r="R16" s="32">
        <f>SUM(R14:R14)</f>
        <v>0</v>
      </c>
      <c r="S16" s="32">
        <f>SUM(S14:S14)</f>
        <v>0</v>
      </c>
      <c r="T16" s="169">
        <v>4</v>
      </c>
      <c r="U16" s="169">
        <v>64</v>
      </c>
    </row>
    <row r="17" spans="2:21">
      <c r="B17" s="437" t="s">
        <v>582</v>
      </c>
      <c r="C17" s="440">
        <v>6</v>
      </c>
      <c r="D17" s="174" t="s">
        <v>581</v>
      </c>
      <c r="E17" s="30" t="s">
        <v>580</v>
      </c>
      <c r="F17" s="30">
        <v>24</v>
      </c>
      <c r="G17" s="30">
        <v>3</v>
      </c>
      <c r="H17" s="31"/>
      <c r="I17" s="31"/>
      <c r="J17" s="31"/>
      <c r="K17" s="31"/>
      <c r="L17" s="31"/>
      <c r="M17" s="31"/>
      <c r="N17" s="31"/>
      <c r="O17" s="31"/>
      <c r="P17" s="31">
        <v>3</v>
      </c>
      <c r="Q17" s="31">
        <v>48</v>
      </c>
      <c r="R17" s="31"/>
      <c r="S17" s="31"/>
      <c r="T17" s="43">
        <f>SUM(L17,N17,P17,R17)</f>
        <v>3</v>
      </c>
      <c r="U17" s="42">
        <f>SUM(M17,O17,Q17,S17)</f>
        <v>48</v>
      </c>
    </row>
    <row r="18" spans="2:21">
      <c r="B18" s="438"/>
      <c r="C18" s="441"/>
      <c r="D18" s="41" t="s">
        <v>579</v>
      </c>
      <c r="E18" s="33" t="s">
        <v>578</v>
      </c>
      <c r="F18" s="39">
        <v>16</v>
      </c>
      <c r="G18" s="39">
        <v>3</v>
      </c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>
        <v>3</v>
      </c>
      <c r="S18" s="28">
        <v>48</v>
      </c>
      <c r="T18" s="37">
        <f>SUM(L18,N18,P18,R18)</f>
        <v>3</v>
      </c>
      <c r="U18" s="36">
        <f>SUM(M18,O18,Q18,S18)</f>
        <v>48</v>
      </c>
    </row>
    <row r="19" spans="2:21" ht="17.25" thickBot="1">
      <c r="B19" s="439"/>
      <c r="C19" s="442"/>
      <c r="D19" s="443" t="s">
        <v>16</v>
      </c>
      <c r="E19" s="443"/>
      <c r="F19" s="166"/>
      <c r="G19" s="166"/>
      <c r="H19" s="32"/>
      <c r="I19" s="32"/>
      <c r="J19" s="32"/>
      <c r="K19" s="32"/>
      <c r="L19" s="32">
        <f t="shared" ref="L19:U19" si="2">SUM(L17:L18)</f>
        <v>0</v>
      </c>
      <c r="M19" s="32">
        <f t="shared" si="2"/>
        <v>0</v>
      </c>
      <c r="N19" s="32">
        <f t="shared" si="2"/>
        <v>0</v>
      </c>
      <c r="O19" s="32">
        <f t="shared" si="2"/>
        <v>0</v>
      </c>
      <c r="P19" s="32">
        <f t="shared" si="2"/>
        <v>3</v>
      </c>
      <c r="Q19" s="32">
        <f t="shared" si="2"/>
        <v>48</v>
      </c>
      <c r="R19" s="32">
        <f t="shared" si="2"/>
        <v>3</v>
      </c>
      <c r="S19" s="32">
        <f t="shared" si="2"/>
        <v>48</v>
      </c>
      <c r="T19" s="169">
        <f t="shared" si="2"/>
        <v>6</v>
      </c>
      <c r="U19" s="168">
        <f t="shared" si="2"/>
        <v>96</v>
      </c>
    </row>
    <row r="20" spans="2:21">
      <c r="B20" s="450" t="s">
        <v>577</v>
      </c>
      <c r="C20" s="452">
        <v>6</v>
      </c>
      <c r="D20" s="45" t="s">
        <v>576</v>
      </c>
      <c r="E20" s="40" t="s">
        <v>597</v>
      </c>
      <c r="F20" s="39">
        <v>20</v>
      </c>
      <c r="G20" s="39">
        <v>3</v>
      </c>
      <c r="H20" s="38"/>
      <c r="I20" s="38"/>
      <c r="J20" s="38"/>
      <c r="K20" s="38"/>
      <c r="L20" s="38"/>
      <c r="M20" s="38"/>
      <c r="N20" s="38"/>
      <c r="O20" s="38"/>
      <c r="P20" s="38">
        <v>1</v>
      </c>
      <c r="Q20" s="38">
        <v>16</v>
      </c>
      <c r="R20" s="38"/>
      <c r="S20" s="38"/>
      <c r="T20" s="37">
        <f t="shared" ref="T20:U23" si="3">SUM(H20,J20,L20,N20,P20,R20)</f>
        <v>1</v>
      </c>
      <c r="U20" s="36">
        <f t="shared" si="3"/>
        <v>16</v>
      </c>
    </row>
    <row r="21" spans="2:21">
      <c r="B21" s="450"/>
      <c r="C21" s="452"/>
      <c r="D21" s="45" t="s">
        <v>575</v>
      </c>
      <c r="E21" s="40" t="s">
        <v>598</v>
      </c>
      <c r="F21" s="39">
        <v>30</v>
      </c>
      <c r="G21" s="39">
        <v>5</v>
      </c>
      <c r="H21" s="38"/>
      <c r="I21" s="38"/>
      <c r="J21" s="38"/>
      <c r="K21" s="38"/>
      <c r="L21" s="38"/>
      <c r="M21" s="38"/>
      <c r="N21" s="38"/>
      <c r="O21" s="38"/>
      <c r="P21" s="38">
        <v>2</v>
      </c>
      <c r="Q21" s="38">
        <v>32</v>
      </c>
      <c r="R21" s="38"/>
      <c r="S21" s="38"/>
      <c r="T21" s="37">
        <f t="shared" si="3"/>
        <v>2</v>
      </c>
      <c r="U21" s="36">
        <f t="shared" si="3"/>
        <v>32</v>
      </c>
    </row>
    <row r="22" spans="2:21">
      <c r="B22" s="451"/>
      <c r="C22" s="453"/>
      <c r="D22" s="46" t="s">
        <v>574</v>
      </c>
      <c r="E22" s="35" t="s">
        <v>599</v>
      </c>
      <c r="F22" s="27">
        <v>30</v>
      </c>
      <c r="G22" s="39">
        <v>3</v>
      </c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>
        <v>1</v>
      </c>
      <c r="S22" s="38">
        <v>16</v>
      </c>
      <c r="T22" s="37">
        <f t="shared" si="3"/>
        <v>1</v>
      </c>
      <c r="U22" s="36">
        <f t="shared" si="3"/>
        <v>16</v>
      </c>
    </row>
    <row r="23" spans="2:21">
      <c r="B23" s="451"/>
      <c r="C23" s="453"/>
      <c r="D23" s="46" t="s">
        <v>573</v>
      </c>
      <c r="E23" s="35" t="s">
        <v>600</v>
      </c>
      <c r="F23" s="34">
        <v>25</v>
      </c>
      <c r="G23" s="27">
        <v>3</v>
      </c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>
        <v>2</v>
      </c>
      <c r="S23" s="28">
        <v>32</v>
      </c>
      <c r="T23" s="37">
        <f t="shared" si="3"/>
        <v>2</v>
      </c>
      <c r="U23" s="36">
        <f t="shared" si="3"/>
        <v>32</v>
      </c>
    </row>
    <row r="24" spans="2:21" ht="17.25" thickBot="1">
      <c r="B24" s="439"/>
      <c r="C24" s="442"/>
      <c r="D24" s="443" t="s">
        <v>16</v>
      </c>
      <c r="E24" s="443"/>
      <c r="F24" s="165"/>
      <c r="G24" s="165"/>
      <c r="H24" s="44"/>
      <c r="I24" s="44"/>
      <c r="J24" s="44"/>
      <c r="K24" s="44"/>
      <c r="L24" s="44"/>
      <c r="M24" s="44"/>
      <c r="N24" s="44"/>
      <c r="O24" s="44"/>
      <c r="P24" s="44">
        <f t="shared" ref="P24:U24" si="4">SUM(P20:P23)</f>
        <v>3</v>
      </c>
      <c r="Q24" s="44">
        <f t="shared" si="4"/>
        <v>48</v>
      </c>
      <c r="R24" s="44">
        <f t="shared" si="4"/>
        <v>3</v>
      </c>
      <c r="S24" s="44">
        <f t="shared" si="4"/>
        <v>48</v>
      </c>
      <c r="T24" s="175">
        <f t="shared" si="4"/>
        <v>6</v>
      </c>
      <c r="U24" s="175">
        <f t="shared" si="4"/>
        <v>96</v>
      </c>
    </row>
    <row r="25" spans="2:21">
      <c r="B25" s="437" t="s">
        <v>572</v>
      </c>
      <c r="C25" s="440">
        <v>3</v>
      </c>
      <c r="D25" s="174" t="s">
        <v>571</v>
      </c>
      <c r="E25" s="30" t="s">
        <v>570</v>
      </c>
      <c r="F25" s="30">
        <v>20</v>
      </c>
      <c r="G25" s="30">
        <v>4</v>
      </c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>
        <v>1</v>
      </c>
      <c r="S25" s="31">
        <v>16</v>
      </c>
      <c r="T25" s="43">
        <f>SUM(L25,N25,P25,R25)</f>
        <v>1</v>
      </c>
      <c r="U25" s="42">
        <f>SUM(M25,O25,Q25,S25)</f>
        <v>16</v>
      </c>
    </row>
    <row r="26" spans="2:21">
      <c r="B26" s="438"/>
      <c r="C26" s="441"/>
      <c r="D26" s="41" t="s">
        <v>569</v>
      </c>
      <c r="E26" s="33" t="s">
        <v>601</v>
      </c>
      <c r="F26" s="39">
        <v>20</v>
      </c>
      <c r="G26" s="39">
        <v>3</v>
      </c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>
        <v>2</v>
      </c>
      <c r="S26" s="28">
        <v>32</v>
      </c>
      <c r="T26" s="37">
        <f>SUM(L26,N26,P26,R26)</f>
        <v>2</v>
      </c>
      <c r="U26" s="36">
        <f>SUM(M26,O26,Q26,S26)</f>
        <v>32</v>
      </c>
    </row>
    <row r="27" spans="2:21" ht="17.25" thickBot="1">
      <c r="B27" s="439"/>
      <c r="C27" s="442"/>
      <c r="D27" s="443" t="s">
        <v>16</v>
      </c>
      <c r="E27" s="443"/>
      <c r="F27" s="166"/>
      <c r="G27" s="166"/>
      <c r="H27" s="32"/>
      <c r="I27" s="32"/>
      <c r="J27" s="32"/>
      <c r="K27" s="32"/>
      <c r="L27" s="32">
        <f t="shared" ref="L27:U27" si="5">SUM(L25:L26)</f>
        <v>0</v>
      </c>
      <c r="M27" s="32">
        <f t="shared" si="5"/>
        <v>0</v>
      </c>
      <c r="N27" s="32">
        <f t="shared" si="5"/>
        <v>0</v>
      </c>
      <c r="O27" s="32">
        <f t="shared" si="5"/>
        <v>0</v>
      </c>
      <c r="P27" s="32">
        <f t="shared" si="5"/>
        <v>0</v>
      </c>
      <c r="Q27" s="32">
        <f t="shared" si="5"/>
        <v>0</v>
      </c>
      <c r="R27" s="32">
        <f t="shared" si="5"/>
        <v>3</v>
      </c>
      <c r="S27" s="32">
        <f t="shared" si="5"/>
        <v>48</v>
      </c>
      <c r="T27" s="169">
        <f t="shared" si="5"/>
        <v>3</v>
      </c>
      <c r="U27" s="168">
        <f t="shared" si="5"/>
        <v>48</v>
      </c>
    </row>
    <row r="28" spans="2:21">
      <c r="B28" s="444" t="s">
        <v>568</v>
      </c>
      <c r="C28" s="447">
        <v>4</v>
      </c>
      <c r="D28" s="174" t="s">
        <v>567</v>
      </c>
      <c r="E28" s="30" t="s">
        <v>566</v>
      </c>
      <c r="F28" s="30">
        <v>20</v>
      </c>
      <c r="G28" s="30">
        <v>3</v>
      </c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>
        <v>2</v>
      </c>
      <c r="S28" s="31">
        <v>32</v>
      </c>
      <c r="T28" s="43">
        <f>SUM(L28,N28,P28,R28)</f>
        <v>2</v>
      </c>
      <c r="U28" s="42">
        <f>SUM(M28,O28,Q28,S28)</f>
        <v>32</v>
      </c>
    </row>
    <row r="29" spans="2:21">
      <c r="B29" s="445"/>
      <c r="C29" s="448"/>
      <c r="D29" s="41" t="s">
        <v>565</v>
      </c>
      <c r="E29" s="33" t="s">
        <v>564</v>
      </c>
      <c r="F29" s="39">
        <v>20</v>
      </c>
      <c r="G29" s="39">
        <v>4</v>
      </c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>
        <v>2</v>
      </c>
      <c r="S29" s="28">
        <v>32</v>
      </c>
      <c r="T29" s="37">
        <f>SUM(L29,N29,P29,R29)</f>
        <v>2</v>
      </c>
      <c r="U29" s="36">
        <f>SUM(M29,O29,Q29,S29)</f>
        <v>32</v>
      </c>
    </row>
    <row r="30" spans="2:21" ht="17.25" thickBot="1">
      <c r="B30" s="446"/>
      <c r="C30" s="449"/>
      <c r="D30" s="443" t="s">
        <v>16</v>
      </c>
      <c r="E30" s="443"/>
      <c r="F30" s="166"/>
      <c r="G30" s="166"/>
      <c r="H30" s="32"/>
      <c r="I30" s="32"/>
      <c r="J30" s="32"/>
      <c r="K30" s="32"/>
      <c r="L30" s="32">
        <f t="shared" ref="L30:U30" si="6">SUM(L28:L29)</f>
        <v>0</v>
      </c>
      <c r="M30" s="32">
        <f t="shared" si="6"/>
        <v>0</v>
      </c>
      <c r="N30" s="32">
        <f t="shared" si="6"/>
        <v>0</v>
      </c>
      <c r="O30" s="32">
        <f t="shared" si="6"/>
        <v>0</v>
      </c>
      <c r="P30" s="32">
        <f t="shared" si="6"/>
        <v>0</v>
      </c>
      <c r="Q30" s="32">
        <f t="shared" si="6"/>
        <v>0</v>
      </c>
      <c r="R30" s="32">
        <f t="shared" si="6"/>
        <v>4</v>
      </c>
      <c r="S30" s="32">
        <f t="shared" si="6"/>
        <v>64</v>
      </c>
      <c r="T30" s="169">
        <f t="shared" si="6"/>
        <v>4</v>
      </c>
      <c r="U30" s="168">
        <f t="shared" si="6"/>
        <v>64</v>
      </c>
    </row>
    <row r="31" spans="2:21">
      <c r="B31" s="444" t="s">
        <v>563</v>
      </c>
      <c r="C31" s="447">
        <v>4</v>
      </c>
      <c r="D31" s="174" t="s">
        <v>562</v>
      </c>
      <c r="E31" s="30" t="s">
        <v>561</v>
      </c>
      <c r="F31" s="30">
        <v>20</v>
      </c>
      <c r="G31" s="30">
        <v>3</v>
      </c>
      <c r="H31" s="31"/>
      <c r="I31" s="31"/>
      <c r="J31" s="31"/>
      <c r="K31" s="31"/>
      <c r="L31" s="31"/>
      <c r="M31" s="31"/>
      <c r="N31" s="31"/>
      <c r="O31" s="31"/>
      <c r="P31" s="31">
        <v>2</v>
      </c>
      <c r="Q31" s="31">
        <v>32</v>
      </c>
      <c r="R31" s="31"/>
      <c r="S31" s="31"/>
      <c r="T31" s="43">
        <f>SUM(L31,N31,P31,R31)</f>
        <v>2</v>
      </c>
      <c r="U31" s="42">
        <f>SUM(M31,O31,Q31,S31)</f>
        <v>32</v>
      </c>
    </row>
    <row r="32" spans="2:21">
      <c r="B32" s="445"/>
      <c r="C32" s="448"/>
      <c r="D32" s="41" t="s">
        <v>560</v>
      </c>
      <c r="E32" s="33" t="s">
        <v>559</v>
      </c>
      <c r="F32" s="39">
        <v>20</v>
      </c>
      <c r="G32" s="39">
        <v>3</v>
      </c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>
        <v>2</v>
      </c>
      <c r="S32" s="28">
        <v>32</v>
      </c>
      <c r="T32" s="37">
        <f>SUM(L32,N32,P32,R32)</f>
        <v>2</v>
      </c>
      <c r="U32" s="36">
        <f>SUM(M32,O32,Q32,S32)</f>
        <v>32</v>
      </c>
    </row>
    <row r="33" spans="2:21" ht="17.25" thickBot="1">
      <c r="B33" s="446"/>
      <c r="C33" s="449"/>
      <c r="D33" s="443" t="s">
        <v>16</v>
      </c>
      <c r="E33" s="443"/>
      <c r="F33" s="166"/>
      <c r="G33" s="166"/>
      <c r="H33" s="32"/>
      <c r="I33" s="32"/>
      <c r="J33" s="32"/>
      <c r="K33" s="32"/>
      <c r="L33" s="32">
        <f t="shared" ref="L33:U33" si="7">SUM(L31:L32)</f>
        <v>0</v>
      </c>
      <c r="M33" s="32">
        <f t="shared" si="7"/>
        <v>0</v>
      </c>
      <c r="N33" s="32">
        <f t="shared" si="7"/>
        <v>0</v>
      </c>
      <c r="O33" s="32">
        <f t="shared" si="7"/>
        <v>0</v>
      </c>
      <c r="P33" s="32">
        <f t="shared" si="7"/>
        <v>2</v>
      </c>
      <c r="Q33" s="32">
        <f t="shared" si="7"/>
        <v>32</v>
      </c>
      <c r="R33" s="32">
        <f t="shared" si="7"/>
        <v>2</v>
      </c>
      <c r="S33" s="32">
        <f t="shared" si="7"/>
        <v>32</v>
      </c>
      <c r="T33" s="169">
        <f t="shared" si="7"/>
        <v>4</v>
      </c>
      <c r="U33" s="168">
        <f t="shared" si="7"/>
        <v>64</v>
      </c>
    </row>
    <row r="34" spans="2:21">
      <c r="B34" s="437" t="s">
        <v>558</v>
      </c>
      <c r="C34" s="440">
        <v>3</v>
      </c>
      <c r="D34" s="173" t="s">
        <v>557</v>
      </c>
      <c r="E34" s="172" t="s">
        <v>555</v>
      </c>
      <c r="F34" s="30">
        <v>40</v>
      </c>
      <c r="G34" s="30">
        <v>4</v>
      </c>
      <c r="H34" s="31"/>
      <c r="I34" s="31"/>
      <c r="J34" s="31"/>
      <c r="K34" s="31"/>
      <c r="L34" s="31">
        <v>1</v>
      </c>
      <c r="M34" s="31">
        <v>16</v>
      </c>
      <c r="N34" s="31"/>
      <c r="O34" s="31"/>
      <c r="P34" s="31"/>
      <c r="Q34" s="31"/>
      <c r="R34" s="31"/>
      <c r="S34" s="31"/>
      <c r="T34" s="43">
        <f>SUM(L34,N34,P34,R34)</f>
        <v>1</v>
      </c>
      <c r="U34" s="42">
        <f>SUM(M34,O34,Q34,S34)</f>
        <v>16</v>
      </c>
    </row>
    <row r="35" spans="2:21">
      <c r="B35" s="438"/>
      <c r="C35" s="441"/>
      <c r="D35" s="171" t="s">
        <v>556</v>
      </c>
      <c r="E35" s="170" t="s">
        <v>602</v>
      </c>
      <c r="F35" s="39">
        <v>20</v>
      </c>
      <c r="G35" s="39">
        <v>2</v>
      </c>
      <c r="H35" s="38"/>
      <c r="I35" s="38"/>
      <c r="J35" s="38"/>
      <c r="K35" s="38"/>
      <c r="L35" s="38">
        <v>2</v>
      </c>
      <c r="M35" s="38">
        <v>32</v>
      </c>
      <c r="N35" s="38"/>
      <c r="O35" s="38"/>
      <c r="P35" s="38"/>
      <c r="Q35" s="38"/>
      <c r="R35" s="38"/>
      <c r="S35" s="28"/>
      <c r="T35" s="37">
        <f>SUM(L35,N35,P35,R35)</f>
        <v>2</v>
      </c>
      <c r="U35" s="36">
        <f>SUM(M35,O35,Q35,S35)</f>
        <v>32</v>
      </c>
    </row>
    <row r="36" spans="2:21" ht="17.25" thickBot="1">
      <c r="B36" s="439"/>
      <c r="C36" s="442"/>
      <c r="D36" s="443" t="s">
        <v>16</v>
      </c>
      <c r="E36" s="443"/>
      <c r="F36" s="166"/>
      <c r="G36" s="166"/>
      <c r="H36" s="32"/>
      <c r="I36" s="32"/>
      <c r="J36" s="32"/>
      <c r="K36" s="32"/>
      <c r="L36" s="32">
        <f t="shared" ref="L36:U36" si="8">SUM(L34:L35)</f>
        <v>3</v>
      </c>
      <c r="M36" s="32">
        <f t="shared" si="8"/>
        <v>48</v>
      </c>
      <c r="N36" s="32">
        <f t="shared" si="8"/>
        <v>0</v>
      </c>
      <c r="O36" s="32">
        <f t="shared" si="8"/>
        <v>0</v>
      </c>
      <c r="P36" s="32">
        <f t="shared" si="8"/>
        <v>0</v>
      </c>
      <c r="Q36" s="32">
        <f t="shared" si="8"/>
        <v>0</v>
      </c>
      <c r="R36" s="32">
        <f t="shared" si="8"/>
        <v>0</v>
      </c>
      <c r="S36" s="32">
        <f t="shared" si="8"/>
        <v>0</v>
      </c>
      <c r="T36" s="169">
        <f t="shared" si="8"/>
        <v>3</v>
      </c>
      <c r="U36" s="168">
        <f t="shared" si="8"/>
        <v>48</v>
      </c>
    </row>
    <row r="37" spans="2:21">
      <c r="B37" s="437" t="s">
        <v>554</v>
      </c>
      <c r="C37" s="440">
        <v>4</v>
      </c>
      <c r="D37" s="173" t="s">
        <v>553</v>
      </c>
      <c r="E37" s="172" t="s">
        <v>552</v>
      </c>
      <c r="F37" s="30">
        <v>30</v>
      </c>
      <c r="G37" s="30">
        <v>3</v>
      </c>
      <c r="H37" s="31"/>
      <c r="I37" s="31"/>
      <c r="J37" s="31"/>
      <c r="K37" s="31"/>
      <c r="L37" s="31"/>
      <c r="M37" s="31"/>
      <c r="N37" s="31">
        <v>2</v>
      </c>
      <c r="O37" s="31">
        <v>32</v>
      </c>
      <c r="P37" s="31"/>
      <c r="Q37" s="31"/>
      <c r="R37" s="31"/>
      <c r="S37" s="31"/>
      <c r="T37" s="43">
        <f>SUM(L37,N37,P37,R37)</f>
        <v>2</v>
      </c>
      <c r="U37" s="42">
        <f>SUM(M37,O37,Q37,S37)</f>
        <v>32</v>
      </c>
    </row>
    <row r="38" spans="2:21">
      <c r="B38" s="438"/>
      <c r="C38" s="441"/>
      <c r="D38" s="171" t="s">
        <v>551</v>
      </c>
      <c r="E38" s="170" t="s">
        <v>550</v>
      </c>
      <c r="F38" s="39">
        <v>16</v>
      </c>
      <c r="G38" s="39">
        <v>5</v>
      </c>
      <c r="H38" s="38"/>
      <c r="I38" s="38"/>
      <c r="J38" s="38"/>
      <c r="K38" s="38"/>
      <c r="L38" s="38"/>
      <c r="M38" s="38"/>
      <c r="N38" s="38">
        <v>2</v>
      </c>
      <c r="O38" s="38">
        <v>32</v>
      </c>
      <c r="P38" s="38"/>
      <c r="Q38" s="38"/>
      <c r="R38" s="38"/>
      <c r="S38" s="28"/>
      <c r="T38" s="37">
        <f>SUM(L38,N38,P38,R38)</f>
        <v>2</v>
      </c>
      <c r="U38" s="36">
        <f>SUM(M38,O38,Q38,S38)</f>
        <v>32</v>
      </c>
    </row>
    <row r="39" spans="2:21" ht="17.25" thickBot="1">
      <c r="B39" s="439"/>
      <c r="C39" s="442"/>
      <c r="D39" s="443" t="s">
        <v>16</v>
      </c>
      <c r="E39" s="443"/>
      <c r="F39" s="166"/>
      <c r="G39" s="166"/>
      <c r="H39" s="32"/>
      <c r="I39" s="32"/>
      <c r="J39" s="32"/>
      <c r="K39" s="32"/>
      <c r="L39" s="32">
        <f t="shared" ref="L39:U39" si="9">SUM(L37:L38)</f>
        <v>0</v>
      </c>
      <c r="M39" s="32">
        <f t="shared" si="9"/>
        <v>0</v>
      </c>
      <c r="N39" s="32">
        <f t="shared" si="9"/>
        <v>4</v>
      </c>
      <c r="O39" s="32">
        <f t="shared" si="9"/>
        <v>64</v>
      </c>
      <c r="P39" s="32">
        <f t="shared" si="9"/>
        <v>0</v>
      </c>
      <c r="Q39" s="32">
        <f t="shared" si="9"/>
        <v>0</v>
      </c>
      <c r="R39" s="32">
        <f t="shared" si="9"/>
        <v>0</v>
      </c>
      <c r="S39" s="32">
        <f t="shared" si="9"/>
        <v>0</v>
      </c>
      <c r="T39" s="169">
        <f t="shared" si="9"/>
        <v>4</v>
      </c>
      <c r="U39" s="168">
        <f t="shared" si="9"/>
        <v>64</v>
      </c>
    </row>
    <row r="40" spans="2:21">
      <c r="B40" s="437" t="s">
        <v>549</v>
      </c>
      <c r="C40" s="440">
        <v>6</v>
      </c>
      <c r="D40" s="173" t="s">
        <v>603</v>
      </c>
      <c r="E40" s="179" t="s">
        <v>604</v>
      </c>
      <c r="F40" s="30">
        <v>16</v>
      </c>
      <c r="G40" s="30">
        <v>3</v>
      </c>
      <c r="H40" s="31"/>
      <c r="I40" s="31"/>
      <c r="J40" s="31"/>
      <c r="K40" s="31"/>
      <c r="L40" s="31"/>
      <c r="M40" s="31"/>
      <c r="N40" s="31"/>
      <c r="O40" s="31"/>
      <c r="P40" s="31">
        <v>3</v>
      </c>
      <c r="Q40" s="31">
        <v>48</v>
      </c>
      <c r="R40" s="31"/>
      <c r="S40" s="31"/>
      <c r="T40" s="43">
        <f>SUM(L40,N40,P40,R40)</f>
        <v>3</v>
      </c>
      <c r="U40" s="42">
        <f>SUM(M40,O40,Q40,S40)</f>
        <v>48</v>
      </c>
    </row>
    <row r="41" spans="2:21">
      <c r="B41" s="438"/>
      <c r="C41" s="441"/>
      <c r="D41" s="171" t="s">
        <v>605</v>
      </c>
      <c r="E41" s="180" t="s">
        <v>606</v>
      </c>
      <c r="F41" s="39">
        <v>20</v>
      </c>
      <c r="G41" s="39">
        <v>4</v>
      </c>
      <c r="H41" s="38"/>
      <c r="I41" s="38"/>
      <c r="J41" s="38"/>
      <c r="K41" s="38"/>
      <c r="L41" s="38"/>
      <c r="M41" s="38"/>
      <c r="N41" s="38"/>
      <c r="O41" s="38"/>
      <c r="P41" s="38">
        <v>3</v>
      </c>
      <c r="Q41" s="38">
        <v>48</v>
      </c>
      <c r="R41" s="38"/>
      <c r="S41" s="28"/>
      <c r="T41" s="37">
        <f>SUM(L41,N41,P41,R41)</f>
        <v>3</v>
      </c>
      <c r="U41" s="36">
        <f>SUM(M41,O41,Q41,S41)</f>
        <v>48</v>
      </c>
    </row>
    <row r="42" spans="2:21" ht="17.25" thickBot="1">
      <c r="B42" s="439"/>
      <c r="C42" s="442"/>
      <c r="D42" s="443" t="s">
        <v>16</v>
      </c>
      <c r="E42" s="443"/>
      <c r="F42" s="166"/>
      <c r="G42" s="166"/>
      <c r="H42" s="32"/>
      <c r="I42" s="32"/>
      <c r="J42" s="32"/>
      <c r="K42" s="32"/>
      <c r="L42" s="32">
        <f t="shared" ref="L42:U42" si="10">SUM(L40:L41)</f>
        <v>0</v>
      </c>
      <c r="M42" s="32">
        <f t="shared" si="10"/>
        <v>0</v>
      </c>
      <c r="N42" s="32">
        <f t="shared" si="10"/>
        <v>0</v>
      </c>
      <c r="O42" s="32">
        <f t="shared" si="10"/>
        <v>0</v>
      </c>
      <c r="P42" s="32">
        <f t="shared" si="10"/>
        <v>6</v>
      </c>
      <c r="Q42" s="32">
        <f t="shared" si="10"/>
        <v>96</v>
      </c>
      <c r="R42" s="32">
        <f t="shared" si="10"/>
        <v>0</v>
      </c>
      <c r="S42" s="32">
        <f t="shared" si="10"/>
        <v>0</v>
      </c>
      <c r="T42" s="169">
        <f t="shared" si="10"/>
        <v>6</v>
      </c>
      <c r="U42" s="168">
        <f t="shared" si="10"/>
        <v>96</v>
      </c>
    </row>
    <row r="43" spans="2:21">
      <c r="B43" s="437" t="s">
        <v>548</v>
      </c>
      <c r="C43" s="440">
        <v>8</v>
      </c>
      <c r="D43" s="173" t="s">
        <v>607</v>
      </c>
      <c r="E43" s="179" t="s">
        <v>608</v>
      </c>
      <c r="F43" s="30">
        <v>16</v>
      </c>
      <c r="G43" s="30">
        <v>3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>
        <v>4</v>
      </c>
      <c r="S43" s="31">
        <v>64</v>
      </c>
      <c r="T43" s="43">
        <f>SUM(L43,N43,P43,R43)</f>
        <v>4</v>
      </c>
      <c r="U43" s="42">
        <f>SUM(M43,O43,Q43,S43)</f>
        <v>64</v>
      </c>
    </row>
    <row r="44" spans="2:21">
      <c r="B44" s="438"/>
      <c r="C44" s="441"/>
      <c r="D44" s="171" t="s">
        <v>609</v>
      </c>
      <c r="E44" s="180" t="s">
        <v>610</v>
      </c>
      <c r="F44" s="39">
        <v>16</v>
      </c>
      <c r="G44" s="39">
        <v>4</v>
      </c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>
        <v>4</v>
      </c>
      <c r="S44" s="28">
        <v>64</v>
      </c>
      <c r="T44" s="37">
        <f>SUM(L44,N44,P44,R44)</f>
        <v>4</v>
      </c>
      <c r="U44" s="36">
        <f>SUM(M44,O44,Q44,S44)</f>
        <v>64</v>
      </c>
    </row>
    <row r="45" spans="2:21" ht="17.25" thickBot="1">
      <c r="B45" s="439"/>
      <c r="C45" s="442"/>
      <c r="D45" s="443" t="s">
        <v>16</v>
      </c>
      <c r="E45" s="443"/>
      <c r="F45" s="166"/>
      <c r="G45" s="166"/>
      <c r="H45" s="32"/>
      <c r="I45" s="32"/>
      <c r="J45" s="32"/>
      <c r="K45" s="32"/>
      <c r="L45" s="32">
        <f t="shared" ref="L45:U45" si="11">SUM(L43:L44)</f>
        <v>0</v>
      </c>
      <c r="M45" s="32">
        <f t="shared" si="11"/>
        <v>0</v>
      </c>
      <c r="N45" s="32">
        <f t="shared" si="11"/>
        <v>0</v>
      </c>
      <c r="O45" s="32">
        <f t="shared" si="11"/>
        <v>0</v>
      </c>
      <c r="P45" s="32">
        <f t="shared" si="11"/>
        <v>0</v>
      </c>
      <c r="Q45" s="32">
        <f t="shared" si="11"/>
        <v>0</v>
      </c>
      <c r="R45" s="32">
        <f t="shared" si="11"/>
        <v>8</v>
      </c>
      <c r="S45" s="32">
        <f t="shared" si="11"/>
        <v>128</v>
      </c>
      <c r="T45" s="169">
        <f t="shared" si="11"/>
        <v>8</v>
      </c>
      <c r="U45" s="168">
        <f t="shared" si="11"/>
        <v>128</v>
      </c>
    </row>
  </sheetData>
  <mergeCells count="60"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F6:F8"/>
    <mergeCell ref="G6:G8"/>
    <mergeCell ref="H6:K6"/>
    <mergeCell ref="L6:O6"/>
    <mergeCell ref="P6:S6"/>
    <mergeCell ref="T6:T8"/>
    <mergeCell ref="U6:U8"/>
    <mergeCell ref="W6:AF6"/>
    <mergeCell ref="H7:I7"/>
    <mergeCell ref="J7:K7"/>
    <mergeCell ref="L7:M7"/>
    <mergeCell ref="N7:O7"/>
    <mergeCell ref="P7:Q7"/>
    <mergeCell ref="R7:S7"/>
    <mergeCell ref="W7:AF7"/>
    <mergeCell ref="B9:B13"/>
    <mergeCell ref="C9:C13"/>
    <mergeCell ref="D13:E13"/>
    <mergeCell ref="B14:B16"/>
    <mergeCell ref="C14:C16"/>
    <mergeCell ref="D16:E16"/>
    <mergeCell ref="B17:B19"/>
    <mergeCell ref="C17:C19"/>
    <mergeCell ref="D19:E19"/>
    <mergeCell ref="B20:B24"/>
    <mergeCell ref="C20:C24"/>
    <mergeCell ref="D24:E24"/>
    <mergeCell ref="B25:B27"/>
    <mergeCell ref="C25:C27"/>
    <mergeCell ref="D27:E27"/>
    <mergeCell ref="B28:B30"/>
    <mergeCell ref="C28:C30"/>
    <mergeCell ref="D30:E30"/>
    <mergeCell ref="B31:B33"/>
    <mergeCell ref="C31:C33"/>
    <mergeCell ref="D33:E33"/>
    <mergeCell ref="B34:B36"/>
    <mergeCell ref="C34:C36"/>
    <mergeCell ref="D36:E36"/>
    <mergeCell ref="B43:B45"/>
    <mergeCell ref="C43:C45"/>
    <mergeCell ref="D45:E45"/>
    <mergeCell ref="B37:B39"/>
    <mergeCell ref="C37:C39"/>
    <mergeCell ref="D39:E39"/>
    <mergeCell ref="B40:B42"/>
    <mergeCell ref="C40:C42"/>
    <mergeCell ref="D42:E42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/>
  <dimension ref="A1:L151"/>
  <sheetViews>
    <sheetView workbookViewId="0">
      <pane ySplit="1" topLeftCell="A104" activePane="bottomLeft" state="frozen"/>
      <selection pane="bottomLeft" activeCell="L141" sqref="L141"/>
    </sheetView>
  </sheetViews>
  <sheetFormatPr defaultRowHeight="16.5"/>
  <cols>
    <col min="1" max="1" width="16.5" style="1" bestFit="1" customWidth="1"/>
    <col min="2" max="5" width="9" style="1"/>
    <col min="6" max="6" width="11.375" style="1" bestFit="1" customWidth="1"/>
    <col min="9" max="9" width="17.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202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339</v>
      </c>
      <c r="G2" s="5"/>
      <c r="H2" s="3" t="s">
        <v>74</v>
      </c>
      <c r="I2" s="3" t="s">
        <v>66</v>
      </c>
      <c r="J2" s="3" t="s">
        <v>167</v>
      </c>
      <c r="K2" s="3" t="s">
        <v>167</v>
      </c>
      <c r="L2" s="3" t="s">
        <v>123</v>
      </c>
    </row>
    <row r="3" spans="1:12">
      <c r="A3" s="3" t="s">
        <v>203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339</v>
      </c>
      <c r="G3" s="5"/>
      <c r="H3" s="3" t="s">
        <v>75</v>
      </c>
      <c r="I3" s="3" t="s">
        <v>67</v>
      </c>
      <c r="J3" s="3" t="s">
        <v>168</v>
      </c>
      <c r="K3" s="3" t="s">
        <v>168</v>
      </c>
      <c r="L3" s="3" t="s">
        <v>118</v>
      </c>
    </row>
    <row r="4" spans="1:12">
      <c r="A4" s="3" t="s">
        <v>205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340</v>
      </c>
      <c r="G4" s="5"/>
      <c r="H4" s="3" t="s">
        <v>76</v>
      </c>
      <c r="I4" s="3" t="s">
        <v>157</v>
      </c>
      <c r="J4" s="3" t="s">
        <v>93</v>
      </c>
      <c r="K4" s="3" t="s">
        <v>93</v>
      </c>
      <c r="L4" s="3" t="s">
        <v>119</v>
      </c>
    </row>
    <row r="5" spans="1:12">
      <c r="A5" s="3" t="s">
        <v>206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340</v>
      </c>
      <c r="G5" s="5"/>
      <c r="H5" s="3" t="s">
        <v>77</v>
      </c>
      <c r="I5" s="3" t="s">
        <v>158</v>
      </c>
      <c r="J5" s="3" t="s">
        <v>169</v>
      </c>
      <c r="K5" s="3" t="s">
        <v>169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340</v>
      </c>
      <c r="G6" s="5"/>
      <c r="H6" s="3" t="s">
        <v>78</v>
      </c>
      <c r="I6" s="3" t="s">
        <v>159</v>
      </c>
      <c r="J6" s="3" t="s">
        <v>170</v>
      </c>
      <c r="K6" s="3" t="s">
        <v>170</v>
      </c>
      <c r="L6" s="8"/>
    </row>
    <row r="7" spans="1:12">
      <c r="A7" s="3" t="s">
        <v>207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340</v>
      </c>
      <c r="G7" s="5"/>
      <c r="H7" s="3" t="s">
        <v>79</v>
      </c>
      <c r="I7" s="3" t="s">
        <v>165</v>
      </c>
      <c r="J7" s="3" t="s">
        <v>94</v>
      </c>
      <c r="K7" s="3" t="s">
        <v>94</v>
      </c>
      <c r="L7" s="5"/>
    </row>
    <row r="8" spans="1:12">
      <c r="A8" s="3" t="s">
        <v>208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340</v>
      </c>
      <c r="G8" s="5"/>
      <c r="H8" s="3" t="s">
        <v>80</v>
      </c>
      <c r="I8" s="3" t="s">
        <v>160</v>
      </c>
      <c r="J8" s="3" t="s">
        <v>171</v>
      </c>
      <c r="K8" s="3" t="s">
        <v>171</v>
      </c>
      <c r="L8" s="5"/>
    </row>
    <row r="9" spans="1:12">
      <c r="A9" s="3" t="s">
        <v>209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340</v>
      </c>
      <c r="G9" s="5"/>
      <c r="H9" s="3" t="s">
        <v>81</v>
      </c>
      <c r="I9" s="3" t="s">
        <v>68</v>
      </c>
      <c r="J9" s="3" t="s">
        <v>172</v>
      </c>
      <c r="K9" s="3" t="s">
        <v>172</v>
      </c>
      <c r="L9" s="5"/>
    </row>
    <row r="10" spans="1:12">
      <c r="A10" s="3" t="s">
        <v>210</v>
      </c>
      <c r="B10" s="3" t="s">
        <v>17</v>
      </c>
      <c r="C10" s="3" t="s">
        <v>21</v>
      </c>
      <c r="D10" s="3" t="s">
        <v>213</v>
      </c>
      <c r="E10" s="3">
        <v>4</v>
      </c>
      <c r="F10" s="7" t="s">
        <v>340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211</v>
      </c>
      <c r="B11" s="3" t="s">
        <v>17</v>
      </c>
      <c r="C11" s="3" t="s">
        <v>21</v>
      </c>
      <c r="D11" s="3" t="s">
        <v>213</v>
      </c>
      <c r="E11" s="3">
        <v>4</v>
      </c>
      <c r="F11" s="7" t="s">
        <v>340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212</v>
      </c>
      <c r="B12" s="3" t="s">
        <v>17</v>
      </c>
      <c r="C12" s="3" t="s">
        <v>21</v>
      </c>
      <c r="D12" s="3" t="s">
        <v>213</v>
      </c>
      <c r="E12" s="3">
        <v>4</v>
      </c>
      <c r="F12" s="7" t="s">
        <v>340</v>
      </c>
      <c r="G12" s="5"/>
      <c r="H12" s="3" t="s">
        <v>84</v>
      </c>
      <c r="I12" s="3" t="s">
        <v>161</v>
      </c>
      <c r="J12" s="3" t="s">
        <v>96</v>
      </c>
      <c r="K12" s="3" t="s">
        <v>96</v>
      </c>
      <c r="L12" s="5"/>
    </row>
    <row r="13" spans="1:12">
      <c r="A13" s="3" t="s">
        <v>214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339</v>
      </c>
      <c r="G13" s="5"/>
      <c r="H13" s="3" t="s">
        <v>85</v>
      </c>
      <c r="I13" s="3" t="s">
        <v>71</v>
      </c>
      <c r="J13" s="3" t="s">
        <v>173</v>
      </c>
      <c r="K13" s="3" t="s">
        <v>173</v>
      </c>
      <c r="L13" s="5"/>
    </row>
    <row r="14" spans="1:12">
      <c r="A14" s="3" t="s">
        <v>216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339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217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340</v>
      </c>
      <c r="G15" s="5"/>
      <c r="H15" s="3" t="s">
        <v>87</v>
      </c>
      <c r="I15" s="3" t="s">
        <v>162</v>
      </c>
      <c r="J15" s="3" t="s">
        <v>174</v>
      </c>
      <c r="K15" s="3" t="s">
        <v>174</v>
      </c>
      <c r="L15" s="5"/>
    </row>
    <row r="16" spans="1:12">
      <c r="A16" s="3" t="s">
        <v>218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340</v>
      </c>
      <c r="G16" s="5"/>
      <c r="H16" s="3" t="s">
        <v>88</v>
      </c>
      <c r="I16" s="3" t="s">
        <v>163</v>
      </c>
      <c r="J16" s="3" t="s">
        <v>175</v>
      </c>
      <c r="K16" s="3" t="s">
        <v>175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340</v>
      </c>
      <c r="G17" s="5"/>
      <c r="H17" s="3" t="s">
        <v>89</v>
      </c>
      <c r="I17" s="3" t="s">
        <v>164</v>
      </c>
      <c r="J17" s="3" t="s">
        <v>176</v>
      </c>
      <c r="K17" s="3" t="s">
        <v>176</v>
      </c>
      <c r="L17" s="5"/>
    </row>
    <row r="18" spans="1:12">
      <c r="A18" s="3" t="s">
        <v>219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340</v>
      </c>
      <c r="G18" s="5"/>
      <c r="H18" s="3" t="s">
        <v>90</v>
      </c>
      <c r="I18" s="3" t="s">
        <v>166</v>
      </c>
      <c r="J18" s="3" t="s">
        <v>177</v>
      </c>
      <c r="K18" s="3" t="s">
        <v>177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340</v>
      </c>
      <c r="G19" s="5"/>
      <c r="J19" s="3" t="s">
        <v>111</v>
      </c>
      <c r="K19" s="3" t="s">
        <v>111</v>
      </c>
      <c r="L19" s="5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340</v>
      </c>
      <c r="G20" s="5"/>
      <c r="J20" s="3" t="s">
        <v>178</v>
      </c>
      <c r="K20" s="3" t="s">
        <v>178</v>
      </c>
      <c r="L20" s="5"/>
    </row>
    <row r="21" spans="1:12">
      <c r="A21" s="3" t="s">
        <v>220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340</v>
      </c>
      <c r="G21" s="5"/>
      <c r="J21" s="3" t="s">
        <v>98</v>
      </c>
      <c r="K21" s="3" t="s">
        <v>98</v>
      </c>
      <c r="L21" s="5"/>
    </row>
    <row r="22" spans="1:12">
      <c r="A22" s="3" t="s">
        <v>222</v>
      </c>
      <c r="B22" s="3" t="s">
        <v>17</v>
      </c>
      <c r="C22" s="3" t="s">
        <v>5</v>
      </c>
      <c r="D22" s="3" t="s">
        <v>223</v>
      </c>
      <c r="E22" s="3">
        <v>4</v>
      </c>
      <c r="F22" s="7" t="s">
        <v>340</v>
      </c>
      <c r="G22" s="5"/>
      <c r="H22" s="3"/>
      <c r="I22" s="3"/>
      <c r="J22" s="3" t="s">
        <v>179</v>
      </c>
      <c r="K22" s="3" t="s">
        <v>179</v>
      </c>
      <c r="L22" s="5"/>
    </row>
    <row r="23" spans="1:12">
      <c r="A23" s="3" t="s">
        <v>224</v>
      </c>
      <c r="B23" s="3" t="s">
        <v>17</v>
      </c>
      <c r="C23" s="3" t="s">
        <v>5</v>
      </c>
      <c r="D23" s="3" t="s">
        <v>213</v>
      </c>
      <c r="E23" s="3">
        <v>4</v>
      </c>
      <c r="F23" s="7" t="s">
        <v>340</v>
      </c>
      <c r="G23" s="5"/>
      <c r="H23" s="3"/>
      <c r="I23" s="3"/>
      <c r="J23" s="3" t="s">
        <v>180</v>
      </c>
      <c r="K23" s="3" t="s">
        <v>180</v>
      </c>
      <c r="L23" s="5"/>
    </row>
    <row r="24" spans="1:12">
      <c r="A24" s="3" t="s">
        <v>225</v>
      </c>
      <c r="B24" s="3" t="s">
        <v>17</v>
      </c>
      <c r="C24" s="3" t="s">
        <v>5</v>
      </c>
      <c r="D24" s="3" t="s">
        <v>213</v>
      </c>
      <c r="E24" s="3">
        <v>4</v>
      </c>
      <c r="F24" s="7" t="s">
        <v>340</v>
      </c>
      <c r="G24" s="5"/>
      <c r="H24" s="3"/>
      <c r="I24" s="3"/>
      <c r="J24" s="3" t="s">
        <v>181</v>
      </c>
      <c r="K24" s="3" t="s">
        <v>181</v>
      </c>
      <c r="L24" s="5"/>
    </row>
    <row r="25" spans="1:12">
      <c r="A25" s="3" t="s">
        <v>226</v>
      </c>
      <c r="B25" s="3" t="s">
        <v>17</v>
      </c>
      <c r="C25" s="3" t="s">
        <v>5</v>
      </c>
      <c r="D25" s="3" t="s">
        <v>213</v>
      </c>
      <c r="E25" s="3">
        <v>4</v>
      </c>
      <c r="F25" s="7" t="s">
        <v>340</v>
      </c>
      <c r="G25" s="5"/>
      <c r="H25" s="3"/>
      <c r="I25" s="3"/>
      <c r="J25" s="3" t="s">
        <v>182</v>
      </c>
      <c r="K25" s="3" t="s">
        <v>182</v>
      </c>
      <c r="L25" s="5"/>
    </row>
    <row r="26" spans="1:12">
      <c r="A26" s="3" t="s">
        <v>221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339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227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340</v>
      </c>
      <c r="G27" s="5"/>
      <c r="H27" s="5"/>
      <c r="I27" s="5"/>
      <c r="J27" s="3" t="s">
        <v>183</v>
      </c>
      <c r="K27" s="3" t="s">
        <v>183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340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340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340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340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228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340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229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340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230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340</v>
      </c>
      <c r="G34" s="5"/>
      <c r="H34" s="5"/>
      <c r="I34" s="5"/>
      <c r="J34" s="3" t="s">
        <v>184</v>
      </c>
      <c r="K34" s="3" t="s">
        <v>184</v>
      </c>
      <c r="L34" s="5"/>
    </row>
    <row r="35" spans="1:12">
      <c r="A35" s="3" t="s">
        <v>231</v>
      </c>
      <c r="B35" s="3" t="s">
        <v>17</v>
      </c>
      <c r="C35" s="3" t="s">
        <v>6</v>
      </c>
      <c r="D35" s="3" t="s">
        <v>223</v>
      </c>
      <c r="E35" s="3">
        <v>4</v>
      </c>
      <c r="F35" s="7" t="s">
        <v>340</v>
      </c>
      <c r="G35" s="5"/>
      <c r="H35" s="5"/>
      <c r="I35" s="5"/>
      <c r="J35" s="3" t="s">
        <v>185</v>
      </c>
      <c r="K35" s="3" t="s">
        <v>185</v>
      </c>
      <c r="L35" s="5"/>
    </row>
    <row r="36" spans="1:12">
      <c r="A36" s="3" t="s">
        <v>232</v>
      </c>
      <c r="B36" s="3" t="s">
        <v>17</v>
      </c>
      <c r="C36" s="3" t="s">
        <v>6</v>
      </c>
      <c r="D36" s="3" t="s">
        <v>213</v>
      </c>
      <c r="E36" s="3">
        <v>4</v>
      </c>
      <c r="F36" s="7" t="s">
        <v>340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233</v>
      </c>
      <c r="B37" s="3" t="s">
        <v>17</v>
      </c>
      <c r="C37" s="3" t="s">
        <v>6</v>
      </c>
      <c r="D37" s="3" t="s">
        <v>213</v>
      </c>
      <c r="E37" s="3">
        <v>4</v>
      </c>
      <c r="F37" s="7" t="s">
        <v>340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234</v>
      </c>
      <c r="B38" s="3" t="s">
        <v>17</v>
      </c>
      <c r="C38" s="3" t="s">
        <v>6</v>
      </c>
      <c r="D38" s="3" t="s">
        <v>213</v>
      </c>
      <c r="E38" s="3">
        <v>4</v>
      </c>
      <c r="F38" s="7" t="s">
        <v>340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235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353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236</v>
      </c>
      <c r="B40" s="3" t="s">
        <v>17</v>
      </c>
      <c r="C40" s="3" t="s">
        <v>7</v>
      </c>
      <c r="D40" s="3" t="s">
        <v>237</v>
      </c>
      <c r="E40" s="3">
        <v>3</v>
      </c>
      <c r="F40" s="7" t="s">
        <v>353</v>
      </c>
      <c r="G40" s="5"/>
      <c r="H40" s="5"/>
      <c r="I40" s="5"/>
      <c r="J40" s="3" t="s">
        <v>186</v>
      </c>
      <c r="K40" s="3" t="s">
        <v>186</v>
      </c>
      <c r="L40" s="5"/>
    </row>
    <row r="41" spans="1:12" ht="17.25" customHeight="1">
      <c r="A41" s="3" t="s">
        <v>238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339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239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339</v>
      </c>
      <c r="G42" s="5"/>
      <c r="H42" s="5"/>
      <c r="I42" s="5"/>
      <c r="J42" s="3" t="s">
        <v>187</v>
      </c>
      <c r="K42" s="3" t="s">
        <v>187</v>
      </c>
      <c r="L42" s="5"/>
    </row>
    <row r="43" spans="1:12" ht="17.25" customHeight="1">
      <c r="A43" s="3" t="s">
        <v>251</v>
      </c>
      <c r="B43" s="3" t="s">
        <v>17</v>
      </c>
      <c r="C43" s="3" t="s">
        <v>25</v>
      </c>
      <c r="D43" s="3" t="s">
        <v>255</v>
      </c>
      <c r="E43" s="3">
        <v>4</v>
      </c>
      <c r="F43" s="7" t="s">
        <v>340</v>
      </c>
      <c r="G43" s="5"/>
      <c r="H43" s="5"/>
      <c r="I43" s="5"/>
      <c r="J43" s="3" t="s">
        <v>188</v>
      </c>
      <c r="K43" s="3" t="s">
        <v>188</v>
      </c>
      <c r="L43" s="5"/>
    </row>
    <row r="44" spans="1:12" ht="17.25" customHeight="1">
      <c r="A44" s="3" t="s">
        <v>252</v>
      </c>
      <c r="B44" s="3" t="s">
        <v>17</v>
      </c>
      <c r="C44" s="3" t="s">
        <v>25</v>
      </c>
      <c r="D44" s="3" t="s">
        <v>255</v>
      </c>
      <c r="E44" s="3">
        <v>4</v>
      </c>
      <c r="F44" s="7" t="s">
        <v>340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253</v>
      </c>
      <c r="B45" s="3" t="s">
        <v>17</v>
      </c>
      <c r="C45" s="3" t="s">
        <v>25</v>
      </c>
      <c r="D45" s="3" t="s">
        <v>255</v>
      </c>
      <c r="E45" s="3">
        <v>4</v>
      </c>
      <c r="F45" s="7" t="s">
        <v>340</v>
      </c>
      <c r="G45" s="5"/>
      <c r="H45" s="5"/>
      <c r="I45" s="5"/>
      <c r="J45" s="3" t="s">
        <v>189</v>
      </c>
      <c r="K45" s="3" t="s">
        <v>189</v>
      </c>
      <c r="L45" s="5"/>
    </row>
    <row r="46" spans="1:12" ht="17.25" customHeight="1">
      <c r="A46" s="3" t="s">
        <v>254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340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240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340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241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340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242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340</v>
      </c>
      <c r="G49" s="5"/>
      <c r="H49" s="5"/>
      <c r="I49" s="5"/>
      <c r="J49" s="5" t="s">
        <v>190</v>
      </c>
      <c r="K49" s="5" t="s">
        <v>190</v>
      </c>
      <c r="L49" s="5"/>
    </row>
    <row r="50" spans="1:12">
      <c r="A50" s="3" t="s">
        <v>243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340</v>
      </c>
      <c r="G50" s="5"/>
      <c r="H50" s="5"/>
      <c r="I50" s="5"/>
      <c r="J50" s="5" t="s">
        <v>191</v>
      </c>
      <c r="K50" s="5" t="s">
        <v>191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340</v>
      </c>
      <c r="G51" s="5"/>
      <c r="H51" s="5"/>
      <c r="I51" s="5"/>
      <c r="J51" s="5" t="s">
        <v>192</v>
      </c>
      <c r="K51" s="5" t="s">
        <v>192</v>
      </c>
      <c r="L51" s="5"/>
    </row>
    <row r="52" spans="1:12">
      <c r="A52" s="3" t="s">
        <v>244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340</v>
      </c>
      <c r="G52" s="5"/>
      <c r="H52" s="5"/>
      <c r="I52" s="5"/>
      <c r="J52" s="5" t="s">
        <v>193</v>
      </c>
      <c r="K52" s="5" t="s">
        <v>193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340</v>
      </c>
      <c r="G53" s="5"/>
      <c r="H53" s="5"/>
      <c r="I53" s="5"/>
      <c r="J53" s="5" t="s">
        <v>194</v>
      </c>
      <c r="K53" s="5" t="s">
        <v>194</v>
      </c>
      <c r="L53" s="5"/>
    </row>
    <row r="54" spans="1:12">
      <c r="A54" s="3" t="s">
        <v>245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340</v>
      </c>
      <c r="G54" s="5"/>
      <c r="H54" s="5"/>
      <c r="I54" s="5"/>
      <c r="J54" s="5" t="s">
        <v>195</v>
      </c>
      <c r="K54" s="5" t="s">
        <v>195</v>
      </c>
      <c r="L54" s="5"/>
    </row>
    <row r="55" spans="1:12">
      <c r="A55" s="3" t="s">
        <v>246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340</v>
      </c>
      <c r="G55" s="5"/>
      <c r="H55" s="5"/>
      <c r="I55" s="5"/>
      <c r="J55" s="5" t="s">
        <v>197</v>
      </c>
      <c r="K55" s="5" t="s">
        <v>197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213</v>
      </c>
      <c r="E56" s="3">
        <v>4</v>
      </c>
      <c r="F56" s="7" t="s">
        <v>340</v>
      </c>
      <c r="G56" s="5"/>
      <c r="H56" s="5"/>
      <c r="I56" s="5"/>
      <c r="J56" s="5" t="s">
        <v>196</v>
      </c>
      <c r="K56" s="5" t="s">
        <v>196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213</v>
      </c>
      <c r="E57" s="3">
        <v>4</v>
      </c>
      <c r="F57" s="7" t="s">
        <v>340</v>
      </c>
      <c r="G57" s="5"/>
      <c r="H57" s="5"/>
      <c r="I57" s="5"/>
      <c r="J57" s="5" t="s">
        <v>198</v>
      </c>
      <c r="K57" s="5" t="s">
        <v>198</v>
      </c>
      <c r="L57" s="5"/>
    </row>
    <row r="58" spans="1:12">
      <c r="A58" s="3" t="s">
        <v>247</v>
      </c>
      <c r="B58" s="3" t="s">
        <v>17</v>
      </c>
      <c r="C58" s="3" t="s">
        <v>25</v>
      </c>
      <c r="D58" s="3" t="s">
        <v>213</v>
      </c>
      <c r="E58" s="3">
        <v>4</v>
      </c>
      <c r="F58" s="7" t="s">
        <v>340</v>
      </c>
      <c r="G58" s="5"/>
      <c r="H58" s="5"/>
      <c r="I58" s="5"/>
      <c r="J58" s="5" t="s">
        <v>199</v>
      </c>
      <c r="K58" s="5" t="s">
        <v>199</v>
      </c>
      <c r="L58" s="5"/>
    </row>
    <row r="59" spans="1:12">
      <c r="A59" s="3" t="s">
        <v>248</v>
      </c>
      <c r="B59" s="3" t="s">
        <v>17</v>
      </c>
      <c r="C59" s="3" t="s">
        <v>25</v>
      </c>
      <c r="D59" s="3" t="s">
        <v>213</v>
      </c>
      <c r="E59" s="3">
        <v>4</v>
      </c>
      <c r="F59" s="7" t="s">
        <v>340</v>
      </c>
      <c r="G59" s="5"/>
      <c r="H59" s="5"/>
      <c r="I59" s="5"/>
      <c r="J59" s="5" t="s">
        <v>200</v>
      </c>
      <c r="K59" s="5" t="s">
        <v>200</v>
      </c>
      <c r="L59" s="5"/>
    </row>
    <row r="60" spans="1:12">
      <c r="A60" s="3" t="s">
        <v>249</v>
      </c>
      <c r="B60" s="3" t="s">
        <v>17</v>
      </c>
      <c r="C60" s="3" t="s">
        <v>25</v>
      </c>
      <c r="D60" s="3" t="s">
        <v>213</v>
      </c>
      <c r="E60" s="3">
        <v>4</v>
      </c>
      <c r="F60" s="7" t="s">
        <v>340</v>
      </c>
      <c r="G60" s="5"/>
      <c r="H60" s="5"/>
      <c r="I60" s="5"/>
      <c r="J60" s="3"/>
      <c r="K60" s="3"/>
      <c r="L60" s="5"/>
    </row>
    <row r="61" spans="1:12">
      <c r="A61" s="3" t="s">
        <v>250</v>
      </c>
      <c r="B61" s="3" t="s">
        <v>17</v>
      </c>
      <c r="C61" s="3" t="s">
        <v>25</v>
      </c>
      <c r="D61" s="3" t="s">
        <v>213</v>
      </c>
      <c r="E61" s="3">
        <v>4</v>
      </c>
      <c r="F61" s="7" t="s">
        <v>340</v>
      </c>
      <c r="G61" s="5"/>
      <c r="H61" s="5"/>
      <c r="I61" s="5"/>
      <c r="J61" s="3"/>
      <c r="K61" s="3"/>
      <c r="L61" s="5"/>
    </row>
    <row r="62" spans="1:12">
      <c r="A62" s="3" t="s">
        <v>256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339</v>
      </c>
      <c r="G62" s="5"/>
      <c r="H62" s="5"/>
      <c r="I62" s="5"/>
      <c r="L62" s="5"/>
    </row>
    <row r="63" spans="1:12">
      <c r="A63" s="3" t="s">
        <v>257</v>
      </c>
      <c r="B63" s="3" t="s">
        <v>17</v>
      </c>
      <c r="C63" s="3" t="s">
        <v>26</v>
      </c>
      <c r="D63" s="3" t="s">
        <v>237</v>
      </c>
      <c r="E63" s="3">
        <v>4</v>
      </c>
      <c r="F63" s="7" t="s">
        <v>339</v>
      </c>
      <c r="G63" s="5"/>
      <c r="H63" s="5"/>
      <c r="I63" s="5"/>
      <c r="J63" s="3"/>
      <c r="K63" s="3"/>
      <c r="L63" s="5"/>
    </row>
    <row r="64" spans="1:12">
      <c r="A64" s="3" t="s">
        <v>258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339</v>
      </c>
      <c r="G64" s="5"/>
      <c r="H64" s="5"/>
      <c r="I64" s="5"/>
      <c r="L64" s="5"/>
    </row>
    <row r="65" spans="1:12">
      <c r="A65" s="3" t="s">
        <v>259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339</v>
      </c>
      <c r="G65" s="5"/>
      <c r="H65" s="5"/>
      <c r="I65" s="5"/>
      <c r="J65" s="3"/>
      <c r="K65" s="3"/>
      <c r="L65" s="5"/>
    </row>
    <row r="66" spans="1:12">
      <c r="A66" s="3" t="s">
        <v>260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340</v>
      </c>
      <c r="G66" s="5"/>
      <c r="H66" s="5"/>
      <c r="I66" s="5"/>
      <c r="J66" s="3"/>
      <c r="K66" s="3"/>
      <c r="L66" s="5"/>
    </row>
    <row r="67" spans="1:12">
      <c r="A67" s="3" t="s">
        <v>261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340</v>
      </c>
      <c r="G67" s="5"/>
      <c r="H67" s="5"/>
      <c r="I67" s="5"/>
      <c r="J67" s="3"/>
      <c r="K67" s="3"/>
      <c r="L67" s="5"/>
    </row>
    <row r="68" spans="1:12">
      <c r="A68" s="3" t="s">
        <v>262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340</v>
      </c>
      <c r="G68" s="5"/>
      <c r="H68" s="5"/>
      <c r="I68" s="5"/>
      <c r="J68" s="3"/>
      <c r="K68" s="3"/>
      <c r="L68" s="5"/>
    </row>
    <row r="69" spans="1:12">
      <c r="A69" s="3" t="s">
        <v>263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340</v>
      </c>
      <c r="G69" s="5"/>
      <c r="H69" s="5"/>
      <c r="I69" s="5"/>
      <c r="L69" s="5"/>
    </row>
    <row r="70" spans="1:12">
      <c r="A70" s="3" t="s">
        <v>264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340</v>
      </c>
      <c r="G70" s="5"/>
      <c r="H70" s="5"/>
      <c r="I70" s="5"/>
      <c r="L70" s="5"/>
    </row>
    <row r="71" spans="1:12">
      <c r="A71" s="3" t="s">
        <v>265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340</v>
      </c>
      <c r="G71" s="5"/>
      <c r="H71" s="5"/>
      <c r="I71" s="5"/>
      <c r="L71" s="5"/>
    </row>
    <row r="72" spans="1:12">
      <c r="A72" s="3" t="s">
        <v>266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340</v>
      </c>
      <c r="G72" s="5"/>
      <c r="H72" s="5"/>
      <c r="I72" s="5"/>
      <c r="L72" s="5"/>
    </row>
    <row r="73" spans="1:12">
      <c r="A73" s="3" t="s">
        <v>267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340</v>
      </c>
      <c r="G73" s="5"/>
      <c r="H73" s="5"/>
      <c r="I73" s="5"/>
      <c r="L73" s="5"/>
    </row>
    <row r="74" spans="1:12">
      <c r="A74" s="3" t="s">
        <v>268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340</v>
      </c>
      <c r="G74" s="5"/>
      <c r="H74" s="5"/>
      <c r="I74" s="5"/>
      <c r="L74" s="5"/>
    </row>
    <row r="75" spans="1:12">
      <c r="A75" s="3" t="s">
        <v>269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340</v>
      </c>
      <c r="G75" s="5"/>
      <c r="H75" s="5"/>
      <c r="I75" s="5"/>
      <c r="L75" s="5"/>
    </row>
    <row r="76" spans="1:12">
      <c r="A76" s="3" t="s">
        <v>270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340</v>
      </c>
      <c r="G76" s="5"/>
      <c r="H76" s="5"/>
      <c r="I76" s="5"/>
      <c r="L76" s="5"/>
    </row>
    <row r="77" spans="1:12">
      <c r="A77" s="3" t="s">
        <v>271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340</v>
      </c>
      <c r="G77" s="5"/>
      <c r="H77" s="5"/>
      <c r="I77" s="5"/>
      <c r="L77" s="5"/>
    </row>
    <row r="78" spans="1:12">
      <c r="A78" s="3" t="s">
        <v>272</v>
      </c>
      <c r="B78" s="3" t="s">
        <v>17</v>
      </c>
      <c r="C78" s="3" t="s">
        <v>26</v>
      </c>
      <c r="D78" s="3" t="s">
        <v>275</v>
      </c>
      <c r="E78" s="3">
        <v>4</v>
      </c>
      <c r="F78" s="7" t="s">
        <v>340</v>
      </c>
      <c r="G78" s="5"/>
      <c r="H78" s="5"/>
      <c r="I78" s="5"/>
      <c r="L78" s="5"/>
    </row>
    <row r="79" spans="1:12">
      <c r="A79" s="3" t="s">
        <v>273</v>
      </c>
      <c r="B79" s="3" t="s">
        <v>17</v>
      </c>
      <c r="C79" s="3" t="s">
        <v>26</v>
      </c>
      <c r="D79" s="3" t="s">
        <v>213</v>
      </c>
      <c r="E79" s="3">
        <v>4</v>
      </c>
      <c r="F79" s="7" t="s">
        <v>340</v>
      </c>
      <c r="G79" s="5"/>
      <c r="H79" s="5"/>
      <c r="I79" s="5"/>
      <c r="L79" s="5"/>
    </row>
    <row r="80" spans="1:12">
      <c r="A80" s="3" t="s">
        <v>274</v>
      </c>
      <c r="B80" s="3" t="s">
        <v>17</v>
      </c>
      <c r="C80" s="3" t="s">
        <v>26</v>
      </c>
      <c r="D80" s="3" t="s">
        <v>213</v>
      </c>
      <c r="E80" s="3">
        <v>4</v>
      </c>
      <c r="F80" s="7" t="s">
        <v>340</v>
      </c>
      <c r="G80" s="5"/>
      <c r="H80" s="5"/>
      <c r="I80" s="5"/>
      <c r="L80" s="5"/>
    </row>
    <row r="81" spans="1:12">
      <c r="A81" s="3" t="s">
        <v>276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342</v>
      </c>
      <c r="G81" s="5"/>
      <c r="H81" s="5"/>
      <c r="I81" s="5"/>
      <c r="L81" s="5"/>
    </row>
    <row r="82" spans="1:12">
      <c r="A82" s="3" t="s">
        <v>277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342</v>
      </c>
      <c r="G82" s="5"/>
      <c r="H82" s="5"/>
      <c r="I82" s="5"/>
      <c r="L82" s="5"/>
    </row>
    <row r="83" spans="1:12">
      <c r="A83" s="3" t="s">
        <v>278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342</v>
      </c>
      <c r="G83" s="5"/>
      <c r="H83" s="5"/>
      <c r="I83" s="5"/>
      <c r="L83" s="5"/>
    </row>
    <row r="84" spans="1:12">
      <c r="A84" s="3" t="s">
        <v>279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342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343</v>
      </c>
      <c r="G85" s="5"/>
      <c r="H85" s="5"/>
      <c r="I85" s="5"/>
      <c r="J85" s="5"/>
      <c r="K85" s="5"/>
      <c r="L85" s="5"/>
    </row>
    <row r="86" spans="1:12">
      <c r="A86" s="3" t="s">
        <v>280</v>
      </c>
      <c r="B86" s="3" t="s">
        <v>17</v>
      </c>
      <c r="C86" s="3" t="s">
        <v>8</v>
      </c>
      <c r="D86" s="3" t="s">
        <v>213</v>
      </c>
      <c r="E86" s="3">
        <v>3</v>
      </c>
      <c r="F86" s="7" t="s">
        <v>342</v>
      </c>
      <c r="G86" s="5"/>
      <c r="H86" s="5"/>
      <c r="I86" s="5"/>
      <c r="J86" s="5"/>
      <c r="K86" s="5"/>
      <c r="L86" s="5"/>
    </row>
    <row r="87" spans="1:12">
      <c r="A87" s="3" t="s">
        <v>281</v>
      </c>
      <c r="B87" s="3" t="s">
        <v>17</v>
      </c>
      <c r="C87" s="3" t="s">
        <v>8</v>
      </c>
      <c r="D87" s="3" t="s">
        <v>213</v>
      </c>
      <c r="E87" s="3">
        <v>2</v>
      </c>
      <c r="F87" s="7" t="s">
        <v>343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342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342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342</v>
      </c>
      <c r="G90" s="5"/>
      <c r="H90" s="5"/>
      <c r="I90" s="5"/>
      <c r="J90" s="5"/>
      <c r="K90" s="5"/>
      <c r="L90" s="5"/>
    </row>
    <row r="91" spans="1:12">
      <c r="A91" s="3" t="s">
        <v>282</v>
      </c>
      <c r="B91" s="3" t="s">
        <v>17</v>
      </c>
      <c r="C91" s="3" t="s">
        <v>28</v>
      </c>
      <c r="D91" s="3" t="s">
        <v>223</v>
      </c>
      <c r="E91" s="3">
        <v>3</v>
      </c>
      <c r="F91" s="7" t="s">
        <v>342</v>
      </c>
      <c r="G91" s="5"/>
      <c r="H91" s="5"/>
      <c r="I91" s="5"/>
      <c r="J91" s="5"/>
      <c r="K91" s="5"/>
      <c r="L91" s="5"/>
    </row>
    <row r="92" spans="1:12">
      <c r="A92" s="3" t="s">
        <v>283</v>
      </c>
      <c r="B92" s="3" t="s">
        <v>17</v>
      </c>
      <c r="C92" s="3" t="s">
        <v>28</v>
      </c>
      <c r="D92" s="3" t="s">
        <v>223</v>
      </c>
      <c r="E92" s="3">
        <v>3</v>
      </c>
      <c r="F92" s="7" t="s">
        <v>342</v>
      </c>
      <c r="G92" s="5"/>
      <c r="H92" s="5"/>
      <c r="I92" s="5"/>
      <c r="J92" s="5"/>
      <c r="K92" s="5"/>
      <c r="L92" s="5"/>
    </row>
    <row r="93" spans="1:12">
      <c r="A93" s="3" t="s">
        <v>284</v>
      </c>
      <c r="B93" s="3" t="s">
        <v>17</v>
      </c>
      <c r="C93" s="3" t="s">
        <v>28</v>
      </c>
      <c r="D93" s="3" t="s">
        <v>223</v>
      </c>
      <c r="E93" s="3">
        <v>3</v>
      </c>
      <c r="F93" s="7" t="s">
        <v>342</v>
      </c>
      <c r="G93" s="5"/>
      <c r="H93" s="5"/>
      <c r="I93" s="5"/>
      <c r="J93" s="5"/>
      <c r="K93" s="5"/>
      <c r="L93" s="5"/>
    </row>
    <row r="94" spans="1:12">
      <c r="A94" s="3" t="s">
        <v>285</v>
      </c>
      <c r="B94" s="3" t="s">
        <v>17</v>
      </c>
      <c r="C94" s="3" t="s">
        <v>28</v>
      </c>
      <c r="D94" s="3" t="s">
        <v>223</v>
      </c>
      <c r="E94" s="3">
        <v>3</v>
      </c>
      <c r="F94" s="7" t="s">
        <v>342</v>
      </c>
      <c r="G94" s="5"/>
      <c r="H94" s="5"/>
      <c r="I94" s="5"/>
      <c r="J94" s="5"/>
      <c r="K94" s="5"/>
      <c r="L94" s="5"/>
    </row>
    <row r="95" spans="1:12">
      <c r="A95" s="3" t="s">
        <v>286</v>
      </c>
      <c r="B95" s="3" t="s">
        <v>17</v>
      </c>
      <c r="C95" s="3" t="s">
        <v>28</v>
      </c>
      <c r="D95" s="3" t="s">
        <v>213</v>
      </c>
      <c r="E95" s="3">
        <v>3</v>
      </c>
      <c r="F95" s="7" t="s">
        <v>342</v>
      </c>
      <c r="G95" s="5"/>
      <c r="H95" s="5"/>
      <c r="I95" s="5"/>
      <c r="J95" s="5"/>
      <c r="K95" s="5"/>
      <c r="L95" s="5"/>
    </row>
    <row r="96" spans="1:12">
      <c r="A96" s="3" t="s">
        <v>287</v>
      </c>
      <c r="B96" s="3" t="s">
        <v>17</v>
      </c>
      <c r="C96" s="3" t="s">
        <v>28</v>
      </c>
      <c r="D96" s="3" t="s">
        <v>213</v>
      </c>
      <c r="E96" s="3">
        <v>3</v>
      </c>
      <c r="F96" s="7" t="s">
        <v>342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340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340</v>
      </c>
      <c r="G98" s="5"/>
      <c r="H98" s="5"/>
      <c r="I98" s="5"/>
      <c r="J98" s="5"/>
      <c r="K98" s="5"/>
      <c r="L98" s="5"/>
    </row>
    <row r="99" spans="1:12">
      <c r="A99" s="3" t="s">
        <v>288</v>
      </c>
      <c r="B99" s="3" t="s">
        <v>17</v>
      </c>
      <c r="C99" s="3" t="s">
        <v>10</v>
      </c>
      <c r="D99" s="3" t="s">
        <v>223</v>
      </c>
      <c r="E99" s="3">
        <v>4</v>
      </c>
      <c r="F99" s="7" t="s">
        <v>340</v>
      </c>
      <c r="G99" s="5"/>
      <c r="H99" s="5"/>
      <c r="I99" s="5"/>
      <c r="J99" s="5"/>
      <c r="K99" s="5"/>
      <c r="L99" s="5"/>
    </row>
    <row r="100" spans="1:12">
      <c r="A100" s="3" t="s">
        <v>289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340</v>
      </c>
      <c r="G100" s="5"/>
      <c r="H100" s="5"/>
      <c r="I100" s="5"/>
      <c r="J100" s="5"/>
      <c r="K100" s="5"/>
      <c r="L100" s="5"/>
    </row>
    <row r="101" spans="1:12">
      <c r="A101" s="3" t="s">
        <v>290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340</v>
      </c>
      <c r="G101" s="5"/>
      <c r="H101" s="5"/>
      <c r="I101" s="5"/>
      <c r="J101" s="5"/>
      <c r="K101" s="5"/>
      <c r="L101" s="5"/>
    </row>
    <row r="102" spans="1:12">
      <c r="A102" s="3" t="s">
        <v>291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340</v>
      </c>
      <c r="G102" s="5"/>
      <c r="H102" s="5"/>
      <c r="I102" s="5"/>
      <c r="J102" s="5"/>
      <c r="K102" s="5"/>
      <c r="L102" s="5"/>
    </row>
    <row r="103" spans="1:12">
      <c r="A103" s="3" t="s">
        <v>292</v>
      </c>
      <c r="B103" s="3" t="s">
        <v>17</v>
      </c>
      <c r="C103" s="3" t="s">
        <v>10</v>
      </c>
      <c r="D103" s="3" t="s">
        <v>213</v>
      </c>
      <c r="E103" s="3">
        <v>4</v>
      </c>
      <c r="F103" s="7" t="s">
        <v>340</v>
      </c>
      <c r="G103" s="5"/>
      <c r="H103" s="5"/>
      <c r="I103" s="5"/>
      <c r="J103" s="5"/>
      <c r="K103" s="5"/>
      <c r="L103" s="5"/>
    </row>
    <row r="104" spans="1:12">
      <c r="A104" s="3" t="s">
        <v>293</v>
      </c>
      <c r="B104" s="3" t="s">
        <v>17</v>
      </c>
      <c r="C104" s="3" t="s">
        <v>10</v>
      </c>
      <c r="D104" s="3" t="s">
        <v>213</v>
      </c>
      <c r="E104" s="3">
        <v>4</v>
      </c>
      <c r="F104" s="7" t="s">
        <v>340</v>
      </c>
      <c r="G104" s="5"/>
      <c r="H104" s="5"/>
      <c r="I104" s="5"/>
      <c r="J104" s="5"/>
      <c r="K104" s="5"/>
      <c r="L104" s="5"/>
    </row>
    <row r="105" spans="1:12">
      <c r="A105" s="3" t="s">
        <v>294</v>
      </c>
      <c r="B105" s="3" t="s">
        <v>17</v>
      </c>
      <c r="C105" s="3" t="s">
        <v>10</v>
      </c>
      <c r="D105" s="3" t="s">
        <v>213</v>
      </c>
      <c r="E105" s="3">
        <v>4</v>
      </c>
      <c r="F105" s="7" t="s">
        <v>340</v>
      </c>
      <c r="G105" s="5"/>
      <c r="H105" s="5"/>
      <c r="I105" s="5"/>
      <c r="J105" s="5"/>
      <c r="K105" s="5"/>
      <c r="L105" s="5"/>
    </row>
    <row r="106" spans="1:12">
      <c r="A106" s="3" t="s">
        <v>295</v>
      </c>
      <c r="B106" s="3" t="s">
        <v>17</v>
      </c>
      <c r="C106" s="3" t="s">
        <v>10</v>
      </c>
      <c r="D106" s="3" t="s">
        <v>213</v>
      </c>
      <c r="E106" s="3">
        <v>2</v>
      </c>
      <c r="F106" s="7" t="s">
        <v>343</v>
      </c>
      <c r="G106" s="5"/>
      <c r="H106" s="5"/>
      <c r="I106" s="5"/>
      <c r="J106" s="5"/>
      <c r="K106" s="5"/>
      <c r="L106" s="5"/>
    </row>
    <row r="107" spans="1:12">
      <c r="A107" s="3" t="s">
        <v>296</v>
      </c>
      <c r="B107" s="3" t="s">
        <v>17</v>
      </c>
      <c r="C107" s="3" t="s">
        <v>10</v>
      </c>
      <c r="D107" s="3" t="s">
        <v>213</v>
      </c>
      <c r="E107" s="3">
        <v>4</v>
      </c>
      <c r="F107" s="7" t="s">
        <v>340</v>
      </c>
      <c r="G107" s="5"/>
      <c r="H107" s="5"/>
      <c r="I107" s="5"/>
      <c r="J107" s="5"/>
      <c r="K107" s="5"/>
      <c r="L107" s="5"/>
    </row>
    <row r="108" spans="1:12">
      <c r="A108" s="3" t="s">
        <v>297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340</v>
      </c>
      <c r="G108" s="5"/>
      <c r="H108" s="5"/>
      <c r="I108" s="5"/>
      <c r="J108" s="5"/>
      <c r="K108" s="5"/>
      <c r="L108" s="5"/>
    </row>
    <row r="109" spans="1:12">
      <c r="A109" s="3" t="s">
        <v>298</v>
      </c>
      <c r="B109" s="3" t="s">
        <v>17</v>
      </c>
      <c r="C109" s="3" t="s">
        <v>29</v>
      </c>
      <c r="D109" s="3" t="s">
        <v>34</v>
      </c>
      <c r="E109" s="3">
        <v>4</v>
      </c>
      <c r="F109" s="7" t="s">
        <v>340</v>
      </c>
      <c r="G109" s="5"/>
      <c r="H109" s="5"/>
      <c r="I109" s="5"/>
      <c r="J109" s="5"/>
      <c r="K109" s="5"/>
      <c r="L109" s="5"/>
    </row>
    <row r="110" spans="1:12">
      <c r="A110" s="3" t="s">
        <v>299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340</v>
      </c>
      <c r="G110" s="5"/>
      <c r="H110" s="5"/>
      <c r="I110" s="5"/>
      <c r="J110" s="5"/>
      <c r="K110" s="5"/>
      <c r="L110" s="5"/>
    </row>
    <row r="111" spans="1:12">
      <c r="A111" s="3" t="s">
        <v>300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340</v>
      </c>
      <c r="G111" s="5"/>
      <c r="H111" s="5"/>
      <c r="I111" s="5"/>
      <c r="J111" s="5"/>
      <c r="K111" s="5"/>
      <c r="L111" s="5"/>
    </row>
    <row r="112" spans="1:12">
      <c r="A112" s="3" t="s">
        <v>301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340</v>
      </c>
      <c r="G112" s="5"/>
      <c r="H112" s="5"/>
      <c r="I112" s="5"/>
      <c r="J112" s="5"/>
      <c r="K112" s="5"/>
      <c r="L112" s="5"/>
    </row>
    <row r="113" spans="1:12">
      <c r="A113" s="3" t="s">
        <v>302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340</v>
      </c>
      <c r="G113" s="5"/>
      <c r="H113" s="5"/>
      <c r="I113" s="5"/>
      <c r="J113" s="5"/>
      <c r="K113" s="5"/>
      <c r="L113" s="5"/>
    </row>
    <row r="114" spans="1:12">
      <c r="A114" s="3" t="s">
        <v>303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340</v>
      </c>
      <c r="G114" s="5"/>
      <c r="H114" s="5"/>
      <c r="I114" s="5"/>
      <c r="J114" s="5"/>
      <c r="K114" s="5"/>
      <c r="L114" s="5"/>
    </row>
    <row r="115" spans="1:12">
      <c r="A115" s="3" t="s">
        <v>304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340</v>
      </c>
      <c r="G115" s="5"/>
      <c r="H115" s="5"/>
      <c r="I115" s="5"/>
      <c r="J115" s="5"/>
      <c r="K115" s="5"/>
      <c r="L115" s="5"/>
    </row>
    <row r="116" spans="1:12">
      <c r="A116" s="3" t="s">
        <v>305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340</v>
      </c>
      <c r="G116" s="5"/>
      <c r="H116" s="5"/>
      <c r="I116" s="5"/>
      <c r="J116" s="5"/>
      <c r="K116" s="5"/>
      <c r="L116" s="5"/>
    </row>
    <row r="117" spans="1:12">
      <c r="A117" s="3" t="s">
        <v>306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340</v>
      </c>
      <c r="G117" s="5"/>
      <c r="H117" s="5"/>
      <c r="I117" s="5"/>
      <c r="J117" s="5"/>
      <c r="K117" s="5"/>
      <c r="L117" s="5"/>
    </row>
    <row r="118" spans="1:12">
      <c r="A118" s="3" t="s">
        <v>307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340</v>
      </c>
      <c r="G118" s="5"/>
      <c r="H118" s="5"/>
      <c r="I118" s="5"/>
      <c r="J118" s="5"/>
      <c r="K118" s="5"/>
      <c r="L118" s="5"/>
    </row>
    <row r="119" spans="1:12">
      <c r="A119" s="3" t="s">
        <v>308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340</v>
      </c>
      <c r="G119" s="5"/>
      <c r="H119" s="5"/>
      <c r="I119" s="5"/>
      <c r="J119" s="5"/>
      <c r="K119" s="5"/>
      <c r="L119" s="5"/>
    </row>
    <row r="120" spans="1:12">
      <c r="A120" s="3" t="s">
        <v>309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340</v>
      </c>
      <c r="G120" s="5"/>
      <c r="H120" s="5"/>
      <c r="I120" s="5"/>
      <c r="J120" s="5"/>
      <c r="K120" s="5"/>
      <c r="L120" s="5"/>
    </row>
    <row r="121" spans="1:12">
      <c r="A121" s="3" t="s">
        <v>310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340</v>
      </c>
      <c r="G121" s="5"/>
      <c r="H121" s="5"/>
      <c r="I121" s="5"/>
      <c r="J121" s="5"/>
      <c r="K121" s="5"/>
      <c r="L121" s="5"/>
    </row>
    <row r="122" spans="1:12">
      <c r="A122" s="3" t="s">
        <v>311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340</v>
      </c>
      <c r="G122" s="5"/>
      <c r="H122" s="5"/>
      <c r="I122" s="5"/>
      <c r="J122" s="5"/>
      <c r="K122" s="5"/>
      <c r="L122" s="5"/>
    </row>
    <row r="123" spans="1:12">
      <c r="A123" s="3" t="s">
        <v>312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340</v>
      </c>
      <c r="G123" s="5"/>
      <c r="H123" s="5"/>
      <c r="I123" s="5"/>
      <c r="J123" s="5"/>
      <c r="K123" s="5"/>
      <c r="L123" s="5"/>
    </row>
    <row r="124" spans="1:12">
      <c r="A124" s="3" t="s">
        <v>313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340</v>
      </c>
      <c r="G124" s="5"/>
      <c r="H124" s="5"/>
      <c r="I124" s="5"/>
      <c r="J124" s="5"/>
      <c r="K124" s="5"/>
      <c r="L124" s="5"/>
    </row>
    <row r="125" spans="1:12">
      <c r="A125" s="3" t="s">
        <v>314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340</v>
      </c>
      <c r="G125" s="5"/>
      <c r="H125" s="5"/>
      <c r="I125" s="5"/>
      <c r="J125" s="5"/>
      <c r="K125" s="5"/>
      <c r="L125" s="5"/>
    </row>
    <row r="126" spans="1:12">
      <c r="A126" s="3" t="s">
        <v>316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340</v>
      </c>
      <c r="G126" s="5"/>
      <c r="H126" s="5"/>
      <c r="I126" s="5"/>
      <c r="J126" s="5"/>
      <c r="K126" s="5"/>
      <c r="L126" s="5"/>
    </row>
    <row r="127" spans="1:12">
      <c r="A127" s="3" t="s">
        <v>315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340</v>
      </c>
      <c r="G127" s="5"/>
      <c r="H127" s="5"/>
      <c r="I127" s="5"/>
      <c r="J127" s="5"/>
      <c r="K127" s="5"/>
      <c r="L127" s="5"/>
    </row>
    <row r="128" spans="1:12">
      <c r="A128" s="3" t="s">
        <v>317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340</v>
      </c>
      <c r="G128" s="5"/>
      <c r="H128" s="5"/>
      <c r="I128" s="5"/>
      <c r="J128" s="5"/>
      <c r="K128" s="5"/>
      <c r="L128" s="5"/>
    </row>
    <row r="129" spans="1:12">
      <c r="A129" s="3" t="s">
        <v>318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340</v>
      </c>
      <c r="G129" s="5"/>
      <c r="H129" s="5"/>
      <c r="I129" s="5"/>
      <c r="J129" s="5"/>
      <c r="K129" s="5"/>
      <c r="L129" s="5"/>
    </row>
    <row r="130" spans="1:12">
      <c r="A130" s="3" t="s">
        <v>319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340</v>
      </c>
      <c r="G130" s="5"/>
      <c r="H130" s="5"/>
      <c r="I130" s="5"/>
      <c r="J130" s="5"/>
      <c r="K130" s="5"/>
      <c r="L130" s="5"/>
    </row>
    <row r="131" spans="1:12">
      <c r="A131" s="3" t="s">
        <v>323</v>
      </c>
      <c r="B131" s="3" t="s">
        <v>17</v>
      </c>
      <c r="C131" s="3" t="s">
        <v>30</v>
      </c>
      <c r="D131" s="3" t="s">
        <v>213</v>
      </c>
      <c r="E131" s="3">
        <v>4</v>
      </c>
      <c r="F131" s="7" t="s">
        <v>340</v>
      </c>
      <c r="G131" s="5"/>
      <c r="H131" s="5"/>
      <c r="I131" s="5"/>
      <c r="J131" s="5"/>
      <c r="K131" s="5"/>
      <c r="L131" s="5"/>
    </row>
    <row r="132" spans="1:12">
      <c r="A132" s="3" t="s">
        <v>324</v>
      </c>
      <c r="B132" s="3" t="s">
        <v>17</v>
      </c>
      <c r="C132" s="3" t="s">
        <v>30</v>
      </c>
      <c r="D132" s="3" t="s">
        <v>213</v>
      </c>
      <c r="E132" s="3">
        <v>4</v>
      </c>
      <c r="F132" s="7" t="s">
        <v>340</v>
      </c>
      <c r="G132" s="5"/>
      <c r="H132" s="5"/>
      <c r="I132" s="5"/>
      <c r="J132" s="5"/>
      <c r="K132" s="5"/>
      <c r="L132" s="5"/>
    </row>
    <row r="133" spans="1:12">
      <c r="A133" s="3" t="s">
        <v>325</v>
      </c>
      <c r="B133" s="3" t="s">
        <v>17</v>
      </c>
      <c r="C133" s="3" t="s">
        <v>30</v>
      </c>
      <c r="D133" s="3" t="s">
        <v>213</v>
      </c>
      <c r="E133" s="3">
        <v>4</v>
      </c>
      <c r="F133" s="7" t="s">
        <v>340</v>
      </c>
      <c r="G133" s="5"/>
      <c r="H133" s="5"/>
      <c r="I133" s="5"/>
      <c r="J133" s="5"/>
      <c r="K133" s="5"/>
      <c r="L133" s="5"/>
    </row>
    <row r="134" spans="1:12">
      <c r="A134" s="3" t="s">
        <v>326</v>
      </c>
      <c r="B134" s="3" t="s">
        <v>17</v>
      </c>
      <c r="C134" s="3" t="s">
        <v>30</v>
      </c>
      <c r="D134" s="3" t="s">
        <v>213</v>
      </c>
      <c r="E134" s="3">
        <v>4</v>
      </c>
      <c r="F134" s="7" t="s">
        <v>340</v>
      </c>
      <c r="G134" s="5"/>
      <c r="H134" s="5"/>
      <c r="I134" s="5"/>
      <c r="J134" s="5"/>
      <c r="K134" s="5"/>
      <c r="L134" s="5"/>
    </row>
    <row r="135" spans="1:12">
      <c r="A135" s="3" t="s">
        <v>327</v>
      </c>
      <c r="B135" s="3" t="s">
        <v>17</v>
      </c>
      <c r="C135" s="3" t="s">
        <v>30</v>
      </c>
      <c r="D135" s="3" t="s">
        <v>213</v>
      </c>
      <c r="E135" s="3">
        <v>4</v>
      </c>
      <c r="F135" s="7" t="s">
        <v>340</v>
      </c>
      <c r="G135" s="5"/>
      <c r="H135" s="5"/>
      <c r="I135" s="5"/>
      <c r="J135" s="5"/>
      <c r="K135" s="5"/>
      <c r="L135" s="5"/>
    </row>
    <row r="136" spans="1:12">
      <c r="A136" s="3" t="s">
        <v>328</v>
      </c>
      <c r="B136" s="3" t="s">
        <v>17</v>
      </c>
      <c r="C136" s="3" t="s">
        <v>30</v>
      </c>
      <c r="D136" s="3" t="s">
        <v>213</v>
      </c>
      <c r="E136" s="3">
        <v>4</v>
      </c>
      <c r="F136" s="7" t="s">
        <v>340</v>
      </c>
      <c r="G136" s="5"/>
      <c r="H136" s="5"/>
      <c r="I136" s="5"/>
      <c r="J136" s="5"/>
      <c r="K136" s="5"/>
      <c r="L136" s="5"/>
    </row>
    <row r="137" spans="1:12">
      <c r="A137" s="3" t="s">
        <v>329</v>
      </c>
      <c r="B137" s="3" t="s">
        <v>17</v>
      </c>
      <c r="C137" s="3" t="s">
        <v>30</v>
      </c>
      <c r="D137" s="3" t="s">
        <v>213</v>
      </c>
      <c r="E137" s="3">
        <v>4</v>
      </c>
      <c r="F137" s="7" t="s">
        <v>340</v>
      </c>
      <c r="G137" s="5"/>
      <c r="H137" s="5"/>
      <c r="I137" s="5"/>
      <c r="J137" s="5"/>
      <c r="K137" s="5"/>
      <c r="L137" s="5"/>
    </row>
    <row r="138" spans="1:12">
      <c r="A138" s="3" t="s">
        <v>330</v>
      </c>
      <c r="B138" s="3" t="s">
        <v>17</v>
      </c>
      <c r="C138" s="3" t="s">
        <v>30</v>
      </c>
      <c r="D138" s="3" t="s">
        <v>213</v>
      </c>
      <c r="E138" s="3">
        <v>4</v>
      </c>
      <c r="F138" s="7" t="s">
        <v>340</v>
      </c>
      <c r="G138" s="5"/>
      <c r="H138" s="5"/>
      <c r="I138" s="5"/>
      <c r="J138" s="5"/>
      <c r="K138" s="5"/>
      <c r="L138" s="5"/>
    </row>
    <row r="139" spans="1:12">
      <c r="A139" s="3" t="s">
        <v>321</v>
      </c>
      <c r="B139" s="3" t="s">
        <v>17</v>
      </c>
      <c r="C139" s="3" t="s">
        <v>321</v>
      </c>
      <c r="D139" s="3" t="s">
        <v>255</v>
      </c>
      <c r="E139" s="3">
        <v>4</v>
      </c>
      <c r="F139" s="7" t="s">
        <v>340</v>
      </c>
      <c r="G139" s="5"/>
      <c r="H139" s="5"/>
      <c r="I139" s="5"/>
      <c r="J139" s="5"/>
      <c r="K139" s="5"/>
      <c r="L139" s="5"/>
    </row>
    <row r="140" spans="1:12">
      <c r="A140" s="3" t="s">
        <v>320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340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342</v>
      </c>
      <c r="G141" s="5"/>
      <c r="H141" s="5"/>
      <c r="I141" s="5"/>
      <c r="J141" s="5"/>
      <c r="K141" s="5"/>
      <c r="L141" s="5"/>
    </row>
    <row r="142" spans="1:12">
      <c r="A142" s="3" t="s">
        <v>331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342</v>
      </c>
      <c r="G142" s="5"/>
      <c r="H142" s="5"/>
      <c r="I142" s="5"/>
      <c r="J142" s="5"/>
      <c r="K142" s="5"/>
      <c r="L142" s="5"/>
    </row>
    <row r="143" spans="1:12">
      <c r="A143" s="3" t="s">
        <v>332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342</v>
      </c>
      <c r="G143" s="5"/>
      <c r="H143" s="5"/>
      <c r="I143" s="5"/>
      <c r="J143" s="5"/>
      <c r="K143" s="5"/>
      <c r="L143" s="5"/>
    </row>
    <row r="144" spans="1:12">
      <c r="A144" s="3" t="s">
        <v>333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342</v>
      </c>
      <c r="G144" s="5"/>
      <c r="H144" s="5"/>
      <c r="I144" s="5"/>
      <c r="J144" s="5"/>
      <c r="K144" s="5"/>
      <c r="L144" s="5"/>
    </row>
    <row r="145" spans="1:12">
      <c r="A145" s="3" t="s">
        <v>334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342</v>
      </c>
      <c r="G145" s="5"/>
      <c r="H145" s="5"/>
      <c r="I145" s="5"/>
      <c r="J145" s="5"/>
      <c r="K145" s="5"/>
      <c r="L145" s="5"/>
    </row>
    <row r="146" spans="1:12">
      <c r="A146" s="3" t="s">
        <v>335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342</v>
      </c>
      <c r="G146" s="5"/>
      <c r="H146" s="5"/>
      <c r="I146" s="5"/>
      <c r="J146" s="5"/>
      <c r="K146" s="5"/>
      <c r="L146" s="5"/>
    </row>
    <row r="147" spans="1:12">
      <c r="A147" s="3" t="s">
        <v>336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342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342</v>
      </c>
      <c r="G148" s="5"/>
      <c r="H148" s="5"/>
      <c r="I148" s="5"/>
      <c r="J148" s="5"/>
      <c r="K148" s="5"/>
      <c r="L148" s="5"/>
    </row>
    <row r="149" spans="1:12">
      <c r="A149" s="3" t="s">
        <v>337</v>
      </c>
      <c r="B149" s="3" t="s">
        <v>17</v>
      </c>
      <c r="C149" s="3" t="s">
        <v>32</v>
      </c>
      <c r="D149" s="3" t="s">
        <v>275</v>
      </c>
      <c r="E149" s="3">
        <v>3</v>
      </c>
      <c r="F149" s="7" t="s">
        <v>342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213</v>
      </c>
      <c r="E150" s="3">
        <v>3</v>
      </c>
      <c r="F150" s="7" t="s">
        <v>342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 codeName="Sheet6">
    <tabColor theme="5" tint="0.39997558519241921"/>
    <outlinePr summaryBelow="0" summaryRight="0"/>
  </sheetPr>
  <dimension ref="A1:Z999"/>
  <sheetViews>
    <sheetView showGridLines="0" workbookViewId="0">
      <pane ySplit="2" topLeftCell="A3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75" style="92" customWidth="1"/>
    <col min="2" max="2" width="7.5" style="92" customWidth="1"/>
    <col min="3" max="3" width="0.875" style="92" customWidth="1"/>
    <col min="4" max="4" width="4" style="92" customWidth="1"/>
    <col min="5" max="5" width="5.875" style="92" customWidth="1"/>
    <col min="6" max="6" width="5.625" style="92" customWidth="1"/>
    <col min="7" max="7" width="11.25" style="92" customWidth="1"/>
    <col min="8" max="8" width="9.125" style="92" customWidth="1"/>
    <col min="9" max="9" width="12.75" style="92" customWidth="1"/>
    <col min="10" max="10" width="1.375" style="92" customWidth="1"/>
    <col min="11" max="11" width="1" style="92" customWidth="1"/>
    <col min="12" max="12" width="10.75" style="92" customWidth="1"/>
    <col min="13" max="13" width="10.125" style="92" customWidth="1"/>
    <col min="14" max="14" width="16.625" style="92" customWidth="1"/>
    <col min="15" max="15" width="8.375" style="92" customWidth="1"/>
    <col min="16" max="16" width="9.5" style="92" customWidth="1"/>
    <col min="17" max="17" width="1.25" style="92" customWidth="1"/>
    <col min="18" max="18" width="0.5" style="92" customWidth="1"/>
    <col min="19" max="26" width="0" style="92" hidden="1" customWidth="1"/>
    <col min="27" max="16384" width="11" style="92" hidden="1"/>
  </cols>
  <sheetData>
    <row r="1" spans="2:26" ht="13.5"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2:26" ht="39" thickBot="1">
      <c r="B2" s="546" t="s">
        <v>356</v>
      </c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7"/>
      <c r="N2" s="547"/>
      <c r="O2" s="547"/>
      <c r="P2" s="547"/>
      <c r="Q2" s="547"/>
      <c r="R2" s="91"/>
      <c r="S2" s="91"/>
      <c r="T2" s="91"/>
      <c r="U2" s="91"/>
      <c r="V2" s="91"/>
      <c r="W2" s="91"/>
      <c r="X2" s="91"/>
      <c r="Y2" s="91"/>
      <c r="Z2" s="91"/>
    </row>
    <row r="3" spans="2:26" ht="24" customHeight="1" thickBot="1">
      <c r="B3" s="93" t="s">
        <v>357</v>
      </c>
      <c r="C3" s="548" t="s">
        <v>358</v>
      </c>
      <c r="D3" s="549"/>
      <c r="E3" s="549"/>
      <c r="F3" s="549"/>
      <c r="G3" s="549"/>
      <c r="H3" s="549"/>
      <c r="I3" s="549"/>
      <c r="J3" s="550"/>
      <c r="K3" s="551" t="s">
        <v>359</v>
      </c>
      <c r="L3" s="552"/>
      <c r="M3" s="552"/>
      <c r="N3" s="552"/>
      <c r="O3" s="552"/>
      <c r="P3" s="552"/>
      <c r="Q3" s="553"/>
      <c r="R3" s="91"/>
      <c r="S3" s="91"/>
      <c r="T3" s="91"/>
      <c r="U3" s="91"/>
      <c r="V3" s="91"/>
      <c r="W3" s="91"/>
      <c r="X3" s="91"/>
      <c r="Y3" s="91"/>
      <c r="Z3" s="91"/>
    </row>
    <row r="4" spans="2:26" ht="13.5">
      <c r="B4" s="511" t="s">
        <v>360</v>
      </c>
      <c r="C4" s="94" t="s">
        <v>361</v>
      </c>
      <c r="D4" s="95"/>
      <c r="E4" s="95"/>
      <c r="F4" s="95"/>
      <c r="G4" s="95"/>
      <c r="H4" s="95"/>
      <c r="I4" s="95"/>
      <c r="J4" s="96"/>
      <c r="K4" s="97" t="s">
        <v>361</v>
      </c>
      <c r="L4" s="95"/>
      <c r="M4" s="95"/>
      <c r="N4" s="95"/>
      <c r="O4" s="95"/>
      <c r="P4" s="95"/>
      <c r="Q4" s="96"/>
      <c r="R4" s="91"/>
      <c r="S4" s="91"/>
      <c r="T4" s="91"/>
      <c r="U4" s="91"/>
      <c r="V4" s="91"/>
      <c r="W4" s="91"/>
      <c r="X4" s="91"/>
      <c r="Y4" s="91"/>
      <c r="Z4" s="91"/>
    </row>
    <row r="5" spans="2:26" ht="18.75" customHeight="1">
      <c r="B5" s="498"/>
      <c r="C5" s="98"/>
      <c r="D5" s="517" t="s">
        <v>362</v>
      </c>
      <c r="E5" s="506"/>
      <c r="F5" s="506"/>
      <c r="G5" s="505"/>
      <c r="H5" s="521" t="s">
        <v>363</v>
      </c>
      <c r="I5" s="506"/>
      <c r="J5" s="99"/>
      <c r="K5" s="100"/>
      <c r="L5" s="517" t="s">
        <v>362</v>
      </c>
      <c r="M5" s="506"/>
      <c r="N5" s="505"/>
      <c r="O5" s="521" t="s">
        <v>364</v>
      </c>
      <c r="P5" s="506"/>
      <c r="Q5" s="99"/>
      <c r="R5" s="91"/>
      <c r="S5" s="91"/>
      <c r="T5" s="91"/>
      <c r="U5" s="91"/>
      <c r="V5" s="91"/>
      <c r="W5" s="91"/>
      <c r="X5" s="91"/>
      <c r="Y5" s="91"/>
      <c r="Z5" s="91"/>
    </row>
    <row r="6" spans="2:26" ht="18.75" customHeight="1">
      <c r="B6" s="498"/>
      <c r="C6" s="98"/>
      <c r="D6" s="517" t="s">
        <v>365</v>
      </c>
      <c r="E6" s="506"/>
      <c r="F6" s="506"/>
      <c r="G6" s="505"/>
      <c r="H6" s="521" t="s">
        <v>366</v>
      </c>
      <c r="I6" s="506"/>
      <c r="J6" s="99"/>
      <c r="K6" s="100"/>
      <c r="L6" s="517" t="s">
        <v>365</v>
      </c>
      <c r="M6" s="506"/>
      <c r="N6" s="505"/>
      <c r="O6" s="521" t="s">
        <v>367</v>
      </c>
      <c r="P6" s="506"/>
      <c r="Q6" s="99"/>
      <c r="R6" s="91"/>
      <c r="S6" s="91"/>
      <c r="T6" s="91"/>
      <c r="U6" s="91"/>
      <c r="V6" s="91"/>
      <c r="W6" s="91"/>
      <c r="X6" s="91"/>
      <c r="Y6" s="91"/>
      <c r="Z6" s="91"/>
    </row>
    <row r="7" spans="2:26" ht="18.75" customHeight="1">
      <c r="B7" s="498"/>
      <c r="C7" s="98"/>
      <c r="D7" s="517" t="s">
        <v>368</v>
      </c>
      <c r="E7" s="506"/>
      <c r="F7" s="506"/>
      <c r="G7" s="505"/>
      <c r="H7" s="521" t="s">
        <v>369</v>
      </c>
      <c r="I7" s="506"/>
      <c r="J7" s="99"/>
      <c r="K7" s="100"/>
      <c r="L7" s="517" t="s">
        <v>368</v>
      </c>
      <c r="M7" s="506"/>
      <c r="N7" s="505"/>
      <c r="O7" s="521" t="s">
        <v>370</v>
      </c>
      <c r="P7" s="506"/>
      <c r="Q7" s="99"/>
      <c r="R7" s="91"/>
      <c r="S7" s="91"/>
      <c r="T7" s="91"/>
      <c r="U7" s="91"/>
      <c r="V7" s="91"/>
      <c r="W7" s="91"/>
      <c r="X7" s="91"/>
      <c r="Y7" s="91"/>
      <c r="Z7" s="91"/>
    </row>
    <row r="8" spans="2:26" ht="18.75" customHeight="1">
      <c r="B8" s="498"/>
      <c r="C8" s="98"/>
      <c r="D8" s="517" t="s">
        <v>371</v>
      </c>
      <c r="E8" s="506"/>
      <c r="F8" s="506"/>
      <c r="G8" s="505"/>
      <c r="H8" s="521" t="s">
        <v>372</v>
      </c>
      <c r="I8" s="506"/>
      <c r="J8" s="99"/>
      <c r="K8" s="100"/>
      <c r="L8" s="517" t="s">
        <v>371</v>
      </c>
      <c r="M8" s="506"/>
      <c r="N8" s="505"/>
      <c r="O8" s="521" t="s">
        <v>372</v>
      </c>
      <c r="P8" s="506"/>
      <c r="Q8" s="99"/>
      <c r="R8" s="91"/>
      <c r="S8" s="91"/>
      <c r="T8" s="91"/>
      <c r="U8" s="91"/>
      <c r="V8" s="91"/>
      <c r="W8" s="91"/>
      <c r="X8" s="91"/>
      <c r="Y8" s="91"/>
      <c r="Z8" s="91"/>
    </row>
    <row r="9" spans="2:26" ht="8.25" customHeight="1" thickBot="1">
      <c r="B9" s="499"/>
      <c r="C9" s="101"/>
      <c r="D9" s="102"/>
      <c r="E9" s="102"/>
      <c r="F9" s="102"/>
      <c r="G9" s="102"/>
      <c r="H9" s="102"/>
      <c r="I9" s="102"/>
      <c r="J9" s="103"/>
      <c r="K9" s="104"/>
      <c r="L9" s="102"/>
      <c r="M9" s="102"/>
      <c r="N9" s="102"/>
      <c r="O9" s="102"/>
      <c r="P9" s="102"/>
      <c r="Q9" s="103"/>
      <c r="R9" s="91"/>
      <c r="S9" s="91"/>
      <c r="T9" s="91"/>
      <c r="U9" s="91"/>
      <c r="V9" s="91"/>
      <c r="W9" s="91"/>
      <c r="X9" s="91"/>
      <c r="Y9" s="91"/>
      <c r="Z9" s="91"/>
    </row>
    <row r="10" spans="2:26" ht="6.75" customHeight="1">
      <c r="B10" s="511" t="s">
        <v>373</v>
      </c>
      <c r="C10" s="94"/>
      <c r="D10" s="95"/>
      <c r="E10" s="95"/>
      <c r="F10" s="95"/>
      <c r="G10" s="95"/>
      <c r="H10" s="95"/>
      <c r="I10" s="95"/>
      <c r="J10" s="96"/>
      <c r="K10" s="97"/>
      <c r="L10" s="95"/>
      <c r="M10" s="95"/>
      <c r="N10" s="95"/>
      <c r="O10" s="95"/>
      <c r="P10" s="95"/>
      <c r="Q10" s="96"/>
      <c r="R10" s="91"/>
      <c r="S10" s="91"/>
      <c r="T10" s="91"/>
      <c r="U10" s="91"/>
      <c r="V10" s="91"/>
      <c r="W10" s="91"/>
      <c r="X10" s="91"/>
      <c r="Y10" s="91"/>
      <c r="Z10" s="91"/>
    </row>
    <row r="11" spans="2:26" ht="16.5" customHeight="1">
      <c r="B11" s="498"/>
      <c r="C11" s="98"/>
      <c r="D11" s="517" t="s">
        <v>322</v>
      </c>
      <c r="E11" s="506"/>
      <c r="F11" s="506"/>
      <c r="G11" s="521" t="s">
        <v>374</v>
      </c>
      <c r="H11" s="506"/>
      <c r="I11" s="506"/>
      <c r="J11" s="99"/>
      <c r="K11" s="100"/>
      <c r="L11" s="542" t="s">
        <v>322</v>
      </c>
      <c r="M11" s="543"/>
      <c r="N11" s="544" t="s">
        <v>375</v>
      </c>
      <c r="O11" s="545"/>
      <c r="P11" s="545"/>
      <c r="Q11" s="99"/>
      <c r="R11" s="91"/>
      <c r="S11" s="91"/>
      <c r="T11" s="91"/>
      <c r="U11" s="91"/>
      <c r="V11" s="91"/>
      <c r="W11" s="91"/>
      <c r="X11" s="91"/>
      <c r="Y11" s="91"/>
      <c r="Z11" s="91"/>
    </row>
    <row r="12" spans="2:26" ht="16.5" customHeight="1">
      <c r="B12" s="498"/>
      <c r="C12" s="98"/>
      <c r="D12" s="517" t="s">
        <v>376</v>
      </c>
      <c r="E12" s="506"/>
      <c r="F12" s="506"/>
      <c r="G12" s="521" t="s">
        <v>377</v>
      </c>
      <c r="H12" s="506"/>
      <c r="I12" s="506"/>
      <c r="J12" s="99"/>
      <c r="K12" s="100"/>
      <c r="L12" s="526"/>
      <c r="M12" s="503"/>
      <c r="N12" s="520"/>
      <c r="O12" s="526"/>
      <c r="P12" s="526"/>
      <c r="Q12" s="99"/>
      <c r="R12" s="91"/>
      <c r="S12" s="91"/>
      <c r="T12" s="91"/>
      <c r="U12" s="91"/>
      <c r="V12" s="91"/>
      <c r="W12" s="91"/>
      <c r="X12" s="91"/>
      <c r="Y12" s="91"/>
      <c r="Z12" s="91"/>
    </row>
    <row r="13" spans="2:26" ht="16.5" customHeight="1">
      <c r="B13" s="498"/>
      <c r="C13" s="98"/>
      <c r="D13" s="517" t="s">
        <v>378</v>
      </c>
      <c r="E13" s="506"/>
      <c r="F13" s="506"/>
      <c r="G13" s="521" t="s">
        <v>379</v>
      </c>
      <c r="H13" s="506"/>
      <c r="I13" s="506"/>
      <c r="J13" s="99"/>
      <c r="K13" s="100"/>
      <c r="L13" s="517" t="s">
        <v>380</v>
      </c>
      <c r="M13" s="505"/>
      <c r="N13" s="521" t="s">
        <v>379</v>
      </c>
      <c r="O13" s="506"/>
      <c r="P13" s="506"/>
      <c r="Q13" s="99"/>
      <c r="R13" s="91"/>
      <c r="S13" s="91"/>
      <c r="T13" s="91"/>
      <c r="U13" s="91"/>
      <c r="V13" s="91"/>
      <c r="W13" s="91"/>
      <c r="X13" s="91"/>
      <c r="Y13" s="91"/>
      <c r="Z13" s="91"/>
    </row>
    <row r="14" spans="2:26" ht="6.75" customHeight="1" thickBot="1">
      <c r="B14" s="499"/>
      <c r="C14" s="101"/>
      <c r="D14" s="102"/>
      <c r="E14" s="102"/>
      <c r="F14" s="102"/>
      <c r="G14" s="102"/>
      <c r="H14" s="102"/>
      <c r="I14" s="102"/>
      <c r="J14" s="103"/>
      <c r="K14" s="104"/>
      <c r="L14" s="102"/>
      <c r="M14" s="102"/>
      <c r="N14" s="102"/>
      <c r="O14" s="102"/>
      <c r="P14" s="102"/>
      <c r="Q14" s="103"/>
      <c r="R14" s="91"/>
      <c r="S14" s="91"/>
      <c r="T14" s="91"/>
      <c r="U14" s="91"/>
      <c r="V14" s="91"/>
      <c r="W14" s="91"/>
      <c r="X14" s="91"/>
      <c r="Y14" s="91"/>
      <c r="Z14" s="91"/>
    </row>
    <row r="15" spans="2:26" ht="6.75" customHeight="1">
      <c r="B15" s="511" t="s">
        <v>381</v>
      </c>
      <c r="C15" s="94"/>
      <c r="D15" s="95"/>
      <c r="E15" s="95"/>
      <c r="F15" s="95"/>
      <c r="G15" s="95"/>
      <c r="H15" s="95"/>
      <c r="I15" s="95"/>
      <c r="J15" s="96"/>
      <c r="K15" s="97"/>
      <c r="L15" s="95"/>
      <c r="M15" s="95"/>
      <c r="N15" s="95"/>
      <c r="O15" s="95"/>
      <c r="P15" s="95"/>
      <c r="Q15" s="96"/>
      <c r="R15" s="91"/>
      <c r="S15" s="91"/>
      <c r="T15" s="91"/>
      <c r="U15" s="91"/>
      <c r="V15" s="91"/>
      <c r="W15" s="91"/>
      <c r="X15" s="91"/>
      <c r="Y15" s="91"/>
      <c r="Z15" s="91"/>
    </row>
    <row r="16" spans="2:26" ht="20.25" customHeight="1">
      <c r="B16" s="498"/>
      <c r="C16" s="98"/>
      <c r="D16" s="517" t="s">
        <v>382</v>
      </c>
      <c r="E16" s="506"/>
      <c r="F16" s="506"/>
      <c r="G16" s="505"/>
      <c r="H16" s="521">
        <v>1</v>
      </c>
      <c r="I16" s="506"/>
      <c r="J16" s="99"/>
      <c r="K16" s="100"/>
      <c r="L16" s="517" t="s">
        <v>382</v>
      </c>
      <c r="M16" s="506"/>
      <c r="N16" s="505"/>
      <c r="O16" s="521" t="s">
        <v>383</v>
      </c>
      <c r="P16" s="506"/>
      <c r="Q16" s="99"/>
      <c r="R16" s="91"/>
      <c r="S16" s="91"/>
      <c r="T16" s="91"/>
      <c r="U16" s="91"/>
      <c r="V16" s="91"/>
      <c r="W16" s="91"/>
      <c r="X16" s="91"/>
      <c r="Y16" s="91"/>
      <c r="Z16" s="91"/>
    </row>
    <row r="17" spans="2:26" ht="20.25" customHeight="1">
      <c r="B17" s="498"/>
      <c r="C17" s="98"/>
      <c r="D17" s="517" t="s">
        <v>384</v>
      </c>
      <c r="E17" s="506"/>
      <c r="F17" s="506"/>
      <c r="G17" s="505"/>
      <c r="H17" s="521">
        <v>179</v>
      </c>
      <c r="I17" s="506"/>
      <c r="J17" s="99"/>
      <c r="K17" s="100"/>
      <c r="L17" s="517" t="s">
        <v>385</v>
      </c>
      <c r="M17" s="506"/>
      <c r="N17" s="505"/>
      <c r="O17" s="521" t="s">
        <v>386</v>
      </c>
      <c r="P17" s="506"/>
      <c r="Q17" s="99"/>
      <c r="R17" s="91"/>
      <c r="S17" s="91"/>
      <c r="T17" s="91"/>
      <c r="U17" s="91"/>
      <c r="V17" s="91"/>
      <c r="W17" s="91"/>
      <c r="X17" s="91"/>
      <c r="Y17" s="91"/>
      <c r="Z17" s="91"/>
    </row>
    <row r="18" spans="2:26" ht="20.25" customHeight="1">
      <c r="B18" s="498"/>
      <c r="C18" s="98"/>
      <c r="D18" s="517" t="s">
        <v>387</v>
      </c>
      <c r="E18" s="506"/>
      <c r="F18" s="506"/>
      <c r="G18" s="505"/>
      <c r="H18" s="521">
        <v>368</v>
      </c>
      <c r="I18" s="506"/>
      <c r="J18" s="99"/>
      <c r="K18" s="100"/>
      <c r="L18" s="517" t="s">
        <v>388</v>
      </c>
      <c r="M18" s="506"/>
      <c r="N18" s="505"/>
      <c r="O18" s="521" t="s">
        <v>389</v>
      </c>
      <c r="P18" s="506"/>
      <c r="Q18" s="99"/>
      <c r="R18" s="91"/>
      <c r="S18" s="91"/>
      <c r="T18" s="91"/>
      <c r="U18" s="91"/>
      <c r="V18" s="91"/>
      <c r="W18" s="91"/>
      <c r="X18" s="91"/>
      <c r="Y18" s="91"/>
      <c r="Z18" s="91"/>
    </row>
    <row r="19" spans="2:26" ht="20.25" customHeight="1">
      <c r="B19" s="498"/>
      <c r="C19" s="98"/>
      <c r="D19" s="517" t="s">
        <v>390</v>
      </c>
      <c r="E19" s="506"/>
      <c r="F19" s="506"/>
      <c r="G19" s="505"/>
      <c r="H19" s="521">
        <v>548</v>
      </c>
      <c r="I19" s="506"/>
      <c r="J19" s="99"/>
      <c r="K19" s="100"/>
      <c r="L19" s="517" t="s">
        <v>390</v>
      </c>
      <c r="M19" s="506"/>
      <c r="N19" s="505"/>
      <c r="O19" s="521" t="s">
        <v>391</v>
      </c>
      <c r="P19" s="506"/>
      <c r="Q19" s="99"/>
      <c r="R19" s="91"/>
      <c r="S19" s="91"/>
      <c r="T19" s="91"/>
      <c r="U19" s="91"/>
      <c r="V19" s="91"/>
      <c r="W19" s="91"/>
      <c r="X19" s="91"/>
      <c r="Y19" s="91"/>
      <c r="Z19" s="91"/>
    </row>
    <row r="20" spans="2:26" ht="5.25" customHeight="1" thickBot="1">
      <c r="B20" s="499"/>
      <c r="C20" s="101"/>
      <c r="D20" s="102"/>
      <c r="E20" s="102"/>
      <c r="F20" s="102"/>
      <c r="G20" s="102"/>
      <c r="H20" s="102"/>
      <c r="I20" s="102"/>
      <c r="J20" s="103"/>
      <c r="K20" s="104"/>
      <c r="L20" s="102"/>
      <c r="M20" s="102"/>
      <c r="N20" s="102"/>
      <c r="O20" s="102"/>
      <c r="P20" s="102"/>
      <c r="Q20" s="103"/>
      <c r="R20" s="91"/>
      <c r="S20" s="91"/>
      <c r="T20" s="91"/>
      <c r="U20" s="91"/>
      <c r="V20" s="91"/>
      <c r="W20" s="91"/>
      <c r="X20" s="91"/>
      <c r="Y20" s="91"/>
      <c r="Z20" s="91"/>
    </row>
    <row r="21" spans="2:26" ht="5.25" customHeight="1">
      <c r="B21" s="511" t="s">
        <v>392</v>
      </c>
      <c r="C21" s="94"/>
      <c r="D21" s="95"/>
      <c r="E21" s="95"/>
      <c r="F21" s="95"/>
      <c r="G21" s="95"/>
      <c r="H21" s="95"/>
      <c r="I21" s="95"/>
      <c r="J21" s="96"/>
      <c r="K21" s="97"/>
      <c r="L21" s="95"/>
      <c r="M21" s="95"/>
      <c r="N21" s="95"/>
      <c r="O21" s="95"/>
      <c r="P21" s="95"/>
      <c r="Q21" s="96"/>
      <c r="R21" s="91"/>
      <c r="S21" s="91"/>
      <c r="T21" s="91"/>
      <c r="U21" s="91"/>
      <c r="V21" s="91"/>
      <c r="W21" s="91"/>
      <c r="X21" s="91"/>
      <c r="Y21" s="91"/>
      <c r="Z21" s="91"/>
    </row>
    <row r="22" spans="2:26" ht="27.75" thickBot="1">
      <c r="B22" s="498"/>
      <c r="C22" s="98"/>
      <c r="D22" s="105"/>
      <c r="E22" s="106"/>
      <c r="F22" s="107" t="s">
        <v>393</v>
      </c>
      <c r="G22" s="107" t="s">
        <v>394</v>
      </c>
      <c r="H22" s="107" t="s">
        <v>395</v>
      </c>
      <c r="I22" s="108" t="s">
        <v>396</v>
      </c>
      <c r="J22" s="109"/>
      <c r="K22" s="110"/>
      <c r="L22" s="105"/>
      <c r="M22" s="107" t="s">
        <v>394</v>
      </c>
      <c r="N22" s="107" t="s">
        <v>397</v>
      </c>
      <c r="O22" s="534" t="s">
        <v>396</v>
      </c>
      <c r="P22" s="535"/>
      <c r="Q22" s="99"/>
      <c r="R22" s="91"/>
      <c r="S22" s="91"/>
      <c r="T22" s="91"/>
      <c r="U22" s="91"/>
      <c r="V22" s="91"/>
      <c r="W22" s="91"/>
      <c r="X22" s="91"/>
      <c r="Y22" s="91"/>
      <c r="Z22" s="91"/>
    </row>
    <row r="23" spans="2:26" ht="14.25" thickTop="1">
      <c r="B23" s="498"/>
      <c r="C23" s="98"/>
      <c r="D23" s="522" t="s">
        <v>394</v>
      </c>
      <c r="E23" s="536" t="s">
        <v>398</v>
      </c>
      <c r="F23" s="536" t="s">
        <v>399</v>
      </c>
      <c r="G23" s="111" t="s">
        <v>400</v>
      </c>
      <c r="H23" s="111" t="s">
        <v>401</v>
      </c>
      <c r="I23" s="524">
        <v>24</v>
      </c>
      <c r="J23" s="109"/>
      <c r="K23" s="110"/>
      <c r="L23" s="522" t="s">
        <v>402</v>
      </c>
      <c r="M23" s="112" t="s">
        <v>400</v>
      </c>
      <c r="N23" s="112" t="s">
        <v>403</v>
      </c>
      <c r="O23" s="524">
        <v>24</v>
      </c>
      <c r="P23" s="525"/>
      <c r="Q23" s="99"/>
      <c r="R23" s="91"/>
      <c r="S23" s="91"/>
      <c r="T23" s="91"/>
      <c r="U23" s="91"/>
      <c r="V23" s="91"/>
      <c r="W23" s="91"/>
      <c r="X23" s="91"/>
      <c r="Y23" s="91"/>
      <c r="Z23" s="91"/>
    </row>
    <row r="24" spans="2:26" ht="13.5">
      <c r="B24" s="498"/>
      <c r="C24" s="98"/>
      <c r="D24" s="523"/>
      <c r="E24" s="537"/>
      <c r="F24" s="537"/>
      <c r="G24" s="113" t="s">
        <v>404</v>
      </c>
      <c r="H24" s="113" t="s">
        <v>405</v>
      </c>
      <c r="I24" s="519"/>
      <c r="J24" s="109"/>
      <c r="K24" s="110"/>
      <c r="L24" s="523"/>
      <c r="M24" s="114" t="s">
        <v>404</v>
      </c>
      <c r="N24" s="114" t="s">
        <v>406</v>
      </c>
      <c r="O24" s="519"/>
      <c r="P24" s="496"/>
      <c r="Q24" s="99"/>
      <c r="R24" s="91"/>
      <c r="S24" s="91"/>
      <c r="T24" s="91"/>
      <c r="U24" s="91"/>
      <c r="V24" s="91"/>
      <c r="W24" s="91"/>
      <c r="X24" s="91"/>
      <c r="Y24" s="91"/>
      <c r="Z24" s="91"/>
    </row>
    <row r="25" spans="2:26" ht="13.5">
      <c r="B25" s="498"/>
      <c r="C25" s="98"/>
      <c r="D25" s="523"/>
      <c r="E25" s="537"/>
      <c r="F25" s="537"/>
      <c r="G25" s="113" t="s">
        <v>407</v>
      </c>
      <c r="H25" s="113" t="s">
        <v>408</v>
      </c>
      <c r="I25" s="538"/>
      <c r="J25" s="109"/>
      <c r="K25" s="110"/>
      <c r="L25" s="523"/>
      <c r="M25" s="114" t="s">
        <v>407</v>
      </c>
      <c r="N25" s="114" t="s">
        <v>409</v>
      </c>
      <c r="O25" s="520"/>
      <c r="P25" s="526"/>
      <c r="Q25" s="99"/>
      <c r="R25" s="91"/>
      <c r="S25" s="91"/>
      <c r="T25" s="91"/>
      <c r="U25" s="91"/>
      <c r="V25" s="91"/>
      <c r="W25" s="91"/>
      <c r="X25" s="91"/>
      <c r="Y25" s="91"/>
      <c r="Z25" s="91"/>
    </row>
    <row r="26" spans="2:26" ht="13.5">
      <c r="B26" s="498"/>
      <c r="C26" s="98"/>
      <c r="D26" s="523"/>
      <c r="E26" s="537"/>
      <c r="F26" s="494"/>
      <c r="G26" s="115" t="s">
        <v>410</v>
      </c>
      <c r="H26" s="115" t="s">
        <v>411</v>
      </c>
      <c r="I26" s="116">
        <v>6</v>
      </c>
      <c r="J26" s="109"/>
      <c r="K26" s="110"/>
      <c r="L26" s="523"/>
      <c r="M26" s="527" t="s">
        <v>412</v>
      </c>
      <c r="N26" s="117" t="s">
        <v>413</v>
      </c>
      <c r="O26" s="528">
        <v>6</v>
      </c>
      <c r="P26" s="529"/>
      <c r="Q26" s="99"/>
      <c r="R26" s="91"/>
      <c r="S26" s="91"/>
      <c r="T26" s="91"/>
      <c r="U26" s="91"/>
      <c r="V26" s="91"/>
      <c r="W26" s="91"/>
      <c r="X26" s="91"/>
      <c r="Y26" s="91"/>
      <c r="Z26" s="91"/>
    </row>
    <row r="27" spans="2:26" ht="40.5">
      <c r="B27" s="498"/>
      <c r="C27" s="98"/>
      <c r="D27" s="523"/>
      <c r="E27" s="537"/>
      <c r="F27" s="527" t="s">
        <v>414</v>
      </c>
      <c r="G27" s="117" t="s">
        <v>412</v>
      </c>
      <c r="H27" s="117" t="s">
        <v>415</v>
      </c>
      <c r="I27" s="530">
        <v>12</v>
      </c>
      <c r="J27" s="109"/>
      <c r="K27" s="110"/>
      <c r="L27" s="523"/>
      <c r="M27" s="494"/>
      <c r="N27" s="115" t="s">
        <v>416</v>
      </c>
      <c r="O27" s="531">
        <v>12</v>
      </c>
      <c r="P27" s="532"/>
      <c r="Q27" s="99"/>
      <c r="R27" s="91"/>
      <c r="S27" s="91"/>
      <c r="T27" s="91"/>
      <c r="U27" s="91"/>
      <c r="V27" s="91"/>
      <c r="W27" s="91"/>
      <c r="X27" s="91"/>
      <c r="Y27" s="91"/>
      <c r="Z27" s="91"/>
    </row>
    <row r="28" spans="2:26" ht="13.5">
      <c r="B28" s="498"/>
      <c r="C28" s="98"/>
      <c r="D28" s="523"/>
      <c r="E28" s="537"/>
      <c r="F28" s="494"/>
      <c r="G28" s="115" t="s">
        <v>417</v>
      </c>
      <c r="H28" s="115" t="s">
        <v>418</v>
      </c>
      <c r="I28" s="520"/>
      <c r="J28" s="109"/>
      <c r="K28" s="110"/>
      <c r="L28" s="523"/>
      <c r="M28" s="114" t="s">
        <v>417</v>
      </c>
      <c r="N28" s="114" t="s">
        <v>419</v>
      </c>
      <c r="O28" s="520"/>
      <c r="P28" s="526"/>
      <c r="Q28" s="99"/>
      <c r="R28" s="91"/>
      <c r="S28" s="91"/>
      <c r="T28" s="91"/>
      <c r="U28" s="91"/>
      <c r="V28" s="91"/>
      <c r="W28" s="91"/>
      <c r="X28" s="91"/>
      <c r="Y28" s="91"/>
      <c r="Z28" s="91"/>
    </row>
    <row r="29" spans="2:26" ht="13.5">
      <c r="B29" s="498"/>
      <c r="C29" s="98"/>
      <c r="D29" s="523"/>
      <c r="E29" s="537"/>
      <c r="F29" s="527" t="s">
        <v>420</v>
      </c>
      <c r="G29" s="117" t="s">
        <v>421</v>
      </c>
      <c r="H29" s="118"/>
      <c r="I29" s="119">
        <v>8</v>
      </c>
      <c r="J29" s="109"/>
      <c r="K29" s="110"/>
      <c r="L29" s="523"/>
      <c r="M29" s="114" t="s">
        <v>421</v>
      </c>
      <c r="N29" s="120"/>
      <c r="O29" s="533">
        <v>8</v>
      </c>
      <c r="P29" s="506"/>
      <c r="Q29" s="99"/>
      <c r="R29" s="91"/>
      <c r="S29" s="91"/>
      <c r="T29" s="91"/>
      <c r="U29" s="91"/>
      <c r="V29" s="91"/>
      <c r="W29" s="91"/>
      <c r="X29" s="91"/>
      <c r="Y29" s="91"/>
      <c r="Z29" s="91"/>
    </row>
    <row r="30" spans="2:26" ht="13.5">
      <c r="B30" s="498"/>
      <c r="C30" s="98"/>
      <c r="D30" s="523"/>
      <c r="E30" s="537"/>
      <c r="F30" s="494"/>
      <c r="G30" s="115" t="s">
        <v>422</v>
      </c>
      <c r="H30" s="121"/>
      <c r="I30" s="116">
        <v>6</v>
      </c>
      <c r="J30" s="109"/>
      <c r="K30" s="110"/>
      <c r="L30" s="523"/>
      <c r="M30" s="114" t="s">
        <v>422</v>
      </c>
      <c r="N30" s="120"/>
      <c r="O30" s="533">
        <v>6</v>
      </c>
      <c r="P30" s="506"/>
      <c r="Q30" s="99"/>
      <c r="R30" s="91"/>
      <c r="S30" s="91"/>
      <c r="T30" s="91"/>
      <c r="U30" s="91"/>
      <c r="V30" s="91"/>
      <c r="W30" s="91"/>
      <c r="X30" s="91"/>
      <c r="Y30" s="91"/>
      <c r="Z30" s="91"/>
    </row>
    <row r="31" spans="2:26" ht="54">
      <c r="B31" s="498"/>
      <c r="C31" s="98"/>
      <c r="D31" s="523"/>
      <c r="E31" s="537"/>
      <c r="F31" s="114" t="s">
        <v>423</v>
      </c>
      <c r="G31" s="114" t="s">
        <v>424</v>
      </c>
      <c r="H31" s="120"/>
      <c r="I31" s="122">
        <v>10</v>
      </c>
      <c r="J31" s="109"/>
      <c r="K31" s="110"/>
      <c r="L31" s="523"/>
      <c r="M31" s="114" t="s">
        <v>425</v>
      </c>
      <c r="N31" s="120"/>
      <c r="O31" s="533">
        <v>8</v>
      </c>
      <c r="P31" s="506"/>
      <c r="Q31" s="99"/>
      <c r="R31" s="91"/>
      <c r="S31" s="91"/>
      <c r="T31" s="91"/>
      <c r="U31" s="91"/>
      <c r="V31" s="91"/>
      <c r="W31" s="91"/>
      <c r="X31" s="91"/>
      <c r="Y31" s="91"/>
      <c r="Z31" s="91"/>
    </row>
    <row r="32" spans="2:26" ht="18.75" customHeight="1">
      <c r="B32" s="498"/>
      <c r="C32" s="98"/>
      <c r="D32" s="523"/>
      <c r="E32" s="494"/>
      <c r="F32" s="541" t="s">
        <v>390</v>
      </c>
      <c r="G32" s="506"/>
      <c r="H32" s="505"/>
      <c r="I32" s="123">
        <v>66</v>
      </c>
      <c r="J32" s="109"/>
      <c r="K32" s="110"/>
      <c r="L32" s="503"/>
      <c r="M32" s="541" t="s">
        <v>390</v>
      </c>
      <c r="N32" s="505"/>
      <c r="O32" s="514">
        <v>64</v>
      </c>
      <c r="P32" s="506"/>
      <c r="Q32" s="99"/>
      <c r="R32" s="91"/>
      <c r="S32" s="91"/>
      <c r="T32" s="91"/>
      <c r="U32" s="91"/>
      <c r="V32" s="91"/>
      <c r="W32" s="91"/>
      <c r="X32" s="91"/>
      <c r="Y32" s="91"/>
      <c r="Z32" s="91"/>
    </row>
    <row r="33" spans="2:26" ht="35.25" customHeight="1">
      <c r="B33" s="498"/>
      <c r="C33" s="98"/>
      <c r="D33" s="503"/>
      <c r="E33" s="124" t="s">
        <v>426</v>
      </c>
      <c r="F33" s="541" t="s">
        <v>427</v>
      </c>
      <c r="G33" s="506"/>
      <c r="H33" s="505"/>
      <c r="I33" s="123">
        <v>86</v>
      </c>
      <c r="J33" s="109"/>
      <c r="K33" s="110"/>
      <c r="L33" s="125" t="s">
        <v>428</v>
      </c>
      <c r="M33" s="541" t="s">
        <v>429</v>
      </c>
      <c r="N33" s="505"/>
      <c r="O33" s="514">
        <v>80</v>
      </c>
      <c r="P33" s="506"/>
      <c r="Q33" s="99"/>
      <c r="R33" s="91"/>
      <c r="S33" s="91"/>
      <c r="T33" s="91"/>
      <c r="U33" s="91"/>
      <c r="V33" s="91"/>
      <c r="W33" s="91"/>
      <c r="X33" s="91"/>
      <c r="Y33" s="91"/>
      <c r="Z33" s="91"/>
    </row>
    <row r="34" spans="2:26" ht="21.75" customHeight="1">
      <c r="B34" s="498"/>
      <c r="C34" s="98"/>
      <c r="D34" s="539" t="s">
        <v>368</v>
      </c>
      <c r="E34" s="506"/>
      <c r="F34" s="506"/>
      <c r="G34" s="506"/>
      <c r="H34" s="505"/>
      <c r="I34" s="126">
        <v>22</v>
      </c>
      <c r="J34" s="109"/>
      <c r="K34" s="110"/>
      <c r="L34" s="539" t="s">
        <v>368</v>
      </c>
      <c r="M34" s="506"/>
      <c r="N34" s="505"/>
      <c r="O34" s="540">
        <v>30</v>
      </c>
      <c r="P34" s="506"/>
      <c r="Q34" s="99"/>
      <c r="R34" s="91"/>
      <c r="S34" s="91"/>
      <c r="T34" s="91"/>
      <c r="U34" s="91"/>
      <c r="V34" s="91"/>
      <c r="W34" s="91"/>
      <c r="X34" s="91"/>
      <c r="Y34" s="91"/>
      <c r="Z34" s="91"/>
    </row>
    <row r="35" spans="2:26" ht="24" customHeight="1">
      <c r="B35" s="498"/>
      <c r="C35" s="98"/>
      <c r="D35" s="539" t="s">
        <v>371</v>
      </c>
      <c r="E35" s="506"/>
      <c r="F35" s="506"/>
      <c r="G35" s="506"/>
      <c r="H35" s="505"/>
      <c r="I35" s="126">
        <v>18</v>
      </c>
      <c r="J35" s="109"/>
      <c r="K35" s="110"/>
      <c r="L35" s="539" t="s">
        <v>371</v>
      </c>
      <c r="M35" s="506"/>
      <c r="N35" s="505"/>
      <c r="O35" s="540">
        <v>18</v>
      </c>
      <c r="P35" s="506"/>
      <c r="Q35" s="99"/>
      <c r="R35" s="91"/>
      <c r="S35" s="91"/>
      <c r="T35" s="91"/>
      <c r="U35" s="91"/>
      <c r="V35" s="91"/>
      <c r="W35" s="91"/>
      <c r="X35" s="91"/>
      <c r="Y35" s="91"/>
      <c r="Z35" s="91"/>
    </row>
    <row r="36" spans="2:26" ht="13.5">
      <c r="B36" s="498"/>
      <c r="C36" s="98"/>
      <c r="D36" s="513" t="s">
        <v>430</v>
      </c>
      <c r="E36" s="506"/>
      <c r="F36" s="506"/>
      <c r="G36" s="506"/>
      <c r="H36" s="505"/>
      <c r="I36" s="123">
        <v>192</v>
      </c>
      <c r="J36" s="109"/>
      <c r="K36" s="110"/>
      <c r="L36" s="513" t="s">
        <v>430</v>
      </c>
      <c r="M36" s="506"/>
      <c r="N36" s="505"/>
      <c r="O36" s="514">
        <v>192</v>
      </c>
      <c r="P36" s="506"/>
      <c r="Q36" s="99"/>
      <c r="R36" s="91"/>
      <c r="S36" s="91"/>
      <c r="T36" s="91"/>
      <c r="U36" s="91"/>
      <c r="V36" s="91"/>
      <c r="W36" s="91"/>
      <c r="X36" s="91"/>
      <c r="Y36" s="91"/>
      <c r="Z36" s="91"/>
    </row>
    <row r="37" spans="2:26" ht="5.25" customHeight="1" thickBot="1">
      <c r="B37" s="499"/>
      <c r="C37" s="101"/>
      <c r="D37" s="102"/>
      <c r="E37" s="102"/>
      <c r="F37" s="102"/>
      <c r="G37" s="102"/>
      <c r="H37" s="102"/>
      <c r="I37" s="102"/>
      <c r="J37" s="103"/>
      <c r="K37" s="104"/>
      <c r="L37" s="102"/>
      <c r="M37" s="102"/>
      <c r="N37" s="102"/>
      <c r="O37" s="102"/>
      <c r="P37" s="102"/>
      <c r="Q37" s="103"/>
      <c r="R37" s="91"/>
      <c r="S37" s="91"/>
      <c r="T37" s="91"/>
      <c r="U37" s="91"/>
      <c r="V37" s="91"/>
      <c r="W37" s="91"/>
      <c r="X37" s="91"/>
      <c r="Y37" s="91"/>
      <c r="Z37" s="91"/>
    </row>
    <row r="38" spans="2:26" ht="5.25" customHeight="1">
      <c r="B38" s="511" t="s">
        <v>431</v>
      </c>
      <c r="C38" s="94"/>
      <c r="D38" s="95"/>
      <c r="E38" s="95"/>
      <c r="F38" s="95"/>
      <c r="G38" s="95"/>
      <c r="H38" s="95"/>
      <c r="I38" s="95"/>
      <c r="J38" s="96"/>
      <c r="K38" s="97"/>
      <c r="L38" s="95"/>
      <c r="M38" s="95"/>
      <c r="N38" s="95"/>
      <c r="O38" s="95"/>
      <c r="P38" s="95"/>
      <c r="Q38" s="96"/>
      <c r="R38" s="91"/>
      <c r="S38" s="91"/>
      <c r="T38" s="91"/>
      <c r="U38" s="91"/>
      <c r="V38" s="91"/>
      <c r="W38" s="91"/>
      <c r="X38" s="91"/>
      <c r="Y38" s="91"/>
      <c r="Z38" s="91"/>
    </row>
    <row r="39" spans="2:26" ht="13.5">
      <c r="B39" s="498"/>
      <c r="C39" s="98" t="s">
        <v>432</v>
      </c>
      <c r="D39" s="127"/>
      <c r="E39" s="127"/>
      <c r="F39" s="127"/>
      <c r="G39" s="127"/>
      <c r="H39" s="127"/>
      <c r="I39" s="127"/>
      <c r="J39" s="99"/>
      <c r="K39" s="100"/>
      <c r="L39" s="127" t="s">
        <v>433</v>
      </c>
      <c r="M39" s="127"/>
      <c r="N39" s="127"/>
      <c r="O39" s="127"/>
      <c r="P39" s="127"/>
      <c r="Q39" s="99"/>
      <c r="R39" s="91"/>
      <c r="S39" s="91"/>
      <c r="T39" s="91"/>
      <c r="U39" s="91"/>
      <c r="V39" s="91"/>
      <c r="W39" s="91"/>
      <c r="X39" s="91"/>
      <c r="Y39" s="91"/>
      <c r="Z39" s="91"/>
    </row>
    <row r="40" spans="2:26" ht="13.5">
      <c r="B40" s="498"/>
      <c r="C40" s="98" t="s">
        <v>434</v>
      </c>
      <c r="D40" s="127"/>
      <c r="E40" s="127"/>
      <c r="F40" s="127"/>
      <c r="G40" s="127"/>
      <c r="H40" s="127"/>
      <c r="I40" s="127"/>
      <c r="J40" s="99"/>
      <c r="K40" s="100"/>
      <c r="L40" s="127" t="s">
        <v>435</v>
      </c>
      <c r="M40" s="127"/>
      <c r="N40" s="127"/>
      <c r="O40" s="127"/>
      <c r="P40" s="127"/>
      <c r="Q40" s="99"/>
      <c r="R40" s="91"/>
      <c r="S40" s="91"/>
      <c r="T40" s="91"/>
      <c r="U40" s="91"/>
      <c r="V40" s="91"/>
      <c r="W40" s="91"/>
      <c r="X40" s="91"/>
      <c r="Y40" s="91"/>
      <c r="Z40" s="91"/>
    </row>
    <row r="41" spans="2:26" ht="5.25" customHeight="1" thickBot="1">
      <c r="B41" s="499"/>
      <c r="C41" s="101"/>
      <c r="D41" s="102"/>
      <c r="E41" s="102"/>
      <c r="F41" s="102"/>
      <c r="G41" s="102"/>
      <c r="H41" s="102"/>
      <c r="I41" s="102"/>
      <c r="J41" s="103"/>
      <c r="K41" s="104"/>
      <c r="L41" s="102"/>
      <c r="M41" s="102"/>
      <c r="N41" s="102"/>
      <c r="O41" s="102"/>
      <c r="P41" s="102"/>
      <c r="Q41" s="103"/>
      <c r="R41" s="91"/>
      <c r="S41" s="91"/>
      <c r="T41" s="91"/>
      <c r="U41" s="91"/>
      <c r="V41" s="91"/>
      <c r="W41" s="91"/>
      <c r="X41" s="91"/>
      <c r="Y41" s="91"/>
      <c r="Z41" s="91"/>
    </row>
    <row r="42" spans="2:26" ht="5.25" customHeight="1">
      <c r="B42" s="511" t="s">
        <v>436</v>
      </c>
      <c r="C42" s="94"/>
      <c r="D42" s="95"/>
      <c r="E42" s="95"/>
      <c r="F42" s="95"/>
      <c r="G42" s="95"/>
      <c r="H42" s="95"/>
      <c r="I42" s="95"/>
      <c r="J42" s="96"/>
      <c r="K42" s="97"/>
      <c r="L42" s="95"/>
      <c r="M42" s="95"/>
      <c r="N42" s="95"/>
      <c r="O42" s="95"/>
      <c r="P42" s="95"/>
      <c r="Q42" s="96"/>
      <c r="R42" s="91"/>
      <c r="S42" s="91"/>
      <c r="T42" s="91"/>
      <c r="U42" s="91"/>
      <c r="V42" s="91"/>
      <c r="W42" s="91"/>
      <c r="X42" s="91"/>
      <c r="Y42" s="91"/>
      <c r="Z42" s="91"/>
    </row>
    <row r="43" spans="2:26" ht="13.5">
      <c r="B43" s="498"/>
      <c r="C43" s="98"/>
      <c r="D43" s="127" t="s">
        <v>437</v>
      </c>
      <c r="E43" s="127"/>
      <c r="F43" s="127"/>
      <c r="G43" s="127"/>
      <c r="H43" s="127"/>
      <c r="I43" s="127"/>
      <c r="J43" s="99"/>
      <c r="K43" s="100"/>
      <c r="L43" s="127" t="s">
        <v>438</v>
      </c>
      <c r="M43" s="127"/>
      <c r="N43" s="127"/>
      <c r="O43" s="127"/>
      <c r="P43" s="127"/>
      <c r="Q43" s="99"/>
      <c r="R43" s="91"/>
      <c r="S43" s="91"/>
      <c r="T43" s="91"/>
      <c r="U43" s="91"/>
      <c r="V43" s="91"/>
      <c r="W43" s="91"/>
      <c r="X43" s="91"/>
      <c r="Y43" s="91"/>
      <c r="Z43" s="91"/>
    </row>
    <row r="44" spans="2:26" ht="13.5">
      <c r="B44" s="498"/>
      <c r="C44" s="98"/>
      <c r="D44" s="127" t="s">
        <v>439</v>
      </c>
      <c r="E44" s="128"/>
      <c r="F44" s="128"/>
      <c r="G44" s="128"/>
      <c r="H44" s="128"/>
      <c r="I44" s="128"/>
      <c r="J44" s="99"/>
      <c r="K44" s="100"/>
      <c r="L44" s="127"/>
      <c r="M44" s="127"/>
      <c r="N44" s="127"/>
      <c r="O44" s="127"/>
      <c r="P44" s="127"/>
      <c r="Q44" s="99"/>
      <c r="R44" s="91"/>
      <c r="S44" s="91"/>
      <c r="T44" s="91"/>
      <c r="U44" s="91"/>
      <c r="V44" s="91"/>
      <c r="W44" s="91"/>
      <c r="X44" s="91"/>
      <c r="Y44" s="91"/>
      <c r="Z44" s="91"/>
    </row>
    <row r="45" spans="2:26" ht="13.5">
      <c r="B45" s="498"/>
      <c r="C45" s="98"/>
      <c r="D45" s="515" t="s">
        <v>357</v>
      </c>
      <c r="E45" s="506"/>
      <c r="F45" s="505"/>
      <c r="G45" s="516" t="s">
        <v>440</v>
      </c>
      <c r="H45" s="505"/>
      <c r="I45" s="129" t="s">
        <v>441</v>
      </c>
      <c r="J45" s="99"/>
      <c r="K45" s="100"/>
      <c r="L45" s="515" t="s">
        <v>357</v>
      </c>
      <c r="M45" s="505"/>
      <c r="N45" s="516" t="s">
        <v>440</v>
      </c>
      <c r="O45" s="505"/>
      <c r="P45" s="129" t="s">
        <v>442</v>
      </c>
      <c r="Q45" s="99"/>
      <c r="R45" s="91"/>
      <c r="S45" s="91"/>
      <c r="T45" s="91"/>
      <c r="U45" s="91"/>
      <c r="V45" s="91"/>
      <c r="W45" s="91"/>
      <c r="X45" s="91"/>
      <c r="Y45" s="91"/>
      <c r="Z45" s="91"/>
    </row>
    <row r="46" spans="2:26" ht="38.25" customHeight="1">
      <c r="B46" s="498"/>
      <c r="C46" s="98"/>
      <c r="D46" s="517" t="s">
        <v>443</v>
      </c>
      <c r="E46" s="505"/>
      <c r="F46" s="130">
        <v>1</v>
      </c>
      <c r="G46" s="510" t="s">
        <v>444</v>
      </c>
      <c r="H46" s="505"/>
      <c r="I46" s="518">
        <v>86</v>
      </c>
      <c r="J46" s="99"/>
      <c r="K46" s="100"/>
      <c r="L46" s="131" t="s">
        <v>443</v>
      </c>
      <c r="M46" s="130">
        <v>3</v>
      </c>
      <c r="N46" s="510" t="s">
        <v>445</v>
      </c>
      <c r="O46" s="505"/>
      <c r="P46" s="518">
        <v>80</v>
      </c>
      <c r="Q46" s="99"/>
      <c r="R46" s="91"/>
      <c r="S46" s="91"/>
      <c r="T46" s="91"/>
      <c r="U46" s="91"/>
      <c r="V46" s="91"/>
      <c r="W46" s="91"/>
      <c r="X46" s="91"/>
      <c r="Y46" s="91"/>
      <c r="Z46" s="91"/>
    </row>
    <row r="47" spans="2:26" ht="16.5" customHeight="1">
      <c r="B47" s="498"/>
      <c r="C47" s="98"/>
      <c r="D47" s="517" t="s">
        <v>446</v>
      </c>
      <c r="E47" s="505"/>
      <c r="F47" s="130">
        <v>179</v>
      </c>
      <c r="G47" s="521" t="s">
        <v>429</v>
      </c>
      <c r="H47" s="505"/>
      <c r="I47" s="519"/>
      <c r="J47" s="99"/>
      <c r="K47" s="100"/>
      <c r="L47" s="131" t="s">
        <v>447</v>
      </c>
      <c r="M47" s="130">
        <v>216</v>
      </c>
      <c r="N47" s="521" t="s">
        <v>429</v>
      </c>
      <c r="O47" s="505"/>
      <c r="P47" s="519"/>
      <c r="Q47" s="99"/>
      <c r="R47" s="91"/>
      <c r="S47" s="91"/>
      <c r="T47" s="91"/>
      <c r="U47" s="91"/>
      <c r="V47" s="91"/>
      <c r="W47" s="91"/>
      <c r="X47" s="91"/>
      <c r="Y47" s="91"/>
      <c r="Z47" s="91"/>
    </row>
    <row r="48" spans="2:26" ht="16.5" customHeight="1">
      <c r="B48" s="498"/>
      <c r="C48" s="98"/>
      <c r="D48" s="517" t="s">
        <v>448</v>
      </c>
      <c r="E48" s="505"/>
      <c r="F48" s="130">
        <v>368</v>
      </c>
      <c r="G48" s="521" t="s">
        <v>429</v>
      </c>
      <c r="H48" s="505"/>
      <c r="I48" s="520"/>
      <c r="J48" s="99"/>
      <c r="K48" s="100"/>
      <c r="L48" s="131" t="s">
        <v>449</v>
      </c>
      <c r="M48" s="130">
        <v>309</v>
      </c>
      <c r="N48" s="521" t="s">
        <v>429</v>
      </c>
      <c r="O48" s="505"/>
      <c r="P48" s="520"/>
      <c r="Q48" s="99"/>
      <c r="R48" s="91"/>
      <c r="S48" s="91"/>
      <c r="T48" s="91"/>
      <c r="U48" s="91"/>
      <c r="V48" s="91"/>
      <c r="W48" s="91"/>
      <c r="X48" s="91"/>
      <c r="Y48" s="91"/>
      <c r="Z48" s="91"/>
    </row>
    <row r="49" spans="2:26" ht="5.25" customHeight="1" thickBot="1">
      <c r="B49" s="499"/>
      <c r="C49" s="101"/>
      <c r="D49" s="102"/>
      <c r="E49" s="102"/>
      <c r="F49" s="102"/>
      <c r="G49" s="102"/>
      <c r="H49" s="102"/>
      <c r="I49" s="102"/>
      <c r="J49" s="103"/>
      <c r="K49" s="104"/>
      <c r="L49" s="102"/>
      <c r="M49" s="102"/>
      <c r="N49" s="102"/>
      <c r="O49" s="102"/>
      <c r="P49" s="102"/>
      <c r="Q49" s="103"/>
      <c r="R49" s="91"/>
      <c r="S49" s="91"/>
      <c r="T49" s="91"/>
      <c r="U49" s="91"/>
      <c r="V49" s="91"/>
      <c r="W49" s="91"/>
      <c r="X49" s="91"/>
      <c r="Y49" s="91"/>
      <c r="Z49" s="91"/>
    </row>
    <row r="50" spans="2:26" ht="5.25" customHeight="1">
      <c r="B50" s="511" t="s">
        <v>450</v>
      </c>
      <c r="C50" s="94"/>
      <c r="D50" s="95"/>
      <c r="E50" s="95"/>
      <c r="F50" s="95"/>
      <c r="G50" s="95"/>
      <c r="H50" s="95"/>
      <c r="I50" s="95"/>
      <c r="J50" s="96"/>
      <c r="K50" s="97"/>
      <c r="L50" s="95"/>
      <c r="M50" s="95"/>
      <c r="N50" s="95"/>
      <c r="O50" s="95"/>
      <c r="P50" s="95"/>
      <c r="Q50" s="96"/>
      <c r="R50" s="91"/>
      <c r="S50" s="91"/>
      <c r="T50" s="91"/>
      <c r="U50" s="91"/>
      <c r="V50" s="91"/>
      <c r="W50" s="91"/>
      <c r="X50" s="91"/>
      <c r="Y50" s="91"/>
      <c r="Z50" s="91"/>
    </row>
    <row r="51" spans="2:26" ht="24">
      <c r="B51" s="498"/>
      <c r="C51" s="98"/>
      <c r="D51" s="512" t="s">
        <v>357</v>
      </c>
      <c r="E51" s="506"/>
      <c r="F51" s="505"/>
      <c r="G51" s="132" t="s">
        <v>451</v>
      </c>
      <c r="H51" s="132" t="s">
        <v>452</v>
      </c>
      <c r="I51" s="133" t="s">
        <v>453</v>
      </c>
      <c r="J51" s="109"/>
      <c r="K51" s="110"/>
      <c r="L51" s="512" t="s">
        <v>357</v>
      </c>
      <c r="M51" s="505"/>
      <c r="N51" s="132" t="s">
        <v>451</v>
      </c>
      <c r="O51" s="132" t="s">
        <v>452</v>
      </c>
      <c r="P51" s="133" t="s">
        <v>454</v>
      </c>
      <c r="Q51" s="99"/>
      <c r="R51" s="91"/>
      <c r="S51" s="91"/>
      <c r="T51" s="91"/>
      <c r="U51" s="91"/>
      <c r="V51" s="91"/>
      <c r="W51" s="91"/>
      <c r="X51" s="91"/>
      <c r="Y51" s="91"/>
      <c r="Z51" s="91"/>
    </row>
    <row r="52" spans="2:26" ht="13.5">
      <c r="B52" s="498"/>
      <c r="C52" s="98"/>
      <c r="D52" s="509" t="s">
        <v>455</v>
      </c>
      <c r="E52" s="506"/>
      <c r="F52" s="505"/>
      <c r="G52" s="134">
        <v>8</v>
      </c>
      <c r="H52" s="134">
        <v>-2</v>
      </c>
      <c r="I52" s="135" t="s">
        <v>456</v>
      </c>
      <c r="J52" s="109"/>
      <c r="K52" s="110"/>
      <c r="L52" s="509" t="s">
        <v>455</v>
      </c>
      <c r="M52" s="505"/>
      <c r="N52" s="134">
        <v>4</v>
      </c>
      <c r="O52" s="134">
        <v>-1</v>
      </c>
      <c r="P52" s="135" t="s">
        <v>352</v>
      </c>
      <c r="Q52" s="99"/>
      <c r="R52" s="91"/>
      <c r="S52" s="91"/>
      <c r="T52" s="91"/>
      <c r="U52" s="91"/>
      <c r="V52" s="91"/>
      <c r="W52" s="91"/>
      <c r="X52" s="91"/>
      <c r="Y52" s="91"/>
      <c r="Z52" s="91"/>
    </row>
    <row r="53" spans="2:26" ht="27.75" customHeight="1">
      <c r="B53" s="498"/>
      <c r="C53" s="98"/>
      <c r="D53" s="509" t="s">
        <v>457</v>
      </c>
      <c r="E53" s="506"/>
      <c r="F53" s="505"/>
      <c r="G53" s="134">
        <v>6</v>
      </c>
      <c r="H53" s="136"/>
      <c r="I53" s="135" t="s">
        <v>458</v>
      </c>
      <c r="J53" s="109"/>
      <c r="K53" s="110"/>
      <c r="L53" s="509" t="s">
        <v>459</v>
      </c>
      <c r="M53" s="505"/>
      <c r="N53" s="134">
        <v>3</v>
      </c>
      <c r="O53" s="136"/>
      <c r="P53" s="135">
        <v>3</v>
      </c>
      <c r="Q53" s="99"/>
      <c r="R53" s="91"/>
      <c r="S53" s="91"/>
      <c r="T53" s="91"/>
      <c r="U53" s="91"/>
      <c r="V53" s="91"/>
      <c r="W53" s="91"/>
      <c r="X53" s="91"/>
      <c r="Y53" s="91"/>
      <c r="Z53" s="91"/>
    </row>
    <row r="54" spans="2:26" ht="13.5">
      <c r="B54" s="498"/>
      <c r="C54" s="98"/>
      <c r="D54" s="509" t="s">
        <v>460</v>
      </c>
      <c r="E54" s="506"/>
      <c r="F54" s="505"/>
      <c r="G54" s="134">
        <v>5</v>
      </c>
      <c r="H54" s="134" t="s">
        <v>461</v>
      </c>
      <c r="I54" s="135" t="s">
        <v>462</v>
      </c>
      <c r="J54" s="109"/>
      <c r="K54" s="110"/>
      <c r="L54" s="509" t="s">
        <v>463</v>
      </c>
      <c r="M54" s="505"/>
      <c r="N54" s="134">
        <v>4</v>
      </c>
      <c r="O54" s="134" t="s">
        <v>464</v>
      </c>
      <c r="P54" s="135" t="s">
        <v>354</v>
      </c>
      <c r="Q54" s="99"/>
      <c r="R54" s="91"/>
      <c r="S54" s="91"/>
      <c r="T54" s="91"/>
      <c r="U54" s="91"/>
      <c r="V54" s="91"/>
      <c r="W54" s="91"/>
      <c r="X54" s="91"/>
      <c r="Y54" s="91"/>
      <c r="Z54" s="91"/>
    </row>
    <row r="55" spans="2:26" ht="13.5">
      <c r="B55" s="498"/>
      <c r="C55" s="98"/>
      <c r="D55" s="509" t="s">
        <v>465</v>
      </c>
      <c r="E55" s="506"/>
      <c r="F55" s="505"/>
      <c r="G55" s="134">
        <v>5</v>
      </c>
      <c r="H55" s="134" t="s">
        <v>466</v>
      </c>
      <c r="I55" s="135" t="s">
        <v>467</v>
      </c>
      <c r="J55" s="109"/>
      <c r="K55" s="110"/>
      <c r="L55" s="509" t="s">
        <v>468</v>
      </c>
      <c r="M55" s="505"/>
      <c r="N55" s="134">
        <v>3</v>
      </c>
      <c r="O55" s="134" t="s">
        <v>464</v>
      </c>
      <c r="P55" s="135" t="s">
        <v>355</v>
      </c>
      <c r="Q55" s="99"/>
      <c r="R55" s="91"/>
      <c r="S55" s="91"/>
      <c r="T55" s="91"/>
      <c r="U55" s="91"/>
      <c r="V55" s="91"/>
      <c r="W55" s="91"/>
      <c r="X55" s="91"/>
      <c r="Y55" s="91"/>
      <c r="Z55" s="91"/>
    </row>
    <row r="56" spans="2:26" ht="13.5">
      <c r="B56" s="498"/>
      <c r="C56" s="98"/>
      <c r="D56" s="509" t="s">
        <v>469</v>
      </c>
      <c r="E56" s="506"/>
      <c r="F56" s="505"/>
      <c r="G56" s="134">
        <v>5</v>
      </c>
      <c r="H56" s="134" t="s">
        <v>466</v>
      </c>
      <c r="I56" s="135" t="s">
        <v>467</v>
      </c>
      <c r="J56" s="109"/>
      <c r="K56" s="110"/>
      <c r="L56" s="509" t="s">
        <v>380</v>
      </c>
      <c r="M56" s="505"/>
      <c r="N56" s="510" t="s">
        <v>470</v>
      </c>
      <c r="O56" s="506"/>
      <c r="P56" s="506"/>
      <c r="Q56" s="99"/>
      <c r="R56" s="91"/>
      <c r="S56" s="91"/>
      <c r="T56" s="91"/>
      <c r="U56" s="91"/>
      <c r="V56" s="91"/>
      <c r="W56" s="91"/>
      <c r="X56" s="91"/>
      <c r="Y56" s="91"/>
      <c r="Z56" s="91"/>
    </row>
    <row r="57" spans="2:26" ht="13.5">
      <c r="B57" s="498"/>
      <c r="C57" s="98"/>
      <c r="D57" s="509" t="s">
        <v>378</v>
      </c>
      <c r="E57" s="506"/>
      <c r="F57" s="505"/>
      <c r="G57" s="510" t="s">
        <v>470</v>
      </c>
      <c r="H57" s="506"/>
      <c r="I57" s="506"/>
      <c r="J57" s="109"/>
      <c r="K57" s="110"/>
      <c r="L57" s="137"/>
      <c r="M57" s="127"/>
      <c r="N57" s="127"/>
      <c r="O57" s="127"/>
      <c r="P57" s="127"/>
      <c r="Q57" s="99"/>
      <c r="R57" s="91"/>
      <c r="S57" s="91"/>
      <c r="T57" s="91"/>
      <c r="U57" s="91"/>
      <c r="V57" s="91"/>
      <c r="W57" s="91"/>
      <c r="X57" s="91"/>
      <c r="Y57" s="91"/>
      <c r="Z57" s="91"/>
    </row>
    <row r="58" spans="2:26" ht="13.5">
      <c r="B58" s="498"/>
      <c r="C58" s="98"/>
      <c r="D58" s="127"/>
      <c r="E58" s="127"/>
      <c r="F58" s="127"/>
      <c r="G58" s="127"/>
      <c r="H58" s="127"/>
      <c r="I58" s="127"/>
      <c r="J58" s="99"/>
      <c r="K58" s="100"/>
      <c r="L58" s="127"/>
      <c r="M58" s="127"/>
      <c r="N58" s="127"/>
      <c r="O58" s="127"/>
      <c r="P58" s="127"/>
      <c r="Q58" s="99"/>
      <c r="R58" s="91"/>
      <c r="S58" s="91"/>
      <c r="T58" s="91"/>
      <c r="U58" s="91"/>
      <c r="V58" s="91"/>
      <c r="W58" s="91"/>
      <c r="X58" s="91"/>
      <c r="Y58" s="91"/>
      <c r="Z58" s="91"/>
    </row>
    <row r="59" spans="2:26" ht="33.75" customHeight="1">
      <c r="B59" s="498"/>
      <c r="C59" s="98"/>
      <c r="D59" s="495" t="s">
        <v>471</v>
      </c>
      <c r="E59" s="496"/>
      <c r="F59" s="496"/>
      <c r="G59" s="496"/>
      <c r="H59" s="496"/>
      <c r="I59" s="496"/>
      <c r="J59" s="99"/>
      <c r="K59" s="100"/>
      <c r="L59" s="495" t="s">
        <v>472</v>
      </c>
      <c r="M59" s="495"/>
      <c r="N59" s="495"/>
      <c r="O59" s="495"/>
      <c r="P59" s="495"/>
      <c r="Q59" s="99"/>
      <c r="R59" s="91"/>
      <c r="S59" s="91"/>
      <c r="T59" s="91"/>
      <c r="U59" s="91"/>
      <c r="V59" s="91"/>
      <c r="W59" s="91"/>
      <c r="X59" s="91"/>
      <c r="Y59" s="91"/>
      <c r="Z59" s="91"/>
    </row>
    <row r="60" spans="2:26" ht="5.25" customHeight="1" thickBot="1">
      <c r="B60" s="499"/>
      <c r="C60" s="101"/>
      <c r="D60" s="102"/>
      <c r="E60" s="102"/>
      <c r="F60" s="102"/>
      <c r="G60" s="102"/>
      <c r="H60" s="102"/>
      <c r="I60" s="102"/>
      <c r="J60" s="103"/>
      <c r="K60" s="104"/>
      <c r="L60" s="102"/>
      <c r="M60" s="102"/>
      <c r="N60" s="102"/>
      <c r="O60" s="102"/>
      <c r="P60" s="102"/>
      <c r="Q60" s="103"/>
      <c r="R60" s="91"/>
      <c r="S60" s="91"/>
      <c r="T60" s="91"/>
      <c r="U60" s="91"/>
      <c r="V60" s="91"/>
      <c r="W60" s="91"/>
      <c r="X60" s="91"/>
      <c r="Y60" s="91"/>
      <c r="Z60" s="91"/>
    </row>
    <row r="61" spans="2:26" ht="5.25" customHeight="1">
      <c r="B61" s="500" t="s">
        <v>473</v>
      </c>
      <c r="C61" s="98"/>
      <c r="D61" s="127"/>
      <c r="E61" s="127"/>
      <c r="F61" s="127"/>
      <c r="G61" s="127"/>
      <c r="H61" s="127"/>
      <c r="I61" s="127"/>
      <c r="J61" s="127"/>
      <c r="K61" s="97"/>
      <c r="L61" s="95"/>
      <c r="M61" s="95"/>
      <c r="N61" s="95"/>
      <c r="O61" s="95"/>
      <c r="P61" s="95"/>
      <c r="Q61" s="96"/>
      <c r="R61" s="91"/>
      <c r="S61" s="91"/>
      <c r="T61" s="91"/>
      <c r="U61" s="91"/>
      <c r="V61" s="91"/>
      <c r="W61" s="91"/>
      <c r="X61" s="91"/>
      <c r="Y61" s="91"/>
      <c r="Z61" s="91"/>
    </row>
    <row r="62" spans="2:26" ht="13.5">
      <c r="B62" s="501"/>
      <c r="C62" s="98"/>
      <c r="D62" s="127"/>
      <c r="E62" s="127"/>
      <c r="F62" s="127"/>
      <c r="G62" s="127"/>
      <c r="H62" s="127"/>
      <c r="I62" s="127"/>
      <c r="J62" s="127"/>
      <c r="K62" s="100"/>
      <c r="L62" s="127" t="s">
        <v>474</v>
      </c>
      <c r="M62" s="127"/>
      <c r="N62" s="127"/>
      <c r="O62" s="127"/>
      <c r="P62" s="127"/>
      <c r="Q62" s="99"/>
      <c r="R62" s="91"/>
      <c r="S62" s="91"/>
      <c r="T62" s="91"/>
      <c r="U62" s="91"/>
      <c r="V62" s="91"/>
      <c r="W62" s="91"/>
      <c r="X62" s="91"/>
      <c r="Y62" s="91"/>
      <c r="Z62" s="91"/>
    </row>
    <row r="63" spans="2:26" ht="13.5">
      <c r="B63" s="501"/>
      <c r="C63" s="98"/>
      <c r="D63" s="127"/>
      <c r="E63" s="127"/>
      <c r="F63" s="127"/>
      <c r="G63" s="127"/>
      <c r="H63" s="127"/>
      <c r="I63" s="127"/>
      <c r="J63" s="127"/>
      <c r="K63" s="100"/>
      <c r="L63" s="127" t="s">
        <v>475</v>
      </c>
      <c r="M63" s="127"/>
      <c r="N63" s="127"/>
      <c r="O63" s="127"/>
      <c r="P63" s="127"/>
      <c r="Q63" s="99"/>
      <c r="R63" s="91"/>
      <c r="S63" s="91"/>
      <c r="T63" s="91"/>
      <c r="U63" s="91"/>
      <c r="V63" s="91"/>
      <c r="W63" s="91"/>
      <c r="X63" s="91"/>
      <c r="Y63" s="91"/>
      <c r="Z63" s="91"/>
    </row>
    <row r="64" spans="2:26" ht="13.5">
      <c r="B64" s="501"/>
      <c r="C64" s="98"/>
      <c r="D64" s="127"/>
      <c r="E64" s="127"/>
      <c r="F64" s="127"/>
      <c r="G64" s="127"/>
      <c r="H64" s="127"/>
      <c r="I64" s="127"/>
      <c r="J64" s="127"/>
      <c r="K64" s="100"/>
      <c r="L64" s="502" t="s">
        <v>357</v>
      </c>
      <c r="M64" s="504" t="s">
        <v>476</v>
      </c>
      <c r="N64" s="505"/>
      <c r="O64" s="504" t="s">
        <v>477</v>
      </c>
      <c r="P64" s="506"/>
      <c r="Q64" s="99"/>
      <c r="R64" s="91"/>
      <c r="S64" s="91"/>
      <c r="T64" s="91"/>
      <c r="U64" s="91"/>
      <c r="V64" s="91"/>
      <c r="W64" s="91"/>
      <c r="X64" s="91"/>
      <c r="Y64" s="91"/>
      <c r="Z64" s="91"/>
    </row>
    <row r="65" spans="2:26" ht="13.5">
      <c r="B65" s="501"/>
      <c r="C65" s="98"/>
      <c r="D65" s="127"/>
      <c r="E65" s="127"/>
      <c r="F65" s="127"/>
      <c r="G65" s="127"/>
      <c r="H65" s="127"/>
      <c r="I65" s="127"/>
      <c r="J65" s="127"/>
      <c r="K65" s="100"/>
      <c r="L65" s="503"/>
      <c r="M65" s="130" t="s">
        <v>0</v>
      </c>
      <c r="N65" s="130" t="s">
        <v>478</v>
      </c>
      <c r="O65" s="130" t="s">
        <v>0</v>
      </c>
      <c r="P65" s="138" t="s">
        <v>478</v>
      </c>
      <c r="Q65" s="99"/>
      <c r="R65" s="91"/>
      <c r="S65" s="91"/>
      <c r="T65" s="91"/>
      <c r="U65" s="91"/>
      <c r="V65" s="91"/>
      <c r="W65" s="91"/>
      <c r="X65" s="91"/>
      <c r="Y65" s="91"/>
      <c r="Z65" s="91"/>
    </row>
    <row r="66" spans="2:26" ht="13.5">
      <c r="B66" s="501"/>
      <c r="C66" s="98"/>
      <c r="D66" s="127"/>
      <c r="E66" s="127"/>
      <c r="F66" s="127"/>
      <c r="G66" s="127"/>
      <c r="H66" s="127"/>
      <c r="I66" s="127"/>
      <c r="J66" s="127"/>
      <c r="K66" s="100"/>
      <c r="L66" s="139" t="s">
        <v>201</v>
      </c>
      <c r="M66" s="140">
        <v>2</v>
      </c>
      <c r="N66" s="140">
        <v>2</v>
      </c>
      <c r="O66" s="140">
        <v>4</v>
      </c>
      <c r="P66" s="129">
        <v>0</v>
      </c>
      <c r="Q66" s="99"/>
      <c r="R66" s="91"/>
      <c r="S66" s="91"/>
      <c r="T66" s="91"/>
      <c r="U66" s="91"/>
      <c r="V66" s="91"/>
      <c r="W66" s="91"/>
      <c r="X66" s="91"/>
      <c r="Y66" s="91"/>
      <c r="Z66" s="91"/>
    </row>
    <row r="67" spans="2:26" ht="13.5">
      <c r="B67" s="501"/>
      <c r="C67" s="98"/>
      <c r="D67" s="127"/>
      <c r="E67" s="127"/>
      <c r="F67" s="127"/>
      <c r="G67" s="127"/>
      <c r="H67" s="127"/>
      <c r="I67" s="127"/>
      <c r="J67" s="127"/>
      <c r="K67" s="100"/>
      <c r="L67" s="139" t="s">
        <v>215</v>
      </c>
      <c r="M67" s="140">
        <v>2</v>
      </c>
      <c r="N67" s="140">
        <v>2</v>
      </c>
      <c r="O67" s="140">
        <v>0</v>
      </c>
      <c r="P67" s="129">
        <v>4</v>
      </c>
      <c r="Q67" s="99"/>
      <c r="R67" s="91"/>
      <c r="S67" s="91"/>
      <c r="T67" s="91"/>
      <c r="U67" s="91"/>
      <c r="V67" s="91"/>
      <c r="W67" s="91"/>
      <c r="X67" s="91"/>
      <c r="Y67" s="91"/>
      <c r="Z67" s="91"/>
    </row>
    <row r="68" spans="2:26" ht="13.5">
      <c r="B68" s="501"/>
      <c r="C68" s="98"/>
      <c r="D68" s="127"/>
      <c r="E68" s="127"/>
      <c r="F68" s="127"/>
      <c r="G68" s="127"/>
      <c r="H68" s="127"/>
      <c r="I68" s="127"/>
      <c r="J68" s="127"/>
      <c r="K68" s="100"/>
      <c r="L68" s="139" t="s">
        <v>204</v>
      </c>
      <c r="M68" s="140">
        <v>2</v>
      </c>
      <c r="N68" s="140">
        <v>2</v>
      </c>
      <c r="O68" s="140">
        <v>4</v>
      </c>
      <c r="P68" s="129">
        <v>0</v>
      </c>
      <c r="Q68" s="99"/>
      <c r="R68" s="91"/>
      <c r="S68" s="91"/>
      <c r="T68" s="91"/>
      <c r="U68" s="91"/>
      <c r="V68" s="91"/>
      <c r="W68" s="91"/>
      <c r="X68" s="91"/>
      <c r="Y68" s="91"/>
      <c r="Z68" s="91"/>
    </row>
    <row r="69" spans="2:26" ht="13.5">
      <c r="B69" s="501"/>
      <c r="C69" s="98"/>
      <c r="D69" s="127"/>
      <c r="E69" s="127"/>
      <c r="F69" s="127"/>
      <c r="G69" s="127"/>
      <c r="H69" s="127"/>
      <c r="I69" s="127"/>
      <c r="J69" s="127"/>
      <c r="K69" s="100"/>
      <c r="L69" s="127" t="s">
        <v>479</v>
      </c>
      <c r="M69" s="127"/>
      <c r="N69" s="127"/>
      <c r="O69" s="127"/>
      <c r="P69" s="127"/>
      <c r="Q69" s="99"/>
      <c r="R69" s="91"/>
      <c r="S69" s="91"/>
      <c r="T69" s="91"/>
      <c r="U69" s="91"/>
      <c r="V69" s="91"/>
      <c r="W69" s="91"/>
      <c r="X69" s="91"/>
      <c r="Y69" s="91"/>
      <c r="Z69" s="91"/>
    </row>
    <row r="70" spans="2:26" ht="13.5">
      <c r="B70" s="501"/>
      <c r="C70" s="98"/>
      <c r="D70" s="127"/>
      <c r="E70" s="127"/>
      <c r="F70" s="127"/>
      <c r="G70" s="127"/>
      <c r="H70" s="127"/>
      <c r="I70" s="127"/>
      <c r="J70" s="127"/>
      <c r="K70" s="100"/>
      <c r="L70" s="502" t="s">
        <v>357</v>
      </c>
      <c r="M70" s="504" t="s">
        <v>476</v>
      </c>
      <c r="N70" s="505"/>
      <c r="O70" s="504" t="s">
        <v>477</v>
      </c>
      <c r="P70" s="506"/>
      <c r="Q70" s="99"/>
      <c r="R70" s="91"/>
      <c r="S70" s="91"/>
      <c r="T70" s="91"/>
      <c r="U70" s="91"/>
      <c r="V70" s="91"/>
      <c r="W70" s="91"/>
      <c r="X70" s="91"/>
      <c r="Y70" s="91"/>
      <c r="Z70" s="91"/>
    </row>
    <row r="71" spans="2:26" ht="13.5">
      <c r="B71" s="501"/>
      <c r="C71" s="98"/>
      <c r="D71" s="127"/>
      <c r="E71" s="127"/>
      <c r="F71" s="127"/>
      <c r="G71" s="127"/>
      <c r="H71" s="127"/>
      <c r="I71" s="127"/>
      <c r="J71" s="127"/>
      <c r="K71" s="100"/>
      <c r="L71" s="503"/>
      <c r="M71" s="130" t="s">
        <v>0</v>
      </c>
      <c r="N71" s="130" t="s">
        <v>478</v>
      </c>
      <c r="O71" s="130" t="s">
        <v>0</v>
      </c>
      <c r="P71" s="138" t="s">
        <v>478</v>
      </c>
      <c r="Q71" s="99"/>
      <c r="R71" s="91"/>
      <c r="S71" s="91"/>
      <c r="T71" s="91"/>
      <c r="U71" s="91"/>
      <c r="V71" s="91"/>
      <c r="W71" s="91"/>
      <c r="X71" s="91"/>
      <c r="Y71" s="91"/>
      <c r="Z71" s="91"/>
    </row>
    <row r="72" spans="2:26" ht="13.5">
      <c r="B72" s="501"/>
      <c r="C72" s="98"/>
      <c r="D72" s="127"/>
      <c r="E72" s="127"/>
      <c r="F72" s="127"/>
      <c r="G72" s="127"/>
      <c r="H72" s="127"/>
      <c r="I72" s="127"/>
      <c r="J72" s="127"/>
      <c r="K72" s="100"/>
      <c r="L72" s="139" t="s">
        <v>443</v>
      </c>
      <c r="M72" s="140">
        <v>1</v>
      </c>
      <c r="N72" s="140">
        <v>1</v>
      </c>
      <c r="O72" s="140">
        <v>2</v>
      </c>
      <c r="P72" s="129">
        <v>0</v>
      </c>
      <c r="Q72" s="99"/>
      <c r="R72" s="91"/>
      <c r="S72" s="91"/>
      <c r="T72" s="91"/>
      <c r="U72" s="91"/>
      <c r="V72" s="91"/>
      <c r="W72" s="91"/>
      <c r="X72" s="91"/>
      <c r="Y72" s="91"/>
      <c r="Z72" s="91"/>
    </row>
    <row r="73" spans="2:26" ht="13.5">
      <c r="B73" s="501"/>
      <c r="C73" s="98"/>
      <c r="D73" s="127"/>
      <c r="E73" s="127"/>
      <c r="F73" s="127"/>
      <c r="G73" s="127"/>
      <c r="H73" s="127"/>
      <c r="I73" s="127"/>
      <c r="J73" s="127"/>
      <c r="K73" s="100"/>
      <c r="L73" s="139" t="s">
        <v>447</v>
      </c>
      <c r="M73" s="140">
        <v>2</v>
      </c>
      <c r="N73" s="140">
        <v>2</v>
      </c>
      <c r="O73" s="140">
        <v>0</v>
      </c>
      <c r="P73" s="129">
        <v>4</v>
      </c>
      <c r="Q73" s="99"/>
      <c r="R73" s="91"/>
      <c r="S73" s="91"/>
      <c r="T73" s="91"/>
      <c r="U73" s="91"/>
      <c r="V73" s="91"/>
      <c r="W73" s="91"/>
      <c r="X73" s="91"/>
      <c r="Y73" s="91"/>
      <c r="Z73" s="91"/>
    </row>
    <row r="74" spans="2:26" ht="13.5">
      <c r="B74" s="501"/>
      <c r="C74" s="98"/>
      <c r="D74" s="127"/>
      <c r="E74" s="127"/>
      <c r="F74" s="127"/>
      <c r="G74" s="127"/>
      <c r="H74" s="127"/>
      <c r="I74" s="127"/>
      <c r="J74" s="127"/>
      <c r="K74" s="100"/>
      <c r="L74" s="507" t="s">
        <v>480</v>
      </c>
      <c r="M74" s="493" t="s">
        <v>481</v>
      </c>
      <c r="N74" s="493" t="s">
        <v>481</v>
      </c>
      <c r="O74" s="141">
        <v>8</v>
      </c>
      <c r="P74" s="142">
        <v>0</v>
      </c>
      <c r="Q74" s="99"/>
      <c r="R74" s="91"/>
      <c r="S74" s="91"/>
      <c r="T74" s="91"/>
      <c r="U74" s="91"/>
      <c r="V74" s="91"/>
      <c r="W74" s="91"/>
      <c r="X74" s="91"/>
      <c r="Y74" s="91"/>
      <c r="Z74" s="91"/>
    </row>
    <row r="75" spans="2:26" ht="13.5">
      <c r="B75" s="501"/>
      <c r="C75" s="98"/>
      <c r="D75" s="127"/>
      <c r="E75" s="127"/>
      <c r="F75" s="127"/>
      <c r="G75" s="127"/>
      <c r="H75" s="127"/>
      <c r="I75" s="127"/>
      <c r="J75" s="127"/>
      <c r="K75" s="100"/>
      <c r="L75" s="508"/>
      <c r="M75" s="494"/>
      <c r="N75" s="494"/>
      <c r="O75" s="141">
        <v>4</v>
      </c>
      <c r="P75" s="142">
        <v>4</v>
      </c>
      <c r="Q75" s="99"/>
      <c r="R75" s="91"/>
      <c r="S75" s="91"/>
      <c r="T75" s="91"/>
      <c r="U75" s="91"/>
      <c r="V75" s="91"/>
      <c r="W75" s="91"/>
      <c r="X75" s="91"/>
      <c r="Y75" s="91"/>
      <c r="Z75" s="91"/>
    </row>
    <row r="76" spans="2:26" ht="33.75" customHeight="1">
      <c r="B76" s="501"/>
      <c r="C76" s="98"/>
      <c r="D76" s="127"/>
      <c r="E76" s="127"/>
      <c r="F76" s="127"/>
      <c r="G76" s="127"/>
      <c r="H76" s="127"/>
      <c r="I76" s="127"/>
      <c r="J76" s="127"/>
      <c r="K76" s="100"/>
      <c r="L76" s="495" t="s">
        <v>482</v>
      </c>
      <c r="M76" s="496"/>
      <c r="N76" s="496"/>
      <c r="O76" s="496"/>
      <c r="P76" s="496"/>
      <c r="Q76" s="99"/>
      <c r="R76" s="91"/>
      <c r="S76" s="91"/>
      <c r="T76" s="91"/>
      <c r="U76" s="91"/>
      <c r="V76" s="91"/>
      <c r="W76" s="91"/>
      <c r="X76" s="91"/>
      <c r="Y76" s="91"/>
      <c r="Z76" s="91"/>
    </row>
    <row r="77" spans="2:26" ht="5.25" customHeight="1">
      <c r="B77" s="501"/>
      <c r="C77" s="143"/>
      <c r="D77" s="144"/>
      <c r="E77" s="144"/>
      <c r="F77" s="144"/>
      <c r="G77" s="144"/>
      <c r="H77" s="144"/>
      <c r="I77" s="144"/>
      <c r="J77" s="144"/>
      <c r="K77" s="145"/>
      <c r="L77" s="144"/>
      <c r="M77" s="144"/>
      <c r="N77" s="144"/>
      <c r="O77" s="144"/>
      <c r="P77" s="144"/>
      <c r="Q77" s="146"/>
      <c r="R77" s="91"/>
      <c r="S77" s="91"/>
      <c r="T77" s="91"/>
      <c r="U77" s="91"/>
      <c r="V77" s="91"/>
      <c r="W77" s="91"/>
      <c r="X77" s="91"/>
      <c r="Y77" s="91"/>
      <c r="Z77" s="91"/>
    </row>
    <row r="78" spans="2:26" ht="5.25" customHeight="1">
      <c r="B78" s="497" t="s">
        <v>483</v>
      </c>
      <c r="C78" s="147"/>
      <c r="D78" s="148"/>
      <c r="E78" s="148"/>
      <c r="F78" s="148"/>
      <c r="G78" s="148"/>
      <c r="H78" s="148"/>
      <c r="I78" s="148"/>
      <c r="J78" s="148"/>
      <c r="K78" s="149"/>
      <c r="L78" s="148"/>
      <c r="M78" s="148"/>
      <c r="N78" s="148"/>
      <c r="O78" s="148"/>
      <c r="P78" s="148"/>
      <c r="Q78" s="150"/>
      <c r="R78" s="91"/>
      <c r="S78" s="91"/>
      <c r="T78" s="91"/>
      <c r="U78" s="91"/>
      <c r="V78" s="91"/>
      <c r="W78" s="91"/>
      <c r="X78" s="91"/>
      <c r="Y78" s="91"/>
      <c r="Z78" s="91"/>
    </row>
    <row r="79" spans="2:26" ht="13.5">
      <c r="B79" s="498"/>
      <c r="C79" s="98"/>
      <c r="D79" s="127" t="s">
        <v>484</v>
      </c>
      <c r="E79" s="127"/>
      <c r="F79" s="127"/>
      <c r="G79" s="127"/>
      <c r="H79" s="127"/>
      <c r="I79" s="127"/>
      <c r="J79" s="127"/>
      <c r="K79" s="100"/>
      <c r="L79" s="127" t="s">
        <v>485</v>
      </c>
      <c r="M79" s="127"/>
      <c r="N79" s="127"/>
      <c r="O79" s="127"/>
      <c r="P79" s="127"/>
      <c r="Q79" s="99"/>
      <c r="R79" s="91"/>
      <c r="S79" s="91"/>
      <c r="T79" s="91"/>
      <c r="U79" s="91"/>
      <c r="V79" s="91"/>
      <c r="W79" s="91"/>
      <c r="X79" s="91"/>
      <c r="Y79" s="91"/>
      <c r="Z79" s="91"/>
    </row>
    <row r="80" spans="2:26" ht="13.5">
      <c r="B80" s="498"/>
      <c r="C80" s="98"/>
      <c r="D80" s="127"/>
      <c r="E80" s="127"/>
      <c r="F80" s="127"/>
      <c r="G80" s="127"/>
      <c r="H80" s="127"/>
      <c r="I80" s="127"/>
      <c r="J80" s="127"/>
      <c r="K80" s="100"/>
      <c r="L80" s="127" t="s">
        <v>486</v>
      </c>
      <c r="M80" s="127"/>
      <c r="N80" s="127"/>
      <c r="O80" s="127"/>
      <c r="P80" s="127"/>
      <c r="Q80" s="99"/>
      <c r="R80" s="91"/>
      <c r="S80" s="91"/>
      <c r="T80" s="91"/>
      <c r="U80" s="91"/>
      <c r="V80" s="91"/>
      <c r="W80" s="91"/>
      <c r="X80" s="91"/>
      <c r="Y80" s="91"/>
      <c r="Z80" s="91"/>
    </row>
    <row r="81" spans="2:26" ht="5.25" customHeight="1" thickBot="1">
      <c r="B81" s="499"/>
      <c r="C81" s="101"/>
      <c r="D81" s="102"/>
      <c r="E81" s="102"/>
      <c r="F81" s="102"/>
      <c r="G81" s="102"/>
      <c r="H81" s="102"/>
      <c r="I81" s="102"/>
      <c r="J81" s="102"/>
      <c r="K81" s="104"/>
      <c r="L81" s="102"/>
      <c r="M81" s="102"/>
      <c r="N81" s="102"/>
      <c r="O81" s="102"/>
      <c r="P81" s="102"/>
      <c r="Q81" s="103"/>
      <c r="R81" s="91"/>
      <c r="S81" s="91"/>
      <c r="T81" s="91"/>
      <c r="U81" s="91"/>
      <c r="V81" s="91"/>
      <c r="W81" s="91"/>
      <c r="X81" s="91"/>
      <c r="Y81" s="91"/>
      <c r="Z81" s="91"/>
    </row>
    <row r="82" spans="2:26" ht="4.5" customHeight="1"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</row>
    <row r="83" spans="2:26" ht="13.5" hidden="1"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</row>
    <row r="84" spans="2:26" ht="13.5" hidden="1"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</row>
    <row r="85" spans="2:26" ht="13.5" hidden="1"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</row>
    <row r="86" spans="2:26" ht="13.5" hidden="1"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</row>
    <row r="87" spans="2:26" ht="13.5" hidden="1"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</row>
    <row r="88" spans="2:26" ht="13.5" hidden="1"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</row>
    <row r="89" spans="2:26" ht="13.5" hidden="1"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</row>
    <row r="90" spans="2:26" ht="13.5" hidden="1"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</row>
    <row r="91" spans="2:26" ht="13.5" hidden="1"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</row>
    <row r="92" spans="2:26" ht="13.5" hidden="1"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</row>
    <row r="93" spans="2:26" ht="13.5" hidden="1"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</row>
    <row r="94" spans="2:26" ht="13.5" hidden="1"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</row>
    <row r="95" spans="2:26" ht="13.5" hidden="1"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</row>
    <row r="96" spans="2:26" ht="13.5" hidden="1"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</row>
    <row r="97" spans="2:26" ht="13.5" hidden="1"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</row>
    <row r="98" spans="2:26" ht="13.5" hidden="1"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</row>
    <row r="99" spans="2:26" ht="13.5" hidden="1"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</row>
    <row r="100" spans="2:26" ht="13.5" hidden="1"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</row>
    <row r="101" spans="2:26" ht="13.5" hidden="1"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</row>
    <row r="102" spans="2:26" ht="13.5" hidden="1"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</row>
    <row r="103" spans="2:26" ht="13.5" hidden="1"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</row>
    <row r="104" spans="2:26" ht="13.5" hidden="1"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</row>
    <row r="105" spans="2:26" ht="13.5" hidden="1"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</row>
    <row r="106" spans="2:26" ht="13.5" hidden="1"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</row>
    <row r="107" spans="2:26" ht="13.5" hidden="1"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</row>
    <row r="108" spans="2:26" ht="13.5" hidden="1"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</row>
    <row r="109" spans="2:26" ht="13.5" hidden="1"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</row>
    <row r="110" spans="2:26" ht="13.5" hidden="1"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</row>
    <row r="111" spans="2:26" ht="13.5" hidden="1"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</row>
    <row r="112" spans="2:26" ht="13.5" hidden="1"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</row>
    <row r="113" spans="2:26" ht="13.5" hidden="1"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</row>
    <row r="114" spans="2:26" ht="13.5" hidden="1"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</row>
    <row r="115" spans="2:26" ht="13.5" hidden="1"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</row>
    <row r="116" spans="2:26" ht="13.5" hidden="1"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</row>
    <row r="117" spans="2:26" ht="13.5" hidden="1"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</row>
    <row r="118" spans="2:26" ht="13.5" hidden="1"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</row>
    <row r="119" spans="2:26" ht="13.5" hidden="1"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</row>
    <row r="120" spans="2:26" ht="13.5" hidden="1"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</row>
    <row r="121" spans="2:26" ht="13.5" hidden="1"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</row>
    <row r="122" spans="2:26" ht="13.5" hidden="1"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</row>
    <row r="123" spans="2:26" ht="13.5" hidden="1"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</row>
    <row r="124" spans="2:26" ht="13.5" hidden="1"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</row>
    <row r="125" spans="2:26" ht="13.5" hidden="1"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</row>
    <row r="126" spans="2:26" ht="13.5" hidden="1"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</row>
    <row r="127" spans="2:26" ht="13.5" hidden="1"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</row>
    <row r="128" spans="2:26" ht="13.5" hidden="1"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</row>
    <row r="129" spans="2:26" ht="13.5" hidden="1"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</row>
    <row r="130" spans="2:26" ht="13.5" hidden="1"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</row>
    <row r="131" spans="2:26" ht="13.5" hidden="1"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</row>
    <row r="132" spans="2:26" ht="13.5" hidden="1"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</row>
    <row r="133" spans="2:26" ht="13.5" hidden="1"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</row>
    <row r="134" spans="2:26" ht="13.5" hidden="1"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</row>
    <row r="135" spans="2:26" ht="13.5" hidden="1"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</row>
    <row r="136" spans="2:26" ht="13.5" hidden="1"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</row>
    <row r="137" spans="2:26" ht="13.5" hidden="1"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</row>
    <row r="138" spans="2:26" ht="13.5" hidden="1"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</row>
    <row r="139" spans="2:26" ht="13.5" hidden="1"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</row>
    <row r="140" spans="2:26" ht="13.5" hidden="1"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</row>
    <row r="141" spans="2:26" ht="13.5" hidden="1"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</row>
    <row r="142" spans="2:26" ht="13.5" hidden="1"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</row>
    <row r="143" spans="2:26" ht="13.5" hidden="1"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</row>
    <row r="144" spans="2:26" ht="13.5" hidden="1"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</row>
    <row r="145" spans="2:26" ht="13.5" hidden="1"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</row>
    <row r="146" spans="2:26" ht="13.5" hidden="1"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</row>
    <row r="147" spans="2:26" ht="13.5" hidden="1"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</row>
    <row r="148" spans="2:26" ht="13.5" hidden="1"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</row>
    <row r="149" spans="2:26" ht="13.5" hidden="1"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</row>
    <row r="150" spans="2:26" ht="13.5" hidden="1"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</row>
    <row r="151" spans="2:26" ht="13.5" hidden="1"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</row>
    <row r="152" spans="2:26" ht="13.5" hidden="1"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</row>
    <row r="153" spans="2:26" ht="13.5" hidden="1"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</row>
    <row r="154" spans="2:26" ht="13.5" hidden="1"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</row>
    <row r="155" spans="2:26" ht="13.5" hidden="1"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</row>
    <row r="156" spans="2:26" ht="13.5" hidden="1"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</row>
    <row r="157" spans="2:26" ht="13.5" hidden="1"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</row>
    <row r="158" spans="2:26" ht="13.5" hidden="1"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</row>
    <row r="159" spans="2:26" ht="13.5" hidden="1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</row>
    <row r="160" spans="2:26" ht="13.5" hidden="1"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</row>
    <row r="161" spans="2:26" ht="13.5" hidden="1"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</row>
    <row r="162" spans="2:26" ht="13.5" hidden="1"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</row>
    <row r="163" spans="2:26" ht="13.5" hidden="1"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</row>
    <row r="164" spans="2:26" ht="13.5" hidden="1"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</row>
    <row r="165" spans="2:26" ht="13.5" hidden="1"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</row>
    <row r="166" spans="2:26" ht="13.5" hidden="1"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</row>
    <row r="167" spans="2:26" ht="13.5" hidden="1"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</row>
    <row r="168" spans="2:26" ht="13.5" hidden="1"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</row>
    <row r="169" spans="2:26" ht="13.5" hidden="1"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</row>
    <row r="170" spans="2:26" ht="13.5" hidden="1"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</row>
    <row r="171" spans="2:26" ht="13.5" hidden="1"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</row>
    <row r="172" spans="2:26" ht="13.5" hidden="1"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</row>
    <row r="173" spans="2:26" ht="13.5" hidden="1"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</row>
    <row r="174" spans="2:26" ht="13.5" hidden="1"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</row>
    <row r="175" spans="2:26" ht="13.5" hidden="1"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</row>
    <row r="176" spans="2:26" ht="13.5" hidden="1"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</row>
    <row r="177" spans="2:26" ht="13.5" hidden="1"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</row>
    <row r="178" spans="2:26" ht="13.5" hidden="1"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</row>
    <row r="179" spans="2:26" ht="13.5" hidden="1"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</row>
    <row r="180" spans="2:26" ht="13.5" hidden="1"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</row>
    <row r="181" spans="2:26" ht="13.5" hidden="1"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</row>
    <row r="182" spans="2:26" ht="13.5" hidden="1"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</row>
    <row r="183" spans="2:26" ht="13.5" hidden="1"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</row>
    <row r="184" spans="2:26" ht="13.5" hidden="1"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</row>
    <row r="185" spans="2:26" ht="13.5" hidden="1"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</row>
    <row r="186" spans="2:26" ht="13.5" hidden="1"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</row>
    <row r="187" spans="2:26" ht="13.5" hidden="1"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</row>
    <row r="188" spans="2:26" ht="13.5" hidden="1"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</row>
    <row r="189" spans="2:26" ht="13.5" hidden="1"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</row>
    <row r="190" spans="2:26" ht="13.5" hidden="1"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</row>
    <row r="191" spans="2:26" ht="13.5" hidden="1"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</row>
    <row r="192" spans="2:26" ht="13.5" hidden="1"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</row>
    <row r="193" spans="2:26" ht="13.5" hidden="1"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</row>
    <row r="194" spans="2:26" ht="13.5" hidden="1"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</row>
    <row r="195" spans="2:26" ht="13.5" hidden="1"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</row>
    <row r="196" spans="2:26" ht="13.5" hidden="1"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</row>
    <row r="197" spans="2:26" ht="13.5" hidden="1"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</row>
    <row r="198" spans="2:26" ht="13.5" hidden="1"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</row>
    <row r="199" spans="2:26" ht="13.5" hidden="1"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</row>
    <row r="200" spans="2:26" ht="13.5" hidden="1"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</row>
    <row r="201" spans="2:26" ht="13.5" hidden="1"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</row>
    <row r="202" spans="2:26" ht="13.5" hidden="1"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</row>
    <row r="203" spans="2:26" ht="13.5" hidden="1"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</row>
    <row r="204" spans="2:26" ht="13.5" hidden="1"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</row>
    <row r="205" spans="2:26" ht="13.5" hidden="1"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</row>
    <row r="206" spans="2:26" ht="13.5" hidden="1"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</row>
    <row r="207" spans="2:26" ht="13.5" hidden="1"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</row>
    <row r="208" spans="2:26" ht="13.5" hidden="1"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</row>
    <row r="209" spans="2:26" ht="13.5" hidden="1"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</row>
    <row r="210" spans="2:26" ht="13.5" hidden="1"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</row>
    <row r="211" spans="2:26" ht="13.5" hidden="1"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</row>
    <row r="212" spans="2:26" ht="13.5" hidden="1"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</row>
    <row r="213" spans="2:26" ht="13.5" hidden="1"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</row>
    <row r="214" spans="2:26" ht="13.5" hidden="1"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</row>
    <row r="215" spans="2:26" ht="13.5" hidden="1"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</row>
    <row r="216" spans="2:26" ht="13.5" hidden="1"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</row>
    <row r="217" spans="2:26" ht="13.5" hidden="1"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</row>
    <row r="218" spans="2:26" ht="13.5" hidden="1"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</row>
    <row r="219" spans="2:26" ht="13.5" hidden="1"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</row>
    <row r="220" spans="2:26" ht="13.5" hidden="1"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</row>
    <row r="221" spans="2:26" ht="13.5" hidden="1"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</row>
    <row r="222" spans="2:26" ht="13.5" hidden="1"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</row>
    <row r="223" spans="2:26" ht="13.5" hidden="1"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</row>
    <row r="224" spans="2:26" ht="13.5" hidden="1"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</row>
    <row r="225" spans="2:26" ht="13.5" hidden="1"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</row>
    <row r="226" spans="2:26" ht="13.5" hidden="1"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</row>
    <row r="227" spans="2:26" ht="13.5" hidden="1"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</row>
    <row r="228" spans="2:26" ht="13.5" hidden="1"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</row>
    <row r="229" spans="2:26" ht="13.5" hidden="1"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</row>
    <row r="230" spans="2:26" ht="13.5" hidden="1"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</row>
    <row r="231" spans="2:26" ht="13.5" hidden="1"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</row>
    <row r="232" spans="2:26" ht="13.5" hidden="1"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</row>
    <row r="233" spans="2:26" ht="13.5" hidden="1"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</row>
    <row r="234" spans="2:26" ht="13.5" hidden="1"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</row>
    <row r="235" spans="2:26" ht="13.5" hidden="1"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</row>
    <row r="236" spans="2:26" ht="13.5" hidden="1"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</row>
    <row r="237" spans="2:26" ht="13.5" hidden="1"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</row>
    <row r="238" spans="2:26" ht="13.5" hidden="1"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</row>
    <row r="239" spans="2:26" ht="13.5" hidden="1"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</row>
    <row r="240" spans="2:26" ht="13.5" hidden="1"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</row>
    <row r="241" spans="2:26" ht="13.5" hidden="1"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</row>
    <row r="242" spans="2:26" ht="13.5" hidden="1"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</row>
    <row r="243" spans="2:26" ht="13.5" hidden="1"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</row>
    <row r="244" spans="2:26" ht="13.5" hidden="1"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</row>
    <row r="245" spans="2:26" ht="13.5" hidden="1"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</row>
    <row r="246" spans="2:26" ht="13.5" hidden="1"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</row>
    <row r="247" spans="2:26" ht="13.5" hidden="1"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</row>
    <row r="248" spans="2:26" ht="13.5" hidden="1"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</row>
    <row r="249" spans="2:26" ht="13.5" hidden="1"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</row>
    <row r="250" spans="2:26" ht="13.5" hidden="1"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</row>
    <row r="251" spans="2:26" ht="13.5" hidden="1"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</row>
    <row r="252" spans="2:26" ht="13.5" hidden="1"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</row>
    <row r="253" spans="2:26" ht="13.5" hidden="1"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</row>
    <row r="254" spans="2:26" ht="13.5" hidden="1"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</row>
    <row r="255" spans="2:26" ht="13.5" hidden="1"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</row>
    <row r="256" spans="2:26" ht="13.5" hidden="1"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</row>
    <row r="257" spans="2:26" ht="13.5" hidden="1"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</row>
    <row r="258" spans="2:26" ht="13.5" hidden="1"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</row>
    <row r="259" spans="2:26" ht="13.5" hidden="1"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</row>
    <row r="260" spans="2:26" ht="13.5" hidden="1"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</row>
    <row r="261" spans="2:26" ht="13.5" hidden="1"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</row>
    <row r="262" spans="2:26" ht="13.5" hidden="1"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</row>
    <row r="263" spans="2:26" ht="13.5" hidden="1"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</row>
    <row r="264" spans="2:26" ht="13.5" hidden="1"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</row>
    <row r="265" spans="2:26" ht="13.5" hidden="1"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</row>
    <row r="266" spans="2:26" ht="13.5" hidden="1"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</row>
    <row r="267" spans="2:26" ht="13.5" hidden="1"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</row>
    <row r="268" spans="2:26" ht="13.5" hidden="1"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</row>
    <row r="269" spans="2:26" ht="13.5" hidden="1"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</row>
    <row r="270" spans="2:26" ht="13.5" hidden="1"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</row>
    <row r="271" spans="2:26" ht="13.5" hidden="1"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</row>
    <row r="272" spans="2:26" ht="13.5" hidden="1"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</row>
    <row r="273" spans="2:26" ht="13.5" hidden="1"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</row>
    <row r="274" spans="2:26" ht="13.5" hidden="1"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</row>
    <row r="275" spans="2:26" ht="13.5" hidden="1"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</row>
    <row r="276" spans="2:26" ht="13.5" hidden="1"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</row>
    <row r="277" spans="2:26" ht="13.5" hidden="1"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</row>
    <row r="278" spans="2:26" ht="13.5" hidden="1"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</row>
    <row r="279" spans="2:26" ht="13.5" hidden="1"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</row>
    <row r="280" spans="2:26" ht="13.5" hidden="1"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</row>
    <row r="281" spans="2:26" ht="13.5" hidden="1"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</row>
    <row r="282" spans="2:26" ht="13.5" hidden="1"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</row>
    <row r="283" spans="2:26" ht="13.5" hidden="1"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</row>
    <row r="284" spans="2:26" ht="13.5" hidden="1"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</row>
    <row r="285" spans="2:26" ht="13.5" hidden="1"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</row>
    <row r="286" spans="2:26" ht="13.5" hidden="1"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</row>
    <row r="287" spans="2:26" ht="13.5" hidden="1"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</row>
    <row r="288" spans="2:26" ht="13.5" hidden="1"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</row>
    <row r="289" spans="2:26" ht="13.5" hidden="1"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</row>
    <row r="290" spans="2:26" ht="13.5" hidden="1"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</row>
    <row r="291" spans="2:26" ht="13.5" hidden="1"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</row>
    <row r="292" spans="2:26" ht="13.5" hidden="1"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</row>
    <row r="293" spans="2:26" ht="13.5" hidden="1"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</row>
    <row r="294" spans="2:26" ht="13.5" hidden="1"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</row>
    <row r="295" spans="2:26" ht="13.5" hidden="1"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</row>
    <row r="296" spans="2:26" ht="13.5" hidden="1"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</row>
    <row r="297" spans="2:26" ht="13.5" hidden="1"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</row>
    <row r="298" spans="2:26" ht="13.5" hidden="1"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</row>
    <row r="299" spans="2:26" ht="13.5" hidden="1"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</row>
    <row r="300" spans="2:26" ht="13.5" hidden="1"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</row>
    <row r="301" spans="2:26" ht="13.5" hidden="1"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</row>
    <row r="302" spans="2:26" ht="13.5" hidden="1"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</row>
    <row r="303" spans="2:26" ht="13.5" hidden="1"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</row>
    <row r="304" spans="2:26" ht="13.5" hidden="1"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</row>
    <row r="305" spans="2:26" ht="13.5" hidden="1"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</row>
    <row r="306" spans="2:26" ht="13.5" hidden="1"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</row>
    <row r="307" spans="2:26" ht="13.5" hidden="1"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</row>
    <row r="308" spans="2:26" ht="13.5" hidden="1"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</row>
    <row r="309" spans="2:26" ht="13.5" hidden="1"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</row>
    <row r="310" spans="2:26" ht="13.5" hidden="1"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</row>
    <row r="311" spans="2:26" ht="13.5" hidden="1"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</row>
    <row r="312" spans="2:26" ht="13.5" hidden="1"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</row>
    <row r="313" spans="2:26" ht="13.5" hidden="1"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</row>
    <row r="314" spans="2:26" ht="13.5" hidden="1"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</row>
    <row r="315" spans="2:26" ht="13.5" hidden="1"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</row>
    <row r="316" spans="2:26" ht="13.5" hidden="1"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</row>
    <row r="317" spans="2:26" ht="13.5" hidden="1"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</row>
    <row r="318" spans="2:26" ht="13.5" hidden="1"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</row>
    <row r="319" spans="2:26" ht="13.5" hidden="1"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</row>
    <row r="320" spans="2:26" ht="13.5" hidden="1"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</row>
    <row r="321" spans="2:26" ht="13.5" hidden="1"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</row>
    <row r="322" spans="2:26" ht="13.5" hidden="1"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</row>
    <row r="323" spans="2:26" ht="13.5" hidden="1"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</row>
    <row r="324" spans="2:26" ht="13.5" hidden="1"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</row>
    <row r="325" spans="2:26" ht="13.5" hidden="1"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</row>
    <row r="326" spans="2:26" ht="13.5" hidden="1"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</row>
    <row r="327" spans="2:26" ht="13.5" hidden="1"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</row>
    <row r="328" spans="2:26" ht="13.5" hidden="1"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</row>
    <row r="329" spans="2:26" ht="13.5" hidden="1"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</row>
    <row r="330" spans="2:26" ht="13.5" hidden="1"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</row>
    <row r="331" spans="2:26" ht="13.5" hidden="1"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</row>
    <row r="332" spans="2:26" ht="13.5" hidden="1"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</row>
    <row r="333" spans="2:26" ht="13.5" hidden="1"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</row>
    <row r="334" spans="2:26" ht="13.5" hidden="1"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</row>
    <row r="335" spans="2:26" ht="13.5" hidden="1"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</row>
    <row r="336" spans="2:26" ht="13.5" hidden="1"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</row>
    <row r="337" spans="2:26" ht="13.5" hidden="1"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</row>
    <row r="338" spans="2:26" ht="13.5" hidden="1"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</row>
    <row r="339" spans="2:26" ht="13.5" hidden="1"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</row>
    <row r="340" spans="2:26" ht="13.5" hidden="1"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</row>
    <row r="341" spans="2:26" ht="13.5" hidden="1"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</row>
    <row r="342" spans="2:26" ht="13.5" hidden="1"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</row>
    <row r="343" spans="2:26" ht="13.5" hidden="1"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</row>
    <row r="344" spans="2:26" ht="13.5" hidden="1"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</row>
    <row r="345" spans="2:26" ht="13.5" hidden="1"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</row>
    <row r="346" spans="2:26" ht="13.5" hidden="1"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</row>
    <row r="347" spans="2:26" ht="13.5" hidden="1"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</row>
    <row r="348" spans="2:26" ht="13.5" hidden="1"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</row>
    <row r="349" spans="2:26" ht="13.5" hidden="1"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</row>
    <row r="350" spans="2:26" ht="13.5" hidden="1"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</row>
    <row r="351" spans="2:26" ht="13.5" hidden="1"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</row>
    <row r="352" spans="2:26" ht="13.5" hidden="1"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</row>
    <row r="353" spans="2:26" ht="13.5" hidden="1"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</row>
    <row r="354" spans="2:26" ht="13.5" hidden="1"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</row>
    <row r="355" spans="2:26" ht="13.5" hidden="1"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</row>
    <row r="356" spans="2:26" ht="13.5" hidden="1"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</row>
    <row r="357" spans="2:26" ht="13.5" hidden="1"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</row>
    <row r="358" spans="2:26" ht="13.5" hidden="1"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</row>
    <row r="359" spans="2:26" ht="13.5" hidden="1"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</row>
    <row r="360" spans="2:26" ht="13.5" hidden="1"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</row>
    <row r="361" spans="2:26" ht="13.5" hidden="1"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</row>
    <row r="362" spans="2:26" ht="13.5" hidden="1"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</row>
    <row r="363" spans="2:26" ht="13.5" hidden="1"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</row>
    <row r="364" spans="2:26" ht="13.5" hidden="1"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</row>
    <row r="365" spans="2:26" ht="13.5" hidden="1"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</row>
    <row r="366" spans="2:26" ht="13.5" hidden="1"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</row>
    <row r="367" spans="2:26" ht="13.5" hidden="1"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</row>
    <row r="368" spans="2:26" ht="13.5" hidden="1"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</row>
    <row r="369" spans="2:26" ht="13.5" hidden="1"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</row>
    <row r="370" spans="2:26" ht="13.5" hidden="1"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</row>
    <row r="371" spans="2:26" ht="13.5" hidden="1"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</row>
    <row r="372" spans="2:26" ht="13.5" hidden="1"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</row>
    <row r="373" spans="2:26" ht="13.5" hidden="1"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</row>
    <row r="374" spans="2:26" ht="13.5" hidden="1"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</row>
    <row r="375" spans="2:26" ht="13.5" hidden="1"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</row>
    <row r="376" spans="2:26" ht="13.5" hidden="1"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</row>
    <row r="377" spans="2:26" ht="13.5" hidden="1"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</row>
    <row r="378" spans="2:26" ht="13.5" hidden="1"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</row>
    <row r="379" spans="2:26" ht="13.5" hidden="1"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</row>
    <row r="380" spans="2:26" ht="13.5" hidden="1"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</row>
    <row r="381" spans="2:26" ht="13.5" hidden="1"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</row>
    <row r="382" spans="2:26" ht="13.5" hidden="1"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</row>
    <row r="383" spans="2:26" ht="13.5" hidden="1"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</row>
    <row r="384" spans="2:26" ht="13.5" hidden="1"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</row>
    <row r="385" spans="2:26" ht="13.5" hidden="1"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</row>
    <row r="386" spans="2:26" ht="13.5" hidden="1"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</row>
    <row r="387" spans="2:26" ht="13.5" hidden="1"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</row>
    <row r="388" spans="2:26" ht="13.5" hidden="1"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</row>
    <row r="389" spans="2:26" ht="13.5" hidden="1"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</row>
    <row r="390" spans="2:26" ht="13.5" hidden="1"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</row>
    <row r="391" spans="2:26" ht="13.5" hidden="1"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</row>
    <row r="392" spans="2:26" ht="13.5" hidden="1"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</row>
    <row r="393" spans="2:26" ht="13.5" hidden="1"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</row>
    <row r="394" spans="2:26" ht="13.5" hidden="1"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</row>
    <row r="395" spans="2:26" ht="13.5" hidden="1"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</row>
    <row r="396" spans="2:26" ht="13.5" hidden="1"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</row>
    <row r="397" spans="2:26" ht="13.5" hidden="1"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</row>
    <row r="398" spans="2:26" ht="13.5" hidden="1"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</row>
    <row r="399" spans="2:26" ht="13.5" hidden="1"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</row>
    <row r="400" spans="2:26" ht="13.5" hidden="1"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</row>
    <row r="401" spans="2:26" ht="13.5" hidden="1"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</row>
    <row r="402" spans="2:26" ht="13.5" hidden="1"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</row>
    <row r="403" spans="2:26" ht="13.5" hidden="1"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</row>
    <row r="404" spans="2:26" ht="13.5" hidden="1"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</row>
    <row r="405" spans="2:26" ht="13.5" hidden="1"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</row>
    <row r="406" spans="2:26" ht="13.5" hidden="1"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</row>
    <row r="407" spans="2:26" ht="13.5" hidden="1"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</row>
    <row r="408" spans="2:26" ht="13.5" hidden="1"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</row>
    <row r="409" spans="2:26" ht="13.5" hidden="1"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</row>
    <row r="410" spans="2:26" ht="13.5" hidden="1"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</row>
    <row r="411" spans="2:26" ht="13.5" hidden="1"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</row>
    <row r="412" spans="2:26" ht="13.5" hidden="1"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</row>
    <row r="413" spans="2:26" ht="13.5" hidden="1"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</row>
    <row r="414" spans="2:26" ht="13.5" hidden="1"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</row>
    <row r="415" spans="2:26" ht="13.5" hidden="1"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</row>
    <row r="416" spans="2:26" ht="13.5" hidden="1"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</row>
    <row r="417" spans="2:26" ht="13.5" hidden="1"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</row>
    <row r="418" spans="2:26" ht="13.5" hidden="1"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</row>
    <row r="419" spans="2:26" ht="13.5" hidden="1"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</row>
    <row r="420" spans="2:26" ht="13.5" hidden="1"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</row>
    <row r="421" spans="2:26" ht="13.5" hidden="1"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</row>
    <row r="422" spans="2:26" ht="13.5" hidden="1"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</row>
    <row r="423" spans="2:26" ht="13.5" hidden="1"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</row>
    <row r="424" spans="2:26" ht="13.5" hidden="1"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</row>
    <row r="425" spans="2:26" ht="13.5" hidden="1"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</row>
    <row r="426" spans="2:26" ht="13.5" hidden="1"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</row>
    <row r="427" spans="2:26" ht="13.5" hidden="1"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</row>
    <row r="428" spans="2:26" ht="13.5" hidden="1"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</row>
    <row r="429" spans="2:26" ht="13.5" hidden="1"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</row>
    <row r="430" spans="2:26" ht="13.5" hidden="1"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</row>
    <row r="431" spans="2:26" ht="13.5" hidden="1"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</row>
    <row r="432" spans="2:26" ht="13.5" hidden="1"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</row>
    <row r="433" spans="2:26" ht="13.5" hidden="1"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</row>
    <row r="434" spans="2:26" ht="13.5" hidden="1"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</row>
    <row r="435" spans="2:26" ht="13.5" hidden="1"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</row>
    <row r="436" spans="2:26" ht="13.5" hidden="1"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</row>
    <row r="437" spans="2:26" ht="13.5" hidden="1"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</row>
    <row r="438" spans="2:26" ht="13.5" hidden="1"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</row>
    <row r="439" spans="2:26" ht="13.5" hidden="1"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</row>
    <row r="440" spans="2:26" ht="13.5" hidden="1"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</row>
    <row r="441" spans="2:26" ht="13.5" hidden="1"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</row>
    <row r="442" spans="2:26" ht="13.5" hidden="1"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</row>
    <row r="443" spans="2:26" ht="13.5" hidden="1"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</row>
    <row r="444" spans="2:26" ht="13.5" hidden="1"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</row>
    <row r="445" spans="2:26" ht="13.5" hidden="1"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</row>
    <row r="446" spans="2:26" ht="13.5" hidden="1"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</row>
    <row r="447" spans="2:26" ht="13.5" hidden="1"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</row>
    <row r="448" spans="2:26" ht="13.5" hidden="1"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</row>
    <row r="449" spans="2:26" ht="13.5" hidden="1"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</row>
    <row r="450" spans="2:26" ht="13.5" hidden="1"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</row>
    <row r="451" spans="2:26" ht="13.5" hidden="1"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</row>
    <row r="452" spans="2:26" ht="13.5" hidden="1"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</row>
    <row r="453" spans="2:26" ht="13.5" hidden="1"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</row>
    <row r="454" spans="2:26" ht="13.5" hidden="1"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</row>
    <row r="455" spans="2:26" ht="13.5" hidden="1"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</row>
    <row r="456" spans="2:26" ht="13.5" hidden="1"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</row>
    <row r="457" spans="2:26" ht="13.5" hidden="1"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</row>
    <row r="458" spans="2:26" ht="13.5" hidden="1"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</row>
    <row r="459" spans="2:26" ht="13.5" hidden="1"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</row>
    <row r="460" spans="2:26" ht="13.5" hidden="1"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</row>
    <row r="461" spans="2:26" ht="13.5" hidden="1"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</row>
    <row r="462" spans="2:26" ht="13.5" hidden="1"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</row>
    <row r="463" spans="2:26" ht="13.5" hidden="1"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</row>
    <row r="464" spans="2:26" ht="13.5" hidden="1"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</row>
    <row r="465" spans="2:26" ht="13.5" hidden="1"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</row>
    <row r="466" spans="2:26" ht="13.5" hidden="1"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</row>
    <row r="467" spans="2:26" ht="13.5" hidden="1"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</row>
    <row r="468" spans="2:26" ht="13.5" hidden="1"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</row>
    <row r="469" spans="2:26" ht="13.5" hidden="1"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</row>
    <row r="470" spans="2:26" ht="13.5" hidden="1"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</row>
    <row r="471" spans="2:26" ht="13.5" hidden="1"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</row>
    <row r="472" spans="2:26" ht="13.5" hidden="1"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</row>
    <row r="473" spans="2:26" ht="13.5" hidden="1"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</row>
    <row r="474" spans="2:26" ht="13.5" hidden="1"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</row>
    <row r="475" spans="2:26" ht="13.5" hidden="1"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</row>
    <row r="476" spans="2:26" ht="13.5" hidden="1"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</row>
    <row r="477" spans="2:26" ht="13.5" hidden="1"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</row>
    <row r="478" spans="2:26" ht="13.5" hidden="1"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</row>
    <row r="479" spans="2:26" ht="13.5" hidden="1"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</row>
    <row r="480" spans="2:26" ht="13.5" hidden="1"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</row>
    <row r="481" spans="2:26" ht="13.5" hidden="1"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</row>
    <row r="482" spans="2:26" ht="13.5" hidden="1"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</row>
    <row r="483" spans="2:26" ht="13.5" hidden="1"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</row>
    <row r="484" spans="2:26" ht="13.5" hidden="1"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</row>
    <row r="485" spans="2:26" ht="13.5" hidden="1"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</row>
    <row r="486" spans="2:26" ht="13.5" hidden="1"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</row>
    <row r="487" spans="2:26" ht="13.5" hidden="1"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</row>
    <row r="488" spans="2:26" ht="13.5" hidden="1"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</row>
    <row r="489" spans="2:26" ht="13.5" hidden="1"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</row>
    <row r="490" spans="2:26" ht="13.5" hidden="1"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</row>
    <row r="491" spans="2:26" ht="13.5" hidden="1"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</row>
    <row r="492" spans="2:26" ht="13.5" hidden="1"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</row>
    <row r="493" spans="2:26" ht="13.5" hidden="1"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</row>
    <row r="494" spans="2:26" ht="13.5" hidden="1"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</row>
    <row r="495" spans="2:26" ht="13.5" hidden="1"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</row>
    <row r="496" spans="2:26" ht="13.5" hidden="1"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</row>
    <row r="497" spans="2:26" ht="13.5" hidden="1"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</row>
    <row r="498" spans="2:26" ht="13.5" hidden="1"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</row>
    <row r="499" spans="2:26" ht="13.5" hidden="1"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</row>
    <row r="500" spans="2:26" ht="13.5" hidden="1"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</row>
    <row r="501" spans="2:26" ht="13.5" hidden="1"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</row>
    <row r="502" spans="2:26" ht="13.5" hidden="1"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</row>
    <row r="503" spans="2:26" ht="13.5" hidden="1"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</row>
    <row r="504" spans="2:26" ht="13.5" hidden="1"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</row>
    <row r="505" spans="2:26" ht="13.5" hidden="1"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</row>
    <row r="506" spans="2:26" ht="13.5" hidden="1"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</row>
    <row r="507" spans="2:26" ht="13.5" hidden="1"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</row>
    <row r="508" spans="2:26" ht="13.5" hidden="1"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</row>
    <row r="509" spans="2:26" ht="13.5" hidden="1"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</row>
    <row r="510" spans="2:26" ht="13.5" hidden="1"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</row>
    <row r="511" spans="2:26" ht="13.5" hidden="1"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</row>
    <row r="512" spans="2:26" ht="13.5" hidden="1"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</row>
    <row r="513" spans="2:26" ht="13.5" hidden="1"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</row>
    <row r="514" spans="2:26" ht="13.5" hidden="1"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</row>
    <row r="515" spans="2:26" ht="13.5" hidden="1"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</row>
    <row r="516" spans="2:26" ht="13.5" hidden="1"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</row>
    <row r="517" spans="2:26" ht="13.5" hidden="1"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</row>
    <row r="518" spans="2:26" ht="13.5" hidden="1"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</row>
    <row r="519" spans="2:26" ht="13.5" hidden="1"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</row>
    <row r="520" spans="2:26" ht="13.5" hidden="1"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</row>
    <row r="521" spans="2:26" ht="13.5" hidden="1"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</row>
    <row r="522" spans="2:26" ht="13.5" hidden="1"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</row>
    <row r="523" spans="2:26" ht="13.5" hidden="1"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</row>
    <row r="524" spans="2:26" ht="13.5" hidden="1"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</row>
    <row r="525" spans="2:26" ht="13.5" hidden="1"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</row>
    <row r="526" spans="2:26" ht="13.5" hidden="1"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</row>
    <row r="527" spans="2:26" ht="13.5" hidden="1"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</row>
    <row r="528" spans="2:26" ht="13.5" hidden="1"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</row>
    <row r="529" spans="2:26" ht="13.5" hidden="1"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</row>
    <row r="530" spans="2:26" ht="13.5" hidden="1"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</row>
    <row r="531" spans="2:26" ht="13.5" hidden="1"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</row>
    <row r="532" spans="2:26" ht="13.5" hidden="1"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</row>
    <row r="533" spans="2:26" ht="13.5" hidden="1"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</row>
    <row r="534" spans="2:26" ht="13.5" hidden="1"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</row>
    <row r="535" spans="2:26" ht="13.5" hidden="1"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</row>
    <row r="536" spans="2:26" ht="13.5" hidden="1"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</row>
    <row r="537" spans="2:26" ht="13.5" hidden="1"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</row>
    <row r="538" spans="2:26" ht="13.5" hidden="1"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</row>
    <row r="539" spans="2:26" ht="13.5" hidden="1"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</row>
    <row r="540" spans="2:26" ht="13.5" hidden="1"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</row>
    <row r="541" spans="2:26" ht="13.5" hidden="1"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</row>
    <row r="542" spans="2:26" ht="13.5" hidden="1"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</row>
    <row r="543" spans="2:26" ht="13.5" hidden="1"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</row>
    <row r="544" spans="2:26" ht="13.5" hidden="1"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</row>
    <row r="545" spans="2:26" ht="13.5" hidden="1"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</row>
    <row r="546" spans="2:26" ht="13.5" hidden="1"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</row>
    <row r="547" spans="2:26" ht="13.5" hidden="1"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</row>
    <row r="548" spans="2:26" ht="13.5" hidden="1"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</row>
    <row r="549" spans="2:26" ht="13.5" hidden="1"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</row>
    <row r="550" spans="2:26" ht="13.5" hidden="1"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</row>
    <row r="551" spans="2:26" ht="13.5" hidden="1"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</row>
    <row r="552" spans="2:26" ht="13.5" hidden="1"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</row>
    <row r="553" spans="2:26" ht="13.5" hidden="1"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</row>
    <row r="554" spans="2:26" ht="13.5" hidden="1"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</row>
    <row r="555" spans="2:26" ht="13.5" hidden="1"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</row>
    <row r="556" spans="2:26" ht="13.5" hidden="1"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</row>
    <row r="557" spans="2:26" ht="13.5" hidden="1"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</row>
    <row r="558" spans="2:26" ht="13.5" hidden="1"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</row>
    <row r="559" spans="2:26" ht="13.5" hidden="1"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</row>
    <row r="560" spans="2:26" ht="13.5" hidden="1"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</row>
    <row r="561" spans="2:26" ht="13.5" hidden="1"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</row>
    <row r="562" spans="2:26" ht="13.5" hidden="1"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</row>
    <row r="563" spans="2:26" ht="13.5" hidden="1"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</row>
    <row r="564" spans="2:26" ht="13.5" hidden="1"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</row>
    <row r="565" spans="2:26" ht="13.5" hidden="1"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</row>
    <row r="566" spans="2:26" ht="13.5" hidden="1"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</row>
    <row r="567" spans="2:26" ht="13.5" hidden="1"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</row>
    <row r="568" spans="2:26" ht="13.5" hidden="1"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</row>
    <row r="569" spans="2:26" ht="13.5" hidden="1"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</row>
    <row r="570" spans="2:26" ht="13.5" hidden="1"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</row>
    <row r="571" spans="2:26" ht="13.5" hidden="1"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</row>
    <row r="572" spans="2:26" ht="13.5" hidden="1"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</row>
    <row r="573" spans="2:26" ht="13.5" hidden="1"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</row>
    <row r="574" spans="2:26" ht="13.5" hidden="1"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</row>
    <row r="575" spans="2:26" ht="13.5" hidden="1"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</row>
    <row r="576" spans="2:26" ht="13.5" hidden="1"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</row>
    <row r="577" spans="2:26" ht="13.5" hidden="1"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</row>
    <row r="578" spans="2:26" ht="13.5" hidden="1"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</row>
    <row r="579" spans="2:26" ht="13.5" hidden="1"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</row>
    <row r="580" spans="2:26" ht="13.5" hidden="1"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</row>
    <row r="581" spans="2:26" ht="13.5" hidden="1"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</row>
    <row r="582" spans="2:26" ht="13.5" hidden="1"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</row>
    <row r="583" spans="2:26" ht="13.5" hidden="1"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</row>
    <row r="584" spans="2:26" ht="13.5" hidden="1"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</row>
    <row r="585" spans="2:26" ht="13.5" hidden="1"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</row>
    <row r="586" spans="2:26" ht="13.5" hidden="1"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</row>
    <row r="587" spans="2:26" ht="13.5" hidden="1"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</row>
    <row r="588" spans="2:26" ht="13.5" hidden="1"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</row>
    <row r="589" spans="2:26" ht="13.5" hidden="1"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</row>
    <row r="590" spans="2:26" ht="13.5" hidden="1"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</row>
    <row r="591" spans="2:26" ht="13.5" hidden="1"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</row>
    <row r="592" spans="2:26" ht="13.5" hidden="1"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</row>
    <row r="593" spans="2:26" ht="13.5" hidden="1"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</row>
    <row r="594" spans="2:26" ht="13.5" hidden="1"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</row>
    <row r="595" spans="2:26" ht="13.5" hidden="1"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</row>
    <row r="596" spans="2:26" ht="13.5" hidden="1"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</row>
    <row r="597" spans="2:26" ht="13.5" hidden="1"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</row>
    <row r="598" spans="2:26" ht="13.5" hidden="1"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</row>
    <row r="599" spans="2:26" ht="13.5" hidden="1"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</row>
    <row r="600" spans="2:26" ht="13.5" hidden="1"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</row>
    <row r="601" spans="2:26" ht="13.5" hidden="1"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</row>
    <row r="602" spans="2:26" ht="13.5" hidden="1"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</row>
    <row r="603" spans="2:26" ht="13.5" hidden="1"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</row>
    <row r="604" spans="2:26" ht="13.5" hidden="1"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</row>
    <row r="605" spans="2:26" ht="13.5" hidden="1"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</row>
    <row r="606" spans="2:26" ht="13.5" hidden="1"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</row>
    <row r="607" spans="2:26" ht="13.5" hidden="1"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</row>
    <row r="608" spans="2:26" ht="13.5" hidden="1"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</row>
    <row r="609" spans="2:26" ht="13.5" hidden="1"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</row>
    <row r="610" spans="2:26" ht="13.5" hidden="1"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</row>
    <row r="611" spans="2:26" ht="13.5" hidden="1"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</row>
    <row r="612" spans="2:26" ht="13.5" hidden="1"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</row>
    <row r="613" spans="2:26" ht="13.5" hidden="1"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</row>
    <row r="614" spans="2:26" ht="13.5" hidden="1"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</row>
    <row r="615" spans="2:26" ht="13.5" hidden="1"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</row>
    <row r="616" spans="2:26" ht="13.5" hidden="1"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</row>
    <row r="617" spans="2:26" ht="13.5" hidden="1"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</row>
    <row r="618" spans="2:26" ht="13.5" hidden="1"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</row>
    <row r="619" spans="2:26" ht="13.5" hidden="1"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</row>
    <row r="620" spans="2:26" ht="13.5" hidden="1"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</row>
    <row r="621" spans="2:26" ht="13.5" hidden="1"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</row>
    <row r="622" spans="2:26" ht="13.5" hidden="1"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</row>
    <row r="623" spans="2:26" ht="13.5" hidden="1"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</row>
    <row r="624" spans="2:26" ht="13.5" hidden="1"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</row>
    <row r="625" spans="2:26" ht="13.5" hidden="1"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</row>
    <row r="626" spans="2:26" ht="13.5" hidden="1"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</row>
    <row r="627" spans="2:26" ht="13.5" hidden="1"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</row>
    <row r="628" spans="2:26" ht="13.5" hidden="1"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</row>
    <row r="629" spans="2:26" ht="13.5" hidden="1"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</row>
    <row r="630" spans="2:26" ht="13.5" hidden="1"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</row>
    <row r="631" spans="2:26" ht="13.5" hidden="1"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</row>
    <row r="632" spans="2:26" ht="13.5" hidden="1"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</row>
    <row r="633" spans="2:26" ht="13.5" hidden="1"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</row>
    <row r="634" spans="2:26" ht="13.5" hidden="1"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</row>
    <row r="635" spans="2:26" ht="13.5" hidden="1"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</row>
    <row r="636" spans="2:26" ht="13.5" hidden="1"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</row>
    <row r="637" spans="2:26" ht="13.5" hidden="1"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</row>
    <row r="638" spans="2:26" ht="13.5" hidden="1"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</row>
    <row r="639" spans="2:26" ht="13.5" hidden="1"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</row>
    <row r="640" spans="2:26" ht="13.5" hidden="1"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</row>
    <row r="641" spans="2:26" ht="13.5" hidden="1"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</row>
    <row r="642" spans="2:26" ht="13.5" hidden="1"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</row>
    <row r="643" spans="2:26" ht="13.5" hidden="1"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</row>
    <row r="644" spans="2:26" ht="13.5" hidden="1"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</row>
    <row r="645" spans="2:26" ht="13.5" hidden="1"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</row>
    <row r="646" spans="2:26" ht="13.5" hidden="1"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</row>
    <row r="647" spans="2:26" ht="13.5" hidden="1"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</row>
    <row r="648" spans="2:26" ht="13.5" hidden="1"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</row>
    <row r="649" spans="2:26" ht="13.5" hidden="1"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</row>
    <row r="650" spans="2:26" ht="13.5" hidden="1"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</row>
    <row r="651" spans="2:26" ht="13.5" hidden="1"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</row>
    <row r="652" spans="2:26" ht="13.5" hidden="1"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</row>
    <row r="653" spans="2:26" ht="13.5" hidden="1"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</row>
    <row r="654" spans="2:26" ht="13.5" hidden="1"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</row>
    <row r="655" spans="2:26" ht="13.5" hidden="1"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</row>
    <row r="656" spans="2:26" ht="13.5" hidden="1"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</row>
    <row r="657" spans="2:26" ht="13.5" hidden="1"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</row>
    <row r="658" spans="2:26" ht="13.5" hidden="1"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</row>
    <row r="659" spans="2:26" ht="13.5" hidden="1"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</row>
    <row r="660" spans="2:26" ht="13.5" hidden="1"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</row>
    <row r="661" spans="2:26" ht="13.5" hidden="1"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</row>
    <row r="662" spans="2:26" ht="13.5" hidden="1"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</row>
    <row r="663" spans="2:26" ht="13.5" hidden="1"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</row>
    <row r="664" spans="2:26" ht="13.5" hidden="1"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</row>
    <row r="665" spans="2:26" ht="13.5" hidden="1"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</row>
    <row r="666" spans="2:26" ht="13.5" hidden="1"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</row>
    <row r="667" spans="2:26" ht="13.5" hidden="1"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</row>
    <row r="668" spans="2:26" ht="13.5" hidden="1"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</row>
    <row r="669" spans="2:26" ht="13.5" hidden="1"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</row>
    <row r="670" spans="2:26" ht="13.5" hidden="1"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</row>
    <row r="671" spans="2:26" ht="13.5" hidden="1"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</row>
    <row r="672" spans="2:26" ht="13.5" hidden="1"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</row>
    <row r="673" spans="2:26" ht="13.5" hidden="1"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</row>
    <row r="674" spans="2:26" ht="13.5" hidden="1"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</row>
    <row r="675" spans="2:26" ht="13.5" hidden="1"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</row>
    <row r="676" spans="2:26" ht="13.5" hidden="1"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</row>
    <row r="677" spans="2:26" ht="13.5" hidden="1"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</row>
    <row r="678" spans="2:26" ht="13.5" hidden="1"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</row>
    <row r="679" spans="2:26" ht="13.5" hidden="1"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</row>
    <row r="680" spans="2:26" ht="13.5" hidden="1"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</row>
    <row r="681" spans="2:26" ht="13.5" hidden="1"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</row>
    <row r="682" spans="2:26" ht="13.5" hidden="1"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</row>
    <row r="683" spans="2:26" ht="13.5" hidden="1"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</row>
    <row r="684" spans="2:26" ht="13.5" hidden="1"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</row>
    <row r="685" spans="2:26" ht="13.5" hidden="1"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</row>
    <row r="686" spans="2:26" ht="13.5" hidden="1"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</row>
    <row r="687" spans="2:26" ht="13.5" hidden="1"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</row>
    <row r="688" spans="2:26" ht="13.5" hidden="1"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</row>
    <row r="689" spans="2:26" ht="13.5" hidden="1"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</row>
    <row r="690" spans="2:26" ht="13.5" hidden="1"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</row>
    <row r="691" spans="2:26" ht="13.5" hidden="1"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</row>
    <row r="692" spans="2:26" ht="13.5" hidden="1"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</row>
    <row r="693" spans="2:26" ht="13.5" hidden="1"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</row>
    <row r="694" spans="2:26" ht="13.5" hidden="1"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</row>
    <row r="695" spans="2:26" ht="13.5" hidden="1"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</row>
    <row r="696" spans="2:26" ht="13.5" hidden="1"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</row>
    <row r="697" spans="2:26" ht="13.5" hidden="1"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</row>
    <row r="698" spans="2:26" ht="13.5" hidden="1"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</row>
    <row r="699" spans="2:26" ht="13.5" hidden="1"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</row>
    <row r="700" spans="2:26" ht="13.5" hidden="1"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</row>
    <row r="701" spans="2:26" ht="13.5" hidden="1"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</row>
    <row r="702" spans="2:26" ht="13.5" hidden="1"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</row>
    <row r="703" spans="2:26" ht="13.5" hidden="1"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</row>
    <row r="704" spans="2:26" ht="13.5" hidden="1"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</row>
    <row r="705" spans="2:26" ht="13.5" hidden="1"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</row>
    <row r="706" spans="2:26" ht="13.5" hidden="1"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</row>
    <row r="707" spans="2:26" ht="13.5" hidden="1"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</row>
    <row r="708" spans="2:26" ht="13.5" hidden="1"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</row>
    <row r="709" spans="2:26" ht="13.5" hidden="1"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</row>
    <row r="710" spans="2:26" ht="13.5" hidden="1"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</row>
    <row r="711" spans="2:26" ht="13.5" hidden="1"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</row>
    <row r="712" spans="2:26" ht="13.5" hidden="1"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</row>
    <row r="713" spans="2:26" ht="13.5" hidden="1"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</row>
    <row r="714" spans="2:26" ht="13.5" hidden="1"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</row>
    <row r="715" spans="2:26" ht="13.5" hidden="1"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</row>
    <row r="716" spans="2:26" ht="13.5" hidden="1"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</row>
    <row r="717" spans="2:26" ht="13.5" hidden="1"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</row>
    <row r="718" spans="2:26" ht="13.5" hidden="1"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</row>
    <row r="719" spans="2:26" ht="13.5" hidden="1"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</row>
    <row r="720" spans="2:26" ht="13.5" hidden="1"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</row>
    <row r="721" spans="2:26" ht="13.5" hidden="1"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</row>
    <row r="722" spans="2:26" ht="13.5" hidden="1"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</row>
    <row r="723" spans="2:26" ht="13.5" hidden="1"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</row>
    <row r="724" spans="2:26" ht="13.5" hidden="1"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</row>
    <row r="725" spans="2:26" ht="13.5" hidden="1"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</row>
    <row r="726" spans="2:26" ht="13.5" hidden="1"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</row>
    <row r="727" spans="2:26" ht="13.5" hidden="1"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</row>
    <row r="728" spans="2:26" ht="13.5" hidden="1"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</row>
    <row r="729" spans="2:26" ht="13.5" hidden="1"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</row>
    <row r="730" spans="2:26" ht="13.5" hidden="1"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</row>
    <row r="731" spans="2:26" ht="13.5" hidden="1"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</row>
    <row r="732" spans="2:26" ht="13.5" hidden="1"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</row>
    <row r="733" spans="2:26" ht="13.5" hidden="1"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</row>
    <row r="734" spans="2:26" ht="13.5" hidden="1"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</row>
    <row r="735" spans="2:26" ht="13.5" hidden="1"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</row>
    <row r="736" spans="2:26" ht="13.5" hidden="1"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</row>
    <row r="737" spans="2:26" ht="13.5" hidden="1"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</row>
    <row r="738" spans="2:26" ht="13.5" hidden="1"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</row>
    <row r="739" spans="2:26" ht="13.5" hidden="1"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</row>
    <row r="740" spans="2:26" ht="13.5" hidden="1"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</row>
    <row r="741" spans="2:26" ht="13.5" hidden="1"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</row>
    <row r="742" spans="2:26" ht="13.5" hidden="1"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</row>
    <row r="743" spans="2:26" ht="13.5" hidden="1"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</row>
    <row r="744" spans="2:26" ht="13.5" hidden="1"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</row>
    <row r="745" spans="2:26" ht="13.5" hidden="1"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</row>
    <row r="746" spans="2:26" ht="13.5" hidden="1"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</row>
    <row r="747" spans="2:26" ht="13.5" hidden="1"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</row>
    <row r="748" spans="2:26" ht="13.5" hidden="1"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</row>
    <row r="749" spans="2:26" ht="13.5" hidden="1"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</row>
    <row r="750" spans="2:26" ht="13.5" hidden="1"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</row>
    <row r="751" spans="2:26" ht="13.5" hidden="1"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</row>
    <row r="752" spans="2:26" ht="13.5" hidden="1"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</row>
    <row r="753" spans="2:26" ht="13.5" hidden="1"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</row>
    <row r="754" spans="2:26" ht="13.5" hidden="1"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</row>
    <row r="755" spans="2:26" ht="13.5" hidden="1"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</row>
    <row r="756" spans="2:26" ht="13.5" hidden="1"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</row>
    <row r="757" spans="2:26" ht="13.5" hidden="1"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</row>
    <row r="758" spans="2:26" ht="13.5" hidden="1"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</row>
    <row r="759" spans="2:26" ht="13.5" hidden="1"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</row>
    <row r="760" spans="2:26" ht="13.5" hidden="1"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</row>
    <row r="761" spans="2:26" ht="13.5" hidden="1"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</row>
    <row r="762" spans="2:26" ht="13.5" hidden="1"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</row>
    <row r="763" spans="2:26" ht="13.5" hidden="1"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</row>
    <row r="764" spans="2:26" ht="13.5" hidden="1"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</row>
    <row r="765" spans="2:26" ht="13.5" hidden="1"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</row>
    <row r="766" spans="2:26" ht="13.5" hidden="1"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</row>
    <row r="767" spans="2:26" ht="13.5" hidden="1"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</row>
    <row r="768" spans="2:26" ht="13.5" hidden="1"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</row>
    <row r="769" spans="2:26" ht="13.5" hidden="1"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</row>
    <row r="770" spans="2:26" ht="13.5" hidden="1"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</row>
    <row r="771" spans="2:26" ht="13.5" hidden="1"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</row>
    <row r="772" spans="2:26" ht="13.5" hidden="1"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</row>
    <row r="773" spans="2:26" ht="13.5" hidden="1"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</row>
    <row r="774" spans="2:26" ht="13.5" hidden="1"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</row>
    <row r="775" spans="2:26" ht="13.5" hidden="1"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</row>
    <row r="776" spans="2:26" ht="13.5" hidden="1"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</row>
    <row r="777" spans="2:26" ht="13.5" hidden="1"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</row>
    <row r="778" spans="2:26" ht="13.5" hidden="1"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</row>
    <row r="779" spans="2:26" ht="13.5" hidden="1"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</row>
    <row r="780" spans="2:26" ht="13.5" hidden="1"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</row>
    <row r="781" spans="2:26" ht="13.5" hidden="1"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</row>
    <row r="782" spans="2:26" ht="13.5" hidden="1"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</row>
    <row r="783" spans="2:26" ht="13.5" hidden="1"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</row>
    <row r="784" spans="2:26" ht="13.5" hidden="1"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</row>
    <row r="785" spans="2:26" ht="13.5" hidden="1"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</row>
    <row r="786" spans="2:26" ht="13.5" hidden="1"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</row>
    <row r="787" spans="2:26" ht="13.5" hidden="1"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</row>
    <row r="788" spans="2:26" ht="13.5" hidden="1"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</row>
    <row r="789" spans="2:26" ht="13.5" hidden="1"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</row>
    <row r="790" spans="2:26" ht="13.5" hidden="1"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</row>
    <row r="791" spans="2:26" ht="13.5" hidden="1"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</row>
    <row r="792" spans="2:26" ht="13.5" hidden="1"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</row>
    <row r="793" spans="2:26" ht="13.5" hidden="1"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</row>
    <row r="794" spans="2:26" ht="13.5" hidden="1"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</row>
    <row r="795" spans="2:26" ht="13.5" hidden="1"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</row>
    <row r="796" spans="2:26" ht="13.5" hidden="1"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</row>
    <row r="797" spans="2:26" ht="13.5" hidden="1"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</row>
    <row r="798" spans="2:26" ht="13.5" hidden="1"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</row>
    <row r="799" spans="2:26" ht="13.5" hidden="1"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</row>
    <row r="800" spans="2:26" ht="13.5" hidden="1"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</row>
    <row r="801" spans="2:26" ht="13.5" hidden="1"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</row>
    <row r="802" spans="2:26" ht="13.5" hidden="1"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</row>
    <row r="803" spans="2:26" ht="13.5" hidden="1"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</row>
    <row r="804" spans="2:26" ht="13.5" hidden="1"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</row>
    <row r="805" spans="2:26" ht="13.5" hidden="1"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</row>
    <row r="806" spans="2:26" ht="13.5" hidden="1"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</row>
    <row r="807" spans="2:26" ht="13.5" hidden="1"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</row>
    <row r="808" spans="2:26" ht="13.5" hidden="1"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</row>
    <row r="809" spans="2:26" ht="13.5" hidden="1"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</row>
    <row r="810" spans="2:26" ht="13.5" hidden="1"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</row>
    <row r="811" spans="2:26" ht="13.5" hidden="1"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</row>
    <row r="812" spans="2:26" ht="13.5" hidden="1"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</row>
    <row r="813" spans="2:26" ht="13.5" hidden="1"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</row>
    <row r="814" spans="2:26" ht="13.5" hidden="1"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</row>
    <row r="815" spans="2:26" ht="13.5" hidden="1"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</row>
    <row r="816" spans="2:26" ht="13.5" hidden="1"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</row>
    <row r="817" spans="2:26" ht="13.5" hidden="1"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</row>
    <row r="818" spans="2:26" ht="13.5" hidden="1"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</row>
    <row r="819" spans="2:26" ht="13.5" hidden="1"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</row>
    <row r="820" spans="2:26" ht="13.5" hidden="1"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</row>
    <row r="821" spans="2:26" ht="13.5" hidden="1"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</row>
    <row r="822" spans="2:26" ht="13.5" hidden="1"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</row>
    <row r="823" spans="2:26" ht="13.5" hidden="1"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</row>
    <row r="824" spans="2:26" ht="13.5" hidden="1"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</row>
    <row r="825" spans="2:26" ht="13.5" hidden="1"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</row>
    <row r="826" spans="2:26" ht="13.5" hidden="1"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</row>
    <row r="827" spans="2:26" ht="13.5" hidden="1"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</row>
    <row r="828" spans="2:26" ht="13.5" hidden="1"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</row>
    <row r="829" spans="2:26" ht="13.5" hidden="1"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</row>
    <row r="830" spans="2:26" ht="13.5" hidden="1"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</row>
    <row r="831" spans="2:26" ht="13.5" hidden="1"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</row>
    <row r="832" spans="2:26" ht="13.5" hidden="1"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</row>
    <row r="833" spans="2:26" ht="13.5" hidden="1"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</row>
    <row r="834" spans="2:26" ht="13.5" hidden="1"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</row>
    <row r="835" spans="2:26" ht="13.5" hidden="1"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</row>
    <row r="836" spans="2:26" ht="13.5" hidden="1"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</row>
    <row r="837" spans="2:26" ht="13.5" hidden="1"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</row>
    <row r="838" spans="2:26" ht="13.5" hidden="1"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</row>
    <row r="839" spans="2:26" ht="13.5" hidden="1"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</row>
    <row r="840" spans="2:26" ht="13.5" hidden="1"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</row>
    <row r="841" spans="2:26" ht="13.5" hidden="1"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</row>
    <row r="842" spans="2:26" ht="13.5" hidden="1"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</row>
    <row r="843" spans="2:26" ht="13.5" hidden="1"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</row>
    <row r="844" spans="2:26" ht="13.5" hidden="1"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</row>
    <row r="845" spans="2:26" ht="13.5" hidden="1"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</row>
    <row r="846" spans="2:26" ht="13.5" hidden="1"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</row>
    <row r="847" spans="2:26" ht="13.5" hidden="1"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</row>
    <row r="848" spans="2:26" ht="13.5" hidden="1"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</row>
    <row r="849" spans="2:26" ht="13.5" hidden="1"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</row>
    <row r="850" spans="2:26" ht="13.5" hidden="1"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</row>
    <row r="851" spans="2:26" ht="13.5" hidden="1"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</row>
    <row r="852" spans="2:26" ht="13.5" hidden="1"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</row>
    <row r="853" spans="2:26" ht="13.5" hidden="1"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</row>
    <row r="854" spans="2:26" ht="13.5" hidden="1"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</row>
    <row r="855" spans="2:26" ht="13.5" hidden="1"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</row>
    <row r="856" spans="2:26" ht="13.5" hidden="1"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</row>
    <row r="857" spans="2:26" ht="13.5" hidden="1"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</row>
    <row r="858" spans="2:26" ht="13.5" hidden="1"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</row>
    <row r="859" spans="2:26" ht="13.5" hidden="1"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</row>
    <row r="860" spans="2:26" ht="13.5" hidden="1"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</row>
    <row r="861" spans="2:26" ht="13.5" hidden="1"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</row>
    <row r="862" spans="2:26" ht="13.5" hidden="1"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</row>
    <row r="863" spans="2:26" ht="13.5" hidden="1"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</row>
    <row r="864" spans="2:26" ht="13.5" hidden="1"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</row>
    <row r="865" spans="2:26" ht="13.5" hidden="1"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</row>
    <row r="866" spans="2:26" ht="13.5" hidden="1"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</row>
    <row r="867" spans="2:26" ht="13.5" hidden="1"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</row>
    <row r="868" spans="2:26" ht="13.5" hidden="1"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</row>
    <row r="869" spans="2:26" ht="13.5" hidden="1"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</row>
    <row r="870" spans="2:26" ht="13.5" hidden="1"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</row>
    <row r="871" spans="2:26" ht="13.5" hidden="1"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</row>
    <row r="872" spans="2:26" ht="13.5" hidden="1"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</row>
    <row r="873" spans="2:26" ht="13.5" hidden="1"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</row>
    <row r="874" spans="2:26" ht="13.5" hidden="1"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</row>
    <row r="875" spans="2:26" ht="13.5" hidden="1"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</row>
    <row r="876" spans="2:26" ht="13.5" hidden="1"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</row>
    <row r="877" spans="2:26" ht="13.5" hidden="1"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</row>
    <row r="878" spans="2:26" ht="13.5" hidden="1"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</row>
    <row r="879" spans="2:26" ht="13.5" hidden="1"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</row>
    <row r="880" spans="2:26" ht="13.5" hidden="1"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</row>
    <row r="881" spans="2:26" ht="13.5" hidden="1"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</row>
    <row r="882" spans="2:26" ht="13.5" hidden="1"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</row>
    <row r="883" spans="2:26" ht="13.5" hidden="1"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</row>
    <row r="884" spans="2:26" ht="13.5" hidden="1"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</row>
    <row r="885" spans="2:26" ht="13.5" hidden="1"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</row>
    <row r="886" spans="2:26" ht="13.5" hidden="1"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</row>
    <row r="887" spans="2:26" ht="13.5" hidden="1"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</row>
    <row r="888" spans="2:26" ht="13.5" hidden="1"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</row>
    <row r="889" spans="2:26" ht="13.5" hidden="1"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</row>
    <row r="890" spans="2:26" ht="13.5" hidden="1"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</row>
    <row r="891" spans="2:26" ht="13.5" hidden="1"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</row>
    <row r="892" spans="2:26" ht="13.5" hidden="1"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</row>
    <row r="893" spans="2:26" ht="13.5" hidden="1"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</row>
    <row r="894" spans="2:26" ht="13.5" hidden="1"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</row>
    <row r="895" spans="2:26" ht="13.5" hidden="1"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</row>
    <row r="896" spans="2:26" ht="13.5" hidden="1"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</row>
    <row r="897" spans="2:26" ht="13.5" hidden="1"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</row>
    <row r="898" spans="2:26" ht="13.5" hidden="1"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</row>
    <row r="899" spans="2:26" ht="13.5" hidden="1"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</row>
    <row r="900" spans="2:26" ht="13.5" hidden="1"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</row>
    <row r="901" spans="2:26" ht="13.5" hidden="1"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</row>
    <row r="902" spans="2:26" ht="13.5" hidden="1"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</row>
    <row r="903" spans="2:26" ht="13.5" hidden="1"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</row>
    <row r="904" spans="2:26" ht="13.5" hidden="1"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</row>
    <row r="905" spans="2:26" ht="13.5" hidden="1"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</row>
    <row r="906" spans="2:26" ht="13.5" hidden="1"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</row>
    <row r="907" spans="2:26" ht="13.5" hidden="1"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</row>
    <row r="908" spans="2:26" ht="13.5" hidden="1"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</row>
    <row r="909" spans="2:26" ht="13.5" hidden="1"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</row>
    <row r="910" spans="2:26" ht="13.5" hidden="1"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</row>
    <row r="911" spans="2:26" ht="13.5" hidden="1"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</row>
    <row r="912" spans="2:26" ht="13.5" hidden="1"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</row>
    <row r="913" spans="2:26" ht="13.5" hidden="1"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</row>
    <row r="914" spans="2:26" ht="13.5" hidden="1"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</row>
    <row r="915" spans="2:26" ht="13.5" hidden="1"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</row>
    <row r="916" spans="2:26" ht="13.5" hidden="1"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</row>
    <row r="917" spans="2:26" ht="13.5" hidden="1"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</row>
    <row r="918" spans="2:26" ht="13.5" hidden="1"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</row>
    <row r="919" spans="2:26" ht="13.5" hidden="1"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</row>
    <row r="920" spans="2:26" ht="13.5" hidden="1"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</row>
    <row r="921" spans="2:26" ht="13.5" hidden="1"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</row>
    <row r="922" spans="2:26" ht="13.5" hidden="1"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</row>
    <row r="923" spans="2:26" ht="13.5" hidden="1"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</row>
    <row r="924" spans="2:26" ht="13.5" hidden="1"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</row>
    <row r="925" spans="2:26" ht="13.5" hidden="1"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</row>
    <row r="926" spans="2:26" ht="13.5" hidden="1"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</row>
    <row r="927" spans="2:26" ht="13.5" hidden="1"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</row>
    <row r="928" spans="2:26" ht="13.5" hidden="1"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</row>
    <row r="929" spans="2:26" ht="13.5" hidden="1"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</row>
    <row r="930" spans="2:26" ht="13.5" hidden="1"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</row>
    <row r="931" spans="2:26" ht="13.5" hidden="1"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</row>
    <row r="932" spans="2:26" ht="13.5" hidden="1"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</row>
    <row r="933" spans="2:26" ht="13.5" hidden="1"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</row>
    <row r="934" spans="2:26" ht="13.5" hidden="1"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</row>
    <row r="935" spans="2:26" ht="13.5" hidden="1"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</row>
    <row r="936" spans="2:26" ht="13.5" hidden="1"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</row>
    <row r="937" spans="2:26" ht="13.5" hidden="1"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</row>
    <row r="938" spans="2:26" ht="13.5" hidden="1"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</row>
    <row r="939" spans="2:26" ht="13.5" hidden="1"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</row>
    <row r="940" spans="2:26" ht="13.5" hidden="1"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</row>
    <row r="941" spans="2:26" ht="13.5" hidden="1"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</row>
    <row r="942" spans="2:26" ht="13.5" hidden="1"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</row>
    <row r="943" spans="2:26" ht="13.5" hidden="1"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</row>
    <row r="944" spans="2:26" ht="13.5" hidden="1"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</row>
    <row r="945" spans="2:26" ht="13.5" hidden="1"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</row>
    <row r="946" spans="2:26" ht="13.5" hidden="1"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</row>
    <row r="947" spans="2:26" ht="13.5" hidden="1"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</row>
    <row r="948" spans="2:26" ht="13.5" hidden="1"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</row>
    <row r="949" spans="2:26" ht="13.5" hidden="1"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</row>
    <row r="950" spans="2:26" ht="13.5" hidden="1"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</row>
    <row r="951" spans="2:26" ht="13.5" hidden="1"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</row>
    <row r="952" spans="2:26" ht="13.5" hidden="1"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</row>
    <row r="953" spans="2:26" ht="13.5" hidden="1"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</row>
    <row r="954" spans="2:26" ht="13.5" hidden="1"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</row>
    <row r="955" spans="2:26" ht="13.5" hidden="1"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</row>
    <row r="956" spans="2:26" ht="13.5" hidden="1"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</row>
    <row r="957" spans="2:26" ht="13.5" hidden="1"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</row>
    <row r="958" spans="2:26" ht="13.5" hidden="1"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</row>
    <row r="959" spans="2:26" ht="13.5" hidden="1"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</row>
    <row r="960" spans="2:26" ht="13.5" hidden="1"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</row>
    <row r="961" spans="2:26" ht="13.5" hidden="1"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</row>
    <row r="962" spans="2:26" ht="13.5" hidden="1"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</row>
    <row r="963" spans="2:26" ht="13.5" hidden="1"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</row>
    <row r="964" spans="2:26" ht="13.5" hidden="1"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</row>
    <row r="965" spans="2:26" ht="13.5" hidden="1"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</row>
    <row r="966" spans="2:26" ht="13.5" hidden="1"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</row>
    <row r="967" spans="2:26" ht="13.5" hidden="1"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</row>
    <row r="968" spans="2:26" ht="13.5" hidden="1"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</row>
    <row r="969" spans="2:26" ht="13.5" hidden="1"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</row>
    <row r="970" spans="2:26" ht="13.5" hidden="1"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</row>
    <row r="971" spans="2:26" ht="13.5" hidden="1"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</row>
    <row r="972" spans="2:26" ht="13.5" hidden="1"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</row>
    <row r="973" spans="2:26" ht="13.5" hidden="1"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</row>
    <row r="974" spans="2:26" ht="13.5" hidden="1"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</row>
    <row r="975" spans="2:26" ht="13.5" hidden="1"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</row>
    <row r="976" spans="2:26" ht="13.5" hidden="1"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</row>
    <row r="977" spans="2:26" ht="13.5" hidden="1"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</row>
    <row r="978" spans="2:26" ht="13.5" hidden="1"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</row>
    <row r="979" spans="2:26" ht="13.5" hidden="1"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</row>
    <row r="980" spans="2:26" ht="13.5" hidden="1"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</row>
    <row r="981" spans="2:26" ht="13.5" hidden="1"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</row>
    <row r="982" spans="2:26" ht="13.5" hidden="1"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</row>
    <row r="983" spans="2:26" ht="13.5" hidden="1"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</row>
    <row r="984" spans="2:26" ht="13.5" hidden="1"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</row>
    <row r="985" spans="2:26" ht="13.5" hidden="1"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</row>
    <row r="986" spans="2:26" ht="13.5" hidden="1"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</row>
    <row r="987" spans="2:26" ht="13.5" hidden="1"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</row>
    <row r="988" spans="2:26" ht="13.5" hidden="1"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</row>
    <row r="989" spans="2:26" ht="13.5" hidden="1">
      <c r="B989" s="91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</row>
    <row r="990" spans="2:26" ht="13.5" hidden="1">
      <c r="B990" s="91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</row>
    <row r="991" spans="2:26" ht="13.5" hidden="1">
      <c r="B991" s="91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</row>
    <row r="992" spans="2:26" ht="13.5" hidden="1">
      <c r="B992" s="91"/>
      <c r="C992" s="91"/>
      <c r="D992" s="91"/>
      <c r="E992" s="91"/>
      <c r="F992" s="91"/>
      <c r="G992" s="91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</row>
    <row r="993" spans="2:26" ht="13.5" hidden="1">
      <c r="B993" s="91"/>
      <c r="C993" s="91"/>
      <c r="D993" s="91"/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</row>
    <row r="994" spans="2:26" ht="13.5" hidden="1">
      <c r="B994" s="91"/>
      <c r="C994" s="91"/>
      <c r="D994" s="91"/>
      <c r="E994" s="91"/>
      <c r="F994" s="91"/>
      <c r="G994" s="91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</row>
    <row r="995" spans="2:26" ht="13.5" hidden="1">
      <c r="B995" s="91"/>
      <c r="C995" s="91"/>
      <c r="D995" s="91"/>
      <c r="E995" s="91"/>
      <c r="F995" s="91"/>
      <c r="G995" s="91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</row>
    <row r="996" spans="2:26" ht="13.5" hidden="1">
      <c r="B996" s="91"/>
      <c r="C996" s="91"/>
      <c r="D996" s="91"/>
      <c r="E996" s="91"/>
      <c r="F996" s="91"/>
      <c r="G996" s="91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</row>
    <row r="997" spans="2:26" ht="13.5" hidden="1">
      <c r="B997" s="91"/>
      <c r="C997" s="91"/>
      <c r="D997" s="91"/>
      <c r="E997" s="91"/>
      <c r="F997" s="91"/>
      <c r="G997" s="91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</row>
    <row r="998" spans="2:26" ht="13.5" hidden="1">
      <c r="B998" s="91"/>
      <c r="C998" s="91"/>
      <c r="D998" s="91"/>
      <c r="E998" s="91"/>
      <c r="F998" s="91"/>
      <c r="G998" s="91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</row>
    <row r="999" spans="2:26" ht="13.5" hidden="1">
      <c r="B999" s="91"/>
      <c r="C999" s="91"/>
      <c r="D999" s="91"/>
      <c r="E999" s="91"/>
      <c r="F999" s="91"/>
      <c r="G999" s="91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교육과정편제표(유통플랫폼과)</vt:lpstr>
      <vt:lpstr>실무과목 능력단위(유통플랫폼과)</vt:lpstr>
      <vt:lpstr>삭제금지</vt:lpstr>
      <vt:lpstr>(참고1) 편성 기준🔐</vt:lpstr>
      <vt:lpstr>'교육과정편제표(유통플랫폼과)'!Print_Area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선하</cp:lastModifiedBy>
  <cp:lastPrinted>2021-10-27T23:58:37Z</cp:lastPrinted>
  <dcterms:created xsi:type="dcterms:W3CDTF">2020-03-04T02:26:59Z</dcterms:created>
  <dcterms:modified xsi:type="dcterms:W3CDTF">2026-10-13T00:39:36Z</dcterms:modified>
</cp:coreProperties>
</file>