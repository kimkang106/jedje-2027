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CoolMessenger Files\Received Files\2026학년도\교육과정부\교육과정 편제표\"/>
    </mc:Choice>
  </mc:AlternateContent>
  <xr:revisionPtr revIDLastSave="0" documentId="13_ncr:1_{FA73376B-AB62-4681-B54D-491FD5E30B3E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교육과정편제표(미디어콘텐츠과)" sheetId="8" r:id="rId1"/>
    <sheet name="실무과목 능력단위(미디어콘텐츠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'교육과정편제표(미디어콘텐츠과)'!$M$3:$P$4</definedName>
    <definedName name="_xlnm._FilterDatabase" localSheetId="2" hidden="1">삭제금지!$A$1:$F$151</definedName>
    <definedName name="_xlnm._FilterDatabase" localSheetId="1" hidden="1">'실무과목 능력단위(미디어콘텐츠과)'!#REF!</definedName>
    <definedName name="_xlnm.Print_Area" localSheetId="0">'교육과정편제표(미디어콘텐츠과)'!$A$1:$AE$68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8" i="14" l="1"/>
  <c r="T38" i="14"/>
  <c r="U37" i="14"/>
  <c r="T37" i="14"/>
  <c r="U36" i="14"/>
  <c r="T36" i="14"/>
  <c r="U35" i="14"/>
  <c r="T35" i="14"/>
  <c r="U33" i="14"/>
  <c r="T33" i="14"/>
  <c r="U32" i="14"/>
  <c r="T32" i="14"/>
  <c r="U31" i="14"/>
  <c r="T31" i="14"/>
  <c r="U30" i="14"/>
  <c r="T30" i="14"/>
  <c r="U28" i="14"/>
  <c r="T28" i="14"/>
  <c r="U27" i="14"/>
  <c r="T27" i="14"/>
  <c r="U26" i="14"/>
  <c r="T26" i="14"/>
  <c r="U25" i="14"/>
  <c r="T25" i="14"/>
  <c r="U23" i="14"/>
  <c r="T23" i="14"/>
  <c r="U22" i="14"/>
  <c r="T22" i="14"/>
  <c r="U21" i="14"/>
  <c r="T21" i="14"/>
  <c r="U20" i="14"/>
  <c r="T20" i="14"/>
  <c r="U18" i="14"/>
  <c r="T18" i="14"/>
  <c r="U17" i="14"/>
  <c r="T17" i="14"/>
  <c r="U15" i="14"/>
  <c r="T15" i="14"/>
  <c r="U14" i="14"/>
  <c r="T14" i="14"/>
  <c r="U13" i="14"/>
  <c r="T13" i="14"/>
  <c r="U12" i="14"/>
  <c r="T12" i="14"/>
  <c r="U10" i="14"/>
  <c r="U9" i="14"/>
  <c r="T10" i="14"/>
  <c r="T9" i="14"/>
  <c r="K39" i="14" l="1"/>
  <c r="J39" i="14"/>
  <c r="I39" i="14"/>
  <c r="H39" i="14"/>
  <c r="K34" i="14"/>
  <c r="J34" i="14"/>
  <c r="I34" i="14"/>
  <c r="H34" i="14"/>
  <c r="K29" i="14"/>
  <c r="J29" i="14"/>
  <c r="I29" i="14"/>
  <c r="H29" i="14"/>
  <c r="K24" i="14"/>
  <c r="J24" i="14"/>
  <c r="I24" i="14"/>
  <c r="H24" i="14"/>
  <c r="K16" i="14"/>
  <c r="K19" i="14" s="1"/>
  <c r="J16" i="14"/>
  <c r="J19" i="14" s="1"/>
  <c r="I16" i="14"/>
  <c r="I19" i="14" s="1"/>
  <c r="H16" i="14"/>
  <c r="H19" i="14" s="1"/>
  <c r="K11" i="14"/>
  <c r="J11" i="14"/>
  <c r="I11" i="14"/>
  <c r="H11" i="14"/>
  <c r="W41" i="8" l="1"/>
  <c r="W40" i="8"/>
  <c r="W39" i="8"/>
  <c r="X39" i="8" s="1"/>
  <c r="W38" i="8"/>
  <c r="W37" i="8"/>
  <c r="W36" i="8"/>
  <c r="W35" i="8"/>
  <c r="X35" i="8" s="1"/>
  <c r="W20" i="8"/>
  <c r="W19" i="8"/>
  <c r="W15" i="8"/>
  <c r="W11" i="8"/>
  <c r="W12" i="8"/>
  <c r="W21" i="8"/>
  <c r="X21" i="8" s="1"/>
  <c r="W51" i="8"/>
  <c r="S67" i="8" l="1"/>
  <c r="O67" i="8"/>
  <c r="K67" i="8"/>
  <c r="W66" i="8"/>
  <c r="Y66" i="8" s="1"/>
  <c r="W65" i="8"/>
  <c r="AA60" i="8" s="1"/>
  <c r="Y62" i="8"/>
  <c r="W62" i="8"/>
  <c r="Y59" i="8"/>
  <c r="U59" i="8"/>
  <c r="S59" i="8"/>
  <c r="Q59" i="8"/>
  <c r="O59" i="8"/>
  <c r="M59" i="8"/>
  <c r="K59" i="8"/>
  <c r="I59" i="8"/>
  <c r="I61" i="8" s="1"/>
  <c r="H59" i="8"/>
  <c r="J59" i="8"/>
  <c r="W56" i="8"/>
  <c r="W52" i="8"/>
  <c r="W50" i="8"/>
  <c r="W49" i="8"/>
  <c r="W48" i="8"/>
  <c r="W47" i="8"/>
  <c r="W46" i="8"/>
  <c r="W45" i="8"/>
  <c r="W44" i="8"/>
  <c r="W43" i="8"/>
  <c r="Y42" i="8"/>
  <c r="U42" i="8"/>
  <c r="S42" i="8"/>
  <c r="Q42" i="8"/>
  <c r="O42" i="8"/>
  <c r="M42" i="8"/>
  <c r="K42" i="8"/>
  <c r="H42" i="8"/>
  <c r="W34" i="8"/>
  <c r="W33" i="8"/>
  <c r="W32" i="8"/>
  <c r="W31" i="8"/>
  <c r="J31" i="8"/>
  <c r="W30" i="8"/>
  <c r="J30" i="8"/>
  <c r="W29" i="8"/>
  <c r="W28" i="8"/>
  <c r="W27" i="8"/>
  <c r="W26" i="8"/>
  <c r="X26" i="8" s="1"/>
  <c r="W25" i="8"/>
  <c r="W24" i="8"/>
  <c r="W18" i="8"/>
  <c r="W17" i="8"/>
  <c r="X17" i="8" s="1"/>
  <c r="W16" i="8"/>
  <c r="W14" i="8"/>
  <c r="W13" i="8"/>
  <c r="W10" i="8"/>
  <c r="W9" i="8"/>
  <c r="X28" i="8" l="1"/>
  <c r="X24" i="8"/>
  <c r="X30" i="8"/>
  <c r="O61" i="8"/>
  <c r="M61" i="8"/>
  <c r="W67" i="8"/>
  <c r="Q61" i="8"/>
  <c r="U61" i="8"/>
  <c r="W59" i="8"/>
  <c r="S61" i="8"/>
  <c r="X13" i="8"/>
  <c r="J42" i="8"/>
  <c r="J61" i="8" s="1"/>
  <c r="X9" i="8"/>
  <c r="AA62" i="8"/>
  <c r="Y61" i="8"/>
  <c r="H61" i="8"/>
  <c r="W42" i="8"/>
  <c r="AA35" i="8" s="1"/>
  <c r="K61" i="8"/>
  <c r="W61" i="8" l="1"/>
  <c r="AA57" i="8" s="1"/>
  <c r="L11" i="14"/>
  <c r="L16" i="14" s="1"/>
  <c r="L19" i="14" s="1"/>
  <c r="L24" i="14" s="1"/>
  <c r="L29" i="14" s="1"/>
  <c r="L34" i="14" s="1"/>
  <c r="L39" i="14" s="1"/>
  <c r="M11" i="14"/>
  <c r="M16" i="14" s="1"/>
  <c r="M19" i="14" s="1"/>
  <c r="M24" i="14" s="1"/>
  <c r="M29" i="14" s="1"/>
  <c r="M34" i="14" s="1"/>
  <c r="M39" i="14" s="1"/>
  <c r="N11" i="14"/>
  <c r="N16" i="14" s="1"/>
  <c r="N19" i="14" s="1"/>
  <c r="N24" i="14" s="1"/>
  <c r="N29" i="14" s="1"/>
  <c r="N34" i="14" s="1"/>
  <c r="N39" i="14" s="1"/>
  <c r="O11" i="14"/>
  <c r="O16" i="14" s="1"/>
  <c r="O19" i="14" s="1"/>
  <c r="O24" i="14" s="1"/>
  <c r="O29" i="14" s="1"/>
  <c r="O34" i="14" s="1"/>
  <c r="O39" i="14" s="1"/>
  <c r="P11" i="14"/>
  <c r="P16" i="14" s="1"/>
  <c r="P19" i="14" s="1"/>
  <c r="P24" i="14" s="1"/>
  <c r="P29" i="14" s="1"/>
  <c r="P34" i="14" s="1"/>
  <c r="P39" i="14" s="1"/>
  <c r="R11" i="14"/>
  <c r="R16" i="14" s="1"/>
  <c r="R19" i="14" s="1"/>
  <c r="R24" i="14" s="1"/>
  <c r="R29" i="14" s="1"/>
  <c r="R34" i="14" s="1"/>
  <c r="R39" i="14" s="1"/>
  <c r="Q11" i="14" l="1"/>
  <c r="Q16" i="14" s="1"/>
  <c r="Q19" i="14" s="1"/>
  <c r="Q24" i="14" s="1"/>
  <c r="Q29" i="14" s="1"/>
  <c r="Q34" i="14" s="1"/>
  <c r="Q39" i="14" s="1"/>
  <c r="S11" i="14"/>
  <c r="S16" i="14" s="1"/>
  <c r="S19" i="14" s="1"/>
  <c r="S24" i="14" s="1"/>
  <c r="S29" i="14" s="1"/>
  <c r="S34" i="14" s="1"/>
  <c r="S39" i="14" s="1"/>
  <c r="T11" i="14"/>
  <c r="T16" i="14" s="1"/>
  <c r="T19" i="14" s="1"/>
  <c r="T24" i="14" s="1"/>
  <c r="T29" i="14" s="1"/>
  <c r="T34" i="14" s="1"/>
  <c r="T39" i="14" s="1"/>
  <c r="U11" i="14" l="1"/>
  <c r="U16" i="14" s="1"/>
  <c r="U19" i="14" s="1"/>
  <c r="U24" i="14" s="1"/>
  <c r="U29" i="14" s="1"/>
  <c r="U34" i="14" s="1"/>
  <c r="U39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4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9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<sst xmlns="http://schemas.openxmlformats.org/spreadsheetml/2006/main" count="1441" uniqueCount="600">
  <si>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</si>
  <si>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</si>
  <si>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</si>
  <si>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</si>
  <si>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</si>
  <si>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</si>
  <si>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</si>
  <si>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</si>
  <si>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</si>
  <si>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</si>
  <si>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</si>
  <si>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</si>
  <si>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</si>
  <si>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</si>
  <si>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</si>
  <si>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</si>
  <si>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</si>
  <si>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</si>
  <si>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</si>
  <si>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</si>
  <si>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</si>
  <si>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</si>
  <si>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</si>
  <si>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</si>
  <si>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</si>
  <si>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</si>
  <si>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</si>
  <si>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</si>
  <si>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</si>
  <si>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</si>
  <si>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</si>
  <si>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</si>
  <si>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</si>
  <si>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</si>
  <si>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</si>
  <si>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</si>
  <si>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</si>
  <si>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</si>
  <si>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</si>
  <si>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</si>
  <si>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</si>
  <si>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</si>
  <si>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</si>
  <si>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</si>
  <si>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</si>
  <si>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</si>
  <si>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</si>
  <si>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</si>
  <si>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</si>
  <si>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</si>
  <si>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</si>
  <si>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</si>
  <si>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</si>
  <si>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</si>
  <si>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</si>
  <si>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</si>
  <si>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</si>
  <si>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</si>
  <si>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</si>
  <si>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</si>
  <si>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</si>
  <si>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</si>
  <si>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</si>
  <si>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</si>
  <si>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</si>
  <si>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</si>
  <si>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</si>
  <si>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</si>
  <si>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</si>
  <si>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</si>
  <si>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</si>
  <si>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</si>
  <si>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</si>
  <si>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</si>
  <si>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</si>
  <si>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</si>
  <si>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</si>
  <si>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</si>
  <si>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</si>
  <si>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</si>
  <si>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</si>
  <si>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</si>
  <si>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</si>
  <si>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</si>
  <si>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</si>
  <si>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</si>
  <si>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</si>
  <si>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</si>
  <si>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</si>
  <si>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</si>
  <si>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</si>
  <si>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</si>
  <si>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</si>
  <si>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</si>
  <si>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</si>
  <si>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</si>
  <si>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</si>
  <si>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</si>
  <si>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</si>
  <si>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</si>
  <si>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</si>
  <si>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</si>
  <si>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</si>
  <si>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</si>
  <si>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</si>
  <si>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</si>
  <si>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</si>
  <si>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</si>
  <si>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</si>
  <si>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</si>
  <si>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</si>
  <si>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</si>
  <si>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</si>
  <si>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</si>
  <si>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</si>
  <si>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</si>
  <si>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</si>
  <si>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</si>
  <si>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</si>
  <si>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</si>
  <si>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</si>
  <si>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</si>
  <si>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</si>
  <si>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</si>
  <si>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</si>
  <si>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</si>
  <si>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</si>
  <si>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</si>
  <si>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</si>
  <si>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</si>
  <si>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</si>
  <si>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</si>
  <si>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</si>
  <si>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</si>
  <si>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</si>
  <si>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</si>
  <si>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</si>
  <si>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</si>
  <si>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</si>
  <si>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</si>
  <si>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</si>
  <si>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</si>
  <si>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</si>
  <si>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</si>
  <si>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</si>
  <si>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</si>
  <si>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</si>
  <si>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</si>
  <si>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</si>
  <si>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</si>
  <si>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</si>
  <si>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</si>
  <si>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</si>
  <si>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</si>
  <si>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</si>
  <si>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</si>
  <si>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</si>
  <si>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</si>
  <si>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</si>
  <si>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</si>
  <si>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</si>
  <si>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</si>
  <si>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</si>
  <si>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</si>
  <si>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</si>
  <si>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</si>
  <si>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</si>
  <si>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</si>
  <si>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</si>
  <si>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</si>
  <si>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</si>
  <si>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</si>
  <si>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</si>
  <si>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</si>
  <si>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</si>
  <si>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</si>
  <si>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</si>
  <si>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</si>
  <si>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</si>
  <si>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</si>
  <si>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</si>
  <si>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</si>
  <si>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</si>
  <si>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</si>
  <si>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</si>
  <si>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</si>
  <si>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</si>
  <si>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</si>
  <si>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</si>
  <si>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</si>
  <si>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</si>
  <si>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</si>
  <si>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</si>
  <si>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</si>
  <si>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</si>
  <si>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</si>
  <si>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</si>
  <si>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</si>
  <si>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</si>
  <si>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</si>
  <si>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</si>
  <si>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</si>
  <si>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</si>
  <si>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</si>
  <si>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</si>
  <si>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</si>
  <si>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</si>
  <si>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</si>
  <si>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</si>
  <si>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</si>
  <si>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</si>
  <si>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</si>
  <si>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</si>
  <si>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</si>
  <si>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</si>
  <si>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</si>
  <si>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</si>
  <si>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</si>
  <si>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</si>
  <si>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</si>
  <si>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</si>
  <si>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</si>
  <si>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</si>
  <si>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</si>
  <si>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</si>
  <si>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</si>
  <si>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</si>
  <si>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</si>
  <si>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</si>
  <si>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</si>
  <si>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</si>
  <si>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</si>
  <si>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</si>
  <si>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</si>
  <si>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</si>
  <si>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</si>
  <si>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</si>
  <si>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</si>
  <si>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</si>
  <si>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</si>
  <si>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</si>
  <si>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</si>
  <si>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</si>
  <si>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</si>
  <si>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</si>
  <si>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</si>
  <si>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</si>
  <si>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</si>
  <si>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</si>
  <si>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</si>
  <si>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</si>
  <si>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</si>
  <si>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</si>
  <si>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</si>
  <si>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</si>
  <si>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</si>
  <si>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</si>
  <si>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</si>
  <si>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</si>
  <si>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</si>
  <si>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</si>
  <si>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</si>
  <si>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</si>
  <si>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</si>
  <si>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</si>
  <si>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</si>
  <si>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</si>
  <si>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</si>
  <si>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</si>
  <si>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</si>
  <si>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</si>
  <si>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</si>
  <si>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</si>
  <si>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</si>
  <si>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</si>
  <si>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</si>
  <si>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</si>
  <si>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</si>
  <si>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</si>
  <si>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</si>
  <si>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</si>
  <si>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</si>
  <si>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</si>
  <si>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</si>
  <si>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</si>
  <si>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</si>
  <si>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</si>
  <si>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</si>
  <si>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</si>
  <si>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</si>
  <si>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</si>
  <si>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</si>
  <si>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</si>
  <si>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</si>
  <si>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</si>
  <si>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</si>
  <si>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</si>
  <si>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</si>
  <si>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</si>
  <si>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</si>
  <si>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</si>
  <si>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</si>
  <si>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</si>
  <si>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</si>
  <si>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</si>
  <si>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</si>
  <si>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</si>
  <si>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</si>
  <si>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</si>
  <si>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</si>
  <si>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</si>
  <si>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</si>
  <si>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</si>
  <si>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</si>
  <si>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</si>
  <si>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</si>
  <si>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</si>
  <si>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</si>
  <si>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</si>
  <si>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</si>
  <si>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</si>
  <si>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</si>
  <si>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</si>
  <si>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</si>
  <si>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</si>
  <si>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</si>
  <si>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</si>
  <si>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</si>
  <si>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</si>
  <si>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</si>
  <si>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</si>
  <si>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</si>
  <si>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</si>
  <si>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</si>
  <si>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</si>
  <si>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</si>
  <si>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</si>
  <si>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</si>
  <si>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</si>
  <si>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</si>
  <si>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</si>
  <si>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</si>
  <si>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</si>
  <si>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</si>
  <si>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</si>
  <si>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</si>
  <si>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</si>
  <si>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</si>
  <si>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</si>
  <si>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</si>
  <si>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</si>
  <si>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</si>
  <si>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</si>
  <si>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</si>
  <si>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</si>
  <si>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</si>
  <si>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</si>
  <si>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</si>
  <si>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</si>
  <si>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</si>
  <si>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</si>
  <si>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</si>
  <si>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</si>
  <si>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</si>
  <si>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</si>
  <si>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</si>
  <si>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</si>
  <si>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</si>
  <si>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</si>
  <si>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</si>
  <si>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</si>
  <si>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</si>
  <si>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</si>
  <si>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</si>
  <si>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</si>
  <si>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</si>
  <si>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</si>
  <si>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</si>
  <si>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</si>
  <si>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</si>
  <si>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</si>
  <si>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</si>
  <si>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</si>
  <si>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</si>
  <si>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</si>
  <si>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</si>
  <si>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</si>
  <si>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</si>
  <si>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</si>
  <si>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</si>
  <si>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</si>
  <si>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</si>
  <si>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</si>
  <si>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</si>
  <si>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</si>
  <si>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</si>
  <si>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</si>
  <si>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</si>
  <si>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</si>
  <si>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</si>
  <si>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</si>
  <si>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</si>
  <si>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</si>
  <si>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</si>
  <si>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</si>
  <si>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</si>
  <si>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</si>
  <si>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</si>
  <si>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</si>
  <si>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</si>
  <si>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</si>
  <si>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</si>
  <si>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</si>
  <si>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</si>
  <si>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</si>
  <si>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</si>
  <si>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</si>
  <si>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</si>
  <si>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</si>
  <si>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</si>
  <si>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</si>
  <si>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</si>
  <si>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</si>
  <si>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</si>
  <si>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</si>
  <si>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</si>
  <si>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</si>
  <si>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</si>
  <si>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</si>
  <si>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</si>
  <si>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</si>
  <si>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</si>
  <si>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</si>
  <si>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</si>
  <si>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</si>
  <si>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</si>
  <si>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</si>
  <si>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</si>
  <si>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</si>
  <si>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</si>
  <si>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</si>
  <si>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</si>
  <si>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</si>
  <si>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</si>
  <si>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</si>
  <si>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</si>
  <si>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</si>
  <si>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</si>
  <si>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</si>
  <si>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</si>
  <si>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</si>
  <si>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</si>
  <si>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</si>
  <si>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</si>
  <si>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</si>
  <si>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</si>
  <si>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</si>
  <si>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</si>
  <si>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</si>
  <si>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</si>
  <si>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</si>
  <si>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</si>
  <si>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</si>
  <si>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</si>
  <si>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</si>
  <si>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</si>
  <si>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</si>
  <si>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</si>
  <si>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</si>
  <si>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</si>
  <si>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</si>
  <si>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</si>
  <si>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</si>
  <si>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</si>
  <si>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</si>
  <si>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</si>
  <si>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</si>
  <si>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</si>
  <si>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</si>
  <si>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</si>
  <si>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</si>
  <si>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</si>
  <si>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</si>
  <si>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</si>
  <si>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</si>
  <si>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</si>
  <si>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</si>
  <si>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</si>
  <si>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</si>
  <si>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</si>
  <si>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</si>
  <si>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</si>
  <si>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</si>
  <si>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</si>
  <si>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</si>
  <si>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</si>
  <si>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</si>
  <si>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</si>
  <si>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</si>
  <si>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</si>
  <si>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</si>
  <si>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</si>
  <si>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</si>
  <si>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</si>
  <si>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</si>
  <si>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</si>
  <si>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</si>
  <si>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</si>
  <si>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</si>
  <si>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</si>
  <si>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</si>
  <si>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</si>
  <si>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</si>
  <si>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</si>
  <si>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</si>
  <si>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</si>
  <si>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</si>
  <si>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</si>
  <si>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</si>
  <si>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태안여자고등학교</t>
    <phoneticPr fontId="9" type="noConversion"/>
  </si>
  <si>
    <t>문화예술디자인방송</t>
  </si>
  <si>
    <t>문화콘텐츠과</t>
  </si>
  <si>
    <t>마케팅과</t>
  </si>
  <si>
    <t>미디어콘텐츠과</t>
    <phoneticPr fontId="9" type="noConversion"/>
  </si>
  <si>
    <t>스포츠 과학*</t>
    <phoneticPr fontId="9" type="noConversion"/>
  </si>
  <si>
    <t>성공적인 직업생활</t>
    <phoneticPr fontId="9" type="noConversion"/>
  </si>
  <si>
    <t>미디어콘텐츠 일반</t>
    <phoneticPr fontId="5" type="noConversion"/>
  </si>
  <si>
    <t>컴퓨터 그래픽</t>
    <phoneticPr fontId="5" type="noConversion"/>
  </si>
  <si>
    <t>영상 제작 기초</t>
    <phoneticPr fontId="9" type="noConversion"/>
  </si>
  <si>
    <t>문화 콘텐츠 산업 일반</t>
    <phoneticPr fontId="9" type="noConversion"/>
  </si>
  <si>
    <t>방송 콘텐츠 제작</t>
    <phoneticPr fontId="9" type="noConversion"/>
  </si>
  <si>
    <t>시각 디자인</t>
    <phoneticPr fontId="9" type="noConversion"/>
  </si>
  <si>
    <t>색채 디자인</t>
    <phoneticPr fontId="9" type="noConversion"/>
  </si>
  <si>
    <t>사무 관리</t>
    <phoneticPr fontId="9" type="noConversion"/>
  </si>
  <si>
    <t>상업 경제</t>
    <phoneticPr fontId="9" type="noConversion"/>
  </si>
  <si>
    <t>마케팅과 광고</t>
    <phoneticPr fontId="9" type="noConversion"/>
  </si>
  <si>
    <t>스마트 문화 앱 콘텐츠 제작</t>
    <phoneticPr fontId="9" type="noConversion"/>
  </si>
  <si>
    <t>광고 콘텐츠 제작</t>
    <phoneticPr fontId="9" type="noConversion"/>
  </si>
  <si>
    <t>캐릭터 제작</t>
    <phoneticPr fontId="9" type="noConversion"/>
  </si>
  <si>
    <t>방송 일반</t>
    <phoneticPr fontId="9" type="noConversion"/>
  </si>
  <si>
    <t>VR·AR 콘텐츠 제작</t>
    <phoneticPr fontId="9" type="noConversion"/>
  </si>
  <si>
    <t>국/영/수 택2</t>
    <phoneticPr fontId="9" type="noConversion"/>
  </si>
  <si>
    <t>콘텐츠 
크리에이터</t>
    <phoneticPr fontId="9" type="noConversion"/>
  </si>
  <si>
    <t>콘텐츠 
마케터</t>
    <phoneticPr fontId="9" type="noConversion"/>
  </si>
  <si>
    <t>전공 
선택
(택1)</t>
    <phoneticPr fontId="9" type="noConversion"/>
  </si>
  <si>
    <t>2D 캐릭터 제작</t>
  </si>
  <si>
    <t>0803020817_18v3</t>
  </si>
  <si>
    <t>캐릭터 응용콘텐츠 적용</t>
  </si>
  <si>
    <t>0803020819_18v1</t>
  </si>
  <si>
    <t>비주얼 아이데이션 구상</t>
  </si>
  <si>
    <t>0802010116_20v4</t>
  </si>
  <si>
    <t>비주얼 아이데이션 전개</t>
  </si>
  <si>
    <t>0802010117_20v4</t>
  </si>
  <si>
    <t>시안 디자인 개발 기초</t>
  </si>
  <si>
    <t>0802010119_20v3</t>
  </si>
  <si>
    <t>시안 디자인 개발 응용</t>
  </si>
  <si>
    <t>0802010120_20v3</t>
  </si>
  <si>
    <t>색채디자인 요소 분석</t>
  </si>
  <si>
    <t>0802010802_23v2</t>
  </si>
  <si>
    <t>디지털색채 운용</t>
  </si>
  <si>
    <t>0802010807_23v2</t>
  </si>
  <si>
    <t>스마트문화앱 UX 설계</t>
  </si>
  <si>
    <t>0803020911_24v4</t>
  </si>
  <si>
    <t>스마트문화앱 UI 디자인</t>
  </si>
  <si>
    <t>0803020912_24v4</t>
  </si>
  <si>
    <t>스마트문화앱 구현</t>
  </si>
  <si>
    <t>0803020913_24v4</t>
  </si>
  <si>
    <t>스마트문화앱 테스트</t>
  </si>
  <si>
    <t>0803020914_24v4</t>
  </si>
  <si>
    <t>광고 전략 수립</t>
  </si>
  <si>
    <t>0803020402_16v2</t>
  </si>
  <si>
    <t>촬영 준비</t>
  </si>
  <si>
    <t>0803020413_16v2</t>
  </si>
  <si>
    <t>촬영 제작</t>
  </si>
  <si>
    <t>0803020414_16v2</t>
  </si>
  <si>
    <t>가상현실 스토리텔링</t>
  </si>
  <si>
    <t>0802011202_23v2</t>
  </si>
  <si>
    <t>가상현실 공간제작</t>
  </si>
  <si>
    <t>0802011203_17v1</t>
  </si>
  <si>
    <t>가상현실 UI/UX 디자인</t>
  </si>
  <si>
    <t>0802011204_17v1</t>
  </si>
  <si>
    <t>프로그램 기획</t>
  </si>
  <si>
    <t>0803020101_16v2</t>
  </si>
  <si>
    <t>스튜디오 제작</t>
  </si>
  <si>
    <t>0803020118_23v4</t>
  </si>
  <si>
    <t>제작편집</t>
  </si>
  <si>
    <t>0803020120_16v3</t>
  </si>
  <si>
    <t>방송 리허설</t>
  </si>
  <si>
    <t>0803020116_16v2</t>
  </si>
  <si>
    <t>가상현실 캐릭터디자인</t>
    <phoneticPr fontId="9" type="noConversion"/>
  </si>
  <si>
    <t>0802011205_17v1</t>
    <phoneticPr fontId="9" type="noConversion"/>
  </si>
  <si>
    <t>제작 기획</t>
  </si>
  <si>
    <t>0803020412_16v2</t>
  </si>
  <si>
    <t>콘텐츠마케터,
콘텐츠크리에이터</t>
    <phoneticPr fontId="9" type="noConversion"/>
  </si>
  <si>
    <t>이영원</t>
    <phoneticPr fontId="9" type="noConversion"/>
  </si>
  <si>
    <t>김상욱</t>
    <phoneticPr fontId="9" type="noConversion"/>
  </si>
  <si>
    <t>임용규</t>
    <phoneticPr fontId="9" type="noConversion"/>
  </si>
  <si>
    <t>041-670-6601</t>
    <phoneticPr fontId="9" type="noConversion"/>
  </si>
  <si>
    <t>041-670-7717</t>
    <phoneticPr fontId="9" type="noConversion"/>
  </si>
  <si>
    <t>041-670-7718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</si>
</sst>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&quot;0&quot;&quot;;&quot;&quot;;&quot;&quot;"/>
    <numFmt numFmtId="177" formatCode="mm&quot;월&quot;\ dd&quot;일&quot;"/>
  </numFmts>
  <fonts count="5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  <xf numFmtId="41" fontId="7" fillId="0" borderId="0" applyFont="0" applyFill="0" applyBorder="0" applyAlignment="0" applyProtection="0">
      <alignment vertical="center"/>
    </xf>
  </cellStyleXfs>
  <cellXfs count="5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13" fillId="10" borderId="94" xfId="6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2" fillId="12" borderId="96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24" fillId="3" borderId="54" xfId="3" applyFont="1" applyBorder="1" applyAlignment="1" applyProtection="1">
      <alignment horizontal="center" vertical="center"/>
      <protection locked="0"/>
    </xf>
    <xf numFmtId="0" fontId="36" fillId="9" borderId="14" xfId="7" applyNumberFormat="1" applyFont="1" applyFill="1" applyBorder="1" applyAlignment="1" applyProtection="1">
      <alignment horizontal="center" vertical="center" shrinkToFit="1"/>
    </xf>
    <xf numFmtId="176" fontId="36" fillId="9" borderId="14" xfId="7" applyNumberFormat="1" applyFont="1" applyFill="1" applyBorder="1" applyAlignment="1" applyProtection="1">
      <alignment horizontal="center" vertical="center" shrinkToFit="1"/>
    </xf>
    <xf numFmtId="0" fontId="27" fillId="11" borderId="96" xfId="7" applyFont="1" applyFill="1" applyBorder="1" applyAlignment="1" applyProtection="1">
      <alignment horizontal="center" vertical="center" wrapText="1"/>
    </xf>
    <xf numFmtId="0" fontId="36" fillId="9" borderId="95" xfId="7" applyNumberFormat="1" applyFont="1" applyFill="1" applyBorder="1" applyAlignment="1" applyProtection="1">
      <alignment horizontal="center" vertical="center" shrinkToFit="1"/>
    </xf>
    <xf numFmtId="176" fontId="36" fillId="9" borderId="95" xfId="7" applyNumberFormat="1" applyFont="1" applyFill="1" applyBorder="1" applyAlignment="1" applyProtection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37" fillId="18" borderId="112" xfId="0" applyFont="1" applyFill="1" applyBorder="1" applyAlignment="1">
      <alignment horizontal="center" vertical="center" shrinkToFit="1"/>
    </xf>
    <xf numFmtId="0" fontId="36" fillId="9" borderId="31" xfId="7" applyNumberFormat="1" applyFont="1" applyFill="1" applyBorder="1" applyAlignment="1" applyProtection="1">
      <alignment horizontal="center" vertical="center" shrinkToFit="1"/>
    </xf>
    <xf numFmtId="0" fontId="36" fillId="9" borderId="109" xfId="7" applyNumberFormat="1" applyFont="1" applyFill="1" applyBorder="1" applyAlignment="1" applyProtection="1">
      <alignment horizontal="center" vertical="center" shrinkToFit="1"/>
    </xf>
    <xf numFmtId="176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07" xfId="7" applyNumberFormat="1" applyFont="1" applyFill="1" applyBorder="1" applyAlignment="1" applyProtection="1">
      <alignment horizontal="center" vertical="center" shrinkToFit="1"/>
    </xf>
    <xf numFmtId="0" fontId="36" fillId="9" borderId="116" xfId="7" applyNumberFormat="1" applyFont="1" applyFill="1" applyBorder="1" applyAlignment="1" applyProtection="1">
      <alignment horizontal="center" vertical="center" shrinkToFit="1"/>
    </xf>
    <xf numFmtId="0" fontId="36" fillId="9" borderId="113" xfId="7" applyNumberFormat="1" applyFont="1" applyFill="1" applyBorder="1" applyAlignment="1" applyProtection="1">
      <alignment horizontal="center" vertical="center" shrinkToFit="1"/>
    </xf>
    <xf numFmtId="176" fontId="7" fillId="0" borderId="29" xfId="0" applyNumberFormat="1" applyFont="1" applyBorder="1" applyAlignment="1">
      <alignment horizontal="right" vertical="center"/>
    </xf>
    <xf numFmtId="176" fontId="7" fillId="0" borderId="95" xfId="0" applyNumberFormat="1" applyFont="1" applyBorder="1" applyAlignment="1">
      <alignment horizontal="right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36" fillId="0" borderId="95" xfId="7" applyNumberFormat="1" applyFont="1" applyFill="1" applyBorder="1" applyAlignment="1" applyProtection="1">
      <alignment horizontal="center" vertical="center" shrinkToFit="1"/>
    </xf>
    <xf numFmtId="176" fontId="38" fillId="16" borderId="96" xfId="7" applyNumberFormat="1" applyFont="1" applyFill="1" applyBorder="1" applyAlignment="1" applyProtection="1">
      <alignment horizontal="center" vertical="center" shrinkToFit="1"/>
    </xf>
    <xf numFmtId="176" fontId="38" fillId="16" borderId="96" xfId="7" applyNumberFormat="1" applyFont="1" applyFill="1" applyBorder="1" applyAlignment="1" applyProtection="1">
      <alignment horizontal="right" vertical="center" shrinkToFit="1"/>
    </xf>
    <xf numFmtId="0" fontId="36" fillId="0" borderId="113" xfId="7" applyNumberFormat="1" applyFont="1" applyFill="1" applyBorder="1" applyAlignment="1" applyProtection="1">
      <alignment horizontal="center" vertical="center" shrinkToFit="1"/>
    </xf>
    <xf numFmtId="0" fontId="36" fillId="0" borderId="115" xfId="7" applyNumberFormat="1" applyFont="1" applyFill="1" applyBorder="1" applyAlignment="1" applyProtection="1">
      <alignment horizontal="center" vertical="center" shrinkToFit="1"/>
    </xf>
    <xf numFmtId="0" fontId="36" fillId="0" borderId="108" xfId="7" applyNumberFormat="1" applyFont="1" applyFill="1" applyBorder="1" applyAlignment="1" applyProtection="1">
      <alignment horizontal="center" vertical="center" shrinkToFit="1"/>
    </xf>
    <xf numFmtId="0" fontId="36" fillId="0" borderId="114" xfId="7" applyNumberFormat="1" applyFont="1" applyFill="1" applyBorder="1" applyAlignment="1" applyProtection="1">
      <alignment horizontal="center" vertical="center" shrinkToFit="1"/>
    </xf>
    <xf numFmtId="0" fontId="12" fillId="12" borderId="117" xfId="0" applyFont="1" applyFill="1" applyBorder="1" applyAlignment="1" applyProtection="1">
      <alignment horizontal="center" vertical="center"/>
      <protection locked="0"/>
    </xf>
    <xf numFmtId="0" fontId="28" fillId="15" borderId="39" xfId="4" applyFont="1" applyFill="1" applyBorder="1" applyAlignment="1" applyProtection="1">
      <alignment horizontal="center" vertical="center" wrapText="1"/>
    </xf>
    <xf numFmtId="0" fontId="28" fillId="15" borderId="42" xfId="4" applyFont="1" applyFill="1" applyBorder="1" applyAlignment="1" applyProtection="1">
      <alignment horizontal="center" vertical="center" wrapText="1"/>
    </xf>
    <xf numFmtId="0" fontId="28" fillId="15" borderId="43" xfId="4" applyFont="1" applyFill="1" applyBorder="1" applyAlignment="1" applyProtection="1">
      <alignment horizontal="center" vertical="center" wrapText="1"/>
    </xf>
    <xf numFmtId="0" fontId="28" fillId="15" borderId="55" xfId="4" applyFont="1" applyFill="1" applyBorder="1" applyAlignment="1" applyProtection="1">
      <alignment horizontal="center" vertical="center" wrapText="1"/>
    </xf>
    <xf numFmtId="0" fontId="28" fillId="0" borderId="56" xfId="4" applyFont="1" applyFill="1" applyBorder="1" applyAlignment="1" applyProtection="1">
      <alignment horizontal="center" vertical="center" wrapText="1"/>
    </xf>
    <xf numFmtId="0" fontId="28" fillId="15" borderId="57" xfId="4" applyFont="1" applyFill="1" applyBorder="1" applyAlignment="1" applyProtection="1">
      <alignment horizontal="center" vertical="center" wrapText="1"/>
    </xf>
    <xf numFmtId="0" fontId="28" fillId="0" borderId="100" xfId="4" applyFont="1" applyFill="1" applyBorder="1" applyAlignment="1" applyProtection="1">
      <alignment horizontal="center" vertical="center" wrapText="1"/>
    </xf>
    <xf numFmtId="0" fontId="28" fillId="15" borderId="101" xfId="4" applyFont="1" applyFill="1" applyBorder="1" applyAlignment="1" applyProtection="1">
      <alignment horizontal="center" vertical="center" wrapText="1"/>
    </xf>
    <xf numFmtId="0" fontId="28" fillId="15" borderId="67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28" fillId="15" borderId="44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0" fontId="12" fillId="0" borderId="107" xfId="0" applyFont="1" applyBorder="1" applyAlignment="1" applyProtection="1">
      <alignment horizontal="center" vertical="center" shrinkToFit="1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3" xfId="4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98" xfId="4" applyFont="1" applyFill="1" applyBorder="1" applyAlignment="1" applyProtection="1">
      <alignment horizontal="center" vertical="center" wrapText="1"/>
    </xf>
    <xf numFmtId="0" fontId="21" fillId="15" borderId="36" xfId="4" applyFont="1" applyFill="1" applyBorder="1" applyAlignment="1" applyProtection="1">
      <alignment horizontal="center" vertical="center" wrapText="1"/>
    </xf>
    <xf numFmtId="0" fontId="21" fillId="15" borderId="37" xfId="4" applyFont="1" applyFill="1" applyBorder="1" applyAlignment="1" applyProtection="1">
      <alignment horizontal="center" vertical="center" shrinkToFit="1"/>
    </xf>
    <xf numFmtId="0" fontId="21" fillId="15" borderId="38" xfId="4" applyFont="1" applyFill="1" applyBorder="1" applyAlignment="1" applyProtection="1">
      <alignment horizontal="center" vertical="center" shrinkToFi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1" xfId="4" applyFont="1" applyFill="1" applyBorder="1" applyAlignment="1" applyProtection="1">
      <alignment horizontal="center" vertical="center" wrapText="1"/>
    </xf>
    <xf numFmtId="0" fontId="21" fillId="0" borderId="127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8" xfId="16" applyFont="1" applyFill="1" applyBorder="1" applyAlignment="1">
      <alignment horizontal="center" vertical="center"/>
    </xf>
    <xf numFmtId="0" fontId="35" fillId="0" borderId="129" xfId="16" applyFont="1" applyBorder="1" applyAlignment="1">
      <alignment vertical="center"/>
    </xf>
    <xf numFmtId="0" fontId="35" fillId="0" borderId="27" xfId="16" applyFont="1" applyBorder="1" applyAlignment="1">
      <alignment vertical="center"/>
    </xf>
    <xf numFmtId="0" fontId="35" fillId="0" borderId="24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1" borderId="142" xfId="16" applyFont="1" applyFill="1" applyBorder="1" applyAlignment="1">
      <alignment horizontal="center" vertical="center" wrapText="1"/>
    </xf>
    <xf numFmtId="0" fontId="35" fillId="21" borderId="143" xfId="16" applyFont="1" applyFill="1" applyBorder="1" applyAlignment="1">
      <alignment horizontal="center" vertical="center" wrapText="1"/>
    </xf>
    <xf numFmtId="0" fontId="48" fillId="21" borderId="143" xfId="16" applyFont="1" applyFill="1" applyBorder="1" applyAlignment="1">
      <alignment horizontal="center" vertical="center" wrapText="1"/>
    </xf>
    <xf numFmtId="0" fontId="48" fillId="21" borderId="144" xfId="16" applyFont="1" applyFill="1" applyBorder="1" applyAlignment="1">
      <alignment horizontal="center" vertical="center" wrapText="1"/>
    </xf>
    <xf numFmtId="0" fontId="35" fillId="0" borderId="20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9" fillId="0" borderId="148" xfId="16" applyFont="1" applyBorder="1" applyAlignment="1">
      <alignment horizontal="center" vertical="center" wrapText="1"/>
    </xf>
    <xf numFmtId="0" fontId="49" fillId="0" borderId="150" xfId="16" applyFont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49" fillId="0" borderId="155" xfId="16" applyFont="1" applyBorder="1" applyAlignment="1">
      <alignment horizontal="center" vertical="center" wrapText="1"/>
    </xf>
    <xf numFmtId="0" fontId="49" fillId="0" borderId="158" xfId="16" applyFont="1" applyBorder="1" applyAlignment="1">
      <alignment horizontal="center" vertical="center" wrapText="1"/>
    </xf>
    <xf numFmtId="0" fontId="49" fillId="0" borderId="159" xfId="16" applyFont="1" applyBorder="1" applyAlignment="1">
      <alignment horizontal="center" vertical="center" wrapText="1"/>
    </xf>
    <xf numFmtId="0" fontId="49" fillId="0" borderId="161" xfId="16" applyFont="1" applyBorder="1" applyAlignment="1">
      <alignment horizontal="center" vertical="center" wrapText="1"/>
    </xf>
    <xf numFmtId="0" fontId="35" fillId="0" borderId="161" xfId="16" applyFont="1" applyBorder="1" applyAlignment="1">
      <alignment horizontal="center" vertical="center" wrapText="1"/>
    </xf>
    <xf numFmtId="0" fontId="49" fillId="0" borderId="162" xfId="16" applyFont="1" applyBorder="1" applyAlignment="1">
      <alignment horizontal="center" vertical="center" wrapText="1"/>
    </xf>
    <xf numFmtId="0" fontId="35" fillId="0" borderId="155" xfId="16" applyFont="1" applyBorder="1" applyAlignment="1">
      <alignment horizontal="center" vertical="center" wrapText="1"/>
    </xf>
    <xf numFmtId="0" fontId="35" fillId="0" borderId="158" xfId="16" applyFont="1" applyBorder="1" applyAlignment="1">
      <alignment horizontal="center" vertical="center" wrapText="1"/>
    </xf>
    <xf numFmtId="0" fontId="49" fillId="0" borderId="134" xfId="16" applyFont="1" applyBorder="1" applyAlignment="1">
      <alignment horizontal="center" vertical="center" wrapText="1"/>
    </xf>
    <xf numFmtId="0" fontId="51" fillId="21" borderId="134" xfId="16" applyFont="1" applyFill="1" applyBorder="1" applyAlignment="1">
      <alignment horizontal="center" vertical="center" wrapText="1"/>
    </xf>
    <xf numFmtId="0" fontId="52" fillId="0" borderId="155" xfId="16" applyFont="1" applyBorder="1" applyAlignment="1">
      <alignment horizontal="center" vertical="center" wrapText="1"/>
    </xf>
    <xf numFmtId="0" fontId="52" fillId="0" borderId="133" xfId="16" applyFont="1" applyBorder="1" applyAlignment="1">
      <alignment horizontal="center" vertical="center" wrapText="1"/>
    </xf>
    <xf numFmtId="0" fontId="51" fillId="0" borderId="134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34" xfId="16" applyFont="1" applyBorder="1" applyAlignment="1">
      <alignment horizontal="center" vertical="center"/>
    </xf>
    <xf numFmtId="0" fontId="47" fillId="20" borderId="155" xfId="16" applyFont="1" applyFill="1" applyBorder="1" applyAlignment="1">
      <alignment horizontal="center" vertical="center"/>
    </xf>
    <xf numFmtId="0" fontId="47" fillId="20" borderId="133" xfId="16" applyFont="1" applyFill="1" applyBorder="1" applyAlignment="1">
      <alignment horizontal="center" vertical="center" wrapText="1"/>
    </xf>
    <xf numFmtId="0" fontId="53" fillId="0" borderId="155" xfId="16" applyFont="1" applyBorder="1" applyAlignment="1">
      <alignment horizontal="center" vertical="center" wrapText="1"/>
    </xf>
    <xf numFmtId="0" fontId="53" fillId="0" borderId="134" xfId="16" applyFont="1" applyBorder="1" applyAlignment="1">
      <alignment horizontal="center" vertical="center" wrapText="1"/>
    </xf>
    <xf numFmtId="0" fontId="47" fillId="0" borderId="155" xfId="16" applyFont="1" applyBorder="1" applyAlignment="1">
      <alignment horizontal="center" vertical="center" wrapText="1"/>
    </xf>
    <xf numFmtId="0" fontId="47" fillId="0" borderId="134" xfId="16" applyFont="1" applyBorder="1" applyAlignment="1">
      <alignment horizontal="center" vertical="center" wrapText="1"/>
    </xf>
    <xf numFmtId="0" fontId="35" fillId="0" borderId="155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7" fillId="20" borderId="134" xfId="16" applyFont="1" applyFill="1" applyBorder="1" applyAlignment="1">
      <alignment horizontal="center" vertical="center"/>
    </xf>
    <xf numFmtId="0" fontId="47" fillId="0" borderId="133" xfId="16" applyFont="1" applyBorder="1" applyAlignment="1">
      <alignment horizontal="center" vertical="center"/>
    </xf>
    <xf numFmtId="0" fontId="47" fillId="0" borderId="155" xfId="16" applyFont="1" applyBorder="1" applyAlignment="1">
      <alignment horizontal="center" vertical="center"/>
    </xf>
    <xf numFmtId="0" fontId="54" fillId="0" borderId="155" xfId="16" applyFont="1" applyBorder="1" applyAlignment="1">
      <alignment horizontal="center" vertical="center"/>
    </xf>
    <xf numFmtId="0" fontId="54" fillId="0" borderId="134" xfId="16" applyFont="1" applyBorder="1" applyAlignment="1">
      <alignment horizontal="center" vertical="center"/>
    </xf>
    <xf numFmtId="0" fontId="35" fillId="0" borderId="141" xfId="16" applyFont="1" applyBorder="1" applyAlignment="1">
      <alignment vertical="center"/>
    </xf>
    <xf numFmtId="0" fontId="35" fillId="0" borderId="139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67" xfId="16" applyFont="1" applyBorder="1" applyAlignment="1">
      <alignment vertical="center"/>
    </xf>
    <xf numFmtId="0" fontId="35" fillId="0" borderId="112" xfId="16" applyFont="1" applyBorder="1" applyAlignment="1">
      <alignment vertical="center"/>
    </xf>
    <xf numFmtId="0" fontId="35" fillId="0" borderId="137" xfId="16" applyFont="1" applyBorder="1" applyAlignment="1">
      <alignment vertical="center"/>
    </xf>
    <xf numFmtId="0" fontId="35" fillId="0" borderId="169" xfId="16" applyFont="1" applyBorder="1" applyAlignment="1">
      <alignment vertical="center"/>
    </xf>
    <xf numFmtId="0" fontId="35" fillId="0" borderId="17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10" borderId="63" xfId="6" applyFont="1" applyFill="1" applyBorder="1" applyAlignment="1" applyProtection="1">
      <alignment horizontal="center" vertical="center" wrapText="1"/>
    </xf>
    <xf numFmtId="0" fontId="28" fillId="15" borderId="73" xfId="4" applyFont="1" applyFill="1" applyBorder="1" applyAlignment="1" applyProtection="1">
      <alignment horizontal="center" vertical="center" wrapText="1"/>
    </xf>
    <xf numFmtId="0" fontId="28" fillId="15" borderId="76" xfId="4" applyFont="1" applyFill="1" applyBorder="1" applyAlignment="1" applyProtection="1">
      <alignment horizontal="center" vertical="center" wrapText="1"/>
    </xf>
    <xf numFmtId="0" fontId="28" fillId="0" borderId="32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8" fillId="0" borderId="75" xfId="4" applyFont="1" applyFill="1" applyBorder="1" applyAlignment="1" applyProtection="1">
      <alignment vertical="center" wrapText="1"/>
      <protection locked="0"/>
    </xf>
    <xf numFmtId="0" fontId="28" fillId="0" borderId="20" xfId="4" applyFont="1" applyFill="1" applyBorder="1" applyAlignment="1" applyProtection="1">
      <alignment vertical="center" wrapText="1"/>
      <protection locked="0"/>
    </xf>
    <xf numFmtId="0" fontId="13" fillId="15" borderId="4" xfId="5" applyFont="1" applyFill="1" applyBorder="1" applyAlignment="1" applyProtection="1">
      <alignment vertical="center" wrapText="1"/>
    </xf>
    <xf numFmtId="0" fontId="13" fillId="15" borderId="24" xfId="5" applyFont="1" applyFill="1" applyBorder="1" applyAlignment="1" applyProtection="1">
      <alignment vertical="center" wrapText="1"/>
    </xf>
    <xf numFmtId="0" fontId="13" fillId="15" borderId="6" xfId="5" applyFont="1" applyFill="1" applyBorder="1" applyAlignment="1" applyProtection="1">
      <alignment vertical="center" wrapText="1"/>
    </xf>
    <xf numFmtId="0" fontId="13" fillId="15" borderId="20" xfId="5" applyFont="1" applyFill="1" applyBorder="1" applyAlignment="1" applyProtection="1">
      <alignment vertical="center" wrapText="1"/>
    </xf>
    <xf numFmtId="0" fontId="13" fillId="15" borderId="18" xfId="5" applyFont="1" applyFill="1" applyBorder="1" applyAlignment="1" applyProtection="1">
      <alignment vertical="center" wrapText="1"/>
    </xf>
    <xf numFmtId="0" fontId="13" fillId="15" borderId="21" xfId="5" applyFont="1" applyFill="1" applyBorder="1" applyAlignment="1" applyProtection="1">
      <alignment vertical="center" wrapText="1"/>
    </xf>
    <xf numFmtId="0" fontId="28" fillId="0" borderId="50" xfId="4" applyFont="1" applyFill="1" applyBorder="1" applyAlignment="1" applyProtection="1">
      <alignment vertical="center" wrapText="1"/>
      <protection locked="0"/>
    </xf>
    <xf numFmtId="0" fontId="28" fillId="0" borderId="122" xfId="4" applyFont="1" applyFill="1" applyBorder="1" applyAlignment="1" applyProtection="1">
      <alignment vertical="center" wrapText="1"/>
      <protection locked="0"/>
    </xf>
    <xf numFmtId="0" fontId="28" fillId="0" borderId="51" xfId="4" applyFont="1" applyFill="1" applyBorder="1" applyAlignment="1" applyProtection="1">
      <alignment vertical="center" wrapText="1"/>
      <protection locked="0"/>
    </xf>
    <xf numFmtId="0" fontId="13" fillId="15" borderId="4" xfId="4" applyFont="1" applyFill="1" applyBorder="1" applyAlignment="1" applyProtection="1">
      <alignment vertical="center" wrapText="1"/>
    </xf>
    <xf numFmtId="0" fontId="13" fillId="15" borderId="24" xfId="4" applyFont="1" applyFill="1" applyBorder="1" applyAlignment="1" applyProtection="1">
      <alignment vertical="center" wrapText="1"/>
    </xf>
    <xf numFmtId="0" fontId="13" fillId="15" borderId="6" xfId="4" applyFont="1" applyFill="1" applyBorder="1" applyAlignment="1" applyProtection="1">
      <alignment vertical="center" wrapText="1"/>
    </xf>
    <xf numFmtId="0" fontId="13" fillId="15" borderId="20" xfId="4" applyFont="1" applyFill="1" applyBorder="1" applyAlignment="1" applyProtection="1">
      <alignment vertical="center" wrapText="1"/>
    </xf>
    <xf numFmtId="0" fontId="13" fillId="15" borderId="18" xfId="4" applyFont="1" applyFill="1" applyBorder="1" applyAlignment="1" applyProtection="1">
      <alignment vertical="center" wrapText="1"/>
    </xf>
    <xf numFmtId="0" fontId="13" fillId="15" borderId="21" xfId="4" applyFont="1" applyFill="1" applyBorder="1" applyAlignment="1" applyProtection="1">
      <alignment vertical="center" wrapText="1"/>
    </xf>
    <xf numFmtId="0" fontId="28" fillId="0" borderId="64" xfId="4" applyFont="1" applyFill="1" applyBorder="1" applyAlignment="1" applyProtection="1">
      <alignment vertical="center" wrapText="1"/>
    </xf>
    <xf numFmtId="0" fontId="28" fillId="0" borderId="93" xfId="4" applyFont="1" applyFill="1" applyBorder="1" applyAlignment="1" applyProtection="1">
      <alignment vertical="center" wrapText="1"/>
    </xf>
    <xf numFmtId="0" fontId="28" fillId="0" borderId="89" xfId="4" applyFont="1" applyFill="1" applyBorder="1" applyAlignment="1" applyProtection="1">
      <alignment vertical="center" wrapText="1"/>
      <protection locked="0"/>
    </xf>
    <xf numFmtId="0" fontId="28" fillId="0" borderId="40" xfId="4" applyFont="1" applyFill="1" applyBorder="1" applyAlignment="1" applyProtection="1">
      <alignment vertical="center" wrapText="1"/>
    </xf>
    <xf numFmtId="0" fontId="28" fillId="0" borderId="32" xfId="4" applyFont="1" applyFill="1" applyBorder="1" applyAlignment="1" applyProtection="1">
      <alignment vertical="center" wrapText="1"/>
    </xf>
    <xf numFmtId="0" fontId="28" fillId="0" borderId="45" xfId="4" applyFont="1" applyFill="1" applyBorder="1" applyAlignment="1" applyProtection="1">
      <alignment vertical="center" wrapText="1"/>
    </xf>
    <xf numFmtId="0" fontId="28" fillId="0" borderId="124" xfId="4" applyFont="1" applyFill="1" applyBorder="1" applyAlignment="1" applyProtection="1">
      <alignment vertical="center" wrapText="1"/>
      <protection locked="0"/>
    </xf>
    <xf numFmtId="0" fontId="13" fillId="10" borderId="23" xfId="6" applyFont="1" applyFill="1" applyBorder="1" applyAlignment="1" applyProtection="1">
      <alignment vertical="center" wrapText="1"/>
    </xf>
    <xf numFmtId="0" fontId="13" fillId="10" borderId="22" xfId="6" applyFont="1" applyFill="1" applyBorder="1" applyAlignment="1" applyProtection="1">
      <alignment vertical="center" wrapText="1"/>
    </xf>
    <xf numFmtId="0" fontId="13" fillId="10" borderId="28" xfId="6" applyFont="1" applyFill="1" applyBorder="1" applyAlignment="1" applyProtection="1">
      <alignment vertical="center" wrapText="1"/>
    </xf>
    <xf numFmtId="0" fontId="13" fillId="10" borderId="56" xfId="6" applyFont="1" applyFill="1" applyBorder="1" applyAlignment="1" applyProtection="1">
      <alignment vertical="center" wrapText="1"/>
    </xf>
    <xf numFmtId="0" fontId="13" fillId="15" borderId="48" xfId="5" applyFont="1" applyFill="1" applyBorder="1" applyAlignment="1" applyProtection="1">
      <alignment vertical="center" wrapText="1"/>
    </xf>
    <xf numFmtId="0" fontId="13" fillId="15" borderId="52" xfId="5" applyFont="1" applyFill="1" applyBorder="1" applyAlignment="1" applyProtection="1">
      <alignment vertical="center" wrapText="1"/>
    </xf>
    <xf numFmtId="0" fontId="28" fillId="0" borderId="126" xfId="4" applyFont="1" applyFill="1" applyBorder="1" applyAlignment="1" applyProtection="1">
      <alignment vertical="center" wrapText="1"/>
      <protection locked="0"/>
    </xf>
    <xf numFmtId="0" fontId="13" fillId="10" borderId="62" xfId="6" applyFont="1" applyFill="1" applyBorder="1" applyAlignment="1" applyProtection="1">
      <alignment vertical="center" wrapText="1"/>
    </xf>
    <xf numFmtId="0" fontId="13" fillId="10" borderId="81" xfId="6" applyFont="1" applyFill="1" applyBorder="1" applyAlignment="1" applyProtection="1">
      <alignment vertical="center" wrapText="1"/>
    </xf>
    <xf numFmtId="0" fontId="13" fillId="15" borderId="23" xfId="5" applyFont="1" applyFill="1" applyBorder="1" applyAlignment="1" applyProtection="1">
      <alignment vertical="center" wrapText="1"/>
    </xf>
    <xf numFmtId="0" fontId="13" fillId="15" borderId="28" xfId="5" applyFont="1" applyFill="1" applyBorder="1" applyAlignment="1" applyProtection="1">
      <alignment vertical="center" wrapText="1"/>
    </xf>
    <xf numFmtId="0" fontId="13" fillId="10" borderId="57" xfId="6" applyFont="1" applyFill="1" applyBorder="1" applyAlignment="1" applyProtection="1">
      <alignment vertical="center" wrapText="1"/>
    </xf>
    <xf numFmtId="0" fontId="13" fillId="10" borderId="63" xfId="6" applyFont="1" applyFill="1" applyBorder="1" applyAlignment="1" applyProtection="1">
      <alignment vertical="center" wrapText="1"/>
    </xf>
    <xf numFmtId="0" fontId="13" fillId="10" borderId="85" xfId="6" applyFont="1" applyFill="1" applyBorder="1" applyAlignment="1" applyProtection="1">
      <alignment vertical="center" wrapText="1"/>
    </xf>
    <xf numFmtId="0" fontId="28" fillId="0" borderId="71" xfId="4" applyFont="1" applyFill="1" applyBorder="1" applyAlignment="1" applyProtection="1">
      <alignment vertical="center" wrapText="1"/>
      <protection locked="0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173" xfId="4" applyFont="1" applyFill="1" applyBorder="1" applyAlignment="1" applyProtection="1">
      <alignment horizontal="center" vertical="center" wrapText="1"/>
    </xf>
    <xf numFmtId="0" fontId="28" fillId="0" borderId="174" xfId="4" applyFont="1" applyFill="1" applyBorder="1" applyAlignment="1" applyProtection="1">
      <alignment vertical="center" wrapText="1"/>
      <protection locked="0"/>
    </xf>
    <xf numFmtId="0" fontId="28" fillId="0" borderId="35" xfId="4" applyFont="1" applyFill="1" applyBorder="1" applyAlignment="1" applyProtection="1">
      <alignment vertical="center" wrapText="1"/>
      <protection locked="0"/>
    </xf>
    <xf numFmtId="0" fontId="28" fillId="0" borderId="175" xfId="4" applyFont="1" applyFill="1" applyBorder="1" applyAlignment="1" applyProtection="1">
      <alignment vertical="center" wrapText="1"/>
      <protection locked="0"/>
    </xf>
    <xf numFmtId="0" fontId="13" fillId="15" borderId="67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176" fontId="13" fillId="15" borderId="16" xfId="0" applyNumberFormat="1" applyFont="1" applyFill="1" applyBorder="1" applyAlignment="1">
      <alignment horizontal="center" vertical="center" wrapText="1"/>
    </xf>
    <xf numFmtId="0" fontId="13" fillId="15" borderId="176" xfId="4" applyFont="1" applyFill="1" applyBorder="1" applyAlignment="1" applyProtection="1">
      <alignment horizontal="center" vertical="center" wrapText="1"/>
    </xf>
    <xf numFmtId="0" fontId="28" fillId="15" borderId="46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vertical="center" wrapText="1"/>
    </xf>
    <xf numFmtId="0" fontId="13" fillId="15" borderId="176" xfId="5" applyFont="1" applyFill="1" applyBorder="1" applyAlignment="1" applyProtection="1">
      <alignment vertical="center" wrapText="1"/>
    </xf>
    <xf numFmtId="0" fontId="13" fillId="15" borderId="72" xfId="5" applyFont="1" applyFill="1" applyBorder="1" applyAlignment="1" applyProtection="1">
      <alignment vertical="center" wrapText="1"/>
    </xf>
    <xf numFmtId="0" fontId="38" fillId="16" borderId="96" xfId="7" applyNumberFormat="1" applyFont="1" applyFill="1" applyBorder="1" applyAlignment="1" applyProtection="1">
      <alignment horizontal="center" vertical="center" shrinkToFit="1"/>
    </xf>
    <xf numFmtId="0" fontId="36" fillId="0" borderId="14" xfId="7" applyNumberFormat="1" applyFont="1" applyFill="1" applyBorder="1" applyAlignment="1" applyProtection="1">
      <alignment horizontal="center" vertical="center" shrinkToFit="1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2" fillId="8" borderId="97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28" fillId="0" borderId="62" xfId="4" applyFont="1" applyFill="1" applyBorder="1" applyAlignment="1" applyProtection="1">
      <alignment horizontal="center" vertical="center" wrapText="1"/>
      <protection locked="0"/>
    </xf>
    <xf numFmtId="0" fontId="28" fillId="0" borderId="106" xfId="4" applyFont="1" applyFill="1" applyBorder="1" applyAlignment="1" applyProtection="1">
      <alignment horizontal="center" vertical="center" wrapText="1"/>
      <protection locked="0"/>
    </xf>
    <xf numFmtId="0" fontId="28" fillId="0" borderId="15" xfId="4" applyFont="1" applyFill="1" applyBorder="1" applyAlignment="1" applyProtection="1">
      <alignment horizontal="center" vertical="center" wrapText="1"/>
      <protection locked="0"/>
    </xf>
    <xf numFmtId="0" fontId="28" fillId="0" borderId="63" xfId="4" applyFont="1" applyFill="1" applyBorder="1" applyAlignment="1" applyProtection="1">
      <alignment horizontal="center" vertical="center" wrapText="1"/>
      <protection locked="0"/>
    </xf>
    <xf numFmtId="0" fontId="28" fillId="0" borderId="33" xfId="4" applyFont="1" applyFill="1" applyBorder="1" applyAlignment="1" applyProtection="1">
      <alignment horizontal="center" vertical="center" wrapText="1"/>
      <protection locked="0"/>
    </xf>
    <xf numFmtId="0" fontId="28" fillId="0" borderId="120" xfId="4" applyFont="1" applyFill="1" applyBorder="1" applyAlignment="1" applyProtection="1">
      <alignment horizontal="center" vertical="center" wrapText="1"/>
      <protection locked="0"/>
    </xf>
    <xf numFmtId="0" fontId="28" fillId="0" borderId="79" xfId="4" applyFont="1" applyFill="1" applyBorder="1" applyAlignment="1" applyProtection="1">
      <alignment horizontal="center" vertical="center" wrapText="1"/>
      <protection locked="0"/>
    </xf>
    <xf numFmtId="0" fontId="28" fillId="0" borderId="59" xfId="4" applyFont="1" applyFill="1" applyBorder="1" applyAlignment="1" applyProtection="1">
      <alignment horizontal="center" vertical="center" wrapText="1"/>
      <protection locked="0"/>
    </xf>
    <xf numFmtId="0" fontId="28" fillId="0" borderId="119" xfId="4" applyFont="1" applyFill="1" applyBorder="1" applyAlignment="1" applyProtection="1">
      <alignment horizontal="center" vertical="center" wrapText="1"/>
      <protection locked="0"/>
    </xf>
    <xf numFmtId="0" fontId="28" fillId="0" borderId="49" xfId="4" applyFont="1" applyFill="1" applyBorder="1" applyAlignment="1" applyProtection="1">
      <alignment horizontal="center" vertical="center" wrapText="1"/>
      <protection locked="0"/>
    </xf>
    <xf numFmtId="0" fontId="28" fillId="0" borderId="19" xfId="4" applyFont="1" applyFill="1" applyBorder="1" applyAlignment="1" applyProtection="1">
      <alignment horizontal="center" vertical="center" wrapText="1"/>
      <protection locked="0"/>
    </xf>
    <xf numFmtId="0" fontId="28" fillId="0" borderId="0" xfId="4" applyFont="1" applyFill="1" applyBorder="1" applyAlignment="1" applyProtection="1">
      <alignment horizontal="center" vertical="center" wrapText="1"/>
      <protection locked="0"/>
    </xf>
    <xf numFmtId="0" fontId="28" fillId="0" borderId="122" xfId="4" applyFont="1" applyFill="1" applyBorder="1" applyAlignment="1" applyProtection="1">
      <alignment horizontal="center" vertical="center" wrapText="1"/>
      <protection locked="0"/>
    </xf>
    <xf numFmtId="0" fontId="28" fillId="0" borderId="123" xfId="4" applyFont="1" applyFill="1" applyBorder="1" applyAlignment="1" applyProtection="1">
      <alignment horizontal="center" vertical="center" wrapText="1"/>
      <protection locked="0"/>
    </xf>
    <xf numFmtId="0" fontId="28" fillId="0" borderId="121" xfId="4" applyFont="1" applyFill="1" applyBorder="1" applyAlignment="1" applyProtection="1">
      <alignment horizontal="center" vertical="center" wrapText="1"/>
      <protection locked="0"/>
    </xf>
    <xf numFmtId="0" fontId="28" fillId="0" borderId="34" xfId="4" applyFont="1" applyFill="1" applyBorder="1" applyAlignment="1" applyProtection="1">
      <alignment horizontal="center" vertical="center" wrapText="1"/>
      <protection locked="0"/>
    </xf>
    <xf numFmtId="0" fontId="28" fillId="0" borderId="124" xfId="4" applyFont="1" applyFill="1" applyBorder="1" applyAlignment="1" applyProtection="1">
      <alignment horizontal="center" vertical="center" wrapText="1"/>
      <protection locked="0"/>
    </xf>
    <xf numFmtId="0" fontId="28" fillId="0" borderId="50" xfId="4" applyFont="1" applyFill="1" applyBorder="1" applyAlignment="1" applyProtection="1">
      <alignment horizontal="center" vertical="center" wrapText="1"/>
      <protection locked="0"/>
    </xf>
    <xf numFmtId="0" fontId="28" fillId="0" borderId="68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8" fillId="0" borderId="69" xfId="4" applyFont="1" applyFill="1" applyBorder="1" applyAlignment="1" applyProtection="1">
      <alignment horizontal="center" vertical="center" wrapText="1"/>
      <protection locked="0"/>
    </xf>
    <xf numFmtId="0" fontId="28" fillId="0" borderId="118" xfId="4" applyFont="1" applyFill="1" applyBorder="1" applyAlignment="1" applyProtection="1">
      <alignment horizontal="center" vertical="center" wrapText="1"/>
      <protection locked="0"/>
    </xf>
    <xf numFmtId="0" fontId="28" fillId="0" borderId="77" xfId="4" applyFont="1" applyFill="1" applyBorder="1" applyAlignment="1" applyProtection="1">
      <alignment horizontal="center" vertical="center" wrapText="1"/>
      <protection locked="0"/>
    </xf>
    <xf numFmtId="0" fontId="28" fillId="0" borderId="126" xfId="4" applyFont="1" applyFill="1" applyBorder="1" applyAlignment="1" applyProtection="1">
      <alignment horizontal="center" vertical="center" wrapText="1"/>
      <protection locked="0"/>
    </xf>
    <xf numFmtId="0" fontId="28" fillId="0" borderId="27" xfId="4" applyFont="1" applyFill="1" applyBorder="1" applyAlignment="1" applyProtection="1">
      <alignment horizontal="center" vertical="center" wrapText="1"/>
      <protection locked="0"/>
    </xf>
    <xf numFmtId="0" fontId="28" fillId="0" borderId="70" xfId="4" applyFont="1" applyFill="1" applyBorder="1" applyAlignment="1" applyProtection="1">
      <alignment horizontal="center" vertical="center" wrapText="1"/>
      <protection locked="0"/>
    </xf>
    <xf numFmtId="0" fontId="28" fillId="0" borderId="47" xfId="4" applyFont="1" applyFill="1" applyBorder="1" applyAlignment="1" applyProtection="1">
      <alignment horizontal="center" vertical="center" wrapText="1"/>
      <protection locked="0"/>
    </xf>
    <xf numFmtId="0" fontId="28" fillId="0" borderId="58" xfId="4" applyFont="1" applyFill="1" applyBorder="1" applyAlignment="1" applyProtection="1">
      <alignment horizontal="center" vertical="center" wrapText="1"/>
      <protection locked="0"/>
    </xf>
    <xf numFmtId="0" fontId="28" fillId="0" borderId="48" xfId="4" applyFont="1" applyFill="1" applyBorder="1" applyAlignment="1" applyProtection="1">
      <alignment horizontal="center" vertical="center" wrapText="1"/>
      <protection locked="0"/>
    </xf>
    <xf numFmtId="0" fontId="28" fillId="0" borderId="52" xfId="4" applyFont="1" applyFill="1" applyBorder="1" applyAlignment="1" applyProtection="1">
      <alignment horizontal="center" vertical="center" wrapText="1"/>
      <protection locked="0"/>
    </xf>
    <xf numFmtId="0" fontId="28" fillId="0" borderId="3" xfId="4" applyFont="1" applyFill="1" applyBorder="1" applyAlignment="1" applyProtection="1">
      <alignment horizontal="center" vertical="center" wrapText="1"/>
      <protection locked="0"/>
    </xf>
    <xf numFmtId="0" fontId="28" fillId="0" borderId="54" xfId="4" applyFont="1" applyFill="1" applyBorder="1" applyAlignment="1" applyProtection="1">
      <alignment horizontal="center" vertical="center" wrapText="1"/>
      <protection locked="0"/>
    </xf>
    <xf numFmtId="0" fontId="28" fillId="0" borderId="51" xfId="4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06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4" fillId="3" borderId="35" xfId="3" applyFont="1" applyBorder="1" applyAlignment="1" applyProtection="1">
      <alignment horizontal="center" vertical="center"/>
      <protection locked="0"/>
    </xf>
    <xf numFmtId="0" fontId="24" fillId="3" borderId="71" xfId="3" applyFont="1" applyBorder="1" applyAlignment="1" applyProtection="1">
      <alignment horizontal="center" vertical="center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176" xfId="5" applyFont="1" applyFill="1" applyBorder="1" applyAlignment="1" applyProtection="1">
      <alignment horizontal="center" vertical="center" wrapText="1"/>
    </xf>
    <xf numFmtId="0" fontId="13" fillId="15" borderId="72" xfId="5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28" fillId="0" borderId="23" xfId="0" applyFont="1" applyBorder="1" applyAlignment="1" applyProtection="1">
      <alignment horizontal="center" vertical="center" wrapText="1"/>
      <protection locked="0"/>
    </xf>
    <xf numFmtId="0" fontId="28" fillId="0" borderId="28" xfId="0" applyFont="1" applyBorder="1" applyAlignment="1" applyProtection="1">
      <alignment horizontal="center" vertical="center" wrapText="1"/>
      <protection locked="0"/>
    </xf>
    <xf numFmtId="0" fontId="28" fillId="0" borderId="23" xfId="4" applyFont="1" applyFill="1" applyBorder="1" applyAlignment="1" applyProtection="1">
      <alignment horizontal="center" vertical="center" wrapText="1"/>
      <protection locked="0"/>
    </xf>
    <xf numFmtId="0" fontId="28" fillId="0" borderId="47" xfId="2" applyFont="1" applyBorder="1" applyAlignment="1" applyProtection="1">
      <alignment horizontal="center" vertical="center" wrapText="1"/>
      <protection locked="0"/>
    </xf>
    <xf numFmtId="0" fontId="28" fillId="0" borderId="58" xfId="2" applyFont="1" applyBorder="1" applyAlignment="1" applyProtection="1">
      <alignment horizontal="center" vertical="center" wrapText="1"/>
      <protection locked="0"/>
    </xf>
    <xf numFmtId="0" fontId="28" fillId="0" borderId="48" xfId="2" applyFont="1" applyBorder="1" applyAlignment="1" applyProtection="1">
      <alignment horizontal="center" vertical="center" wrapText="1"/>
      <protection locked="0"/>
    </xf>
    <xf numFmtId="0" fontId="28" fillId="0" borderId="52" xfId="2" applyFont="1" applyBorder="1" applyAlignment="1" applyProtection="1">
      <alignment horizontal="center" vertical="center" wrapText="1"/>
      <protection locked="0"/>
    </xf>
    <xf numFmtId="0" fontId="22" fillId="13" borderId="23" xfId="0" applyFont="1" applyFill="1" applyBorder="1" applyAlignment="1" applyProtection="1">
      <alignment horizontal="center" vertical="center"/>
      <protection locked="0"/>
    </xf>
    <xf numFmtId="0" fontId="22" fillId="13" borderId="28" xfId="0" applyFont="1" applyFill="1" applyBorder="1" applyAlignment="1" applyProtection="1">
      <alignment horizontal="center" vertical="center"/>
      <protection locked="0"/>
    </xf>
    <xf numFmtId="0" fontId="28" fillId="0" borderId="48" xfId="0" applyFont="1" applyFill="1" applyBorder="1" applyAlignment="1" applyProtection="1">
      <alignment horizontal="center" vertical="center" shrinkToFit="1"/>
      <protection locked="0"/>
    </xf>
    <xf numFmtId="0" fontId="28" fillId="0" borderId="52" xfId="0" applyFont="1" applyFill="1" applyBorder="1" applyAlignment="1" applyProtection="1">
      <alignment horizontal="center" vertical="center" shrinkToFit="1"/>
      <protection locked="0"/>
    </xf>
    <xf numFmtId="0" fontId="28" fillId="0" borderId="48" xfId="0" applyFont="1" applyBorder="1" applyAlignment="1" applyProtection="1">
      <alignment horizontal="center" vertical="center" shrinkToFit="1"/>
      <protection locked="0"/>
    </xf>
    <xf numFmtId="0" fontId="28" fillId="0" borderId="52" xfId="0" applyFont="1" applyBorder="1" applyAlignment="1" applyProtection="1">
      <alignment horizontal="center" vertical="center" shrinkToFit="1"/>
      <protection locked="0"/>
    </xf>
    <xf numFmtId="0" fontId="28" fillId="0" borderId="54" xfId="0" applyFont="1" applyBorder="1" applyAlignment="1" applyProtection="1">
      <alignment horizontal="center" vertical="center" shrinkToFit="1"/>
      <protection locked="0"/>
    </xf>
    <xf numFmtId="0" fontId="28" fillId="0" borderId="51" xfId="0" applyFont="1" applyBorder="1" applyAlignment="1" applyProtection="1">
      <alignment horizontal="center" vertical="center" shrinkToFit="1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98" xfId="4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21" fillId="15" borderId="13" xfId="4" applyFont="1" applyFill="1" applyBorder="1" applyAlignment="1" applyProtection="1">
      <alignment horizontal="center" vertical="center" wrapText="1"/>
    </xf>
    <xf numFmtId="0" fontId="21" fillId="15" borderId="16" xfId="4" applyFont="1" applyFill="1" applyBorder="1" applyAlignment="1" applyProtection="1">
      <alignment horizontal="center" vertical="center" wrapText="1"/>
    </xf>
    <xf numFmtId="0" fontId="21" fillId="15" borderId="78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28" fillId="0" borderId="54" xfId="0" applyFont="1" applyFill="1" applyBorder="1" applyAlignment="1" applyProtection="1">
      <alignment horizontal="center" vertical="center" shrinkToFit="1"/>
      <protection locked="0"/>
    </xf>
    <xf numFmtId="0" fontId="28" fillId="0" borderId="51" xfId="0" applyFont="1" applyFill="1" applyBorder="1" applyAlignment="1" applyProtection="1">
      <alignment horizontal="center" vertical="center" shrinkToFit="1"/>
      <protection locked="0"/>
    </xf>
    <xf numFmtId="0" fontId="28" fillId="0" borderId="47" xfId="0" applyFont="1" applyBorder="1" applyAlignment="1" applyProtection="1">
      <alignment horizontal="center" vertical="center" shrinkToFit="1"/>
      <protection locked="0"/>
    </xf>
    <xf numFmtId="0" fontId="28" fillId="0" borderId="58" xfId="0" applyFont="1" applyBorder="1" applyAlignment="1" applyProtection="1">
      <alignment horizontal="center" vertical="center" shrinkToFit="1"/>
      <protection locked="0"/>
    </xf>
    <xf numFmtId="0" fontId="28" fillId="0" borderId="61" xfId="4" applyFont="1" applyFill="1" applyBorder="1" applyAlignment="1" applyProtection="1">
      <alignment horizontal="center" vertical="center" wrapText="1"/>
      <protection locked="0"/>
    </xf>
    <xf numFmtId="0" fontId="28" fillId="0" borderId="88" xfId="4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39" fillId="15" borderId="13" xfId="0" applyFont="1" applyFill="1" applyBorder="1" applyAlignment="1">
      <alignment horizontal="center" vertical="center" wrapText="1"/>
    </xf>
    <xf numFmtId="0" fontId="39" fillId="15" borderId="16" xfId="0" applyFont="1" applyFill="1" applyBorder="1" applyAlignment="1">
      <alignment horizontal="center" vertical="center" wrapText="1"/>
    </xf>
    <xf numFmtId="0" fontId="39" fillId="15" borderId="78" xfId="0" applyFont="1" applyFill="1" applyBorder="1" applyAlignment="1">
      <alignment horizontal="center" vertical="center" wrapText="1"/>
    </xf>
    <xf numFmtId="0" fontId="28" fillId="0" borderId="47" xfId="0" applyFont="1" applyFill="1" applyBorder="1" applyAlignment="1" applyProtection="1">
      <alignment horizontal="center" vertical="center" shrinkToFit="1"/>
      <protection locked="0"/>
    </xf>
    <xf numFmtId="0" fontId="28" fillId="0" borderId="58" xfId="0" applyFont="1" applyFill="1" applyBorder="1" applyAlignment="1" applyProtection="1">
      <alignment horizontal="center" vertical="center" shrinkToFit="1"/>
      <protection locked="0"/>
    </xf>
    <xf numFmtId="41" fontId="28" fillId="0" borderId="47" xfId="17" applyFont="1" applyFill="1" applyBorder="1" applyAlignment="1" applyProtection="1">
      <alignment horizontal="center" vertical="center" wrapText="1"/>
      <protection locked="0"/>
    </xf>
    <xf numFmtId="41" fontId="28" fillId="0" borderId="49" xfId="17" applyFont="1" applyFill="1" applyBorder="1" applyAlignment="1" applyProtection="1">
      <alignment horizontal="center" vertical="center" wrapText="1"/>
      <protection locked="0"/>
    </xf>
    <xf numFmtId="0" fontId="28" fillId="0" borderId="28" xfId="4" applyFont="1" applyFill="1" applyBorder="1" applyAlignment="1" applyProtection="1">
      <alignment horizontal="center" vertical="center" wrapText="1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4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0" xfId="4" applyFont="1" applyFill="1" applyBorder="1" applyAlignment="1" applyProtection="1">
      <alignment horizontal="center" vertical="center" wrapText="1"/>
    </xf>
    <xf numFmtId="0" fontId="21" fillId="15" borderId="18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17" fillId="9" borderId="104" xfId="7" applyFont="1" applyFill="1" applyBorder="1" applyAlignment="1" applyProtection="1">
      <alignment horizontal="center" vertical="center" wrapText="1"/>
    </xf>
    <xf numFmtId="0" fontId="17" fillId="9" borderId="105" xfId="7" applyFont="1" applyFill="1" applyBorder="1" applyAlignment="1" applyProtection="1">
      <alignment horizontal="center" vertical="center" wrapText="1"/>
    </xf>
    <xf numFmtId="0" fontId="17" fillId="9" borderId="8" xfId="7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 applyProtection="1">
      <alignment horizontal="center" vertical="center" wrapText="1"/>
    </xf>
    <xf numFmtId="0" fontId="17" fillId="9" borderId="31" xfId="7" applyFont="1" applyFill="1" applyBorder="1" applyAlignment="1" applyProtection="1">
      <alignment horizontal="center" vertical="center" wrapText="1"/>
    </xf>
    <xf numFmtId="0" fontId="17" fillId="9" borderId="96" xfId="7" applyFont="1" applyFill="1" applyBorder="1" applyAlignment="1" applyProtection="1">
      <alignment horizontal="center" vertical="center" wrapText="1"/>
    </xf>
    <xf numFmtId="0" fontId="38" fillId="16" borderId="96" xfId="7" applyNumberFormat="1" applyFont="1" applyFill="1" applyBorder="1" applyAlignment="1" applyProtection="1">
      <alignment horizontal="center" vertical="center" shrinkToFit="1"/>
    </xf>
    <xf numFmtId="0" fontId="17" fillId="9" borderId="25" xfId="7" applyFont="1" applyFill="1" applyBorder="1" applyAlignment="1" applyProtection="1">
      <alignment horizontal="center" vertical="center" wrapText="1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110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111" xfId="7" applyFont="1" applyFill="1" applyBorder="1" applyAlignment="1" applyProtection="1">
      <alignment horizontal="center" vertical="center" wrapTex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2" xfId="7" applyFont="1" applyFill="1" applyBorder="1" applyAlignment="1" applyProtection="1">
      <alignment horizontal="center" vertical="center" wrapText="1"/>
    </xf>
    <xf numFmtId="176" fontId="17" fillId="9" borderId="95" xfId="7" applyNumberFormat="1" applyFont="1" applyFill="1" applyBorder="1" applyAlignment="1" applyProtection="1">
      <alignment horizontal="center" vertical="center" wrapText="1"/>
    </xf>
    <xf numFmtId="0" fontId="17" fillId="9" borderId="14" xfId="7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95" xfId="7" applyFont="1" applyFill="1" applyBorder="1" applyAlignment="1">
      <alignment horizontal="center" vertical="center"/>
    </xf>
    <xf numFmtId="0" fontId="26" fillId="11" borderId="29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6" fillId="11" borderId="95" xfId="7" applyFont="1" applyFill="1" applyBorder="1" applyAlignment="1">
      <alignment horizontal="center" vertical="center" wrapText="1"/>
    </xf>
    <xf numFmtId="0" fontId="26" fillId="11" borderId="14" xfId="7" applyFont="1" applyFill="1" applyBorder="1" applyAlignment="1">
      <alignment horizontal="center" vertical="center"/>
    </xf>
    <xf numFmtId="0" fontId="26" fillId="11" borderId="96" xfId="7" applyFont="1" applyFill="1" applyBorder="1" applyAlignment="1">
      <alignment horizontal="center" vertical="center"/>
    </xf>
    <xf numFmtId="0" fontId="17" fillId="9" borderId="97" xfId="7" applyFont="1" applyFill="1" applyBorder="1" applyAlignment="1" applyProtection="1">
      <alignment horizontal="center" vertical="center" wrapText="1"/>
    </xf>
    <xf numFmtId="176" fontId="17" fillId="9" borderId="110" xfId="7" applyNumberFormat="1" applyFont="1" applyFill="1" applyBorder="1" applyAlignment="1" applyProtection="1">
      <alignment horizontal="center" vertical="center" wrapText="1"/>
    </xf>
    <xf numFmtId="176" fontId="17" fillId="9" borderId="9" xfId="7" applyNumberFormat="1" applyFont="1" applyFill="1" applyBorder="1" applyAlignment="1" applyProtection="1">
      <alignment horizontal="center" vertical="center" wrapText="1"/>
    </xf>
    <xf numFmtId="176" fontId="17" fillId="9" borderId="111" xfId="7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5" fillId="8" borderId="82" xfId="0" applyFont="1" applyFill="1" applyBorder="1" applyAlignment="1">
      <alignment horizontal="center" vertical="center"/>
    </xf>
    <xf numFmtId="0" fontId="25" fillId="8" borderId="90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55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0" fillId="0" borderId="92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47" fillId="20" borderId="132" xfId="16" applyFont="1" applyFill="1" applyBorder="1" applyAlignment="1">
      <alignment horizontal="center" vertical="center"/>
    </xf>
    <xf numFmtId="0" fontId="40" fillId="0" borderId="132" xfId="16" applyFont="1" applyBorder="1"/>
    <xf numFmtId="0" fontId="40" fillId="0" borderId="133" xfId="16" applyFont="1" applyBorder="1"/>
    <xf numFmtId="0" fontId="47" fillId="0" borderId="134" xfId="16" applyFont="1" applyBorder="1" applyAlignment="1">
      <alignment horizontal="center" vertical="center"/>
    </xf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29" xfId="16" applyFont="1" applyBorder="1" applyAlignment="1">
      <alignment horizontal="center" vertical="center"/>
    </xf>
    <xf numFmtId="0" fontId="40" fillId="0" borderId="27" xfId="16" applyFont="1" applyBorder="1"/>
    <xf numFmtId="0" fontId="40" fillId="0" borderId="24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7" xfId="16" applyFont="1" applyFill="1" applyBorder="1"/>
    <xf numFmtId="0" fontId="40" fillId="8" borderId="24" xfId="16" applyFont="1" applyFill="1" applyBorder="1"/>
    <xf numFmtId="0" fontId="35" fillId="19" borderId="128" xfId="16" applyFont="1" applyFill="1" applyBorder="1" applyAlignment="1">
      <alignment horizontal="center" vertical="center" wrapText="1"/>
    </xf>
    <xf numFmtId="0" fontId="40" fillId="0" borderId="130" xfId="16" applyFont="1" applyBorder="1"/>
    <xf numFmtId="0" fontId="40" fillId="0" borderId="135" xfId="16" applyFont="1" applyBorder="1"/>
    <xf numFmtId="0" fontId="47" fillId="20" borderId="137" xfId="16" applyFont="1" applyFill="1" applyBorder="1" applyAlignment="1">
      <alignment horizontal="center" vertical="center"/>
    </xf>
    <xf numFmtId="0" fontId="40" fillId="0" borderId="138" xfId="16" applyFont="1" applyBorder="1"/>
    <xf numFmtId="0" fontId="40" fillId="0" borderId="139" xfId="16" applyFont="1" applyBorder="1"/>
    <xf numFmtId="0" fontId="40" fillId="0" borderId="140" xfId="16" applyFont="1" applyBorder="1"/>
    <xf numFmtId="0" fontId="47" fillId="0" borderId="112" xfId="16" applyFont="1" applyBorder="1" applyAlignment="1">
      <alignment horizontal="center" vertical="center" wrapText="1"/>
    </xf>
    <xf numFmtId="0" fontId="40" fillId="0" borderId="137" xfId="16" applyFont="1" applyBorder="1"/>
    <xf numFmtId="0" fontId="40" fillId="0" borderId="141" xfId="16" applyFont="1" applyBorder="1"/>
    <xf numFmtId="0" fontId="48" fillId="21" borderId="144" xfId="16" applyFont="1" applyFill="1" applyBorder="1" applyAlignment="1">
      <alignment horizontal="center" vertical="center" wrapText="1"/>
    </xf>
    <xf numFmtId="0" fontId="40" fillId="0" borderId="145" xfId="16" applyFont="1" applyBorder="1"/>
    <xf numFmtId="0" fontId="49" fillId="0" borderId="146" xfId="16" applyFont="1" applyBorder="1" applyAlignment="1">
      <alignment horizontal="center" vertical="center" wrapText="1"/>
    </xf>
    <xf numFmtId="0" fontId="40" fillId="0" borderId="152" xfId="16" applyFont="1" applyBorder="1"/>
    <xf numFmtId="0" fontId="49" fillId="0" borderId="147" xfId="16" applyFont="1" applyBorder="1" applyAlignment="1">
      <alignment horizontal="center" vertical="center" wrapText="1"/>
    </xf>
    <xf numFmtId="0" fontId="40" fillId="0" borderId="153" xfId="16" applyFont="1" applyBorder="1"/>
    <xf numFmtId="0" fontId="40" fillId="0" borderId="157" xfId="16" applyFont="1" applyBorder="1"/>
    <xf numFmtId="0" fontId="49" fillId="0" borderId="149" xfId="16" applyFont="1" applyBorder="1" applyAlignment="1">
      <alignment horizontal="center" vertical="center" wrapText="1"/>
    </xf>
    <xf numFmtId="0" fontId="40" fillId="0" borderId="131" xfId="16" applyFont="1" applyBorder="1"/>
    <xf numFmtId="0" fontId="40" fillId="0" borderId="156" xfId="16" applyFont="1" applyBorder="1"/>
    <xf numFmtId="0" fontId="49" fillId="0" borderId="132" xfId="16" applyFont="1" applyBorder="1" applyAlignment="1">
      <alignment horizontal="center" vertical="center" wrapText="1"/>
    </xf>
    <xf numFmtId="0" fontId="51" fillId="0" borderId="134" xfId="16" applyFont="1" applyBorder="1" applyAlignment="1">
      <alignment horizontal="center" vertical="center" wrapText="1"/>
    </xf>
    <xf numFmtId="0" fontId="49" fillId="0" borderId="134" xfId="16" applyFont="1" applyBorder="1" applyAlignment="1">
      <alignment horizontal="center" vertical="center" wrapText="1"/>
    </xf>
    <xf numFmtId="0" fontId="49" fillId="21" borderId="134" xfId="16" applyFont="1" applyFill="1" applyBorder="1" applyAlignment="1">
      <alignment horizontal="center" vertical="center" wrapText="1"/>
    </xf>
    <xf numFmtId="0" fontId="51" fillId="21" borderId="134" xfId="16" applyFont="1" applyFill="1" applyBorder="1" applyAlignment="1">
      <alignment horizontal="center" vertical="center" wrapText="1"/>
    </xf>
    <xf numFmtId="0" fontId="40" fillId="0" borderId="151" xfId="16" applyFont="1" applyBorder="1"/>
    <xf numFmtId="0" fontId="16" fillId="0" borderId="0" xfId="16" applyFont="1" applyBorder="1" applyAlignment="1"/>
    <xf numFmtId="0" fontId="49" fillId="0" borderId="160" xfId="16" applyFont="1" applyBorder="1" applyAlignment="1">
      <alignment horizontal="center" vertical="center" wrapText="1"/>
    </xf>
    <xf numFmtId="0" fontId="49" fillId="0" borderId="162" xfId="16" applyFont="1" applyBorder="1" applyAlignment="1">
      <alignment horizontal="center" vertical="center" wrapText="1"/>
    </xf>
    <xf numFmtId="0" fontId="40" fillId="0" borderId="163" xfId="16" applyFont="1" applyBorder="1"/>
    <xf numFmtId="0" fontId="49" fillId="0" borderId="112" xfId="16" applyFont="1" applyBorder="1" applyAlignment="1">
      <alignment horizontal="center" vertical="center" wrapText="1"/>
    </xf>
    <xf numFmtId="0" fontId="49" fillId="0" borderId="164" xfId="16" applyFont="1" applyBorder="1" applyAlignment="1">
      <alignment horizontal="center" vertical="center" wrapText="1"/>
    </xf>
    <xf numFmtId="0" fontId="40" fillId="0" borderId="165" xfId="16" applyFont="1" applyBorder="1"/>
    <xf numFmtId="0" fontId="49" fillId="21" borderId="132" xfId="16" applyFont="1" applyFill="1" applyBorder="1" applyAlignment="1">
      <alignment horizontal="center" vertical="center" wrapText="1"/>
    </xf>
    <xf numFmtId="0" fontId="53" fillId="20" borderId="132" xfId="16" applyFont="1" applyFill="1" applyBorder="1" applyAlignment="1">
      <alignment horizontal="center" vertical="center"/>
    </xf>
    <xf numFmtId="0" fontId="53" fillId="0" borderId="134" xfId="16" applyFont="1" applyBorder="1" applyAlignment="1">
      <alignment horizontal="center" vertical="center"/>
    </xf>
    <xf numFmtId="0" fontId="47" fillId="0" borderId="134" xfId="16" applyFont="1" applyBorder="1" applyAlignment="1">
      <alignment horizontal="center" vertical="center" wrapText="1"/>
    </xf>
    <xf numFmtId="0" fontId="47" fillId="0" borderId="112" xfId="16" applyFont="1" applyBorder="1" applyAlignment="1">
      <alignment horizontal="center" vertical="center"/>
    </xf>
    <xf numFmtId="0" fontId="47" fillId="20" borderId="132" xfId="16" applyFont="1" applyFill="1" applyBorder="1" applyAlignment="1">
      <alignment horizontal="center" vertical="center" wrapText="1"/>
    </xf>
    <xf numFmtId="0" fontId="53" fillId="20" borderId="132" xfId="16" applyFont="1" applyFill="1" applyBorder="1" applyAlignment="1">
      <alignment horizontal="center" vertical="center" wrapText="1"/>
    </xf>
    <xf numFmtId="0" fontId="55" fillId="0" borderId="160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9" borderId="168" xfId="16" applyFont="1" applyFill="1" applyBorder="1" applyAlignment="1">
      <alignment horizontal="center" vertical="center" wrapText="1"/>
    </xf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20" borderId="138" xfId="16" applyFont="1" applyFill="1" applyBorder="1" applyAlignment="1">
      <alignment horizontal="center" vertical="center"/>
    </xf>
    <xf numFmtId="0" fontId="53" fillId="20" borderId="134" xfId="16" applyFont="1" applyFill="1" applyBorder="1" applyAlignment="1">
      <alignment horizontal="center" vertical="center"/>
    </xf>
    <xf numFmtId="0" fontId="54" fillId="0" borderId="138" xfId="16" applyFont="1" applyBorder="1" applyAlignment="1">
      <alignment horizontal="center" vertical="center"/>
    </xf>
    <xf numFmtId="0" fontId="56" fillId="0" borderId="140" xfId="16" applyFont="1" applyBorder="1"/>
    <xf numFmtId="0" fontId="21" fillId="0" borderId="22" xfId="0" applyFont="1" applyBorder="1" applyAlignment="1" applyProtection="1">
      <alignment horizontal="center" vertical="center" shrinkToFit="1"/>
      <protection locked="0"/>
    </xf>
    <xf numFmtId="0" fontId="21" fillId="0" borderId="28" xfId="0" applyFont="1" applyBorder="1" applyAlignment="1" applyProtection="1">
      <alignment horizontal="center" vertical="center" shrinkToFit="1"/>
      <protection locked="0"/>
    </xf>
    <xf numFmtId="0" fontId="21" fillId="0" borderId="15" xfId="0" applyFont="1" applyBorder="1" applyAlignment="1" applyProtection="1">
      <alignment horizontal="center" vertical="center" wrapText="1" shrinkToFit="1"/>
      <protection locked="0"/>
    </xf>
  </cellXfs>
  <cellStyles count="18">
    <cellStyle name="20% - 강조색2_교육과정 편제표 양식v3 2" xfId="4" xr:uid="{00000000-0005-0000-0000-000000000000}"/>
    <cellStyle name="20% - 강조색5_교육과정 편제표 양식v3 2" xfId="3" xr:uid="{00000000-0005-0000-0000-000001000000}"/>
    <cellStyle name="40% - 강조색4_교육과정 편제표 양식v3 2" xfId="6" xr:uid="{00000000-0005-0000-0000-000002000000}"/>
    <cellStyle name="쉼표 [0]" xfId="17" builtinId="6"/>
    <cellStyle name="제목 1 2" xfId="1" xr:uid="{00000000-0005-0000-0000-000004000000}"/>
    <cellStyle name="출력 2" xfId="5" xr:uid="{00000000-0005-0000-0000-000005000000}"/>
    <cellStyle name="출력 2 2" xfId="13" xr:uid="{00000000-0005-0000-0000-000006000000}"/>
    <cellStyle name="표준" xfId="0" builtinId="0"/>
    <cellStyle name="표준 2" xfId="2" xr:uid="{00000000-0005-0000-0000-000008000000}"/>
    <cellStyle name="표준 2 2" xfId="9" xr:uid="{00000000-0005-0000-0000-000009000000}"/>
    <cellStyle name="표준 3" xfId="7" xr:uid="{00000000-0005-0000-0000-00000A000000}"/>
    <cellStyle name="표준 3 2" xfId="10" xr:uid="{00000000-0005-0000-0000-00000B000000}"/>
    <cellStyle name="표준 4" xfId="8" xr:uid="{00000000-0005-0000-0000-00000C000000}"/>
    <cellStyle name="표준 4 2" xfId="12" xr:uid="{00000000-0005-0000-0000-00000D000000}"/>
    <cellStyle name="표준 4 3" xfId="11" xr:uid="{00000000-0005-0000-0000-00000E000000}"/>
    <cellStyle name="표준 4 4" xfId="14" xr:uid="{00000000-0005-0000-0000-00000F000000}"/>
    <cellStyle name="표준 5" xfId="15" xr:uid="{00000000-0005-0000-0000-000010000000}"/>
    <cellStyle name="표준 6" xfId="16" xr:uid="{00000000-0005-0000-0000-000011000000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99"/>
  <sheetViews>
    <sheetView tabSelected="1" view="pageBreakPreview" topLeftCell="E1" zoomScaleNormal="100" zoomScaleSheetLayoutView="100" workbookViewId="0">
      <pane ySplit="8" topLeftCell="A9" activePane="bottomLeft" state="frozen"/>
      <selection pane="bottomLeft" activeCell="AE8" sqref="AE8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9.19921875" style="4" customWidth="1"/>
    <col min="26" max="26" width="8.69921875" style="4"/>
    <col min="27" max="27" width="21.09765625" style="4" bestFit="1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37" t="s">
        <v>518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8"/>
      <c r="V2" s="239" t="s">
        <v>130</v>
      </c>
      <c r="W2" s="240"/>
      <c r="X2" s="235">
        <v>2027</v>
      </c>
      <c r="Y2" s="236"/>
      <c r="AA2" s="241" t="s">
        <v>143</v>
      </c>
      <c r="AB2" s="19" t="s">
        <v>144</v>
      </c>
      <c r="AC2" s="51" t="s">
        <v>151</v>
      </c>
      <c r="AD2" s="20" t="s">
        <v>145</v>
      </c>
    </row>
    <row r="3" spans="2:30" ht="18" thickBot="1">
      <c r="B3" s="280" t="s">
        <v>362</v>
      </c>
      <c r="C3" s="282" t="s">
        <v>53</v>
      </c>
      <c r="D3" s="283"/>
      <c r="E3" s="283"/>
      <c r="F3" s="282" t="s">
        <v>64</v>
      </c>
      <c r="G3" s="286"/>
      <c r="H3" s="282" t="s">
        <v>54</v>
      </c>
      <c r="I3" s="283"/>
      <c r="J3" s="283"/>
      <c r="K3" s="282" t="s">
        <v>55</v>
      </c>
      <c r="L3" s="283"/>
      <c r="M3" s="283"/>
      <c r="N3" s="283"/>
      <c r="O3" s="286"/>
      <c r="P3" s="288" t="s">
        <v>56</v>
      </c>
      <c r="Q3" s="289"/>
      <c r="R3" s="289"/>
      <c r="S3" s="289"/>
      <c r="T3" s="289"/>
      <c r="U3" s="289"/>
      <c r="V3" s="289"/>
      <c r="W3" s="289"/>
      <c r="X3" s="289"/>
      <c r="Y3" s="290"/>
      <c r="AA3" s="242"/>
      <c r="AB3" s="21" t="s">
        <v>146</v>
      </c>
      <c r="AC3" s="67" t="s">
        <v>594</v>
      </c>
      <c r="AD3" s="22" t="s">
        <v>597</v>
      </c>
    </row>
    <row r="4" spans="2:30" ht="18" thickBot="1">
      <c r="B4" s="281"/>
      <c r="C4" s="284"/>
      <c r="D4" s="285"/>
      <c r="E4" s="285"/>
      <c r="F4" s="284"/>
      <c r="G4" s="287"/>
      <c r="H4" s="284"/>
      <c r="I4" s="285"/>
      <c r="J4" s="285"/>
      <c r="K4" s="284"/>
      <c r="L4" s="285"/>
      <c r="M4" s="285"/>
      <c r="N4" s="285"/>
      <c r="O4" s="287"/>
      <c r="P4" s="288" t="s">
        <v>127</v>
      </c>
      <c r="Q4" s="289"/>
      <c r="R4" s="289"/>
      <c r="S4" s="289"/>
      <c r="T4" s="288" t="s">
        <v>61</v>
      </c>
      <c r="U4" s="289"/>
      <c r="V4" s="290"/>
      <c r="W4" s="289" t="s">
        <v>128</v>
      </c>
      <c r="X4" s="289"/>
      <c r="Y4" s="290"/>
      <c r="AA4" s="242"/>
      <c r="AB4" s="23" t="s">
        <v>147</v>
      </c>
      <c r="AC4" s="68" t="s">
        <v>595</v>
      </c>
      <c r="AD4" s="22" t="s">
        <v>598</v>
      </c>
    </row>
    <row r="5" spans="2:30" ht="33.6" customHeight="1" thickBot="1">
      <c r="B5" s="105" t="s">
        <v>516</v>
      </c>
      <c r="C5" s="291" t="s">
        <v>519</v>
      </c>
      <c r="D5" s="292"/>
      <c r="E5" s="293"/>
      <c r="F5" s="291" t="s">
        <v>520</v>
      </c>
      <c r="G5" s="294"/>
      <c r="H5" s="295" t="s">
        <v>521</v>
      </c>
      <c r="I5" s="292"/>
      <c r="J5" s="293"/>
      <c r="K5" s="291" t="s">
        <v>522</v>
      </c>
      <c r="L5" s="292"/>
      <c r="M5" s="292"/>
      <c r="N5" s="292"/>
      <c r="O5" s="294"/>
      <c r="P5" s="295" t="s">
        <v>523</v>
      </c>
      <c r="Q5" s="292"/>
      <c r="R5" s="292"/>
      <c r="S5" s="293"/>
      <c r="T5" s="291" t="s">
        <v>34</v>
      </c>
      <c r="U5" s="292"/>
      <c r="V5" s="293"/>
      <c r="W5" s="569" t="s">
        <v>593</v>
      </c>
      <c r="X5" s="567"/>
      <c r="Y5" s="568"/>
      <c r="AA5" s="243"/>
      <c r="AB5" s="24" t="s">
        <v>148</v>
      </c>
      <c r="AC5" s="69" t="s">
        <v>596</v>
      </c>
      <c r="AD5" s="25" t="s">
        <v>599</v>
      </c>
    </row>
    <row r="6" spans="2:30" ht="15.75" customHeight="1" thickBot="1">
      <c r="U6" s="296"/>
      <c r="V6" s="296"/>
      <c r="W6" s="296"/>
      <c r="X6" s="296"/>
      <c r="Y6" s="296"/>
    </row>
    <row r="7" spans="2:30" s="10" customFormat="1" ht="22.5" customHeight="1">
      <c r="B7" s="297" t="s">
        <v>2</v>
      </c>
      <c r="C7" s="298"/>
      <c r="D7" s="301" t="s">
        <v>120</v>
      </c>
      <c r="E7" s="303" t="s">
        <v>57</v>
      </c>
      <c r="F7" s="304"/>
      <c r="G7" s="305"/>
      <c r="H7" s="306" t="s">
        <v>133</v>
      </c>
      <c r="I7" s="309" t="s">
        <v>134</v>
      </c>
      <c r="J7" s="313" t="s">
        <v>135</v>
      </c>
      <c r="K7" s="308" t="s">
        <v>58</v>
      </c>
      <c r="L7" s="309"/>
      <c r="M7" s="309"/>
      <c r="N7" s="310"/>
      <c r="O7" s="311" t="s">
        <v>59</v>
      </c>
      <c r="P7" s="309"/>
      <c r="Q7" s="309"/>
      <c r="R7" s="310"/>
      <c r="S7" s="308" t="s">
        <v>60</v>
      </c>
      <c r="T7" s="309"/>
      <c r="U7" s="309"/>
      <c r="V7" s="312"/>
      <c r="W7" s="306" t="s">
        <v>136</v>
      </c>
      <c r="X7" s="313"/>
      <c r="Y7" s="305" t="s">
        <v>137</v>
      </c>
      <c r="Z7" s="9"/>
    </row>
    <row r="8" spans="2:30" s="10" customFormat="1" ht="22.5" customHeight="1" thickBot="1">
      <c r="B8" s="299"/>
      <c r="C8" s="300"/>
      <c r="D8" s="302"/>
      <c r="E8" s="26" t="s">
        <v>18</v>
      </c>
      <c r="F8" s="316" t="s">
        <v>19</v>
      </c>
      <c r="G8" s="317"/>
      <c r="H8" s="307"/>
      <c r="I8" s="245"/>
      <c r="J8" s="314"/>
      <c r="K8" s="244" t="s">
        <v>0</v>
      </c>
      <c r="L8" s="245"/>
      <c r="M8" s="245" t="s">
        <v>62</v>
      </c>
      <c r="N8" s="318"/>
      <c r="O8" s="319" t="s">
        <v>0</v>
      </c>
      <c r="P8" s="245"/>
      <c r="Q8" s="245" t="s">
        <v>62</v>
      </c>
      <c r="R8" s="318"/>
      <c r="S8" s="244" t="s">
        <v>0</v>
      </c>
      <c r="T8" s="245"/>
      <c r="U8" s="245" t="s">
        <v>62</v>
      </c>
      <c r="V8" s="246"/>
      <c r="W8" s="307"/>
      <c r="X8" s="314"/>
      <c r="Y8" s="315"/>
      <c r="AA8" s="393" t="s">
        <v>502</v>
      </c>
      <c r="AB8" s="393"/>
      <c r="AC8" s="393"/>
      <c r="AD8" s="393"/>
    </row>
    <row r="9" spans="2:30" ht="16.5" customHeight="1">
      <c r="B9" s="190" t="s">
        <v>336</v>
      </c>
      <c r="C9" s="191"/>
      <c r="D9" s="408" t="s">
        <v>21</v>
      </c>
      <c r="E9" s="70" t="s">
        <v>12</v>
      </c>
      <c r="F9" s="273" t="s">
        <v>200</v>
      </c>
      <c r="G9" s="274"/>
      <c r="H9" s="71">
        <v>4</v>
      </c>
      <c r="I9" s="72" t="s">
        <v>337</v>
      </c>
      <c r="J9" s="73">
        <v>3</v>
      </c>
      <c r="K9" s="273">
        <v>3</v>
      </c>
      <c r="L9" s="256"/>
      <c r="M9" s="267"/>
      <c r="N9" s="269"/>
      <c r="O9" s="255"/>
      <c r="P9" s="256"/>
      <c r="Q9" s="267"/>
      <c r="R9" s="268"/>
      <c r="S9" s="255"/>
      <c r="T9" s="256"/>
      <c r="U9" s="255"/>
      <c r="V9" s="256"/>
      <c r="W9" s="74">
        <f>SUM(K9:V9)</f>
        <v>3</v>
      </c>
      <c r="X9" s="431">
        <f>SUM(W9:W12)</f>
        <v>12</v>
      </c>
      <c r="Y9" s="323">
        <v>24</v>
      </c>
      <c r="AA9" s="166" t="s">
        <v>503</v>
      </c>
      <c r="AB9" s="167" t="s">
        <v>509</v>
      </c>
      <c r="AC9" s="167" t="s">
        <v>510</v>
      </c>
      <c r="AD9" s="168" t="s">
        <v>511</v>
      </c>
    </row>
    <row r="10" spans="2:30">
      <c r="B10" s="192"/>
      <c r="C10" s="193"/>
      <c r="D10" s="409"/>
      <c r="E10" s="75" t="s">
        <v>12</v>
      </c>
      <c r="F10" s="275" t="s">
        <v>201</v>
      </c>
      <c r="G10" s="276"/>
      <c r="H10" s="76">
        <v>4</v>
      </c>
      <c r="I10" s="77" t="s">
        <v>337</v>
      </c>
      <c r="J10" s="78">
        <v>3</v>
      </c>
      <c r="K10" s="275"/>
      <c r="L10" s="262"/>
      <c r="M10" s="251">
        <v>3</v>
      </c>
      <c r="N10" s="265"/>
      <c r="O10" s="261"/>
      <c r="P10" s="262"/>
      <c r="Q10" s="251"/>
      <c r="R10" s="252"/>
      <c r="S10" s="261"/>
      <c r="T10" s="262"/>
      <c r="U10" s="261"/>
      <c r="V10" s="262"/>
      <c r="W10" s="79">
        <f t="shared" ref="W10:W29" si="0">SUM(K10:V10)</f>
        <v>3</v>
      </c>
      <c r="X10" s="432"/>
      <c r="Y10" s="324"/>
      <c r="AA10" s="169" t="s">
        <v>504</v>
      </c>
      <c r="AB10" s="170">
        <v>4</v>
      </c>
      <c r="AC10" s="170">
        <v>-1</v>
      </c>
      <c r="AD10" s="22" t="s">
        <v>512</v>
      </c>
    </row>
    <row r="11" spans="2:30">
      <c r="B11" s="192"/>
      <c r="C11" s="193"/>
      <c r="D11" s="409"/>
      <c r="E11" s="80" t="s">
        <v>349</v>
      </c>
      <c r="F11" s="275" t="s">
        <v>4</v>
      </c>
      <c r="G11" s="276"/>
      <c r="H11" s="218">
        <v>4</v>
      </c>
      <c r="I11" s="219" t="s">
        <v>340</v>
      </c>
      <c r="J11" s="220">
        <v>3</v>
      </c>
      <c r="K11" s="275"/>
      <c r="L11" s="262"/>
      <c r="M11" s="251"/>
      <c r="N11" s="265"/>
      <c r="O11" s="261">
        <v>3</v>
      </c>
      <c r="P11" s="262"/>
      <c r="Q11" s="251"/>
      <c r="R11" s="252"/>
      <c r="S11" s="261"/>
      <c r="T11" s="262"/>
      <c r="U11" s="261"/>
      <c r="V11" s="262"/>
      <c r="W11" s="79">
        <f>SUM(K11:V11)</f>
        <v>3</v>
      </c>
      <c r="X11" s="432"/>
      <c r="Y11" s="324"/>
      <c r="AA11" s="169" t="s">
        <v>505</v>
      </c>
      <c r="AB11" s="170">
        <v>3</v>
      </c>
      <c r="AC11" s="170"/>
      <c r="AD11" s="22">
        <v>3</v>
      </c>
    </row>
    <row r="12" spans="2:30" ht="18" thickBot="1">
      <c r="B12" s="192"/>
      <c r="C12" s="193"/>
      <c r="D12" s="410"/>
      <c r="E12" s="80" t="s">
        <v>338</v>
      </c>
      <c r="F12" s="278" t="s">
        <v>339</v>
      </c>
      <c r="G12" s="279"/>
      <c r="H12" s="81">
        <v>4</v>
      </c>
      <c r="I12" s="82" t="s">
        <v>340</v>
      </c>
      <c r="J12" s="83">
        <v>3</v>
      </c>
      <c r="K12" s="278"/>
      <c r="L12" s="264"/>
      <c r="M12" s="259"/>
      <c r="N12" s="272"/>
      <c r="O12" s="263"/>
      <c r="P12" s="264"/>
      <c r="Q12" s="259">
        <v>3</v>
      </c>
      <c r="R12" s="260"/>
      <c r="S12" s="263"/>
      <c r="T12" s="264"/>
      <c r="U12" s="263"/>
      <c r="V12" s="264"/>
      <c r="W12" s="79">
        <f>SUM(K12:V12)</f>
        <v>3</v>
      </c>
      <c r="X12" s="433"/>
      <c r="Y12" s="324"/>
      <c r="AA12" s="169" t="s">
        <v>506</v>
      </c>
      <c r="AB12" s="170">
        <v>4</v>
      </c>
      <c r="AC12" s="170" t="s">
        <v>515</v>
      </c>
      <c r="AD12" s="22" t="s">
        <v>513</v>
      </c>
    </row>
    <row r="13" spans="2:30">
      <c r="B13" s="192"/>
      <c r="C13" s="193"/>
      <c r="D13" s="408" t="s">
        <v>5</v>
      </c>
      <c r="E13" s="70" t="s">
        <v>12</v>
      </c>
      <c r="F13" s="273" t="s">
        <v>212</v>
      </c>
      <c r="G13" s="274"/>
      <c r="H13" s="71">
        <v>4</v>
      </c>
      <c r="I13" s="72" t="s">
        <v>337</v>
      </c>
      <c r="J13" s="73">
        <v>3</v>
      </c>
      <c r="K13" s="273">
        <v>3</v>
      </c>
      <c r="L13" s="256"/>
      <c r="M13" s="267"/>
      <c r="N13" s="268"/>
      <c r="O13" s="255"/>
      <c r="P13" s="256"/>
      <c r="Q13" s="267"/>
      <c r="R13" s="268"/>
      <c r="S13" s="255"/>
      <c r="T13" s="256"/>
      <c r="U13" s="255"/>
      <c r="V13" s="256"/>
      <c r="W13" s="74">
        <f t="shared" si="0"/>
        <v>3</v>
      </c>
      <c r="X13" s="431">
        <f>SUM(W13:W16)</f>
        <v>12</v>
      </c>
      <c r="Y13" s="324"/>
      <c r="AA13" s="169" t="s">
        <v>507</v>
      </c>
      <c r="AB13" s="170">
        <v>3</v>
      </c>
      <c r="AC13" s="170" t="s">
        <v>515</v>
      </c>
      <c r="AD13" s="22" t="s">
        <v>514</v>
      </c>
    </row>
    <row r="14" spans="2:30" ht="18" thickBot="1">
      <c r="B14" s="192"/>
      <c r="C14" s="193"/>
      <c r="D14" s="409"/>
      <c r="E14" s="75" t="s">
        <v>12</v>
      </c>
      <c r="F14" s="275" t="s">
        <v>214</v>
      </c>
      <c r="G14" s="276"/>
      <c r="H14" s="76">
        <v>4</v>
      </c>
      <c r="I14" s="77" t="s">
        <v>337</v>
      </c>
      <c r="J14" s="78">
        <v>4</v>
      </c>
      <c r="K14" s="275"/>
      <c r="L14" s="262"/>
      <c r="M14" s="251">
        <v>3</v>
      </c>
      <c r="N14" s="252"/>
      <c r="O14" s="261"/>
      <c r="P14" s="262"/>
      <c r="Q14" s="251"/>
      <c r="R14" s="252"/>
      <c r="S14" s="261"/>
      <c r="T14" s="262"/>
      <c r="U14" s="261"/>
      <c r="V14" s="262"/>
      <c r="W14" s="79">
        <f t="shared" si="0"/>
        <v>3</v>
      </c>
      <c r="X14" s="432"/>
      <c r="Y14" s="324"/>
      <c r="AA14" s="171" t="s">
        <v>508</v>
      </c>
      <c r="AB14" s="391" t="s">
        <v>517</v>
      </c>
      <c r="AC14" s="391"/>
      <c r="AD14" s="392"/>
    </row>
    <row r="15" spans="2:30">
      <c r="B15" s="192"/>
      <c r="C15" s="193"/>
      <c r="D15" s="409"/>
      <c r="E15" s="80" t="s">
        <v>349</v>
      </c>
      <c r="F15" s="275" t="s">
        <v>215</v>
      </c>
      <c r="G15" s="276"/>
      <c r="H15" s="218">
        <v>4</v>
      </c>
      <c r="I15" s="219" t="s">
        <v>340</v>
      </c>
      <c r="J15" s="220">
        <v>3</v>
      </c>
      <c r="K15" s="275"/>
      <c r="L15" s="262"/>
      <c r="M15" s="251"/>
      <c r="N15" s="265"/>
      <c r="O15" s="261">
        <v>3</v>
      </c>
      <c r="P15" s="262"/>
      <c r="Q15" s="251"/>
      <c r="R15" s="252"/>
      <c r="S15" s="261"/>
      <c r="T15" s="262"/>
      <c r="U15" s="261"/>
      <c r="V15" s="262"/>
      <c r="W15" s="79">
        <f>SUM(K15:V15)</f>
        <v>3</v>
      </c>
      <c r="X15" s="432"/>
      <c r="Y15" s="324"/>
    </row>
    <row r="16" spans="2:30" ht="18" thickBot="1">
      <c r="B16" s="192"/>
      <c r="C16" s="193"/>
      <c r="D16" s="410"/>
      <c r="E16" s="80" t="s">
        <v>338</v>
      </c>
      <c r="F16" s="278" t="s">
        <v>341</v>
      </c>
      <c r="G16" s="279"/>
      <c r="H16" s="81">
        <v>4</v>
      </c>
      <c r="I16" s="82" t="s">
        <v>340</v>
      </c>
      <c r="J16" s="83">
        <v>3</v>
      </c>
      <c r="K16" s="278"/>
      <c r="L16" s="264"/>
      <c r="M16" s="259"/>
      <c r="N16" s="260"/>
      <c r="O16" s="263"/>
      <c r="P16" s="264"/>
      <c r="Q16" s="259">
        <v>3</v>
      </c>
      <c r="R16" s="260"/>
      <c r="S16" s="263"/>
      <c r="T16" s="264"/>
      <c r="U16" s="263"/>
      <c r="V16" s="264"/>
      <c r="W16" s="79">
        <f t="shared" si="0"/>
        <v>3</v>
      </c>
      <c r="X16" s="433"/>
      <c r="Y16" s="324"/>
    </row>
    <row r="17" spans="2:29">
      <c r="B17" s="192"/>
      <c r="C17" s="193"/>
      <c r="D17" s="408" t="s">
        <v>6</v>
      </c>
      <c r="E17" s="70" t="s">
        <v>12</v>
      </c>
      <c r="F17" s="273" t="s">
        <v>342</v>
      </c>
      <c r="G17" s="274"/>
      <c r="H17" s="71">
        <v>4</v>
      </c>
      <c r="I17" s="72" t="s">
        <v>337</v>
      </c>
      <c r="J17" s="73">
        <v>3</v>
      </c>
      <c r="K17" s="273">
        <v>3</v>
      </c>
      <c r="L17" s="256"/>
      <c r="M17" s="267"/>
      <c r="N17" s="268"/>
      <c r="O17" s="255"/>
      <c r="P17" s="256"/>
      <c r="Q17" s="267"/>
      <c r="R17" s="268"/>
      <c r="S17" s="255"/>
      <c r="T17" s="256"/>
      <c r="U17" s="255"/>
      <c r="V17" s="256"/>
      <c r="W17" s="74">
        <f t="shared" si="0"/>
        <v>3</v>
      </c>
      <c r="X17" s="431">
        <f>SUM(W17:W20)</f>
        <v>12</v>
      </c>
      <c r="Y17" s="324"/>
    </row>
    <row r="18" spans="2:29" ht="18" customHeight="1">
      <c r="B18" s="192"/>
      <c r="C18" s="193"/>
      <c r="D18" s="409"/>
      <c r="E18" s="75" t="s">
        <v>12</v>
      </c>
      <c r="F18" s="275" t="s">
        <v>225</v>
      </c>
      <c r="G18" s="276"/>
      <c r="H18" s="76">
        <v>4</v>
      </c>
      <c r="I18" s="77" t="s">
        <v>337</v>
      </c>
      <c r="J18" s="78">
        <v>3</v>
      </c>
      <c r="K18" s="275"/>
      <c r="L18" s="262"/>
      <c r="M18" s="251">
        <v>3</v>
      </c>
      <c r="N18" s="252"/>
      <c r="O18" s="261"/>
      <c r="P18" s="262"/>
      <c r="Q18" s="251"/>
      <c r="R18" s="252"/>
      <c r="S18" s="261"/>
      <c r="T18" s="262"/>
      <c r="U18" s="261"/>
      <c r="V18" s="262"/>
      <c r="W18" s="79">
        <f t="shared" si="0"/>
        <v>3</v>
      </c>
      <c r="X18" s="432"/>
      <c r="Y18" s="324"/>
    </row>
    <row r="19" spans="2:29">
      <c r="B19" s="192"/>
      <c r="C19" s="193"/>
      <c r="D19" s="409"/>
      <c r="E19" s="80" t="s">
        <v>349</v>
      </c>
      <c r="F19" s="275" t="s">
        <v>38</v>
      </c>
      <c r="G19" s="276"/>
      <c r="H19" s="218">
        <v>4</v>
      </c>
      <c r="I19" s="219" t="s">
        <v>340</v>
      </c>
      <c r="J19" s="220">
        <v>3</v>
      </c>
      <c r="K19" s="275"/>
      <c r="L19" s="262"/>
      <c r="M19" s="251"/>
      <c r="N19" s="252"/>
      <c r="O19" s="261">
        <v>3</v>
      </c>
      <c r="P19" s="262"/>
      <c r="Q19" s="251"/>
      <c r="R19" s="252"/>
      <c r="S19" s="261"/>
      <c r="T19" s="262"/>
      <c r="U19" s="261"/>
      <c r="V19" s="262"/>
      <c r="W19" s="79">
        <f>SUM(K19:V19)</f>
        <v>3</v>
      </c>
      <c r="X19" s="432"/>
      <c r="Y19" s="324"/>
      <c r="AA19" s="266"/>
      <c r="AB19" s="266"/>
      <c r="AC19" s="61"/>
    </row>
    <row r="20" spans="2:29" ht="18" thickBot="1">
      <c r="B20" s="192"/>
      <c r="C20" s="193"/>
      <c r="D20" s="410"/>
      <c r="E20" s="86" t="s">
        <v>338</v>
      </c>
      <c r="F20" s="278" t="s">
        <v>343</v>
      </c>
      <c r="G20" s="279"/>
      <c r="H20" s="81">
        <v>4</v>
      </c>
      <c r="I20" s="82" t="s">
        <v>340</v>
      </c>
      <c r="J20" s="83">
        <v>3</v>
      </c>
      <c r="K20" s="278"/>
      <c r="L20" s="264"/>
      <c r="M20" s="259"/>
      <c r="N20" s="260"/>
      <c r="O20" s="263"/>
      <c r="P20" s="264"/>
      <c r="Q20" s="259">
        <v>3</v>
      </c>
      <c r="R20" s="260"/>
      <c r="S20" s="263"/>
      <c r="T20" s="264"/>
      <c r="U20" s="263"/>
      <c r="V20" s="264"/>
      <c r="W20" s="79">
        <f>SUM(K20:V20)</f>
        <v>3</v>
      </c>
      <c r="X20" s="433"/>
      <c r="Y20" s="324"/>
    </row>
    <row r="21" spans="2:29" ht="17.399999999999999" customHeight="1">
      <c r="B21" s="192"/>
      <c r="C21" s="193"/>
      <c r="D21" s="408" t="s">
        <v>541</v>
      </c>
      <c r="E21" s="226" t="s">
        <v>338</v>
      </c>
      <c r="F21" s="273" t="s">
        <v>206</v>
      </c>
      <c r="G21" s="274"/>
      <c r="H21" s="227">
        <v>4</v>
      </c>
      <c r="I21" s="90" t="s">
        <v>340</v>
      </c>
      <c r="J21" s="176">
        <v>3</v>
      </c>
      <c r="K21" s="273"/>
      <c r="L21" s="256"/>
      <c r="M21" s="267"/>
      <c r="N21" s="269"/>
      <c r="O21" s="270"/>
      <c r="P21" s="271"/>
      <c r="Q21" s="258"/>
      <c r="R21" s="258"/>
      <c r="S21" s="209">
        <v>3</v>
      </c>
      <c r="T21" s="198"/>
      <c r="U21" s="179"/>
      <c r="V21" s="180"/>
      <c r="W21" s="320">
        <f>SUM(K21:V23)</f>
        <v>6</v>
      </c>
      <c r="X21" s="431">
        <f>SUM(W21)</f>
        <v>6</v>
      </c>
      <c r="Y21" s="324"/>
    </row>
    <row r="22" spans="2:29">
      <c r="B22" s="192"/>
      <c r="C22" s="193"/>
      <c r="D22" s="409"/>
      <c r="E22" s="226" t="s">
        <v>348</v>
      </c>
      <c r="F22" s="275" t="s">
        <v>223</v>
      </c>
      <c r="G22" s="276"/>
      <c r="H22" s="218">
        <v>4</v>
      </c>
      <c r="I22" s="219" t="s">
        <v>340</v>
      </c>
      <c r="J22" s="220">
        <v>3</v>
      </c>
      <c r="K22" s="275"/>
      <c r="L22" s="262"/>
      <c r="M22" s="251"/>
      <c r="N22" s="265"/>
      <c r="O22" s="257"/>
      <c r="P22" s="258"/>
      <c r="Q22" s="258"/>
      <c r="R22" s="258"/>
      <c r="S22" s="223">
        <v>3</v>
      </c>
      <c r="T22" s="221"/>
      <c r="U22" s="222"/>
      <c r="V22" s="217"/>
      <c r="W22" s="321"/>
      <c r="X22" s="432"/>
      <c r="Y22" s="324"/>
    </row>
    <row r="23" spans="2:29" ht="18" thickBot="1">
      <c r="B23" s="192"/>
      <c r="C23" s="193"/>
      <c r="D23" s="410"/>
      <c r="E23" s="84" t="s">
        <v>348</v>
      </c>
      <c r="F23" s="278" t="s">
        <v>231</v>
      </c>
      <c r="G23" s="279"/>
      <c r="H23" s="81">
        <v>4</v>
      </c>
      <c r="I23" s="82" t="s">
        <v>340</v>
      </c>
      <c r="J23" s="83">
        <v>3</v>
      </c>
      <c r="K23" s="278"/>
      <c r="L23" s="264"/>
      <c r="M23" s="259"/>
      <c r="N23" s="272"/>
      <c r="O23" s="253"/>
      <c r="P23" s="277"/>
      <c r="Q23" s="277"/>
      <c r="R23" s="277"/>
      <c r="S23" s="202"/>
      <c r="T23" s="187"/>
      <c r="U23" s="188"/>
      <c r="V23" s="189"/>
      <c r="W23" s="322"/>
      <c r="X23" s="433"/>
      <c r="Y23" s="325"/>
    </row>
    <row r="24" spans="2:29" ht="18" customHeight="1">
      <c r="B24" s="192"/>
      <c r="C24" s="193"/>
      <c r="D24" s="408" t="s">
        <v>344</v>
      </c>
      <c r="E24" s="70" t="s">
        <v>12</v>
      </c>
      <c r="F24" s="273" t="s">
        <v>233</v>
      </c>
      <c r="G24" s="274"/>
      <c r="H24" s="71">
        <v>3</v>
      </c>
      <c r="I24" s="85">
        <v>3</v>
      </c>
      <c r="J24" s="73">
        <v>3</v>
      </c>
      <c r="K24" s="273">
        <v>3</v>
      </c>
      <c r="L24" s="256"/>
      <c r="M24" s="267"/>
      <c r="N24" s="269"/>
      <c r="O24" s="270"/>
      <c r="P24" s="271"/>
      <c r="Q24" s="258"/>
      <c r="R24" s="258"/>
      <c r="S24" s="255"/>
      <c r="T24" s="256"/>
      <c r="U24" s="267"/>
      <c r="V24" s="268"/>
      <c r="W24" s="74">
        <f t="shared" si="0"/>
        <v>3</v>
      </c>
      <c r="X24" s="431">
        <f>SUM(W24:W25)</f>
        <v>6</v>
      </c>
      <c r="Y24" s="323">
        <v>6</v>
      </c>
    </row>
    <row r="25" spans="2:29" ht="16.5" customHeight="1" thickBot="1">
      <c r="B25" s="192"/>
      <c r="C25" s="193"/>
      <c r="D25" s="409"/>
      <c r="E25" s="86" t="s">
        <v>12</v>
      </c>
      <c r="F25" s="278" t="s">
        <v>345</v>
      </c>
      <c r="G25" s="279"/>
      <c r="H25" s="87">
        <v>3</v>
      </c>
      <c r="I25" s="88">
        <v>3</v>
      </c>
      <c r="J25" s="177">
        <v>3</v>
      </c>
      <c r="K25" s="278"/>
      <c r="L25" s="264"/>
      <c r="M25" s="259">
        <v>3</v>
      </c>
      <c r="N25" s="272"/>
      <c r="O25" s="253"/>
      <c r="P25" s="277"/>
      <c r="Q25" s="277"/>
      <c r="R25" s="277"/>
      <c r="S25" s="263"/>
      <c r="T25" s="264"/>
      <c r="U25" s="259"/>
      <c r="V25" s="260"/>
      <c r="W25" s="89">
        <f t="shared" si="0"/>
        <v>3</v>
      </c>
      <c r="X25" s="433"/>
      <c r="Y25" s="325"/>
    </row>
    <row r="26" spans="2:29">
      <c r="B26" s="192"/>
      <c r="C26" s="193"/>
      <c r="D26" s="409"/>
      <c r="E26" s="70" t="s">
        <v>12</v>
      </c>
      <c r="F26" s="273" t="s">
        <v>236</v>
      </c>
      <c r="G26" s="274"/>
      <c r="H26" s="71">
        <v>4</v>
      </c>
      <c r="I26" s="85" t="s">
        <v>337</v>
      </c>
      <c r="J26" s="73">
        <v>3</v>
      </c>
      <c r="K26" s="273">
        <v>3</v>
      </c>
      <c r="L26" s="256"/>
      <c r="M26" s="267"/>
      <c r="N26" s="269"/>
      <c r="O26" s="270"/>
      <c r="P26" s="271"/>
      <c r="Q26" s="258"/>
      <c r="R26" s="258"/>
      <c r="S26" s="255"/>
      <c r="T26" s="256"/>
      <c r="U26" s="267"/>
      <c r="V26" s="268"/>
      <c r="W26" s="74">
        <f t="shared" si="0"/>
        <v>3</v>
      </c>
      <c r="X26" s="431">
        <f>SUM(W26:W27)</f>
        <v>6</v>
      </c>
      <c r="Y26" s="323">
        <v>12</v>
      </c>
    </row>
    <row r="27" spans="2:29" ht="18" thickBot="1">
      <c r="B27" s="192"/>
      <c r="C27" s="193"/>
      <c r="D27" s="410"/>
      <c r="E27" s="84" t="s">
        <v>12</v>
      </c>
      <c r="F27" s="278" t="s">
        <v>346</v>
      </c>
      <c r="G27" s="279"/>
      <c r="H27" s="81">
        <v>4</v>
      </c>
      <c r="I27" s="82" t="s">
        <v>337</v>
      </c>
      <c r="J27" s="83">
        <v>3</v>
      </c>
      <c r="K27" s="278"/>
      <c r="L27" s="264"/>
      <c r="M27" s="259">
        <v>3</v>
      </c>
      <c r="N27" s="272"/>
      <c r="O27" s="253"/>
      <c r="P27" s="277"/>
      <c r="Q27" s="277"/>
      <c r="R27" s="277"/>
      <c r="S27" s="263"/>
      <c r="T27" s="264"/>
      <c r="U27" s="259"/>
      <c r="V27" s="260"/>
      <c r="W27" s="89">
        <f t="shared" si="0"/>
        <v>3</v>
      </c>
      <c r="X27" s="433"/>
      <c r="Y27" s="324"/>
    </row>
    <row r="28" spans="2:29">
      <c r="B28" s="192"/>
      <c r="C28" s="193"/>
      <c r="D28" s="408" t="s">
        <v>26</v>
      </c>
      <c r="E28" s="70" t="s">
        <v>12</v>
      </c>
      <c r="F28" s="273" t="s">
        <v>254</v>
      </c>
      <c r="G28" s="274"/>
      <c r="H28" s="71">
        <v>4</v>
      </c>
      <c r="I28" s="85" t="s">
        <v>337</v>
      </c>
      <c r="J28" s="73">
        <v>4</v>
      </c>
      <c r="K28" s="273">
        <v>3</v>
      </c>
      <c r="L28" s="256"/>
      <c r="M28" s="267"/>
      <c r="N28" s="269"/>
      <c r="O28" s="270"/>
      <c r="P28" s="271"/>
      <c r="Q28" s="258"/>
      <c r="R28" s="258"/>
      <c r="S28" s="255"/>
      <c r="T28" s="256"/>
      <c r="U28" s="267"/>
      <c r="V28" s="268"/>
      <c r="W28" s="74">
        <f t="shared" si="0"/>
        <v>3</v>
      </c>
      <c r="X28" s="431">
        <f>SUM(W28:W29)</f>
        <v>6</v>
      </c>
      <c r="Y28" s="324"/>
    </row>
    <row r="29" spans="2:29" ht="18" thickBot="1">
      <c r="B29" s="192"/>
      <c r="C29" s="193"/>
      <c r="D29" s="410"/>
      <c r="E29" s="75" t="s">
        <v>12</v>
      </c>
      <c r="F29" s="278" t="s">
        <v>347</v>
      </c>
      <c r="G29" s="279"/>
      <c r="H29" s="76">
        <v>4</v>
      </c>
      <c r="I29" s="77" t="s">
        <v>337</v>
      </c>
      <c r="J29" s="78">
        <v>3</v>
      </c>
      <c r="K29" s="278"/>
      <c r="L29" s="264"/>
      <c r="M29" s="259">
        <v>3</v>
      </c>
      <c r="N29" s="272"/>
      <c r="O29" s="253"/>
      <c r="P29" s="277"/>
      <c r="Q29" s="277"/>
      <c r="R29" s="277"/>
      <c r="S29" s="263"/>
      <c r="T29" s="264"/>
      <c r="U29" s="259"/>
      <c r="V29" s="260"/>
      <c r="W29" s="79">
        <f t="shared" si="0"/>
        <v>3</v>
      </c>
      <c r="X29" s="433"/>
      <c r="Y29" s="325"/>
    </row>
    <row r="30" spans="2:29">
      <c r="B30" s="192"/>
      <c r="C30" s="193"/>
      <c r="D30" s="408" t="s">
        <v>8</v>
      </c>
      <c r="E30" s="70" t="s">
        <v>349</v>
      </c>
      <c r="F30" s="273" t="s">
        <v>350</v>
      </c>
      <c r="G30" s="274"/>
      <c r="H30" s="71">
        <v>3</v>
      </c>
      <c r="I30" s="85" t="s">
        <v>351</v>
      </c>
      <c r="J30" s="73">
        <f t="shared" ref="J30:J31" si="1">SUM(K30:V30)</f>
        <v>2</v>
      </c>
      <c r="K30" s="273">
        <v>2</v>
      </c>
      <c r="L30" s="256"/>
      <c r="M30" s="267"/>
      <c r="N30" s="268"/>
      <c r="O30" s="270"/>
      <c r="P30" s="271"/>
      <c r="Q30" s="258"/>
      <c r="R30" s="258"/>
      <c r="S30" s="255"/>
      <c r="T30" s="256"/>
      <c r="U30" s="267"/>
      <c r="V30" s="268"/>
      <c r="W30" s="74">
        <f>SUM(K30:V30)</f>
        <v>2</v>
      </c>
      <c r="X30" s="431">
        <f>SUM(W30:W34)</f>
        <v>8</v>
      </c>
      <c r="Y30" s="323">
        <v>8</v>
      </c>
    </row>
    <row r="31" spans="2:29">
      <c r="B31" s="192"/>
      <c r="C31" s="193"/>
      <c r="D31" s="409"/>
      <c r="E31" s="75" t="s">
        <v>349</v>
      </c>
      <c r="F31" s="275" t="s">
        <v>352</v>
      </c>
      <c r="G31" s="276"/>
      <c r="H31" s="76">
        <v>3</v>
      </c>
      <c r="I31" s="77" t="s">
        <v>351</v>
      </c>
      <c r="J31" s="78">
        <f t="shared" si="1"/>
        <v>2</v>
      </c>
      <c r="K31" s="275"/>
      <c r="L31" s="262"/>
      <c r="M31" s="251">
        <v>2</v>
      </c>
      <c r="N31" s="252"/>
      <c r="O31" s="257"/>
      <c r="P31" s="258"/>
      <c r="Q31" s="258"/>
      <c r="R31" s="258"/>
      <c r="S31" s="261"/>
      <c r="T31" s="262"/>
      <c r="U31" s="251"/>
      <c r="V31" s="252"/>
      <c r="W31" s="79">
        <f t="shared" ref="W31:W34" si="2">SUM(K31:V31)</f>
        <v>2</v>
      </c>
      <c r="X31" s="432"/>
      <c r="Y31" s="324"/>
    </row>
    <row r="32" spans="2:29" ht="16.5" customHeight="1">
      <c r="B32" s="192"/>
      <c r="C32" s="193"/>
      <c r="D32" s="409"/>
      <c r="E32" s="75" t="s">
        <v>338</v>
      </c>
      <c r="F32" s="275" t="s">
        <v>370</v>
      </c>
      <c r="G32" s="276"/>
      <c r="H32" s="76">
        <v>2</v>
      </c>
      <c r="I32" s="77" t="s">
        <v>354</v>
      </c>
      <c r="J32" s="78">
        <v>1</v>
      </c>
      <c r="K32" s="275"/>
      <c r="L32" s="262"/>
      <c r="M32" s="251"/>
      <c r="N32" s="252"/>
      <c r="O32" s="257">
        <v>1</v>
      </c>
      <c r="P32" s="258"/>
      <c r="Q32" s="258"/>
      <c r="R32" s="258"/>
      <c r="S32" s="261"/>
      <c r="T32" s="262"/>
      <c r="U32" s="251"/>
      <c r="V32" s="252"/>
      <c r="W32" s="79">
        <f t="shared" si="2"/>
        <v>1</v>
      </c>
      <c r="X32" s="432"/>
      <c r="Y32" s="324"/>
    </row>
    <row r="33" spans="2:28" ht="16.5" customHeight="1">
      <c r="B33" s="192"/>
      <c r="C33" s="193"/>
      <c r="D33" s="409"/>
      <c r="E33" s="75" t="s">
        <v>348</v>
      </c>
      <c r="F33" s="275" t="s">
        <v>353</v>
      </c>
      <c r="G33" s="276"/>
      <c r="H33" s="76">
        <v>3</v>
      </c>
      <c r="I33" s="77" t="s">
        <v>351</v>
      </c>
      <c r="J33" s="78">
        <v>2</v>
      </c>
      <c r="K33" s="275"/>
      <c r="L33" s="262"/>
      <c r="M33" s="251"/>
      <c r="N33" s="252"/>
      <c r="O33" s="257"/>
      <c r="P33" s="258"/>
      <c r="Q33" s="258">
        <v>2</v>
      </c>
      <c r="R33" s="258"/>
      <c r="S33" s="261"/>
      <c r="T33" s="262"/>
      <c r="U33" s="251"/>
      <c r="V33" s="252"/>
      <c r="W33" s="79">
        <f t="shared" si="2"/>
        <v>2</v>
      </c>
      <c r="X33" s="432"/>
      <c r="Y33" s="324"/>
    </row>
    <row r="34" spans="2:28" ht="18" thickBot="1">
      <c r="B34" s="192"/>
      <c r="C34" s="193"/>
      <c r="D34" s="410"/>
      <c r="E34" s="84" t="s">
        <v>338</v>
      </c>
      <c r="F34" s="278" t="s">
        <v>524</v>
      </c>
      <c r="G34" s="279"/>
      <c r="H34" s="81">
        <v>2</v>
      </c>
      <c r="I34" s="82" t="s">
        <v>354</v>
      </c>
      <c r="J34" s="83">
        <v>1</v>
      </c>
      <c r="K34" s="278"/>
      <c r="L34" s="264"/>
      <c r="M34" s="259"/>
      <c r="N34" s="260"/>
      <c r="O34" s="253"/>
      <c r="P34" s="254"/>
      <c r="Q34" s="429"/>
      <c r="R34" s="430"/>
      <c r="S34" s="261">
        <v>1</v>
      </c>
      <c r="T34" s="262"/>
      <c r="U34" s="251"/>
      <c r="V34" s="252"/>
      <c r="W34" s="89">
        <f t="shared" si="2"/>
        <v>1</v>
      </c>
      <c r="X34" s="433"/>
      <c r="Y34" s="325"/>
    </row>
    <row r="35" spans="2:28" ht="24.75" customHeight="1" thickBot="1">
      <c r="B35" s="192"/>
      <c r="C35" s="193"/>
      <c r="D35" s="408" t="s">
        <v>28</v>
      </c>
      <c r="E35" s="70" t="s">
        <v>349</v>
      </c>
      <c r="F35" s="273" t="s">
        <v>9</v>
      </c>
      <c r="G35" s="274"/>
      <c r="H35" s="76">
        <v>3</v>
      </c>
      <c r="I35" s="90" t="s">
        <v>351</v>
      </c>
      <c r="J35" s="220">
        <v>2</v>
      </c>
      <c r="K35" s="273">
        <v>2</v>
      </c>
      <c r="L35" s="256"/>
      <c r="M35" s="251"/>
      <c r="N35" s="252"/>
      <c r="O35" s="255"/>
      <c r="P35" s="256"/>
      <c r="Q35" s="267"/>
      <c r="R35" s="268"/>
      <c r="S35" s="255"/>
      <c r="T35" s="256"/>
      <c r="U35" s="267"/>
      <c r="V35" s="268"/>
      <c r="W35" s="230">
        <f t="shared" ref="W35:W43" si="3">SUM(K35:V35)</f>
        <v>2</v>
      </c>
      <c r="X35" s="431">
        <f>SUM(W35:W38)</f>
        <v>8</v>
      </c>
      <c r="Y35" s="323">
        <v>6</v>
      </c>
      <c r="AA35" s="338" t="b">
        <f>W42&gt;=Y42</f>
        <v>1</v>
      </c>
      <c r="AB35" s="339"/>
    </row>
    <row r="36" spans="2:28" ht="17.25" customHeight="1">
      <c r="B36" s="192"/>
      <c r="C36" s="193"/>
      <c r="D36" s="409"/>
      <c r="E36" s="80" t="s">
        <v>349</v>
      </c>
      <c r="F36" s="275" t="s">
        <v>47</v>
      </c>
      <c r="G36" s="276"/>
      <c r="H36" s="76">
        <v>3</v>
      </c>
      <c r="I36" s="90" t="s">
        <v>351</v>
      </c>
      <c r="J36" s="220">
        <v>2</v>
      </c>
      <c r="K36" s="275"/>
      <c r="L36" s="262"/>
      <c r="M36" s="251"/>
      <c r="N36" s="252"/>
      <c r="O36" s="261">
        <v>2</v>
      </c>
      <c r="P36" s="262"/>
      <c r="Q36" s="251"/>
      <c r="R36" s="252"/>
      <c r="S36" s="261"/>
      <c r="T36" s="262"/>
      <c r="U36" s="251"/>
      <c r="V36" s="252"/>
      <c r="W36" s="231">
        <f t="shared" si="3"/>
        <v>2</v>
      </c>
      <c r="X36" s="432"/>
      <c r="Y36" s="324"/>
    </row>
    <row r="37" spans="2:28" ht="17.25" customHeight="1">
      <c r="B37" s="192"/>
      <c r="C37" s="193"/>
      <c r="D37" s="409"/>
      <c r="E37" s="80" t="s">
        <v>338</v>
      </c>
      <c r="F37" s="275" t="s">
        <v>281</v>
      </c>
      <c r="G37" s="276"/>
      <c r="H37" s="224">
        <v>3</v>
      </c>
      <c r="I37" s="90" t="s">
        <v>351</v>
      </c>
      <c r="J37" s="225">
        <v>2</v>
      </c>
      <c r="K37" s="275"/>
      <c r="L37" s="262"/>
      <c r="M37" s="251">
        <v>2</v>
      </c>
      <c r="N37" s="252"/>
      <c r="O37" s="261"/>
      <c r="P37" s="262"/>
      <c r="Q37" s="251"/>
      <c r="R37" s="252"/>
      <c r="S37" s="261"/>
      <c r="T37" s="262"/>
      <c r="U37" s="251"/>
      <c r="V37" s="252"/>
      <c r="W37" s="231">
        <f t="shared" si="3"/>
        <v>2</v>
      </c>
      <c r="X37" s="432"/>
      <c r="Y37" s="324"/>
    </row>
    <row r="38" spans="2:28" ht="17.25" customHeight="1" thickBot="1">
      <c r="B38" s="192"/>
      <c r="C38" s="193"/>
      <c r="D38" s="410"/>
      <c r="E38" s="80" t="s">
        <v>338</v>
      </c>
      <c r="F38" s="278" t="s">
        <v>283</v>
      </c>
      <c r="G38" s="279"/>
      <c r="H38" s="81">
        <v>3</v>
      </c>
      <c r="I38" s="82" t="s">
        <v>351</v>
      </c>
      <c r="J38" s="83">
        <v>2</v>
      </c>
      <c r="K38" s="278"/>
      <c r="L38" s="264"/>
      <c r="M38" s="259"/>
      <c r="N38" s="260"/>
      <c r="O38" s="263"/>
      <c r="P38" s="264"/>
      <c r="Q38" s="259">
        <v>2</v>
      </c>
      <c r="R38" s="260"/>
      <c r="S38" s="263"/>
      <c r="T38" s="264"/>
      <c r="U38" s="259"/>
      <c r="V38" s="260"/>
      <c r="W38" s="232">
        <f t="shared" si="3"/>
        <v>2</v>
      </c>
      <c r="X38" s="433"/>
      <c r="Y38" s="325"/>
    </row>
    <row r="39" spans="2:28" ht="17.25" customHeight="1">
      <c r="B39" s="192"/>
      <c r="C39" s="193"/>
      <c r="D39" s="434" t="s">
        <v>355</v>
      </c>
      <c r="E39" s="70" t="s">
        <v>349</v>
      </c>
      <c r="F39" s="273" t="s">
        <v>299</v>
      </c>
      <c r="G39" s="274"/>
      <c r="H39" s="224">
        <v>4</v>
      </c>
      <c r="I39" s="229" t="s">
        <v>340</v>
      </c>
      <c r="J39" s="225">
        <v>3</v>
      </c>
      <c r="K39" s="270"/>
      <c r="L39" s="271"/>
      <c r="M39" s="258"/>
      <c r="N39" s="258"/>
      <c r="O39" s="270">
        <v>3</v>
      </c>
      <c r="P39" s="271"/>
      <c r="Q39" s="258"/>
      <c r="R39" s="258"/>
      <c r="S39" s="270"/>
      <c r="T39" s="271"/>
      <c r="U39" s="258"/>
      <c r="V39" s="258"/>
      <c r="W39" s="181">
        <f t="shared" si="3"/>
        <v>3</v>
      </c>
      <c r="X39" s="326">
        <f>SUM(W39:W41)</f>
        <v>8</v>
      </c>
      <c r="Y39" s="323">
        <v>8</v>
      </c>
    </row>
    <row r="40" spans="2:28" ht="17.25" customHeight="1">
      <c r="B40" s="192"/>
      <c r="C40" s="193"/>
      <c r="D40" s="435"/>
      <c r="E40" s="75" t="s">
        <v>349</v>
      </c>
      <c r="F40" s="275" t="s">
        <v>298</v>
      </c>
      <c r="G40" s="276"/>
      <c r="H40" s="218">
        <v>4</v>
      </c>
      <c r="I40" s="219" t="s">
        <v>340</v>
      </c>
      <c r="J40" s="220">
        <v>3</v>
      </c>
      <c r="K40" s="257"/>
      <c r="L40" s="258"/>
      <c r="M40" s="258"/>
      <c r="N40" s="258"/>
      <c r="O40" s="257"/>
      <c r="P40" s="258"/>
      <c r="Q40" s="258">
        <v>3</v>
      </c>
      <c r="R40" s="258"/>
      <c r="S40" s="257"/>
      <c r="T40" s="258"/>
      <c r="U40" s="258"/>
      <c r="V40" s="258"/>
      <c r="W40" s="231">
        <f t="shared" si="3"/>
        <v>3</v>
      </c>
      <c r="X40" s="327"/>
      <c r="Y40" s="324"/>
    </row>
    <row r="41" spans="2:28" ht="16.5" customHeight="1" thickBot="1">
      <c r="B41" s="194"/>
      <c r="C41" s="195"/>
      <c r="D41" s="436"/>
      <c r="E41" s="84" t="s">
        <v>338</v>
      </c>
      <c r="F41" s="278" t="s">
        <v>335</v>
      </c>
      <c r="G41" s="279"/>
      <c r="H41" s="81">
        <v>3</v>
      </c>
      <c r="I41" s="82" t="s">
        <v>351</v>
      </c>
      <c r="J41" s="83">
        <v>2</v>
      </c>
      <c r="K41" s="253"/>
      <c r="L41" s="277"/>
      <c r="M41" s="277"/>
      <c r="N41" s="277"/>
      <c r="O41" s="253"/>
      <c r="P41" s="277"/>
      <c r="Q41" s="277"/>
      <c r="R41" s="277"/>
      <c r="S41" s="253">
        <v>2</v>
      </c>
      <c r="T41" s="277"/>
      <c r="U41" s="277"/>
      <c r="V41" s="277"/>
      <c r="W41" s="232">
        <f t="shared" si="3"/>
        <v>2</v>
      </c>
      <c r="X41" s="328"/>
      <c r="Y41" s="325"/>
    </row>
    <row r="42" spans="2:28" ht="16.5" customHeight="1" thickBot="1">
      <c r="B42" s="203" t="s">
        <v>363</v>
      </c>
      <c r="C42" s="204"/>
      <c r="D42" s="204"/>
      <c r="E42" s="204"/>
      <c r="F42" s="204"/>
      <c r="G42" s="205"/>
      <c r="H42" s="172">
        <f>SUM(H26:H41)</f>
        <v>52</v>
      </c>
      <c r="I42" s="18"/>
      <c r="J42" s="178">
        <f>SUM(J26:J41)</f>
        <v>37</v>
      </c>
      <c r="K42" s="329">
        <f>SUM(K9:L41)</f>
        <v>22</v>
      </c>
      <c r="L42" s="330"/>
      <c r="M42" s="206">
        <f>SUM(M9:N41)</f>
        <v>22</v>
      </c>
      <c r="N42" s="210"/>
      <c r="O42" s="211">
        <f>SUM(O9:P41)</f>
        <v>15</v>
      </c>
      <c r="P42" s="206"/>
      <c r="Q42" s="206">
        <f>SUM(Q9:R41)</f>
        <v>16</v>
      </c>
      <c r="R42" s="216"/>
      <c r="S42" s="215">
        <f>SUM(S9:T41)</f>
        <v>9</v>
      </c>
      <c r="T42" s="206"/>
      <c r="U42" s="206">
        <f>SUM(U9:V41)</f>
        <v>0</v>
      </c>
      <c r="V42" s="214"/>
      <c r="W42" s="203">
        <f t="shared" si="3"/>
        <v>84</v>
      </c>
      <c r="X42" s="215"/>
      <c r="Y42" s="178">
        <f>SUM(Y9:Y40)</f>
        <v>64</v>
      </c>
    </row>
    <row r="43" spans="2:28" ht="20.25" customHeight="1" thickBot="1">
      <c r="B43" s="442" t="s">
        <v>356</v>
      </c>
      <c r="C43" s="443"/>
      <c r="D43" s="411" t="s">
        <v>357</v>
      </c>
      <c r="E43" s="412"/>
      <c r="F43" s="331" t="s">
        <v>525</v>
      </c>
      <c r="G43" s="332"/>
      <c r="H43" s="55"/>
      <c r="I43" s="56"/>
      <c r="J43" s="57">
        <v>2</v>
      </c>
      <c r="K43" s="333"/>
      <c r="L43" s="250"/>
      <c r="M43" s="247"/>
      <c r="N43" s="248"/>
      <c r="O43" s="249"/>
      <c r="P43" s="250"/>
      <c r="Q43" s="247"/>
      <c r="R43" s="248"/>
      <c r="S43" s="249">
        <v>2</v>
      </c>
      <c r="T43" s="250"/>
      <c r="U43" s="247"/>
      <c r="V43" s="441"/>
      <c r="W43" s="212">
        <f t="shared" si="3"/>
        <v>2</v>
      </c>
      <c r="X43" s="213"/>
      <c r="Y43" s="323">
        <v>80</v>
      </c>
    </row>
    <row r="44" spans="2:28" ht="20.25" customHeight="1">
      <c r="B44" s="444"/>
      <c r="C44" s="445"/>
      <c r="D44" s="91" t="s">
        <v>360</v>
      </c>
      <c r="E44" s="92" t="s">
        <v>358</v>
      </c>
      <c r="F44" s="334" t="s">
        <v>526</v>
      </c>
      <c r="G44" s="335"/>
      <c r="H44" s="60"/>
      <c r="I44" s="58"/>
      <c r="J44" s="59">
        <v>7</v>
      </c>
      <c r="K44" s="273">
        <v>7</v>
      </c>
      <c r="L44" s="256"/>
      <c r="M44" s="267"/>
      <c r="N44" s="268"/>
      <c r="O44" s="255"/>
      <c r="P44" s="256"/>
      <c r="Q44" s="267"/>
      <c r="R44" s="268"/>
      <c r="S44" s="255"/>
      <c r="T44" s="256"/>
      <c r="U44" s="267"/>
      <c r="V44" s="274"/>
      <c r="W44" s="207">
        <f t="shared" ref="W44:W51" si="4">SUM(K44:V44)</f>
        <v>7</v>
      </c>
      <c r="X44" s="208"/>
      <c r="Y44" s="324"/>
    </row>
    <row r="45" spans="2:28" ht="16.5" customHeight="1">
      <c r="B45" s="444"/>
      <c r="C45" s="445"/>
      <c r="D45" s="91" t="s">
        <v>360</v>
      </c>
      <c r="E45" s="92" t="s">
        <v>358</v>
      </c>
      <c r="F45" s="336" t="s">
        <v>527</v>
      </c>
      <c r="G45" s="337"/>
      <c r="H45" s="60"/>
      <c r="I45" s="58"/>
      <c r="J45" s="59">
        <v>7</v>
      </c>
      <c r="K45" s="275"/>
      <c r="L45" s="262"/>
      <c r="M45" s="251">
        <v>7</v>
      </c>
      <c r="N45" s="252"/>
      <c r="O45" s="261"/>
      <c r="P45" s="262"/>
      <c r="Q45" s="251"/>
      <c r="R45" s="252"/>
      <c r="S45" s="261"/>
      <c r="T45" s="262"/>
      <c r="U45" s="251"/>
      <c r="V45" s="276"/>
      <c r="W45" s="207">
        <f t="shared" si="4"/>
        <v>7</v>
      </c>
      <c r="X45" s="208"/>
      <c r="Y45" s="324"/>
    </row>
    <row r="46" spans="2:28" ht="16.5" customHeight="1">
      <c r="B46" s="444"/>
      <c r="C46" s="445"/>
      <c r="D46" s="91" t="s">
        <v>360</v>
      </c>
      <c r="E46" s="92" t="s">
        <v>358</v>
      </c>
      <c r="F46" s="336" t="s">
        <v>528</v>
      </c>
      <c r="G46" s="337"/>
      <c r="H46" s="60"/>
      <c r="I46" s="58"/>
      <c r="J46" s="59">
        <v>5</v>
      </c>
      <c r="K46" s="275"/>
      <c r="L46" s="262"/>
      <c r="M46" s="251"/>
      <c r="N46" s="252"/>
      <c r="O46" s="261">
        <v>5</v>
      </c>
      <c r="P46" s="262"/>
      <c r="Q46" s="251"/>
      <c r="R46" s="252"/>
      <c r="S46" s="261"/>
      <c r="T46" s="262"/>
      <c r="U46" s="251"/>
      <c r="V46" s="276"/>
      <c r="W46" s="207">
        <f t="shared" si="4"/>
        <v>5</v>
      </c>
      <c r="X46" s="208"/>
      <c r="Y46" s="324"/>
    </row>
    <row r="47" spans="2:28">
      <c r="B47" s="444"/>
      <c r="C47" s="445"/>
      <c r="D47" s="91" t="s">
        <v>360</v>
      </c>
      <c r="E47" s="92" t="s">
        <v>358</v>
      </c>
      <c r="F47" s="340" t="s">
        <v>529</v>
      </c>
      <c r="G47" s="341"/>
      <c r="H47" s="60"/>
      <c r="I47" s="58"/>
      <c r="J47" s="59">
        <v>4</v>
      </c>
      <c r="K47" s="275"/>
      <c r="L47" s="262"/>
      <c r="M47" s="251"/>
      <c r="N47" s="252"/>
      <c r="O47" s="261"/>
      <c r="P47" s="262"/>
      <c r="Q47" s="251">
        <v>4</v>
      </c>
      <c r="R47" s="252"/>
      <c r="S47" s="261"/>
      <c r="T47" s="262"/>
      <c r="U47" s="251"/>
      <c r="V47" s="276"/>
      <c r="W47" s="207">
        <f t="shared" si="4"/>
        <v>4</v>
      </c>
      <c r="X47" s="208"/>
      <c r="Y47" s="324"/>
    </row>
    <row r="48" spans="2:28">
      <c r="B48" s="444"/>
      <c r="C48" s="445"/>
      <c r="D48" s="91" t="s">
        <v>360</v>
      </c>
      <c r="E48" s="92" t="s">
        <v>358</v>
      </c>
      <c r="F48" s="340" t="s">
        <v>539</v>
      </c>
      <c r="G48" s="341"/>
      <c r="H48" s="60"/>
      <c r="I48" s="58"/>
      <c r="J48" s="59">
        <v>4</v>
      </c>
      <c r="K48" s="275"/>
      <c r="L48" s="262"/>
      <c r="M48" s="251"/>
      <c r="N48" s="252"/>
      <c r="O48" s="261"/>
      <c r="P48" s="262"/>
      <c r="Q48" s="251">
        <v>4</v>
      </c>
      <c r="R48" s="252"/>
      <c r="S48" s="261"/>
      <c r="T48" s="262"/>
      <c r="U48" s="251"/>
      <c r="V48" s="276"/>
      <c r="W48" s="207">
        <f t="shared" si="4"/>
        <v>4</v>
      </c>
      <c r="X48" s="208"/>
      <c r="Y48" s="324"/>
    </row>
    <row r="49" spans="2:29">
      <c r="B49" s="444"/>
      <c r="C49" s="445"/>
      <c r="D49" s="93" t="s">
        <v>360</v>
      </c>
      <c r="E49" s="92" t="s">
        <v>359</v>
      </c>
      <c r="F49" s="340" t="s">
        <v>531</v>
      </c>
      <c r="G49" s="341"/>
      <c r="H49" s="60"/>
      <c r="I49" s="175"/>
      <c r="J49" s="54">
        <v>11</v>
      </c>
      <c r="K49" s="275"/>
      <c r="L49" s="262"/>
      <c r="M49" s="251"/>
      <c r="N49" s="252"/>
      <c r="O49" s="261"/>
      <c r="P49" s="262"/>
      <c r="Q49" s="251"/>
      <c r="R49" s="252"/>
      <c r="S49" s="261">
        <v>6</v>
      </c>
      <c r="T49" s="262"/>
      <c r="U49" s="251">
        <v>5</v>
      </c>
      <c r="V49" s="276"/>
      <c r="W49" s="207">
        <f t="shared" si="4"/>
        <v>11</v>
      </c>
      <c r="X49" s="208"/>
      <c r="Y49" s="324"/>
    </row>
    <row r="50" spans="2:29" ht="17.399999999999999" customHeight="1">
      <c r="B50" s="444"/>
      <c r="C50" s="445"/>
      <c r="D50" s="94" t="s">
        <v>360</v>
      </c>
      <c r="E50" s="92" t="s">
        <v>359</v>
      </c>
      <c r="F50" s="342" t="s">
        <v>532</v>
      </c>
      <c r="G50" s="343"/>
      <c r="H50" s="53"/>
      <c r="I50" s="175"/>
      <c r="J50" s="54">
        <v>4</v>
      </c>
      <c r="K50" s="275"/>
      <c r="L50" s="262"/>
      <c r="M50" s="251"/>
      <c r="N50" s="252"/>
      <c r="O50" s="261"/>
      <c r="P50" s="262"/>
      <c r="Q50" s="251"/>
      <c r="R50" s="252"/>
      <c r="S50" s="261"/>
      <c r="T50" s="262"/>
      <c r="U50" s="251">
        <v>4</v>
      </c>
      <c r="V50" s="276"/>
      <c r="W50" s="207">
        <f t="shared" si="4"/>
        <v>4</v>
      </c>
      <c r="X50" s="208"/>
      <c r="Y50" s="324"/>
    </row>
    <row r="51" spans="2:29" ht="18" thickBot="1">
      <c r="B51" s="446"/>
      <c r="C51" s="447"/>
      <c r="D51" s="98" t="s">
        <v>66</v>
      </c>
      <c r="E51" s="92" t="s">
        <v>358</v>
      </c>
      <c r="F51" s="344" t="s">
        <v>533</v>
      </c>
      <c r="G51" s="345"/>
      <c r="H51" s="53"/>
      <c r="I51" s="175"/>
      <c r="J51" s="54">
        <v>5</v>
      </c>
      <c r="K51" s="278"/>
      <c r="L51" s="264"/>
      <c r="M51" s="259"/>
      <c r="N51" s="260"/>
      <c r="O51" s="263">
        <v>5</v>
      </c>
      <c r="P51" s="264"/>
      <c r="Q51" s="259"/>
      <c r="R51" s="260"/>
      <c r="S51" s="263"/>
      <c r="T51" s="264"/>
      <c r="U51" s="259"/>
      <c r="V51" s="279"/>
      <c r="W51" s="207">
        <f t="shared" si="4"/>
        <v>5</v>
      </c>
      <c r="X51" s="208"/>
      <c r="Y51" s="324"/>
      <c r="AC51" s="61"/>
    </row>
    <row r="52" spans="2:29">
      <c r="B52" s="413" t="s">
        <v>544</v>
      </c>
      <c r="C52" s="416" t="s">
        <v>543</v>
      </c>
      <c r="D52" s="94" t="s">
        <v>66</v>
      </c>
      <c r="E52" s="96" t="s">
        <v>358</v>
      </c>
      <c r="F52" s="427" t="s">
        <v>534</v>
      </c>
      <c r="G52" s="428"/>
      <c r="H52" s="52"/>
      <c r="I52" s="196"/>
      <c r="J52" s="173">
        <v>4</v>
      </c>
      <c r="K52" s="439"/>
      <c r="L52" s="440"/>
      <c r="M52" s="267"/>
      <c r="N52" s="268"/>
      <c r="O52" s="255">
        <v>4</v>
      </c>
      <c r="P52" s="256"/>
      <c r="Q52" s="267"/>
      <c r="R52" s="268"/>
      <c r="S52" s="255"/>
      <c r="T52" s="256"/>
      <c r="U52" s="267"/>
      <c r="V52" s="274"/>
      <c r="W52" s="181">
        <f>SUM(K52:V55)</f>
        <v>41</v>
      </c>
      <c r="X52" s="182"/>
      <c r="Y52" s="324"/>
      <c r="AC52" s="61"/>
    </row>
    <row r="53" spans="2:29">
      <c r="B53" s="414"/>
      <c r="C53" s="417"/>
      <c r="D53" s="93" t="s">
        <v>66</v>
      </c>
      <c r="E53" s="99" t="s">
        <v>358</v>
      </c>
      <c r="F53" s="340" t="s">
        <v>535</v>
      </c>
      <c r="G53" s="341"/>
      <c r="H53" s="60"/>
      <c r="I53" s="197"/>
      <c r="J53" s="174">
        <v>5</v>
      </c>
      <c r="K53" s="275"/>
      <c r="L53" s="262"/>
      <c r="M53" s="251"/>
      <c r="N53" s="252"/>
      <c r="O53" s="261"/>
      <c r="P53" s="262"/>
      <c r="Q53" s="251">
        <v>5</v>
      </c>
      <c r="R53" s="252"/>
      <c r="S53" s="261"/>
      <c r="T53" s="262"/>
      <c r="U53" s="251"/>
      <c r="V53" s="276"/>
      <c r="W53" s="183"/>
      <c r="X53" s="184"/>
      <c r="Y53" s="324"/>
      <c r="AC53" s="103"/>
    </row>
    <row r="54" spans="2:29" ht="16.5" customHeight="1">
      <c r="B54" s="414"/>
      <c r="C54" s="417"/>
      <c r="D54" s="93" t="s">
        <v>360</v>
      </c>
      <c r="E54" s="99" t="s">
        <v>359</v>
      </c>
      <c r="F54" s="340" t="s">
        <v>536</v>
      </c>
      <c r="G54" s="341"/>
      <c r="H54" s="60"/>
      <c r="I54" s="197"/>
      <c r="J54" s="174">
        <v>16</v>
      </c>
      <c r="K54" s="275"/>
      <c r="L54" s="262"/>
      <c r="M54" s="251"/>
      <c r="N54" s="252"/>
      <c r="O54" s="261"/>
      <c r="P54" s="262"/>
      <c r="Q54" s="251"/>
      <c r="R54" s="252"/>
      <c r="S54" s="261">
        <v>6</v>
      </c>
      <c r="T54" s="262"/>
      <c r="U54" s="251">
        <v>10</v>
      </c>
      <c r="V54" s="276"/>
      <c r="W54" s="183"/>
      <c r="X54" s="184"/>
      <c r="Y54" s="324"/>
    </row>
    <row r="55" spans="2:29" ht="16.5" customHeight="1" thickBot="1">
      <c r="B55" s="414"/>
      <c r="C55" s="418"/>
      <c r="D55" s="93" t="s">
        <v>360</v>
      </c>
      <c r="E55" s="99" t="s">
        <v>359</v>
      </c>
      <c r="F55" s="425" t="s">
        <v>537</v>
      </c>
      <c r="G55" s="426"/>
      <c r="H55" s="53"/>
      <c r="I55" s="197"/>
      <c r="J55" s="228">
        <v>16</v>
      </c>
      <c r="K55" s="278"/>
      <c r="L55" s="264"/>
      <c r="M55" s="259"/>
      <c r="N55" s="260"/>
      <c r="O55" s="263"/>
      <c r="P55" s="264"/>
      <c r="Q55" s="259"/>
      <c r="R55" s="260"/>
      <c r="S55" s="263">
        <v>6</v>
      </c>
      <c r="T55" s="264"/>
      <c r="U55" s="259">
        <v>10</v>
      </c>
      <c r="V55" s="279"/>
      <c r="W55" s="183"/>
      <c r="X55" s="184"/>
      <c r="Y55" s="324"/>
      <c r="AA55" s="266" t="s">
        <v>153</v>
      </c>
      <c r="AB55" s="266"/>
    </row>
    <row r="56" spans="2:29" ht="16.5" customHeight="1" thickBot="1">
      <c r="B56" s="414"/>
      <c r="C56" s="416" t="s">
        <v>542</v>
      </c>
      <c r="D56" s="95" t="s">
        <v>360</v>
      </c>
      <c r="E56" s="100" t="s">
        <v>359</v>
      </c>
      <c r="F56" s="437" t="s">
        <v>538</v>
      </c>
      <c r="G56" s="438"/>
      <c r="H56" s="52"/>
      <c r="I56" s="199"/>
      <c r="J56" s="174">
        <v>9</v>
      </c>
      <c r="K56" s="273"/>
      <c r="L56" s="256"/>
      <c r="M56" s="267"/>
      <c r="N56" s="268"/>
      <c r="O56" s="255">
        <v>4</v>
      </c>
      <c r="P56" s="256"/>
      <c r="Q56" s="267">
        <v>5</v>
      </c>
      <c r="R56" s="268"/>
      <c r="S56" s="255"/>
      <c r="T56" s="256"/>
      <c r="U56" s="267"/>
      <c r="V56" s="274"/>
      <c r="W56" s="181">
        <f>SUM(K56:V58)</f>
        <v>41</v>
      </c>
      <c r="X56" s="182"/>
      <c r="Y56" s="324"/>
      <c r="AA56" s="361"/>
      <c r="AB56" s="361"/>
    </row>
    <row r="57" spans="2:29" ht="16.5" customHeight="1" thickBot="1">
      <c r="B57" s="414"/>
      <c r="C57" s="417"/>
      <c r="D57" s="101" t="s">
        <v>360</v>
      </c>
      <c r="E57" s="92" t="s">
        <v>359</v>
      </c>
      <c r="F57" s="340" t="s">
        <v>530</v>
      </c>
      <c r="G57" s="341"/>
      <c r="H57" s="53"/>
      <c r="I57" s="200"/>
      <c r="J57" s="174">
        <v>16</v>
      </c>
      <c r="K57" s="275"/>
      <c r="L57" s="262"/>
      <c r="M57" s="251"/>
      <c r="N57" s="252"/>
      <c r="O57" s="261"/>
      <c r="P57" s="262"/>
      <c r="Q57" s="251"/>
      <c r="R57" s="252"/>
      <c r="S57" s="261">
        <v>6</v>
      </c>
      <c r="T57" s="262"/>
      <c r="U57" s="251">
        <v>10</v>
      </c>
      <c r="V57" s="276"/>
      <c r="W57" s="183"/>
      <c r="X57" s="184"/>
      <c r="Y57" s="324"/>
      <c r="AA57" s="338" t="b">
        <f>W61&gt;=Y61</f>
        <v>1</v>
      </c>
      <c r="AB57" s="339"/>
    </row>
    <row r="58" spans="2:29" ht="17.399999999999999" customHeight="1" thickBot="1">
      <c r="B58" s="415"/>
      <c r="C58" s="418"/>
      <c r="D58" s="102" t="s">
        <v>360</v>
      </c>
      <c r="E58" s="97" t="s">
        <v>359</v>
      </c>
      <c r="F58" s="425" t="s">
        <v>540</v>
      </c>
      <c r="G58" s="426"/>
      <c r="H58" s="64"/>
      <c r="I58" s="201"/>
      <c r="J58" s="174">
        <v>16</v>
      </c>
      <c r="K58" s="278"/>
      <c r="L58" s="264"/>
      <c r="M58" s="259"/>
      <c r="N58" s="260"/>
      <c r="O58" s="263"/>
      <c r="P58" s="264"/>
      <c r="Q58" s="259"/>
      <c r="R58" s="260"/>
      <c r="S58" s="263">
        <v>6</v>
      </c>
      <c r="T58" s="264"/>
      <c r="U58" s="259">
        <v>10</v>
      </c>
      <c r="V58" s="279"/>
      <c r="W58" s="185"/>
      <c r="X58" s="186"/>
      <c r="Y58" s="325"/>
    </row>
    <row r="59" spans="2:29" ht="18" thickBot="1">
      <c r="B59" s="358" t="s">
        <v>364</v>
      </c>
      <c r="C59" s="347"/>
      <c r="D59" s="347"/>
      <c r="E59" s="347"/>
      <c r="F59" s="347"/>
      <c r="G59" s="356"/>
      <c r="H59" s="419">
        <f>SUM(H43:H51)</f>
        <v>0</v>
      </c>
      <c r="I59" s="421">
        <f>SUM(I43:I51)</f>
        <v>0</v>
      </c>
      <c r="J59" s="423">
        <f>SUM(J43:J58)</f>
        <v>131</v>
      </c>
      <c r="K59" s="358">
        <f>SUM(K43:L58)</f>
        <v>7</v>
      </c>
      <c r="L59" s="351"/>
      <c r="M59" s="346">
        <f>SUM(M43:N55)</f>
        <v>7</v>
      </c>
      <c r="N59" s="347"/>
      <c r="O59" s="350">
        <f>SUM(O43:P55)</f>
        <v>14</v>
      </c>
      <c r="P59" s="351"/>
      <c r="Q59" s="346">
        <f>SUM(Q43:R55)</f>
        <v>13</v>
      </c>
      <c r="R59" s="354"/>
      <c r="S59" s="347">
        <f>SUM(S43:T55)</f>
        <v>20</v>
      </c>
      <c r="T59" s="351"/>
      <c r="U59" s="346">
        <f>SUM(U43:V55)</f>
        <v>29</v>
      </c>
      <c r="V59" s="356"/>
      <c r="W59" s="358">
        <f>SUM(K59:V60)</f>
        <v>90</v>
      </c>
      <c r="X59" s="356"/>
      <c r="Y59" s="323">
        <f>SUM(Y43:Y56)</f>
        <v>80</v>
      </c>
      <c r="AA59" s="266" t="s">
        <v>154</v>
      </c>
      <c r="AB59" s="266"/>
    </row>
    <row r="60" spans="2:29" ht="17.25" customHeight="1" thickBot="1">
      <c r="B60" s="359"/>
      <c r="C60" s="349"/>
      <c r="D60" s="349"/>
      <c r="E60" s="349"/>
      <c r="F60" s="349"/>
      <c r="G60" s="357"/>
      <c r="H60" s="420"/>
      <c r="I60" s="422"/>
      <c r="J60" s="424"/>
      <c r="K60" s="359"/>
      <c r="L60" s="353"/>
      <c r="M60" s="348"/>
      <c r="N60" s="349"/>
      <c r="O60" s="352"/>
      <c r="P60" s="353"/>
      <c r="Q60" s="348"/>
      <c r="R60" s="355"/>
      <c r="S60" s="349"/>
      <c r="T60" s="353"/>
      <c r="U60" s="348"/>
      <c r="V60" s="357"/>
      <c r="W60" s="359"/>
      <c r="X60" s="357"/>
      <c r="Y60" s="325"/>
      <c r="AA60" s="338" t="b">
        <f>W65&gt;=Y65</f>
        <v>1</v>
      </c>
      <c r="AB60" s="339"/>
    </row>
    <row r="61" spans="2:29" ht="18.75" customHeight="1" thickBot="1">
      <c r="B61" s="329"/>
      <c r="C61" s="387"/>
      <c r="D61" s="387"/>
      <c r="E61" s="387"/>
      <c r="F61" s="387"/>
      <c r="G61" s="360"/>
      <c r="H61" s="62">
        <f>SUM(H42,H59)</f>
        <v>52</v>
      </c>
      <c r="I61" s="63">
        <f>SUM(I42,I59)</f>
        <v>0</v>
      </c>
      <c r="J61" s="65">
        <f>SUM(J42,J59)</f>
        <v>168</v>
      </c>
      <c r="K61" s="329">
        <f>SUM(K42,K59)</f>
        <v>29</v>
      </c>
      <c r="L61" s="330"/>
      <c r="M61" s="388">
        <f>SUM(M42,M59)</f>
        <v>29</v>
      </c>
      <c r="N61" s="389"/>
      <c r="O61" s="390">
        <f>SUM(O42,O59)</f>
        <v>29</v>
      </c>
      <c r="P61" s="330"/>
      <c r="Q61" s="388">
        <f>SUM(Q42,Q59)</f>
        <v>29</v>
      </c>
      <c r="R61" s="389"/>
      <c r="S61" s="390">
        <f>SUM(S42,S59)</f>
        <v>29</v>
      </c>
      <c r="T61" s="330"/>
      <c r="U61" s="388">
        <f>SUM(U42,U59)</f>
        <v>29</v>
      </c>
      <c r="V61" s="360"/>
      <c r="W61" s="329">
        <f>SUM(K61:V61)</f>
        <v>174</v>
      </c>
      <c r="X61" s="360"/>
      <c r="Y61" s="11">
        <f>Y59+Y42</f>
        <v>144</v>
      </c>
      <c r="AA61" s="266" t="s">
        <v>152</v>
      </c>
      <c r="AB61" s="266"/>
    </row>
    <row r="62" spans="2:29" ht="17.25" customHeight="1" thickBot="1">
      <c r="B62" s="371" t="s">
        <v>365</v>
      </c>
      <c r="C62" s="403"/>
      <c r="D62" s="403"/>
      <c r="E62" s="372"/>
      <c r="F62" s="362" t="s">
        <v>361</v>
      </c>
      <c r="G62" s="363"/>
      <c r="H62" s="363"/>
      <c r="I62" s="363"/>
      <c r="J62" s="364"/>
      <c r="K62" s="365">
        <v>32</v>
      </c>
      <c r="L62" s="366"/>
      <c r="M62" s="367">
        <v>32</v>
      </c>
      <c r="N62" s="368"/>
      <c r="O62" s="369">
        <v>32</v>
      </c>
      <c r="P62" s="366"/>
      <c r="Q62" s="367">
        <v>32</v>
      </c>
      <c r="R62" s="368"/>
      <c r="S62" s="369">
        <v>32</v>
      </c>
      <c r="T62" s="366"/>
      <c r="U62" s="367">
        <v>32</v>
      </c>
      <c r="V62" s="370"/>
      <c r="W62" s="371">
        <f>SUM(K62:V64)</f>
        <v>384</v>
      </c>
      <c r="X62" s="372"/>
      <c r="Y62" s="323">
        <f>Y65*16</f>
        <v>288</v>
      </c>
      <c r="AA62" s="338" t="b">
        <f>W66&gt;=Y66</f>
        <v>1</v>
      </c>
      <c r="AB62" s="339"/>
    </row>
    <row r="63" spans="2:29" ht="17.25" customHeight="1">
      <c r="B63" s="373"/>
      <c r="C63" s="404"/>
      <c r="D63" s="404"/>
      <c r="E63" s="374"/>
      <c r="F63" s="378" t="s">
        <v>63</v>
      </c>
      <c r="G63" s="379"/>
      <c r="H63" s="379"/>
      <c r="I63" s="379"/>
      <c r="J63" s="380"/>
      <c r="K63" s="381">
        <v>16</v>
      </c>
      <c r="L63" s="382"/>
      <c r="M63" s="383">
        <v>16</v>
      </c>
      <c r="N63" s="384"/>
      <c r="O63" s="385">
        <v>16</v>
      </c>
      <c r="P63" s="382"/>
      <c r="Q63" s="383">
        <v>16</v>
      </c>
      <c r="R63" s="384"/>
      <c r="S63" s="385">
        <v>16</v>
      </c>
      <c r="T63" s="382"/>
      <c r="U63" s="383">
        <v>16</v>
      </c>
      <c r="V63" s="386"/>
      <c r="W63" s="373"/>
      <c r="X63" s="374"/>
      <c r="Y63" s="324"/>
    </row>
    <row r="64" spans="2:29" ht="17.25" customHeight="1">
      <c r="B64" s="373"/>
      <c r="C64" s="404"/>
      <c r="D64" s="404"/>
      <c r="E64" s="374"/>
      <c r="F64" s="378" t="s">
        <v>11</v>
      </c>
      <c r="G64" s="379"/>
      <c r="H64" s="379"/>
      <c r="I64" s="379"/>
      <c r="J64" s="380"/>
      <c r="K64" s="381">
        <v>16</v>
      </c>
      <c r="L64" s="382"/>
      <c r="M64" s="383">
        <v>16</v>
      </c>
      <c r="N64" s="384"/>
      <c r="O64" s="385">
        <v>16</v>
      </c>
      <c r="P64" s="382"/>
      <c r="Q64" s="383">
        <v>16</v>
      </c>
      <c r="R64" s="384"/>
      <c r="S64" s="385">
        <v>16</v>
      </c>
      <c r="T64" s="382"/>
      <c r="U64" s="383">
        <v>16</v>
      </c>
      <c r="V64" s="386"/>
      <c r="W64" s="375"/>
      <c r="X64" s="376"/>
      <c r="Y64" s="377"/>
    </row>
    <row r="65" spans="2:25" ht="17.25" customHeight="1" thickBot="1">
      <c r="B65" s="405"/>
      <c r="C65" s="406"/>
      <c r="D65" s="406"/>
      <c r="E65" s="407"/>
      <c r="F65" s="394" t="s">
        <v>149</v>
      </c>
      <c r="G65" s="395"/>
      <c r="H65" s="395"/>
      <c r="I65" s="395"/>
      <c r="J65" s="396"/>
      <c r="K65" s="397">
        <v>4</v>
      </c>
      <c r="L65" s="398"/>
      <c r="M65" s="399">
        <v>4</v>
      </c>
      <c r="N65" s="400"/>
      <c r="O65" s="401">
        <v>4</v>
      </c>
      <c r="P65" s="398"/>
      <c r="Q65" s="399">
        <v>4</v>
      </c>
      <c r="R65" s="400"/>
      <c r="S65" s="401">
        <v>4</v>
      </c>
      <c r="T65" s="398"/>
      <c r="U65" s="399">
        <v>4</v>
      </c>
      <c r="V65" s="402"/>
      <c r="W65" s="394">
        <f>SUM(K65:V65)</f>
        <v>24</v>
      </c>
      <c r="X65" s="396"/>
      <c r="Y65" s="104">
        <v>18</v>
      </c>
    </row>
    <row r="66" spans="2:25" ht="17.25" customHeight="1" thickBot="1">
      <c r="B66" s="329"/>
      <c r="C66" s="387"/>
      <c r="D66" s="387"/>
      <c r="E66" s="387"/>
      <c r="F66" s="387"/>
      <c r="G66" s="387"/>
      <c r="H66" s="387"/>
      <c r="I66" s="387"/>
      <c r="J66" s="360"/>
      <c r="K66" s="329">
        <v>64</v>
      </c>
      <c r="L66" s="330"/>
      <c r="M66" s="388">
        <v>64</v>
      </c>
      <c r="N66" s="389"/>
      <c r="O66" s="390">
        <v>64</v>
      </c>
      <c r="P66" s="330"/>
      <c r="Q66" s="388">
        <v>64</v>
      </c>
      <c r="R66" s="389"/>
      <c r="S66" s="390">
        <v>64</v>
      </c>
      <c r="T66" s="330"/>
      <c r="U66" s="388">
        <v>64</v>
      </c>
      <c r="V66" s="360"/>
      <c r="W66" s="329">
        <f>SUM(K66:V66)</f>
        <v>384</v>
      </c>
      <c r="X66" s="360"/>
      <c r="Y66" s="66">
        <f>W66</f>
        <v>384</v>
      </c>
    </row>
    <row r="67" spans="2:25" ht="17.25" customHeight="1" thickBot="1">
      <c r="B67" s="329"/>
      <c r="C67" s="387"/>
      <c r="D67" s="387"/>
      <c r="E67" s="387"/>
      <c r="F67" s="387"/>
      <c r="G67" s="387"/>
      <c r="H67" s="387"/>
      <c r="I67" s="387"/>
      <c r="J67" s="360"/>
      <c r="K67" s="329">
        <f>SUM(K66:N66)</f>
        <v>128</v>
      </c>
      <c r="L67" s="387"/>
      <c r="M67" s="387"/>
      <c r="N67" s="389"/>
      <c r="O67" s="390">
        <f>SUM(O66:R66)</f>
        <v>128</v>
      </c>
      <c r="P67" s="387"/>
      <c r="Q67" s="387"/>
      <c r="R67" s="389"/>
      <c r="S67" s="390">
        <f>SUM(S66:V66)</f>
        <v>128</v>
      </c>
      <c r="T67" s="387"/>
      <c r="U67" s="387"/>
      <c r="V67" s="360"/>
      <c r="W67" s="329">
        <f>SUM(K67:V67)</f>
        <v>384</v>
      </c>
      <c r="X67" s="360"/>
      <c r="Y67" s="11"/>
    </row>
    <row r="68" spans="2:25" ht="17.25" customHeight="1"/>
    <row r="69" spans="2:25" ht="17.25" customHeight="1"/>
    <row r="70" spans="2:25" ht="17.25" customHeight="1"/>
    <row r="72" spans="2:25" ht="24.9" customHeight="1"/>
    <row r="73" spans="2:25" ht="24.9" customHeight="1"/>
    <row r="74" spans="2:25" ht="32.25" customHeight="1"/>
    <row r="75" spans="2:25" ht="24.9" customHeight="1"/>
    <row r="77" spans="2:25" ht="16.5" customHeight="1"/>
    <row r="78" spans="2:25" ht="17.25" customHeight="1"/>
    <row r="79" spans="2:25" ht="16.5" customHeight="1"/>
    <row r="80" spans="2:25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244.5" customHeight="1"/>
  </sheetData>
  <mergeCells count="484">
    <mergeCell ref="U49:V49"/>
    <mergeCell ref="U38:V38"/>
    <mergeCell ref="X35:X38"/>
    <mergeCell ref="Y43:Y58"/>
    <mergeCell ref="S43:T43"/>
    <mergeCell ref="U43:V43"/>
    <mergeCell ref="M47:N47"/>
    <mergeCell ref="B43:C51"/>
    <mergeCell ref="U45:V45"/>
    <mergeCell ref="U46:V46"/>
    <mergeCell ref="S56:T56"/>
    <mergeCell ref="U56:V56"/>
    <mergeCell ref="S57:T57"/>
    <mergeCell ref="U57:V57"/>
    <mergeCell ref="S58:T58"/>
    <mergeCell ref="U58:V58"/>
    <mergeCell ref="O56:P56"/>
    <mergeCell ref="Q56:R56"/>
    <mergeCell ref="O57:P57"/>
    <mergeCell ref="Q57:R57"/>
    <mergeCell ref="O58:P58"/>
    <mergeCell ref="Q58:R58"/>
    <mergeCell ref="M57:N57"/>
    <mergeCell ref="M56:N56"/>
    <mergeCell ref="D39:D41"/>
    <mergeCell ref="F39:G39"/>
    <mergeCell ref="O39:P39"/>
    <mergeCell ref="Q39:R39"/>
    <mergeCell ref="O40:P40"/>
    <mergeCell ref="Q40:R40"/>
    <mergeCell ref="K39:L39"/>
    <mergeCell ref="M39:N39"/>
    <mergeCell ref="K40:L40"/>
    <mergeCell ref="M40:N40"/>
    <mergeCell ref="M41:N41"/>
    <mergeCell ref="O41:P41"/>
    <mergeCell ref="X9:X12"/>
    <mergeCell ref="Y9:Y23"/>
    <mergeCell ref="X21:X23"/>
    <mergeCell ref="X17:X20"/>
    <mergeCell ref="X13:X16"/>
    <mergeCell ref="X24:X25"/>
    <mergeCell ref="X26:X27"/>
    <mergeCell ref="X28:X29"/>
    <mergeCell ref="X30:X34"/>
    <mergeCell ref="Y30:Y34"/>
    <mergeCell ref="Y26:Y29"/>
    <mergeCell ref="Y24:Y25"/>
    <mergeCell ref="S32:T32"/>
    <mergeCell ref="U32:V32"/>
    <mergeCell ref="S33:T33"/>
    <mergeCell ref="U33:V33"/>
    <mergeCell ref="S34:T34"/>
    <mergeCell ref="U13:V13"/>
    <mergeCell ref="S11:T11"/>
    <mergeCell ref="U11:V11"/>
    <mergeCell ref="S10:T10"/>
    <mergeCell ref="U10:V10"/>
    <mergeCell ref="S31:T31"/>
    <mergeCell ref="U31:V31"/>
    <mergeCell ref="S30:T30"/>
    <mergeCell ref="S25:T25"/>
    <mergeCell ref="U25:V25"/>
    <mergeCell ref="S26:T26"/>
    <mergeCell ref="U26:V26"/>
    <mergeCell ref="S29:T29"/>
    <mergeCell ref="U29:V29"/>
    <mergeCell ref="U34:V34"/>
    <mergeCell ref="S28:T28"/>
    <mergeCell ref="U28:V28"/>
    <mergeCell ref="M11:N11"/>
    <mergeCell ref="O10:P10"/>
    <mergeCell ref="Q10:R10"/>
    <mergeCell ref="O11:P11"/>
    <mergeCell ref="Q11:R11"/>
    <mergeCell ref="Q32:R32"/>
    <mergeCell ref="Q33:R33"/>
    <mergeCell ref="Q34:R34"/>
    <mergeCell ref="O31:P31"/>
    <mergeCell ref="Q31:R31"/>
    <mergeCell ref="O30:P30"/>
    <mergeCell ref="Q30:R30"/>
    <mergeCell ref="M25:N25"/>
    <mergeCell ref="O25:P25"/>
    <mergeCell ref="Q25:R25"/>
    <mergeCell ref="M26:N26"/>
    <mergeCell ref="O26:P26"/>
    <mergeCell ref="Q26:R26"/>
    <mergeCell ref="M29:N29"/>
    <mergeCell ref="O29:P29"/>
    <mergeCell ref="Q29:R29"/>
    <mergeCell ref="M28:N28"/>
    <mergeCell ref="O28:P28"/>
    <mergeCell ref="Q28:R28"/>
    <mergeCell ref="B66:J66"/>
    <mergeCell ref="B62:E65"/>
    <mergeCell ref="D9:D12"/>
    <mergeCell ref="D13:D16"/>
    <mergeCell ref="D17:D20"/>
    <mergeCell ref="D24:D27"/>
    <mergeCell ref="D28:D29"/>
    <mergeCell ref="D30:D34"/>
    <mergeCell ref="D35:D38"/>
    <mergeCell ref="D21:D23"/>
    <mergeCell ref="F35:G35"/>
    <mergeCell ref="D43:E43"/>
    <mergeCell ref="B52:B58"/>
    <mergeCell ref="C52:C55"/>
    <mergeCell ref="C56:C58"/>
    <mergeCell ref="B59:G60"/>
    <mergeCell ref="H59:H60"/>
    <mergeCell ref="I59:I60"/>
    <mergeCell ref="J59:J60"/>
    <mergeCell ref="F58:G58"/>
    <mergeCell ref="F52:G52"/>
    <mergeCell ref="F57:G57"/>
    <mergeCell ref="F23:G23"/>
    <mergeCell ref="F28:G28"/>
    <mergeCell ref="AB14:AD14"/>
    <mergeCell ref="AA8:AD8"/>
    <mergeCell ref="B67:J67"/>
    <mergeCell ref="K67:N67"/>
    <mergeCell ref="O67:R67"/>
    <mergeCell ref="S67:V67"/>
    <mergeCell ref="W67:X67"/>
    <mergeCell ref="AA61:AB61"/>
    <mergeCell ref="F65:J65"/>
    <mergeCell ref="K65:L65"/>
    <mergeCell ref="M65:N65"/>
    <mergeCell ref="O65:P65"/>
    <mergeCell ref="Q65:R65"/>
    <mergeCell ref="S65:T65"/>
    <mergeCell ref="U65:V65"/>
    <mergeCell ref="W65:X65"/>
    <mergeCell ref="AA59:AB59"/>
    <mergeCell ref="S63:T63"/>
    <mergeCell ref="U63:V63"/>
    <mergeCell ref="AA57:AB57"/>
    <mergeCell ref="F64:J64"/>
    <mergeCell ref="K64:L64"/>
    <mergeCell ref="M64:N64"/>
    <mergeCell ref="K61:L61"/>
    <mergeCell ref="M61:N61"/>
    <mergeCell ref="O61:P61"/>
    <mergeCell ref="Q61:R61"/>
    <mergeCell ref="S61:T61"/>
    <mergeCell ref="U61:V61"/>
    <mergeCell ref="AA62:AB62"/>
    <mergeCell ref="K66:L66"/>
    <mergeCell ref="M66:N66"/>
    <mergeCell ref="O66:P66"/>
    <mergeCell ref="Q66:R66"/>
    <mergeCell ref="S66:T66"/>
    <mergeCell ref="U66:V66"/>
    <mergeCell ref="W66:X66"/>
    <mergeCell ref="AA60:AB60"/>
    <mergeCell ref="W59:X60"/>
    <mergeCell ref="Y59:Y60"/>
    <mergeCell ref="W61:X61"/>
    <mergeCell ref="AA55:AB56"/>
    <mergeCell ref="F62:J62"/>
    <mergeCell ref="K62:L62"/>
    <mergeCell ref="M62:N62"/>
    <mergeCell ref="O62:P62"/>
    <mergeCell ref="Q62:R62"/>
    <mergeCell ref="S62:T62"/>
    <mergeCell ref="U62:V62"/>
    <mergeCell ref="W62:X64"/>
    <mergeCell ref="Y62:Y64"/>
    <mergeCell ref="F63:J63"/>
    <mergeCell ref="K63:L63"/>
    <mergeCell ref="M63:N63"/>
    <mergeCell ref="O63:P63"/>
    <mergeCell ref="Q63:R63"/>
    <mergeCell ref="O64:P64"/>
    <mergeCell ref="Q64:R64"/>
    <mergeCell ref="S64:T64"/>
    <mergeCell ref="U64:V64"/>
    <mergeCell ref="B61:G61"/>
    <mergeCell ref="S59:T60"/>
    <mergeCell ref="U59:V60"/>
    <mergeCell ref="U53:V53"/>
    <mergeCell ref="S55:T55"/>
    <mergeCell ref="U55:V55"/>
    <mergeCell ref="K57:L57"/>
    <mergeCell ref="M55:N55"/>
    <mergeCell ref="O55:P55"/>
    <mergeCell ref="Q55:R55"/>
    <mergeCell ref="O53:P53"/>
    <mergeCell ref="K58:L58"/>
    <mergeCell ref="K54:L54"/>
    <mergeCell ref="K56:L56"/>
    <mergeCell ref="K55:L55"/>
    <mergeCell ref="K59:L60"/>
    <mergeCell ref="K53:L53"/>
    <mergeCell ref="M58:N58"/>
    <mergeCell ref="O37:P37"/>
    <mergeCell ref="O38:P38"/>
    <mergeCell ref="F50:G50"/>
    <mergeCell ref="K50:L50"/>
    <mergeCell ref="M48:N48"/>
    <mergeCell ref="F51:G51"/>
    <mergeCell ref="M59:N60"/>
    <mergeCell ref="O59:P60"/>
    <mergeCell ref="Q59:R60"/>
    <mergeCell ref="F54:G54"/>
    <mergeCell ref="F49:G49"/>
    <mergeCell ref="K49:L49"/>
    <mergeCell ref="F56:G56"/>
    <mergeCell ref="F55:G55"/>
    <mergeCell ref="K51:L51"/>
    <mergeCell ref="Q51:R51"/>
    <mergeCell ref="K52:L52"/>
    <mergeCell ref="F53:G53"/>
    <mergeCell ref="F45:G45"/>
    <mergeCell ref="K45:L45"/>
    <mergeCell ref="S38:T38"/>
    <mergeCell ref="M52:N52"/>
    <mergeCell ref="O52:P52"/>
    <mergeCell ref="Q52:R52"/>
    <mergeCell ref="M50:N50"/>
    <mergeCell ref="F47:G47"/>
    <mergeCell ref="K47:L47"/>
    <mergeCell ref="M45:N45"/>
    <mergeCell ref="O45:P45"/>
    <mergeCell ref="Q45:R45"/>
    <mergeCell ref="F48:G48"/>
    <mergeCell ref="K48:L48"/>
    <mergeCell ref="M46:N46"/>
    <mergeCell ref="O46:P46"/>
    <mergeCell ref="Q46:R46"/>
    <mergeCell ref="S40:T40"/>
    <mergeCell ref="M38:N38"/>
    <mergeCell ref="F46:G46"/>
    <mergeCell ref="K46:L46"/>
    <mergeCell ref="M49:N49"/>
    <mergeCell ref="M51:N51"/>
    <mergeCell ref="AA35:AB35"/>
    <mergeCell ref="F36:G36"/>
    <mergeCell ref="K36:L36"/>
    <mergeCell ref="F37:G37"/>
    <mergeCell ref="K37:L37"/>
    <mergeCell ref="F38:G38"/>
    <mergeCell ref="K38:L38"/>
    <mergeCell ref="F41:G41"/>
    <mergeCell ref="K41:L41"/>
    <mergeCell ref="F40:G40"/>
    <mergeCell ref="U40:V40"/>
    <mergeCell ref="Q38:R38"/>
    <mergeCell ref="Q41:R41"/>
    <mergeCell ref="S39:T39"/>
    <mergeCell ref="U39:V39"/>
    <mergeCell ref="S41:T41"/>
    <mergeCell ref="S37:T37"/>
    <mergeCell ref="U35:V35"/>
    <mergeCell ref="Q37:R37"/>
    <mergeCell ref="Q35:R35"/>
    <mergeCell ref="Y35:Y38"/>
    <mergeCell ref="U41:V41"/>
    <mergeCell ref="X39:X41"/>
    <mergeCell ref="Y39:Y41"/>
    <mergeCell ref="M44:N44"/>
    <mergeCell ref="F30:G30"/>
    <mergeCell ref="K30:L30"/>
    <mergeCell ref="F31:G31"/>
    <mergeCell ref="K31:L31"/>
    <mergeCell ref="F32:G32"/>
    <mergeCell ref="K32:L32"/>
    <mergeCell ref="F33:G33"/>
    <mergeCell ref="K33:L33"/>
    <mergeCell ref="F34:G34"/>
    <mergeCell ref="K34:L34"/>
    <mergeCell ref="M30:N30"/>
    <mergeCell ref="M31:N31"/>
    <mergeCell ref="K42:L42"/>
    <mergeCell ref="F43:G43"/>
    <mergeCell ref="K43:L43"/>
    <mergeCell ref="F44:G44"/>
    <mergeCell ref="K44:L44"/>
    <mergeCell ref="K35:L35"/>
    <mergeCell ref="S35:T35"/>
    <mergeCell ref="K23:L23"/>
    <mergeCell ref="F24:G24"/>
    <mergeCell ref="K24:L24"/>
    <mergeCell ref="F25:G25"/>
    <mergeCell ref="K25:L25"/>
    <mergeCell ref="F26:G26"/>
    <mergeCell ref="K26:L26"/>
    <mergeCell ref="F27:G27"/>
    <mergeCell ref="K27:L27"/>
    <mergeCell ref="K28:L28"/>
    <mergeCell ref="F29:G29"/>
    <mergeCell ref="K29:L29"/>
    <mergeCell ref="O27:P27"/>
    <mergeCell ref="Q27:R27"/>
    <mergeCell ref="S27:T27"/>
    <mergeCell ref="U27:V27"/>
    <mergeCell ref="W21:W23"/>
    <mergeCell ref="F16:G16"/>
    <mergeCell ref="K16:L16"/>
    <mergeCell ref="F17:G17"/>
    <mergeCell ref="K17:L17"/>
    <mergeCell ref="F18:G18"/>
    <mergeCell ref="K18:L18"/>
    <mergeCell ref="F19:G19"/>
    <mergeCell ref="K19:L19"/>
    <mergeCell ref="F20:G20"/>
    <mergeCell ref="K20:L20"/>
    <mergeCell ref="F21:G21"/>
    <mergeCell ref="K21:L21"/>
    <mergeCell ref="U19:V19"/>
    <mergeCell ref="M19:N19"/>
    <mergeCell ref="O19:P19"/>
    <mergeCell ref="S19:T19"/>
    <mergeCell ref="F13:G13"/>
    <mergeCell ref="K13:L13"/>
    <mergeCell ref="F14:G14"/>
    <mergeCell ref="K14:L14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M9:N9"/>
    <mergeCell ref="M10:N10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S51:T51"/>
    <mergeCell ref="U51:V51"/>
    <mergeCell ref="O44:P44"/>
    <mergeCell ref="Q44:R44"/>
    <mergeCell ref="S44:T44"/>
    <mergeCell ref="U44:V44"/>
    <mergeCell ref="S45:T45"/>
    <mergeCell ref="S46:T46"/>
    <mergeCell ref="S47:T47"/>
    <mergeCell ref="U47:V47"/>
    <mergeCell ref="S48:T48"/>
    <mergeCell ref="U48:V48"/>
    <mergeCell ref="O51:P51"/>
    <mergeCell ref="O50:P50"/>
    <mergeCell ref="Q50:R50"/>
    <mergeCell ref="S50:T50"/>
    <mergeCell ref="U50:V50"/>
    <mergeCell ref="O48:P48"/>
    <mergeCell ref="Q48:R48"/>
    <mergeCell ref="S49:T49"/>
    <mergeCell ref="O47:P47"/>
    <mergeCell ref="Q47:R47"/>
    <mergeCell ref="O49:P49"/>
    <mergeCell ref="Q49:R49"/>
    <mergeCell ref="S52:T52"/>
    <mergeCell ref="U52:V52"/>
    <mergeCell ref="M53:N53"/>
    <mergeCell ref="M54:N54"/>
    <mergeCell ref="O54:P54"/>
    <mergeCell ref="Q54:R54"/>
    <mergeCell ref="S54:T54"/>
    <mergeCell ref="U54:V54"/>
    <mergeCell ref="Q53:R53"/>
    <mergeCell ref="S53:T53"/>
    <mergeCell ref="M27:N27"/>
    <mergeCell ref="U30:V30"/>
    <mergeCell ref="F9:G9"/>
    <mergeCell ref="K9:L9"/>
    <mergeCell ref="F10:G10"/>
    <mergeCell ref="K10:L10"/>
    <mergeCell ref="M23:N23"/>
    <mergeCell ref="O23:P23"/>
    <mergeCell ref="Q23:R23"/>
    <mergeCell ref="M22:N22"/>
    <mergeCell ref="O22:P22"/>
    <mergeCell ref="Q22:R22"/>
    <mergeCell ref="Q19:R19"/>
    <mergeCell ref="F11:G11"/>
    <mergeCell ref="K11:L11"/>
    <mergeCell ref="F12:G12"/>
    <mergeCell ref="K12:L12"/>
    <mergeCell ref="F15:G15"/>
    <mergeCell ref="K15:L15"/>
    <mergeCell ref="F22:G22"/>
    <mergeCell ref="K22:L22"/>
    <mergeCell ref="M21:N21"/>
    <mergeCell ref="O21:P21"/>
    <mergeCell ref="Q21:R21"/>
    <mergeCell ref="M20:N20"/>
    <mergeCell ref="O20:P20"/>
    <mergeCell ref="Q20:R20"/>
    <mergeCell ref="S20:T20"/>
    <mergeCell ref="U20:V20"/>
    <mergeCell ref="M24:N24"/>
    <mergeCell ref="O24:P24"/>
    <mergeCell ref="Q24:R24"/>
    <mergeCell ref="S24:T24"/>
    <mergeCell ref="U24:V24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X2:Y2"/>
    <mergeCell ref="B2:U2"/>
    <mergeCell ref="V2:W2"/>
    <mergeCell ref="AA2:AA5"/>
    <mergeCell ref="S8:T8"/>
    <mergeCell ref="U8:V8"/>
    <mergeCell ref="M43:N43"/>
    <mergeCell ref="O43:P43"/>
    <mergeCell ref="Q43:R43"/>
    <mergeCell ref="M32:N32"/>
    <mergeCell ref="M33:N33"/>
    <mergeCell ref="O34:P34"/>
    <mergeCell ref="M35:N35"/>
    <mergeCell ref="O35:P35"/>
    <mergeCell ref="O33:P33"/>
    <mergeCell ref="M34:N34"/>
    <mergeCell ref="M36:N36"/>
    <mergeCell ref="O36:P36"/>
    <mergeCell ref="M37:N37"/>
    <mergeCell ref="Q36:R36"/>
    <mergeCell ref="S36:T36"/>
    <mergeCell ref="U36:V36"/>
    <mergeCell ref="U37:V37"/>
    <mergeCell ref="O32:P32"/>
  </mergeCells>
  <phoneticPr fontId="9" type="noConversion"/>
  <conditionalFormatting sqref="AA35:AB35 AC53 AA57:AB57 AA60:AB60 AA62:AB62">
    <cfRule type="containsText" dxfId="0" priority="1" operator="containsText" text="FALSE">
      <formula>NOT(ISERROR(SEARCH("FALSE",AA35)))</formula>
    </cfRule>
  </conditionalFormatting>
  <dataValidations count="1">
    <dataValidation type="list" allowBlank="1" showInputMessage="1" showErrorMessage="1" sqref="D57:D58" xr:uid="{00000000-0002-0000-0000-000000000000}"/>
  </dataValidations>
  <printOptions horizontalCentered="1" verticalCentered="1"/>
  <pageMargins left="0.25" right="0.25" top="0.75" bottom="0.75" header="0.3" footer="0.3"/>
  <pageSetup paperSize="12" scale="51" orientation="portrait" cellComments="asDisplayed" r:id="rId1"/>
  <rowBreaks count="1" manualBreakCount="1">
    <brk id="58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삭제금지!$H$2:$H$18</xm:f>
          </x14:formula1>
          <xm:sqref>B5</xm:sqref>
        </x14:dataValidation>
        <x14:dataValidation type="list" allowBlank="1" showInputMessage="1" showErrorMessage="1" xr:uid="{00000000-0002-0000-0000-000002000000}">
          <x14:formula1>
            <xm:f>삭제금지!$L$2:$L$4</xm:f>
          </x14:formula1>
          <xm:sqref>T5:V5</xm:sqref>
        </x14:dataValidation>
        <x14:dataValidation type="list" allowBlank="1" showInputMessage="1" showErrorMessage="1" xr:uid="{00000000-0002-0000-0000-000003000000}">
          <x14:formula1>
            <xm:f>삭제금지!$K$2:$K$59</xm:f>
          </x14:formula1>
          <xm:sqref>K5:O5</xm:sqref>
        </x14:dataValidation>
        <x14:dataValidation type="list" allowBlank="1" showInputMessage="1" showErrorMessage="1" xr:uid="{00000000-0002-0000-0000-000004000000}">
          <x14:formula1>
            <xm:f>삭제금지!$I$2:$I$18</xm:f>
          </x14:formula1>
          <xm:sqref>F5:G5</xm:sqref>
        </x14:dataValidation>
        <x14:dataValidation type="list" allowBlank="1" showInputMessage="1" showErrorMessage="1" xr:uid="{00000000-0002-0000-0000-000005000000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G39"/>
  <sheetViews>
    <sheetView showGridLines="0" zoomScale="85" zoomScaleNormal="85" zoomScaleSheetLayoutView="90" workbookViewId="0">
      <selection activeCell="D12" sqref="D12:E15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85" t="s">
        <v>150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</row>
    <row r="3" spans="2:33" ht="27" customHeight="1" thickBo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486" t="s">
        <v>129</v>
      </c>
      <c r="O3" s="487"/>
      <c r="P3" s="488"/>
      <c r="Q3" s="486" t="s">
        <v>127</v>
      </c>
      <c r="R3" s="487"/>
      <c r="S3" s="488"/>
      <c r="T3" s="489" t="s">
        <v>130</v>
      </c>
      <c r="U3" s="490"/>
    </row>
    <row r="4" spans="2:33" ht="27" customHeight="1" thickBot="1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491" t="s">
        <v>519</v>
      </c>
      <c r="O4" s="492"/>
      <c r="P4" s="493"/>
      <c r="Q4" s="494" t="s">
        <v>523</v>
      </c>
      <c r="R4" s="495"/>
      <c r="S4" s="496"/>
      <c r="T4" s="497">
        <v>2027</v>
      </c>
      <c r="U4" s="498"/>
    </row>
    <row r="5" spans="2:33" ht="24" customHeight="1" thickBot="1">
      <c r="B5" s="499"/>
      <c r="C5" s="499"/>
    </row>
    <row r="6" spans="2:33" ht="20.25" customHeight="1">
      <c r="B6" s="500" t="s">
        <v>13</v>
      </c>
      <c r="C6" s="503" t="s">
        <v>140</v>
      </c>
      <c r="D6" s="467" t="s">
        <v>14</v>
      </c>
      <c r="E6" s="467" t="s">
        <v>15</v>
      </c>
      <c r="F6" s="467" t="s">
        <v>141</v>
      </c>
      <c r="G6" s="467" t="s">
        <v>142</v>
      </c>
      <c r="H6" s="470" t="s">
        <v>58</v>
      </c>
      <c r="I6" s="470"/>
      <c r="J6" s="470"/>
      <c r="K6" s="470"/>
      <c r="L6" s="470" t="s">
        <v>59</v>
      </c>
      <c r="M6" s="470"/>
      <c r="N6" s="470"/>
      <c r="O6" s="470"/>
      <c r="P6" s="470" t="s">
        <v>60</v>
      </c>
      <c r="Q6" s="470"/>
      <c r="R6" s="470"/>
      <c r="S6" s="470"/>
      <c r="T6" s="478" t="s">
        <v>139</v>
      </c>
      <c r="U6" s="471" t="s">
        <v>126</v>
      </c>
      <c r="W6" s="474" t="s">
        <v>131</v>
      </c>
      <c r="X6" s="475"/>
      <c r="Y6" s="475"/>
      <c r="Z6" s="475"/>
      <c r="AA6" s="475"/>
      <c r="AB6" s="475"/>
      <c r="AC6" s="475"/>
      <c r="AD6" s="475"/>
      <c r="AE6" s="475"/>
      <c r="AF6" s="476"/>
      <c r="AG6" s="13"/>
    </row>
    <row r="7" spans="2:33" ht="16.5" customHeight="1">
      <c r="B7" s="501"/>
      <c r="C7" s="504"/>
      <c r="D7" s="468"/>
      <c r="E7" s="468"/>
      <c r="F7" s="468"/>
      <c r="G7" s="468"/>
      <c r="H7" s="477" t="s">
        <v>124</v>
      </c>
      <c r="I7" s="477"/>
      <c r="J7" s="477" t="s">
        <v>62</v>
      </c>
      <c r="K7" s="477"/>
      <c r="L7" s="477" t="s">
        <v>124</v>
      </c>
      <c r="M7" s="477"/>
      <c r="N7" s="477" t="s">
        <v>62</v>
      </c>
      <c r="O7" s="477"/>
      <c r="P7" s="477" t="s">
        <v>124</v>
      </c>
      <c r="Q7" s="477"/>
      <c r="R7" s="477" t="s">
        <v>62</v>
      </c>
      <c r="S7" s="477"/>
      <c r="T7" s="479"/>
      <c r="U7" s="472"/>
      <c r="W7" s="464" t="s">
        <v>132</v>
      </c>
      <c r="X7" s="465"/>
      <c r="Y7" s="465"/>
      <c r="Z7" s="465"/>
      <c r="AA7" s="465"/>
      <c r="AB7" s="465"/>
      <c r="AC7" s="465"/>
      <c r="AD7" s="465"/>
      <c r="AE7" s="465"/>
      <c r="AF7" s="466"/>
      <c r="AG7" s="13"/>
    </row>
    <row r="8" spans="2:33" ht="17.25" customHeight="1" thickBot="1">
      <c r="B8" s="502"/>
      <c r="C8" s="505"/>
      <c r="D8" s="469"/>
      <c r="E8" s="469"/>
      <c r="F8" s="469"/>
      <c r="G8" s="469"/>
      <c r="H8" s="29" t="s">
        <v>138</v>
      </c>
      <c r="I8" s="29" t="s">
        <v>125</v>
      </c>
      <c r="J8" s="29" t="s">
        <v>138</v>
      </c>
      <c r="K8" s="29" t="s">
        <v>125</v>
      </c>
      <c r="L8" s="29" t="s">
        <v>138</v>
      </c>
      <c r="M8" s="29" t="s">
        <v>125</v>
      </c>
      <c r="N8" s="29" t="s">
        <v>138</v>
      </c>
      <c r="O8" s="29" t="s">
        <v>125</v>
      </c>
      <c r="P8" s="29" t="s">
        <v>138</v>
      </c>
      <c r="Q8" s="29" t="s">
        <v>125</v>
      </c>
      <c r="R8" s="29" t="s">
        <v>138</v>
      </c>
      <c r="S8" s="29" t="s">
        <v>125</v>
      </c>
      <c r="T8" s="480"/>
      <c r="U8" s="473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 thickBot="1">
      <c r="B9" s="481" t="s">
        <v>538</v>
      </c>
      <c r="C9" s="482">
        <v>9</v>
      </c>
      <c r="D9" s="30" t="s">
        <v>545</v>
      </c>
      <c r="E9" s="30" t="s">
        <v>546</v>
      </c>
      <c r="F9" s="30">
        <v>60</v>
      </c>
      <c r="G9" s="30">
        <v>3</v>
      </c>
      <c r="H9" s="31"/>
      <c r="I9" s="31"/>
      <c r="J9" s="31"/>
      <c r="K9" s="31"/>
      <c r="L9" s="31">
        <v>4</v>
      </c>
      <c r="M9" s="31">
        <v>64</v>
      </c>
      <c r="N9" s="31"/>
      <c r="O9" s="31"/>
      <c r="P9" s="31"/>
      <c r="Q9" s="31"/>
      <c r="R9" s="31"/>
      <c r="S9" s="31"/>
      <c r="T9" s="42">
        <f>SUM(H9,J9,L9,N9,P9,R9)</f>
        <v>4</v>
      </c>
      <c r="U9" s="41">
        <f>SUM(I9,K9,M9,O9,Q9,S9)</f>
        <v>64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55"/>
      <c r="C10" s="483"/>
      <c r="D10" s="30" t="s">
        <v>547</v>
      </c>
      <c r="E10" s="30" t="s">
        <v>548</v>
      </c>
      <c r="F10" s="30">
        <v>90</v>
      </c>
      <c r="G10" s="30">
        <v>4</v>
      </c>
      <c r="H10" s="36"/>
      <c r="I10" s="36"/>
      <c r="J10" s="36"/>
      <c r="K10" s="36"/>
      <c r="L10" s="36"/>
      <c r="M10" s="36"/>
      <c r="N10" s="36">
        <v>5</v>
      </c>
      <c r="O10" s="36">
        <v>80</v>
      </c>
      <c r="P10" s="36"/>
      <c r="Q10" s="36"/>
      <c r="R10" s="36"/>
      <c r="S10" s="28"/>
      <c r="T10" s="42">
        <f>SUM(H10,J10,L10,N10,P10,R10)</f>
        <v>5</v>
      </c>
      <c r="U10" s="41">
        <f>SUM(I10,K10,M10,O10,Q10,S10)</f>
        <v>80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456"/>
      <c r="C11" s="484"/>
      <c r="D11" s="454" t="s">
        <v>16</v>
      </c>
      <c r="E11" s="454"/>
      <c r="F11" s="233"/>
      <c r="G11" s="233"/>
      <c r="H11" s="45">
        <f t="shared" ref="H11:U11" si="0">SUM(H9:H10)</f>
        <v>0</v>
      </c>
      <c r="I11" s="45">
        <f t="shared" si="0"/>
        <v>0</v>
      </c>
      <c r="J11" s="45">
        <f t="shared" si="0"/>
        <v>0</v>
      </c>
      <c r="K11" s="45">
        <f t="shared" si="0"/>
        <v>0</v>
      </c>
      <c r="L11" s="45">
        <f t="shared" si="0"/>
        <v>4</v>
      </c>
      <c r="M11" s="45">
        <f t="shared" si="0"/>
        <v>64</v>
      </c>
      <c r="N11" s="45">
        <f t="shared" si="0"/>
        <v>5</v>
      </c>
      <c r="O11" s="45">
        <f t="shared" si="0"/>
        <v>80</v>
      </c>
      <c r="P11" s="45">
        <f t="shared" si="0"/>
        <v>0</v>
      </c>
      <c r="Q11" s="45">
        <f t="shared" si="0"/>
        <v>0</v>
      </c>
      <c r="R11" s="45">
        <f t="shared" si="0"/>
        <v>0</v>
      </c>
      <c r="S11" s="45">
        <f t="shared" si="0"/>
        <v>0</v>
      </c>
      <c r="T11" s="46">
        <f t="shared" si="0"/>
        <v>9</v>
      </c>
      <c r="U11" s="46">
        <f t="shared" si="0"/>
        <v>144</v>
      </c>
    </row>
    <row r="12" spans="2:33" ht="18" thickBot="1">
      <c r="B12" s="481" t="s">
        <v>531</v>
      </c>
      <c r="C12" s="482">
        <v>11</v>
      </c>
      <c r="D12" s="30" t="s">
        <v>549</v>
      </c>
      <c r="E12" s="30" t="s">
        <v>550</v>
      </c>
      <c r="F12" s="30">
        <v>20</v>
      </c>
      <c r="G12" s="30">
        <v>3</v>
      </c>
      <c r="H12" s="31"/>
      <c r="I12" s="31"/>
      <c r="J12" s="31"/>
      <c r="K12" s="31"/>
      <c r="L12" s="31"/>
      <c r="M12" s="31"/>
      <c r="N12" s="31"/>
      <c r="O12" s="31"/>
      <c r="P12" s="31">
        <v>3</v>
      </c>
      <c r="Q12" s="31">
        <v>48</v>
      </c>
      <c r="R12" s="31"/>
      <c r="S12" s="31"/>
      <c r="T12" s="42">
        <f t="shared" ref="T12:T15" si="1">SUM(H12,J12,L12,N12,P12,R12)</f>
        <v>3</v>
      </c>
      <c r="U12" s="41">
        <f t="shared" ref="U12:U15" si="2">SUM(I12,K12,M12,O12,Q12,S12)</f>
        <v>48</v>
      </c>
    </row>
    <row r="13" spans="2:33" ht="18" thickBot="1">
      <c r="B13" s="455"/>
      <c r="C13" s="483"/>
      <c r="D13" s="37" t="s">
        <v>551</v>
      </c>
      <c r="E13" s="37" t="s">
        <v>552</v>
      </c>
      <c r="F13" s="37">
        <v>20</v>
      </c>
      <c r="G13" s="37">
        <v>4</v>
      </c>
      <c r="H13" s="36"/>
      <c r="I13" s="36"/>
      <c r="J13" s="36"/>
      <c r="K13" s="36"/>
      <c r="L13" s="36"/>
      <c r="M13" s="36"/>
      <c r="N13" s="36"/>
      <c r="O13" s="36"/>
      <c r="P13" s="36">
        <v>3</v>
      </c>
      <c r="Q13" s="36">
        <v>48</v>
      </c>
      <c r="R13" s="36"/>
      <c r="S13" s="28"/>
      <c r="T13" s="42">
        <f t="shared" si="1"/>
        <v>3</v>
      </c>
      <c r="U13" s="41">
        <f t="shared" si="2"/>
        <v>48</v>
      </c>
    </row>
    <row r="14" spans="2:33" ht="18" thickBot="1">
      <c r="B14" s="455"/>
      <c r="C14" s="483"/>
      <c r="D14" s="37" t="s">
        <v>553</v>
      </c>
      <c r="E14" s="37" t="s">
        <v>554</v>
      </c>
      <c r="F14" s="37">
        <v>20</v>
      </c>
      <c r="G14" s="37">
        <v>3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>
        <v>2</v>
      </c>
      <c r="S14" s="28">
        <v>32</v>
      </c>
      <c r="T14" s="42">
        <f t="shared" si="1"/>
        <v>2</v>
      </c>
      <c r="U14" s="41">
        <f t="shared" si="2"/>
        <v>32</v>
      </c>
    </row>
    <row r="15" spans="2:33">
      <c r="B15" s="455"/>
      <c r="C15" s="483"/>
      <c r="D15" s="27" t="s">
        <v>555</v>
      </c>
      <c r="E15" s="27" t="s">
        <v>556</v>
      </c>
      <c r="F15" s="27">
        <v>20</v>
      </c>
      <c r="G15" s="27">
        <v>4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>
        <v>3</v>
      </c>
      <c r="S15" s="28">
        <v>48</v>
      </c>
      <c r="T15" s="42">
        <f t="shared" si="1"/>
        <v>3</v>
      </c>
      <c r="U15" s="41">
        <f t="shared" si="2"/>
        <v>48</v>
      </c>
    </row>
    <row r="16" spans="2:33" ht="18" thickBot="1">
      <c r="B16" s="456"/>
      <c r="C16" s="484"/>
      <c r="D16" s="454" t="s">
        <v>16</v>
      </c>
      <c r="E16" s="454"/>
      <c r="F16" s="233"/>
      <c r="G16" s="233"/>
      <c r="H16" s="45">
        <f>SUM(H12:H15)</f>
        <v>0</v>
      </c>
      <c r="I16" s="45">
        <f>SUM(I12:I15)</f>
        <v>0</v>
      </c>
      <c r="J16" s="45">
        <f>SUM(J12:J15)</f>
        <v>0</v>
      </c>
      <c r="K16" s="45">
        <f>SUM(K12:K15)</f>
        <v>0</v>
      </c>
      <c r="L16" s="45">
        <f t="shared" ref="L16:U16" si="3">SUM(L11:L15)</f>
        <v>4</v>
      </c>
      <c r="M16" s="45">
        <f t="shared" si="3"/>
        <v>64</v>
      </c>
      <c r="N16" s="45">
        <f t="shared" si="3"/>
        <v>5</v>
      </c>
      <c r="O16" s="45">
        <f t="shared" si="3"/>
        <v>80</v>
      </c>
      <c r="P16" s="45">
        <f t="shared" si="3"/>
        <v>6</v>
      </c>
      <c r="Q16" s="45">
        <f t="shared" si="3"/>
        <v>96</v>
      </c>
      <c r="R16" s="45">
        <f t="shared" si="3"/>
        <v>5</v>
      </c>
      <c r="S16" s="45">
        <f t="shared" si="3"/>
        <v>80</v>
      </c>
      <c r="T16" s="46">
        <f t="shared" si="3"/>
        <v>20</v>
      </c>
      <c r="U16" s="46">
        <f t="shared" si="3"/>
        <v>320</v>
      </c>
      <c r="W16" s="43"/>
    </row>
    <row r="17" spans="2:23" ht="18" thickBot="1">
      <c r="B17" s="455" t="s">
        <v>532</v>
      </c>
      <c r="C17" s="457">
        <v>4</v>
      </c>
      <c r="D17" s="40" t="s">
        <v>557</v>
      </c>
      <c r="E17" s="37" t="s">
        <v>558</v>
      </c>
      <c r="F17" s="37">
        <v>40</v>
      </c>
      <c r="G17" s="37">
        <v>3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>
        <v>2</v>
      </c>
      <c r="S17" s="36">
        <v>32</v>
      </c>
      <c r="T17" s="42">
        <f t="shared" ref="T17:T18" si="4">SUM(H17,J17,L17,N17,P17,R17)</f>
        <v>2</v>
      </c>
      <c r="U17" s="41">
        <f t="shared" ref="U17:U18" si="5">SUM(I17,K17,M17,O17,Q17,S17)</f>
        <v>32</v>
      </c>
    </row>
    <row r="18" spans="2:23">
      <c r="B18" s="455"/>
      <c r="C18" s="458"/>
      <c r="D18" s="40" t="s">
        <v>559</v>
      </c>
      <c r="E18" s="33" t="s">
        <v>560</v>
      </c>
      <c r="F18" s="37">
        <v>60</v>
      </c>
      <c r="G18" s="37">
        <v>4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>
        <v>2</v>
      </c>
      <c r="S18" s="28">
        <v>32</v>
      </c>
      <c r="T18" s="42">
        <f t="shared" si="4"/>
        <v>2</v>
      </c>
      <c r="U18" s="41">
        <f t="shared" si="5"/>
        <v>32</v>
      </c>
    </row>
    <row r="19" spans="2:23" ht="18" thickBot="1">
      <c r="B19" s="456"/>
      <c r="C19" s="459"/>
      <c r="D19" s="454" t="s">
        <v>16</v>
      </c>
      <c r="E19" s="454"/>
      <c r="F19" s="233"/>
      <c r="G19" s="233"/>
      <c r="H19" s="45">
        <f>SUM(H15:H18)</f>
        <v>0</v>
      </c>
      <c r="I19" s="45">
        <f>SUM(I15:I18)</f>
        <v>0</v>
      </c>
      <c r="J19" s="45">
        <f>SUM(J15:J18)</f>
        <v>0</v>
      </c>
      <c r="K19" s="45">
        <f>SUM(K15:K18)</f>
        <v>0</v>
      </c>
      <c r="L19" s="45">
        <f t="shared" ref="L19:U19" si="6">SUM(L13:L18)</f>
        <v>4</v>
      </c>
      <c r="M19" s="45">
        <f t="shared" si="6"/>
        <v>64</v>
      </c>
      <c r="N19" s="45">
        <f t="shared" si="6"/>
        <v>5</v>
      </c>
      <c r="O19" s="45">
        <f t="shared" si="6"/>
        <v>80</v>
      </c>
      <c r="P19" s="45">
        <f t="shared" si="6"/>
        <v>9</v>
      </c>
      <c r="Q19" s="45">
        <f t="shared" si="6"/>
        <v>144</v>
      </c>
      <c r="R19" s="45">
        <f t="shared" si="6"/>
        <v>14</v>
      </c>
      <c r="S19" s="45">
        <f t="shared" si="6"/>
        <v>224</v>
      </c>
      <c r="T19" s="46">
        <f t="shared" si="6"/>
        <v>32</v>
      </c>
      <c r="U19" s="46">
        <f t="shared" si="6"/>
        <v>512</v>
      </c>
      <c r="W19" s="43"/>
    </row>
    <row r="20" spans="2:23" ht="18" thickBot="1">
      <c r="B20" s="460" t="s">
        <v>536</v>
      </c>
      <c r="C20" s="462">
        <v>16</v>
      </c>
      <c r="D20" s="50" t="s">
        <v>561</v>
      </c>
      <c r="E20" s="30" t="s">
        <v>562</v>
      </c>
      <c r="F20" s="30">
        <v>60</v>
      </c>
      <c r="G20" s="44">
        <v>4</v>
      </c>
      <c r="H20" s="31"/>
      <c r="I20" s="31"/>
      <c r="J20" s="31"/>
      <c r="K20" s="31"/>
      <c r="L20" s="31"/>
      <c r="M20" s="31"/>
      <c r="N20" s="31"/>
      <c r="O20" s="31"/>
      <c r="P20" s="31">
        <v>3</v>
      </c>
      <c r="Q20" s="31">
        <v>48</v>
      </c>
      <c r="R20" s="31"/>
      <c r="S20" s="31"/>
      <c r="T20" s="42">
        <f t="shared" ref="T20:T23" si="7">SUM(H20,J20,L20,N20,P20,R20)</f>
        <v>3</v>
      </c>
      <c r="U20" s="41">
        <f t="shared" ref="U20:U23" si="8">SUM(I20,K20,M20,O20,Q20,S20)</f>
        <v>48</v>
      </c>
    </row>
    <row r="21" spans="2:23" ht="18" thickBot="1">
      <c r="B21" s="461"/>
      <c r="C21" s="463"/>
      <c r="D21" s="47" t="s">
        <v>563</v>
      </c>
      <c r="E21" s="37" t="s">
        <v>564</v>
      </c>
      <c r="F21" s="37">
        <v>60</v>
      </c>
      <c r="G21" s="37">
        <v>4</v>
      </c>
      <c r="H21" s="36"/>
      <c r="I21" s="36"/>
      <c r="J21" s="36"/>
      <c r="K21" s="36"/>
      <c r="L21" s="36"/>
      <c r="M21" s="36"/>
      <c r="N21" s="36"/>
      <c r="O21" s="36"/>
      <c r="P21" s="36">
        <v>3</v>
      </c>
      <c r="Q21" s="36">
        <v>48</v>
      </c>
      <c r="R21" s="36"/>
      <c r="S21" s="36"/>
      <c r="T21" s="42">
        <f t="shared" si="7"/>
        <v>3</v>
      </c>
      <c r="U21" s="41">
        <f t="shared" si="8"/>
        <v>48</v>
      </c>
    </row>
    <row r="22" spans="2:23" ht="18" thickBot="1">
      <c r="B22" s="461"/>
      <c r="C22" s="463"/>
      <c r="D22" s="48" t="s">
        <v>565</v>
      </c>
      <c r="E22" s="27" t="s">
        <v>566</v>
      </c>
      <c r="F22" s="27">
        <v>80</v>
      </c>
      <c r="G22" s="27">
        <v>3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>
        <v>5</v>
      </c>
      <c r="S22" s="28">
        <v>80</v>
      </c>
      <c r="T22" s="42">
        <f t="shared" si="7"/>
        <v>5</v>
      </c>
      <c r="U22" s="41">
        <f t="shared" si="8"/>
        <v>80</v>
      </c>
    </row>
    <row r="23" spans="2:23">
      <c r="B23" s="461"/>
      <c r="C23" s="463"/>
      <c r="D23" s="48" t="s">
        <v>567</v>
      </c>
      <c r="E23" s="27" t="s">
        <v>568</v>
      </c>
      <c r="F23" s="27">
        <v>80</v>
      </c>
      <c r="G23" s="27">
        <v>3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>
        <v>5</v>
      </c>
      <c r="S23" s="28">
        <v>80</v>
      </c>
      <c r="T23" s="42">
        <f t="shared" si="7"/>
        <v>5</v>
      </c>
      <c r="U23" s="41">
        <f t="shared" si="8"/>
        <v>80</v>
      </c>
    </row>
    <row r="24" spans="2:23" ht="18" thickBot="1">
      <c r="B24" s="450"/>
      <c r="C24" s="453"/>
      <c r="D24" s="454" t="s">
        <v>16</v>
      </c>
      <c r="E24" s="454"/>
      <c r="F24" s="233"/>
      <c r="G24" s="233"/>
      <c r="H24" s="45">
        <f>SUM(H20:H23)</f>
        <v>0</v>
      </c>
      <c r="I24" s="45">
        <f>SUM(I20:I23)</f>
        <v>0</v>
      </c>
      <c r="J24" s="45">
        <f>SUM(J20:J23)</f>
        <v>0</v>
      </c>
      <c r="K24" s="45">
        <f>SUM(K20:K23)</f>
        <v>0</v>
      </c>
      <c r="L24" s="45">
        <f t="shared" ref="L24:U24" si="9">SUM(L18:L23)</f>
        <v>4</v>
      </c>
      <c r="M24" s="45">
        <f t="shared" si="9"/>
        <v>64</v>
      </c>
      <c r="N24" s="45">
        <f t="shared" si="9"/>
        <v>5</v>
      </c>
      <c r="O24" s="45">
        <f t="shared" si="9"/>
        <v>80</v>
      </c>
      <c r="P24" s="45">
        <f t="shared" si="9"/>
        <v>15</v>
      </c>
      <c r="Q24" s="45">
        <f t="shared" si="9"/>
        <v>240</v>
      </c>
      <c r="R24" s="45">
        <f t="shared" si="9"/>
        <v>26</v>
      </c>
      <c r="S24" s="45">
        <f t="shared" si="9"/>
        <v>416</v>
      </c>
      <c r="T24" s="46">
        <f t="shared" si="9"/>
        <v>50</v>
      </c>
      <c r="U24" s="46">
        <f t="shared" si="9"/>
        <v>800</v>
      </c>
    </row>
    <row r="25" spans="2:23" ht="18" thickBot="1">
      <c r="B25" s="448" t="s">
        <v>537</v>
      </c>
      <c r="C25" s="451">
        <v>16</v>
      </c>
      <c r="D25" s="48" t="s">
        <v>569</v>
      </c>
      <c r="E25" s="38" t="s">
        <v>570</v>
      </c>
      <c r="F25" s="27">
        <v>45</v>
      </c>
      <c r="G25" s="37">
        <v>4</v>
      </c>
      <c r="H25" s="36"/>
      <c r="I25" s="36"/>
      <c r="J25" s="36"/>
      <c r="K25" s="36"/>
      <c r="L25" s="36"/>
      <c r="M25" s="36"/>
      <c r="N25" s="36"/>
      <c r="O25" s="36"/>
      <c r="P25" s="31">
        <v>3</v>
      </c>
      <c r="Q25" s="31">
        <v>48</v>
      </c>
      <c r="R25" s="31"/>
      <c r="S25" s="31"/>
      <c r="T25" s="42">
        <f t="shared" ref="T25:T28" si="10">SUM(H25,J25,L25,N25,P25,R25)</f>
        <v>3</v>
      </c>
      <c r="U25" s="41">
        <f t="shared" ref="U25:U28" si="11">SUM(I25,K25,M25,O25,Q25,S25)</f>
        <v>48</v>
      </c>
    </row>
    <row r="26" spans="2:23" ht="18" thickBot="1">
      <c r="B26" s="448"/>
      <c r="C26" s="451"/>
      <c r="D26" s="234" t="s">
        <v>591</v>
      </c>
      <c r="E26" s="234" t="s">
        <v>592</v>
      </c>
      <c r="F26" s="234">
        <v>45</v>
      </c>
      <c r="G26" s="234">
        <v>5</v>
      </c>
      <c r="H26" s="36"/>
      <c r="I26" s="36"/>
      <c r="J26" s="36"/>
      <c r="K26" s="36"/>
      <c r="L26" s="36"/>
      <c r="M26" s="36"/>
      <c r="N26" s="36"/>
      <c r="O26" s="36"/>
      <c r="P26" s="36">
        <v>3</v>
      </c>
      <c r="Q26" s="36">
        <v>48</v>
      </c>
      <c r="R26" s="36"/>
      <c r="S26" s="36"/>
      <c r="T26" s="42">
        <f t="shared" si="10"/>
        <v>3</v>
      </c>
      <c r="U26" s="41">
        <f t="shared" si="11"/>
        <v>48</v>
      </c>
    </row>
    <row r="27" spans="2:23" ht="18" thickBot="1">
      <c r="B27" s="449"/>
      <c r="C27" s="452"/>
      <c r="D27" s="234" t="s">
        <v>571</v>
      </c>
      <c r="E27" s="27" t="s">
        <v>572</v>
      </c>
      <c r="F27" s="27">
        <v>45</v>
      </c>
      <c r="G27" s="27">
        <v>5</v>
      </c>
      <c r="H27" s="36"/>
      <c r="I27" s="36"/>
      <c r="J27" s="36"/>
      <c r="K27" s="36"/>
      <c r="L27" s="36"/>
      <c r="M27" s="36"/>
      <c r="N27" s="36"/>
      <c r="O27" s="36"/>
      <c r="P27" s="28"/>
      <c r="Q27" s="28"/>
      <c r="R27" s="28">
        <v>5</v>
      </c>
      <c r="S27" s="28">
        <v>80</v>
      </c>
      <c r="T27" s="42">
        <f t="shared" si="10"/>
        <v>5</v>
      </c>
      <c r="U27" s="41">
        <f t="shared" si="11"/>
        <v>80</v>
      </c>
    </row>
    <row r="28" spans="2:23">
      <c r="B28" s="449"/>
      <c r="C28" s="452"/>
      <c r="D28" s="49" t="s">
        <v>573</v>
      </c>
      <c r="E28" s="35" t="s">
        <v>574</v>
      </c>
      <c r="F28" s="27">
        <v>45</v>
      </c>
      <c r="G28" s="37">
        <v>5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5</v>
      </c>
      <c r="S28" s="28">
        <v>80</v>
      </c>
      <c r="T28" s="42">
        <f t="shared" si="10"/>
        <v>5</v>
      </c>
      <c r="U28" s="41">
        <f t="shared" si="11"/>
        <v>80</v>
      </c>
    </row>
    <row r="29" spans="2:23" ht="18" thickBot="1">
      <c r="B29" s="450"/>
      <c r="C29" s="453"/>
      <c r="D29" s="454" t="s">
        <v>16</v>
      </c>
      <c r="E29" s="454"/>
      <c r="F29" s="233"/>
      <c r="G29" s="233"/>
      <c r="H29" s="45">
        <f>SUM(H25:H28)</f>
        <v>0</v>
      </c>
      <c r="I29" s="45">
        <f>SUM(I25:I28)</f>
        <v>0</v>
      </c>
      <c r="J29" s="45">
        <f>SUM(J25:J28)</f>
        <v>0</v>
      </c>
      <c r="K29" s="45">
        <f>SUM(K25:K28)</f>
        <v>0</v>
      </c>
      <c r="L29" s="45">
        <f t="shared" ref="L29:U29" si="12">SUM(L23:L28)</f>
        <v>4</v>
      </c>
      <c r="M29" s="45">
        <f t="shared" si="12"/>
        <v>64</v>
      </c>
      <c r="N29" s="45">
        <f t="shared" si="12"/>
        <v>5</v>
      </c>
      <c r="O29" s="45">
        <f t="shared" si="12"/>
        <v>80</v>
      </c>
      <c r="P29" s="45">
        <f t="shared" si="12"/>
        <v>21</v>
      </c>
      <c r="Q29" s="45">
        <f t="shared" si="12"/>
        <v>336</v>
      </c>
      <c r="R29" s="45">
        <f t="shared" si="12"/>
        <v>41</v>
      </c>
      <c r="S29" s="45">
        <f t="shared" si="12"/>
        <v>656</v>
      </c>
      <c r="T29" s="46">
        <f t="shared" si="12"/>
        <v>71</v>
      </c>
      <c r="U29" s="46">
        <f t="shared" si="12"/>
        <v>1136</v>
      </c>
    </row>
    <row r="30" spans="2:23" ht="18" thickBot="1">
      <c r="B30" s="448" t="s">
        <v>530</v>
      </c>
      <c r="C30" s="451">
        <v>16</v>
      </c>
      <c r="D30" s="48" t="s">
        <v>581</v>
      </c>
      <c r="E30" s="38" t="s">
        <v>582</v>
      </c>
      <c r="F30" s="27">
        <v>50</v>
      </c>
      <c r="G30" s="37">
        <v>5</v>
      </c>
      <c r="H30" s="36"/>
      <c r="I30" s="36"/>
      <c r="J30" s="36"/>
      <c r="K30" s="36"/>
      <c r="L30" s="36"/>
      <c r="M30" s="36"/>
      <c r="N30" s="36"/>
      <c r="O30" s="36"/>
      <c r="P30" s="31">
        <v>3</v>
      </c>
      <c r="Q30" s="31">
        <v>48</v>
      </c>
      <c r="R30" s="31"/>
      <c r="S30" s="31"/>
      <c r="T30" s="42">
        <f t="shared" ref="T30:T33" si="13">SUM(H30,J30,L30,N30,P30,R30)</f>
        <v>3</v>
      </c>
      <c r="U30" s="41">
        <f t="shared" ref="U30:U33" si="14">SUM(I30,K30,M30,O30,Q30,S30)</f>
        <v>48</v>
      </c>
    </row>
    <row r="31" spans="2:23" ht="18" thickBot="1">
      <c r="B31" s="448"/>
      <c r="C31" s="451"/>
      <c r="D31" s="47" t="s">
        <v>587</v>
      </c>
      <c r="E31" s="39" t="s">
        <v>588</v>
      </c>
      <c r="F31" s="37">
        <v>45</v>
      </c>
      <c r="G31" s="37">
        <v>4</v>
      </c>
      <c r="H31" s="36"/>
      <c r="I31" s="36"/>
      <c r="J31" s="36"/>
      <c r="K31" s="36"/>
      <c r="L31" s="36"/>
      <c r="M31" s="36"/>
      <c r="N31" s="36"/>
      <c r="O31" s="36"/>
      <c r="P31" s="36">
        <v>3</v>
      </c>
      <c r="Q31" s="36">
        <v>48</v>
      </c>
      <c r="R31" s="36"/>
      <c r="S31" s="36"/>
      <c r="T31" s="42">
        <f t="shared" si="13"/>
        <v>3</v>
      </c>
      <c r="U31" s="41">
        <f t="shared" si="14"/>
        <v>48</v>
      </c>
    </row>
    <row r="32" spans="2:23" ht="18" thickBot="1">
      <c r="B32" s="449"/>
      <c r="C32" s="452"/>
      <c r="D32" s="49" t="s">
        <v>583</v>
      </c>
      <c r="E32" s="35" t="s">
        <v>584</v>
      </c>
      <c r="F32" s="27">
        <v>90</v>
      </c>
      <c r="G32" s="37">
        <v>5</v>
      </c>
      <c r="H32" s="36"/>
      <c r="I32" s="36"/>
      <c r="J32" s="36"/>
      <c r="K32" s="36"/>
      <c r="L32" s="36"/>
      <c r="M32" s="36"/>
      <c r="N32" s="36"/>
      <c r="O32" s="36"/>
      <c r="P32" s="28"/>
      <c r="Q32" s="28"/>
      <c r="R32" s="28">
        <v>5</v>
      </c>
      <c r="S32" s="28">
        <v>80</v>
      </c>
      <c r="T32" s="42">
        <f t="shared" si="13"/>
        <v>5</v>
      </c>
      <c r="U32" s="41">
        <f t="shared" si="14"/>
        <v>80</v>
      </c>
    </row>
    <row r="33" spans="2:21">
      <c r="B33" s="449"/>
      <c r="C33" s="452"/>
      <c r="D33" s="49" t="s">
        <v>585</v>
      </c>
      <c r="E33" s="35" t="s">
        <v>586</v>
      </c>
      <c r="F33" s="34">
        <v>50</v>
      </c>
      <c r="G33" s="27">
        <v>5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5</v>
      </c>
      <c r="S33" s="28">
        <v>80</v>
      </c>
      <c r="T33" s="42">
        <f t="shared" si="13"/>
        <v>5</v>
      </c>
      <c r="U33" s="41">
        <f t="shared" si="14"/>
        <v>80</v>
      </c>
    </row>
    <row r="34" spans="2:21" ht="18" thickBot="1">
      <c r="B34" s="450"/>
      <c r="C34" s="453"/>
      <c r="D34" s="454" t="s">
        <v>16</v>
      </c>
      <c r="E34" s="454"/>
      <c r="F34" s="233"/>
      <c r="G34" s="233"/>
      <c r="H34" s="45">
        <f>SUM(H30:H33)</f>
        <v>0</v>
      </c>
      <c r="I34" s="45">
        <f>SUM(I30:I33)</f>
        <v>0</v>
      </c>
      <c r="J34" s="45">
        <f>SUM(J30:J33)</f>
        <v>0</v>
      </c>
      <c r="K34" s="45">
        <f>SUM(K30:K33)</f>
        <v>0</v>
      </c>
      <c r="L34" s="45">
        <f t="shared" ref="L34:U34" si="15">SUM(L28:L33)</f>
        <v>4</v>
      </c>
      <c r="M34" s="45">
        <f t="shared" si="15"/>
        <v>64</v>
      </c>
      <c r="N34" s="45">
        <f t="shared" si="15"/>
        <v>5</v>
      </c>
      <c r="O34" s="45">
        <f t="shared" si="15"/>
        <v>80</v>
      </c>
      <c r="P34" s="45">
        <f t="shared" si="15"/>
        <v>27</v>
      </c>
      <c r="Q34" s="45">
        <f t="shared" si="15"/>
        <v>432</v>
      </c>
      <c r="R34" s="45">
        <f t="shared" si="15"/>
        <v>56</v>
      </c>
      <c r="S34" s="45">
        <f t="shared" si="15"/>
        <v>896</v>
      </c>
      <c r="T34" s="46">
        <f t="shared" si="15"/>
        <v>92</v>
      </c>
      <c r="U34" s="46">
        <f t="shared" si="15"/>
        <v>1472</v>
      </c>
    </row>
    <row r="35" spans="2:21" ht="18" thickBot="1">
      <c r="B35" s="448" t="s">
        <v>540</v>
      </c>
      <c r="C35" s="451">
        <v>16</v>
      </c>
      <c r="D35" s="48" t="s">
        <v>575</v>
      </c>
      <c r="E35" s="38" t="s">
        <v>576</v>
      </c>
      <c r="F35" s="27">
        <v>48</v>
      </c>
      <c r="G35" s="37">
        <v>3</v>
      </c>
      <c r="H35" s="36"/>
      <c r="I35" s="36"/>
      <c r="J35" s="36"/>
      <c r="K35" s="36"/>
      <c r="L35" s="36"/>
      <c r="M35" s="36"/>
      <c r="N35" s="36"/>
      <c r="O35" s="36"/>
      <c r="P35" s="31">
        <v>3</v>
      </c>
      <c r="Q35" s="31">
        <v>48</v>
      </c>
      <c r="R35" s="31"/>
      <c r="S35" s="31"/>
      <c r="T35" s="42">
        <f t="shared" ref="T35:T38" si="16">SUM(H35,J35,L35,N35,P35,R35)</f>
        <v>3</v>
      </c>
      <c r="U35" s="41">
        <f t="shared" ref="U35:U38" si="17">SUM(I35,K35,M35,O35,Q35,S35)</f>
        <v>48</v>
      </c>
    </row>
    <row r="36" spans="2:21" ht="18" thickBot="1">
      <c r="B36" s="448"/>
      <c r="C36" s="451"/>
      <c r="D36" s="49" t="s">
        <v>589</v>
      </c>
      <c r="E36" s="35" t="s">
        <v>590</v>
      </c>
      <c r="F36" s="34">
        <v>48</v>
      </c>
      <c r="G36" s="27">
        <v>4</v>
      </c>
      <c r="H36" s="36"/>
      <c r="I36" s="36"/>
      <c r="J36" s="36"/>
      <c r="K36" s="36"/>
      <c r="L36" s="36"/>
      <c r="M36" s="36"/>
      <c r="N36" s="36"/>
      <c r="O36" s="36"/>
      <c r="P36" s="36">
        <v>3</v>
      </c>
      <c r="Q36" s="36">
        <v>48</v>
      </c>
      <c r="R36" s="36"/>
      <c r="S36" s="36"/>
      <c r="T36" s="42">
        <f t="shared" si="16"/>
        <v>3</v>
      </c>
      <c r="U36" s="41">
        <f t="shared" si="17"/>
        <v>48</v>
      </c>
    </row>
    <row r="37" spans="2:21" ht="18" thickBot="1">
      <c r="B37" s="449"/>
      <c r="C37" s="452"/>
      <c r="D37" s="49" t="s">
        <v>579</v>
      </c>
      <c r="E37" s="35" t="s">
        <v>580</v>
      </c>
      <c r="F37" s="27">
        <v>48</v>
      </c>
      <c r="G37" s="37">
        <v>4</v>
      </c>
      <c r="H37" s="36"/>
      <c r="I37" s="36"/>
      <c r="J37" s="36"/>
      <c r="K37" s="36"/>
      <c r="L37" s="36"/>
      <c r="M37" s="36"/>
      <c r="N37" s="36"/>
      <c r="O37" s="36"/>
      <c r="P37" s="28"/>
      <c r="Q37" s="28"/>
      <c r="R37" s="28">
        <v>5</v>
      </c>
      <c r="S37" s="28">
        <v>80</v>
      </c>
      <c r="T37" s="42">
        <f t="shared" si="16"/>
        <v>5</v>
      </c>
      <c r="U37" s="41">
        <f t="shared" si="17"/>
        <v>80</v>
      </c>
    </row>
    <row r="38" spans="2:21">
      <c r="B38" s="449"/>
      <c r="C38" s="452"/>
      <c r="D38" s="49" t="s">
        <v>577</v>
      </c>
      <c r="E38" s="35" t="s">
        <v>578</v>
      </c>
      <c r="F38" s="34">
        <v>48</v>
      </c>
      <c r="G38" s="27">
        <v>3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v>5</v>
      </c>
      <c r="S38" s="28">
        <v>80</v>
      </c>
      <c r="T38" s="42">
        <f t="shared" si="16"/>
        <v>5</v>
      </c>
      <c r="U38" s="41">
        <f t="shared" si="17"/>
        <v>80</v>
      </c>
    </row>
    <row r="39" spans="2:21" ht="18" thickBot="1">
      <c r="B39" s="450"/>
      <c r="C39" s="453"/>
      <c r="D39" s="454" t="s">
        <v>16</v>
      </c>
      <c r="E39" s="454"/>
      <c r="F39" s="233"/>
      <c r="G39" s="233"/>
      <c r="H39" s="45">
        <f>SUM(H35:H38)</f>
        <v>0</v>
      </c>
      <c r="I39" s="45">
        <f>SUM(I35:I38)</f>
        <v>0</v>
      </c>
      <c r="J39" s="45">
        <f>SUM(J35:J38)</f>
        <v>0</v>
      </c>
      <c r="K39" s="45">
        <f>SUM(K35:K38)</f>
        <v>0</v>
      </c>
      <c r="L39" s="45">
        <f t="shared" ref="L39:U39" si="18">SUM(L33:L38)</f>
        <v>4</v>
      </c>
      <c r="M39" s="45">
        <f t="shared" si="18"/>
        <v>64</v>
      </c>
      <c r="N39" s="45">
        <f t="shared" si="18"/>
        <v>5</v>
      </c>
      <c r="O39" s="45">
        <f t="shared" si="18"/>
        <v>80</v>
      </c>
      <c r="P39" s="45">
        <f t="shared" si="18"/>
        <v>33</v>
      </c>
      <c r="Q39" s="45">
        <f t="shared" si="18"/>
        <v>528</v>
      </c>
      <c r="R39" s="45">
        <f t="shared" si="18"/>
        <v>71</v>
      </c>
      <c r="S39" s="45">
        <f t="shared" si="18"/>
        <v>1136</v>
      </c>
      <c r="T39" s="46">
        <f t="shared" si="18"/>
        <v>113</v>
      </c>
      <c r="U39" s="46">
        <f t="shared" si="18"/>
        <v>1808</v>
      </c>
    </row>
  </sheetData>
  <mergeCells count="48">
    <mergeCell ref="B30:B34"/>
    <mergeCell ref="C30:C34"/>
    <mergeCell ref="D34:E34"/>
    <mergeCell ref="B35:B39"/>
    <mergeCell ref="C35:C39"/>
    <mergeCell ref="D39:E39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2:B16"/>
    <mergeCell ref="C12:C16"/>
    <mergeCell ref="D16:E16"/>
    <mergeCell ref="B9:B11"/>
    <mergeCell ref="C9:C11"/>
    <mergeCell ref="D11:E11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25:B29"/>
    <mergeCell ref="C25:C29"/>
    <mergeCell ref="D29:E29"/>
    <mergeCell ref="B17:B19"/>
    <mergeCell ref="C17:C19"/>
    <mergeCell ref="D19:E19"/>
    <mergeCell ref="B20:B24"/>
    <mergeCell ref="C20:C24"/>
    <mergeCell ref="D24:E2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1"/>
  <sheetViews>
    <sheetView workbookViewId="0">
      <pane ySplit="1" topLeftCell="A74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337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337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157</v>
      </c>
      <c r="J6" s="3" t="s">
        <v>168</v>
      </c>
      <c r="K6" s="3" t="s">
        <v>168</v>
      </c>
      <c r="L6" s="8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7" t="s">
        <v>340</v>
      </c>
      <c r="G12" s="5"/>
      <c r="H12" s="3" t="s">
        <v>84</v>
      </c>
      <c r="I12" s="3" t="s">
        <v>159</v>
      </c>
      <c r="J12" s="3" t="s">
        <v>96</v>
      </c>
      <c r="K12" s="3" t="s">
        <v>96</v>
      </c>
      <c r="L12" s="5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337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337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7" t="s">
        <v>340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7" t="s">
        <v>340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7" t="s">
        <v>340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7" t="s">
        <v>340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337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7" t="s">
        <v>340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367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7" t="s">
        <v>367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337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7" t="s">
        <v>340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7" t="s">
        <v>340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7" t="s">
        <v>340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7" t="s">
        <v>340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7" t="s">
        <v>340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7" t="s">
        <v>340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351</v>
      </c>
      <c r="G81" s="5"/>
      <c r="H81" s="5"/>
      <c r="I81" s="5"/>
      <c r="L81" s="5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351</v>
      </c>
      <c r="G82" s="5"/>
      <c r="H82" s="5"/>
      <c r="I82" s="5"/>
      <c r="L82" s="5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351</v>
      </c>
      <c r="G83" s="5"/>
      <c r="H83" s="5"/>
      <c r="I83" s="5"/>
      <c r="L83" s="5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351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354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7" t="s">
        <v>351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7" t="s">
        <v>354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351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351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351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7" t="s">
        <v>351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7" t="s">
        <v>351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7" t="s">
        <v>351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7" t="s">
        <v>351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7" t="s">
        <v>351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7" t="s">
        <v>351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7" t="s">
        <v>354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351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351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351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351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351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351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351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351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7" t="s">
        <v>351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7" t="s">
        <v>351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3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  <outlinePr summaryBelow="0" summaryRight="0"/>
  </sheetPr>
  <dimension ref="A1:Z999"/>
  <sheetViews>
    <sheetView showGridLines="0" workbookViewId="0">
      <pane ySplit="2" topLeftCell="A57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107" customWidth="1"/>
    <col min="2" max="2" width="7.5" style="107" customWidth="1"/>
    <col min="3" max="3" width="0.8984375" style="107" customWidth="1"/>
    <col min="4" max="4" width="4" style="107" customWidth="1"/>
    <col min="5" max="5" width="5.8984375" style="107" customWidth="1"/>
    <col min="6" max="6" width="5.59765625" style="107" customWidth="1"/>
    <col min="7" max="7" width="11.19921875" style="107" customWidth="1"/>
    <col min="8" max="8" width="9.09765625" style="107" customWidth="1"/>
    <col min="9" max="9" width="12.69921875" style="107" customWidth="1"/>
    <col min="10" max="10" width="1.3984375" style="107" customWidth="1"/>
    <col min="11" max="11" width="1" style="107" customWidth="1"/>
    <col min="12" max="12" width="10.69921875" style="107" customWidth="1"/>
    <col min="13" max="13" width="10.09765625" style="107" customWidth="1"/>
    <col min="14" max="14" width="16.59765625" style="107" customWidth="1"/>
    <col min="15" max="15" width="8.3984375" style="107" customWidth="1"/>
    <col min="16" max="16" width="9.5" style="107" customWidth="1"/>
    <col min="17" max="17" width="1.19921875" style="107" customWidth="1"/>
    <col min="18" max="18" width="0.5" style="107" customWidth="1"/>
    <col min="19" max="26" width="0" style="107" hidden="1" customWidth="1"/>
    <col min="27" max="16384" width="11" style="107" hidden="1"/>
  </cols>
  <sheetData>
    <row r="1" spans="2:26" ht="15.6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2:26" ht="36.6" thickBot="1">
      <c r="B2" s="510" t="s">
        <v>371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106"/>
      <c r="S2" s="106"/>
      <c r="T2" s="106"/>
      <c r="U2" s="106"/>
      <c r="V2" s="106"/>
      <c r="W2" s="106"/>
      <c r="X2" s="106"/>
      <c r="Y2" s="106"/>
      <c r="Z2" s="106"/>
    </row>
    <row r="3" spans="2:26" ht="24" customHeight="1" thickBot="1">
      <c r="B3" s="108" t="s">
        <v>372</v>
      </c>
      <c r="C3" s="512" t="s">
        <v>373</v>
      </c>
      <c r="D3" s="513"/>
      <c r="E3" s="513"/>
      <c r="F3" s="513"/>
      <c r="G3" s="513"/>
      <c r="H3" s="513"/>
      <c r="I3" s="513"/>
      <c r="J3" s="514"/>
      <c r="K3" s="515" t="s">
        <v>374</v>
      </c>
      <c r="L3" s="516"/>
      <c r="M3" s="516"/>
      <c r="N3" s="516"/>
      <c r="O3" s="516"/>
      <c r="P3" s="516"/>
      <c r="Q3" s="517"/>
      <c r="R3" s="106"/>
      <c r="S3" s="106"/>
      <c r="T3" s="106"/>
      <c r="U3" s="106"/>
      <c r="V3" s="106"/>
      <c r="W3" s="106"/>
      <c r="X3" s="106"/>
      <c r="Y3" s="106"/>
      <c r="Z3" s="106"/>
    </row>
    <row r="4" spans="2:26" ht="15.6">
      <c r="B4" s="518" t="s">
        <v>375</v>
      </c>
      <c r="C4" s="109" t="s">
        <v>376</v>
      </c>
      <c r="D4" s="110"/>
      <c r="E4" s="110"/>
      <c r="F4" s="110"/>
      <c r="G4" s="110"/>
      <c r="H4" s="110"/>
      <c r="I4" s="110"/>
      <c r="J4" s="111"/>
      <c r="K4" s="112" t="s">
        <v>376</v>
      </c>
      <c r="L4" s="110"/>
      <c r="M4" s="110"/>
      <c r="N4" s="110"/>
      <c r="O4" s="110"/>
      <c r="P4" s="110"/>
      <c r="Q4" s="111"/>
      <c r="R4" s="106"/>
      <c r="S4" s="106"/>
      <c r="T4" s="106"/>
      <c r="U4" s="106"/>
      <c r="V4" s="106"/>
      <c r="W4" s="106"/>
      <c r="X4" s="106"/>
      <c r="Y4" s="106"/>
      <c r="Z4" s="106"/>
    </row>
    <row r="5" spans="2:26" ht="18.75" customHeight="1">
      <c r="B5" s="519"/>
      <c r="C5" s="113"/>
      <c r="D5" s="506" t="s">
        <v>377</v>
      </c>
      <c r="E5" s="507"/>
      <c r="F5" s="507"/>
      <c r="G5" s="508"/>
      <c r="H5" s="509" t="s">
        <v>378</v>
      </c>
      <c r="I5" s="507"/>
      <c r="J5" s="114"/>
      <c r="K5" s="115"/>
      <c r="L5" s="506" t="s">
        <v>377</v>
      </c>
      <c r="M5" s="507"/>
      <c r="N5" s="508"/>
      <c r="O5" s="509" t="s">
        <v>379</v>
      </c>
      <c r="P5" s="507"/>
      <c r="Q5" s="114"/>
      <c r="R5" s="106"/>
      <c r="S5" s="106"/>
      <c r="T5" s="106"/>
      <c r="U5" s="106"/>
      <c r="V5" s="106"/>
      <c r="W5" s="106"/>
      <c r="X5" s="106"/>
      <c r="Y5" s="106"/>
      <c r="Z5" s="106"/>
    </row>
    <row r="6" spans="2:26" ht="18.75" customHeight="1">
      <c r="B6" s="519"/>
      <c r="C6" s="113"/>
      <c r="D6" s="506" t="s">
        <v>380</v>
      </c>
      <c r="E6" s="507"/>
      <c r="F6" s="507"/>
      <c r="G6" s="508"/>
      <c r="H6" s="509" t="s">
        <v>381</v>
      </c>
      <c r="I6" s="507"/>
      <c r="J6" s="114"/>
      <c r="K6" s="115"/>
      <c r="L6" s="506" t="s">
        <v>380</v>
      </c>
      <c r="M6" s="507"/>
      <c r="N6" s="508"/>
      <c r="O6" s="509" t="s">
        <v>382</v>
      </c>
      <c r="P6" s="507"/>
      <c r="Q6" s="114"/>
      <c r="R6" s="106"/>
      <c r="S6" s="106"/>
      <c r="T6" s="106"/>
      <c r="U6" s="106"/>
      <c r="V6" s="106"/>
      <c r="W6" s="106"/>
      <c r="X6" s="106"/>
      <c r="Y6" s="106"/>
      <c r="Z6" s="106"/>
    </row>
    <row r="7" spans="2:26" ht="18.75" customHeight="1">
      <c r="B7" s="519"/>
      <c r="C7" s="113"/>
      <c r="D7" s="506" t="s">
        <v>383</v>
      </c>
      <c r="E7" s="507"/>
      <c r="F7" s="507"/>
      <c r="G7" s="508"/>
      <c r="H7" s="509" t="s">
        <v>384</v>
      </c>
      <c r="I7" s="507"/>
      <c r="J7" s="114"/>
      <c r="K7" s="115"/>
      <c r="L7" s="506" t="s">
        <v>383</v>
      </c>
      <c r="M7" s="507"/>
      <c r="N7" s="508"/>
      <c r="O7" s="509" t="s">
        <v>385</v>
      </c>
      <c r="P7" s="507"/>
      <c r="Q7" s="114"/>
      <c r="R7" s="106"/>
      <c r="S7" s="106"/>
      <c r="T7" s="106"/>
      <c r="U7" s="106"/>
      <c r="V7" s="106"/>
      <c r="W7" s="106"/>
      <c r="X7" s="106"/>
      <c r="Y7" s="106"/>
      <c r="Z7" s="106"/>
    </row>
    <row r="8" spans="2:26" ht="18.75" customHeight="1">
      <c r="B8" s="519"/>
      <c r="C8" s="113"/>
      <c r="D8" s="506" t="s">
        <v>386</v>
      </c>
      <c r="E8" s="507"/>
      <c r="F8" s="507"/>
      <c r="G8" s="508"/>
      <c r="H8" s="509" t="s">
        <v>387</v>
      </c>
      <c r="I8" s="507"/>
      <c r="J8" s="114"/>
      <c r="K8" s="115"/>
      <c r="L8" s="506" t="s">
        <v>386</v>
      </c>
      <c r="M8" s="507"/>
      <c r="N8" s="508"/>
      <c r="O8" s="509" t="s">
        <v>387</v>
      </c>
      <c r="P8" s="507"/>
      <c r="Q8" s="114"/>
      <c r="R8" s="106"/>
      <c r="S8" s="106"/>
      <c r="T8" s="106"/>
      <c r="U8" s="106"/>
      <c r="V8" s="106"/>
      <c r="W8" s="106"/>
      <c r="X8" s="106"/>
      <c r="Y8" s="106"/>
      <c r="Z8" s="106"/>
    </row>
    <row r="9" spans="2:26" ht="8.25" customHeight="1" thickBot="1">
      <c r="B9" s="520"/>
      <c r="C9" s="116"/>
      <c r="D9" s="117"/>
      <c r="E9" s="117"/>
      <c r="F9" s="117"/>
      <c r="G9" s="117"/>
      <c r="H9" s="117"/>
      <c r="I9" s="117"/>
      <c r="J9" s="118"/>
      <c r="K9" s="119"/>
      <c r="L9" s="117"/>
      <c r="M9" s="117"/>
      <c r="N9" s="117"/>
      <c r="O9" s="117"/>
      <c r="P9" s="117"/>
      <c r="Q9" s="118"/>
      <c r="R9" s="106"/>
      <c r="S9" s="106"/>
      <c r="T9" s="106"/>
      <c r="U9" s="106"/>
      <c r="V9" s="106"/>
      <c r="W9" s="106"/>
      <c r="X9" s="106"/>
      <c r="Y9" s="106"/>
      <c r="Z9" s="106"/>
    </row>
    <row r="10" spans="2:26" ht="6.75" customHeight="1">
      <c r="B10" s="518" t="s">
        <v>388</v>
      </c>
      <c r="C10" s="109"/>
      <c r="D10" s="110"/>
      <c r="E10" s="110"/>
      <c r="F10" s="110"/>
      <c r="G10" s="110"/>
      <c r="H10" s="110"/>
      <c r="I10" s="110"/>
      <c r="J10" s="111"/>
      <c r="K10" s="112"/>
      <c r="L10" s="110"/>
      <c r="M10" s="110"/>
      <c r="N10" s="110"/>
      <c r="O10" s="110"/>
      <c r="P10" s="110"/>
      <c r="Q10" s="111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2:26" ht="16.5" customHeight="1">
      <c r="B11" s="519"/>
      <c r="C11" s="113"/>
      <c r="D11" s="506" t="s">
        <v>320</v>
      </c>
      <c r="E11" s="507"/>
      <c r="F11" s="507"/>
      <c r="G11" s="509" t="s">
        <v>389</v>
      </c>
      <c r="H11" s="507"/>
      <c r="I11" s="507"/>
      <c r="J11" s="114"/>
      <c r="K11" s="115"/>
      <c r="L11" s="521" t="s">
        <v>320</v>
      </c>
      <c r="M11" s="522"/>
      <c r="N11" s="525" t="s">
        <v>390</v>
      </c>
      <c r="O11" s="526"/>
      <c r="P11" s="526"/>
      <c r="Q11" s="114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2:26" ht="16.5" customHeight="1">
      <c r="B12" s="519"/>
      <c r="C12" s="113"/>
      <c r="D12" s="506" t="s">
        <v>391</v>
      </c>
      <c r="E12" s="507"/>
      <c r="F12" s="507"/>
      <c r="G12" s="509" t="s">
        <v>392</v>
      </c>
      <c r="H12" s="507"/>
      <c r="I12" s="507"/>
      <c r="J12" s="114"/>
      <c r="K12" s="115"/>
      <c r="L12" s="523"/>
      <c r="M12" s="524"/>
      <c r="N12" s="527"/>
      <c r="O12" s="523"/>
      <c r="P12" s="523"/>
      <c r="Q12" s="114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2:26" ht="16.5" customHeight="1">
      <c r="B13" s="519"/>
      <c r="C13" s="113"/>
      <c r="D13" s="506" t="s">
        <v>393</v>
      </c>
      <c r="E13" s="507"/>
      <c r="F13" s="507"/>
      <c r="G13" s="509" t="s">
        <v>394</v>
      </c>
      <c r="H13" s="507"/>
      <c r="I13" s="507"/>
      <c r="J13" s="114"/>
      <c r="K13" s="115"/>
      <c r="L13" s="506" t="s">
        <v>395</v>
      </c>
      <c r="M13" s="508"/>
      <c r="N13" s="509" t="s">
        <v>394</v>
      </c>
      <c r="O13" s="507"/>
      <c r="P13" s="507"/>
      <c r="Q13" s="114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2:26" ht="6.75" customHeight="1" thickBot="1">
      <c r="B14" s="520"/>
      <c r="C14" s="116"/>
      <c r="D14" s="117"/>
      <c r="E14" s="117"/>
      <c r="F14" s="117"/>
      <c r="G14" s="117"/>
      <c r="H14" s="117"/>
      <c r="I14" s="117"/>
      <c r="J14" s="118"/>
      <c r="K14" s="119"/>
      <c r="L14" s="117"/>
      <c r="M14" s="117"/>
      <c r="N14" s="117"/>
      <c r="O14" s="117"/>
      <c r="P14" s="117"/>
      <c r="Q14" s="118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2:26" ht="6.75" customHeight="1">
      <c r="B15" s="518" t="s">
        <v>396</v>
      </c>
      <c r="C15" s="109"/>
      <c r="D15" s="110"/>
      <c r="E15" s="110"/>
      <c r="F15" s="110"/>
      <c r="G15" s="110"/>
      <c r="H15" s="110"/>
      <c r="I15" s="110"/>
      <c r="J15" s="111"/>
      <c r="K15" s="112"/>
      <c r="L15" s="110"/>
      <c r="M15" s="110"/>
      <c r="N15" s="110"/>
      <c r="O15" s="110"/>
      <c r="P15" s="110"/>
      <c r="Q15" s="111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2:26" ht="20.25" customHeight="1">
      <c r="B16" s="519"/>
      <c r="C16" s="113"/>
      <c r="D16" s="506" t="s">
        <v>397</v>
      </c>
      <c r="E16" s="507"/>
      <c r="F16" s="507"/>
      <c r="G16" s="508"/>
      <c r="H16" s="509">
        <v>1</v>
      </c>
      <c r="I16" s="507"/>
      <c r="J16" s="114"/>
      <c r="K16" s="115"/>
      <c r="L16" s="506" t="s">
        <v>397</v>
      </c>
      <c r="M16" s="507"/>
      <c r="N16" s="508"/>
      <c r="O16" s="509" t="s">
        <v>398</v>
      </c>
      <c r="P16" s="507"/>
      <c r="Q16" s="114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2:26" ht="20.25" customHeight="1">
      <c r="B17" s="519"/>
      <c r="C17" s="113"/>
      <c r="D17" s="506" t="s">
        <v>399</v>
      </c>
      <c r="E17" s="507"/>
      <c r="F17" s="507"/>
      <c r="G17" s="508"/>
      <c r="H17" s="509">
        <v>179</v>
      </c>
      <c r="I17" s="507"/>
      <c r="J17" s="114"/>
      <c r="K17" s="115"/>
      <c r="L17" s="506" t="s">
        <v>400</v>
      </c>
      <c r="M17" s="507"/>
      <c r="N17" s="508"/>
      <c r="O17" s="509" t="s">
        <v>401</v>
      </c>
      <c r="P17" s="507"/>
      <c r="Q17" s="114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2:26" ht="20.25" customHeight="1">
      <c r="B18" s="519"/>
      <c r="C18" s="113"/>
      <c r="D18" s="506" t="s">
        <v>402</v>
      </c>
      <c r="E18" s="507"/>
      <c r="F18" s="507"/>
      <c r="G18" s="508"/>
      <c r="H18" s="509">
        <v>368</v>
      </c>
      <c r="I18" s="507"/>
      <c r="J18" s="114"/>
      <c r="K18" s="115"/>
      <c r="L18" s="506" t="s">
        <v>403</v>
      </c>
      <c r="M18" s="507"/>
      <c r="N18" s="508"/>
      <c r="O18" s="509" t="s">
        <v>404</v>
      </c>
      <c r="P18" s="507"/>
      <c r="Q18" s="114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2:26" ht="20.25" customHeight="1">
      <c r="B19" s="519"/>
      <c r="C19" s="113"/>
      <c r="D19" s="506" t="s">
        <v>405</v>
      </c>
      <c r="E19" s="507"/>
      <c r="F19" s="507"/>
      <c r="G19" s="508"/>
      <c r="H19" s="509">
        <v>548</v>
      </c>
      <c r="I19" s="507"/>
      <c r="J19" s="114"/>
      <c r="K19" s="115"/>
      <c r="L19" s="506" t="s">
        <v>405</v>
      </c>
      <c r="M19" s="507"/>
      <c r="N19" s="508"/>
      <c r="O19" s="509" t="s">
        <v>406</v>
      </c>
      <c r="P19" s="507"/>
      <c r="Q19" s="114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2:26" ht="5.25" customHeight="1" thickBot="1">
      <c r="B20" s="520"/>
      <c r="C20" s="116"/>
      <c r="D20" s="117"/>
      <c r="E20" s="117"/>
      <c r="F20" s="117"/>
      <c r="G20" s="117"/>
      <c r="H20" s="117"/>
      <c r="I20" s="117"/>
      <c r="J20" s="118"/>
      <c r="K20" s="119"/>
      <c r="L20" s="117"/>
      <c r="M20" s="117"/>
      <c r="N20" s="117"/>
      <c r="O20" s="117"/>
      <c r="P20" s="117"/>
      <c r="Q20" s="118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2:26" ht="5.25" customHeight="1">
      <c r="B21" s="518" t="s">
        <v>407</v>
      </c>
      <c r="C21" s="109"/>
      <c r="D21" s="110"/>
      <c r="E21" s="110"/>
      <c r="F21" s="110"/>
      <c r="G21" s="110"/>
      <c r="H21" s="110"/>
      <c r="I21" s="110"/>
      <c r="J21" s="111"/>
      <c r="K21" s="112"/>
      <c r="L21" s="110"/>
      <c r="M21" s="110"/>
      <c r="N21" s="110"/>
      <c r="O21" s="110"/>
      <c r="P21" s="110"/>
      <c r="Q21" s="111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2:26" ht="31.8" thickBot="1">
      <c r="B22" s="519"/>
      <c r="C22" s="113"/>
      <c r="D22" s="120"/>
      <c r="E22" s="121"/>
      <c r="F22" s="122" t="s">
        <v>408</v>
      </c>
      <c r="G22" s="122" t="s">
        <v>409</v>
      </c>
      <c r="H22" s="122" t="s">
        <v>410</v>
      </c>
      <c r="I22" s="123" t="s">
        <v>411</v>
      </c>
      <c r="J22" s="124"/>
      <c r="K22" s="125"/>
      <c r="L22" s="120"/>
      <c r="M22" s="122" t="s">
        <v>409</v>
      </c>
      <c r="N22" s="122" t="s">
        <v>412</v>
      </c>
      <c r="O22" s="528" t="s">
        <v>411</v>
      </c>
      <c r="P22" s="529"/>
      <c r="Q22" s="114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2:26" ht="16.2" thickTop="1">
      <c r="B23" s="519"/>
      <c r="C23" s="113"/>
      <c r="D23" s="530" t="s">
        <v>409</v>
      </c>
      <c r="E23" s="532" t="s">
        <v>413</v>
      </c>
      <c r="F23" s="532" t="s">
        <v>414</v>
      </c>
      <c r="G23" s="126" t="s">
        <v>415</v>
      </c>
      <c r="H23" s="126" t="s">
        <v>416</v>
      </c>
      <c r="I23" s="535">
        <v>24</v>
      </c>
      <c r="J23" s="124"/>
      <c r="K23" s="125"/>
      <c r="L23" s="530" t="s">
        <v>417</v>
      </c>
      <c r="M23" s="127" t="s">
        <v>415</v>
      </c>
      <c r="N23" s="127" t="s">
        <v>418</v>
      </c>
      <c r="O23" s="535">
        <v>24</v>
      </c>
      <c r="P23" s="543"/>
      <c r="Q23" s="114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2:26" ht="15.6">
      <c r="B24" s="519"/>
      <c r="C24" s="113"/>
      <c r="D24" s="531"/>
      <c r="E24" s="533"/>
      <c r="F24" s="533"/>
      <c r="G24" s="128" t="s">
        <v>419</v>
      </c>
      <c r="H24" s="128" t="s">
        <v>420</v>
      </c>
      <c r="I24" s="536"/>
      <c r="J24" s="124"/>
      <c r="K24" s="125"/>
      <c r="L24" s="531"/>
      <c r="M24" s="129" t="s">
        <v>419</v>
      </c>
      <c r="N24" s="129" t="s">
        <v>421</v>
      </c>
      <c r="O24" s="536"/>
      <c r="P24" s="544"/>
      <c r="Q24" s="114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2:26" ht="15.6">
      <c r="B25" s="519"/>
      <c r="C25" s="113"/>
      <c r="D25" s="531"/>
      <c r="E25" s="533"/>
      <c r="F25" s="533"/>
      <c r="G25" s="128" t="s">
        <v>422</v>
      </c>
      <c r="H25" s="128" t="s">
        <v>423</v>
      </c>
      <c r="I25" s="537"/>
      <c r="J25" s="124"/>
      <c r="K25" s="125"/>
      <c r="L25" s="531"/>
      <c r="M25" s="129" t="s">
        <v>422</v>
      </c>
      <c r="N25" s="129" t="s">
        <v>424</v>
      </c>
      <c r="O25" s="527"/>
      <c r="P25" s="523"/>
      <c r="Q25" s="114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2:26" ht="15.6">
      <c r="B26" s="519"/>
      <c r="C26" s="113"/>
      <c r="D26" s="531"/>
      <c r="E26" s="533"/>
      <c r="F26" s="534"/>
      <c r="G26" s="130" t="s">
        <v>425</v>
      </c>
      <c r="H26" s="130" t="s">
        <v>426</v>
      </c>
      <c r="I26" s="131">
        <v>6</v>
      </c>
      <c r="J26" s="124"/>
      <c r="K26" s="125"/>
      <c r="L26" s="531"/>
      <c r="M26" s="545" t="s">
        <v>427</v>
      </c>
      <c r="N26" s="132" t="s">
        <v>428</v>
      </c>
      <c r="O26" s="546">
        <v>6</v>
      </c>
      <c r="P26" s="547"/>
      <c r="Q26" s="114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2:26" ht="46.8">
      <c r="B27" s="519"/>
      <c r="C27" s="113"/>
      <c r="D27" s="531"/>
      <c r="E27" s="533"/>
      <c r="F27" s="545" t="s">
        <v>429</v>
      </c>
      <c r="G27" s="132" t="s">
        <v>427</v>
      </c>
      <c r="H27" s="132" t="s">
        <v>430</v>
      </c>
      <c r="I27" s="548">
        <v>12</v>
      </c>
      <c r="J27" s="124"/>
      <c r="K27" s="125"/>
      <c r="L27" s="531"/>
      <c r="M27" s="534"/>
      <c r="N27" s="130" t="s">
        <v>431</v>
      </c>
      <c r="O27" s="549">
        <v>12</v>
      </c>
      <c r="P27" s="550"/>
      <c r="Q27" s="114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2:26" ht="31.2">
      <c r="B28" s="519"/>
      <c r="C28" s="113"/>
      <c r="D28" s="531"/>
      <c r="E28" s="533"/>
      <c r="F28" s="534"/>
      <c r="G28" s="130" t="s">
        <v>432</v>
      </c>
      <c r="H28" s="130" t="s">
        <v>433</v>
      </c>
      <c r="I28" s="527"/>
      <c r="J28" s="124"/>
      <c r="K28" s="125"/>
      <c r="L28" s="531"/>
      <c r="M28" s="129" t="s">
        <v>432</v>
      </c>
      <c r="N28" s="129" t="s">
        <v>434</v>
      </c>
      <c r="O28" s="527"/>
      <c r="P28" s="523"/>
      <c r="Q28" s="114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2:26" ht="15.6">
      <c r="B29" s="519"/>
      <c r="C29" s="113"/>
      <c r="D29" s="531"/>
      <c r="E29" s="533"/>
      <c r="F29" s="545" t="s">
        <v>435</v>
      </c>
      <c r="G29" s="132" t="s">
        <v>436</v>
      </c>
      <c r="H29" s="133"/>
      <c r="I29" s="134">
        <v>8</v>
      </c>
      <c r="J29" s="124"/>
      <c r="K29" s="125"/>
      <c r="L29" s="531"/>
      <c r="M29" s="129" t="s">
        <v>436</v>
      </c>
      <c r="N29" s="135"/>
      <c r="O29" s="540">
        <v>8</v>
      </c>
      <c r="P29" s="507"/>
      <c r="Q29" s="114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2:26" ht="15.6">
      <c r="B30" s="519"/>
      <c r="C30" s="113"/>
      <c r="D30" s="531"/>
      <c r="E30" s="533"/>
      <c r="F30" s="534"/>
      <c r="G30" s="130" t="s">
        <v>437</v>
      </c>
      <c r="H30" s="136"/>
      <c r="I30" s="131">
        <v>6</v>
      </c>
      <c r="J30" s="124"/>
      <c r="K30" s="125"/>
      <c r="L30" s="531"/>
      <c r="M30" s="129" t="s">
        <v>437</v>
      </c>
      <c r="N30" s="135"/>
      <c r="O30" s="540">
        <v>6</v>
      </c>
      <c r="P30" s="507"/>
      <c r="Q30" s="114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2:26" ht="62.4">
      <c r="B31" s="519"/>
      <c r="C31" s="113"/>
      <c r="D31" s="531"/>
      <c r="E31" s="533"/>
      <c r="F31" s="129" t="s">
        <v>438</v>
      </c>
      <c r="G31" s="129" t="s">
        <v>439</v>
      </c>
      <c r="H31" s="135"/>
      <c r="I31" s="137">
        <v>10</v>
      </c>
      <c r="J31" s="124"/>
      <c r="K31" s="125"/>
      <c r="L31" s="531"/>
      <c r="M31" s="129" t="s">
        <v>440</v>
      </c>
      <c r="N31" s="135"/>
      <c r="O31" s="540">
        <v>8</v>
      </c>
      <c r="P31" s="507"/>
      <c r="Q31" s="114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2:26" ht="18.75" customHeight="1">
      <c r="B32" s="519"/>
      <c r="C32" s="113"/>
      <c r="D32" s="531"/>
      <c r="E32" s="534"/>
      <c r="F32" s="541" t="s">
        <v>405</v>
      </c>
      <c r="G32" s="507"/>
      <c r="H32" s="508"/>
      <c r="I32" s="138">
        <v>66</v>
      </c>
      <c r="J32" s="124"/>
      <c r="K32" s="125"/>
      <c r="L32" s="524"/>
      <c r="M32" s="541" t="s">
        <v>405</v>
      </c>
      <c r="N32" s="508"/>
      <c r="O32" s="542">
        <v>64</v>
      </c>
      <c r="P32" s="507"/>
      <c r="Q32" s="114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2:26" ht="35.25" customHeight="1">
      <c r="B33" s="519"/>
      <c r="C33" s="113"/>
      <c r="D33" s="524"/>
      <c r="E33" s="139" t="s">
        <v>441</v>
      </c>
      <c r="F33" s="541" t="s">
        <v>442</v>
      </c>
      <c r="G33" s="507"/>
      <c r="H33" s="508"/>
      <c r="I33" s="138">
        <v>86</v>
      </c>
      <c r="J33" s="124"/>
      <c r="K33" s="125"/>
      <c r="L33" s="140" t="s">
        <v>443</v>
      </c>
      <c r="M33" s="541" t="s">
        <v>444</v>
      </c>
      <c r="N33" s="508"/>
      <c r="O33" s="542">
        <v>80</v>
      </c>
      <c r="P33" s="507"/>
      <c r="Q33" s="114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2:26" ht="21.75" customHeight="1">
      <c r="B34" s="519"/>
      <c r="C34" s="113"/>
      <c r="D34" s="538" t="s">
        <v>383</v>
      </c>
      <c r="E34" s="507"/>
      <c r="F34" s="507"/>
      <c r="G34" s="507"/>
      <c r="H34" s="508"/>
      <c r="I34" s="141">
        <v>22</v>
      </c>
      <c r="J34" s="124"/>
      <c r="K34" s="125"/>
      <c r="L34" s="538" t="s">
        <v>383</v>
      </c>
      <c r="M34" s="507"/>
      <c r="N34" s="508"/>
      <c r="O34" s="539">
        <v>30</v>
      </c>
      <c r="P34" s="507"/>
      <c r="Q34" s="114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2:26" ht="24" customHeight="1">
      <c r="B35" s="519"/>
      <c r="C35" s="113"/>
      <c r="D35" s="538" t="s">
        <v>386</v>
      </c>
      <c r="E35" s="507"/>
      <c r="F35" s="507"/>
      <c r="G35" s="507"/>
      <c r="H35" s="508"/>
      <c r="I35" s="141">
        <v>18</v>
      </c>
      <c r="J35" s="124"/>
      <c r="K35" s="125"/>
      <c r="L35" s="538" t="s">
        <v>386</v>
      </c>
      <c r="M35" s="507"/>
      <c r="N35" s="508"/>
      <c r="O35" s="539">
        <v>18</v>
      </c>
      <c r="P35" s="507"/>
      <c r="Q35" s="114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2:26" ht="15.6">
      <c r="B36" s="519"/>
      <c r="C36" s="113"/>
      <c r="D36" s="551" t="s">
        <v>445</v>
      </c>
      <c r="E36" s="507"/>
      <c r="F36" s="507"/>
      <c r="G36" s="507"/>
      <c r="H36" s="508"/>
      <c r="I36" s="138">
        <v>192</v>
      </c>
      <c r="J36" s="124"/>
      <c r="K36" s="125"/>
      <c r="L36" s="551" t="s">
        <v>445</v>
      </c>
      <c r="M36" s="507"/>
      <c r="N36" s="508"/>
      <c r="O36" s="542">
        <v>192</v>
      </c>
      <c r="P36" s="507"/>
      <c r="Q36" s="114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2:26" ht="5.25" customHeight="1" thickBot="1">
      <c r="B37" s="520"/>
      <c r="C37" s="116"/>
      <c r="D37" s="117"/>
      <c r="E37" s="117"/>
      <c r="F37" s="117"/>
      <c r="G37" s="117"/>
      <c r="H37" s="117"/>
      <c r="I37" s="117"/>
      <c r="J37" s="118"/>
      <c r="K37" s="119"/>
      <c r="L37" s="117"/>
      <c r="M37" s="117"/>
      <c r="N37" s="117"/>
      <c r="O37" s="117"/>
      <c r="P37" s="117"/>
      <c r="Q37" s="118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2:26" ht="5.25" customHeight="1">
      <c r="B38" s="518" t="s">
        <v>446</v>
      </c>
      <c r="C38" s="109"/>
      <c r="D38" s="110"/>
      <c r="E38" s="110"/>
      <c r="F38" s="110"/>
      <c r="G38" s="110"/>
      <c r="H38" s="110"/>
      <c r="I38" s="110"/>
      <c r="J38" s="111"/>
      <c r="K38" s="112"/>
      <c r="L38" s="110"/>
      <c r="M38" s="110"/>
      <c r="N38" s="110"/>
      <c r="O38" s="110"/>
      <c r="P38" s="110"/>
      <c r="Q38" s="111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2:26" ht="15.6">
      <c r="B39" s="519"/>
      <c r="C39" s="113" t="s">
        <v>447</v>
      </c>
      <c r="D39" s="142"/>
      <c r="E39" s="142"/>
      <c r="F39" s="142"/>
      <c r="G39" s="142"/>
      <c r="H39" s="142"/>
      <c r="I39" s="142"/>
      <c r="J39" s="114"/>
      <c r="K39" s="115"/>
      <c r="L39" s="142" t="s">
        <v>448</v>
      </c>
      <c r="M39" s="142"/>
      <c r="N39" s="142"/>
      <c r="O39" s="142"/>
      <c r="P39" s="142"/>
      <c r="Q39" s="114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2:26" ht="15.6">
      <c r="B40" s="519"/>
      <c r="C40" s="113" t="s">
        <v>449</v>
      </c>
      <c r="D40" s="142"/>
      <c r="E40" s="142"/>
      <c r="F40" s="142"/>
      <c r="G40" s="142"/>
      <c r="H40" s="142"/>
      <c r="I40" s="142"/>
      <c r="J40" s="114"/>
      <c r="K40" s="115"/>
      <c r="L40" s="142" t="s">
        <v>450</v>
      </c>
      <c r="M40" s="142"/>
      <c r="N40" s="142"/>
      <c r="O40" s="142"/>
      <c r="P40" s="142"/>
      <c r="Q40" s="114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2:26" ht="5.25" customHeight="1" thickBot="1">
      <c r="B41" s="520"/>
      <c r="C41" s="116"/>
      <c r="D41" s="117"/>
      <c r="E41" s="117"/>
      <c r="F41" s="117"/>
      <c r="G41" s="117"/>
      <c r="H41" s="117"/>
      <c r="I41" s="117"/>
      <c r="J41" s="118"/>
      <c r="K41" s="119"/>
      <c r="L41" s="117"/>
      <c r="M41" s="117"/>
      <c r="N41" s="117"/>
      <c r="O41" s="117"/>
      <c r="P41" s="117"/>
      <c r="Q41" s="118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2:26" ht="5.25" customHeight="1">
      <c r="B42" s="518" t="s">
        <v>451</v>
      </c>
      <c r="C42" s="109"/>
      <c r="D42" s="110"/>
      <c r="E42" s="110"/>
      <c r="F42" s="110"/>
      <c r="G42" s="110"/>
      <c r="H42" s="110"/>
      <c r="I42" s="110"/>
      <c r="J42" s="111"/>
      <c r="K42" s="112"/>
      <c r="L42" s="110"/>
      <c r="M42" s="110"/>
      <c r="N42" s="110"/>
      <c r="O42" s="110"/>
      <c r="P42" s="110"/>
      <c r="Q42" s="111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2:26" ht="15.6">
      <c r="B43" s="519"/>
      <c r="C43" s="113"/>
      <c r="D43" s="142" t="s">
        <v>452</v>
      </c>
      <c r="E43" s="142"/>
      <c r="F43" s="142"/>
      <c r="G43" s="142"/>
      <c r="H43" s="142"/>
      <c r="I43" s="142"/>
      <c r="J43" s="114"/>
      <c r="K43" s="115"/>
      <c r="L43" s="142" t="s">
        <v>453</v>
      </c>
      <c r="M43" s="142"/>
      <c r="N43" s="142"/>
      <c r="O43" s="142"/>
      <c r="P43" s="142"/>
      <c r="Q43" s="114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2:26" ht="15.6">
      <c r="B44" s="519"/>
      <c r="C44" s="113"/>
      <c r="D44" s="142" t="s">
        <v>454</v>
      </c>
      <c r="E44" s="143"/>
      <c r="F44" s="143"/>
      <c r="G44" s="143"/>
      <c r="H44" s="143"/>
      <c r="I44" s="143"/>
      <c r="J44" s="114"/>
      <c r="K44" s="115"/>
      <c r="L44" s="142"/>
      <c r="M44" s="142"/>
      <c r="N44" s="142"/>
      <c r="O44" s="142"/>
      <c r="P44" s="142"/>
      <c r="Q44" s="114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2:26" ht="15.6">
      <c r="B45" s="519"/>
      <c r="C45" s="113"/>
      <c r="D45" s="552" t="s">
        <v>372</v>
      </c>
      <c r="E45" s="507"/>
      <c r="F45" s="508"/>
      <c r="G45" s="553" t="s">
        <v>455</v>
      </c>
      <c r="H45" s="508"/>
      <c r="I45" s="144" t="s">
        <v>456</v>
      </c>
      <c r="J45" s="114"/>
      <c r="K45" s="115"/>
      <c r="L45" s="552" t="s">
        <v>372</v>
      </c>
      <c r="M45" s="508"/>
      <c r="N45" s="553" t="s">
        <v>455</v>
      </c>
      <c r="O45" s="508"/>
      <c r="P45" s="144" t="s">
        <v>457</v>
      </c>
      <c r="Q45" s="114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2:26" ht="38.25" customHeight="1">
      <c r="B46" s="519"/>
      <c r="C46" s="113"/>
      <c r="D46" s="506" t="s">
        <v>458</v>
      </c>
      <c r="E46" s="508"/>
      <c r="F46" s="145">
        <v>1</v>
      </c>
      <c r="G46" s="554" t="s">
        <v>459</v>
      </c>
      <c r="H46" s="508"/>
      <c r="I46" s="555">
        <v>86</v>
      </c>
      <c r="J46" s="114"/>
      <c r="K46" s="115"/>
      <c r="L46" s="146" t="s">
        <v>458</v>
      </c>
      <c r="M46" s="145">
        <v>3</v>
      </c>
      <c r="N46" s="554" t="s">
        <v>460</v>
      </c>
      <c r="O46" s="508"/>
      <c r="P46" s="555">
        <v>80</v>
      </c>
      <c r="Q46" s="114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2:26" ht="16.5" customHeight="1">
      <c r="B47" s="519"/>
      <c r="C47" s="113"/>
      <c r="D47" s="506" t="s">
        <v>461</v>
      </c>
      <c r="E47" s="508"/>
      <c r="F47" s="145">
        <v>179</v>
      </c>
      <c r="G47" s="509" t="s">
        <v>444</v>
      </c>
      <c r="H47" s="508"/>
      <c r="I47" s="536"/>
      <c r="J47" s="114"/>
      <c r="K47" s="115"/>
      <c r="L47" s="146" t="s">
        <v>462</v>
      </c>
      <c r="M47" s="145">
        <v>216</v>
      </c>
      <c r="N47" s="509" t="s">
        <v>444</v>
      </c>
      <c r="O47" s="508"/>
      <c r="P47" s="536"/>
      <c r="Q47" s="114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2:26" ht="16.5" customHeight="1">
      <c r="B48" s="519"/>
      <c r="C48" s="113"/>
      <c r="D48" s="506" t="s">
        <v>463</v>
      </c>
      <c r="E48" s="508"/>
      <c r="F48" s="145">
        <v>368</v>
      </c>
      <c r="G48" s="509" t="s">
        <v>444</v>
      </c>
      <c r="H48" s="508"/>
      <c r="I48" s="527"/>
      <c r="J48" s="114"/>
      <c r="K48" s="115"/>
      <c r="L48" s="146" t="s">
        <v>464</v>
      </c>
      <c r="M48" s="145">
        <v>309</v>
      </c>
      <c r="N48" s="509" t="s">
        <v>444</v>
      </c>
      <c r="O48" s="508"/>
      <c r="P48" s="527"/>
      <c r="Q48" s="114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2:26" ht="5.25" customHeight="1" thickBot="1">
      <c r="B49" s="520"/>
      <c r="C49" s="116"/>
      <c r="D49" s="117"/>
      <c r="E49" s="117"/>
      <c r="F49" s="117"/>
      <c r="G49" s="117"/>
      <c r="H49" s="117"/>
      <c r="I49" s="117"/>
      <c r="J49" s="118"/>
      <c r="K49" s="119"/>
      <c r="L49" s="117"/>
      <c r="M49" s="117"/>
      <c r="N49" s="117"/>
      <c r="O49" s="117"/>
      <c r="P49" s="117"/>
      <c r="Q49" s="118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2:26" ht="5.25" customHeight="1">
      <c r="B50" s="518" t="s">
        <v>465</v>
      </c>
      <c r="C50" s="109"/>
      <c r="D50" s="110"/>
      <c r="E50" s="110"/>
      <c r="F50" s="110"/>
      <c r="G50" s="110"/>
      <c r="H50" s="110"/>
      <c r="I50" s="110"/>
      <c r="J50" s="111"/>
      <c r="K50" s="112"/>
      <c r="L50" s="110"/>
      <c r="M50" s="110"/>
      <c r="N50" s="110"/>
      <c r="O50" s="110"/>
      <c r="P50" s="110"/>
      <c r="Q50" s="111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2:26" ht="26.4">
      <c r="B51" s="519"/>
      <c r="C51" s="113"/>
      <c r="D51" s="557" t="s">
        <v>372</v>
      </c>
      <c r="E51" s="507"/>
      <c r="F51" s="508"/>
      <c r="G51" s="147" t="s">
        <v>466</v>
      </c>
      <c r="H51" s="147" t="s">
        <v>467</v>
      </c>
      <c r="I51" s="148" t="s">
        <v>468</v>
      </c>
      <c r="J51" s="124"/>
      <c r="K51" s="125"/>
      <c r="L51" s="557" t="s">
        <v>372</v>
      </c>
      <c r="M51" s="508"/>
      <c r="N51" s="147" t="s">
        <v>466</v>
      </c>
      <c r="O51" s="147" t="s">
        <v>467</v>
      </c>
      <c r="P51" s="148" t="s">
        <v>469</v>
      </c>
      <c r="Q51" s="114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2:26" ht="15.6">
      <c r="B52" s="519"/>
      <c r="C52" s="113"/>
      <c r="D52" s="556" t="s">
        <v>470</v>
      </c>
      <c r="E52" s="507"/>
      <c r="F52" s="508"/>
      <c r="G52" s="149">
        <v>8</v>
      </c>
      <c r="H52" s="149">
        <v>-2</v>
      </c>
      <c r="I52" s="150" t="s">
        <v>471</v>
      </c>
      <c r="J52" s="124"/>
      <c r="K52" s="125"/>
      <c r="L52" s="556" t="s">
        <v>470</v>
      </c>
      <c r="M52" s="508"/>
      <c r="N52" s="149">
        <v>4</v>
      </c>
      <c r="O52" s="149">
        <v>-1</v>
      </c>
      <c r="P52" s="150" t="s">
        <v>366</v>
      </c>
      <c r="Q52" s="114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2:26" ht="27.75" customHeight="1">
      <c r="B53" s="519"/>
      <c r="C53" s="113"/>
      <c r="D53" s="556" t="s">
        <v>472</v>
      </c>
      <c r="E53" s="507"/>
      <c r="F53" s="508"/>
      <c r="G53" s="149">
        <v>6</v>
      </c>
      <c r="H53" s="151"/>
      <c r="I53" s="150" t="s">
        <v>473</v>
      </c>
      <c r="J53" s="124"/>
      <c r="K53" s="125"/>
      <c r="L53" s="556" t="s">
        <v>474</v>
      </c>
      <c r="M53" s="508"/>
      <c r="N53" s="149">
        <v>3</v>
      </c>
      <c r="O53" s="151"/>
      <c r="P53" s="150">
        <v>3</v>
      </c>
      <c r="Q53" s="114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2:26" ht="15.6">
      <c r="B54" s="519"/>
      <c r="C54" s="113"/>
      <c r="D54" s="556" t="s">
        <v>475</v>
      </c>
      <c r="E54" s="507"/>
      <c r="F54" s="508"/>
      <c r="G54" s="149">
        <v>5</v>
      </c>
      <c r="H54" s="149" t="s">
        <v>476</v>
      </c>
      <c r="I54" s="150" t="s">
        <v>477</v>
      </c>
      <c r="J54" s="124"/>
      <c r="K54" s="125"/>
      <c r="L54" s="556" t="s">
        <v>478</v>
      </c>
      <c r="M54" s="508"/>
      <c r="N54" s="149">
        <v>4</v>
      </c>
      <c r="O54" s="149" t="s">
        <v>479</v>
      </c>
      <c r="P54" s="150" t="s">
        <v>368</v>
      </c>
      <c r="Q54" s="114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2:26" ht="15.6">
      <c r="B55" s="519"/>
      <c r="C55" s="113"/>
      <c r="D55" s="556" t="s">
        <v>480</v>
      </c>
      <c r="E55" s="507"/>
      <c r="F55" s="508"/>
      <c r="G55" s="149">
        <v>5</v>
      </c>
      <c r="H55" s="149" t="s">
        <v>481</v>
      </c>
      <c r="I55" s="150" t="s">
        <v>482</v>
      </c>
      <c r="J55" s="124"/>
      <c r="K55" s="125"/>
      <c r="L55" s="556" t="s">
        <v>483</v>
      </c>
      <c r="M55" s="508"/>
      <c r="N55" s="149">
        <v>3</v>
      </c>
      <c r="O55" s="149" t="s">
        <v>479</v>
      </c>
      <c r="P55" s="150" t="s">
        <v>369</v>
      </c>
      <c r="Q55" s="114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2:26" ht="15.6">
      <c r="B56" s="519"/>
      <c r="C56" s="113"/>
      <c r="D56" s="556" t="s">
        <v>484</v>
      </c>
      <c r="E56" s="507"/>
      <c r="F56" s="508"/>
      <c r="G56" s="149">
        <v>5</v>
      </c>
      <c r="H56" s="149" t="s">
        <v>481</v>
      </c>
      <c r="I56" s="150" t="s">
        <v>482</v>
      </c>
      <c r="J56" s="124"/>
      <c r="K56" s="125"/>
      <c r="L56" s="556" t="s">
        <v>395</v>
      </c>
      <c r="M56" s="508"/>
      <c r="N56" s="554" t="s">
        <v>485</v>
      </c>
      <c r="O56" s="507"/>
      <c r="P56" s="507"/>
      <c r="Q56" s="114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2:26" ht="15.6">
      <c r="B57" s="519"/>
      <c r="C57" s="113"/>
      <c r="D57" s="556" t="s">
        <v>393</v>
      </c>
      <c r="E57" s="507"/>
      <c r="F57" s="508"/>
      <c r="G57" s="554" t="s">
        <v>485</v>
      </c>
      <c r="H57" s="507"/>
      <c r="I57" s="507"/>
      <c r="J57" s="124"/>
      <c r="K57" s="125"/>
      <c r="L57" s="152"/>
      <c r="M57" s="142"/>
      <c r="N57" s="142"/>
      <c r="O57" s="142"/>
      <c r="P57" s="142"/>
      <c r="Q57" s="114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2:26" ht="15.6">
      <c r="B58" s="519"/>
      <c r="C58" s="113"/>
      <c r="D58" s="142"/>
      <c r="E58" s="142"/>
      <c r="F58" s="142"/>
      <c r="G58" s="142"/>
      <c r="H58" s="142"/>
      <c r="I58" s="142"/>
      <c r="J58" s="114"/>
      <c r="K58" s="115"/>
      <c r="L58" s="142"/>
      <c r="M58" s="142"/>
      <c r="N58" s="142"/>
      <c r="O58" s="142"/>
      <c r="P58" s="142"/>
      <c r="Q58" s="114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2:26" ht="33.75" customHeight="1">
      <c r="B59" s="519"/>
      <c r="C59" s="113"/>
      <c r="D59" s="559" t="s">
        <v>486</v>
      </c>
      <c r="E59" s="544"/>
      <c r="F59" s="544"/>
      <c r="G59" s="544"/>
      <c r="H59" s="544"/>
      <c r="I59" s="544"/>
      <c r="J59" s="114"/>
      <c r="K59" s="115"/>
      <c r="L59" s="559" t="s">
        <v>487</v>
      </c>
      <c r="M59" s="559"/>
      <c r="N59" s="559"/>
      <c r="O59" s="559"/>
      <c r="P59" s="559"/>
      <c r="Q59" s="114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2:26" ht="5.25" customHeight="1" thickBot="1">
      <c r="B60" s="520"/>
      <c r="C60" s="116"/>
      <c r="D60" s="117"/>
      <c r="E60" s="117"/>
      <c r="F60" s="117"/>
      <c r="G60" s="117"/>
      <c r="H60" s="117"/>
      <c r="I60" s="117"/>
      <c r="J60" s="118"/>
      <c r="K60" s="119"/>
      <c r="L60" s="117"/>
      <c r="M60" s="117"/>
      <c r="N60" s="117"/>
      <c r="O60" s="117"/>
      <c r="P60" s="117"/>
      <c r="Q60" s="118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2:26" ht="5.25" customHeight="1">
      <c r="B61" s="561" t="s">
        <v>488</v>
      </c>
      <c r="C61" s="113"/>
      <c r="D61" s="142"/>
      <c r="E61" s="142"/>
      <c r="F61" s="142"/>
      <c r="G61" s="142"/>
      <c r="H61" s="142"/>
      <c r="I61" s="142"/>
      <c r="J61" s="142"/>
      <c r="K61" s="112"/>
      <c r="L61" s="110"/>
      <c r="M61" s="110"/>
      <c r="N61" s="110"/>
      <c r="O61" s="110"/>
      <c r="P61" s="110"/>
      <c r="Q61" s="111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2:26" ht="15.6">
      <c r="B62" s="562"/>
      <c r="C62" s="113"/>
      <c r="D62" s="142"/>
      <c r="E62" s="142"/>
      <c r="F62" s="142"/>
      <c r="G62" s="142"/>
      <c r="H62" s="142"/>
      <c r="I62" s="142"/>
      <c r="J62" s="142"/>
      <c r="K62" s="115"/>
      <c r="L62" s="142" t="s">
        <v>489</v>
      </c>
      <c r="M62" s="142"/>
      <c r="N62" s="142"/>
      <c r="O62" s="142"/>
      <c r="P62" s="142"/>
      <c r="Q62" s="114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2:26" ht="15.6">
      <c r="B63" s="562"/>
      <c r="C63" s="113"/>
      <c r="D63" s="142"/>
      <c r="E63" s="142"/>
      <c r="F63" s="142"/>
      <c r="G63" s="142"/>
      <c r="H63" s="142"/>
      <c r="I63" s="142"/>
      <c r="J63" s="142"/>
      <c r="K63" s="115"/>
      <c r="L63" s="142" t="s">
        <v>490</v>
      </c>
      <c r="M63" s="142"/>
      <c r="N63" s="142"/>
      <c r="O63" s="142"/>
      <c r="P63" s="142"/>
      <c r="Q63" s="114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2:26" ht="15.6">
      <c r="B64" s="562"/>
      <c r="C64" s="113"/>
      <c r="D64" s="142"/>
      <c r="E64" s="142"/>
      <c r="F64" s="142"/>
      <c r="G64" s="142"/>
      <c r="H64" s="142"/>
      <c r="I64" s="142"/>
      <c r="J64" s="142"/>
      <c r="K64" s="115"/>
      <c r="L64" s="563" t="s">
        <v>372</v>
      </c>
      <c r="M64" s="564" t="s">
        <v>491</v>
      </c>
      <c r="N64" s="508"/>
      <c r="O64" s="564" t="s">
        <v>492</v>
      </c>
      <c r="P64" s="507"/>
      <c r="Q64" s="114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2:26" ht="15.6">
      <c r="B65" s="562"/>
      <c r="C65" s="113"/>
      <c r="D65" s="142"/>
      <c r="E65" s="142"/>
      <c r="F65" s="142"/>
      <c r="G65" s="142"/>
      <c r="H65" s="142"/>
      <c r="I65" s="142"/>
      <c r="J65" s="142"/>
      <c r="K65" s="115"/>
      <c r="L65" s="524"/>
      <c r="M65" s="145" t="s">
        <v>0</v>
      </c>
      <c r="N65" s="145" t="s">
        <v>493</v>
      </c>
      <c r="O65" s="145" t="s">
        <v>0</v>
      </c>
      <c r="P65" s="153" t="s">
        <v>493</v>
      </c>
      <c r="Q65" s="114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2:26" ht="15.6">
      <c r="B66" s="562"/>
      <c r="C66" s="113"/>
      <c r="D66" s="142"/>
      <c r="E66" s="142"/>
      <c r="F66" s="142"/>
      <c r="G66" s="142"/>
      <c r="H66" s="142"/>
      <c r="I66" s="142"/>
      <c r="J66" s="142"/>
      <c r="K66" s="115"/>
      <c r="L66" s="154" t="s">
        <v>199</v>
      </c>
      <c r="M66" s="155">
        <v>2</v>
      </c>
      <c r="N66" s="155">
        <v>2</v>
      </c>
      <c r="O66" s="155">
        <v>4</v>
      </c>
      <c r="P66" s="144">
        <v>0</v>
      </c>
      <c r="Q66" s="114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2:26" ht="15.6">
      <c r="B67" s="562"/>
      <c r="C67" s="113"/>
      <c r="D67" s="142"/>
      <c r="E67" s="142"/>
      <c r="F67" s="142"/>
      <c r="G67" s="142"/>
      <c r="H67" s="142"/>
      <c r="I67" s="142"/>
      <c r="J67" s="142"/>
      <c r="K67" s="115"/>
      <c r="L67" s="154" t="s">
        <v>213</v>
      </c>
      <c r="M67" s="155">
        <v>2</v>
      </c>
      <c r="N67" s="155">
        <v>2</v>
      </c>
      <c r="O67" s="155">
        <v>0</v>
      </c>
      <c r="P67" s="144">
        <v>4</v>
      </c>
      <c r="Q67" s="114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2:26" ht="15.6">
      <c r="B68" s="562"/>
      <c r="C68" s="113"/>
      <c r="D68" s="142"/>
      <c r="E68" s="142"/>
      <c r="F68" s="142"/>
      <c r="G68" s="142"/>
      <c r="H68" s="142"/>
      <c r="I68" s="142"/>
      <c r="J68" s="142"/>
      <c r="K68" s="115"/>
      <c r="L68" s="154" t="s">
        <v>202</v>
      </c>
      <c r="M68" s="155">
        <v>2</v>
      </c>
      <c r="N68" s="155">
        <v>2</v>
      </c>
      <c r="O68" s="155">
        <v>4</v>
      </c>
      <c r="P68" s="144">
        <v>0</v>
      </c>
      <c r="Q68" s="114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2:26" ht="15.6">
      <c r="B69" s="562"/>
      <c r="C69" s="113"/>
      <c r="D69" s="142"/>
      <c r="E69" s="142"/>
      <c r="F69" s="142"/>
      <c r="G69" s="142"/>
      <c r="H69" s="142"/>
      <c r="I69" s="142"/>
      <c r="J69" s="142"/>
      <c r="K69" s="115"/>
      <c r="L69" s="142" t="s">
        <v>494</v>
      </c>
      <c r="M69" s="142"/>
      <c r="N69" s="142"/>
      <c r="O69" s="142"/>
      <c r="P69" s="142"/>
      <c r="Q69" s="114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2:26" ht="15.6">
      <c r="B70" s="562"/>
      <c r="C70" s="113"/>
      <c r="D70" s="142"/>
      <c r="E70" s="142"/>
      <c r="F70" s="142"/>
      <c r="G70" s="142"/>
      <c r="H70" s="142"/>
      <c r="I70" s="142"/>
      <c r="J70" s="142"/>
      <c r="K70" s="115"/>
      <c r="L70" s="563" t="s">
        <v>372</v>
      </c>
      <c r="M70" s="564" t="s">
        <v>491</v>
      </c>
      <c r="N70" s="508"/>
      <c r="O70" s="564" t="s">
        <v>492</v>
      </c>
      <c r="P70" s="507"/>
      <c r="Q70" s="114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2:26" ht="15.6">
      <c r="B71" s="562"/>
      <c r="C71" s="113"/>
      <c r="D71" s="142"/>
      <c r="E71" s="142"/>
      <c r="F71" s="142"/>
      <c r="G71" s="142"/>
      <c r="H71" s="142"/>
      <c r="I71" s="142"/>
      <c r="J71" s="142"/>
      <c r="K71" s="115"/>
      <c r="L71" s="524"/>
      <c r="M71" s="145" t="s">
        <v>0</v>
      </c>
      <c r="N71" s="145" t="s">
        <v>493</v>
      </c>
      <c r="O71" s="145" t="s">
        <v>0</v>
      </c>
      <c r="P71" s="153" t="s">
        <v>493</v>
      </c>
      <c r="Q71" s="114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2:26" ht="15.6">
      <c r="B72" s="562"/>
      <c r="C72" s="113"/>
      <c r="D72" s="142"/>
      <c r="E72" s="142"/>
      <c r="F72" s="142"/>
      <c r="G72" s="142"/>
      <c r="H72" s="142"/>
      <c r="I72" s="142"/>
      <c r="J72" s="142"/>
      <c r="K72" s="115"/>
      <c r="L72" s="154" t="s">
        <v>458</v>
      </c>
      <c r="M72" s="155">
        <v>1</v>
      </c>
      <c r="N72" s="155">
        <v>1</v>
      </c>
      <c r="O72" s="155">
        <v>2</v>
      </c>
      <c r="P72" s="144">
        <v>0</v>
      </c>
      <c r="Q72" s="114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2:26" ht="15.6">
      <c r="B73" s="562"/>
      <c r="C73" s="113"/>
      <c r="D73" s="142"/>
      <c r="E73" s="142"/>
      <c r="F73" s="142"/>
      <c r="G73" s="142"/>
      <c r="H73" s="142"/>
      <c r="I73" s="142"/>
      <c r="J73" s="142"/>
      <c r="K73" s="115"/>
      <c r="L73" s="154" t="s">
        <v>462</v>
      </c>
      <c r="M73" s="155">
        <v>2</v>
      </c>
      <c r="N73" s="155">
        <v>2</v>
      </c>
      <c r="O73" s="155">
        <v>0</v>
      </c>
      <c r="P73" s="144">
        <v>4</v>
      </c>
      <c r="Q73" s="114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2:26" ht="15.6">
      <c r="B74" s="562"/>
      <c r="C74" s="113"/>
      <c r="D74" s="142"/>
      <c r="E74" s="142"/>
      <c r="F74" s="142"/>
      <c r="G74" s="142"/>
      <c r="H74" s="142"/>
      <c r="I74" s="142"/>
      <c r="J74" s="142"/>
      <c r="K74" s="115"/>
      <c r="L74" s="565" t="s">
        <v>495</v>
      </c>
      <c r="M74" s="558" t="s">
        <v>496</v>
      </c>
      <c r="N74" s="558" t="s">
        <v>496</v>
      </c>
      <c r="O74" s="156">
        <v>8</v>
      </c>
      <c r="P74" s="157">
        <v>0</v>
      </c>
      <c r="Q74" s="114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2:26" ht="15.6">
      <c r="B75" s="562"/>
      <c r="C75" s="113"/>
      <c r="D75" s="142"/>
      <c r="E75" s="142"/>
      <c r="F75" s="142"/>
      <c r="G75" s="142"/>
      <c r="H75" s="142"/>
      <c r="I75" s="142"/>
      <c r="J75" s="142"/>
      <c r="K75" s="115"/>
      <c r="L75" s="566"/>
      <c r="M75" s="534"/>
      <c r="N75" s="534"/>
      <c r="O75" s="156">
        <v>4</v>
      </c>
      <c r="P75" s="157">
        <v>4</v>
      </c>
      <c r="Q75" s="114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2:26" ht="33.75" customHeight="1">
      <c r="B76" s="562"/>
      <c r="C76" s="113"/>
      <c r="D76" s="142"/>
      <c r="E76" s="142"/>
      <c r="F76" s="142"/>
      <c r="G76" s="142"/>
      <c r="H76" s="142"/>
      <c r="I76" s="142"/>
      <c r="J76" s="142"/>
      <c r="K76" s="115"/>
      <c r="L76" s="559" t="s">
        <v>497</v>
      </c>
      <c r="M76" s="544"/>
      <c r="N76" s="544"/>
      <c r="O76" s="544"/>
      <c r="P76" s="544"/>
      <c r="Q76" s="114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2:26" ht="5.25" customHeight="1">
      <c r="B77" s="562"/>
      <c r="C77" s="158"/>
      <c r="D77" s="159"/>
      <c r="E77" s="159"/>
      <c r="F77" s="159"/>
      <c r="G77" s="159"/>
      <c r="H77" s="159"/>
      <c r="I77" s="159"/>
      <c r="J77" s="159"/>
      <c r="K77" s="160"/>
      <c r="L77" s="159"/>
      <c r="M77" s="159"/>
      <c r="N77" s="159"/>
      <c r="O77" s="159"/>
      <c r="P77" s="159"/>
      <c r="Q77" s="161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2:26" ht="5.25" customHeight="1">
      <c r="B78" s="560" t="s">
        <v>498</v>
      </c>
      <c r="C78" s="162"/>
      <c r="D78" s="163"/>
      <c r="E78" s="163"/>
      <c r="F78" s="163"/>
      <c r="G78" s="163"/>
      <c r="H78" s="163"/>
      <c r="I78" s="163"/>
      <c r="J78" s="163"/>
      <c r="K78" s="164"/>
      <c r="L78" s="163"/>
      <c r="M78" s="163"/>
      <c r="N78" s="163"/>
      <c r="O78" s="163"/>
      <c r="P78" s="163"/>
      <c r="Q78" s="165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2:26" ht="15.6">
      <c r="B79" s="519"/>
      <c r="C79" s="113"/>
      <c r="D79" s="142" t="s">
        <v>499</v>
      </c>
      <c r="E79" s="142"/>
      <c r="F79" s="142"/>
      <c r="G79" s="142"/>
      <c r="H79" s="142"/>
      <c r="I79" s="142"/>
      <c r="J79" s="142"/>
      <c r="K79" s="115"/>
      <c r="L79" s="142" t="s">
        <v>500</v>
      </c>
      <c r="M79" s="142"/>
      <c r="N79" s="142"/>
      <c r="O79" s="142"/>
      <c r="P79" s="142"/>
      <c r="Q79" s="114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2:26" ht="15.6">
      <c r="B80" s="519"/>
      <c r="C80" s="113"/>
      <c r="D80" s="142"/>
      <c r="E80" s="142"/>
      <c r="F80" s="142"/>
      <c r="G80" s="142"/>
      <c r="H80" s="142"/>
      <c r="I80" s="142"/>
      <c r="J80" s="142"/>
      <c r="K80" s="115"/>
      <c r="L80" s="142" t="s">
        <v>501</v>
      </c>
      <c r="M80" s="142"/>
      <c r="N80" s="142"/>
      <c r="O80" s="142"/>
      <c r="P80" s="142"/>
      <c r="Q80" s="114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2:26" ht="5.25" customHeight="1" thickBot="1">
      <c r="B81" s="520"/>
      <c r="C81" s="116"/>
      <c r="D81" s="117"/>
      <c r="E81" s="117"/>
      <c r="F81" s="117"/>
      <c r="G81" s="117"/>
      <c r="H81" s="117"/>
      <c r="I81" s="117"/>
      <c r="J81" s="117"/>
      <c r="K81" s="119"/>
      <c r="L81" s="117"/>
      <c r="M81" s="117"/>
      <c r="N81" s="117"/>
      <c r="O81" s="117"/>
      <c r="P81" s="117"/>
      <c r="Q81" s="118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2:26" ht="4.5" customHeight="1"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2:26" ht="15.6" hidden="1"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2:26" ht="15.6" hidden="1"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2:26" ht="15.6" hidden="1"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2:26" ht="15.6" hidden="1"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2:26" ht="15.6" hidden="1"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2:26" ht="15.6" hidden="1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2:26" ht="15.6" hidden="1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2:26" ht="15.6" hidden="1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2:26" ht="15.6" hidden="1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2:26" ht="15.6" hidden="1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2:26" ht="15.6" hidden="1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2:26" ht="15.6" hidden="1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2:26" ht="15.6" hidden="1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2:26" ht="15.6" hidden="1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2:26" ht="15.6" hidden="1"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2:26" ht="15.6" hidden="1"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2:26" ht="15.6" hidden="1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2:26" ht="15.6" hidden="1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2:26" ht="15.6" hidden="1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2:26" ht="15.6" hidden="1"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2:26" ht="15.6" hidden="1"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2:26" ht="15.6" hidden="1"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2:26" ht="15.6" hidden="1"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2:26" ht="15.6" hidden="1"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2:26" ht="15.6" hidden="1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2:26" ht="15.6" hidden="1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2:26" ht="15.6" hidden="1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2:26" ht="15.6" hidden="1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2:26" ht="15.6" hidden="1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2:26" ht="15.6" hidden="1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2:26" ht="15.6" hidden="1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2:26" ht="15.6" hidden="1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2:26" ht="15.6" hidden="1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2:26" ht="15.6" hidden="1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2:26" ht="15.6" hidden="1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2:26" ht="15.6" hidden="1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2:26" ht="15.6" hidden="1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2:26" ht="15.6" hidden="1"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2:26" ht="15.6" hidden="1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2:26" ht="15.6" hidden="1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2:26" ht="15.6" hidden="1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2:26" ht="15.6" hidden="1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2:26" ht="15.6" hidden="1"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2:26" ht="15.6" hidden="1"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2:26" ht="15.6" hidden="1"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2:26" ht="15.6" hidden="1"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2:26" ht="15.6" hidden="1"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2:26" ht="15.6" hidden="1"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2:26" ht="15.6" hidden="1"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2:26" ht="15.6" hidden="1"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2:26" ht="15.6" hidden="1"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2:26" ht="15.6" hidden="1"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2:26" ht="15.6" hidden="1"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2:26" ht="15.6" hidden="1"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2:26" ht="15.6" hidden="1"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2:26" ht="15.6" hidden="1"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2:26" ht="15.6" hidden="1"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2:26" ht="15.6" hidden="1"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2:26" ht="15.6" hidden="1"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2:26" ht="15.6" hidden="1"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2:26" ht="15.6" hidden="1"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2:26" ht="15.6" hidden="1"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2:26" ht="15.6" hidden="1"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2:26" ht="15.6" hidden="1"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2:26" ht="15.6" hidden="1"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2:26" ht="15.6" hidden="1"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2:26" ht="15.6" hidden="1"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2:26" ht="15.6" hidden="1"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2:26" ht="15.6" hidden="1"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2:26" ht="15.6" hidden="1"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2:26" ht="15.6" hidden="1"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2:26" ht="15.6" hidden="1"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2:26" ht="15.6" hidden="1"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2:26" ht="15.6" hidden="1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2:26" ht="15.6" hidden="1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2:26" ht="15.6" hidden="1"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2:26" ht="15.6" hidden="1"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2:26" ht="15.6" hidden="1"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2:26" ht="15.6" hidden="1"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2:26" ht="15.6" hidden="1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2:26" ht="15.6" hidden="1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2:26" ht="15.6" hidden="1"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2:26" ht="15.6" hidden="1"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2:26" ht="15.6" hidden="1"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2:26" ht="15.6" hidden="1"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2:26" ht="15.6" hidden="1"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2:26" ht="15.6" hidden="1"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2:26" ht="15.6" hidden="1"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2:26" ht="15.6" hidden="1"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2:26" ht="15.6" hidden="1"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2:26" ht="15.6" hidden="1"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2:26" ht="15.6" hidden="1"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2:26" ht="15.6" hidden="1"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2:26" ht="15.6" hidden="1"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2:26" ht="15.6" hidden="1"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2:26" ht="15.6" hidden="1"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2:26" ht="15.6" hidden="1"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2:26" ht="15.6" hidden="1"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2:26" ht="15.6" hidden="1"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2:26" ht="15.6" hidden="1"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2:26" ht="15.6" hidden="1"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2:26" ht="15.6" hidden="1"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2:26" ht="15.6" hidden="1"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2:26" ht="15.6" hidden="1"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2:26" ht="15.6" hidden="1"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2:26" ht="15.6" hidden="1"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2:26" ht="15.6" hidden="1"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2:26" ht="15.6" hidden="1"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2:26" ht="15.6" hidden="1"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2:26" ht="15.6" hidden="1"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2:26" ht="15.6" hidden="1"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2:26" ht="15.6" hidden="1"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2:26" ht="15.6" hidden="1"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2:26" ht="15.6" hidden="1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2:26" ht="15.6" hidden="1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2:26" ht="15.6" hidden="1"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2:26" ht="15.6" hidden="1"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2:26" ht="15.6" hidden="1"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2:26" ht="15.6" hidden="1"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2:26" ht="15.6" hidden="1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2:26" ht="15.6" hidden="1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2:26" ht="15.6" hidden="1"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2:26" ht="15.6" hidden="1"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2:26" ht="15.6" hidden="1"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2:26" ht="15.6" hidden="1"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2:26" ht="15.6" hidden="1"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2:26" ht="15.6" hidden="1"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2:26" ht="15.6" hidden="1"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2:26" ht="15.6" hidden="1"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2:26" ht="15.6" hidden="1"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2:26" ht="15.6" hidden="1"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2:26" ht="15.6" hidden="1"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2:26" ht="15.6" hidden="1"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2:26" ht="15.6" hidden="1"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2:26" ht="15.6" hidden="1"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2:26" ht="15.6" hidden="1"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2:26" ht="15.6" hidden="1"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2:26" ht="15.6" hidden="1"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2:26" ht="15.6" hidden="1"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2:26" ht="15.6" hidden="1"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2:26" ht="15.6" hidden="1"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2:26" ht="15.6" hidden="1"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2:26" ht="15.6" hidden="1"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2:26" ht="15.6" hidden="1"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2:26" ht="15.6" hidden="1"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2:26" ht="15.6" hidden="1"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2:26" ht="15.6" hidden="1"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2:26" ht="15.6" hidden="1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2:26" ht="15.6" hidden="1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2:26" ht="15.6" hidden="1"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2:26" ht="15.6" hidden="1"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2:26" ht="15.6" hidden="1"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2:26" ht="15.6" hidden="1"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2:26" ht="15.6" hidden="1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2:26" ht="15.6" hidden="1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2:26" ht="15.6" hidden="1"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2:26" ht="15.6" hidden="1"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2:26" ht="15.6" hidden="1"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2:26" ht="15.6" hidden="1"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2:26" ht="15.6" hidden="1"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2:26" ht="15.6" hidden="1"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2:26" ht="15.6" hidden="1"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2:26" ht="15.6" hidden="1"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2:26" ht="15.6" hidden="1"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2:26" ht="15.6" hidden="1"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2:26" ht="15.6" hidden="1"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2:26" ht="15.6" hidden="1"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2:26" ht="15.6" hidden="1"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2:26" ht="15.6" hidden="1"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2:26" ht="15.6" hidden="1"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2:26" ht="15.6" hidden="1"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2:26" ht="15.6" hidden="1"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2:26" ht="15.6" hidden="1"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2:26" ht="15.6" hidden="1"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2:26" ht="15.6" hidden="1"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2:26" ht="15.6" hidden="1"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2:26" ht="15.6" hidden="1"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2:26" ht="15.6" hidden="1"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2:26" ht="15.6" hidden="1"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2:26" ht="15.6" hidden="1"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2:26" ht="15.6" hidden="1"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2:26" ht="15.6" hidden="1"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2:26" ht="15.6" hidden="1"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2:26" ht="15.6" hidden="1"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2:26" ht="15.6" hidden="1"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2:26" ht="15.6" hidden="1"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2:26" ht="15.6" hidden="1"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2:26" ht="15.6" hidden="1"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2:26" ht="15.6" hidden="1"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2:26" ht="15.6" hidden="1"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2:26" ht="15.6" hidden="1"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2:26" ht="15.6" hidden="1"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2:26" ht="15.6" hidden="1"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2:26" ht="15.6" hidden="1"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2:26" ht="15.6" hidden="1"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2:26" ht="15.6" hidden="1"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2:26" ht="15.6" hidden="1"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2:26" ht="15.6" hidden="1"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2:26" ht="15.6" hidden="1"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2:26" ht="15.6" hidden="1"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2:26" ht="15.6" hidden="1"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2:26" ht="15.6" hidden="1"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2:26" ht="15.6" hidden="1"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2:26" ht="15.6" hidden="1"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2:26" ht="15.6" hidden="1"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2:26" ht="15.6" hidden="1"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2:26" ht="15.6" hidden="1"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2:26" ht="15.6" hidden="1"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2:26" ht="15.6" hidden="1"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2:26" ht="15.6" hidden="1"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2:26" ht="15.6" hidden="1"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2:26" ht="15.6" hidden="1"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2:26" ht="15.6" hidden="1"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2:26" ht="15.6" hidden="1"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2:26" ht="15.6" hidden="1"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2:26" ht="15.6" hidden="1"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2:26" ht="15.6" hidden="1"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2:26" ht="15.6" hidden="1"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2:26" ht="15.6" hidden="1"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2:26" ht="15.6" hidden="1"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2:26" ht="15.6" hidden="1"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2:26" ht="15.6" hidden="1"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2:26" ht="15.6" hidden="1"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2:26" ht="15.6" hidden="1"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2:26" ht="15.6" hidden="1"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2:26" ht="15.6" hidden="1"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2:26" ht="15.6" hidden="1"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2:26" ht="15.6" hidden="1"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2:26" ht="15.6" hidden="1"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2:26" ht="15.6" hidden="1"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2:26" ht="15.6" hidden="1"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2:26" ht="15.6" hidden="1"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2:26" ht="15.6" hidden="1"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2:26" ht="15.6" hidden="1"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2:26" ht="15.6" hidden="1"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2:26" ht="15.6" hidden="1"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2:26" ht="15.6" hidden="1"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2:26" ht="15.6" hidden="1"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2:26" ht="15.6" hidden="1"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2:26" ht="15.6" hidden="1"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2:26" ht="15.6" hidden="1"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2:26" ht="15.6" hidden="1"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2:26" ht="15.6" hidden="1"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2:26" ht="15.6" hidden="1"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2:26" ht="15.6" hidden="1"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2:26" ht="15.6" hidden="1"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2:26" ht="15.6" hidden="1"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2:26" ht="15.6" hidden="1"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2:26" ht="15.6" hidden="1"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2:26" ht="15.6" hidden="1"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2:26" ht="15.6" hidden="1"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2:26" ht="15.6" hidden="1"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2:26" ht="15.6" hidden="1"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2:26" ht="15.6" hidden="1"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2:26" ht="15.6" hidden="1"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2:26" ht="15.6" hidden="1"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2:26" ht="15.6" hidden="1"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2:26" ht="15.6" hidden="1"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2:26" ht="15.6" hidden="1"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2:26" ht="15.6" hidden="1"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2:26" ht="15.6" hidden="1"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2:26" ht="15.6" hidden="1"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2:26" ht="15.6" hidden="1"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2:26" ht="15.6" hidden="1"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2:26" ht="15.6" hidden="1"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2:26" ht="15.6" hidden="1"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2:26" ht="15.6" hidden="1"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2:26" ht="15.6" hidden="1"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2:26" ht="15.6" hidden="1"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2:26" ht="15.6" hidden="1"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2:26" ht="15.6" hidden="1"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2:26" ht="15.6" hidden="1"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2:26" ht="15.6" hidden="1"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2:26" ht="15.6" hidden="1"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2:26" ht="15.6" hidden="1"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2:26" ht="15.6" hidden="1"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2:26" ht="15.6" hidden="1"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2:26" ht="15.6" hidden="1"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2:26" ht="15.6" hidden="1"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2:26" ht="15.6" hidden="1"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2:26" ht="15.6" hidden="1"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2:26" ht="15.6" hidden="1"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2:26" ht="15.6" hidden="1"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2:26" ht="15.6" hidden="1"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2:26" ht="15.6" hidden="1"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2:26" ht="15.6" hidden="1"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2:26" ht="15.6" hidden="1"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2:26" ht="15.6" hidden="1"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2:26" ht="15.6" hidden="1"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2:26" ht="15.6" hidden="1"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2:26" ht="15.6" hidden="1"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2:26" ht="15.6" hidden="1"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2:26" ht="15.6" hidden="1"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2:26" ht="15.6" hidden="1"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2:26" ht="15.6" hidden="1"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2:26" ht="15.6" hidden="1"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2:26" ht="15.6" hidden="1"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2:26" ht="15.6" hidden="1"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2:26" ht="15.6" hidden="1"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2:26" ht="15.6" hidden="1"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2:26" ht="15.6" hidden="1"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2:26" ht="15.6" hidden="1"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2:26" ht="15.6" hidden="1"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2:26" ht="15.6" hidden="1"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2:26" ht="15.6" hidden="1"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2:26" ht="15.6" hidden="1"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2:26" ht="15.6" hidden="1"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2:26" ht="15.6" hidden="1"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2:26" ht="15.6" hidden="1"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2:26" ht="15.6" hidden="1"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2:26" ht="15.6" hidden="1"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2:26" ht="15.6" hidden="1"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2:26" ht="15.6" hidden="1"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2:26" ht="15.6" hidden="1"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2:26" ht="15.6" hidden="1"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2:26" ht="15.6" hidden="1"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2:26" ht="15.6" hidden="1"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2:26" ht="15.6" hidden="1"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2:26" ht="15.6" hidden="1"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2:26" ht="15.6" hidden="1"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2:26" ht="15.6" hidden="1"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2:26" ht="15.6" hidden="1"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2:26" ht="15.6" hidden="1"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2:26" ht="15.6" hidden="1"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2:26" ht="15.6" hidden="1"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2:26" ht="15.6" hidden="1"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2:26" ht="15.6" hidden="1"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2:26" ht="15.6" hidden="1"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2:26" ht="15.6" hidden="1"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2:26" ht="15.6" hidden="1"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2:26" ht="15.6" hidden="1"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2:26" ht="15.6" hidden="1"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2:26" ht="15.6" hidden="1"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2:26" ht="15.6" hidden="1"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2:26" ht="15.6" hidden="1"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2:26" ht="15.6" hidden="1"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2:26" ht="15.6" hidden="1"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2:26" ht="15.6" hidden="1"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2:26" ht="15.6" hidden="1"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2:26" ht="15.6" hidden="1"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2:26" ht="15.6" hidden="1"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2:26" ht="15.6" hidden="1"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2:26" ht="15.6" hidden="1"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2:26" ht="15.6" hidden="1"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2:26" ht="15.6" hidden="1"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2:26" ht="15.6" hidden="1"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2:26" ht="15.6" hidden="1"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2:26" ht="15.6" hidden="1"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2:26" ht="15.6" hidden="1"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2:26" ht="15.6" hidden="1"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2:26" ht="15.6" hidden="1"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2:26" ht="15.6" hidden="1"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2:26" ht="15.6" hidden="1"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2:26" ht="15.6" hidden="1"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2:26" ht="15.6" hidden="1"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2:26" ht="15.6" hidden="1"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2:26" ht="15.6" hidden="1"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2:26" ht="15.6" hidden="1"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2:26" ht="15.6" hidden="1"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2:26" ht="15.6" hidden="1"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2:26" ht="15.6" hidden="1"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2:26" ht="15.6" hidden="1"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2:26" ht="15.6" hidden="1"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2:26" ht="15.6" hidden="1"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2:26" ht="15.6" hidden="1"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2:26" ht="15.6" hidden="1"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2:26" ht="15.6" hidden="1"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2:26" ht="15.6" hidden="1"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2:26" ht="15.6" hidden="1"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2:26" ht="15.6" hidden="1"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2:26" ht="15.6" hidden="1"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2:26" ht="15.6" hidden="1"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2:26" ht="15.6" hidden="1"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2:26" ht="15.6" hidden="1"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2:26" ht="15.6" hidden="1"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2:26" ht="15.6" hidden="1"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2:26" ht="15.6" hidden="1"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2:26" ht="15.6" hidden="1"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2:26" ht="15.6" hidden="1"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2:26" ht="15.6" hidden="1"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2:26" ht="15.6" hidden="1"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2:26" ht="15.6" hidden="1"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2:26" ht="15.6" hidden="1"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2:26" ht="15.6" hidden="1"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2:26" ht="15.6" hidden="1"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2:26" ht="15.6" hidden="1"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2:26" ht="15.6" hidden="1"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2:26" ht="15.6" hidden="1"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2:26" ht="15.6" hidden="1"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2:26" ht="15.6" hidden="1"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2:26" ht="15.6" hidden="1"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2:26" ht="15.6" hidden="1"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2:26" ht="15.6" hidden="1"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2:26" ht="15.6" hidden="1"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2:26" ht="15.6" hidden="1"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2:26" ht="15.6" hidden="1"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2:26" ht="15.6" hidden="1"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2:26" ht="15.6" hidden="1"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2:26" ht="15.6" hidden="1"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2:26" ht="15.6" hidden="1"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2:26" ht="15.6" hidden="1"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2:26" ht="15.6" hidden="1"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2:26" ht="15.6" hidden="1"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2:26" ht="15.6" hidden="1"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2:26" ht="15.6" hidden="1"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2:26" ht="15.6" hidden="1"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2:26" ht="15.6" hidden="1"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2:26" ht="15.6" hidden="1"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2:26" ht="15.6" hidden="1"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2:26" ht="15.6" hidden="1"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2:26" ht="15.6" hidden="1"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2:26" ht="15.6" hidden="1"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2:26" ht="15.6" hidden="1"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2:26" ht="15.6" hidden="1"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2:26" ht="15.6" hidden="1"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2:26" ht="15.6" hidden="1"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2:26" ht="15.6" hidden="1"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2:26" ht="15.6" hidden="1"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2:26" ht="15.6" hidden="1"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2:26" ht="15.6" hidden="1"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2:26" ht="15.6" hidden="1"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2:26" ht="15.6" hidden="1"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2:26" ht="15.6" hidden="1"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2:26" ht="15.6" hidden="1"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2:26" ht="15.6" hidden="1"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2:26" ht="15.6" hidden="1"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2:26" ht="15.6" hidden="1"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2:26" ht="15.6" hidden="1"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2:26" ht="15.6" hidden="1"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2:26" ht="15.6" hidden="1"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2:26" ht="15.6" hidden="1"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2:26" ht="15.6" hidden="1"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2:26" ht="15.6" hidden="1"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2:26" ht="15.6" hidden="1"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2:26" ht="15.6" hidden="1"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2:26" ht="15.6" hidden="1"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2:26" ht="15.6" hidden="1"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2:26" ht="15.6" hidden="1"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2:26" ht="15.6" hidden="1"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2:26" ht="15.6" hidden="1"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2:26" ht="15.6" hidden="1"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2:26" ht="15.6" hidden="1"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2:26" ht="15.6" hidden="1"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2:26" ht="15.6" hidden="1"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2:26" ht="15.6" hidden="1"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2:26" ht="15.6" hidden="1"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2:26" ht="15.6" hidden="1"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2:26" ht="15.6" hidden="1"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2:26" ht="15.6" hidden="1"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2:26" ht="15.6" hidden="1"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2:26" ht="15.6" hidden="1"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2:26" ht="15.6" hidden="1"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2:26" ht="15.6" hidden="1"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2:26" ht="15.6" hidden="1"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2:26" ht="15.6" hidden="1"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2:26" ht="15.6" hidden="1"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2:26" ht="15.6" hidden="1"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2:26" ht="15.6" hidden="1"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2:26" ht="15.6" hidden="1"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2:26" ht="15.6" hidden="1"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2:26" ht="15.6" hidden="1"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2:26" ht="15.6" hidden="1"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2:26" ht="15.6" hidden="1"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2:26" ht="15.6" hidden="1"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2:26" ht="15.6" hidden="1"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2:26" ht="15.6" hidden="1"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2:26" ht="15.6" hidden="1"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2:26" ht="15.6" hidden="1"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2:26" ht="15.6" hidden="1"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2:26" ht="15.6" hidden="1"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2:26" ht="15.6" hidden="1"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2:26" ht="15.6" hidden="1"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2:26" ht="15.6" hidden="1"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2:26" ht="15.6" hidden="1"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2:26" ht="15.6" hidden="1"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2:26" ht="15.6" hidden="1"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2:26" ht="15.6" hidden="1"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2:26" ht="15.6" hidden="1"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2:26" ht="15.6" hidden="1"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2:26" ht="15.6" hidden="1"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2:26" ht="15.6" hidden="1"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2:26" ht="15.6" hidden="1"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2:26" ht="15.6" hidden="1"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2:26" ht="15.6" hidden="1"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2:26" ht="15.6" hidden="1"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2:26" ht="15.6" hidden="1"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2:26" ht="15.6" hidden="1"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2:26" ht="15.6" hidden="1"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2:26" ht="15.6" hidden="1"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2:26" ht="15.6" hidden="1"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2:26" ht="15.6" hidden="1"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2:26" ht="15.6" hidden="1"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2:26" ht="15.6" hidden="1"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2:26" ht="15.6" hidden="1"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2:26" ht="15.6" hidden="1"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2:26" ht="15.6" hidden="1"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2:26" ht="15.6" hidden="1"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2:26" ht="15.6" hidden="1"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2:26" ht="15.6" hidden="1"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2:26" ht="15.6" hidden="1"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2:26" ht="15.6" hidden="1"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2:26" ht="15.6" hidden="1"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2:26" ht="15.6" hidden="1"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2:26" ht="15.6" hidden="1"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2:26" ht="15.6" hidden="1"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2:26" ht="15.6" hidden="1"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2:26" ht="15.6" hidden="1"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2:26" ht="15.6" hidden="1"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2:26" ht="15.6" hidden="1"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2:26" ht="15.6" hidden="1"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2:26" ht="15.6" hidden="1"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2:26" ht="15.6" hidden="1"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2:26" ht="15.6" hidden="1"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2:26" ht="15.6" hidden="1"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2:26" ht="15.6" hidden="1"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2:26" ht="15.6" hidden="1"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2:26" ht="15.6" hidden="1"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2:26" ht="15.6" hidden="1"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2:26" ht="15.6" hidden="1"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2:26" ht="15.6" hidden="1"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2:26" ht="15.6" hidden="1"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2:26" ht="15.6" hidden="1"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2:26" ht="15.6" hidden="1"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2:26" ht="15.6" hidden="1"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2:26" ht="15.6" hidden="1"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2:26" ht="15.6" hidden="1"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2:26" ht="15.6" hidden="1"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2:26" ht="15.6" hidden="1"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2:26" ht="15.6" hidden="1"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2:26" ht="15.6" hidden="1"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2:26" ht="15.6" hidden="1"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2:26" ht="15.6" hidden="1"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2:26" ht="15.6" hidden="1"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2:26" ht="15.6" hidden="1"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2:26" ht="15.6" hidden="1"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2:26" ht="15.6" hidden="1"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2:26" ht="15.6" hidden="1"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2:26" ht="15.6" hidden="1"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2:26" ht="15.6" hidden="1"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2:26" ht="15.6" hidden="1"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2:26" ht="15.6" hidden="1"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2:26" ht="15.6" hidden="1"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2:26" ht="15.6" hidden="1"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2:26" ht="15.6" hidden="1"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2:26" ht="15.6" hidden="1"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2:26" ht="15.6" hidden="1"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2:26" ht="15.6" hidden="1"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2:26" ht="15.6" hidden="1"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2:26" ht="15.6" hidden="1"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2:26" ht="15.6" hidden="1"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2:26" ht="15.6" hidden="1"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2:26" ht="15.6" hidden="1"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2:26" ht="15.6" hidden="1"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2:26" ht="15.6" hidden="1"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2:26" ht="15.6" hidden="1"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2:26" ht="15.6" hidden="1"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2:26" ht="15.6" hidden="1"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2:26" ht="15.6" hidden="1"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2:26" ht="15.6" hidden="1"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2:26" ht="15.6" hidden="1"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2:26" ht="15.6" hidden="1"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2:26" ht="15.6" hidden="1"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2:26" ht="15.6" hidden="1"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2:26" ht="15.6" hidden="1"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2:26" ht="15.6" hidden="1"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2:26" ht="15.6" hidden="1"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2:26" ht="15.6" hidden="1"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2:26" ht="15.6" hidden="1"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2:26" ht="15.6" hidden="1"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2:26" ht="15.6" hidden="1"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2:26" ht="15.6" hidden="1"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2:26" ht="15.6" hidden="1"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2:26" ht="15.6" hidden="1"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2:26" ht="15.6" hidden="1"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2:26" ht="15.6" hidden="1"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2:26" ht="15.6" hidden="1"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2:26" ht="15.6" hidden="1"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2:26" ht="15.6" hidden="1"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2:26" ht="15.6" hidden="1"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2:26" ht="15.6" hidden="1"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2:26" ht="15.6" hidden="1"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2:26" ht="15.6" hidden="1"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2:26" ht="15.6" hidden="1"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2:26" ht="15.6" hidden="1"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2:26" ht="15.6" hidden="1"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2:26" ht="15.6" hidden="1"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2:26" ht="15.6" hidden="1"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2:26" ht="15.6" hidden="1"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2:26" ht="15.6" hidden="1"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2:26" ht="15.6" hidden="1"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2:26" ht="15.6" hidden="1"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2:26" ht="15.6" hidden="1"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2:26" ht="15.6" hidden="1"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2:26" ht="15.6" hidden="1"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2:26" ht="15.6" hidden="1"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2:26" ht="15.6" hidden="1"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2:26" ht="15.6" hidden="1"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2:26" ht="15.6" hidden="1"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2:26" ht="15.6" hidden="1"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2:26" ht="15.6" hidden="1"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2:26" ht="15.6" hidden="1"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2:26" ht="15.6" hidden="1"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2:26" ht="15.6" hidden="1"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2:26" ht="15.6" hidden="1"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2:26" ht="15.6" hidden="1"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2:26" ht="15.6" hidden="1"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2:26" ht="15.6" hidden="1"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2:26" ht="15.6" hidden="1"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2:26" ht="15.6" hidden="1"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2:26" ht="15.6" hidden="1"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2:26" ht="15.6" hidden="1"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2:26" ht="15.6" hidden="1"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2:26" ht="15.6" hidden="1"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2:26" ht="15.6" hidden="1"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2:26" ht="15.6" hidden="1"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2:26" ht="15.6" hidden="1"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2:26" ht="15.6" hidden="1"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2:26" ht="15.6" hidden="1"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2:26" ht="15.6" hidden="1"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2:26" ht="15.6" hidden="1"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2:26" ht="15.6" hidden="1"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2:26" ht="15.6" hidden="1"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2:26" ht="15.6" hidden="1"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2:26" ht="15.6" hidden="1"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2:26" ht="15.6" hidden="1"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2:26" ht="15.6" hidden="1"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2:26" ht="15.6" hidden="1"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2:26" ht="15.6" hidden="1"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2:26" ht="15.6" hidden="1"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2:26" ht="15.6" hidden="1"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2:26" ht="15.6" hidden="1"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2:26" ht="15.6" hidden="1"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2:26" ht="15.6" hidden="1"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2:26" ht="15.6" hidden="1"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2:26" ht="15.6" hidden="1"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2:26" ht="15.6" hidden="1"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2:26" ht="15.6" hidden="1"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2:26" ht="15.6" hidden="1"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2:26" ht="15.6" hidden="1"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2:26" ht="15.6" hidden="1"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2:26" ht="15.6" hidden="1"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2:26" ht="15.6" hidden="1"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2:26" ht="15.6" hidden="1"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2:26" ht="15.6" hidden="1"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2:26" ht="15.6" hidden="1"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2:26" ht="15.6" hidden="1"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2:26" ht="15.6" hidden="1"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2:26" ht="15.6" hidden="1"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2:26" ht="15.6" hidden="1"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2:26" ht="15.6" hidden="1"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2:26" ht="15.6" hidden="1"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2:26" ht="15.6" hidden="1"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2:26" ht="15.6" hidden="1"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2:26" ht="15.6" hidden="1"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2:26" ht="15.6" hidden="1"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2:26" ht="15.6" hidden="1"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2:26" ht="15.6" hidden="1"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2:26" ht="15.6" hidden="1"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2:26" ht="15.6" hidden="1"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2:26" ht="15.6" hidden="1"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2:26" ht="15.6" hidden="1"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2:26" ht="15.6" hidden="1"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2:26" ht="15.6" hidden="1"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2:26" ht="15.6" hidden="1"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2:26" ht="15.6" hidden="1"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2:26" ht="15.6" hidden="1"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2:26" ht="15.6" hidden="1"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2:26" ht="15.6" hidden="1"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2:26" ht="15.6" hidden="1"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2:26" ht="15.6" hidden="1"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2:26" ht="15.6" hidden="1"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2:26" ht="15.6" hidden="1"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2:26" ht="15.6" hidden="1"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2:26" ht="15.6" hidden="1"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2:26" ht="15.6" hidden="1"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2:26" ht="15.6" hidden="1"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2:26" ht="15.6" hidden="1"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2:26" ht="15.6" hidden="1"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2:26" ht="15.6" hidden="1"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2:26" ht="15.6" hidden="1"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2:26" ht="15.6" hidden="1"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2:26" ht="15.6" hidden="1"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2:26" ht="15.6" hidden="1"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2:26" ht="15.6" hidden="1"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2:26" ht="15.6" hidden="1"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2:26" ht="15.6" hidden="1"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2:26" ht="15.6" hidden="1"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2:26" ht="15.6" hidden="1"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2:26" ht="15.6" hidden="1"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2:26" ht="15.6" hidden="1"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2:26" ht="15.6" hidden="1"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2:26" ht="15.6" hidden="1"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2:26" ht="15.6" hidden="1"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2:26" ht="15.6" hidden="1"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2:26" ht="15.6" hidden="1"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2:26" ht="15.6" hidden="1"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2:26" ht="15.6" hidden="1"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2:26" ht="15.6" hidden="1"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2:26" ht="15.6" hidden="1"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2:26" ht="15.6" hidden="1"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2:26" ht="15.6" hidden="1"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2:26" ht="15.6" hidden="1"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2:26" ht="15.6" hidden="1"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2:26" ht="15.6" hidden="1"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2:26" ht="15.6" hidden="1"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2:26" ht="15.6" hidden="1"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2:26" ht="15.6" hidden="1"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2:26" ht="15.6" hidden="1"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2:26" ht="15.6" hidden="1"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2:26" ht="15.6" hidden="1"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2:26" ht="15.6" hidden="1"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2:26" ht="15.6" hidden="1"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2:26" ht="15.6" hidden="1"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2:26" ht="15.6" hidden="1"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2:26" ht="15.6" hidden="1"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2:26" ht="15.6" hidden="1"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2:26" ht="15.6" hidden="1"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2:26" ht="15.6" hidden="1"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2:26" ht="15.6" hidden="1"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2:26" ht="15.6" hidden="1"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2:26" ht="15.6" hidden="1"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2:26" ht="15.6" hidden="1"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2:26" ht="15.6" hidden="1"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2:26" ht="15.6" hidden="1"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2:26" ht="15.6" hidden="1"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2:26" ht="15.6" hidden="1"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2:26" ht="15.6" hidden="1"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2:26" ht="15.6" hidden="1"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2:26" ht="15.6" hidden="1"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2:26" ht="15.6" hidden="1"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2:26" ht="15.6" hidden="1"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2:26" ht="15.6" hidden="1"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2:26" ht="15.6" hidden="1"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2:26" ht="15.6" hidden="1"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2:26" ht="15.6" hidden="1"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2:26" ht="15.6" hidden="1"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2:26" ht="15.6" hidden="1"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2:26" ht="15.6" hidden="1"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2:26" ht="15.6" hidden="1"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2:26" ht="15.6" hidden="1"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2:26" ht="15.6" hidden="1"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2:26" ht="15.6" hidden="1"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2:26" ht="15.6" hidden="1"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2:26" ht="15.6" hidden="1"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2:26" ht="15.6" hidden="1"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2:26" ht="15.6" hidden="1"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2:26" ht="15.6" hidden="1"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2:26" ht="15.6" hidden="1"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2:26" ht="15.6" hidden="1"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2:26" ht="15.6" hidden="1"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2:26" ht="15.6" hidden="1"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2:26" ht="15.6" hidden="1"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2:26" ht="15.6" hidden="1"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2:26" ht="15.6" hidden="1"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2:26" ht="15.6" hidden="1"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2:26" ht="15.6" hidden="1"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2:26" ht="15.6" hidden="1"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2:26" ht="15.6" hidden="1"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2:26" ht="15.6" hidden="1"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2:26" ht="15.6" hidden="1"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2:26" ht="15.6" hidden="1"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2:26" ht="15.6" hidden="1"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2:26" ht="15.6" hidden="1"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2:26" ht="15.6" hidden="1"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2:26" ht="15.6" hidden="1"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2:26" ht="15.6" hidden="1"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2:26" ht="15.6" hidden="1"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2:26" ht="15.6" hidden="1"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2:26" ht="15.6" hidden="1"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2:26" ht="15.6" hidden="1"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2:26" ht="15.6" hidden="1"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2:26" ht="15.6" hidden="1"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2:26" ht="15.6" hidden="1"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2:26" ht="15.6" hidden="1"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2:26" ht="15.6" hidden="1"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2:26" ht="15.6" hidden="1"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2:26" ht="15.6" hidden="1"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2:26" ht="15.6" hidden="1"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2:26" ht="15.6" hidden="1"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2:26" ht="15.6" hidden="1"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2:26" ht="15.6" hidden="1"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2:26" ht="15.6" hidden="1"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2:26" ht="15.6" hidden="1"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2:26" ht="15.6" hidden="1"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2:26" ht="15.6" hidden="1"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2:26" ht="15.6" hidden="1"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2:26" ht="15.6" hidden="1"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2:26" ht="15.6" hidden="1"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2:26" ht="15.6" hidden="1"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2:26" ht="15.6" hidden="1"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2:26" ht="15.6" hidden="1"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2:26" ht="15.6" hidden="1"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2:26" ht="15.6" hidden="1"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2:26" ht="15.6" hidden="1"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2:26" ht="15.6" hidden="1"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2:26" ht="15.6" hidden="1"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2:26" ht="15.6" hidden="1"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2:26" ht="15.6" hidden="1"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2:26" ht="15.6" hidden="1"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2:26" ht="15.6" hidden="1"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2:26" ht="15.6" hidden="1"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2:26" ht="15.6" hidden="1"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2:26" ht="15.6" hidden="1"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2:26" ht="15.6" hidden="1"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2:26" ht="15.6" hidden="1"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2:26" ht="15.6" hidden="1"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2:26" ht="15.6" hidden="1"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2:26" ht="15.6" hidden="1"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2:26" ht="15.6" hidden="1"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2:26" ht="15.6" hidden="1"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2:26" ht="15.6" hidden="1"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2:26" ht="15.6" hidden="1"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2:26" ht="15.6" hidden="1"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2:26" ht="15.6" hidden="1"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2:26" ht="15.6" hidden="1"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2:26" ht="15.6" hidden="1"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2:26" ht="15.6" hidden="1"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2:26" ht="15.6" hidden="1"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2:26" ht="15.6" hidden="1"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2:26" ht="15.6" hidden="1"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2:26" ht="15.6" hidden="1"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2:26" ht="15.6" hidden="1"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2:26" ht="15.6" hidden="1"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2:26" ht="15.6" hidden="1"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2:26" ht="15.6" hidden="1"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2:26" ht="15.6" hidden="1"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2:26" ht="15.6" hidden="1"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2:26" ht="15.6" hidden="1"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2:26" ht="15.6" hidden="1"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2:26" ht="15.6" hidden="1"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2:26" ht="15.6" hidden="1"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2:26" ht="15.6" hidden="1"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2:26" ht="15.6" hidden="1"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2:26" ht="15.6" hidden="1"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2:26" ht="15.6" hidden="1"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2:26" ht="15.6" hidden="1"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2:26" ht="15.6" hidden="1"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2:26" ht="15.6" hidden="1"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2:26" ht="15.6" hidden="1"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2:26" ht="15.6" hidden="1"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2:26" ht="15.6" hidden="1"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2:26" ht="15.6" hidden="1"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2:26" ht="15.6" hidden="1"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2:26" ht="15.6" hidden="1"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2:26" ht="15.6" hidden="1"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2:26" ht="15.6" hidden="1"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2:26" ht="15.6" hidden="1"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2:26" ht="15.6" hidden="1"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2:26" ht="15.6" hidden="1"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2:26" ht="15.6" hidden="1"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2:26" ht="15.6" hidden="1"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2:26" ht="15.6" hidden="1"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2:26" ht="15.6" hidden="1"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2:26" ht="15.6" hidden="1"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2:26" ht="15.6" hidden="1"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2:26" ht="15.6" hidden="1"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2:26" ht="15.6" hidden="1"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2:26" ht="15.6" hidden="1"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2:26" ht="15.6" hidden="1"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2:26" ht="15.6" hidden="1"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2:26" ht="15.6" hidden="1"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2:26" ht="15.6" hidden="1"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2:26" ht="15.6" hidden="1"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2:26" ht="15.6" hidden="1"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2:26" ht="15.6" hidden="1"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2:26" ht="15.6" hidden="1"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2:26" ht="15.6" hidden="1"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2:26" ht="15.6" hidden="1"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2:26" ht="15.6" hidden="1"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2:26" ht="15.6" hidden="1"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2:26" ht="15.6" hidden="1"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2:26" ht="15.6" hidden="1"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2:26" ht="15.6" hidden="1"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2:26" ht="15.6" hidden="1"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2:26" ht="15.6" hidden="1"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2:26" ht="15.6" hidden="1"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2:26" ht="15.6" hidden="1"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2:26" ht="15.6" hidden="1"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2:26" ht="15.6" hidden="1"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2:26" ht="15.6" hidden="1"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2:26" ht="15.6" hidden="1"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2:26" ht="15.6" hidden="1"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2:26" ht="15.6" hidden="1"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2:26" ht="15.6" hidden="1"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2:26" ht="15.6" hidden="1"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2:26" ht="15.6" hidden="1"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2:26" ht="15.6" hidden="1"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2:26" ht="15.6" hidden="1"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2:26" ht="15.6" hidden="1"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2:26" ht="15.6" hidden="1"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2:26" ht="15.6" hidden="1"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2:26" ht="15.6" hidden="1"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2:26" ht="15.6" hidden="1"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2:26" ht="15.6" hidden="1"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2:26" ht="15.6" hidden="1"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2:26" ht="15.6" hidden="1"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2:26" ht="15.6" hidden="1"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2:26" ht="15.6" hidden="1"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2:26" ht="15.6" hidden="1"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2:26" ht="15.6" hidden="1"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2:26" ht="15.6" hidden="1"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2:26" ht="15.6" hidden="1"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2:26" ht="15.6" hidden="1"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2:26" ht="15.6" hidden="1"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2:26" ht="15.6" hidden="1"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2:26" ht="15.6" hidden="1"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2:26" ht="15.6" hidden="1"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2:26" ht="15.6" hidden="1"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2:26" ht="15.6" hidden="1"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2:26" ht="15.6" hidden="1"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2:26" ht="15.6" hidden="1"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2:26" ht="15.6" hidden="1"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2:26" ht="15.6" hidden="1"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2:26" ht="15.6" hidden="1"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2:26" ht="15.6" hidden="1"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2:26" ht="15.6" hidden="1"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2:26" ht="15.6" hidden="1"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교육과정편제표(미디어콘텐츠과)</vt:lpstr>
      <vt:lpstr>실무과목 능력단위(미디어콘텐츠과)</vt:lpstr>
      <vt:lpstr>삭제금지</vt:lpstr>
      <vt:lpstr>(참고1) 편성 기준🔐</vt:lpstr>
      <vt:lpstr>'교육과정편제표(미디어콘텐츠과)'!Print_Area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2026-10-26T06:00:09Z</dcterms:modified>
</cp:coreProperties>
</file>