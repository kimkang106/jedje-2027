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6년\업무\교육과정운영부\공문\"/>
    </mc:Choice>
  </mc:AlternateContent>
  <xr:revisionPtr revIDLastSave="0" documentId="8_{376B6696-5697-4B99-84E4-978E517BA8CF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교육과정편제표(사무행정과)" sheetId="1" r:id="rId1"/>
    <sheet name="실무과목 능력단위(사무행정과)" sheetId="2" r:id="rId2"/>
    <sheet name="삭제금지" sheetId="3" r:id="rId3"/>
    <sheet name="(참고1) 편성 기준🔐" sheetId="4" r:id="rId4"/>
  </sheets>
  <definedNames>
    <definedName name="_xlnm._FilterDatabase" localSheetId="2" hidden="1">삭제금지!$A$1:$F$151</definedName>
    <definedName name="_xlnm.Print_Area" localSheetId="0">'교육과정편제표(사무행정과)'!$A$1:$Y$63</definedName>
    <definedName name="_xlnm.Print_Area" localSheetId="1">'실무과목 능력단위(사무행정과)'!$A$1:$U$31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" i="2" l="1"/>
  <c r="T30" i="2"/>
  <c r="T29" i="2"/>
  <c r="T28" i="2"/>
  <c r="T27" i="2"/>
  <c r="T9" i="2"/>
  <c r="U30" i="2"/>
  <c r="U29" i="2"/>
  <c r="U28" i="2"/>
  <c r="U27" i="2"/>
  <c r="T25" i="2"/>
  <c r="U25" i="2" s="1"/>
  <c r="S25" i="2"/>
  <c r="T24" i="2"/>
  <c r="U24" i="2" s="1"/>
  <c r="S24" i="2"/>
  <c r="T23" i="2"/>
  <c r="U23" i="2" s="1"/>
  <c r="T22" i="2"/>
  <c r="U22" i="2" s="1"/>
  <c r="Q22" i="2"/>
  <c r="T21" i="2"/>
  <c r="U21" i="2" s="1"/>
  <c r="Q21" i="2"/>
  <c r="T19" i="2"/>
  <c r="S19" i="2"/>
  <c r="U19" i="2" s="1"/>
  <c r="T18" i="2"/>
  <c r="S18" i="2"/>
  <c r="U18" i="2" s="1"/>
  <c r="T17" i="2"/>
  <c r="S17" i="2"/>
  <c r="U17" i="2" s="1"/>
  <c r="T16" i="2"/>
  <c r="S16" i="2"/>
  <c r="U16" i="2" s="1"/>
  <c r="T15" i="2"/>
  <c r="Q15" i="2"/>
  <c r="U15" i="2" s="1"/>
  <c r="T14" i="2"/>
  <c r="Q14" i="2"/>
  <c r="U14" i="2" s="1"/>
  <c r="U12" i="2"/>
  <c r="T12" i="2"/>
  <c r="M11" i="2"/>
  <c r="U11" i="2" s="1"/>
  <c r="T10" i="2"/>
  <c r="M10" i="2"/>
  <c r="K10" i="2"/>
  <c r="I10" i="2"/>
  <c r="U10" i="2" s="1"/>
  <c r="S9" i="2"/>
  <c r="Q9" i="2"/>
  <c r="O9" i="2"/>
  <c r="M9" i="2"/>
  <c r="K9" i="2"/>
  <c r="I9" i="2"/>
  <c r="U9" i="2" s="1"/>
  <c r="W38" i="1"/>
  <c r="W39" i="1"/>
  <c r="W40" i="1"/>
  <c r="W41" i="1"/>
  <c r="W42" i="1"/>
  <c r="W43" i="1"/>
  <c r="W44" i="1"/>
  <c r="W45" i="1"/>
  <c r="W46" i="1"/>
  <c r="W47" i="1"/>
  <c r="W48" i="1"/>
  <c r="W49" i="1"/>
  <c r="H54" i="1"/>
  <c r="K54" i="1"/>
  <c r="M54" i="1"/>
  <c r="Q54" i="1"/>
  <c r="O54" i="1"/>
  <c r="S54" i="1"/>
  <c r="U54" i="1"/>
  <c r="H37" i="1"/>
  <c r="W54" i="1" l="1"/>
  <c r="R31" i="2"/>
  <c r="P31" i="2"/>
  <c r="O31" i="2"/>
  <c r="N31" i="2"/>
  <c r="M31" i="2"/>
  <c r="L31" i="2"/>
  <c r="K31" i="2"/>
  <c r="J31" i="2"/>
  <c r="I31" i="2"/>
  <c r="H31" i="2"/>
  <c r="R26" i="2"/>
  <c r="P26" i="2"/>
  <c r="O26" i="2"/>
  <c r="N26" i="2"/>
  <c r="M26" i="2"/>
  <c r="L26" i="2"/>
  <c r="K26" i="2"/>
  <c r="J26" i="2"/>
  <c r="I26" i="2"/>
  <c r="H26" i="2"/>
  <c r="T26" i="2"/>
  <c r="R20" i="2"/>
  <c r="P20" i="2"/>
  <c r="O20" i="2"/>
  <c r="N20" i="2"/>
  <c r="M20" i="2"/>
  <c r="L20" i="2"/>
  <c r="K20" i="2"/>
  <c r="J20" i="2"/>
  <c r="I20" i="2"/>
  <c r="H20" i="2"/>
  <c r="R13" i="2"/>
  <c r="P13" i="2"/>
  <c r="L13" i="2"/>
  <c r="K13" i="2"/>
  <c r="J13" i="2"/>
  <c r="I13" i="2"/>
  <c r="H13" i="2"/>
  <c r="T13" i="2"/>
  <c r="S13" i="2"/>
  <c r="Q13" i="2"/>
  <c r="O13" i="2"/>
  <c r="S62" i="1"/>
  <c r="O62" i="1"/>
  <c r="K62" i="1"/>
  <c r="W61" i="1"/>
  <c r="W60" i="1"/>
  <c r="AA61" i="1" s="1"/>
  <c r="Y57" i="1"/>
  <c r="W57" i="1"/>
  <c r="Y54" i="1"/>
  <c r="J54" i="1"/>
  <c r="I54" i="1"/>
  <c r="I56" i="1" s="1"/>
  <c r="W50" i="1"/>
  <c r="Y37" i="1"/>
  <c r="U37" i="1"/>
  <c r="U56" i="1" s="1"/>
  <c r="S37" i="1"/>
  <c r="S56" i="1" s="1"/>
  <c r="Q37" i="1"/>
  <c r="O37" i="1"/>
  <c r="M37" i="1"/>
  <c r="K37" i="1"/>
  <c r="W34" i="1"/>
  <c r="W32" i="1"/>
  <c r="W31" i="1"/>
  <c r="W30" i="1"/>
  <c r="W29" i="1"/>
  <c r="W28" i="1"/>
  <c r="J28" i="1"/>
  <c r="W27" i="1"/>
  <c r="J27" i="1"/>
  <c r="J37" i="1" s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X13" i="1" l="1"/>
  <c r="K56" i="1"/>
  <c r="M56" i="1"/>
  <c r="W62" i="1"/>
  <c r="Q56" i="1"/>
  <c r="X17" i="1"/>
  <c r="Q20" i="2"/>
  <c r="U20" i="2"/>
  <c r="S31" i="2"/>
  <c r="S26" i="2"/>
  <c r="T20" i="2"/>
  <c r="M13" i="2"/>
  <c r="T31" i="2"/>
  <c r="Q31" i="2"/>
  <c r="H56" i="1"/>
  <c r="X25" i="1"/>
  <c r="X9" i="1"/>
  <c r="X21" i="1"/>
  <c r="J56" i="1"/>
  <c r="X23" i="1"/>
  <c r="O56" i="1"/>
  <c r="Y56" i="1"/>
  <c r="W37" i="1"/>
  <c r="AA37" i="1" s="1"/>
  <c r="X27" i="1"/>
  <c r="U26" i="2"/>
  <c r="U13" i="2"/>
  <c r="Q26" i="2"/>
  <c r="S20" i="2"/>
  <c r="Y61" i="1"/>
  <c r="AA63" i="1" s="1"/>
  <c r="W56" i="1" l="1"/>
  <c r="AA58" i="1" s="1"/>
  <c r="U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3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수정</t>
        </r>
      </text>
    </comment>
    <comment ref="J4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합계 수정</t>
        </r>
      </text>
    </comment>
    <comment ref="J5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합계 수정
</t>
        </r>
      </text>
    </comment>
  </commentList>
</comments>
</file>

<file path=xl/sharedStrings.xml><?xml version="1.0" encoding="utf-8"?>
<sst xmlns="http://schemas.openxmlformats.org/spreadsheetml/2006/main" count="1422" uniqueCount="537">
  <si>
    <t>입학년도</t>
  </si>
  <si>
    <t>담당자
연락처</t>
  </si>
  <si>
    <t>직</t>
  </si>
  <si>
    <t>성명</t>
  </si>
  <si>
    <t>내선번호</t>
  </si>
  <si>
    <t>시도명</t>
  </si>
  <si>
    <t>학교명</t>
  </si>
  <si>
    <t>교과군</t>
  </si>
  <si>
    <t>기준학과1</t>
  </si>
  <si>
    <t>기준학과2</t>
  </si>
  <si>
    <t>학과</t>
  </si>
  <si>
    <t>교감</t>
  </si>
  <si>
    <t>학과명</t>
  </si>
  <si>
    <t>과정</t>
  </si>
  <si>
    <t>인력양성유형</t>
  </si>
  <si>
    <t>교육과정부장</t>
  </si>
  <si>
    <t>조남신</t>
  </si>
  <si>
    <t>충남</t>
  </si>
  <si>
    <t>삽교고등학교</t>
  </si>
  <si>
    <t>경영·금융</t>
  </si>
  <si>
    <t>경영사무과</t>
  </si>
  <si>
    <t>유통과</t>
  </si>
  <si>
    <t>사무행정과</t>
  </si>
  <si>
    <t>일반</t>
  </si>
  <si>
    <t>교육과정담당</t>
  </si>
  <si>
    <t>명재광</t>
  </si>
  <si>
    <t>교과영역</t>
  </si>
  <si>
    <t>교과(군)</t>
  </si>
  <si>
    <t>과목</t>
  </si>
  <si>
    <t>기준 
학점</t>
  </si>
  <si>
    <t>운영
가능
학점</t>
  </si>
  <si>
    <t>운영
학점</t>
  </si>
  <si>
    <t>1학년</t>
  </si>
  <si>
    <t>2학년</t>
  </si>
  <si>
    <t>3학년</t>
  </si>
  <si>
    <t>이수
학점</t>
  </si>
  <si>
    <t>필수
이수
학점</t>
  </si>
  <si>
    <t>구분</t>
  </si>
  <si>
    <t>과목명</t>
  </si>
  <si>
    <t>1학기</t>
  </si>
  <si>
    <t>2학기</t>
  </si>
  <si>
    <t>이수학점 편성 범위</t>
  </si>
  <si>
    <t>보통</t>
  </si>
  <si>
    <t>국어</t>
  </si>
  <si>
    <t>공통</t>
  </si>
  <si>
    <t>공통국어1</t>
  </si>
  <si>
    <t>3~4</t>
  </si>
  <si>
    <t>기준학점</t>
  </si>
  <si>
    <t>증감</t>
  </si>
  <si>
    <t>편성가능 학점</t>
  </si>
  <si>
    <t>공통국어2</t>
  </si>
  <si>
    <t>공통과목</t>
  </si>
  <si>
    <t>일반선택</t>
  </si>
  <si>
    <t>문학</t>
  </si>
  <si>
    <t>독서와 작문</t>
  </si>
  <si>
    <t>3~5</t>
  </si>
  <si>
    <t>한국사 1,2</t>
  </si>
  <si>
    <t>수학</t>
  </si>
  <si>
    <t>공통수학1</t>
  </si>
  <si>
    <t>선택과목</t>
  </si>
  <si>
    <t>±1</t>
  </si>
  <si>
    <t>공통수학2</t>
  </si>
  <si>
    <t>체육, 예술, 교양 교과군</t>
  </si>
  <si>
    <t>2~4</t>
  </si>
  <si>
    <t>대수</t>
  </si>
  <si>
    <t>전문교과</t>
  </si>
  <si>
    <t>시도 교육감</t>
  </si>
  <si>
    <t>영어</t>
  </si>
  <si>
    <t>공통영어1</t>
  </si>
  <si>
    <t>공통영어2</t>
  </si>
  <si>
    <t>영어 I</t>
  </si>
  <si>
    <t>사회(역사/도덕 포함)</t>
  </si>
  <si>
    <t>한국사1</t>
  </si>
  <si>
    <t>3~</t>
  </si>
  <si>
    <t>한국사2</t>
  </si>
  <si>
    <t>통합사회1</t>
  </si>
  <si>
    <t>통합사회2</t>
  </si>
  <si>
    <t>과학</t>
  </si>
  <si>
    <t>통합과학1</t>
  </si>
  <si>
    <t>통합과학2</t>
  </si>
  <si>
    <t>체육</t>
  </si>
  <si>
    <t>체육1</t>
  </si>
  <si>
    <t>진로선택</t>
  </si>
  <si>
    <t>체육2</t>
  </si>
  <si>
    <t>융합선택</t>
  </si>
  <si>
    <t>스포츠 생활1</t>
  </si>
  <si>
    <t>스포츠 생활2</t>
  </si>
  <si>
    <t>스포츠 문화</t>
  </si>
  <si>
    <t>1~2</t>
  </si>
  <si>
    <t>예술</t>
  </si>
  <si>
    <t>미술</t>
  </si>
  <si>
    <t>음악</t>
  </si>
  <si>
    <t>기술·가정/정보/제2외국어/한문/교양</t>
  </si>
  <si>
    <t>일본어</t>
  </si>
  <si>
    <t>한문</t>
  </si>
  <si>
    <t>언어생활과 한자</t>
  </si>
  <si>
    <t>합계</t>
  </si>
  <si>
    <t>전문</t>
  </si>
  <si>
    <t>전문공통</t>
  </si>
  <si>
    <t>성공적인직업생활</t>
  </si>
  <si>
    <t>미용·관광·레저</t>
  </si>
  <si>
    <t>관광 일본어</t>
  </si>
  <si>
    <t>회계실무</t>
  </si>
  <si>
    <t>사무행정</t>
  </si>
  <si>
    <t>전공
선택
(택1)</t>
  </si>
  <si>
    <t>유통관리</t>
  </si>
  <si>
    <t>총이수 합계</t>
  </si>
  <si>
    <t>교과최소학점</t>
  </si>
  <si>
    <t>창의적체험활동</t>
  </si>
  <si>
    <r>
      <rPr>
        <sz val="10"/>
        <color theme="1"/>
        <rFont val="Malgun Gothic"/>
        <family val="3"/>
        <charset val="129"/>
      </rPr>
      <t>자율·</t>
    </r>
    <r>
      <rPr>
        <sz val="10"/>
        <color theme="1"/>
        <rFont val="맑은 고딕"/>
        <family val="3"/>
        <charset val="129"/>
      </rPr>
      <t>자치활동</t>
    </r>
  </si>
  <si>
    <t>동아리활동</t>
  </si>
  <si>
    <t>진로활동</t>
  </si>
  <si>
    <t>학기별 이수학점</t>
  </si>
  <si>
    <t>창체최소학점</t>
  </si>
  <si>
    <t>최소학점수</t>
  </si>
  <si>
    <t>실무과목 능력단위 편성표</t>
  </si>
  <si>
    <t>실무과목</t>
  </si>
  <si>
    <t>내용영역(능력단위)</t>
  </si>
  <si>
    <t>능력단위코드</t>
  </si>
  <si>
    <t>훈련시간</t>
  </si>
  <si>
    <t>능력단위 수준</t>
  </si>
  <si>
    <t>이수학점 
합계</t>
  </si>
  <si>
    <t>이수시간 
합계</t>
  </si>
  <si>
    <t>유의사항</t>
  </si>
  <si>
    <t>1. 능력단위명과 능력단위 코드는 정확하게 입력해주시기 바랍니다.</t>
  </si>
  <si>
    <t>이수학점</t>
  </si>
  <si>
    <t>이수시간</t>
  </si>
  <si>
    <t>내용영역 합계</t>
  </si>
  <si>
    <t>전자상거래실무</t>
  </si>
  <si>
    <t>사이트 운영</t>
  </si>
  <si>
    <t>1003010205_16v2</t>
  </si>
  <si>
    <t>사후관리</t>
  </si>
  <si>
    <t>기준 단위</t>
  </si>
  <si>
    <t>운영가능단위</t>
  </si>
  <si>
    <t>시·도</t>
  </si>
  <si>
    <t>보통교과</t>
  </si>
  <si>
    <t>서울</t>
  </si>
  <si>
    <t>부산</t>
  </si>
  <si>
    <t>보건·복지</t>
  </si>
  <si>
    <t>세무회계과</t>
  </si>
  <si>
    <t>도제</t>
  </si>
  <si>
    <t>화법과 언어</t>
  </si>
  <si>
    <t>대구</t>
  </si>
  <si>
    <t>문화예술디자인방송</t>
  </si>
  <si>
    <t>과정평가형</t>
  </si>
  <si>
    <t>인천</t>
  </si>
  <si>
    <t>미용</t>
  </si>
  <si>
    <t>금융정보화</t>
  </si>
  <si>
    <t>광주</t>
  </si>
  <si>
    <t>관광레저</t>
  </si>
  <si>
    <t>마케팅과</t>
  </si>
  <si>
    <t>주제탐구독서</t>
  </si>
  <si>
    <t>진로</t>
  </si>
  <si>
    <t>대전</t>
  </si>
  <si>
    <t>식품조리</t>
  </si>
  <si>
    <t>보육과</t>
  </si>
  <si>
    <t>문학과 영상</t>
  </si>
  <si>
    <t>울산</t>
  </si>
  <si>
    <t>건축토목</t>
  </si>
  <si>
    <t>복지과</t>
  </si>
  <si>
    <t>직무의사소통</t>
  </si>
  <si>
    <t>세종</t>
  </si>
  <si>
    <t>기계</t>
  </si>
  <si>
    <t>간호과</t>
  </si>
  <si>
    <t>독서 토론과 글쓰기</t>
  </si>
  <si>
    <t>융합</t>
  </si>
  <si>
    <t>경기</t>
  </si>
  <si>
    <t>재료</t>
  </si>
  <si>
    <t>공예과</t>
  </si>
  <si>
    <t>매체 의사소통</t>
  </si>
  <si>
    <t>강원</t>
  </si>
  <si>
    <t>화학공업</t>
  </si>
  <si>
    <t>디자인과</t>
  </si>
  <si>
    <t>언어생활 탐구</t>
  </si>
  <si>
    <t>충북</t>
  </si>
  <si>
    <t>섬유의류</t>
  </si>
  <si>
    <t>문화콘텐츠과</t>
  </si>
  <si>
    <t>전기·전자</t>
  </si>
  <si>
    <t>방송과</t>
  </si>
  <si>
    <t>전북</t>
  </si>
  <si>
    <t>정보·통신</t>
  </si>
  <si>
    <t>미용과</t>
  </si>
  <si>
    <t>전남</t>
  </si>
  <si>
    <t>환경안전소방</t>
  </si>
  <si>
    <t>관광과</t>
  </si>
  <si>
    <t>미적분 Ⅰ</t>
  </si>
  <si>
    <t>경북</t>
  </si>
  <si>
    <t>농림수산</t>
  </si>
  <si>
    <t>레저산업과</t>
  </si>
  <si>
    <t>확률과 통계</t>
  </si>
  <si>
    <t>경남</t>
  </si>
  <si>
    <t>수산해운</t>
  </si>
  <si>
    <t>조리과</t>
  </si>
  <si>
    <t>미적분 Ⅱ</t>
  </si>
  <si>
    <t>제주</t>
  </si>
  <si>
    <t>융복합지식재산</t>
  </si>
  <si>
    <t>식음료과</t>
  </si>
  <si>
    <t>기하</t>
  </si>
  <si>
    <t>식품가공과</t>
  </si>
  <si>
    <t>경제수학</t>
  </si>
  <si>
    <t>제과제빵과</t>
  </si>
  <si>
    <t>인공지능 수학</t>
  </si>
  <si>
    <t>토목과</t>
  </si>
  <si>
    <t>직무수학</t>
  </si>
  <si>
    <t>공간정보과</t>
  </si>
  <si>
    <t>수학과 문화</t>
  </si>
  <si>
    <t>건축과</t>
  </si>
  <si>
    <t>실용 통계</t>
  </si>
  <si>
    <t>건축인테리어과</t>
  </si>
  <si>
    <t>수학과제 탐구</t>
  </si>
  <si>
    <t>스마트시트과</t>
  </si>
  <si>
    <t>기계과</t>
  </si>
  <si>
    <t>공조산업설비과</t>
  </si>
  <si>
    <t>영어Ⅰ</t>
  </si>
  <si>
    <t>자동차과</t>
  </si>
  <si>
    <t>영어 독해와 작문</t>
  </si>
  <si>
    <t>조선과</t>
  </si>
  <si>
    <t>영어Ⅱ</t>
  </si>
  <si>
    <t>항공과</t>
  </si>
  <si>
    <t>영미 문학 읽기</t>
  </si>
  <si>
    <t>금속재료과</t>
  </si>
  <si>
    <t>영어 발표와 토론</t>
  </si>
  <si>
    <t>세라믹과</t>
  </si>
  <si>
    <t>직무영어</t>
  </si>
  <si>
    <t>화학공업과</t>
  </si>
  <si>
    <t>심화영어</t>
  </si>
  <si>
    <t>바이오화학공업과</t>
  </si>
  <si>
    <t>심화 영어 독해와 작문</t>
  </si>
  <si>
    <t>에너지화학공업과</t>
  </si>
  <si>
    <t>실생활 영어 회화</t>
  </si>
  <si>
    <t>섬유과</t>
  </si>
  <si>
    <t>미디어 영어</t>
  </si>
  <si>
    <t>의류과</t>
  </si>
  <si>
    <t>세계 문화와 영어</t>
  </si>
  <si>
    <t>전기과</t>
  </si>
  <si>
    <t>한국사</t>
  </si>
  <si>
    <t>3↑</t>
  </si>
  <si>
    <t>전자과</t>
  </si>
  <si>
    <t>통신과</t>
  </si>
  <si>
    <t>사회</t>
  </si>
  <si>
    <t>정보컴퓨터과</t>
  </si>
  <si>
    <t>소프트웨어과</t>
  </si>
  <si>
    <t>세계시민과 지리</t>
  </si>
  <si>
    <t>환경과</t>
  </si>
  <si>
    <t>세계사</t>
  </si>
  <si>
    <t>산업안전과</t>
  </si>
  <si>
    <t>사회와 문화</t>
  </si>
  <si>
    <t>소방과</t>
  </si>
  <si>
    <t>현대사회와 윤리</t>
  </si>
  <si>
    <t>농업과</t>
  </si>
  <si>
    <t>한국지리 탐구</t>
  </si>
  <si>
    <t>원예과</t>
  </si>
  <si>
    <t>도시의 미래 탐구</t>
  </si>
  <si>
    <t>산림자원과</t>
  </si>
  <si>
    <t>동아시아 주제 탐구</t>
  </si>
  <si>
    <t>동물자원과</t>
  </si>
  <si>
    <t>정치</t>
  </si>
  <si>
    <t>농업기계과</t>
  </si>
  <si>
    <t>경제</t>
  </si>
  <si>
    <t>농업토목과</t>
  </si>
  <si>
    <t>법과 사회</t>
  </si>
  <si>
    <t>족경과</t>
  </si>
  <si>
    <t>윤리와 사상</t>
  </si>
  <si>
    <t>해양생산과</t>
  </si>
  <si>
    <t>인문학과 윤리</t>
  </si>
  <si>
    <t>수산양식과</t>
  </si>
  <si>
    <t>국제 관계의 이해</t>
  </si>
  <si>
    <t>해양레저과</t>
  </si>
  <si>
    <t>여행지리</t>
  </si>
  <si>
    <t>항해과</t>
  </si>
  <si>
    <t>사회문제 탐구</t>
  </si>
  <si>
    <t>기관과</t>
  </si>
  <si>
    <t>역사로 탐구하는 현대세계</t>
  </si>
  <si>
    <t>스마트공장과</t>
  </si>
  <si>
    <t>금융과 경제생활</t>
  </si>
  <si>
    <t>발명특허과</t>
  </si>
  <si>
    <t>윤리문제 탐구</t>
  </si>
  <si>
    <t>기후 변화와 지속가능한 세계</t>
  </si>
  <si>
    <t>과학탐구실험1</t>
  </si>
  <si>
    <t>과학탐구실험2</t>
  </si>
  <si>
    <t>물리학</t>
  </si>
  <si>
    <t>화학</t>
  </si>
  <si>
    <t>생명과학</t>
  </si>
  <si>
    <t>지구과학</t>
  </si>
  <si>
    <t>역학과 에너지</t>
  </si>
  <si>
    <t>전자기와 빛</t>
  </si>
  <si>
    <t>물질과 에너지</t>
  </si>
  <si>
    <t>화학반응의 세계</t>
  </si>
  <si>
    <t>세포와 물질대사</t>
  </si>
  <si>
    <t>생물의 유전</t>
  </si>
  <si>
    <t>지구시스템과학</t>
  </si>
  <si>
    <t>행성우주과학</t>
  </si>
  <si>
    <t>과학의 역사와 문화</t>
  </si>
  <si>
    <t>기후 변화와 환경생태</t>
  </si>
  <si>
    <t>융합과학 탐구</t>
  </si>
  <si>
    <t>체육 Ⅰ</t>
  </si>
  <si>
    <t>운동과 건강 Ⅰ</t>
  </si>
  <si>
    <t>체육Ⅱ</t>
  </si>
  <si>
    <t>운동과 건강Ⅱ</t>
  </si>
  <si>
    <t>체육 탐구</t>
  </si>
  <si>
    <t>스프츠생활</t>
  </si>
  <si>
    <t>스포츠 활동과 분석</t>
  </si>
  <si>
    <t>연극</t>
  </si>
  <si>
    <t>음악 연주와 창작</t>
  </si>
  <si>
    <t>음악 감상과 비평</t>
  </si>
  <si>
    <t>미술 창작</t>
  </si>
  <si>
    <t>미술 감상과 비평</t>
  </si>
  <si>
    <t>음악과 미디어</t>
  </si>
  <si>
    <t>미술과 매체</t>
  </si>
  <si>
    <t>기술·가정</t>
  </si>
  <si>
    <t>정보</t>
  </si>
  <si>
    <t>로봇과 공학세계</t>
  </si>
  <si>
    <t>가족과 가정생활</t>
  </si>
  <si>
    <t>인공지능 기초</t>
  </si>
  <si>
    <t>데이터 과학</t>
  </si>
  <si>
    <t>창의 공학 설계</t>
  </si>
  <si>
    <t>지식 재산 일반</t>
  </si>
  <si>
    <t>생애 설계와 자립</t>
  </si>
  <si>
    <t>아동발달과 부모</t>
  </si>
  <si>
    <t>소프트웨워와 생활</t>
  </si>
  <si>
    <t>독일어</t>
  </si>
  <si>
    <t>제2외국어</t>
  </si>
  <si>
    <t>프랑스어</t>
  </si>
  <si>
    <t>스페인어</t>
  </si>
  <si>
    <t>중국어</t>
  </si>
  <si>
    <t>러시아어</t>
  </si>
  <si>
    <t>아랍어</t>
  </si>
  <si>
    <t>베트남어</t>
  </si>
  <si>
    <t>독일어 회화</t>
  </si>
  <si>
    <t>프랑스어 회화</t>
  </si>
  <si>
    <t>스페인어 회화</t>
  </si>
  <si>
    <t>중국어 회화</t>
  </si>
  <si>
    <t>일본어 회화</t>
  </si>
  <si>
    <t>러시아어 회화</t>
  </si>
  <si>
    <t>아랍어 회화</t>
  </si>
  <si>
    <t>베트남어 회화</t>
  </si>
  <si>
    <t>심화 독일어</t>
  </si>
  <si>
    <t>심화 프랑스어</t>
  </si>
  <si>
    <t>심화 중국어</t>
  </si>
  <si>
    <t>심화 일본어</t>
  </si>
  <si>
    <t>심화 러시아어</t>
  </si>
  <si>
    <t>심화 아랍어</t>
  </si>
  <si>
    <t>심화 베트남어</t>
  </si>
  <si>
    <t>독일어권 문화</t>
  </si>
  <si>
    <t>프랑스어권 문화</t>
  </si>
  <si>
    <t>스페인어권 문화</t>
  </si>
  <si>
    <t>중국 문화</t>
  </si>
  <si>
    <t>일본 문화</t>
  </si>
  <si>
    <t>러시아 문화</t>
  </si>
  <si>
    <t>아랍 문화</t>
  </si>
  <si>
    <t>베트남 문화</t>
  </si>
  <si>
    <t>심화 한문</t>
  </si>
  <si>
    <t>진로와 직업</t>
  </si>
  <si>
    <t>교양</t>
  </si>
  <si>
    <t>생태와 환경</t>
  </si>
  <si>
    <t>인간과 철학</t>
  </si>
  <si>
    <t>논리와 사고</t>
  </si>
  <si>
    <t>인간과 심리</t>
  </si>
  <si>
    <t>교육의 이해</t>
  </si>
  <si>
    <t>삶과 종료</t>
  </si>
  <si>
    <t>보건</t>
  </si>
  <si>
    <t>인간과 경제활동</t>
  </si>
  <si>
    <t>논술</t>
  </si>
  <si>
    <r>
      <rPr>
        <b/>
        <sz val="24"/>
        <color rgb="FF21798F"/>
        <rFont val="Malgun Gothic"/>
        <family val="3"/>
        <charset val="129"/>
      </rPr>
      <t xml:space="preserve">  2022 개정 직업계고 교육과정 편성</t>
    </r>
    <r>
      <rPr>
        <b/>
        <sz val="24"/>
        <color rgb="FF21798F"/>
        <rFont val="Arial"/>
        <family val="2"/>
      </rPr>
      <t>‧</t>
    </r>
    <r>
      <rPr>
        <b/>
        <sz val="24"/>
        <color rgb="FF21798F"/>
        <rFont val="맑은 고딕"/>
        <family val="3"/>
        <charset val="129"/>
      </rPr>
      <t xml:space="preserve">운영 기준 비교 </t>
    </r>
  </si>
  <si>
    <t>2015 개정 교육과정</t>
  </si>
  <si>
    <t>2022 개정 교육과정</t>
  </si>
  <si>
    <t>3년간
이수 학점</t>
  </si>
  <si>
    <t xml:space="preserve"> • 192학점[창체 18학점(288시간) 포함]</t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</si>
  <si>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</si>
  <si>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</si>
  <si>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</si>
  <si>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</si>
  <si>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</si>
  <si>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</si>
  <si>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</si>
  <si>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</si>
  <si>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</si>
  <si>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</si>
  <si>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</si>
  <si>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</si>
  <si>
    <t>공통 과목, 선택 과목(일반, 진로)</t>
  </si>
  <si>
    <t>공통 과목
선택 과목(일반, 진로, 융합)</t>
  </si>
  <si>
    <t>전문교과 Ⅰ</t>
  </si>
  <si>
    <t>과학, 체육, 예술, 외국어, 국제 계열</t>
  </si>
  <si>
    <t>전문교과 Ⅱ</t>
  </si>
  <si>
    <t>NCS 기반 17개 교과(군)</t>
  </si>
  <si>
    <t>과목군 재구조화</t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</si>
  <si>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</si>
  <si>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</si>
  <si>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</si>
  <si>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</si>
  <si>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</si>
  <si>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</si>
  <si>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</si>
  <si>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</si>
  <si>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</si>
  <si>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</si>
  <si>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</si>
  <si>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</si>
  <si>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</si>
  <si>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</si>
  <si>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</si>
  <si>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</si>
  <si>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</si>
  <si>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</si>
  <si>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국어(8)</t>
  </si>
  <si>
    <t>보통 교과</t>
  </si>
  <si>
    <t>공통국어1, 2</t>
  </si>
  <si>
    <t>수학(8)</t>
  </si>
  <si>
    <t>공통수학1, 2</t>
  </si>
  <si>
    <t>영어(8)</t>
  </si>
  <si>
    <t>공통영어1, 2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</si>
  <si>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</si>
  <si>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</si>
  <si>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</si>
  <si>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</si>
  <si>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</si>
  <si>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</si>
  <si>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통합과학(8)</t>
  </si>
  <si>
    <t>통합과학1, 2</t>
  </si>
  <si>
    <r>
      <rPr>
        <sz val="10"/>
        <color rgb="FF292929"/>
        <rFont val="Malgun Gothic"/>
        <family val="3"/>
        <charset val="129"/>
      </rP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</si>
  <si>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r>
      <rPr>
        <sz val="10"/>
        <color rgb="FF292929"/>
        <rFont val="Malgun Gothic"/>
        <family val="3"/>
        <charset val="129"/>
      </rP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</si>
  <si>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rPr>
        <sz val="10"/>
        <color rgb="FF292929"/>
        <rFont val="Malgun Gothic"/>
        <family val="3"/>
        <charset val="129"/>
      </rP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</si>
  <si>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rPr>
        <sz val="10"/>
        <color rgb="FF292929"/>
        <rFont val="Malgun Gothic"/>
        <family val="3"/>
        <charset val="129"/>
      </rP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</si>
  <si>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</si>
  <si>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</si>
  <si>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</si>
  <si>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</si>
  <si>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</si>
  <si>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</si>
  <si>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</si>
  <si>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</si>
  <si>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</si>
  <si>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</si>
  <si>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• 전문교과 Ⅰ(특목고) - 내용 생략</t>
  </si>
  <si>
    <t>• 전문교과(직업계고)</t>
  </si>
  <si>
    <t>• 전문교과 Ⅱ(직업계고)</t>
  </si>
  <si>
    <t>내용</t>
  </si>
  <si>
    <t>필수이수학점</t>
  </si>
  <si>
    <t>전문공통과목</t>
  </si>
  <si>
    <t>성공적인직업생활
노동인권과산업안전보건
디지털과직업생활</t>
  </si>
  <si>
    <t>기초과목</t>
  </si>
  <si>
    <t>전공일반과목</t>
  </si>
  <si>
    <t>전공실무과목</t>
  </si>
  <si>
    <t>이수
학점
증감
범위</t>
  </si>
  <si>
    <t>편성가능
학점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</si>
  <si>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</si>
  <si>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</si>
  <si>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</si>
  <si>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</si>
  <si>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</si>
  <si>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</si>
  <si>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</si>
  <si>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</si>
  <si>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</si>
  <si>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</si>
  <si>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</si>
  <si>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</si>
  <si>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</si>
  <si>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</si>
  <si>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</si>
  <si>
    <t>학기별
이수
과목
편성</t>
  </si>
  <si>
    <t>모든 과목은 학기 단위로 이수</t>
  </si>
  <si>
    <t>&lt;보통교과&gt;</t>
  </si>
  <si>
    <t>편성 불가</t>
  </si>
  <si>
    <t>편성 가능</t>
  </si>
  <si>
    <t>&lt;전문교과&gt;</t>
  </si>
  <si>
    <t>-</t>
  </si>
  <si>
    <t>※  단, 전공실무과목은 하나의 능력 단위가 다음 학기에 이어서 평가하지 않는다는 전제하에 2개 학기 편성·운영 가능</t>
  </si>
  <si>
    <t>창의적
체험
활동</t>
  </si>
  <si>
    <t>• 4개 영역: 자율활동, 동아리 활동, 봉사활동, 진로 활동</t>
  </si>
  <si>
    <r>
      <rPr>
        <sz val="10"/>
        <color theme="1"/>
        <rFont val="Malgun Gothic"/>
        <family val="3"/>
        <charset val="129"/>
      </rP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</si>
  <si>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</si>
  <si>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성공적인 직업 생활</t>
    <phoneticPr fontId="37" type="noConversion"/>
  </si>
  <si>
    <t>노동 인권과 산업 안전 보건</t>
    <phoneticPr fontId="37" type="noConversion"/>
  </si>
  <si>
    <t>회계 원리</t>
    <phoneticPr fontId="37" type="noConversion"/>
  </si>
  <si>
    <t>상업 경제</t>
    <phoneticPr fontId="37" type="noConversion"/>
  </si>
  <si>
    <t>전자 상거래 실무</t>
    <phoneticPr fontId="37" type="noConversion"/>
  </si>
  <si>
    <t>전자 상거래 일반</t>
    <phoneticPr fontId="37" type="noConversion"/>
  </si>
  <si>
    <t>사무 행정</t>
    <phoneticPr fontId="37" type="noConversion"/>
  </si>
  <si>
    <t>회계 실무</t>
    <phoneticPr fontId="37" type="noConversion"/>
  </si>
  <si>
    <t>컴퓨터 그래픽</t>
    <phoneticPr fontId="37" type="noConversion"/>
  </si>
  <si>
    <t>0203020105_20v4</t>
    <phoneticPr fontId="37" type="noConversion"/>
  </si>
  <si>
    <t>직무 의사소통</t>
    <phoneticPr fontId="37" type="noConversion"/>
  </si>
  <si>
    <t>직무 수학</t>
    <phoneticPr fontId="37" type="noConversion"/>
  </si>
  <si>
    <t>직무 영어</t>
    <phoneticPr fontId="37" type="noConversion"/>
  </si>
  <si>
    <t>경영·금융</t>
    <phoneticPr fontId="37" type="noConversion"/>
  </si>
  <si>
    <t>회계 정보 처리 시스템</t>
    <phoneticPr fontId="37" type="noConversion"/>
  </si>
  <si>
    <t>2~</t>
    <phoneticPr fontId="37" type="noConversion"/>
  </si>
  <si>
    <t>사무관리</t>
    <phoneticPr fontId="37" type="noConversion"/>
  </si>
  <si>
    <t>유통일반</t>
    <phoneticPr fontId="37" type="noConversion"/>
  </si>
  <si>
    <t>유통관리</t>
    <phoneticPr fontId="37" type="noConversion"/>
  </si>
  <si>
    <t>시각 디자인</t>
    <phoneticPr fontId="37" type="noConversion"/>
  </si>
  <si>
    <t>문화·예술·디자인·방송</t>
    <phoneticPr fontId="37" type="noConversion"/>
  </si>
  <si>
    <t>김장희</t>
    <phoneticPr fontId="37" type="noConversion"/>
  </si>
  <si>
    <t>경영 지원 사무원
물류 관리 사무원</t>
    <phoneticPr fontId="37" type="noConversion"/>
  </si>
  <si>
    <t>전공일반(선택)</t>
    <phoneticPr fontId="37" type="noConversion"/>
  </si>
  <si>
    <t>전공일반(기초)</t>
    <phoneticPr fontId="37" type="noConversion"/>
  </si>
  <si>
    <t>전공일반(선텍)</t>
    <phoneticPr fontId="37" type="noConversion"/>
  </si>
  <si>
    <t>2027학년도 교육과정 편제 및 학점배당표(마이스터고/특성화고)</t>
    <phoneticPr fontId="37" type="noConversion"/>
  </si>
  <si>
    <t>금융 일반</t>
    <phoneticPr fontId="37" type="noConversion"/>
  </si>
  <si>
    <t>전공실무(선택)</t>
    <phoneticPr fontId="37" type="noConversion"/>
  </si>
  <si>
    <t>전공실무(기초)</t>
    <phoneticPr fontId="37" type="noConversion"/>
  </si>
  <si>
    <t>심화코스1
(사무행정코스)</t>
    <phoneticPr fontId="37" type="noConversion"/>
  </si>
  <si>
    <t>심화코스2
(경영디자인코스)</t>
    <phoneticPr fontId="37" type="noConversion"/>
  </si>
  <si>
    <t>전표관리</t>
    <phoneticPr fontId="37" type="noConversion"/>
  </si>
  <si>
    <t>02030201_14V2</t>
    <phoneticPr fontId="37" type="noConversion"/>
  </si>
  <si>
    <t>자금관리</t>
    <phoneticPr fontId="37" type="noConversion"/>
  </si>
  <si>
    <t>02030202_14V2</t>
    <phoneticPr fontId="37" type="noConversion"/>
  </si>
  <si>
    <t>결산관리</t>
    <phoneticPr fontId="37" type="noConversion"/>
  </si>
  <si>
    <t>0203020104_14v2</t>
    <phoneticPr fontId="37" type="noConversion"/>
  </si>
  <si>
    <t>회계정보시스템 운용</t>
    <phoneticPr fontId="37" type="noConversion"/>
  </si>
  <si>
    <t>문서작성</t>
    <phoneticPr fontId="37" type="noConversion"/>
  </si>
  <si>
    <t>0202030201_22v3</t>
    <phoneticPr fontId="37" type="noConversion"/>
  </si>
  <si>
    <t>문서관리</t>
    <phoneticPr fontId="37" type="noConversion"/>
  </si>
  <si>
    <t>0202030202_22v3</t>
    <phoneticPr fontId="37" type="noConversion"/>
  </si>
  <si>
    <t>사무자동화 프로그램 활용</t>
    <phoneticPr fontId="37" type="noConversion"/>
  </si>
  <si>
    <t>0202030207_22v4</t>
    <phoneticPr fontId="37" type="noConversion"/>
  </si>
  <si>
    <t>회의 운영</t>
    <phoneticPr fontId="37" type="noConversion"/>
  </si>
  <si>
    <t>0202030206_22v4</t>
    <phoneticPr fontId="37" type="noConversion"/>
  </si>
  <si>
    <t>사무행정 업무관리</t>
    <phoneticPr fontId="37" type="noConversion"/>
  </si>
  <si>
    <t>사무환경조성</t>
    <phoneticPr fontId="37" type="noConversion"/>
  </si>
  <si>
    <t>0202030208_22v4</t>
    <phoneticPr fontId="37" type="noConversion"/>
  </si>
  <si>
    <t>사이트 구축</t>
    <phoneticPr fontId="37" type="noConversion"/>
  </si>
  <si>
    <t>1003010204_16v2</t>
    <phoneticPr fontId="37" type="noConversion"/>
  </si>
  <si>
    <t>판매관리</t>
    <phoneticPr fontId="37" type="noConversion"/>
  </si>
  <si>
    <t>1003010207_16v2</t>
    <phoneticPr fontId="37" type="noConversion"/>
  </si>
  <si>
    <t>고객관리</t>
    <phoneticPr fontId="37" type="noConversion"/>
  </si>
  <si>
    <t>1003010208_13v1</t>
    <phoneticPr fontId="37" type="noConversion"/>
  </si>
  <si>
    <t>1003010209_13v1</t>
    <phoneticPr fontId="37" type="noConversion"/>
  </si>
  <si>
    <t>상품매입</t>
    <phoneticPr fontId="37" type="noConversion"/>
  </si>
  <si>
    <t>0201030402_21v2</t>
    <phoneticPr fontId="37" type="noConversion"/>
  </si>
  <si>
    <t>매장관리</t>
    <phoneticPr fontId="37" type="noConversion"/>
  </si>
  <si>
    <t>0201030403_21v2</t>
    <phoneticPr fontId="37" type="noConversion"/>
  </si>
  <si>
    <t>0201030406_21v2</t>
    <phoneticPr fontId="37" type="noConversion"/>
  </si>
  <si>
    <t>유통물류관리</t>
    <phoneticPr fontId="37" type="noConversion"/>
  </si>
  <si>
    <t>0201030408_21v2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</si>
</sst>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4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i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1"/>
      <color rgb="FF002060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24"/>
      <color rgb="FF21798F"/>
      <name val="Malgun Gothic"/>
      <family val="3"/>
      <charset val="129"/>
    </font>
    <font>
      <b/>
      <sz val="10"/>
      <color rgb="FF292929"/>
      <name val="Malgun Gothic"/>
      <family val="3"/>
      <charset val="129"/>
    </font>
    <font>
      <sz val="10"/>
      <color rgb="FF292929"/>
      <name val="Malgun Gothic"/>
      <family val="3"/>
      <charset val="129"/>
    </font>
    <font>
      <b/>
      <u/>
      <sz val="10"/>
      <color rgb="FFFF0000"/>
      <name val="Malgun Gothic"/>
      <family val="3"/>
      <charset val="129"/>
    </font>
    <font>
      <b/>
      <u/>
      <sz val="10"/>
      <color rgb="FFFF0000"/>
      <name val="Malgun Gothic"/>
      <family val="3"/>
      <charset val="129"/>
    </font>
    <font>
      <b/>
      <sz val="10"/>
      <color rgb="FF0000FF"/>
      <name val="Malgun Gothic"/>
      <family val="3"/>
      <charset val="129"/>
    </font>
    <font>
      <b/>
      <u/>
      <sz val="10"/>
      <color rgb="FFFF000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9"/>
      <color rgb="FF0000FF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10"/>
      <color theme="1"/>
      <name val="맑은 고딕"/>
      <family val="3"/>
      <charset val="129"/>
    </font>
    <font>
      <b/>
      <sz val="24"/>
      <color rgb="FF21798F"/>
      <name val="Arial"/>
      <family val="2"/>
    </font>
    <font>
      <b/>
      <sz val="24"/>
      <color rgb="FF21798F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sz val="10"/>
      <color rgb="FF292929"/>
      <name val="맑은 고딕"/>
      <family val="3"/>
      <charset val="129"/>
    </font>
    <font>
      <sz val="10"/>
      <color theme="1"/>
      <name val="Arial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sz val="10"/>
      <color rgb="FF000000"/>
      <name val="함초롬바탕"/>
      <family val="1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ADFD1"/>
        <bgColor rgb="FFFADFD1"/>
      </patternFill>
    </fill>
    <fill>
      <patternFill patternType="solid">
        <fgColor rgb="FFF8D1D3"/>
        <bgColor rgb="FFF8D1D3"/>
      </patternFill>
    </fill>
    <fill>
      <patternFill patternType="solid">
        <fgColor rgb="FFD6D8E7"/>
        <bgColor rgb="FFD6D8E7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FFCCFF"/>
        <bgColor rgb="FFFFCC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E9D3D7"/>
        <bgColor rgb="FFE9D3D7"/>
      </patternFill>
    </fill>
    <fill>
      <patternFill patternType="solid">
        <fgColor rgb="FFB5E8F3"/>
        <bgColor rgb="FFB5E8F3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/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 style="thin">
        <color rgb="FF000000"/>
      </right>
      <top style="medium">
        <color indexed="64"/>
      </top>
      <bottom style="hair">
        <color rgb="FF000000"/>
      </bottom>
      <diagonal/>
    </border>
    <border>
      <left style="thin">
        <color rgb="FF000000"/>
      </left>
      <right/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0" fillId="0" borderId="158">
      <alignment vertical="center"/>
    </xf>
  </cellStyleXfs>
  <cellXfs count="511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6" fillId="0" borderId="25" xfId="0" applyFont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5" borderId="44" xfId="0" applyFont="1" applyFill="1" applyBorder="1" applyAlignment="1">
      <alignment horizontal="center" vertical="center"/>
    </xf>
    <xf numFmtId="176" fontId="6" fillId="6" borderId="59" xfId="0" applyNumberFormat="1" applyFont="1" applyFill="1" applyBorder="1" applyAlignment="1">
      <alignment horizontal="center" vertical="center" wrapText="1"/>
    </xf>
    <xf numFmtId="0" fontId="6" fillId="6" borderId="60" xfId="0" applyFont="1" applyFill="1" applyBorder="1" applyAlignment="1">
      <alignment horizontal="center" vertical="center" wrapText="1"/>
    </xf>
    <xf numFmtId="0" fontId="6" fillId="6" borderId="61" xfId="0" applyFont="1" applyFill="1" applyBorder="1" applyAlignment="1">
      <alignment horizontal="center" vertical="center" wrapText="1"/>
    </xf>
    <xf numFmtId="0" fontId="6" fillId="6" borderId="62" xfId="0" applyFont="1" applyFill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6" fontId="6" fillId="6" borderId="69" xfId="0" applyNumberFormat="1" applyFont="1" applyFill="1" applyBorder="1" applyAlignment="1">
      <alignment horizontal="center" vertical="center" wrapText="1"/>
    </xf>
    <xf numFmtId="0" fontId="6" fillId="6" borderId="72" xfId="0" applyFont="1" applyFill="1" applyBorder="1" applyAlignment="1">
      <alignment horizontal="center" vertical="center" wrapText="1"/>
    </xf>
    <xf numFmtId="0" fontId="6" fillId="6" borderId="73" xfId="0" applyFont="1" applyFill="1" applyBorder="1" applyAlignment="1">
      <alignment horizontal="center" vertical="center" wrapText="1"/>
    </xf>
    <xf numFmtId="0" fontId="6" fillId="6" borderId="74" xfId="0" applyFont="1" applyFill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76" fontId="6" fillId="6" borderId="77" xfId="0" applyNumberFormat="1" applyFont="1" applyFill="1" applyBorder="1" applyAlignment="1">
      <alignment horizontal="center" vertical="center" wrapText="1"/>
    </xf>
    <xf numFmtId="0" fontId="6" fillId="6" borderId="78" xfId="0" applyFont="1" applyFill="1" applyBorder="1" applyAlignment="1">
      <alignment horizontal="center" vertical="center" wrapText="1"/>
    </xf>
    <xf numFmtId="0" fontId="6" fillId="6" borderId="79" xfId="0" applyFont="1" applyFill="1" applyBorder="1" applyAlignment="1">
      <alignment horizontal="center" vertical="center" wrapText="1"/>
    </xf>
    <xf numFmtId="0" fontId="6" fillId="6" borderId="82" xfId="0" applyFont="1" applyFill="1" applyBorder="1" applyAlignment="1">
      <alignment horizontal="center" vertical="center" wrapText="1"/>
    </xf>
    <xf numFmtId="0" fontId="6" fillId="6" borderId="83" xfId="0" applyFont="1" applyFill="1" applyBorder="1" applyAlignment="1">
      <alignment horizontal="center" vertical="center" wrapText="1"/>
    </xf>
    <xf numFmtId="0" fontId="6" fillId="6" borderId="84" xfId="0" applyFont="1" applyFill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176" fontId="6" fillId="6" borderId="96" xfId="0" applyNumberFormat="1" applyFont="1" applyFill="1" applyBorder="1" applyAlignment="1">
      <alignment horizontal="center" vertical="center" wrapText="1"/>
    </xf>
    <xf numFmtId="0" fontId="6" fillId="6" borderId="97" xfId="0" applyFont="1" applyFill="1" applyBorder="1" applyAlignment="1">
      <alignment horizontal="center" vertical="center" wrapText="1"/>
    </xf>
    <xf numFmtId="176" fontId="6" fillId="6" borderId="102" xfId="0" applyNumberFormat="1" applyFont="1" applyFill="1" applyBorder="1" applyAlignment="1">
      <alignment horizontal="center" vertical="center" wrapText="1"/>
    </xf>
    <xf numFmtId="0" fontId="6" fillId="6" borderId="103" xfId="0" applyFont="1" applyFill="1" applyBorder="1" applyAlignment="1">
      <alignment horizontal="center" vertical="center" wrapText="1"/>
    </xf>
    <xf numFmtId="0" fontId="6" fillId="6" borderId="104" xfId="0" applyFont="1" applyFill="1" applyBorder="1" applyAlignment="1">
      <alignment horizontal="center" vertical="center" wrapText="1"/>
    </xf>
    <xf numFmtId="0" fontId="6" fillId="6" borderId="10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6" borderId="108" xfId="0" applyFont="1" applyFill="1" applyBorder="1" applyAlignment="1">
      <alignment horizontal="center" vertical="center" wrapText="1"/>
    </xf>
    <xf numFmtId="0" fontId="6" fillId="8" borderId="111" xfId="0" applyFont="1" applyFill="1" applyBorder="1" applyAlignment="1">
      <alignment horizontal="center" vertical="center" wrapText="1"/>
    </xf>
    <xf numFmtId="0" fontId="6" fillId="8" borderId="112" xfId="0" applyFont="1" applyFill="1" applyBorder="1" applyAlignment="1">
      <alignment horizontal="center" vertical="center" wrapText="1"/>
    </xf>
    <xf numFmtId="0" fontId="6" fillId="8" borderId="113" xfId="0" applyFont="1" applyFill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10" fillId="6" borderId="82" xfId="0" applyFont="1" applyFill="1" applyBorder="1" applyAlignment="1">
      <alignment horizontal="center" vertical="center" wrapText="1"/>
    </xf>
    <xf numFmtId="0" fontId="10" fillId="6" borderId="117" xfId="0" applyFont="1" applyFill="1" applyBorder="1" applyAlignment="1">
      <alignment horizontal="center" vertical="center" wrapText="1"/>
    </xf>
    <xf numFmtId="0" fontId="10" fillId="6" borderId="118" xfId="0" applyFont="1" applyFill="1" applyBorder="1" applyAlignment="1">
      <alignment horizontal="center" vertical="center" wrapText="1"/>
    </xf>
    <xf numFmtId="0" fontId="6" fillId="6" borderId="69" xfId="0" applyFont="1" applyFill="1" applyBorder="1" applyAlignment="1">
      <alignment horizontal="center" vertical="center" shrinkToFit="1"/>
    </xf>
    <xf numFmtId="0" fontId="10" fillId="6" borderId="129" xfId="0" applyFont="1" applyFill="1" applyBorder="1" applyAlignment="1">
      <alignment horizontal="center" vertical="center" wrapText="1"/>
    </xf>
    <xf numFmtId="0" fontId="6" fillId="6" borderId="96" xfId="0" applyFont="1" applyFill="1" applyBorder="1" applyAlignment="1">
      <alignment horizontal="center" vertical="center" shrinkToFit="1"/>
    </xf>
    <xf numFmtId="0" fontId="10" fillId="6" borderId="10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8" borderId="138" xfId="0" applyFont="1" applyFill="1" applyBorder="1" applyAlignment="1">
      <alignment horizontal="center" vertical="center" wrapText="1"/>
    </xf>
    <xf numFmtId="0" fontId="6" fillId="7" borderId="139" xfId="0" applyFont="1" applyFill="1" applyBorder="1" applyAlignment="1">
      <alignment horizontal="center" vertical="center" wrapText="1"/>
    </xf>
    <xf numFmtId="0" fontId="6" fillId="7" borderId="140" xfId="0" applyFont="1" applyFill="1" applyBorder="1" applyAlignment="1">
      <alignment horizontal="center" vertical="center" wrapText="1"/>
    </xf>
    <xf numFmtId="0" fontId="6" fillId="7" borderId="14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10" borderId="29" xfId="0" applyFont="1" applyFill="1" applyBorder="1" applyAlignment="1">
      <alignment horizontal="center" vertical="center" wrapText="1"/>
    </xf>
    <xf numFmtId="0" fontId="18" fillId="0" borderId="66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67" xfId="0" applyFont="1" applyBorder="1" applyAlignment="1">
      <alignment horizontal="left" vertical="center"/>
    </xf>
    <xf numFmtId="0" fontId="1" fillId="11" borderId="8" xfId="0" applyFont="1" applyFill="1" applyBorder="1" applyAlignment="1">
      <alignment horizontal="center" vertical="center" shrinkToFit="1"/>
    </xf>
    <xf numFmtId="176" fontId="1" fillId="11" borderId="8" xfId="0" applyNumberFormat="1" applyFont="1" applyFill="1" applyBorder="1" applyAlignment="1">
      <alignment horizontal="center" vertical="center" shrinkToFit="1"/>
    </xf>
    <xf numFmtId="0" fontId="18" fillId="0" borderId="66" xfId="0" applyFont="1" applyBorder="1" applyAlignment="1">
      <alignment vertical="center"/>
    </xf>
    <xf numFmtId="0" fontId="18" fillId="0" borderId="67" xfId="0" applyFont="1" applyBorder="1" applyAlignment="1">
      <alignment vertical="center"/>
    </xf>
    <xf numFmtId="0" fontId="1" fillId="11" borderId="18" xfId="0" applyFont="1" applyFill="1" applyBorder="1" applyAlignment="1">
      <alignment horizontal="center" vertical="center" shrinkToFit="1"/>
    </xf>
    <xf numFmtId="0" fontId="1" fillId="11" borderId="155" xfId="0" applyFont="1" applyFill="1" applyBorder="1" applyAlignment="1">
      <alignment horizontal="center" vertical="center" shrinkToFit="1"/>
    </xf>
    <xf numFmtId="176" fontId="1" fillId="11" borderId="18" xfId="0" applyNumberFormat="1" applyFont="1" applyFill="1" applyBorder="1" applyAlignment="1">
      <alignment horizontal="center" vertical="center" shrinkToFit="1"/>
    </xf>
    <xf numFmtId="176" fontId="1" fillId="11" borderId="155" xfId="0" applyNumberFormat="1" applyFont="1" applyFill="1" applyBorder="1" applyAlignment="1">
      <alignment horizontal="center" vertical="center" shrinkToFit="1"/>
    </xf>
    <xf numFmtId="0" fontId="5" fillId="12" borderId="29" xfId="0" applyFont="1" applyFill="1" applyBorder="1" applyAlignment="1">
      <alignment horizontal="center" vertical="center" shrinkToFit="1"/>
    </xf>
    <xf numFmtId="176" fontId="5" fillId="12" borderId="29" xfId="0" applyNumberFormat="1" applyFont="1" applyFill="1" applyBorder="1" applyAlignment="1">
      <alignment horizontal="center" vertical="center" shrinkToFit="1"/>
    </xf>
    <xf numFmtId="176" fontId="5" fillId="12" borderId="29" xfId="0" applyNumberFormat="1" applyFont="1" applyFill="1" applyBorder="1" applyAlignment="1">
      <alignment horizontal="right" vertical="center" shrinkToFit="1"/>
    </xf>
    <xf numFmtId="176" fontId="5" fillId="12" borderId="31" xfId="0" applyNumberFormat="1" applyFont="1" applyFill="1" applyBorder="1" applyAlignment="1">
      <alignment horizontal="right" vertical="center" shrinkToFit="1"/>
    </xf>
    <xf numFmtId="0" fontId="1" fillId="11" borderId="158" xfId="0" applyFont="1" applyFill="1" applyBorder="1" applyAlignment="1">
      <alignment horizontal="center" vertical="center" shrinkToFit="1"/>
    </xf>
    <xf numFmtId="176" fontId="5" fillId="12" borderId="31" xfId="0" applyNumberFormat="1" applyFont="1" applyFill="1" applyBorder="1" applyAlignment="1">
      <alignment horizontal="center" vertical="center" shrinkToFit="1"/>
    </xf>
    <xf numFmtId="0" fontId="1" fillId="0" borderId="148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159" xfId="0" applyFont="1" applyBorder="1" applyAlignment="1">
      <alignment horizontal="center" vertical="center" shrinkToFit="1"/>
    </xf>
    <xf numFmtId="0" fontId="1" fillId="0" borderId="151" xfId="0" applyFont="1" applyBorder="1" applyAlignment="1">
      <alignment horizontal="center" vertical="center" shrinkToFit="1"/>
    </xf>
    <xf numFmtId="0" fontId="17" fillId="4" borderId="7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7" fillId="4" borderId="160" xfId="0" applyFont="1" applyFill="1" applyBorder="1" applyAlignment="1">
      <alignment horizontal="center" vertical="center" wrapText="1"/>
    </xf>
    <xf numFmtId="0" fontId="6" fillId="13" borderId="158" xfId="0" applyFont="1" applyFill="1" applyBorder="1" applyAlignment="1">
      <alignment horizontal="center" vertical="center"/>
    </xf>
    <xf numFmtId="177" fontId="6" fillId="13" borderId="15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20" fillId="0" borderId="0" xfId="0" applyFont="1" applyAlignment="1"/>
    <xf numFmtId="0" fontId="6" fillId="14" borderId="161" xfId="0" applyFont="1" applyFill="1" applyBorder="1" applyAlignment="1">
      <alignment horizontal="center" vertical="center"/>
    </xf>
    <xf numFmtId="0" fontId="6" fillId="0" borderId="10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65" xfId="0" applyFont="1" applyBorder="1" applyAlignment="1">
      <alignment vertical="center"/>
    </xf>
    <xf numFmtId="0" fontId="11" fillId="0" borderId="19" xfId="0" applyFont="1" applyBorder="1" applyAlignment="1">
      <alignment horizontal="center" vertical="center"/>
    </xf>
    <xf numFmtId="0" fontId="6" fillId="0" borderId="67" xfId="0" applyFont="1" applyBorder="1" applyAlignment="1">
      <alignment vertical="center"/>
    </xf>
    <xf numFmtId="0" fontId="6" fillId="0" borderId="66" xfId="0" applyFont="1" applyBorder="1" applyAlignment="1">
      <alignment vertical="center"/>
    </xf>
    <xf numFmtId="0" fontId="6" fillId="0" borderId="13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10" borderId="176" xfId="0" applyFont="1" applyFill="1" applyBorder="1" applyAlignment="1">
      <alignment horizontal="center" vertical="center" wrapText="1"/>
    </xf>
    <xf numFmtId="0" fontId="6" fillId="10" borderId="177" xfId="0" applyFont="1" applyFill="1" applyBorder="1" applyAlignment="1">
      <alignment horizontal="center" vertical="center" wrapText="1"/>
    </xf>
    <xf numFmtId="0" fontId="22" fillId="10" borderId="177" xfId="0" applyFont="1" applyFill="1" applyBorder="1" applyAlignment="1">
      <alignment horizontal="center" vertical="center" wrapText="1"/>
    </xf>
    <xf numFmtId="0" fontId="22" fillId="10" borderId="178" xfId="0" applyFont="1" applyFill="1" applyBorder="1" applyAlignment="1">
      <alignment horizontal="center" vertical="center" wrapText="1"/>
    </xf>
    <xf numFmtId="0" fontId="6" fillId="0" borderId="6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23" fillId="0" borderId="183" xfId="0" applyFont="1" applyBorder="1" applyAlignment="1">
      <alignment horizontal="center" vertical="center" wrapText="1"/>
    </xf>
    <xf numFmtId="0" fontId="23" fillId="0" borderId="185" xfId="0" applyFont="1" applyBorder="1" applyAlignment="1">
      <alignment horizontal="center" vertical="center" wrapText="1"/>
    </xf>
    <xf numFmtId="0" fontId="23" fillId="0" borderId="18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89" xfId="0" applyFont="1" applyBorder="1" applyAlignment="1">
      <alignment horizontal="center" vertical="center" wrapText="1"/>
    </xf>
    <xf numFmtId="0" fontId="23" fillId="0" borderId="190" xfId="0" applyFont="1" applyBorder="1" applyAlignment="1">
      <alignment horizontal="center" vertical="center" wrapText="1"/>
    </xf>
    <xf numFmtId="0" fontId="23" fillId="0" borderId="191" xfId="0" applyFont="1" applyBorder="1" applyAlignment="1">
      <alignment horizontal="center" vertical="center" wrapText="1"/>
    </xf>
    <xf numFmtId="0" fontId="23" fillId="0" borderId="192" xfId="0" applyFont="1" applyBorder="1" applyAlignment="1">
      <alignment horizontal="center" vertical="center" wrapText="1"/>
    </xf>
    <xf numFmtId="0" fontId="6" fillId="0" borderId="19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6" fillId="0" borderId="189" xfId="0" applyFont="1" applyBorder="1" applyAlignment="1">
      <alignment horizontal="center" vertical="center" wrapText="1"/>
    </xf>
    <xf numFmtId="0" fontId="24" fillId="10" borderId="196" xfId="0" applyFon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51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1" fillId="15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15" borderId="197" xfId="0" applyFont="1" applyFill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15" borderId="196" xfId="0" applyFont="1" applyFill="1" applyBorder="1" applyAlignment="1">
      <alignment horizontal="center" vertical="center"/>
    </xf>
    <xf numFmtId="0" fontId="11" fillId="0" borderId="15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6" fillId="0" borderId="174" xfId="0" applyFont="1" applyBorder="1" applyAlignment="1">
      <alignment vertical="center"/>
    </xf>
    <xf numFmtId="0" fontId="6" fillId="0" borderId="175" xfId="0" applyFont="1" applyBorder="1" applyAlignment="1">
      <alignment vertical="center"/>
    </xf>
    <xf numFmtId="0" fontId="6" fillId="0" borderId="203" xfId="0" applyFont="1" applyBorder="1" applyAlignment="1">
      <alignment vertical="center"/>
    </xf>
    <xf numFmtId="0" fontId="6" fillId="0" borderId="204" xfId="0" applyFont="1" applyBorder="1" applyAlignment="1">
      <alignment vertical="center"/>
    </xf>
    <xf numFmtId="0" fontId="6" fillId="0" borderId="171" xfId="0" applyFont="1" applyBorder="1" applyAlignment="1">
      <alignment vertical="center"/>
    </xf>
    <xf numFmtId="0" fontId="6" fillId="0" borderId="172" xfId="0" applyFont="1" applyBorder="1" applyAlignment="1">
      <alignment vertical="center"/>
    </xf>
    <xf numFmtId="0" fontId="6" fillId="0" borderId="205" xfId="0" applyFont="1" applyBorder="1" applyAlignment="1">
      <alignment vertical="center"/>
    </xf>
    <xf numFmtId="0" fontId="6" fillId="0" borderId="206" xfId="0" applyFont="1" applyBorder="1" applyAlignment="1">
      <alignment vertical="center"/>
    </xf>
    <xf numFmtId="0" fontId="0" fillId="0" borderId="0" xfId="0" applyFont="1" applyAlignment="1">
      <alignment vertical="center"/>
    </xf>
    <xf numFmtId="176" fontId="6" fillId="6" borderId="128" xfId="0" applyNumberFormat="1" applyFont="1" applyFill="1" applyBorder="1" applyAlignment="1">
      <alignment horizontal="center" vertical="center" wrapText="1"/>
    </xf>
    <xf numFmtId="0" fontId="6" fillId="6" borderId="207" xfId="0" applyFont="1" applyFill="1" applyBorder="1" applyAlignment="1">
      <alignment horizontal="center" vertical="center" wrapText="1"/>
    </xf>
    <xf numFmtId="0" fontId="6" fillId="6" borderId="117" xfId="0" applyFont="1" applyFill="1" applyBorder="1" applyAlignment="1">
      <alignment horizontal="center" vertical="center" wrapText="1"/>
    </xf>
    <xf numFmtId="0" fontId="6" fillId="6" borderId="118" xfId="0" applyFont="1" applyFill="1" applyBorder="1" applyAlignment="1">
      <alignment horizontal="center" vertical="center" wrapText="1"/>
    </xf>
    <xf numFmtId="176" fontId="6" fillId="6" borderId="211" xfId="0" applyNumberFormat="1" applyFont="1" applyFill="1" applyBorder="1" applyAlignment="1">
      <alignment horizontal="center" vertical="center" wrapText="1"/>
    </xf>
    <xf numFmtId="0" fontId="6" fillId="6" borderId="214" xfId="0" applyFont="1" applyFill="1" applyBorder="1" applyAlignment="1">
      <alignment horizontal="center" vertical="center" wrapText="1"/>
    </xf>
    <xf numFmtId="0" fontId="6" fillId="6" borderId="215" xfId="0" applyFont="1" applyFill="1" applyBorder="1" applyAlignment="1">
      <alignment horizontal="center" vertical="center" wrapText="1"/>
    </xf>
    <xf numFmtId="0" fontId="6" fillId="6" borderId="216" xfId="0" applyFont="1" applyFill="1" applyBorder="1" applyAlignment="1">
      <alignment horizontal="center" vertical="center" wrapText="1"/>
    </xf>
    <xf numFmtId="176" fontId="6" fillId="6" borderId="226" xfId="0" applyNumberFormat="1" applyFont="1" applyFill="1" applyBorder="1" applyAlignment="1">
      <alignment horizontal="center" vertical="center" wrapText="1"/>
    </xf>
    <xf numFmtId="0" fontId="6" fillId="6" borderId="229" xfId="0" applyFont="1" applyFill="1" applyBorder="1" applyAlignment="1">
      <alignment horizontal="center" vertical="center" wrapText="1"/>
    </xf>
    <xf numFmtId="0" fontId="6" fillId="6" borderId="230" xfId="0" applyFont="1" applyFill="1" applyBorder="1" applyAlignment="1">
      <alignment horizontal="center" vertical="center" wrapText="1"/>
    </xf>
    <xf numFmtId="0" fontId="6" fillId="6" borderId="231" xfId="0" applyFont="1" applyFill="1" applyBorder="1" applyAlignment="1">
      <alignment horizontal="center" vertical="center" wrapText="1"/>
    </xf>
    <xf numFmtId="0" fontId="6" fillId="6" borderId="128" xfId="0" applyFont="1" applyFill="1" applyBorder="1" applyAlignment="1">
      <alignment horizontal="center" vertical="center" shrinkToFit="1"/>
    </xf>
    <xf numFmtId="0" fontId="10" fillId="6" borderId="78" xfId="0" applyFont="1" applyFill="1" applyBorder="1" applyAlignment="1">
      <alignment horizontal="center" vertical="center" wrapText="1"/>
    </xf>
    <xf numFmtId="0" fontId="10" fillId="6" borderId="79" xfId="0" applyFont="1" applyFill="1" applyBorder="1" applyAlignment="1">
      <alignment horizontal="center" vertical="center" wrapText="1"/>
    </xf>
    <xf numFmtId="0" fontId="6" fillId="6" borderId="77" xfId="0" applyFont="1" applyFill="1" applyBorder="1" applyAlignment="1">
      <alignment horizontal="center" vertical="center" shrinkToFit="1"/>
    </xf>
    <xf numFmtId="0" fontId="6" fillId="6" borderId="211" xfId="0" applyFont="1" applyFill="1" applyBorder="1" applyAlignment="1">
      <alignment horizontal="center" vertical="center" shrinkToFit="1"/>
    </xf>
    <xf numFmtId="0" fontId="10" fillId="6" borderId="214" xfId="0" applyFont="1" applyFill="1" applyBorder="1" applyAlignment="1">
      <alignment horizontal="center" vertical="center" wrapText="1"/>
    </xf>
    <xf numFmtId="0" fontId="10" fillId="6" borderId="216" xfId="0" applyFont="1" applyFill="1" applyBorder="1" applyAlignment="1">
      <alignment horizontal="center" vertical="center" wrapText="1"/>
    </xf>
    <xf numFmtId="0" fontId="6" fillId="6" borderId="240" xfId="0" applyFont="1" applyFill="1" applyBorder="1" applyAlignment="1">
      <alignment horizontal="center" vertical="center" shrinkToFit="1"/>
    </xf>
    <xf numFmtId="0" fontId="10" fillId="6" borderId="229" xfId="0" applyFont="1" applyFill="1" applyBorder="1" applyAlignment="1">
      <alignment horizontal="center" vertical="center" wrapText="1"/>
    </xf>
    <xf numFmtId="0" fontId="10" fillId="6" borderId="236" xfId="0" applyFont="1" applyFill="1" applyBorder="1" applyAlignment="1">
      <alignment horizontal="center" vertical="center" wrapText="1"/>
    </xf>
    <xf numFmtId="0" fontId="11" fillId="15" borderId="197" xfId="0" applyFont="1" applyFill="1" applyBorder="1" applyAlignment="1">
      <alignment horizontal="center" vertical="center" shrinkToFit="1"/>
    </xf>
    <xf numFmtId="0" fontId="6" fillId="0" borderId="48" xfId="0" applyFont="1" applyBorder="1" applyAlignment="1">
      <alignment horizontal="center" vertical="center" wrapText="1"/>
    </xf>
    <xf numFmtId="0" fontId="6" fillId="0" borderId="207" xfId="0" applyFont="1" applyBorder="1" applyAlignment="1">
      <alignment horizontal="center" vertical="center" wrapText="1"/>
    </xf>
    <xf numFmtId="0" fontId="6" fillId="0" borderId="241" xfId="0" applyFont="1" applyBorder="1" applyAlignment="1">
      <alignment horizontal="center" vertical="center" wrapText="1"/>
    </xf>
    <xf numFmtId="0" fontId="6" fillId="0" borderId="130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shrinkToFit="1"/>
    </xf>
    <xf numFmtId="0" fontId="6" fillId="0" borderId="158" xfId="0" applyFont="1" applyFill="1" applyBorder="1" applyAlignment="1">
      <alignment horizontal="center" vertical="center" shrinkToFit="1"/>
    </xf>
    <xf numFmtId="0" fontId="10" fillId="0" borderId="158" xfId="0" applyFont="1" applyFill="1" applyBorder="1" applyAlignment="1">
      <alignment horizontal="center" vertical="center" wrapText="1"/>
    </xf>
    <xf numFmtId="0" fontId="6" fillId="0" borderId="158" xfId="0" applyFont="1" applyFill="1" applyBorder="1" applyAlignment="1">
      <alignment horizontal="center" vertical="center" wrapText="1"/>
    </xf>
    <xf numFmtId="0" fontId="1" fillId="0" borderId="158" xfId="0" applyFont="1" applyFill="1" applyBorder="1" applyAlignment="1">
      <alignment vertical="center"/>
    </xf>
    <xf numFmtId="0" fontId="0" fillId="0" borderId="158" xfId="0" applyFont="1" applyFill="1" applyBorder="1" applyAlignment="1">
      <alignment vertical="center"/>
    </xf>
    <xf numFmtId="0" fontId="6" fillId="0" borderId="108" xfId="0" applyFont="1" applyBorder="1" applyAlignment="1">
      <alignment horizontal="center" vertical="center" wrapText="1"/>
    </xf>
    <xf numFmtId="0" fontId="6" fillId="6" borderId="245" xfId="0" applyFont="1" applyFill="1" applyBorder="1" applyAlignment="1">
      <alignment horizontal="center" vertical="center" shrinkToFit="1"/>
    </xf>
    <xf numFmtId="0" fontId="6" fillId="0" borderId="215" xfId="0" applyFont="1" applyBorder="1" applyAlignment="1">
      <alignment horizontal="center" vertical="center" wrapText="1"/>
    </xf>
    <xf numFmtId="0" fontId="6" fillId="6" borderId="246" xfId="0" applyFont="1" applyFill="1" applyBorder="1" applyAlignment="1">
      <alignment horizontal="center" vertical="center" shrinkToFit="1"/>
    </xf>
    <xf numFmtId="0" fontId="6" fillId="6" borderId="248" xfId="0" applyFont="1" applyFill="1" applyBorder="1" applyAlignment="1">
      <alignment horizontal="center" vertical="center" shrinkToFit="1"/>
    </xf>
    <xf numFmtId="0" fontId="10" fillId="6" borderId="249" xfId="0" applyFont="1" applyFill="1" applyBorder="1" applyAlignment="1">
      <alignment horizontal="center" vertical="center" wrapText="1"/>
    </xf>
    <xf numFmtId="0" fontId="6" fillId="0" borderId="230" xfId="0" applyFont="1" applyBorder="1" applyAlignment="1">
      <alignment horizontal="center" vertical="center" wrapText="1"/>
    </xf>
    <xf numFmtId="0" fontId="10" fillId="6" borderId="231" xfId="0" applyFont="1" applyFill="1" applyBorder="1" applyAlignment="1">
      <alignment horizontal="center" vertical="center" wrapText="1"/>
    </xf>
    <xf numFmtId="0" fontId="6" fillId="6" borderId="251" xfId="0" applyFont="1" applyFill="1" applyBorder="1" applyAlignment="1">
      <alignment horizontal="center" vertical="center" shrinkToFit="1"/>
    </xf>
    <xf numFmtId="0" fontId="6" fillId="6" borderId="223" xfId="0" applyFont="1" applyFill="1" applyBorder="1" applyAlignment="1">
      <alignment horizontal="center" vertical="center" shrinkToFit="1"/>
    </xf>
    <xf numFmtId="0" fontId="41" fillId="17" borderId="252" xfId="1" applyFont="1" applyFill="1" applyBorder="1" applyAlignment="1">
      <alignment horizontal="center" vertical="center" shrinkToFit="1"/>
    </xf>
    <xf numFmtId="176" fontId="41" fillId="17" borderId="252" xfId="1" applyNumberFormat="1" applyFont="1" applyFill="1" applyBorder="1" applyAlignment="1">
      <alignment horizontal="center" vertical="center" shrinkToFit="1"/>
    </xf>
    <xf numFmtId="176" fontId="41" fillId="17" borderId="253" xfId="1" applyNumberFormat="1" applyFont="1" applyFill="1" applyBorder="1" applyAlignment="1">
      <alignment horizontal="center" vertical="center" shrinkToFit="1"/>
    </xf>
    <xf numFmtId="176" fontId="42" fillId="0" borderId="252" xfId="0" applyNumberFormat="1" applyFont="1" applyBorder="1" applyAlignment="1">
      <alignment horizontal="center" vertical="center"/>
    </xf>
    <xf numFmtId="176" fontId="42" fillId="0" borderId="254" xfId="0" applyNumberFormat="1" applyFont="1" applyBorder="1" applyAlignment="1">
      <alignment horizontal="center" vertical="center"/>
    </xf>
    <xf numFmtId="0" fontId="41" fillId="17" borderId="255" xfId="1" applyFont="1" applyFill="1" applyBorder="1" applyAlignment="1">
      <alignment horizontal="center" vertical="center" shrinkToFit="1"/>
    </xf>
    <xf numFmtId="0" fontId="41" fillId="17" borderId="256" xfId="1" applyFont="1" applyFill="1" applyBorder="1" applyAlignment="1">
      <alignment horizontal="center" vertical="center" shrinkToFit="1"/>
    </xf>
    <xf numFmtId="176" fontId="41" fillId="17" borderId="255" xfId="1" applyNumberFormat="1" applyFont="1" applyFill="1" applyBorder="1" applyAlignment="1">
      <alignment horizontal="center" vertical="center" shrinkToFit="1"/>
    </xf>
    <xf numFmtId="176" fontId="42" fillId="0" borderId="255" xfId="0" applyNumberFormat="1" applyFont="1" applyBorder="1" applyAlignment="1">
      <alignment horizontal="center" vertical="center"/>
    </xf>
    <xf numFmtId="176" fontId="42" fillId="0" borderId="257" xfId="0" applyNumberFormat="1" applyFont="1" applyBorder="1" applyAlignment="1">
      <alignment horizontal="center" vertical="center"/>
    </xf>
    <xf numFmtId="176" fontId="41" fillId="17" borderId="256" xfId="1" applyNumberFormat="1" applyFont="1" applyFill="1" applyBorder="1" applyAlignment="1">
      <alignment horizontal="center" vertical="center" shrinkToFit="1"/>
    </xf>
    <xf numFmtId="176" fontId="42" fillId="0" borderId="256" xfId="0" applyNumberFormat="1" applyFont="1" applyBorder="1" applyAlignment="1">
      <alignment horizontal="center" vertical="center"/>
    </xf>
    <xf numFmtId="176" fontId="42" fillId="0" borderId="258" xfId="0" applyNumberFormat="1" applyFont="1" applyBorder="1" applyAlignment="1">
      <alignment horizontal="center" vertical="center"/>
    </xf>
    <xf numFmtId="0" fontId="40" fillId="0" borderId="252" xfId="0" applyFont="1" applyBorder="1" applyAlignment="1">
      <alignment horizontal="center" vertical="center"/>
    </xf>
    <xf numFmtId="176" fontId="1" fillId="11" borderId="252" xfId="0" applyNumberFormat="1" applyFont="1" applyFill="1" applyBorder="1" applyAlignment="1">
      <alignment horizontal="center" vertical="center" shrinkToFit="1"/>
    </xf>
    <xf numFmtId="0" fontId="40" fillId="0" borderId="255" xfId="0" applyFont="1" applyBorder="1" applyAlignment="1">
      <alignment horizontal="center" vertical="center"/>
    </xf>
    <xf numFmtId="0" fontId="43" fillId="0" borderId="255" xfId="0" applyFont="1" applyBorder="1" applyAlignment="1">
      <alignment horizontal="center" vertical="center"/>
    </xf>
    <xf numFmtId="176" fontId="1" fillId="11" borderId="256" xfId="0" applyNumberFormat="1" applyFont="1" applyFill="1" applyBorder="1" applyAlignment="1">
      <alignment horizontal="center" vertical="center" shrinkToFit="1"/>
    </xf>
    <xf numFmtId="0" fontId="41" fillId="0" borderId="255" xfId="1" applyFont="1" applyBorder="1" applyAlignment="1">
      <alignment horizontal="center" vertical="center" shrinkToFit="1"/>
    </xf>
    <xf numFmtId="0" fontId="44" fillId="0" borderId="255" xfId="0" applyFont="1" applyBorder="1" applyAlignment="1">
      <alignment horizontal="center" vertical="center"/>
    </xf>
    <xf numFmtId="0" fontId="41" fillId="17" borderId="259" xfId="1" applyFont="1" applyFill="1" applyBorder="1" applyAlignment="1">
      <alignment horizontal="center" vertical="center" shrinkToFit="1"/>
    </xf>
    <xf numFmtId="176" fontId="1" fillId="11" borderId="255" xfId="0" applyNumberFormat="1" applyFont="1" applyFill="1" applyBorder="1" applyAlignment="1">
      <alignment horizontal="center" vertical="center" shrinkToFit="1"/>
    </xf>
    <xf numFmtId="0" fontId="10" fillId="0" borderId="233" xfId="0" applyFont="1" applyBorder="1" applyAlignment="1">
      <alignment horizontal="center" vertical="center" wrapText="1"/>
    </xf>
    <xf numFmtId="0" fontId="3" fillId="0" borderId="234" xfId="0" applyFont="1" applyBorder="1" applyAlignment="1">
      <alignment vertical="center"/>
    </xf>
    <xf numFmtId="0" fontId="10" fillId="0" borderId="235" xfId="0" applyFont="1" applyBorder="1" applyAlignment="1">
      <alignment horizontal="center" vertical="center" wrapText="1"/>
    </xf>
    <xf numFmtId="0" fontId="3" fillId="0" borderId="232" xfId="0" applyFont="1" applyBorder="1" applyAlignment="1">
      <alignment vertical="center"/>
    </xf>
    <xf numFmtId="0" fontId="3" fillId="0" borderId="228" xfId="0" applyFont="1" applyBorder="1" applyAlignment="1">
      <alignment vertical="center"/>
    </xf>
    <xf numFmtId="0" fontId="10" fillId="0" borderId="212" xfId="0" applyFont="1" applyBorder="1" applyAlignment="1">
      <alignment horizontal="center" vertical="center" wrapText="1"/>
    </xf>
    <xf numFmtId="0" fontId="3" fillId="0" borderId="217" xfId="0" applyFont="1" applyBorder="1" applyAlignment="1">
      <alignment vertical="center"/>
    </xf>
    <xf numFmtId="0" fontId="10" fillId="0" borderId="218" xfId="0" applyFont="1" applyBorder="1" applyAlignment="1">
      <alignment horizontal="center" vertical="center" wrapText="1"/>
    </xf>
    <xf numFmtId="0" fontId="3" fillId="0" borderId="238" xfId="0" applyFont="1" applyBorder="1" applyAlignment="1">
      <alignment vertical="center"/>
    </xf>
    <xf numFmtId="0" fontId="10" fillId="0" borderId="220" xfId="0" applyFont="1" applyBorder="1" applyAlignment="1">
      <alignment horizontal="center" vertical="center" wrapText="1"/>
    </xf>
    <xf numFmtId="0" fontId="3" fillId="0" borderId="219" xfId="0" applyFont="1" applyBorder="1" applyAlignment="1">
      <alignment vertical="center"/>
    </xf>
    <xf numFmtId="0" fontId="10" fillId="0" borderId="70" xfId="0" applyFont="1" applyBorder="1" applyAlignment="1">
      <alignment horizontal="center" vertical="center" wrapText="1"/>
    </xf>
    <xf numFmtId="0" fontId="3" fillId="0" borderId="51" xfId="0" applyFont="1" applyBorder="1" applyAlignment="1">
      <alignment vertical="center"/>
    </xf>
    <xf numFmtId="0" fontId="10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vertical="center"/>
    </xf>
    <xf numFmtId="0" fontId="10" fillId="0" borderId="54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3" fillId="0" borderId="63" xfId="0" applyFont="1" applyBorder="1" applyAlignment="1">
      <alignment vertical="center"/>
    </xf>
    <xf numFmtId="0" fontId="10" fillId="0" borderId="64" xfId="0" applyFont="1" applyBorder="1" applyAlignment="1">
      <alignment horizontal="center" vertical="center" wrapText="1"/>
    </xf>
    <xf numFmtId="0" fontId="3" fillId="0" borderId="39" xfId="0" applyFont="1" applyBorder="1" applyAlignment="1">
      <alignment vertical="center"/>
    </xf>
    <xf numFmtId="0" fontId="12" fillId="9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6" fillId="7" borderId="11" xfId="0" applyFont="1" applyFill="1" applyBorder="1" applyAlignment="1">
      <alignment horizontal="center" vertical="center" wrapText="1"/>
    </xf>
    <xf numFmtId="0" fontId="3" fillId="0" borderId="68" xfId="0" applyFont="1" applyBorder="1" applyAlignment="1">
      <alignment vertical="center"/>
    </xf>
    <xf numFmtId="0" fontId="3" fillId="0" borderId="110" xfId="0" applyFont="1" applyBorder="1" applyAlignment="1">
      <alignment vertical="center"/>
    </xf>
    <xf numFmtId="0" fontId="3" fillId="0" borderId="107" xfId="0" applyFont="1" applyBorder="1" applyAlignment="1">
      <alignment vertical="center"/>
    </xf>
    <xf numFmtId="0" fontId="6" fillId="6" borderId="127" xfId="0" applyFont="1" applyFill="1" applyBorder="1" applyAlignment="1">
      <alignment horizontal="center" vertical="center" wrapText="1"/>
    </xf>
    <xf numFmtId="0" fontId="3" fillId="0" borderId="140" xfId="0" applyFont="1" applyBorder="1" applyAlignment="1">
      <alignment vertical="center"/>
    </xf>
    <xf numFmtId="0" fontId="6" fillId="6" borderId="212" xfId="0" applyFont="1" applyFill="1" applyBorder="1" applyAlignment="1">
      <alignment horizontal="center" vertical="center" wrapText="1"/>
    </xf>
    <xf numFmtId="0" fontId="3" fillId="0" borderId="239" xfId="0" applyFont="1" applyBorder="1" applyAlignment="1">
      <alignment vertical="center"/>
    </xf>
    <xf numFmtId="0" fontId="6" fillId="6" borderId="70" xfId="0" applyFont="1" applyFill="1" applyBorder="1" applyAlignment="1">
      <alignment horizontal="center" vertical="center" wrapText="1"/>
    </xf>
    <xf numFmtId="0" fontId="3" fillId="0" borderId="247" xfId="0" applyFont="1" applyBorder="1" applyAlignment="1">
      <alignment vertical="center"/>
    </xf>
    <xf numFmtId="0" fontId="6" fillId="6" borderId="158" xfId="0" applyFont="1" applyFill="1" applyBorder="1" applyAlignment="1">
      <alignment horizontal="center" vertical="center" wrapText="1"/>
    </xf>
    <xf numFmtId="0" fontId="3" fillId="0" borderId="158" xfId="0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0" fontId="10" fillId="0" borderId="124" xfId="0" applyFont="1" applyBorder="1" applyAlignment="1">
      <alignment horizontal="center" vertical="center" wrapText="1"/>
    </xf>
    <xf numFmtId="0" fontId="3" fillId="0" borderId="119" xfId="0" applyFont="1" applyBorder="1" applyAlignment="1">
      <alignment vertical="center"/>
    </xf>
    <xf numFmtId="0" fontId="10" fillId="0" borderId="120" xfId="0" applyFont="1" applyBorder="1" applyAlignment="1">
      <alignment horizontal="center" vertical="center" wrapText="1"/>
    </xf>
    <xf numFmtId="0" fontId="3" fillId="0" borderId="123" xfId="0" applyFont="1" applyBorder="1" applyAlignment="1">
      <alignment vertical="center"/>
    </xf>
    <xf numFmtId="0" fontId="10" fillId="0" borderId="122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3" fillId="0" borderId="34" xfId="0" applyFont="1" applyBorder="1" applyAlignment="1">
      <alignment vertical="center"/>
    </xf>
    <xf numFmtId="0" fontId="6" fillId="6" borderId="1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3" fillId="0" borderId="109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6" fillId="6" borderId="227" xfId="0" applyFont="1" applyFill="1" applyBorder="1" applyAlignment="1">
      <alignment horizontal="center" vertical="center" wrapText="1"/>
    </xf>
    <xf numFmtId="0" fontId="3" fillId="0" borderId="250" xfId="0" applyFont="1" applyBorder="1" applyAlignment="1">
      <alignment vertical="center"/>
    </xf>
    <xf numFmtId="0" fontId="6" fillId="8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10" fillId="16" borderId="70" xfId="0" applyFont="1" applyFill="1" applyBorder="1" applyAlignment="1">
      <alignment horizontal="center" vertical="center" wrapText="1"/>
    </xf>
    <xf numFmtId="0" fontId="3" fillId="16" borderId="71" xfId="0" applyFont="1" applyFill="1" applyBorder="1" applyAlignment="1">
      <alignment vertical="center"/>
    </xf>
    <xf numFmtId="0" fontId="10" fillId="0" borderId="238" xfId="0" applyFont="1" applyBorder="1" applyAlignment="1">
      <alignment horizontal="center" vertical="center" wrapText="1"/>
    </xf>
    <xf numFmtId="0" fontId="3" fillId="0" borderId="213" xfId="0" applyFont="1" applyBorder="1" applyAlignment="1">
      <alignment vertical="center"/>
    </xf>
    <xf numFmtId="0" fontId="10" fillId="0" borderId="127" xfId="0" applyFont="1" applyBorder="1" applyAlignment="1">
      <alignment horizontal="center" vertical="center" wrapText="1"/>
    </xf>
    <xf numFmtId="0" fontId="3" fillId="0" borderId="208" xfId="0" applyFont="1" applyBorder="1" applyAlignment="1">
      <alignment vertical="center"/>
    </xf>
    <xf numFmtId="0" fontId="10" fillId="0" borderId="45" xfId="0" applyFont="1" applyBorder="1" applyAlignment="1">
      <alignment horizontal="center" vertical="center" wrapText="1"/>
    </xf>
    <xf numFmtId="0" fontId="3" fillId="0" borderId="195" xfId="0" applyFont="1" applyBorder="1" applyAlignment="1">
      <alignment vertical="center"/>
    </xf>
    <xf numFmtId="0" fontId="10" fillId="0" borderId="194" xfId="0" applyFont="1" applyBorder="1" applyAlignment="1">
      <alignment horizontal="center" vertical="center" wrapText="1"/>
    </xf>
    <xf numFmtId="0" fontId="3" fillId="0" borderId="209" xfId="0" applyFont="1" applyBorder="1" applyAlignment="1">
      <alignment vertical="center"/>
    </xf>
    <xf numFmtId="0" fontId="10" fillId="0" borderId="195" xfId="0" applyFont="1" applyBorder="1" applyAlignment="1">
      <alignment horizontal="center" vertical="center" wrapText="1"/>
    </xf>
    <xf numFmtId="0" fontId="10" fillId="0" borderId="227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6" fillId="8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80" xfId="0" applyFont="1" applyBorder="1" applyAlignment="1">
      <alignment horizontal="center" vertical="center" wrapText="1"/>
    </xf>
    <xf numFmtId="0" fontId="3" fillId="0" borderId="81" xfId="0" applyFont="1" applyBorder="1" applyAlignment="1">
      <alignment vertical="center"/>
    </xf>
    <xf numFmtId="0" fontId="6" fillId="6" borderId="11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3" fillId="0" borderId="116" xfId="0" applyFont="1" applyBorder="1" applyAlignment="1">
      <alignment vertical="center"/>
    </xf>
    <xf numFmtId="0" fontId="3" fillId="0" borderId="125" xfId="0" applyFont="1" applyBorder="1" applyAlignment="1">
      <alignment vertical="center"/>
    </xf>
    <xf numFmtId="0" fontId="6" fillId="6" borderId="202" xfId="0" applyFont="1" applyFill="1" applyBorder="1" applyAlignment="1">
      <alignment horizontal="center" vertical="center" wrapText="1"/>
    </xf>
    <xf numFmtId="0" fontId="6" fillId="7" borderId="116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6" fillId="6" borderId="80" xfId="0" applyFont="1" applyFill="1" applyBorder="1" applyAlignment="1">
      <alignment horizontal="center" vertical="center" wrapText="1"/>
    </xf>
    <xf numFmtId="0" fontId="3" fillId="0" borderId="85" xfId="0" applyFont="1" applyBorder="1" applyAlignment="1">
      <alignment vertical="center"/>
    </xf>
    <xf numFmtId="0" fontId="6" fillId="8" borderId="114" xfId="0" applyFont="1" applyFill="1" applyBorder="1" applyAlignment="1">
      <alignment horizontal="center" vertical="center" wrapText="1"/>
    </xf>
    <xf numFmtId="0" fontId="6" fillId="6" borderId="86" xfId="0" applyFont="1" applyFill="1" applyBorder="1" applyAlignment="1">
      <alignment horizontal="center" vertical="center" wrapText="1"/>
    </xf>
    <xf numFmtId="0" fontId="3" fillId="0" borderId="87" xfId="0" applyFont="1" applyBorder="1" applyAlignment="1">
      <alignment vertical="center"/>
    </xf>
    <xf numFmtId="0" fontId="6" fillId="6" borderId="88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3" fillId="0" borderId="126" xfId="0" applyFont="1" applyBorder="1" applyAlignment="1">
      <alignment vertical="center"/>
    </xf>
    <xf numFmtId="0" fontId="6" fillId="8" borderId="99" xfId="0" applyFont="1" applyFill="1" applyBorder="1" applyAlignment="1">
      <alignment horizontal="center" vertical="center" wrapText="1"/>
    </xf>
    <xf numFmtId="0" fontId="3" fillId="0" borderId="100" xfId="0" applyFont="1" applyBorder="1" applyAlignment="1">
      <alignment vertical="center"/>
    </xf>
    <xf numFmtId="0" fontId="3" fillId="0" borderId="131" xfId="0" applyFont="1" applyBorder="1" applyAlignment="1">
      <alignment vertical="center"/>
    </xf>
    <xf numFmtId="0" fontId="3" fillId="0" borderId="136" xfId="0" applyFont="1" applyBorder="1" applyAlignment="1">
      <alignment vertical="center"/>
    </xf>
    <xf numFmtId="0" fontId="6" fillId="8" borderId="132" xfId="0" applyFont="1" applyFill="1" applyBorder="1" applyAlignment="1">
      <alignment horizontal="center" vertical="center" wrapText="1"/>
    </xf>
    <xf numFmtId="0" fontId="3" fillId="0" borderId="98" xfId="0" applyFont="1" applyBorder="1" applyAlignment="1">
      <alignment vertical="center"/>
    </xf>
    <xf numFmtId="0" fontId="3" fillId="0" borderId="137" xfId="0" applyFont="1" applyBorder="1" applyAlignment="1">
      <alignment vertical="center"/>
    </xf>
    <xf numFmtId="0" fontId="3" fillId="0" borderId="134" xfId="0" applyFont="1" applyBorder="1" applyAlignment="1">
      <alignment vertical="center"/>
    </xf>
    <xf numFmtId="0" fontId="10" fillId="0" borderId="86" xfId="0" applyFont="1" applyBorder="1" applyAlignment="1">
      <alignment horizontal="center" vertical="center" wrapText="1"/>
    </xf>
    <xf numFmtId="0" fontId="3" fillId="0" borderId="115" xfId="0" applyFont="1" applyBorder="1" applyAlignment="1">
      <alignment vertical="center"/>
    </xf>
    <xf numFmtId="0" fontId="10" fillId="0" borderId="88" xfId="0" applyFont="1" applyBorder="1" applyAlignment="1">
      <alignment horizontal="center" vertical="center" wrapText="1"/>
    </xf>
    <xf numFmtId="0" fontId="10" fillId="0" borderId="115" xfId="0" applyFont="1" applyBorder="1" applyAlignment="1">
      <alignment horizontal="center" vertical="center" wrapText="1"/>
    </xf>
    <xf numFmtId="0" fontId="10" fillId="0" borderId="131" xfId="0" applyFont="1" applyBorder="1" applyAlignment="1">
      <alignment horizontal="center" vertical="center" wrapText="1"/>
    </xf>
    <xf numFmtId="0" fontId="10" fillId="0" borderId="121" xfId="0" applyFont="1" applyBorder="1" applyAlignment="1">
      <alignment horizontal="center" vertical="center" wrapText="1"/>
    </xf>
    <xf numFmtId="0" fontId="3" fillId="0" borderId="244" xfId="0" applyFont="1" applyBorder="1" applyAlignment="1">
      <alignment vertical="center"/>
    </xf>
    <xf numFmtId="0" fontId="3" fillId="0" borderId="121" xfId="0" applyFont="1" applyBorder="1" applyAlignment="1">
      <alignment vertical="center"/>
    </xf>
    <xf numFmtId="0" fontId="6" fillId="6" borderId="210" xfId="0" applyFont="1" applyFill="1" applyBorder="1" applyAlignment="1">
      <alignment horizontal="center" vertical="center" wrapText="1"/>
    </xf>
    <xf numFmtId="0" fontId="3" fillId="0" borderId="225" xfId="0" applyFont="1" applyBorder="1" applyAlignment="1">
      <alignment vertical="center"/>
    </xf>
    <xf numFmtId="0" fontId="6" fillId="6" borderId="116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10" fillId="0" borderId="227" xfId="0" applyFont="1" applyBorder="1" applyAlignment="1">
      <alignment horizontal="center" vertical="center" shrinkToFit="1"/>
    </xf>
    <xf numFmtId="0" fontId="10" fillId="0" borderId="212" xfId="0" applyFont="1" applyBorder="1" applyAlignment="1">
      <alignment horizontal="center" vertical="center" shrinkToFit="1"/>
    </xf>
    <xf numFmtId="0" fontId="10" fillId="0" borderId="127" xfId="0" applyFont="1" applyBorder="1" applyAlignment="1">
      <alignment horizontal="center" vertical="center" shrinkToFit="1"/>
    </xf>
    <xf numFmtId="0" fontId="13" fillId="6" borderId="162" xfId="0" applyFont="1" applyFill="1" applyBorder="1" applyAlignment="1">
      <alignment horizontal="center" vertical="center" wrapText="1"/>
    </xf>
    <xf numFmtId="0" fontId="3" fillId="0" borderId="202" xfId="0" applyFont="1" applyBorder="1" applyAlignment="1">
      <alignment vertical="center"/>
    </xf>
    <xf numFmtId="0" fontId="10" fillId="0" borderId="124" xfId="0" applyFont="1" applyBorder="1" applyAlignment="1">
      <alignment horizontal="center" vertical="center" shrinkToFit="1"/>
    </xf>
    <xf numFmtId="0" fontId="10" fillId="16" borderId="124" xfId="0" applyFont="1" applyFill="1" applyBorder="1" applyAlignment="1">
      <alignment horizontal="center" vertical="center" shrinkToFit="1"/>
    </xf>
    <xf numFmtId="0" fontId="3" fillId="16" borderId="125" xfId="0" applyFont="1" applyFill="1" applyBorder="1" applyAlignment="1">
      <alignment vertical="center"/>
    </xf>
    <xf numFmtId="0" fontId="10" fillId="16" borderId="80" xfId="0" applyFont="1" applyFill="1" applyBorder="1" applyAlignment="1">
      <alignment horizontal="center" vertical="center" shrinkToFit="1"/>
    </xf>
    <xf numFmtId="0" fontId="3" fillId="16" borderId="81" xfId="0" applyFont="1" applyFill="1" applyBorder="1" applyAlignment="1">
      <alignment vertical="center"/>
    </xf>
    <xf numFmtId="0" fontId="6" fillId="6" borderId="32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vertical="center"/>
    </xf>
    <xf numFmtId="0" fontId="6" fillId="8" borderId="35" xfId="0" applyFont="1" applyFill="1" applyBorder="1" applyAlignment="1">
      <alignment horizontal="center" vertical="center" wrapText="1"/>
    </xf>
    <xf numFmtId="0" fontId="3" fillId="0" borderId="133" xfId="0" applyFont="1" applyBorder="1" applyAlignment="1">
      <alignment vertical="center"/>
    </xf>
    <xf numFmtId="0" fontId="6" fillId="8" borderId="36" xfId="0" applyFont="1" applyFill="1" applyBorder="1" applyAlignment="1">
      <alignment horizontal="center" vertical="center" wrapText="1"/>
    </xf>
    <xf numFmtId="0" fontId="3" fillId="0" borderId="130" xfId="0" applyFont="1" applyBorder="1" applyAlignment="1">
      <alignment vertical="center"/>
    </xf>
    <xf numFmtId="0" fontId="6" fillId="8" borderId="37" xfId="0" applyFont="1" applyFill="1" applyBorder="1" applyAlignment="1">
      <alignment horizontal="center" vertical="center" wrapText="1"/>
    </xf>
    <xf numFmtId="0" fontId="3" fillId="0" borderId="106" xfId="0" applyFont="1" applyBorder="1" applyAlignment="1">
      <alignment vertical="center"/>
    </xf>
    <xf numFmtId="0" fontId="10" fillId="16" borderId="227" xfId="0" applyFont="1" applyFill="1" applyBorder="1" applyAlignment="1">
      <alignment horizontal="center" vertical="center" shrinkToFit="1"/>
    </xf>
    <xf numFmtId="0" fontId="3" fillId="16" borderId="228" xfId="0" applyFont="1" applyFill="1" applyBorder="1" applyAlignment="1">
      <alignment vertical="center"/>
    </xf>
    <xf numFmtId="0" fontId="10" fillId="0" borderId="242" xfId="0" applyFont="1" applyBorder="1" applyAlignment="1">
      <alignment horizontal="center" vertical="center" wrapText="1"/>
    </xf>
    <xf numFmtId="0" fontId="3" fillId="0" borderId="24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10" fillId="0" borderId="71" xfId="0" applyFont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3" fillId="0" borderId="223" xfId="0" applyFont="1" applyBorder="1" applyAlignment="1">
      <alignment vertical="center"/>
    </xf>
    <xf numFmtId="0" fontId="11" fillId="6" borderId="11" xfId="0" applyFont="1" applyFill="1" applyBorder="1" applyAlignment="1">
      <alignment horizontal="center" vertical="center" wrapText="1"/>
    </xf>
    <xf numFmtId="176" fontId="6" fillId="6" borderId="12" xfId="0" applyNumberFormat="1" applyFont="1" applyFill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shrinkToFit="1"/>
    </xf>
    <xf numFmtId="0" fontId="10" fillId="0" borderId="7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3" fillId="0" borderId="26" xfId="0" applyFont="1" applyBorder="1" applyAlignment="1">
      <alignment horizontal="center" vertical="center" wrapText="1"/>
    </xf>
    <xf numFmtId="0" fontId="39" fillId="0" borderId="16" xfId="0" applyFont="1" applyBorder="1" applyAlignment="1">
      <alignment vertical="center" wrapText="1"/>
    </xf>
    <xf numFmtId="0" fontId="39" fillId="0" borderId="6" xfId="0" applyFont="1" applyBorder="1" applyAlignment="1">
      <alignment vertical="center" wrapText="1"/>
    </xf>
    <xf numFmtId="0" fontId="6" fillId="0" borderId="26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vertical="center"/>
    </xf>
    <xf numFmtId="0" fontId="4" fillId="5" borderId="36" xfId="0" applyFont="1" applyFill="1" applyBorder="1" applyAlignment="1">
      <alignment horizontal="center" vertical="center" wrapText="1"/>
    </xf>
    <xf numFmtId="0" fontId="3" fillId="0" borderId="48" xfId="0" applyFont="1" applyBorder="1" applyAlignment="1">
      <alignment vertical="center"/>
    </xf>
    <xf numFmtId="0" fontId="4" fillId="5" borderId="37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vertical="center"/>
    </xf>
    <xf numFmtId="0" fontId="4" fillId="5" borderId="38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9" xfId="0" applyFont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0" fontId="4" fillId="5" borderId="52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41" xfId="0" applyFont="1" applyBorder="1" applyAlignment="1">
      <alignment vertical="center"/>
    </xf>
    <xf numFmtId="0" fontId="4" fillId="5" borderId="42" xfId="0" applyFont="1" applyFill="1" applyBorder="1" applyAlignment="1">
      <alignment horizontal="center" vertical="center" wrapText="1"/>
    </xf>
    <xf numFmtId="0" fontId="3" fillId="0" borderId="58" xfId="0" applyFont="1" applyBorder="1" applyAlignment="1">
      <alignment vertical="center"/>
    </xf>
    <xf numFmtId="0" fontId="4" fillId="5" borderId="5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3" fillId="0" borderId="75" xfId="0" applyFont="1" applyBorder="1" applyAlignment="1">
      <alignment vertical="center"/>
    </xf>
    <xf numFmtId="0" fontId="3" fillId="0" borderId="89" xfId="0" applyFont="1" applyBorder="1" applyAlignment="1">
      <alignment vertical="center"/>
    </xf>
    <xf numFmtId="0" fontId="6" fillId="7" borderId="222" xfId="0" applyFont="1" applyFill="1" applyBorder="1" applyAlignment="1">
      <alignment horizontal="center" vertical="center" wrapText="1"/>
    </xf>
    <xf numFmtId="0" fontId="3" fillId="0" borderId="224" xfId="0" applyFont="1" applyBorder="1" applyAlignment="1">
      <alignment vertical="center"/>
    </xf>
    <xf numFmtId="0" fontId="3" fillId="0" borderId="237" xfId="0" applyFont="1" applyBorder="1" applyAlignment="1">
      <alignment vertical="center"/>
    </xf>
    <xf numFmtId="0" fontId="6" fillId="6" borderId="221" xfId="0" applyFont="1" applyFill="1" applyBorder="1" applyAlignment="1">
      <alignment horizontal="center" vertical="center" wrapText="1"/>
    </xf>
    <xf numFmtId="0" fontId="3" fillId="0" borderId="236" xfId="0" applyFont="1" applyBorder="1" applyAlignment="1">
      <alignment vertical="center"/>
    </xf>
    <xf numFmtId="0" fontId="6" fillId="6" borderId="42" xfId="0" applyFont="1" applyFill="1" applyBorder="1" applyAlignment="1">
      <alignment horizontal="center" vertical="center" wrapText="1"/>
    </xf>
    <xf numFmtId="0" fontId="10" fillId="0" borderId="10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3" fillId="0" borderId="94" xfId="0" applyFont="1" applyBorder="1" applyAlignment="1">
      <alignment vertical="center"/>
    </xf>
    <xf numFmtId="0" fontId="3" fillId="0" borderId="95" xfId="0" applyFont="1" applyBorder="1" applyAlignment="1">
      <alignment vertical="center"/>
    </xf>
    <xf numFmtId="0" fontId="6" fillId="6" borderId="247" xfId="0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126" xfId="0" applyFont="1" applyBorder="1" applyAlignment="1">
      <alignment horizontal="center" vertical="center" wrapText="1"/>
    </xf>
    <xf numFmtId="0" fontId="10" fillId="0" borderId="158" xfId="0" applyFont="1" applyFill="1" applyBorder="1" applyAlignment="1">
      <alignment horizontal="center" vertical="center" wrapText="1"/>
    </xf>
    <xf numFmtId="0" fontId="3" fillId="0" borderId="158" xfId="0" applyFont="1" applyFill="1" applyBorder="1" applyAlignment="1">
      <alignment vertical="center"/>
    </xf>
    <xf numFmtId="0" fontId="10" fillId="0" borderId="158" xfId="0" applyFont="1" applyFill="1" applyBorder="1" applyAlignment="1">
      <alignment horizontal="center" vertical="center" shrinkToFit="1"/>
    </xf>
    <xf numFmtId="0" fontId="16" fillId="10" borderId="146" xfId="0" applyFont="1" applyFill="1" applyBorder="1" applyAlignment="1">
      <alignment horizontal="center" vertical="center" shrinkToFit="1"/>
    </xf>
    <xf numFmtId="0" fontId="3" fillId="0" borderId="150" xfId="0" applyFont="1" applyBorder="1" applyAlignment="1">
      <alignment vertical="center"/>
    </xf>
    <xf numFmtId="0" fontId="3" fillId="0" borderId="153" xfId="0" applyFont="1" applyBorder="1" applyAlignment="1">
      <alignment vertical="center"/>
    </xf>
    <xf numFmtId="0" fontId="5" fillId="11" borderId="7" xfId="0" applyFont="1" applyFill="1" applyBorder="1" applyAlignment="1">
      <alignment horizontal="center" vertical="center" wrapText="1"/>
    </xf>
    <xf numFmtId="176" fontId="5" fillId="11" borderId="146" xfId="0" applyNumberFormat="1" applyFont="1" applyFill="1" applyBorder="1" applyAlignment="1">
      <alignment horizontal="center" vertical="center" wrapText="1"/>
    </xf>
    <xf numFmtId="0" fontId="5" fillId="12" borderId="30" xfId="0" applyFont="1" applyFill="1" applyBorder="1" applyAlignment="1">
      <alignment horizontal="center" vertical="center" shrinkToFit="1"/>
    </xf>
    <xf numFmtId="0" fontId="3" fillId="0" borderId="157" xfId="0" applyFont="1" applyBorder="1" applyAlignment="1">
      <alignment vertical="center"/>
    </xf>
    <xf numFmtId="0" fontId="5" fillId="11" borderId="14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146" xfId="0" applyFont="1" applyFill="1" applyBorder="1" applyAlignment="1">
      <alignment horizontal="center" vertical="center" wrapText="1"/>
    </xf>
    <xf numFmtId="0" fontId="16" fillId="10" borderId="19" xfId="0" applyFont="1" applyFill="1" applyBorder="1" applyAlignment="1">
      <alignment horizontal="center" vertical="center"/>
    </xf>
    <xf numFmtId="0" fontId="3" fillId="0" borderId="151" xfId="0" applyFont="1" applyBorder="1" applyAlignment="1">
      <alignment vertical="center"/>
    </xf>
    <xf numFmtId="0" fontId="18" fillId="0" borderId="12" xfId="0" applyFont="1" applyBorder="1" applyAlignment="1">
      <alignment horizontal="left" vertical="center"/>
    </xf>
    <xf numFmtId="0" fontId="1" fillId="0" borderId="66" xfId="0" applyFont="1" applyBorder="1" applyAlignment="1">
      <alignment horizontal="left" vertical="center"/>
    </xf>
    <xf numFmtId="0" fontId="16" fillId="10" borderId="147" xfId="0" applyFont="1" applyFill="1" applyBorder="1" applyAlignment="1">
      <alignment horizontal="center" vertical="center"/>
    </xf>
    <xf numFmtId="0" fontId="3" fillId="0" borderId="143" xfId="0" applyFont="1" applyBorder="1" applyAlignment="1">
      <alignment vertical="center"/>
    </xf>
    <xf numFmtId="0" fontId="3" fillId="0" borderId="148" xfId="0" applyFont="1" applyBorder="1" applyAlignment="1">
      <alignment vertical="center"/>
    </xf>
    <xf numFmtId="0" fontId="17" fillId="10" borderId="146" xfId="0" applyFont="1" applyFill="1" applyBorder="1" applyAlignment="1">
      <alignment horizontal="center" vertical="center" wrapText="1"/>
    </xf>
    <xf numFmtId="0" fontId="17" fillId="10" borderId="149" xfId="0" applyFont="1" applyFill="1" applyBorder="1" applyAlignment="1">
      <alignment horizontal="center" vertical="center" wrapText="1"/>
    </xf>
    <xf numFmtId="0" fontId="3" fillId="0" borderId="152" xfId="0" applyFont="1" applyBorder="1" applyAlignment="1">
      <alignment vertical="center"/>
    </xf>
    <xf numFmtId="0" fontId="3" fillId="0" borderId="154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9" fillId="3" borderId="142" xfId="0" applyFont="1" applyFill="1" applyBorder="1" applyAlignment="1">
      <alignment horizontal="center" vertical="center"/>
    </xf>
    <xf numFmtId="0" fontId="3" fillId="0" borderId="144" xfId="0" applyFont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1" fillId="0" borderId="145" xfId="0" applyFont="1" applyBorder="1" applyAlignment="1">
      <alignment horizontal="center" vertical="center"/>
    </xf>
    <xf numFmtId="0" fontId="15" fillId="0" borderId="14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3" fillId="0" borderId="167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11" fillId="15" borderId="166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23" fillId="0" borderId="184" xfId="0" applyFont="1" applyBorder="1" applyAlignment="1">
      <alignment horizontal="center" vertical="center" wrapText="1"/>
    </xf>
    <xf numFmtId="0" fontId="3" fillId="0" borderId="165" xfId="0" applyFont="1" applyBorder="1" applyAlignment="1">
      <alignment vertical="center"/>
    </xf>
    <xf numFmtId="0" fontId="3" fillId="0" borderId="122" xfId="0" applyFont="1" applyBorder="1" applyAlignment="1">
      <alignment vertical="center"/>
    </xf>
    <xf numFmtId="0" fontId="23" fillId="0" borderId="181" xfId="0" applyFont="1" applyBorder="1" applyAlignment="1">
      <alignment horizontal="center" vertical="center" wrapText="1"/>
    </xf>
    <xf numFmtId="0" fontId="3" fillId="0" borderId="187" xfId="0" applyFont="1" applyBorder="1" applyAlignment="1">
      <alignment vertical="center"/>
    </xf>
    <xf numFmtId="0" fontId="3" fillId="0" borderId="159" xfId="0" applyFont="1" applyBorder="1" applyAlignment="1">
      <alignment vertical="center"/>
    </xf>
    <xf numFmtId="0" fontId="23" fillId="0" borderId="91" xfId="0" applyFont="1" applyBorder="1" applyAlignment="1">
      <alignment horizontal="center" vertical="center" wrapText="1"/>
    </xf>
    <xf numFmtId="0" fontId="3" fillId="0" borderId="156" xfId="0" applyFont="1" applyBorder="1" applyAlignment="1">
      <alignment vertical="center"/>
    </xf>
    <xf numFmtId="0" fontId="23" fillId="0" borderId="171" xfId="0" applyFont="1" applyBorder="1" applyAlignment="1">
      <alignment horizontal="center" vertical="center" wrapText="1"/>
    </xf>
    <xf numFmtId="0" fontId="3" fillId="0" borderId="174" xfId="0" applyFont="1" applyBorder="1" applyAlignment="1">
      <alignment vertical="center"/>
    </xf>
    <xf numFmtId="0" fontId="11" fillId="0" borderId="171" xfId="0" applyFont="1" applyBorder="1" applyAlignment="1">
      <alignment horizontal="center" vertical="center"/>
    </xf>
    <xf numFmtId="0" fontId="28" fillId="15" borderId="166" xfId="0" applyFont="1" applyFill="1" applyBorder="1" applyAlignment="1">
      <alignment horizontal="center" vertical="center" wrapText="1"/>
    </xf>
    <xf numFmtId="0" fontId="11" fillId="15" borderId="166" xfId="0" applyFont="1" applyFill="1" applyBorder="1" applyAlignment="1">
      <alignment horizontal="center" vertical="center" wrapText="1"/>
    </xf>
    <xf numFmtId="0" fontId="23" fillId="0" borderId="182" xfId="0" applyFont="1" applyBorder="1" applyAlignment="1">
      <alignment horizontal="center" vertical="center" wrapText="1"/>
    </xf>
    <xf numFmtId="0" fontId="29" fillId="0" borderId="170" xfId="0" applyFont="1" applyBorder="1" applyAlignment="1">
      <alignment horizontal="center" vertical="center"/>
    </xf>
    <xf numFmtId="0" fontId="30" fillId="0" borderId="91" xfId="0" applyFont="1" applyBorder="1" applyAlignment="1">
      <alignment horizontal="center" vertical="center"/>
    </xf>
    <xf numFmtId="0" fontId="28" fillId="15" borderId="200" xfId="0" applyFont="1" applyFill="1" applyBorder="1" applyAlignment="1">
      <alignment horizontal="center" vertical="center"/>
    </xf>
    <xf numFmtId="0" fontId="3" fillId="0" borderId="201" xfId="0" applyFont="1" applyBorder="1" applyAlignment="1">
      <alignment vertical="center"/>
    </xf>
    <xf numFmtId="0" fontId="28" fillId="15" borderId="19" xfId="0" applyFont="1" applyFill="1" applyBorder="1" applyAlignment="1">
      <alignment horizontal="center" vertical="center"/>
    </xf>
    <xf numFmtId="0" fontId="3" fillId="0" borderId="168" xfId="0" applyFont="1" applyBorder="1" applyAlignment="1">
      <alignment vertical="center"/>
    </xf>
    <xf numFmtId="0" fontId="28" fillId="15" borderId="166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6" fillId="14" borderId="198" xfId="0" applyFont="1" applyFill="1" applyBorder="1" applyAlignment="1">
      <alignment horizontal="center" vertical="center" wrapText="1"/>
    </xf>
    <xf numFmtId="0" fontId="3" fillId="0" borderId="199" xfId="0" applyFont="1" applyBorder="1" applyAlignment="1">
      <alignment vertical="center"/>
    </xf>
    <xf numFmtId="0" fontId="6" fillId="14" borderId="90" xfId="0" applyFont="1" applyFill="1" applyBorder="1" applyAlignment="1">
      <alignment horizontal="center" vertical="center" wrapText="1"/>
    </xf>
    <xf numFmtId="0" fontId="23" fillId="10" borderId="19" xfId="0" applyFont="1" applyFill="1" applyBorder="1" applyAlignment="1">
      <alignment horizontal="center" vertical="center" wrapText="1"/>
    </xf>
    <xf numFmtId="0" fontId="23" fillId="0" borderId="167" xfId="0" applyFont="1" applyBorder="1" applyAlignment="1">
      <alignment horizontal="center" vertical="center" wrapText="1"/>
    </xf>
    <xf numFmtId="0" fontId="23" fillId="10" borderId="166" xfId="0" applyFont="1" applyFill="1" applyBorder="1" applyAlignment="1">
      <alignment horizontal="center" vertical="center" wrapText="1"/>
    </xf>
    <xf numFmtId="0" fontId="25" fillId="10" borderId="19" xfId="0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4" fillId="3" borderId="162" xfId="0" applyFont="1" applyFill="1" applyBorder="1" applyAlignment="1">
      <alignment horizontal="center" vertical="center"/>
    </xf>
    <xf numFmtId="0" fontId="3" fillId="0" borderId="163" xfId="0" applyFont="1" applyBorder="1" applyAlignment="1">
      <alignment vertical="center"/>
    </xf>
    <xf numFmtId="0" fontId="3" fillId="0" borderId="164" xfId="0" applyFont="1" applyBorder="1" applyAlignment="1">
      <alignment vertical="center"/>
    </xf>
    <xf numFmtId="0" fontId="23" fillId="0" borderId="192" xfId="0" applyFont="1" applyBorder="1" applyAlignment="1">
      <alignment horizontal="center" vertical="center" wrapText="1"/>
    </xf>
    <xf numFmtId="0" fontId="3" fillId="0" borderId="193" xfId="0" applyFont="1" applyBorder="1" applyAlignment="1">
      <alignment vertical="center"/>
    </xf>
    <xf numFmtId="0" fontId="23" fillId="0" borderId="194" xfId="0" applyFont="1" applyBorder="1" applyAlignment="1">
      <alignment horizontal="center" vertical="center" wrapText="1"/>
    </xf>
    <xf numFmtId="0" fontId="3" fillId="0" borderId="175" xfId="0" applyFont="1" applyBorder="1" applyAlignment="1">
      <alignment vertical="center"/>
    </xf>
    <xf numFmtId="0" fontId="22" fillId="10" borderId="179" xfId="0" applyFont="1" applyFill="1" applyBorder="1" applyAlignment="1">
      <alignment horizontal="center" vertical="center" wrapText="1"/>
    </xf>
    <xf numFmtId="0" fontId="3" fillId="0" borderId="180" xfId="0" applyFont="1" applyBorder="1" applyAlignment="1">
      <alignment vertical="center"/>
    </xf>
    <xf numFmtId="0" fontId="3" fillId="0" borderId="186" xfId="0" applyFont="1" applyBorder="1" applyAlignment="1">
      <alignment vertical="center"/>
    </xf>
    <xf numFmtId="0" fontId="11" fillId="15" borderId="169" xfId="0" applyFont="1" applyFill="1" applyBorder="1" applyAlignment="1">
      <alignment horizontal="center" vertical="center"/>
    </xf>
    <xf numFmtId="0" fontId="3" fillId="0" borderId="170" xfId="0" applyFont="1" applyBorder="1" applyAlignment="1">
      <alignment vertical="center"/>
    </xf>
    <xf numFmtId="0" fontId="3" fillId="0" borderId="173" xfId="0" applyFont="1" applyBorder="1" applyAlignment="1">
      <alignment vertical="center"/>
    </xf>
    <xf numFmtId="0" fontId="11" fillId="0" borderId="171" xfId="0" applyFont="1" applyBorder="1" applyAlignment="1">
      <alignment horizontal="center" vertical="center" wrapText="1"/>
    </xf>
    <xf numFmtId="0" fontId="3" fillId="0" borderId="172" xfId="0" applyFont="1" applyBorder="1" applyAlignment="1">
      <alignment vertical="center"/>
    </xf>
  </cellXfs>
  <cellStyles count="2">
    <cellStyle name="표준" xfId="0" builtinId="0"/>
    <cellStyle name="표준 3" xfId="1" xr:uid="{51350B73-ABE5-4D76-B584-21F962783EF7}"/>
  </cellStyles>
  <dxfs count="1">
    <dxf>
      <font>
        <b/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86525" cy="1104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FF8119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998"/>
  <sheetViews>
    <sheetView tabSelected="1" zoomScaleNormal="100" workbookViewId="0">
      <pane ySplit="8" topLeftCell="A46" activePane="bottomLeft" state="frozen"/>
      <selection pane="bottomLeft" activeCell="AD51" sqref="AD51"/>
    </sheetView>
  </sheetViews>
  <sheetFormatPr defaultColWidth="14.42578125" defaultRowHeight="15" customHeight="1"/>
  <cols>
    <col min="1" max="1" width="2" customWidth="1"/>
    <col min="2" max="2" width="6.5703125" customWidth="1"/>
    <col min="3" max="3" width="9.42578125" customWidth="1"/>
    <col min="4" max="4" width="8.7109375" customWidth="1"/>
    <col min="5" max="5" width="8.42578125" customWidth="1"/>
    <col min="6" max="6" width="16.42578125" customWidth="1"/>
    <col min="7" max="7" width="6.28515625" customWidth="1"/>
    <col min="8" max="8" width="5.5703125" customWidth="1"/>
    <col min="9" max="9" width="7.85546875" customWidth="1"/>
    <col min="10" max="10" width="5.5703125" customWidth="1"/>
    <col min="11" max="22" width="3.85546875" customWidth="1"/>
    <col min="23" max="24" width="3.42578125" customWidth="1"/>
    <col min="25" max="25" width="6.42578125" customWidth="1"/>
    <col min="26" max="26" width="8.7109375" customWidth="1"/>
    <col min="27" max="27" width="16.42578125" customWidth="1"/>
    <col min="28" max="29" width="12.85546875" customWidth="1"/>
    <col min="30" max="30" width="13.85546875" customWidth="1"/>
  </cols>
  <sheetData>
    <row r="1" spans="1:30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.75" customHeight="1">
      <c r="A2" s="1"/>
      <c r="B2" s="367" t="s">
        <v>499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257"/>
      <c r="V2" s="368" t="s">
        <v>0</v>
      </c>
      <c r="W2" s="273"/>
      <c r="X2" s="369">
        <v>2027</v>
      </c>
      <c r="Y2" s="241"/>
      <c r="Z2" s="1"/>
      <c r="AA2" s="370" t="s">
        <v>1</v>
      </c>
      <c r="AB2" s="2" t="s">
        <v>2</v>
      </c>
      <c r="AC2" s="3" t="s">
        <v>3</v>
      </c>
      <c r="AD2" s="4" t="s">
        <v>4</v>
      </c>
    </row>
    <row r="3" spans="1:30" ht="16.5" customHeight="1">
      <c r="A3" s="1"/>
      <c r="B3" s="373" t="s">
        <v>5</v>
      </c>
      <c r="C3" s="374" t="s">
        <v>6</v>
      </c>
      <c r="D3" s="336"/>
      <c r="E3" s="375"/>
      <c r="F3" s="374" t="s">
        <v>7</v>
      </c>
      <c r="G3" s="267"/>
      <c r="H3" s="374" t="s">
        <v>8</v>
      </c>
      <c r="I3" s="336"/>
      <c r="J3" s="375"/>
      <c r="K3" s="374" t="s">
        <v>9</v>
      </c>
      <c r="L3" s="336"/>
      <c r="M3" s="336"/>
      <c r="N3" s="336"/>
      <c r="O3" s="267"/>
      <c r="P3" s="381" t="s">
        <v>10</v>
      </c>
      <c r="Q3" s="286"/>
      <c r="R3" s="286"/>
      <c r="S3" s="286"/>
      <c r="T3" s="286"/>
      <c r="U3" s="286"/>
      <c r="V3" s="286"/>
      <c r="W3" s="286"/>
      <c r="X3" s="286"/>
      <c r="Y3" s="241"/>
      <c r="Z3" s="1"/>
      <c r="AA3" s="371"/>
      <c r="AB3" s="5" t="s">
        <v>11</v>
      </c>
      <c r="AC3" s="6" t="s">
        <v>494</v>
      </c>
      <c r="AD3" s="7">
        <v>1111</v>
      </c>
    </row>
    <row r="4" spans="1:30" ht="16.5" customHeight="1">
      <c r="A4" s="1"/>
      <c r="B4" s="269"/>
      <c r="C4" s="256"/>
      <c r="D4" s="300"/>
      <c r="E4" s="376"/>
      <c r="F4" s="256"/>
      <c r="G4" s="257"/>
      <c r="H4" s="256"/>
      <c r="I4" s="300"/>
      <c r="J4" s="376"/>
      <c r="K4" s="256"/>
      <c r="L4" s="300"/>
      <c r="M4" s="300"/>
      <c r="N4" s="300"/>
      <c r="O4" s="257"/>
      <c r="P4" s="381" t="s">
        <v>12</v>
      </c>
      <c r="Q4" s="286"/>
      <c r="R4" s="286"/>
      <c r="S4" s="359"/>
      <c r="T4" s="381" t="s">
        <v>13</v>
      </c>
      <c r="U4" s="286"/>
      <c r="V4" s="241"/>
      <c r="W4" s="382" t="s">
        <v>14</v>
      </c>
      <c r="X4" s="286"/>
      <c r="Y4" s="241"/>
      <c r="Z4" s="1"/>
      <c r="AA4" s="371"/>
      <c r="AB4" s="8" t="s">
        <v>15</v>
      </c>
      <c r="AC4" s="9" t="s">
        <v>16</v>
      </c>
      <c r="AD4" s="7">
        <v>1115</v>
      </c>
    </row>
    <row r="5" spans="1:30" ht="26.25" customHeight="1">
      <c r="A5" s="1"/>
      <c r="B5" s="10" t="s">
        <v>17</v>
      </c>
      <c r="C5" s="380" t="s">
        <v>18</v>
      </c>
      <c r="D5" s="286"/>
      <c r="E5" s="287"/>
      <c r="F5" s="380" t="s">
        <v>19</v>
      </c>
      <c r="G5" s="241"/>
      <c r="H5" s="383" t="s">
        <v>20</v>
      </c>
      <c r="I5" s="286"/>
      <c r="J5" s="287"/>
      <c r="K5" s="380" t="s">
        <v>172</v>
      </c>
      <c r="L5" s="286"/>
      <c r="M5" s="286"/>
      <c r="N5" s="286"/>
      <c r="O5" s="241"/>
      <c r="P5" s="383" t="s">
        <v>22</v>
      </c>
      <c r="Q5" s="286"/>
      <c r="R5" s="286"/>
      <c r="S5" s="287"/>
      <c r="T5" s="380" t="s">
        <v>23</v>
      </c>
      <c r="U5" s="286"/>
      <c r="V5" s="287"/>
      <c r="W5" s="377" t="s">
        <v>495</v>
      </c>
      <c r="X5" s="378"/>
      <c r="Y5" s="379"/>
      <c r="Z5" s="1"/>
      <c r="AA5" s="372"/>
      <c r="AB5" s="11" t="s">
        <v>24</v>
      </c>
      <c r="AC5" s="12" t="s">
        <v>25</v>
      </c>
      <c r="AD5" s="13">
        <v>1143</v>
      </c>
    </row>
    <row r="6" spans="1:30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401"/>
      <c r="V6" s="290"/>
      <c r="W6" s="290"/>
      <c r="X6" s="290"/>
      <c r="Y6" s="290"/>
      <c r="Z6" s="1"/>
      <c r="AA6" s="1"/>
      <c r="AB6" s="1"/>
      <c r="AC6" s="1"/>
      <c r="AD6" s="1"/>
    </row>
    <row r="7" spans="1:30" ht="22.5" customHeight="1">
      <c r="A7" s="15"/>
      <c r="B7" s="384" t="s">
        <v>26</v>
      </c>
      <c r="C7" s="267"/>
      <c r="D7" s="385" t="s">
        <v>27</v>
      </c>
      <c r="E7" s="396" t="s">
        <v>28</v>
      </c>
      <c r="F7" s="348"/>
      <c r="G7" s="265"/>
      <c r="H7" s="386" t="s">
        <v>29</v>
      </c>
      <c r="I7" s="388" t="s">
        <v>30</v>
      </c>
      <c r="J7" s="390" t="s">
        <v>31</v>
      </c>
      <c r="K7" s="392" t="s">
        <v>32</v>
      </c>
      <c r="L7" s="348"/>
      <c r="M7" s="348"/>
      <c r="N7" s="239"/>
      <c r="O7" s="393" t="s">
        <v>33</v>
      </c>
      <c r="P7" s="348"/>
      <c r="Q7" s="348"/>
      <c r="R7" s="239"/>
      <c r="S7" s="392" t="s">
        <v>34</v>
      </c>
      <c r="T7" s="348"/>
      <c r="U7" s="348"/>
      <c r="V7" s="402"/>
      <c r="W7" s="384" t="s">
        <v>35</v>
      </c>
      <c r="X7" s="267"/>
      <c r="Y7" s="403" t="s">
        <v>36</v>
      </c>
      <c r="Z7" s="16"/>
      <c r="AA7" s="15"/>
      <c r="AB7" s="15"/>
      <c r="AC7" s="15"/>
      <c r="AD7" s="15"/>
    </row>
    <row r="8" spans="1:30" ht="22.5" customHeight="1">
      <c r="A8" s="15"/>
      <c r="B8" s="256"/>
      <c r="C8" s="257"/>
      <c r="D8" s="307"/>
      <c r="E8" s="17" t="s">
        <v>37</v>
      </c>
      <c r="F8" s="397" t="s">
        <v>38</v>
      </c>
      <c r="G8" s="398"/>
      <c r="H8" s="387"/>
      <c r="I8" s="389"/>
      <c r="J8" s="391"/>
      <c r="K8" s="405" t="s">
        <v>39</v>
      </c>
      <c r="L8" s="232"/>
      <c r="M8" s="399" t="s">
        <v>40</v>
      </c>
      <c r="N8" s="234"/>
      <c r="O8" s="400" t="s">
        <v>39</v>
      </c>
      <c r="P8" s="232"/>
      <c r="Q8" s="399" t="s">
        <v>40</v>
      </c>
      <c r="R8" s="234"/>
      <c r="S8" s="405" t="s">
        <v>39</v>
      </c>
      <c r="T8" s="232"/>
      <c r="U8" s="399" t="s">
        <v>40</v>
      </c>
      <c r="V8" s="406"/>
      <c r="W8" s="305"/>
      <c r="X8" s="306"/>
      <c r="Y8" s="404"/>
      <c r="Z8" s="15"/>
      <c r="AA8" s="407" t="s">
        <v>41</v>
      </c>
      <c r="AB8" s="300"/>
      <c r="AC8" s="300"/>
      <c r="AD8" s="300"/>
    </row>
    <row r="9" spans="1:30" ht="16.5" customHeight="1">
      <c r="A9" s="1"/>
      <c r="B9" s="266" t="s">
        <v>42</v>
      </c>
      <c r="C9" s="267"/>
      <c r="D9" s="293" t="s">
        <v>43</v>
      </c>
      <c r="E9" s="18" t="s">
        <v>44</v>
      </c>
      <c r="F9" s="236" t="s">
        <v>45</v>
      </c>
      <c r="G9" s="265"/>
      <c r="H9" s="19">
        <v>4</v>
      </c>
      <c r="I9" s="20" t="s">
        <v>46</v>
      </c>
      <c r="J9" s="21">
        <v>4</v>
      </c>
      <c r="K9" s="236">
        <v>4</v>
      </c>
      <c r="L9" s="237"/>
      <c r="M9" s="238"/>
      <c r="N9" s="239"/>
      <c r="O9" s="264"/>
      <c r="P9" s="237"/>
      <c r="Q9" s="238"/>
      <c r="R9" s="239"/>
      <c r="S9" s="264"/>
      <c r="T9" s="237"/>
      <c r="U9" s="238"/>
      <c r="V9" s="265"/>
      <c r="W9" s="19">
        <f t="shared" ref="W9:W31" si="0">SUM(K9:V9)</f>
        <v>4</v>
      </c>
      <c r="X9" s="408">
        <f>SUM(W9:W12)</f>
        <v>14</v>
      </c>
      <c r="Y9" s="242">
        <v>24</v>
      </c>
      <c r="Z9" s="1"/>
      <c r="AA9" s="22" t="s">
        <v>37</v>
      </c>
      <c r="AB9" s="23" t="s">
        <v>47</v>
      </c>
      <c r="AC9" s="23" t="s">
        <v>48</v>
      </c>
      <c r="AD9" s="24" t="s">
        <v>49</v>
      </c>
    </row>
    <row r="10" spans="1:30" ht="16.5" customHeight="1">
      <c r="A10" s="1"/>
      <c r="B10" s="255"/>
      <c r="C10" s="254"/>
      <c r="D10" s="243"/>
      <c r="E10" s="25" t="s">
        <v>44</v>
      </c>
      <c r="F10" s="231" t="s">
        <v>50</v>
      </c>
      <c r="G10" s="258"/>
      <c r="H10" s="26">
        <v>4</v>
      </c>
      <c r="I10" s="27" t="s">
        <v>46</v>
      </c>
      <c r="J10" s="28">
        <v>4</v>
      </c>
      <c r="K10" s="231"/>
      <c r="L10" s="232"/>
      <c r="M10" s="233">
        <v>4</v>
      </c>
      <c r="N10" s="234"/>
      <c r="O10" s="235"/>
      <c r="P10" s="232"/>
      <c r="Q10" s="233"/>
      <c r="R10" s="234"/>
      <c r="S10" s="235"/>
      <c r="T10" s="232"/>
      <c r="U10" s="233"/>
      <c r="V10" s="258"/>
      <c r="W10" s="26">
        <f t="shared" si="0"/>
        <v>4</v>
      </c>
      <c r="X10" s="409"/>
      <c r="Y10" s="243"/>
      <c r="Z10" s="1"/>
      <c r="AA10" s="29" t="s">
        <v>51</v>
      </c>
      <c r="AB10" s="30">
        <v>4</v>
      </c>
      <c r="AC10" s="30">
        <v>-1</v>
      </c>
      <c r="AD10" s="7" t="s">
        <v>46</v>
      </c>
    </row>
    <row r="11" spans="1:30" ht="16.5" customHeight="1">
      <c r="A11" s="1"/>
      <c r="B11" s="255"/>
      <c r="C11" s="254"/>
      <c r="D11" s="243"/>
      <c r="E11" s="31" t="s">
        <v>52</v>
      </c>
      <c r="F11" s="231" t="s">
        <v>53</v>
      </c>
      <c r="G11" s="258"/>
      <c r="H11" s="32">
        <v>4</v>
      </c>
      <c r="I11" s="27" t="s">
        <v>46</v>
      </c>
      <c r="J11" s="33">
        <v>3</v>
      </c>
      <c r="K11" s="231"/>
      <c r="L11" s="232"/>
      <c r="M11" s="233"/>
      <c r="N11" s="234"/>
      <c r="O11" s="235">
        <v>3</v>
      </c>
      <c r="P11" s="232"/>
      <c r="Q11" s="233"/>
      <c r="R11" s="234"/>
      <c r="S11" s="235"/>
      <c r="T11" s="232"/>
      <c r="U11" s="233"/>
      <c r="V11" s="258"/>
      <c r="W11" s="26">
        <f t="shared" si="0"/>
        <v>3</v>
      </c>
      <c r="X11" s="409"/>
      <c r="Y11" s="243"/>
      <c r="Z11" s="1"/>
      <c r="AA11" s="29"/>
      <c r="AB11" s="30"/>
      <c r="AC11" s="30"/>
      <c r="AD11" s="7"/>
    </row>
    <row r="12" spans="1:30" ht="16.5" customHeight="1">
      <c r="A12" s="1"/>
      <c r="B12" s="255"/>
      <c r="C12" s="254"/>
      <c r="D12" s="269"/>
      <c r="E12" s="31" t="s">
        <v>52</v>
      </c>
      <c r="F12" s="291" t="s">
        <v>483</v>
      </c>
      <c r="G12" s="292"/>
      <c r="H12" s="34">
        <v>4</v>
      </c>
      <c r="I12" s="35" t="s">
        <v>55</v>
      </c>
      <c r="J12" s="36">
        <v>3</v>
      </c>
      <c r="K12" s="291"/>
      <c r="L12" s="309"/>
      <c r="M12" s="325"/>
      <c r="N12" s="312"/>
      <c r="O12" s="327"/>
      <c r="P12" s="309"/>
      <c r="Q12" s="325">
        <v>3</v>
      </c>
      <c r="R12" s="312"/>
      <c r="S12" s="327"/>
      <c r="T12" s="309"/>
      <c r="U12" s="325"/>
      <c r="V12" s="292"/>
      <c r="W12" s="26">
        <f t="shared" si="0"/>
        <v>3</v>
      </c>
      <c r="X12" s="410"/>
      <c r="Y12" s="243"/>
      <c r="Z12" s="1"/>
      <c r="AA12" s="29" t="s">
        <v>56</v>
      </c>
      <c r="AB12" s="30">
        <v>3</v>
      </c>
      <c r="AC12" s="30"/>
      <c r="AD12" s="7">
        <v>3</v>
      </c>
    </row>
    <row r="13" spans="1:30" ht="16.5" customHeight="1">
      <c r="A13" s="1"/>
      <c r="B13" s="255"/>
      <c r="C13" s="254"/>
      <c r="D13" s="293" t="s">
        <v>57</v>
      </c>
      <c r="E13" s="18" t="s">
        <v>44</v>
      </c>
      <c r="F13" s="236" t="s">
        <v>58</v>
      </c>
      <c r="G13" s="265"/>
      <c r="H13" s="19">
        <v>4</v>
      </c>
      <c r="I13" s="20" t="s">
        <v>46</v>
      </c>
      <c r="J13" s="21">
        <v>4</v>
      </c>
      <c r="K13" s="236">
        <v>4</v>
      </c>
      <c r="L13" s="237"/>
      <c r="M13" s="238"/>
      <c r="N13" s="239"/>
      <c r="O13" s="264"/>
      <c r="P13" s="237"/>
      <c r="Q13" s="238"/>
      <c r="R13" s="239"/>
      <c r="S13" s="264"/>
      <c r="T13" s="237"/>
      <c r="U13" s="238"/>
      <c r="V13" s="265"/>
      <c r="W13" s="19">
        <f t="shared" si="0"/>
        <v>4</v>
      </c>
      <c r="X13" s="408">
        <f>SUM(W13:W16)</f>
        <v>14</v>
      </c>
      <c r="Y13" s="243"/>
      <c r="Z13" s="1"/>
      <c r="AA13" s="29" t="s">
        <v>59</v>
      </c>
      <c r="AB13" s="30">
        <v>4</v>
      </c>
      <c r="AC13" s="30" t="s">
        <v>60</v>
      </c>
      <c r="AD13" s="7" t="s">
        <v>55</v>
      </c>
    </row>
    <row r="14" spans="1:30" ht="16.5" customHeight="1">
      <c r="A14" s="1"/>
      <c r="B14" s="255"/>
      <c r="C14" s="254"/>
      <c r="D14" s="243"/>
      <c r="E14" s="25" t="s">
        <v>44</v>
      </c>
      <c r="F14" s="231" t="s">
        <v>61</v>
      </c>
      <c r="G14" s="258"/>
      <c r="H14" s="26">
        <v>4</v>
      </c>
      <c r="I14" s="27" t="s">
        <v>46</v>
      </c>
      <c r="J14" s="28">
        <v>4</v>
      </c>
      <c r="K14" s="231"/>
      <c r="L14" s="232"/>
      <c r="M14" s="233">
        <v>4</v>
      </c>
      <c r="N14" s="234"/>
      <c r="O14" s="235"/>
      <c r="P14" s="232"/>
      <c r="Q14" s="233"/>
      <c r="R14" s="234"/>
      <c r="S14" s="235"/>
      <c r="T14" s="232"/>
      <c r="U14" s="233"/>
      <c r="V14" s="258"/>
      <c r="W14" s="26">
        <f t="shared" si="0"/>
        <v>4</v>
      </c>
      <c r="X14" s="409"/>
      <c r="Y14" s="243"/>
      <c r="Z14" s="1"/>
      <c r="AA14" s="182" t="s">
        <v>62</v>
      </c>
      <c r="AB14" s="30">
        <v>3</v>
      </c>
      <c r="AC14" s="30" t="s">
        <v>60</v>
      </c>
      <c r="AD14" s="7" t="s">
        <v>63</v>
      </c>
    </row>
    <row r="15" spans="1:30" ht="16.5" customHeight="1">
      <c r="A15" s="1"/>
      <c r="B15" s="255"/>
      <c r="C15" s="254"/>
      <c r="D15" s="243"/>
      <c r="E15" s="31" t="s">
        <v>52</v>
      </c>
      <c r="F15" s="231" t="s">
        <v>64</v>
      </c>
      <c r="G15" s="258"/>
      <c r="H15" s="26">
        <v>4</v>
      </c>
      <c r="I15" s="27" t="s">
        <v>46</v>
      </c>
      <c r="J15" s="33">
        <v>3</v>
      </c>
      <c r="K15" s="231"/>
      <c r="L15" s="232"/>
      <c r="M15" s="233"/>
      <c r="N15" s="234"/>
      <c r="O15" s="235">
        <v>3</v>
      </c>
      <c r="P15" s="232"/>
      <c r="Q15" s="233"/>
      <c r="R15" s="234"/>
      <c r="S15" s="235"/>
      <c r="T15" s="232"/>
      <c r="U15" s="233"/>
      <c r="V15" s="258"/>
      <c r="W15" s="26">
        <f t="shared" si="0"/>
        <v>3</v>
      </c>
      <c r="X15" s="409"/>
      <c r="Y15" s="243"/>
      <c r="Z15" s="1"/>
      <c r="AA15" s="37"/>
      <c r="AB15" s="38"/>
      <c r="AC15" s="38"/>
      <c r="AD15" s="39"/>
    </row>
    <row r="16" spans="1:30" ht="16.5" customHeight="1">
      <c r="A16" s="1"/>
      <c r="B16" s="255"/>
      <c r="C16" s="254"/>
      <c r="D16" s="269"/>
      <c r="E16" s="31" t="s">
        <v>52</v>
      </c>
      <c r="F16" s="291" t="s">
        <v>484</v>
      </c>
      <c r="G16" s="292"/>
      <c r="H16" s="34">
        <v>4</v>
      </c>
      <c r="I16" s="35" t="s">
        <v>55</v>
      </c>
      <c r="J16" s="36">
        <v>3</v>
      </c>
      <c r="K16" s="291"/>
      <c r="L16" s="309"/>
      <c r="M16" s="325"/>
      <c r="N16" s="312"/>
      <c r="O16" s="327"/>
      <c r="P16" s="309"/>
      <c r="Q16" s="325">
        <v>3</v>
      </c>
      <c r="R16" s="312"/>
      <c r="S16" s="327"/>
      <c r="T16" s="309"/>
      <c r="U16" s="325"/>
      <c r="V16" s="292"/>
      <c r="W16" s="26">
        <f t="shared" si="0"/>
        <v>3</v>
      </c>
      <c r="X16" s="410"/>
      <c r="Y16" s="243"/>
      <c r="Z16" s="1"/>
      <c r="AA16" s="40" t="s">
        <v>65</v>
      </c>
      <c r="AB16" s="418" t="s">
        <v>66</v>
      </c>
      <c r="AC16" s="419"/>
      <c r="AD16" s="420"/>
    </row>
    <row r="17" spans="1:30" ht="16.5" customHeight="1">
      <c r="A17" s="1"/>
      <c r="B17" s="255"/>
      <c r="C17" s="254"/>
      <c r="D17" s="293" t="s">
        <v>67</v>
      </c>
      <c r="E17" s="18" t="s">
        <v>44</v>
      </c>
      <c r="F17" s="236" t="s">
        <v>68</v>
      </c>
      <c r="G17" s="265"/>
      <c r="H17" s="19">
        <v>4</v>
      </c>
      <c r="I17" s="20" t="s">
        <v>46</v>
      </c>
      <c r="J17" s="21">
        <v>4</v>
      </c>
      <c r="K17" s="236">
        <v>4</v>
      </c>
      <c r="L17" s="237"/>
      <c r="M17" s="238"/>
      <c r="N17" s="239"/>
      <c r="O17" s="264"/>
      <c r="P17" s="237"/>
      <c r="Q17" s="238"/>
      <c r="R17" s="239"/>
      <c r="S17" s="264"/>
      <c r="T17" s="237"/>
      <c r="U17" s="238"/>
      <c r="V17" s="265"/>
      <c r="W17" s="19">
        <f t="shared" si="0"/>
        <v>4</v>
      </c>
      <c r="X17" s="408">
        <f>SUM(W17:W20)</f>
        <v>14</v>
      </c>
      <c r="Y17" s="243"/>
      <c r="Z17" s="1"/>
      <c r="AA17" s="1"/>
      <c r="AB17" s="1"/>
      <c r="AC17" s="1"/>
      <c r="AD17" s="1"/>
    </row>
    <row r="18" spans="1:30" ht="16.5" customHeight="1">
      <c r="A18" s="1"/>
      <c r="B18" s="255"/>
      <c r="C18" s="254"/>
      <c r="D18" s="243"/>
      <c r="E18" s="25" t="s">
        <v>52</v>
      </c>
      <c r="F18" s="231" t="s">
        <v>69</v>
      </c>
      <c r="G18" s="258"/>
      <c r="H18" s="26">
        <v>4</v>
      </c>
      <c r="I18" s="27" t="s">
        <v>46</v>
      </c>
      <c r="J18" s="28">
        <v>4</v>
      </c>
      <c r="K18" s="231"/>
      <c r="L18" s="232"/>
      <c r="M18" s="233">
        <v>4</v>
      </c>
      <c r="N18" s="234"/>
      <c r="O18" s="235"/>
      <c r="P18" s="232"/>
      <c r="Q18" s="233"/>
      <c r="R18" s="234"/>
      <c r="S18" s="235"/>
      <c r="T18" s="232"/>
      <c r="U18" s="233"/>
      <c r="V18" s="258"/>
      <c r="W18" s="26">
        <f t="shared" si="0"/>
        <v>4</v>
      </c>
      <c r="X18" s="409"/>
      <c r="Y18" s="243"/>
      <c r="Z18" s="1"/>
      <c r="AA18" s="1"/>
      <c r="AB18" s="1"/>
      <c r="AC18" s="1"/>
      <c r="AD18" s="1"/>
    </row>
    <row r="19" spans="1:30" ht="16.5" customHeight="1">
      <c r="A19" s="1"/>
      <c r="B19" s="255"/>
      <c r="C19" s="254"/>
      <c r="D19" s="243"/>
      <c r="E19" s="31" t="s">
        <v>52</v>
      </c>
      <c r="F19" s="231" t="s">
        <v>70</v>
      </c>
      <c r="G19" s="258"/>
      <c r="H19" s="32">
        <v>4</v>
      </c>
      <c r="I19" s="27" t="s">
        <v>46</v>
      </c>
      <c r="J19" s="33">
        <v>3</v>
      </c>
      <c r="K19" s="231"/>
      <c r="L19" s="232"/>
      <c r="M19" s="233"/>
      <c r="N19" s="234"/>
      <c r="O19" s="235">
        <v>3</v>
      </c>
      <c r="P19" s="232"/>
      <c r="Q19" s="233"/>
      <c r="R19" s="234"/>
      <c r="S19" s="235"/>
      <c r="T19" s="232"/>
      <c r="U19" s="233"/>
      <c r="V19" s="258"/>
      <c r="W19" s="26">
        <f t="shared" si="0"/>
        <v>3</v>
      </c>
      <c r="X19" s="409"/>
      <c r="Y19" s="243"/>
      <c r="Z19" s="1"/>
      <c r="AA19" s="1"/>
      <c r="AB19" s="1"/>
      <c r="AC19" s="1"/>
      <c r="AD19" s="1"/>
    </row>
    <row r="20" spans="1:30" ht="16.5" customHeight="1">
      <c r="A20" s="1"/>
      <c r="B20" s="255"/>
      <c r="C20" s="254"/>
      <c r="D20" s="269"/>
      <c r="E20" s="41" t="s">
        <v>52</v>
      </c>
      <c r="F20" s="291" t="s">
        <v>485</v>
      </c>
      <c r="G20" s="292"/>
      <c r="H20" s="34">
        <v>4</v>
      </c>
      <c r="I20" s="35" t="s">
        <v>55</v>
      </c>
      <c r="J20" s="36">
        <v>3</v>
      </c>
      <c r="K20" s="291"/>
      <c r="L20" s="309"/>
      <c r="M20" s="325"/>
      <c r="N20" s="312"/>
      <c r="O20" s="327"/>
      <c r="P20" s="309"/>
      <c r="Q20" s="325">
        <v>3</v>
      </c>
      <c r="R20" s="312"/>
      <c r="S20" s="327"/>
      <c r="T20" s="309"/>
      <c r="U20" s="325"/>
      <c r="V20" s="292"/>
      <c r="W20" s="26">
        <f t="shared" si="0"/>
        <v>3</v>
      </c>
      <c r="X20" s="410"/>
      <c r="Y20" s="269"/>
      <c r="Z20" s="1"/>
      <c r="AA20" s="1"/>
      <c r="AB20" s="1"/>
      <c r="AC20" s="1"/>
      <c r="AD20" s="1"/>
    </row>
    <row r="21" spans="1:30" ht="16.5" customHeight="1">
      <c r="A21" s="1"/>
      <c r="B21" s="255"/>
      <c r="C21" s="254"/>
      <c r="D21" s="293" t="s">
        <v>71</v>
      </c>
      <c r="E21" s="18" t="s">
        <v>44</v>
      </c>
      <c r="F21" s="236" t="s">
        <v>72</v>
      </c>
      <c r="G21" s="265"/>
      <c r="H21" s="19">
        <v>3</v>
      </c>
      <c r="I21" s="42" t="s">
        <v>73</v>
      </c>
      <c r="J21" s="21">
        <v>3</v>
      </c>
      <c r="K21" s="394">
        <v>3</v>
      </c>
      <c r="L21" s="322"/>
      <c r="M21" s="395"/>
      <c r="N21" s="318"/>
      <c r="O21" s="417"/>
      <c r="P21" s="322"/>
      <c r="Q21" s="395"/>
      <c r="R21" s="318"/>
      <c r="S21" s="417"/>
      <c r="T21" s="322"/>
      <c r="U21" s="395"/>
      <c r="V21" s="267"/>
      <c r="W21" s="19">
        <f t="shared" si="0"/>
        <v>3</v>
      </c>
      <c r="X21" s="408">
        <f>SUM(W21:W22)</f>
        <v>6</v>
      </c>
      <c r="Y21" s="242">
        <v>6</v>
      </c>
      <c r="Z21" s="1"/>
      <c r="AA21" s="1"/>
      <c r="AB21" s="1"/>
      <c r="AC21" s="1"/>
      <c r="AD21" s="1"/>
    </row>
    <row r="22" spans="1:30" ht="16.5" customHeight="1">
      <c r="A22" s="1"/>
      <c r="B22" s="255"/>
      <c r="C22" s="254"/>
      <c r="D22" s="243"/>
      <c r="E22" s="43" t="s">
        <v>44</v>
      </c>
      <c r="F22" s="294" t="s">
        <v>74</v>
      </c>
      <c r="G22" s="257"/>
      <c r="H22" s="44">
        <v>3</v>
      </c>
      <c r="I22" s="45" t="s">
        <v>73</v>
      </c>
      <c r="J22" s="46">
        <v>3</v>
      </c>
      <c r="K22" s="291"/>
      <c r="L22" s="309"/>
      <c r="M22" s="325">
        <v>3</v>
      </c>
      <c r="N22" s="312"/>
      <c r="O22" s="327"/>
      <c r="P22" s="309"/>
      <c r="Q22" s="325"/>
      <c r="R22" s="312"/>
      <c r="S22" s="327"/>
      <c r="T22" s="309"/>
      <c r="U22" s="325"/>
      <c r="V22" s="292"/>
      <c r="W22" s="34">
        <f t="shared" si="0"/>
        <v>3</v>
      </c>
      <c r="X22" s="354"/>
      <c r="Y22" s="269"/>
      <c r="Z22" s="1"/>
      <c r="AA22" s="289"/>
      <c r="AB22" s="290"/>
      <c r="AC22" s="47"/>
      <c r="AD22" s="1"/>
    </row>
    <row r="23" spans="1:30" ht="16.5" customHeight="1">
      <c r="A23" s="1"/>
      <c r="B23" s="255"/>
      <c r="C23" s="254"/>
      <c r="D23" s="243"/>
      <c r="E23" s="18" t="s">
        <v>44</v>
      </c>
      <c r="F23" s="236" t="s">
        <v>75</v>
      </c>
      <c r="G23" s="265"/>
      <c r="H23" s="19">
        <v>4</v>
      </c>
      <c r="I23" s="42" t="s">
        <v>46</v>
      </c>
      <c r="J23" s="21">
        <v>3</v>
      </c>
      <c r="K23" s="236">
        <v>3</v>
      </c>
      <c r="L23" s="237"/>
      <c r="M23" s="238"/>
      <c r="N23" s="239"/>
      <c r="O23" s="264"/>
      <c r="P23" s="237"/>
      <c r="Q23" s="238"/>
      <c r="R23" s="239"/>
      <c r="S23" s="264"/>
      <c r="T23" s="237"/>
      <c r="U23" s="238"/>
      <c r="V23" s="265"/>
      <c r="W23" s="19">
        <f t="shared" si="0"/>
        <v>3</v>
      </c>
      <c r="X23" s="408">
        <f>SUM(W23:W24)</f>
        <v>6</v>
      </c>
      <c r="Y23" s="242">
        <v>12</v>
      </c>
      <c r="Z23" s="1"/>
      <c r="AA23" s="1"/>
      <c r="AB23" s="1"/>
      <c r="AC23" s="1"/>
      <c r="AD23" s="1"/>
    </row>
    <row r="24" spans="1:30" ht="16.5" customHeight="1">
      <c r="A24" s="1"/>
      <c r="B24" s="255"/>
      <c r="C24" s="254"/>
      <c r="D24" s="269"/>
      <c r="E24" s="41" t="s">
        <v>44</v>
      </c>
      <c r="F24" s="291" t="s">
        <v>76</v>
      </c>
      <c r="G24" s="292"/>
      <c r="H24" s="34">
        <v>4</v>
      </c>
      <c r="I24" s="35" t="s">
        <v>46</v>
      </c>
      <c r="J24" s="36">
        <v>3</v>
      </c>
      <c r="K24" s="291"/>
      <c r="L24" s="309"/>
      <c r="M24" s="325">
        <v>3</v>
      </c>
      <c r="N24" s="312"/>
      <c r="O24" s="327"/>
      <c r="P24" s="309"/>
      <c r="Q24" s="325"/>
      <c r="R24" s="312"/>
      <c r="S24" s="327"/>
      <c r="T24" s="309"/>
      <c r="U24" s="325"/>
      <c r="V24" s="292"/>
      <c r="W24" s="34">
        <f t="shared" si="0"/>
        <v>3</v>
      </c>
      <c r="X24" s="354"/>
      <c r="Y24" s="243"/>
      <c r="Z24" s="1"/>
      <c r="AA24" s="1"/>
      <c r="AB24" s="1"/>
      <c r="AC24" s="1"/>
      <c r="AD24" s="1"/>
    </row>
    <row r="25" spans="1:30" ht="16.5" customHeight="1">
      <c r="A25" s="1"/>
      <c r="B25" s="255"/>
      <c r="C25" s="254"/>
      <c r="D25" s="293" t="s">
        <v>77</v>
      </c>
      <c r="E25" s="18" t="s">
        <v>44</v>
      </c>
      <c r="F25" s="236" t="s">
        <v>78</v>
      </c>
      <c r="G25" s="265"/>
      <c r="H25" s="19">
        <v>4</v>
      </c>
      <c r="I25" s="42" t="s">
        <v>46</v>
      </c>
      <c r="J25" s="21">
        <v>3</v>
      </c>
      <c r="K25" s="236">
        <v>3</v>
      </c>
      <c r="L25" s="237"/>
      <c r="M25" s="238"/>
      <c r="N25" s="239"/>
      <c r="O25" s="264"/>
      <c r="P25" s="237"/>
      <c r="Q25" s="238"/>
      <c r="R25" s="239"/>
      <c r="S25" s="264"/>
      <c r="T25" s="237"/>
      <c r="U25" s="238"/>
      <c r="V25" s="265"/>
      <c r="W25" s="19">
        <f t="shared" si="0"/>
        <v>3</v>
      </c>
      <c r="X25" s="416">
        <f>SUM(W25:W26)</f>
        <v>6</v>
      </c>
      <c r="Y25" s="243"/>
      <c r="Z25" s="1"/>
      <c r="AA25" s="1"/>
      <c r="AB25" s="1"/>
      <c r="AC25" s="1"/>
      <c r="AD25" s="1"/>
    </row>
    <row r="26" spans="1:30" ht="16.5" customHeight="1" thickBot="1">
      <c r="A26" s="1"/>
      <c r="B26" s="255"/>
      <c r="C26" s="254"/>
      <c r="D26" s="295"/>
      <c r="E26" s="155" t="s">
        <v>44</v>
      </c>
      <c r="F26" s="278" t="s">
        <v>79</v>
      </c>
      <c r="G26" s="247"/>
      <c r="H26" s="32">
        <v>4</v>
      </c>
      <c r="I26" s="156" t="s">
        <v>46</v>
      </c>
      <c r="J26" s="33">
        <v>3</v>
      </c>
      <c r="K26" s="278"/>
      <c r="L26" s="279"/>
      <c r="M26" s="280">
        <v>3</v>
      </c>
      <c r="N26" s="283"/>
      <c r="O26" s="282"/>
      <c r="P26" s="279"/>
      <c r="Q26" s="280"/>
      <c r="R26" s="283"/>
      <c r="S26" s="282"/>
      <c r="T26" s="279"/>
      <c r="U26" s="280"/>
      <c r="V26" s="247"/>
      <c r="W26" s="32">
        <f t="shared" si="0"/>
        <v>3</v>
      </c>
      <c r="X26" s="244"/>
      <c r="Y26" s="295"/>
      <c r="Z26" s="1"/>
      <c r="AA26" s="1"/>
      <c r="AB26" s="1"/>
      <c r="AC26" s="1"/>
      <c r="AD26" s="1"/>
    </row>
    <row r="27" spans="1:30" ht="16.5" customHeight="1">
      <c r="A27" s="1"/>
      <c r="B27" s="255"/>
      <c r="C27" s="253"/>
      <c r="D27" s="333" t="s">
        <v>80</v>
      </c>
      <c r="E27" s="159" t="s">
        <v>52</v>
      </c>
      <c r="F27" s="225" t="s">
        <v>81</v>
      </c>
      <c r="G27" s="277"/>
      <c r="H27" s="160">
        <v>3</v>
      </c>
      <c r="I27" s="161" t="s">
        <v>63</v>
      </c>
      <c r="J27" s="162">
        <f t="shared" ref="J27:J28" si="1">SUM(K27:V27)</f>
        <v>2</v>
      </c>
      <c r="K27" s="225">
        <v>2</v>
      </c>
      <c r="L27" s="226"/>
      <c r="M27" s="227"/>
      <c r="N27" s="230"/>
      <c r="O27" s="229"/>
      <c r="P27" s="226"/>
      <c r="Q27" s="227"/>
      <c r="R27" s="230"/>
      <c r="S27" s="229"/>
      <c r="T27" s="226"/>
      <c r="U27" s="227"/>
      <c r="V27" s="277"/>
      <c r="W27" s="160">
        <f t="shared" si="0"/>
        <v>2</v>
      </c>
      <c r="X27" s="414">
        <f>SUM(W27:W31)</f>
        <v>10</v>
      </c>
      <c r="Y27" s="411">
        <v>8</v>
      </c>
      <c r="Z27" s="1"/>
      <c r="AA27" s="1"/>
      <c r="AB27" s="1"/>
      <c r="AC27" s="1"/>
      <c r="AD27" s="1"/>
    </row>
    <row r="28" spans="1:30" ht="16.5" customHeight="1">
      <c r="A28" s="1"/>
      <c r="B28" s="255"/>
      <c r="C28" s="253"/>
      <c r="D28" s="362"/>
      <c r="E28" s="25" t="s">
        <v>82</v>
      </c>
      <c r="F28" s="231" t="s">
        <v>83</v>
      </c>
      <c r="G28" s="258"/>
      <c r="H28" s="26">
        <v>3</v>
      </c>
      <c r="I28" s="27" t="s">
        <v>63</v>
      </c>
      <c r="J28" s="28">
        <f t="shared" si="1"/>
        <v>2</v>
      </c>
      <c r="K28" s="231"/>
      <c r="L28" s="232"/>
      <c r="M28" s="233">
        <v>2</v>
      </c>
      <c r="N28" s="234"/>
      <c r="O28" s="235"/>
      <c r="P28" s="232"/>
      <c r="Q28" s="233"/>
      <c r="R28" s="234"/>
      <c r="S28" s="235"/>
      <c r="T28" s="232"/>
      <c r="U28" s="233"/>
      <c r="V28" s="258"/>
      <c r="W28" s="26">
        <f t="shared" si="0"/>
        <v>2</v>
      </c>
      <c r="X28" s="410"/>
      <c r="Y28" s="412"/>
      <c r="Z28" s="1"/>
      <c r="AA28" s="1"/>
      <c r="AB28" s="1"/>
      <c r="AC28" s="1"/>
      <c r="AD28" s="1"/>
    </row>
    <row r="29" spans="1:30" ht="16.5" customHeight="1">
      <c r="A29" s="1"/>
      <c r="B29" s="255"/>
      <c r="C29" s="253"/>
      <c r="D29" s="362"/>
      <c r="E29" s="25" t="s">
        <v>84</v>
      </c>
      <c r="F29" s="231" t="s">
        <v>85</v>
      </c>
      <c r="G29" s="258"/>
      <c r="H29" s="26">
        <v>3</v>
      </c>
      <c r="I29" s="27" t="s">
        <v>63</v>
      </c>
      <c r="J29" s="28">
        <v>2</v>
      </c>
      <c r="K29" s="231"/>
      <c r="L29" s="232"/>
      <c r="M29" s="233"/>
      <c r="N29" s="234"/>
      <c r="O29" s="235">
        <v>2</v>
      </c>
      <c r="P29" s="232"/>
      <c r="Q29" s="233"/>
      <c r="R29" s="234"/>
      <c r="S29" s="235"/>
      <c r="T29" s="232"/>
      <c r="U29" s="233"/>
      <c r="V29" s="258"/>
      <c r="W29" s="26">
        <f t="shared" si="0"/>
        <v>2</v>
      </c>
      <c r="X29" s="410"/>
      <c r="Y29" s="412"/>
      <c r="Z29" s="1"/>
      <c r="AA29" s="1"/>
      <c r="AB29" s="1"/>
      <c r="AC29" s="1"/>
      <c r="AD29" s="1"/>
    </row>
    <row r="30" spans="1:30" ht="16.5" customHeight="1">
      <c r="A30" s="1"/>
      <c r="B30" s="255"/>
      <c r="C30" s="253"/>
      <c r="D30" s="362"/>
      <c r="E30" s="25" t="s">
        <v>84</v>
      </c>
      <c r="F30" s="231" t="s">
        <v>86</v>
      </c>
      <c r="G30" s="258"/>
      <c r="H30" s="26">
        <v>3</v>
      </c>
      <c r="I30" s="27" t="s">
        <v>63</v>
      </c>
      <c r="J30" s="28">
        <v>2</v>
      </c>
      <c r="K30" s="231"/>
      <c r="L30" s="232"/>
      <c r="M30" s="233"/>
      <c r="N30" s="234"/>
      <c r="O30" s="235"/>
      <c r="P30" s="232"/>
      <c r="Q30" s="233">
        <v>2</v>
      </c>
      <c r="R30" s="234"/>
      <c r="S30" s="235"/>
      <c r="T30" s="232"/>
      <c r="U30" s="233"/>
      <c r="V30" s="258"/>
      <c r="W30" s="26">
        <f t="shared" si="0"/>
        <v>2</v>
      </c>
      <c r="X30" s="410"/>
      <c r="Y30" s="412"/>
      <c r="Z30" s="1"/>
      <c r="AA30" s="1"/>
      <c r="AB30" s="1"/>
      <c r="AC30" s="1"/>
      <c r="AD30" s="1"/>
    </row>
    <row r="31" spans="1:30" ht="16.5" customHeight="1" thickBot="1">
      <c r="A31" s="1"/>
      <c r="B31" s="255"/>
      <c r="C31" s="253"/>
      <c r="D31" s="334"/>
      <c r="E31" s="163" t="s">
        <v>82</v>
      </c>
      <c r="F31" s="285" t="s">
        <v>87</v>
      </c>
      <c r="G31" s="224"/>
      <c r="H31" s="164">
        <v>2</v>
      </c>
      <c r="I31" s="165" t="s">
        <v>88</v>
      </c>
      <c r="J31" s="166">
        <v>2</v>
      </c>
      <c r="K31" s="285"/>
      <c r="L31" s="223"/>
      <c r="M31" s="220"/>
      <c r="N31" s="221"/>
      <c r="O31" s="222"/>
      <c r="P31" s="223"/>
      <c r="Q31" s="220"/>
      <c r="R31" s="221"/>
      <c r="S31" s="222">
        <v>2</v>
      </c>
      <c r="T31" s="223"/>
      <c r="U31" s="220"/>
      <c r="V31" s="224"/>
      <c r="W31" s="164">
        <f t="shared" si="0"/>
        <v>2</v>
      </c>
      <c r="X31" s="415"/>
      <c r="Y31" s="413"/>
      <c r="Z31" s="1"/>
      <c r="AA31" s="1"/>
      <c r="AB31" s="1"/>
      <c r="AC31" s="1"/>
      <c r="AD31" s="1"/>
    </row>
    <row r="32" spans="1:30" ht="16.5" customHeight="1">
      <c r="A32" s="1"/>
      <c r="B32" s="255"/>
      <c r="C32" s="254"/>
      <c r="D32" s="335" t="s">
        <v>89</v>
      </c>
      <c r="E32" s="31" t="s">
        <v>52</v>
      </c>
      <c r="F32" s="259" t="s">
        <v>90</v>
      </c>
      <c r="G32" s="296"/>
      <c r="H32" s="157">
        <v>3</v>
      </c>
      <c r="I32" s="48" t="s">
        <v>63</v>
      </c>
      <c r="J32" s="158">
        <v>3</v>
      </c>
      <c r="K32" s="259">
        <v>3</v>
      </c>
      <c r="L32" s="260"/>
      <c r="M32" s="261"/>
      <c r="N32" s="262"/>
      <c r="O32" s="263"/>
      <c r="P32" s="260"/>
      <c r="Q32" s="261"/>
      <c r="R32" s="262"/>
      <c r="S32" s="263"/>
      <c r="T32" s="260"/>
      <c r="U32" s="261"/>
      <c r="V32" s="296"/>
      <c r="W32" s="297">
        <f>SUM(K32:V33)</f>
        <v>6</v>
      </c>
      <c r="X32" s="244"/>
      <c r="Y32" s="298">
        <v>6</v>
      </c>
      <c r="Z32" s="1"/>
      <c r="AA32" s="1"/>
      <c r="AB32" s="1"/>
      <c r="AC32" s="1"/>
      <c r="AD32" s="1"/>
    </row>
    <row r="33" spans="1:45" ht="16.5" customHeight="1">
      <c r="A33" s="1"/>
      <c r="B33" s="255"/>
      <c r="C33" s="254"/>
      <c r="D33" s="245"/>
      <c r="E33" s="31" t="s">
        <v>52</v>
      </c>
      <c r="F33" s="231" t="s">
        <v>91</v>
      </c>
      <c r="G33" s="258"/>
      <c r="H33" s="26">
        <v>3</v>
      </c>
      <c r="I33" s="27" t="s">
        <v>63</v>
      </c>
      <c r="J33" s="28">
        <v>3</v>
      </c>
      <c r="K33" s="231"/>
      <c r="L33" s="232"/>
      <c r="M33" s="233">
        <v>3</v>
      </c>
      <c r="N33" s="234"/>
      <c r="O33" s="235"/>
      <c r="P33" s="232"/>
      <c r="Q33" s="233"/>
      <c r="R33" s="234"/>
      <c r="S33" s="235"/>
      <c r="T33" s="232"/>
      <c r="U33" s="233"/>
      <c r="V33" s="258"/>
      <c r="W33" s="268"/>
      <c r="X33" s="244"/>
      <c r="Y33" s="269"/>
      <c r="Z33" s="1"/>
      <c r="AA33" s="1"/>
      <c r="AB33" s="1"/>
      <c r="AC33" s="1"/>
      <c r="AD33" s="1"/>
    </row>
    <row r="34" spans="1:45" ht="16.5" customHeight="1">
      <c r="A34" s="1"/>
      <c r="B34" s="255"/>
      <c r="C34" s="254"/>
      <c r="D34" s="363" t="s">
        <v>92</v>
      </c>
      <c r="E34" s="18" t="s">
        <v>52</v>
      </c>
      <c r="F34" s="236" t="s">
        <v>93</v>
      </c>
      <c r="G34" s="265"/>
      <c r="H34" s="19">
        <v>3</v>
      </c>
      <c r="I34" s="42" t="s">
        <v>63</v>
      </c>
      <c r="J34" s="21">
        <v>3</v>
      </c>
      <c r="K34" s="236"/>
      <c r="L34" s="237"/>
      <c r="M34" s="238"/>
      <c r="N34" s="239"/>
      <c r="O34" s="264"/>
      <c r="P34" s="237"/>
      <c r="Q34" s="238"/>
      <c r="R34" s="239"/>
      <c r="S34" s="264">
        <v>3</v>
      </c>
      <c r="T34" s="237"/>
      <c r="U34" s="238"/>
      <c r="V34" s="265"/>
      <c r="W34" s="266">
        <f>SUM(K34:V36)</f>
        <v>9</v>
      </c>
      <c r="X34" s="267"/>
      <c r="Y34" s="242">
        <v>8</v>
      </c>
      <c r="Z34" s="1"/>
      <c r="AA34" s="1"/>
      <c r="AB34" s="1"/>
      <c r="AC34" s="1"/>
      <c r="AD34" s="1"/>
    </row>
    <row r="35" spans="1:45" ht="16.5" customHeight="1">
      <c r="A35" s="1"/>
      <c r="B35" s="255"/>
      <c r="C35" s="254"/>
      <c r="D35" s="243"/>
      <c r="E35" s="31" t="s">
        <v>52</v>
      </c>
      <c r="F35" s="231" t="s">
        <v>94</v>
      </c>
      <c r="G35" s="258"/>
      <c r="H35" s="26">
        <v>3</v>
      </c>
      <c r="I35" s="27" t="s">
        <v>63</v>
      </c>
      <c r="J35" s="28">
        <v>3</v>
      </c>
      <c r="K35" s="231"/>
      <c r="L35" s="232"/>
      <c r="M35" s="233"/>
      <c r="N35" s="234"/>
      <c r="O35" s="235"/>
      <c r="P35" s="232"/>
      <c r="Q35" s="233">
        <v>3</v>
      </c>
      <c r="R35" s="234"/>
      <c r="S35" s="235"/>
      <c r="T35" s="232"/>
      <c r="U35" s="233"/>
      <c r="V35" s="258"/>
      <c r="W35" s="255"/>
      <c r="X35" s="254"/>
      <c r="Y35" s="243"/>
      <c r="Z35" s="1"/>
      <c r="AA35" s="1"/>
      <c r="AB35" s="1"/>
      <c r="AC35" s="1"/>
      <c r="AD35" s="1"/>
    </row>
    <row r="36" spans="1:45" ht="16.5" customHeight="1">
      <c r="A36" s="1"/>
      <c r="B36" s="256"/>
      <c r="C36" s="257"/>
      <c r="D36" s="245"/>
      <c r="E36" s="31" t="s">
        <v>84</v>
      </c>
      <c r="F36" s="291" t="s">
        <v>95</v>
      </c>
      <c r="G36" s="292"/>
      <c r="H36" s="34">
        <v>3</v>
      </c>
      <c r="I36" s="35" t="s">
        <v>63</v>
      </c>
      <c r="J36" s="36">
        <v>3</v>
      </c>
      <c r="K36" s="291"/>
      <c r="L36" s="309"/>
      <c r="M36" s="325"/>
      <c r="N36" s="312"/>
      <c r="O36" s="235">
        <v>3</v>
      </c>
      <c r="P36" s="232"/>
      <c r="Q36" s="233"/>
      <c r="R36" s="234"/>
      <c r="S36" s="235"/>
      <c r="T36" s="232"/>
      <c r="U36" s="233"/>
      <c r="V36" s="258"/>
      <c r="W36" s="268"/>
      <c r="X36" s="244"/>
      <c r="Y36" s="269"/>
      <c r="Z36" s="1"/>
      <c r="AA36" s="1"/>
      <c r="AB36" s="1"/>
      <c r="AC36" s="1"/>
      <c r="AD36" s="1"/>
    </row>
    <row r="37" spans="1:45" ht="24.75" customHeight="1">
      <c r="A37" s="1"/>
      <c r="B37" s="272" t="s">
        <v>96</v>
      </c>
      <c r="C37" s="286"/>
      <c r="D37" s="286"/>
      <c r="E37" s="286"/>
      <c r="F37" s="286"/>
      <c r="G37" s="241"/>
      <c r="H37" s="49">
        <f>SUM(H9:H36)</f>
        <v>99</v>
      </c>
      <c r="I37" s="50"/>
      <c r="J37" s="51">
        <f>SUM(J9:J36)</f>
        <v>85</v>
      </c>
      <c r="K37" s="272">
        <f>SUM(K9:L36)</f>
        <v>26</v>
      </c>
      <c r="L37" s="273"/>
      <c r="M37" s="310">
        <f>SUM(M9:N36)</f>
        <v>26</v>
      </c>
      <c r="N37" s="359"/>
      <c r="O37" s="288">
        <f>SUM(O9:P36)</f>
        <v>14</v>
      </c>
      <c r="P37" s="273"/>
      <c r="Q37" s="310">
        <f>SUM(Q9:R36)</f>
        <v>14</v>
      </c>
      <c r="R37" s="287"/>
      <c r="S37" s="361">
        <f>SUM(S9:T36)</f>
        <v>5</v>
      </c>
      <c r="T37" s="273"/>
      <c r="U37" s="310">
        <f>SUM(U9:V36)</f>
        <v>0</v>
      </c>
      <c r="V37" s="241"/>
      <c r="W37" s="272">
        <f t="shared" ref="W37" si="2">SUM(K37:V37)</f>
        <v>85</v>
      </c>
      <c r="X37" s="273"/>
      <c r="Y37" s="51">
        <f>SUM(Y9:Y36)</f>
        <v>64</v>
      </c>
      <c r="Z37" s="1"/>
      <c r="AA37" s="240" t="b">
        <f>W37&gt;=Y37</f>
        <v>1</v>
      </c>
      <c r="AB37" s="241"/>
      <c r="AC37" s="1"/>
      <c r="AD37" s="1"/>
    </row>
    <row r="38" spans="1:45" ht="17.25" customHeight="1">
      <c r="A38" s="1"/>
      <c r="B38" s="266" t="s">
        <v>97</v>
      </c>
      <c r="C38" s="267"/>
      <c r="D38" s="364" t="s">
        <v>98</v>
      </c>
      <c r="E38" s="267"/>
      <c r="F38" s="236" t="s">
        <v>473</v>
      </c>
      <c r="G38" s="265"/>
      <c r="H38" s="26">
        <v>2</v>
      </c>
      <c r="I38" s="52" t="s">
        <v>488</v>
      </c>
      <c r="J38" s="28">
        <v>3</v>
      </c>
      <c r="K38" s="236">
        <v>3</v>
      </c>
      <c r="L38" s="237"/>
      <c r="M38" s="238"/>
      <c r="N38" s="239"/>
      <c r="O38" s="264"/>
      <c r="P38" s="237"/>
      <c r="Q38" s="238"/>
      <c r="R38" s="239"/>
      <c r="S38" s="264"/>
      <c r="T38" s="237"/>
      <c r="U38" s="238"/>
      <c r="V38" s="265"/>
      <c r="W38" s="250">
        <f t="shared" ref="W38:W49" si="3">SUM(K38:V38)</f>
        <v>3</v>
      </c>
      <c r="X38" s="258"/>
      <c r="Y38" s="242">
        <v>80</v>
      </c>
      <c r="Z38" s="1"/>
      <c r="AA38" s="1"/>
      <c r="AB38" s="1"/>
      <c r="AC38" s="1"/>
      <c r="AD38" s="1"/>
    </row>
    <row r="39" spans="1:45" ht="17.25" customHeight="1" thickBot="1">
      <c r="A39" s="1"/>
      <c r="B39" s="255"/>
      <c r="C39" s="254"/>
      <c r="D39" s="341"/>
      <c r="E39" s="244"/>
      <c r="F39" s="339" t="s">
        <v>474</v>
      </c>
      <c r="G39" s="247"/>
      <c r="H39" s="168">
        <v>2</v>
      </c>
      <c r="I39" s="179" t="s">
        <v>488</v>
      </c>
      <c r="J39" s="169">
        <v>3</v>
      </c>
      <c r="K39" s="278"/>
      <c r="L39" s="279"/>
      <c r="M39" s="280"/>
      <c r="N39" s="281"/>
      <c r="O39" s="282"/>
      <c r="P39" s="279"/>
      <c r="Q39" s="280">
        <v>3</v>
      </c>
      <c r="R39" s="283"/>
      <c r="S39" s="284"/>
      <c r="T39" s="279"/>
      <c r="U39" s="280"/>
      <c r="V39" s="247"/>
      <c r="W39" s="246">
        <f t="shared" si="3"/>
        <v>3</v>
      </c>
      <c r="X39" s="247"/>
      <c r="Y39" s="243"/>
      <c r="Z39" s="1"/>
      <c r="AA39" s="1"/>
      <c r="AB39" s="1"/>
      <c r="AC39" s="1"/>
      <c r="AD39" s="1"/>
    </row>
    <row r="40" spans="1:45" ht="17.25" customHeight="1">
      <c r="A40" s="1"/>
      <c r="B40" s="255"/>
      <c r="C40" s="253"/>
      <c r="D40" s="196" t="s">
        <v>486</v>
      </c>
      <c r="E40" s="171" t="s">
        <v>497</v>
      </c>
      <c r="F40" s="225" t="s">
        <v>475</v>
      </c>
      <c r="G40" s="277"/>
      <c r="H40" s="172">
        <v>2</v>
      </c>
      <c r="I40" s="190" t="s">
        <v>488</v>
      </c>
      <c r="J40" s="173">
        <v>3</v>
      </c>
      <c r="K40" s="225"/>
      <c r="L40" s="226"/>
      <c r="M40" s="227">
        <v>3</v>
      </c>
      <c r="N40" s="228"/>
      <c r="O40" s="229"/>
      <c r="P40" s="226"/>
      <c r="Q40" s="227"/>
      <c r="R40" s="230"/>
      <c r="S40" s="276"/>
      <c r="T40" s="226"/>
      <c r="U40" s="227"/>
      <c r="V40" s="277"/>
      <c r="W40" s="248">
        <f t="shared" si="3"/>
        <v>3</v>
      </c>
      <c r="X40" s="249"/>
      <c r="Y40" s="244"/>
      <c r="Z40" s="1"/>
      <c r="AA40" s="1"/>
      <c r="AB40" s="1"/>
      <c r="AC40" s="1"/>
      <c r="AD40" s="1"/>
    </row>
    <row r="41" spans="1:45" s="154" customFormat="1" ht="17.25" customHeight="1">
      <c r="A41" s="1"/>
      <c r="B41" s="341"/>
      <c r="C41" s="253"/>
      <c r="D41" s="191" t="s">
        <v>486</v>
      </c>
      <c r="E41" s="56" t="s">
        <v>497</v>
      </c>
      <c r="F41" s="231" t="s">
        <v>489</v>
      </c>
      <c r="G41" s="360"/>
      <c r="H41" s="54">
        <v>2</v>
      </c>
      <c r="I41" s="178" t="s">
        <v>488</v>
      </c>
      <c r="J41" s="55">
        <v>3</v>
      </c>
      <c r="K41" s="231"/>
      <c r="L41" s="422"/>
      <c r="M41" s="233"/>
      <c r="N41" s="423"/>
      <c r="O41" s="235">
        <v>3</v>
      </c>
      <c r="P41" s="422"/>
      <c r="Q41" s="233"/>
      <c r="R41" s="423"/>
      <c r="S41" s="235"/>
      <c r="T41" s="422"/>
      <c r="U41" s="233"/>
      <c r="V41" s="360"/>
      <c r="W41" s="250">
        <f t="shared" si="3"/>
        <v>3</v>
      </c>
      <c r="X41" s="421"/>
      <c r="Y41" s="244"/>
      <c r="Z41" s="1"/>
      <c r="AA41" s="1"/>
      <c r="AB41" s="1"/>
      <c r="AC41" s="1"/>
      <c r="AD41" s="1"/>
    </row>
    <row r="42" spans="1:45" ht="17.25" customHeight="1">
      <c r="A42" s="1"/>
      <c r="B42" s="255"/>
      <c r="C42" s="253"/>
      <c r="D42" s="191" t="s">
        <v>486</v>
      </c>
      <c r="E42" s="56" t="s">
        <v>498</v>
      </c>
      <c r="F42" s="274" t="s">
        <v>490</v>
      </c>
      <c r="G42" s="275"/>
      <c r="H42" s="54">
        <v>2</v>
      </c>
      <c r="I42" s="178" t="s">
        <v>488</v>
      </c>
      <c r="J42" s="55">
        <v>4</v>
      </c>
      <c r="K42" s="231"/>
      <c r="L42" s="232"/>
      <c r="M42" s="233"/>
      <c r="N42" s="234"/>
      <c r="O42" s="235">
        <v>4</v>
      </c>
      <c r="P42" s="232"/>
      <c r="Q42" s="233"/>
      <c r="R42" s="234"/>
      <c r="S42" s="235"/>
      <c r="T42" s="232"/>
      <c r="U42" s="233"/>
      <c r="V42" s="258"/>
      <c r="W42" s="250">
        <f t="shared" si="3"/>
        <v>4</v>
      </c>
      <c r="X42" s="251"/>
      <c r="Y42" s="244"/>
      <c r="Z42" s="1"/>
      <c r="AA42" s="1"/>
      <c r="AB42" s="1"/>
      <c r="AC42" s="1"/>
      <c r="AD42" s="1"/>
    </row>
    <row r="43" spans="1:45" s="154" customFormat="1" ht="17.25" customHeight="1">
      <c r="A43" s="1"/>
      <c r="B43" s="341"/>
      <c r="C43" s="253"/>
      <c r="D43" s="197" t="s">
        <v>486</v>
      </c>
      <c r="E43" s="170" t="s">
        <v>496</v>
      </c>
      <c r="F43" s="231" t="s">
        <v>487</v>
      </c>
      <c r="G43" s="360"/>
      <c r="H43" s="54">
        <v>2</v>
      </c>
      <c r="I43" s="178" t="s">
        <v>488</v>
      </c>
      <c r="J43" s="55">
        <v>4</v>
      </c>
      <c r="K43" s="231"/>
      <c r="L43" s="422"/>
      <c r="M43" s="233"/>
      <c r="N43" s="423"/>
      <c r="O43" s="235"/>
      <c r="P43" s="422"/>
      <c r="Q43" s="233">
        <v>4</v>
      </c>
      <c r="R43" s="423"/>
      <c r="S43" s="235"/>
      <c r="T43" s="422"/>
      <c r="U43" s="233"/>
      <c r="V43" s="360"/>
      <c r="W43" s="250">
        <f t="shared" si="3"/>
        <v>4</v>
      </c>
      <c r="X43" s="421"/>
      <c r="Y43" s="244"/>
      <c r="Z43" s="1"/>
      <c r="AA43" s="183"/>
      <c r="AB43" s="183"/>
      <c r="AC43" s="425"/>
      <c r="AD43" s="426"/>
      <c r="AE43" s="184"/>
      <c r="AF43" s="185"/>
      <c r="AG43" s="184"/>
      <c r="AH43" s="425"/>
      <c r="AI43" s="426"/>
      <c r="AJ43" s="425"/>
      <c r="AK43" s="426"/>
      <c r="AL43" s="425"/>
      <c r="AM43" s="426"/>
      <c r="AN43" s="425"/>
      <c r="AO43" s="426"/>
      <c r="AP43" s="425"/>
      <c r="AQ43" s="426"/>
      <c r="AR43" s="425"/>
      <c r="AS43" s="426"/>
    </row>
    <row r="44" spans="1:45" ht="17.25" customHeight="1">
      <c r="A44" s="1"/>
      <c r="B44" s="255"/>
      <c r="C44" s="253"/>
      <c r="D44" s="191" t="s">
        <v>486</v>
      </c>
      <c r="E44" s="56" t="s">
        <v>497</v>
      </c>
      <c r="F44" s="365" t="s">
        <v>476</v>
      </c>
      <c r="G44" s="258"/>
      <c r="H44" s="54">
        <v>2</v>
      </c>
      <c r="I44" s="178" t="s">
        <v>488</v>
      </c>
      <c r="J44" s="55">
        <v>6</v>
      </c>
      <c r="K44" s="231"/>
      <c r="L44" s="232"/>
      <c r="M44" s="233"/>
      <c r="N44" s="316"/>
      <c r="O44" s="235"/>
      <c r="P44" s="232"/>
      <c r="Q44" s="233"/>
      <c r="R44" s="234"/>
      <c r="S44" s="424">
        <v>6</v>
      </c>
      <c r="T44" s="232"/>
      <c r="U44" s="233"/>
      <c r="V44" s="258"/>
      <c r="W44" s="250">
        <f t="shared" si="3"/>
        <v>6</v>
      </c>
      <c r="X44" s="251"/>
      <c r="Y44" s="244"/>
      <c r="Z44" s="1"/>
      <c r="AA44" s="183"/>
      <c r="AB44" s="183"/>
      <c r="AC44" s="425"/>
      <c r="AD44" s="425"/>
      <c r="AE44" s="184"/>
      <c r="AF44" s="185"/>
      <c r="AG44" s="184"/>
      <c r="AH44" s="425"/>
      <c r="AI44" s="425"/>
      <c r="AJ44" s="425"/>
      <c r="AK44" s="425"/>
      <c r="AL44" s="425"/>
      <c r="AM44" s="425"/>
      <c r="AN44" s="425"/>
      <c r="AO44" s="425"/>
      <c r="AP44" s="425"/>
      <c r="AQ44" s="425"/>
      <c r="AR44" s="425"/>
      <c r="AS44" s="425"/>
    </row>
    <row r="45" spans="1:45" s="154" customFormat="1" ht="17.25" customHeight="1">
      <c r="A45" s="1"/>
      <c r="B45" s="341"/>
      <c r="C45" s="253"/>
      <c r="D45" s="191" t="s">
        <v>486</v>
      </c>
      <c r="E45" s="56" t="s">
        <v>496</v>
      </c>
      <c r="F45" s="365" t="s">
        <v>500</v>
      </c>
      <c r="G45" s="366"/>
      <c r="H45" s="54">
        <v>2</v>
      </c>
      <c r="I45" s="178" t="s">
        <v>488</v>
      </c>
      <c r="J45" s="55">
        <v>5</v>
      </c>
      <c r="K45" s="231"/>
      <c r="L45" s="422"/>
      <c r="M45" s="233"/>
      <c r="N45" s="423"/>
      <c r="O45" s="235"/>
      <c r="P45" s="422"/>
      <c r="Q45" s="233"/>
      <c r="R45" s="423"/>
      <c r="S45" s="235"/>
      <c r="T45" s="422"/>
      <c r="U45" s="233">
        <v>5</v>
      </c>
      <c r="V45" s="360"/>
      <c r="W45" s="250">
        <f t="shared" si="3"/>
        <v>5</v>
      </c>
      <c r="X45" s="421"/>
      <c r="Y45" s="244"/>
      <c r="Z45" s="1"/>
      <c r="AA45" s="183"/>
      <c r="AB45" s="183"/>
      <c r="AC45" s="425"/>
      <c r="AD45" s="425"/>
      <c r="AE45" s="184"/>
      <c r="AF45" s="185"/>
      <c r="AG45" s="184"/>
      <c r="AH45" s="425"/>
      <c r="AI45" s="425"/>
      <c r="AJ45" s="425"/>
      <c r="AK45" s="425"/>
      <c r="AL45" s="425"/>
      <c r="AM45" s="425"/>
      <c r="AN45" s="425"/>
      <c r="AO45" s="425"/>
      <c r="AP45" s="425"/>
      <c r="AQ45" s="425"/>
      <c r="AR45" s="425"/>
      <c r="AS45" s="425"/>
    </row>
    <row r="46" spans="1:45" ht="17.25" customHeight="1" thickBot="1">
      <c r="A46" s="1"/>
      <c r="B46" s="255"/>
      <c r="C46" s="253"/>
      <c r="D46" s="192" t="s">
        <v>100</v>
      </c>
      <c r="E46" s="174" t="s">
        <v>496</v>
      </c>
      <c r="F46" s="337" t="s">
        <v>101</v>
      </c>
      <c r="G46" s="224"/>
      <c r="H46" s="193">
        <v>2</v>
      </c>
      <c r="I46" s="194" t="s">
        <v>488</v>
      </c>
      <c r="J46" s="195">
        <v>3</v>
      </c>
      <c r="K46" s="285"/>
      <c r="L46" s="223"/>
      <c r="M46" s="220"/>
      <c r="N46" s="221"/>
      <c r="O46" s="222"/>
      <c r="P46" s="223"/>
      <c r="Q46" s="220"/>
      <c r="R46" s="221"/>
      <c r="S46" s="222"/>
      <c r="T46" s="223"/>
      <c r="U46" s="220">
        <v>3</v>
      </c>
      <c r="V46" s="224"/>
      <c r="W46" s="270">
        <f t="shared" si="3"/>
        <v>3</v>
      </c>
      <c r="X46" s="271"/>
      <c r="Y46" s="244"/>
      <c r="Z46" s="1"/>
      <c r="AA46" s="186"/>
      <c r="AB46" s="186"/>
      <c r="AC46" s="186"/>
      <c r="AD46" s="186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  <c r="AR46" s="187"/>
      <c r="AS46" s="187"/>
    </row>
    <row r="47" spans="1:45" ht="17.25" customHeight="1">
      <c r="A47" s="1"/>
      <c r="B47" s="255"/>
      <c r="C47" s="253"/>
      <c r="D47" s="189" t="s">
        <v>19</v>
      </c>
      <c r="E47" s="171" t="s">
        <v>501</v>
      </c>
      <c r="F47" s="338" t="s">
        <v>480</v>
      </c>
      <c r="G47" s="277"/>
      <c r="H47" s="172">
        <v>2</v>
      </c>
      <c r="I47" s="190" t="s">
        <v>488</v>
      </c>
      <c r="J47" s="173">
        <v>11</v>
      </c>
      <c r="K47" s="225"/>
      <c r="L47" s="226"/>
      <c r="M47" s="227"/>
      <c r="N47" s="228"/>
      <c r="O47" s="229">
        <v>8</v>
      </c>
      <c r="P47" s="226"/>
      <c r="Q47" s="227">
        <v>3</v>
      </c>
      <c r="R47" s="230"/>
      <c r="S47" s="276"/>
      <c r="T47" s="226"/>
      <c r="U47" s="227"/>
      <c r="V47" s="277"/>
      <c r="W47" s="248">
        <f t="shared" si="3"/>
        <v>11</v>
      </c>
      <c r="X47" s="249"/>
      <c r="Y47" s="244"/>
      <c r="Z47" s="1"/>
      <c r="AA47" s="183"/>
      <c r="AB47" s="183"/>
      <c r="AC47" s="427"/>
      <c r="AD47" s="426"/>
      <c r="AE47" s="184"/>
      <c r="AF47" s="185"/>
      <c r="AG47" s="184"/>
      <c r="AH47" s="425"/>
      <c r="AI47" s="426"/>
      <c r="AJ47" s="425"/>
      <c r="AK47" s="426"/>
      <c r="AL47" s="425"/>
      <c r="AM47" s="426"/>
      <c r="AN47" s="425"/>
      <c r="AO47" s="426"/>
      <c r="AP47" s="425"/>
      <c r="AQ47" s="426"/>
      <c r="AR47" s="425"/>
      <c r="AS47" s="426"/>
    </row>
    <row r="48" spans="1:45" ht="16.5" customHeight="1">
      <c r="A48" s="1"/>
      <c r="B48" s="255"/>
      <c r="C48" s="253"/>
      <c r="D48" s="191" t="s">
        <v>19</v>
      </c>
      <c r="E48" s="167" t="s">
        <v>502</v>
      </c>
      <c r="F48" s="339" t="s">
        <v>479</v>
      </c>
      <c r="G48" s="247"/>
      <c r="H48" s="168">
        <v>2</v>
      </c>
      <c r="I48" s="179" t="s">
        <v>488</v>
      </c>
      <c r="J48" s="169">
        <v>11</v>
      </c>
      <c r="K48" s="278"/>
      <c r="L48" s="279"/>
      <c r="M48" s="280"/>
      <c r="N48" s="281"/>
      <c r="O48" s="282"/>
      <c r="P48" s="279"/>
      <c r="Q48" s="280"/>
      <c r="R48" s="283"/>
      <c r="S48" s="284">
        <v>6</v>
      </c>
      <c r="T48" s="279"/>
      <c r="U48" s="280">
        <v>5</v>
      </c>
      <c r="V48" s="247"/>
      <c r="W48" s="250">
        <f t="shared" si="3"/>
        <v>11</v>
      </c>
      <c r="X48" s="251"/>
      <c r="Y48" s="244"/>
      <c r="Z48" s="1"/>
      <c r="AA48" s="186"/>
      <c r="AB48" s="186"/>
      <c r="AC48" s="186"/>
      <c r="AD48" s="186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</row>
    <row r="49" spans="1:45" ht="16.5" customHeight="1" thickBot="1">
      <c r="A49" s="1"/>
      <c r="B49" s="268"/>
      <c r="C49" s="253"/>
      <c r="D49" s="192" t="s">
        <v>486</v>
      </c>
      <c r="E49" s="174" t="s">
        <v>501</v>
      </c>
      <c r="F49" s="355" t="s">
        <v>491</v>
      </c>
      <c r="G49" s="356"/>
      <c r="H49" s="193">
        <v>2</v>
      </c>
      <c r="I49" s="194" t="s">
        <v>488</v>
      </c>
      <c r="J49" s="195">
        <v>11</v>
      </c>
      <c r="K49" s="285"/>
      <c r="L49" s="223"/>
      <c r="M49" s="220"/>
      <c r="N49" s="221"/>
      <c r="O49" s="222"/>
      <c r="P49" s="223"/>
      <c r="Q49" s="220"/>
      <c r="R49" s="221"/>
      <c r="S49" s="222">
        <v>5</v>
      </c>
      <c r="T49" s="223"/>
      <c r="U49" s="220">
        <v>11</v>
      </c>
      <c r="V49" s="224"/>
      <c r="W49" s="270">
        <f t="shared" si="3"/>
        <v>16</v>
      </c>
      <c r="X49" s="271"/>
      <c r="Y49" s="244"/>
      <c r="Z49" s="1"/>
      <c r="AA49" s="183"/>
      <c r="AB49" s="183"/>
      <c r="AC49" s="427"/>
      <c r="AD49" s="426"/>
      <c r="AE49" s="184"/>
      <c r="AF49" s="185"/>
      <c r="AG49" s="184"/>
      <c r="AH49" s="425"/>
      <c r="AI49" s="426"/>
      <c r="AJ49" s="425"/>
      <c r="AK49" s="426"/>
      <c r="AL49" s="425"/>
      <c r="AM49" s="426"/>
      <c r="AN49" s="425"/>
      <c r="AO49" s="426"/>
      <c r="AP49" s="425"/>
      <c r="AQ49" s="426"/>
      <c r="AR49" s="425"/>
      <c r="AS49" s="426"/>
    </row>
    <row r="50" spans="1:45" ht="20.25" customHeight="1">
      <c r="A50" s="1"/>
      <c r="B50" s="340" t="s">
        <v>104</v>
      </c>
      <c r="C50" s="333" t="s">
        <v>503</v>
      </c>
      <c r="D50" s="170" t="s">
        <v>19</v>
      </c>
      <c r="E50" s="170" t="s">
        <v>496</v>
      </c>
      <c r="F50" s="342" t="s">
        <v>478</v>
      </c>
      <c r="G50" s="296"/>
      <c r="H50" s="54">
        <v>2</v>
      </c>
      <c r="I50" s="188" t="s">
        <v>488</v>
      </c>
      <c r="J50" s="55">
        <v>5</v>
      </c>
      <c r="K50" s="259"/>
      <c r="L50" s="260"/>
      <c r="M50" s="261"/>
      <c r="N50" s="332"/>
      <c r="O50" s="263"/>
      <c r="P50" s="260"/>
      <c r="Q50" s="261">
        <v>5</v>
      </c>
      <c r="R50" s="262"/>
      <c r="S50" s="330"/>
      <c r="T50" s="260"/>
      <c r="U50" s="261"/>
      <c r="V50" s="331"/>
      <c r="W50" s="252">
        <f>SUM(O50:V53)/2</f>
        <v>17</v>
      </c>
      <c r="X50" s="244"/>
      <c r="Y50" s="243"/>
      <c r="Z50" s="1"/>
      <c r="AA50" s="1"/>
      <c r="AB50" s="1"/>
      <c r="AC50" s="1"/>
      <c r="AD50" s="1"/>
    </row>
    <row r="51" spans="1:45" ht="20.25" customHeight="1" thickBot="1">
      <c r="A51" s="1"/>
      <c r="B51" s="341"/>
      <c r="C51" s="334"/>
      <c r="D51" s="174" t="s">
        <v>19</v>
      </c>
      <c r="E51" s="174" t="s">
        <v>501</v>
      </c>
      <c r="F51" s="337" t="s">
        <v>477</v>
      </c>
      <c r="G51" s="224"/>
      <c r="H51" s="175">
        <v>2</v>
      </c>
      <c r="I51" s="180" t="s">
        <v>488</v>
      </c>
      <c r="J51" s="176">
        <v>12</v>
      </c>
      <c r="K51" s="285"/>
      <c r="L51" s="223"/>
      <c r="M51" s="220"/>
      <c r="N51" s="221"/>
      <c r="O51" s="222"/>
      <c r="P51" s="223"/>
      <c r="Q51" s="220"/>
      <c r="R51" s="221"/>
      <c r="S51" s="222">
        <v>7</v>
      </c>
      <c r="T51" s="223"/>
      <c r="U51" s="357">
        <v>5</v>
      </c>
      <c r="V51" s="358"/>
      <c r="W51" s="253"/>
      <c r="X51" s="254"/>
      <c r="Y51" s="243"/>
      <c r="Z51" s="1"/>
      <c r="AA51" s="1"/>
      <c r="AB51" s="1"/>
      <c r="AC51" s="1"/>
      <c r="AD51" s="1"/>
    </row>
    <row r="52" spans="1:45" ht="20.25" customHeight="1">
      <c r="A52" s="1"/>
      <c r="B52" s="243"/>
      <c r="C52" s="335" t="s">
        <v>504</v>
      </c>
      <c r="D52" s="170" t="s">
        <v>493</v>
      </c>
      <c r="E52" s="170" t="s">
        <v>497</v>
      </c>
      <c r="F52" s="343" t="s">
        <v>481</v>
      </c>
      <c r="G52" s="344"/>
      <c r="H52" s="57">
        <v>2</v>
      </c>
      <c r="I52" s="178" t="s">
        <v>488</v>
      </c>
      <c r="J52" s="55">
        <v>5</v>
      </c>
      <c r="K52" s="259"/>
      <c r="L52" s="260"/>
      <c r="M52" s="261"/>
      <c r="N52" s="262"/>
      <c r="O52" s="263"/>
      <c r="P52" s="260"/>
      <c r="Q52" s="261">
        <v>5</v>
      </c>
      <c r="R52" s="262"/>
      <c r="S52" s="263"/>
      <c r="T52" s="260"/>
      <c r="U52" s="261"/>
      <c r="V52" s="296"/>
      <c r="W52" s="255"/>
      <c r="X52" s="254"/>
      <c r="Y52" s="243"/>
      <c r="Z52" s="1"/>
      <c r="AA52" s="1"/>
      <c r="AB52" s="1"/>
      <c r="AC52" s="1"/>
      <c r="AD52" s="1"/>
    </row>
    <row r="53" spans="1:45" ht="20.25" customHeight="1" thickBot="1">
      <c r="A53" s="1"/>
      <c r="B53" s="269"/>
      <c r="C53" s="269"/>
      <c r="D53" s="58" t="s">
        <v>493</v>
      </c>
      <c r="E53" s="56" t="s">
        <v>502</v>
      </c>
      <c r="F53" s="345" t="s">
        <v>492</v>
      </c>
      <c r="G53" s="346"/>
      <c r="H53" s="53">
        <v>2</v>
      </c>
      <c r="I53" s="181" t="s">
        <v>488</v>
      </c>
      <c r="J53" s="59">
        <v>12</v>
      </c>
      <c r="K53" s="291"/>
      <c r="L53" s="309"/>
      <c r="M53" s="325"/>
      <c r="N53" s="326"/>
      <c r="O53" s="327"/>
      <c r="P53" s="309"/>
      <c r="Q53" s="325"/>
      <c r="R53" s="312"/>
      <c r="S53" s="328">
        <v>7</v>
      </c>
      <c r="T53" s="309"/>
      <c r="U53" s="329">
        <v>5</v>
      </c>
      <c r="V53" s="257"/>
      <c r="W53" s="256"/>
      <c r="X53" s="257"/>
      <c r="Y53" s="245"/>
      <c r="Z53" s="1"/>
      <c r="AA53" s="1"/>
      <c r="AB53" s="1"/>
      <c r="AC53" s="1"/>
      <c r="AD53" s="1"/>
    </row>
    <row r="54" spans="1:45" ht="24.75" customHeight="1">
      <c r="A54" s="1"/>
      <c r="B54" s="299" t="s">
        <v>106</v>
      </c>
      <c r="C54" s="336"/>
      <c r="D54" s="336"/>
      <c r="E54" s="336"/>
      <c r="F54" s="336"/>
      <c r="G54" s="267"/>
      <c r="H54" s="349">
        <f>SUM(H38:H53)</f>
        <v>32</v>
      </c>
      <c r="I54" s="351">
        <f>SUM(I38:I49)</f>
        <v>0</v>
      </c>
      <c r="J54" s="353">
        <f>SUM(J38:J49)+SUM(J50:J53)/2</f>
        <v>84</v>
      </c>
      <c r="K54" s="317">
        <f>SUM(K38:L49)+SUM(K50:L53)/2</f>
        <v>3</v>
      </c>
      <c r="L54" s="318"/>
      <c r="M54" s="317">
        <f>SUM(M38:N49)+SUM(M50:N53)/2</f>
        <v>3</v>
      </c>
      <c r="N54" s="318"/>
      <c r="O54" s="317">
        <f>SUM(O38:P49)+SUM(O50:P53)/2</f>
        <v>15</v>
      </c>
      <c r="P54" s="318"/>
      <c r="Q54" s="317">
        <f>SUM(Q38:R49)+SUM(Q50:R53)/2</f>
        <v>15</v>
      </c>
      <c r="R54" s="318"/>
      <c r="S54" s="321">
        <f>SUM(S38:T49)+SUM(S50:T53)/2</f>
        <v>24</v>
      </c>
      <c r="T54" s="322"/>
      <c r="U54" s="317">
        <f>SUM(U38:V49)+SUM(U50:V53)/2</f>
        <v>29</v>
      </c>
      <c r="V54" s="267"/>
      <c r="W54" s="299">
        <f>SUM(K54:V55)</f>
        <v>89</v>
      </c>
      <c r="X54" s="267"/>
      <c r="Y54" s="242">
        <f>SUM(Y38:Y53)</f>
        <v>80</v>
      </c>
      <c r="Z54" s="1"/>
      <c r="AA54" s="1"/>
      <c r="AB54" s="1"/>
      <c r="AC54" s="47"/>
      <c r="AD54" s="1"/>
    </row>
    <row r="55" spans="1:45" ht="16.5" customHeight="1" thickBot="1">
      <c r="A55" s="1"/>
      <c r="B55" s="256"/>
      <c r="C55" s="300"/>
      <c r="D55" s="300"/>
      <c r="E55" s="300"/>
      <c r="F55" s="300"/>
      <c r="G55" s="257"/>
      <c r="H55" s="350"/>
      <c r="I55" s="352"/>
      <c r="J55" s="354"/>
      <c r="K55" s="319"/>
      <c r="L55" s="320"/>
      <c r="M55" s="319"/>
      <c r="N55" s="320"/>
      <c r="O55" s="319"/>
      <c r="P55" s="320"/>
      <c r="Q55" s="319"/>
      <c r="R55" s="320"/>
      <c r="S55" s="323"/>
      <c r="T55" s="324"/>
      <c r="U55" s="319"/>
      <c r="V55" s="257"/>
      <c r="W55" s="256"/>
      <c r="X55" s="257"/>
      <c r="Y55" s="269"/>
      <c r="Z55" s="1"/>
      <c r="AA55" s="1"/>
      <c r="AB55" s="1"/>
      <c r="AC55" s="60"/>
      <c r="AD55" s="1"/>
    </row>
    <row r="56" spans="1:45" ht="17.25" customHeight="1" thickBot="1">
      <c r="A56" s="1"/>
      <c r="B56" s="272"/>
      <c r="C56" s="286"/>
      <c r="D56" s="286"/>
      <c r="E56" s="286"/>
      <c r="F56" s="286"/>
      <c r="G56" s="241"/>
      <c r="H56" s="61">
        <f>SUM(H37,H54)</f>
        <v>131</v>
      </c>
      <c r="I56" s="50">
        <f>SUM(I37,I54)</f>
        <v>0</v>
      </c>
      <c r="J56" s="51">
        <f>SUM(J37,J54)</f>
        <v>169</v>
      </c>
      <c r="K56" s="272">
        <f>SUM(K37,K54)</f>
        <v>29</v>
      </c>
      <c r="L56" s="273"/>
      <c r="M56" s="310">
        <f>SUM(M37,M54)</f>
        <v>29</v>
      </c>
      <c r="N56" s="287"/>
      <c r="O56" s="288">
        <f>SUM(O37,O54)</f>
        <v>29</v>
      </c>
      <c r="P56" s="273"/>
      <c r="Q56" s="310">
        <f>SUM(Q37,Q54)</f>
        <v>29</v>
      </c>
      <c r="R56" s="287"/>
      <c r="S56" s="288">
        <f>SUM(S37,S54)</f>
        <v>29</v>
      </c>
      <c r="T56" s="273"/>
      <c r="U56" s="310">
        <f>SUM(U37,U54)</f>
        <v>29</v>
      </c>
      <c r="V56" s="241"/>
      <c r="W56" s="272">
        <f>SUM(K56:V56)</f>
        <v>174</v>
      </c>
      <c r="X56" s="241"/>
      <c r="Y56" s="62">
        <f>Y54+Y37</f>
        <v>144</v>
      </c>
      <c r="Z56" s="1"/>
      <c r="AA56" s="289" t="s">
        <v>107</v>
      </c>
      <c r="AB56" s="290"/>
      <c r="AC56" s="1"/>
      <c r="AD56" s="1"/>
    </row>
    <row r="57" spans="1:45" ht="18.75" customHeight="1">
      <c r="A57" s="1"/>
      <c r="B57" s="266" t="s">
        <v>108</v>
      </c>
      <c r="C57" s="336"/>
      <c r="D57" s="336"/>
      <c r="E57" s="267"/>
      <c r="F57" s="347" t="s">
        <v>109</v>
      </c>
      <c r="G57" s="348"/>
      <c r="H57" s="348"/>
      <c r="I57" s="348"/>
      <c r="J57" s="265"/>
      <c r="K57" s="314">
        <v>16</v>
      </c>
      <c r="L57" s="237"/>
      <c r="M57" s="301">
        <v>16</v>
      </c>
      <c r="N57" s="239"/>
      <c r="O57" s="304">
        <v>16</v>
      </c>
      <c r="P57" s="237"/>
      <c r="Q57" s="301">
        <v>16</v>
      </c>
      <c r="R57" s="239"/>
      <c r="S57" s="304">
        <v>16</v>
      </c>
      <c r="T57" s="237"/>
      <c r="U57" s="301">
        <v>16</v>
      </c>
      <c r="V57" s="265"/>
      <c r="W57" s="266">
        <f>SUM(K57:V59)</f>
        <v>288</v>
      </c>
      <c r="X57" s="267"/>
      <c r="Y57" s="242">
        <f>Y60*16</f>
        <v>288</v>
      </c>
      <c r="Z57" s="1"/>
      <c r="AA57" s="300"/>
      <c r="AB57" s="300"/>
      <c r="AC57" s="1"/>
      <c r="AD57" s="1"/>
    </row>
    <row r="58" spans="1:45" ht="17.25" customHeight="1">
      <c r="A58" s="1"/>
      <c r="B58" s="255"/>
      <c r="C58" s="290"/>
      <c r="D58" s="290"/>
      <c r="E58" s="254"/>
      <c r="F58" s="250" t="s">
        <v>110</v>
      </c>
      <c r="G58" s="316"/>
      <c r="H58" s="316"/>
      <c r="I58" s="316"/>
      <c r="J58" s="258"/>
      <c r="K58" s="315">
        <v>16</v>
      </c>
      <c r="L58" s="232"/>
      <c r="M58" s="302">
        <v>16</v>
      </c>
      <c r="N58" s="234"/>
      <c r="O58" s="303">
        <v>16</v>
      </c>
      <c r="P58" s="232"/>
      <c r="Q58" s="302">
        <v>16</v>
      </c>
      <c r="R58" s="234"/>
      <c r="S58" s="303">
        <v>16</v>
      </c>
      <c r="T58" s="232"/>
      <c r="U58" s="302">
        <v>16</v>
      </c>
      <c r="V58" s="258"/>
      <c r="W58" s="255"/>
      <c r="X58" s="254"/>
      <c r="Y58" s="243"/>
      <c r="Z58" s="1"/>
      <c r="AA58" s="240" t="b">
        <f>W56&gt;=Y56</f>
        <v>1</v>
      </c>
      <c r="AB58" s="241"/>
      <c r="AC58" s="1"/>
      <c r="AD58" s="1"/>
    </row>
    <row r="59" spans="1:45" ht="17.25" customHeight="1">
      <c r="A59" s="1"/>
      <c r="B59" s="255"/>
      <c r="C59" s="290"/>
      <c r="D59" s="290"/>
      <c r="E59" s="254"/>
      <c r="F59" s="250" t="s">
        <v>111</v>
      </c>
      <c r="G59" s="316"/>
      <c r="H59" s="316"/>
      <c r="I59" s="316"/>
      <c r="J59" s="258"/>
      <c r="K59" s="315">
        <v>16</v>
      </c>
      <c r="L59" s="232"/>
      <c r="M59" s="302">
        <v>16</v>
      </c>
      <c r="N59" s="234"/>
      <c r="O59" s="303">
        <v>16</v>
      </c>
      <c r="P59" s="232"/>
      <c r="Q59" s="302">
        <v>16</v>
      </c>
      <c r="R59" s="234"/>
      <c r="S59" s="303">
        <v>16</v>
      </c>
      <c r="T59" s="232"/>
      <c r="U59" s="302">
        <v>16</v>
      </c>
      <c r="V59" s="258"/>
      <c r="W59" s="305"/>
      <c r="X59" s="306"/>
      <c r="Y59" s="307"/>
      <c r="Z59" s="1"/>
      <c r="AA59" s="1"/>
      <c r="AB59" s="1"/>
      <c r="AC59" s="1"/>
      <c r="AD59" s="1"/>
    </row>
    <row r="60" spans="1:45" ht="17.25" customHeight="1">
      <c r="A60" s="1"/>
      <c r="B60" s="256"/>
      <c r="C60" s="300"/>
      <c r="D60" s="300"/>
      <c r="E60" s="257"/>
      <c r="F60" s="308" t="s">
        <v>112</v>
      </c>
      <c r="G60" s="326"/>
      <c r="H60" s="326"/>
      <c r="I60" s="326"/>
      <c r="J60" s="292"/>
      <c r="K60" s="308">
        <v>3</v>
      </c>
      <c r="L60" s="309"/>
      <c r="M60" s="311">
        <v>3</v>
      </c>
      <c r="N60" s="312"/>
      <c r="O60" s="313">
        <v>3</v>
      </c>
      <c r="P60" s="309"/>
      <c r="Q60" s="311">
        <v>3</v>
      </c>
      <c r="R60" s="312"/>
      <c r="S60" s="313">
        <v>3</v>
      </c>
      <c r="T60" s="309"/>
      <c r="U60" s="311">
        <v>3</v>
      </c>
      <c r="V60" s="292"/>
      <c r="W60" s="308">
        <f t="shared" ref="W60:W62" si="4">SUM(K60:V60)</f>
        <v>18</v>
      </c>
      <c r="X60" s="292"/>
      <c r="Y60" s="63">
        <v>18</v>
      </c>
      <c r="Z60" s="1"/>
      <c r="AA60" s="289" t="s">
        <v>113</v>
      </c>
      <c r="AB60" s="290"/>
      <c r="AC60" s="1"/>
      <c r="AD60" s="1"/>
    </row>
    <row r="61" spans="1:45" ht="17.25" customHeight="1">
      <c r="A61" s="1"/>
      <c r="B61" s="272"/>
      <c r="C61" s="286"/>
      <c r="D61" s="286"/>
      <c r="E61" s="286"/>
      <c r="F61" s="286"/>
      <c r="G61" s="286"/>
      <c r="H61" s="286"/>
      <c r="I61" s="286"/>
      <c r="J61" s="241"/>
      <c r="K61" s="272">
        <v>32</v>
      </c>
      <c r="L61" s="273"/>
      <c r="M61" s="310">
        <v>32</v>
      </c>
      <c r="N61" s="287"/>
      <c r="O61" s="288">
        <v>32</v>
      </c>
      <c r="P61" s="273"/>
      <c r="Q61" s="310">
        <v>32</v>
      </c>
      <c r="R61" s="287"/>
      <c r="S61" s="288">
        <v>32</v>
      </c>
      <c r="T61" s="273"/>
      <c r="U61" s="310">
        <v>32</v>
      </c>
      <c r="V61" s="241"/>
      <c r="W61" s="272">
        <f t="shared" si="4"/>
        <v>192</v>
      </c>
      <c r="X61" s="241"/>
      <c r="Y61" s="64">
        <f>W61</f>
        <v>192</v>
      </c>
      <c r="Z61" s="1"/>
      <c r="AA61" s="240" t="b">
        <f>W60&gt;=Y60</f>
        <v>1</v>
      </c>
      <c r="AB61" s="241"/>
      <c r="AC61" s="1"/>
      <c r="AD61" s="1"/>
    </row>
    <row r="62" spans="1:45" ht="17.25" customHeight="1">
      <c r="A62" s="1"/>
      <c r="B62" s="272"/>
      <c r="C62" s="286"/>
      <c r="D62" s="286"/>
      <c r="E62" s="286"/>
      <c r="F62" s="286"/>
      <c r="G62" s="286"/>
      <c r="H62" s="286"/>
      <c r="I62" s="286"/>
      <c r="J62" s="241"/>
      <c r="K62" s="272">
        <f>SUM(K61:N61)</f>
        <v>64</v>
      </c>
      <c r="L62" s="286"/>
      <c r="M62" s="286"/>
      <c r="N62" s="287"/>
      <c r="O62" s="288">
        <f>SUM(O61:R61)</f>
        <v>64</v>
      </c>
      <c r="P62" s="286"/>
      <c r="Q62" s="286"/>
      <c r="R62" s="287"/>
      <c r="S62" s="288">
        <f>SUM(S61:V61)</f>
        <v>64</v>
      </c>
      <c r="T62" s="286"/>
      <c r="U62" s="286"/>
      <c r="V62" s="241"/>
      <c r="W62" s="272">
        <f t="shared" si="4"/>
        <v>192</v>
      </c>
      <c r="X62" s="241"/>
      <c r="Y62" s="62"/>
      <c r="Z62" s="1"/>
      <c r="AA62" s="289" t="s">
        <v>114</v>
      </c>
      <c r="AB62" s="290"/>
      <c r="AC62" s="1"/>
      <c r="AD62" s="1"/>
    </row>
    <row r="63" spans="1:45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40" t="b">
        <f>W61&gt;=Y61</f>
        <v>1</v>
      </c>
      <c r="AB63" s="241"/>
      <c r="AC63" s="1"/>
      <c r="AD63" s="1"/>
    </row>
    <row r="64" spans="1:45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2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2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32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2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244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/>
    <row r="265" spans="1:30" ht="15.75" customHeight="1"/>
    <row r="266" spans="1:30" ht="15.75" customHeight="1"/>
    <row r="267" spans="1:30" ht="15.75" customHeight="1"/>
    <row r="268" spans="1:30" ht="15.75" customHeight="1"/>
    <row r="269" spans="1:30" ht="15.75" customHeight="1"/>
    <row r="270" spans="1:30" ht="15.75" customHeight="1"/>
    <row r="271" spans="1:30" ht="15.75" customHeight="1"/>
    <row r="272" spans="1:3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08">
    <mergeCell ref="AC49:AD49"/>
    <mergeCell ref="AH49:AI49"/>
    <mergeCell ref="AJ49:AK49"/>
    <mergeCell ref="AL49:AM49"/>
    <mergeCell ref="AN49:AO49"/>
    <mergeCell ref="AP49:AQ49"/>
    <mergeCell ref="AR49:AS49"/>
    <mergeCell ref="AC45:AD45"/>
    <mergeCell ref="AH45:AI45"/>
    <mergeCell ref="AJ45:AK45"/>
    <mergeCell ref="AL45:AM45"/>
    <mergeCell ref="AN45:AO45"/>
    <mergeCell ref="AP45:AQ45"/>
    <mergeCell ref="AR45:AS45"/>
    <mergeCell ref="AC47:AD47"/>
    <mergeCell ref="AH47:AI47"/>
    <mergeCell ref="AJ47:AK47"/>
    <mergeCell ref="AL47:AM47"/>
    <mergeCell ref="AN47:AO47"/>
    <mergeCell ref="AP47:AQ47"/>
    <mergeCell ref="AR47:AS47"/>
    <mergeCell ref="AC43:AD43"/>
    <mergeCell ref="AH43:AI43"/>
    <mergeCell ref="AJ43:AK43"/>
    <mergeCell ref="AL43:AM43"/>
    <mergeCell ref="AN43:AO43"/>
    <mergeCell ref="AP43:AQ43"/>
    <mergeCell ref="AR43:AS43"/>
    <mergeCell ref="AC44:AD44"/>
    <mergeCell ref="AH44:AI44"/>
    <mergeCell ref="AJ44:AK44"/>
    <mergeCell ref="AL44:AM44"/>
    <mergeCell ref="AN44:AO44"/>
    <mergeCell ref="AP44:AQ44"/>
    <mergeCell ref="AR44:AS44"/>
    <mergeCell ref="W45:X45"/>
    <mergeCell ref="U45:V45"/>
    <mergeCell ref="S45:T45"/>
    <mergeCell ref="Q45:R45"/>
    <mergeCell ref="O45:P45"/>
    <mergeCell ref="M45:N45"/>
    <mergeCell ref="K45:L45"/>
    <mergeCell ref="W41:X41"/>
    <mergeCell ref="U41:V41"/>
    <mergeCell ref="S41:T41"/>
    <mergeCell ref="Q41:R41"/>
    <mergeCell ref="O41:P41"/>
    <mergeCell ref="M41:N41"/>
    <mergeCell ref="K41:L41"/>
    <mergeCell ref="S44:T44"/>
    <mergeCell ref="U44:V44"/>
    <mergeCell ref="K44:L44"/>
    <mergeCell ref="W43:X43"/>
    <mergeCell ref="U43:V43"/>
    <mergeCell ref="S43:T43"/>
    <mergeCell ref="Q43:R43"/>
    <mergeCell ref="O43:P43"/>
    <mergeCell ref="M43:N43"/>
    <mergeCell ref="K43:L43"/>
    <mergeCell ref="AB16:AD16"/>
    <mergeCell ref="S17:T17"/>
    <mergeCell ref="U17:V17"/>
    <mergeCell ref="X9:X12"/>
    <mergeCell ref="Y9:Y20"/>
    <mergeCell ref="S9:T9"/>
    <mergeCell ref="S18:T18"/>
    <mergeCell ref="S19:T19"/>
    <mergeCell ref="S20:T20"/>
    <mergeCell ref="S11:T11"/>
    <mergeCell ref="S12:T12"/>
    <mergeCell ref="U12:V12"/>
    <mergeCell ref="S13:T13"/>
    <mergeCell ref="U13:V13"/>
    <mergeCell ref="S10:T10"/>
    <mergeCell ref="S14:T14"/>
    <mergeCell ref="U14:V14"/>
    <mergeCell ref="S15:T15"/>
    <mergeCell ref="U15:V15"/>
    <mergeCell ref="U18:V18"/>
    <mergeCell ref="U19:V19"/>
    <mergeCell ref="X17:X20"/>
    <mergeCell ref="U20:V20"/>
    <mergeCell ref="Q16:R16"/>
    <mergeCell ref="K17:L17"/>
    <mergeCell ref="Q17:R17"/>
    <mergeCell ref="M19:N19"/>
    <mergeCell ref="O19:P19"/>
    <mergeCell ref="M17:N17"/>
    <mergeCell ref="K36:L36"/>
    <mergeCell ref="S16:T16"/>
    <mergeCell ref="U16:V16"/>
    <mergeCell ref="S27:T27"/>
    <mergeCell ref="U27:V27"/>
    <mergeCell ref="M23:N23"/>
    <mergeCell ref="M24:N24"/>
    <mergeCell ref="O24:P24"/>
    <mergeCell ref="K24:L24"/>
    <mergeCell ref="K25:L25"/>
    <mergeCell ref="M25:N25"/>
    <mergeCell ref="O25:P25"/>
    <mergeCell ref="M26:N26"/>
    <mergeCell ref="O26:P26"/>
    <mergeCell ref="K26:L26"/>
    <mergeCell ref="U22:V22"/>
    <mergeCell ref="S25:T25"/>
    <mergeCell ref="U25:V25"/>
    <mergeCell ref="O17:P17"/>
    <mergeCell ref="K18:L18"/>
    <mergeCell ref="M18:N18"/>
    <mergeCell ref="O18:P18"/>
    <mergeCell ref="Q18:R18"/>
    <mergeCell ref="Q19:R19"/>
    <mergeCell ref="K19:L19"/>
    <mergeCell ref="K20:L20"/>
    <mergeCell ref="M20:N20"/>
    <mergeCell ref="O20:P20"/>
    <mergeCell ref="Q20:R20"/>
    <mergeCell ref="AA22:AB22"/>
    <mergeCell ref="O21:P21"/>
    <mergeCell ref="Q21:R21"/>
    <mergeCell ref="S21:T21"/>
    <mergeCell ref="U21:V21"/>
    <mergeCell ref="X21:X22"/>
    <mergeCell ref="Y21:Y22"/>
    <mergeCell ref="O22:P22"/>
    <mergeCell ref="O23:P23"/>
    <mergeCell ref="S24:T24"/>
    <mergeCell ref="X23:X24"/>
    <mergeCell ref="Y23:Y26"/>
    <mergeCell ref="U24:V24"/>
    <mergeCell ref="X25:X26"/>
    <mergeCell ref="Q23:R23"/>
    <mergeCell ref="Q25:R25"/>
    <mergeCell ref="Q22:R22"/>
    <mergeCell ref="Q26:R26"/>
    <mergeCell ref="S26:T26"/>
    <mergeCell ref="U26:V26"/>
    <mergeCell ref="S22:T22"/>
    <mergeCell ref="S23:T23"/>
    <mergeCell ref="U23:V23"/>
    <mergeCell ref="Y27:Y31"/>
    <mergeCell ref="S28:T28"/>
    <mergeCell ref="U28:V28"/>
    <mergeCell ref="U30:V30"/>
    <mergeCell ref="S29:T29"/>
    <mergeCell ref="U29:V29"/>
    <mergeCell ref="U31:V31"/>
    <mergeCell ref="S30:T30"/>
    <mergeCell ref="K31:L31"/>
    <mergeCell ref="M31:N31"/>
    <mergeCell ref="O31:P31"/>
    <mergeCell ref="S31:T31"/>
    <mergeCell ref="M30:N30"/>
    <mergeCell ref="O30:P30"/>
    <mergeCell ref="Q27:R27"/>
    <mergeCell ref="Q31:R31"/>
    <mergeCell ref="X27:X31"/>
    <mergeCell ref="AA8:AD8"/>
    <mergeCell ref="K12:L12"/>
    <mergeCell ref="K13:L13"/>
    <mergeCell ref="M13:N13"/>
    <mergeCell ref="O13:P13"/>
    <mergeCell ref="Q13:R13"/>
    <mergeCell ref="K11:L11"/>
    <mergeCell ref="M11:N11"/>
    <mergeCell ref="O11:P11"/>
    <mergeCell ref="Q11:R11"/>
    <mergeCell ref="M12:N12"/>
    <mergeCell ref="O12:P12"/>
    <mergeCell ref="Q12:R12"/>
    <mergeCell ref="X13:X16"/>
    <mergeCell ref="M9:N9"/>
    <mergeCell ref="O9:P9"/>
    <mergeCell ref="Q9:R9"/>
    <mergeCell ref="K14:L14"/>
    <mergeCell ref="M14:N14"/>
    <mergeCell ref="O14:P14"/>
    <mergeCell ref="Q14:R14"/>
    <mergeCell ref="M15:N15"/>
    <mergeCell ref="U10:V10"/>
    <mergeCell ref="U11:V11"/>
    <mergeCell ref="U6:Y6"/>
    <mergeCell ref="S7:V7"/>
    <mergeCell ref="W7:X8"/>
    <mergeCell ref="Y7:Y8"/>
    <mergeCell ref="Q8:R8"/>
    <mergeCell ref="K10:L10"/>
    <mergeCell ref="K8:L8"/>
    <mergeCell ref="S8:T8"/>
    <mergeCell ref="U8:V8"/>
    <mergeCell ref="M10:N10"/>
    <mergeCell ref="O10:P10"/>
    <mergeCell ref="Q10:R10"/>
    <mergeCell ref="U9:V9"/>
    <mergeCell ref="B7:C8"/>
    <mergeCell ref="D7:D8"/>
    <mergeCell ref="H7:H8"/>
    <mergeCell ref="I7:I8"/>
    <mergeCell ref="J7:J8"/>
    <mergeCell ref="D9:D12"/>
    <mergeCell ref="O15:P15"/>
    <mergeCell ref="K16:L16"/>
    <mergeCell ref="Q30:R30"/>
    <mergeCell ref="K15:L15"/>
    <mergeCell ref="Q15:R15"/>
    <mergeCell ref="K7:N7"/>
    <mergeCell ref="O7:R7"/>
    <mergeCell ref="K21:L21"/>
    <mergeCell ref="M21:N21"/>
    <mergeCell ref="E7:G7"/>
    <mergeCell ref="F8:G8"/>
    <mergeCell ref="F13:G13"/>
    <mergeCell ref="F14:G14"/>
    <mergeCell ref="M16:N16"/>
    <mergeCell ref="O16:P16"/>
    <mergeCell ref="M8:N8"/>
    <mergeCell ref="O8:P8"/>
    <mergeCell ref="K9:L9"/>
    <mergeCell ref="B2:U2"/>
    <mergeCell ref="V2:W2"/>
    <mergeCell ref="X2:Y2"/>
    <mergeCell ref="AA2:AA5"/>
    <mergeCell ref="B3:B4"/>
    <mergeCell ref="C3:E4"/>
    <mergeCell ref="F3:G4"/>
    <mergeCell ref="W5:Y5"/>
    <mergeCell ref="C5:E5"/>
    <mergeCell ref="F5:G5"/>
    <mergeCell ref="H3:J4"/>
    <mergeCell ref="K3:O4"/>
    <mergeCell ref="P3:Y3"/>
    <mergeCell ref="P4:S4"/>
    <mergeCell ref="T4:V4"/>
    <mergeCell ref="W4:Y4"/>
    <mergeCell ref="H5:J5"/>
    <mergeCell ref="K5:O5"/>
    <mergeCell ref="P5:S5"/>
    <mergeCell ref="T5:V5"/>
    <mergeCell ref="F20:G20"/>
    <mergeCell ref="F27:G27"/>
    <mergeCell ref="F30:G30"/>
    <mergeCell ref="F31:G31"/>
    <mergeCell ref="Q28:R28"/>
    <mergeCell ref="Q29:R29"/>
    <mergeCell ref="K28:L28"/>
    <mergeCell ref="M28:N28"/>
    <mergeCell ref="O28:P28"/>
    <mergeCell ref="K29:L29"/>
    <mergeCell ref="M29:N29"/>
    <mergeCell ref="O29:P29"/>
    <mergeCell ref="K30:L30"/>
    <mergeCell ref="K27:L27"/>
    <mergeCell ref="M27:N27"/>
    <mergeCell ref="O27:P27"/>
    <mergeCell ref="Q24:R24"/>
    <mergeCell ref="K22:L22"/>
    <mergeCell ref="M22:N22"/>
    <mergeCell ref="K23:L23"/>
    <mergeCell ref="F16:G16"/>
    <mergeCell ref="D27:D31"/>
    <mergeCell ref="D32:D33"/>
    <mergeCell ref="B38:C49"/>
    <mergeCell ref="F32:G32"/>
    <mergeCell ref="F33:G33"/>
    <mergeCell ref="F34:G34"/>
    <mergeCell ref="F35:G35"/>
    <mergeCell ref="F36:G36"/>
    <mergeCell ref="F38:G38"/>
    <mergeCell ref="F39:G39"/>
    <mergeCell ref="D34:D36"/>
    <mergeCell ref="D38:E39"/>
    <mergeCell ref="B9:C36"/>
    <mergeCell ref="F9:G9"/>
    <mergeCell ref="F10:G10"/>
    <mergeCell ref="F11:G11"/>
    <mergeCell ref="B37:G37"/>
    <mergeCell ref="F44:G44"/>
    <mergeCell ref="F40:G40"/>
    <mergeCell ref="F41:G41"/>
    <mergeCell ref="F45:G45"/>
    <mergeCell ref="D13:D16"/>
    <mergeCell ref="F15:G15"/>
    <mergeCell ref="F43:G43"/>
    <mergeCell ref="O37:P37"/>
    <mergeCell ref="Q37:R37"/>
    <mergeCell ref="S37:T37"/>
    <mergeCell ref="U37:V37"/>
    <mergeCell ref="K38:L38"/>
    <mergeCell ref="M38:N38"/>
    <mergeCell ref="O38:P38"/>
    <mergeCell ref="Q38:R38"/>
    <mergeCell ref="S38:T38"/>
    <mergeCell ref="U38:V38"/>
    <mergeCell ref="U39:V39"/>
    <mergeCell ref="M36:N36"/>
    <mergeCell ref="O36:P36"/>
    <mergeCell ref="Q36:R36"/>
    <mergeCell ref="W38:X38"/>
    <mergeCell ref="K52:L52"/>
    <mergeCell ref="M52:N52"/>
    <mergeCell ref="O52:P52"/>
    <mergeCell ref="Q52:R52"/>
    <mergeCell ref="S52:T52"/>
    <mergeCell ref="U52:V52"/>
    <mergeCell ref="K50:L50"/>
    <mergeCell ref="K51:L51"/>
    <mergeCell ref="M51:N51"/>
    <mergeCell ref="O51:P51"/>
    <mergeCell ref="Q51:R51"/>
    <mergeCell ref="S51:T51"/>
    <mergeCell ref="U51:V51"/>
    <mergeCell ref="M44:N44"/>
    <mergeCell ref="O44:P44"/>
    <mergeCell ref="Q44:R44"/>
    <mergeCell ref="S47:T47"/>
    <mergeCell ref="U47:V47"/>
    <mergeCell ref="K37:L37"/>
    <mergeCell ref="M37:N37"/>
    <mergeCell ref="C50:C51"/>
    <mergeCell ref="C52:C53"/>
    <mergeCell ref="B56:G56"/>
    <mergeCell ref="B57:E60"/>
    <mergeCell ref="F46:G46"/>
    <mergeCell ref="F47:G47"/>
    <mergeCell ref="F48:G48"/>
    <mergeCell ref="B50:B53"/>
    <mergeCell ref="F51:G51"/>
    <mergeCell ref="F50:G50"/>
    <mergeCell ref="F52:G52"/>
    <mergeCell ref="F53:G53"/>
    <mergeCell ref="F57:J57"/>
    <mergeCell ref="F60:J60"/>
    <mergeCell ref="B54:G55"/>
    <mergeCell ref="H54:H55"/>
    <mergeCell ref="I54:I55"/>
    <mergeCell ref="J54:J55"/>
    <mergeCell ref="F49:G49"/>
    <mergeCell ref="K53:L53"/>
    <mergeCell ref="M53:N53"/>
    <mergeCell ref="O53:P53"/>
    <mergeCell ref="Q53:R53"/>
    <mergeCell ref="S53:T53"/>
    <mergeCell ref="U53:V53"/>
    <mergeCell ref="Q48:R48"/>
    <mergeCell ref="S48:T48"/>
    <mergeCell ref="Q49:R49"/>
    <mergeCell ref="S49:T49"/>
    <mergeCell ref="U49:V49"/>
    <mergeCell ref="K48:L48"/>
    <mergeCell ref="U48:V48"/>
    <mergeCell ref="Q50:R50"/>
    <mergeCell ref="S50:T50"/>
    <mergeCell ref="U50:V50"/>
    <mergeCell ref="M48:N48"/>
    <mergeCell ref="O48:P48"/>
    <mergeCell ref="K49:L49"/>
    <mergeCell ref="M49:N49"/>
    <mergeCell ref="O49:P49"/>
    <mergeCell ref="M50:N50"/>
    <mergeCell ref="O50:P50"/>
    <mergeCell ref="K56:L56"/>
    <mergeCell ref="M56:N56"/>
    <mergeCell ref="O56:P56"/>
    <mergeCell ref="Q56:R56"/>
    <mergeCell ref="S56:T56"/>
    <mergeCell ref="U56:V56"/>
    <mergeCell ref="K54:L55"/>
    <mergeCell ref="M54:N55"/>
    <mergeCell ref="O54:P55"/>
    <mergeCell ref="Q54:R55"/>
    <mergeCell ref="S54:T55"/>
    <mergeCell ref="U54:V55"/>
    <mergeCell ref="K57:L57"/>
    <mergeCell ref="M57:N57"/>
    <mergeCell ref="O57:P57"/>
    <mergeCell ref="K58:L58"/>
    <mergeCell ref="M58:N58"/>
    <mergeCell ref="O58:P58"/>
    <mergeCell ref="F58:J58"/>
    <mergeCell ref="F59:J59"/>
    <mergeCell ref="K59:L59"/>
    <mergeCell ref="M59:N59"/>
    <mergeCell ref="O59:P59"/>
    <mergeCell ref="K60:L60"/>
    <mergeCell ref="W61:X61"/>
    <mergeCell ref="AA61:AB61"/>
    <mergeCell ref="B61:J61"/>
    <mergeCell ref="K61:L61"/>
    <mergeCell ref="M61:N61"/>
    <mergeCell ref="O61:P61"/>
    <mergeCell ref="Q61:R61"/>
    <mergeCell ref="S61:T61"/>
    <mergeCell ref="U61:V61"/>
    <mergeCell ref="M60:N60"/>
    <mergeCell ref="O60:P60"/>
    <mergeCell ref="Q60:R60"/>
    <mergeCell ref="S60:T60"/>
    <mergeCell ref="U60:V60"/>
    <mergeCell ref="W60:X60"/>
    <mergeCell ref="AA60:AB60"/>
    <mergeCell ref="W54:X55"/>
    <mergeCell ref="Y54:Y55"/>
    <mergeCell ref="W56:X56"/>
    <mergeCell ref="AA56:AB57"/>
    <mergeCell ref="U57:V57"/>
    <mergeCell ref="Q58:R58"/>
    <mergeCell ref="Q59:R59"/>
    <mergeCell ref="S59:T59"/>
    <mergeCell ref="U59:V59"/>
    <mergeCell ref="Q57:R57"/>
    <mergeCell ref="S57:T57"/>
    <mergeCell ref="W57:X59"/>
    <mergeCell ref="Y57:Y59"/>
    <mergeCell ref="S58:T58"/>
    <mergeCell ref="U58:V58"/>
    <mergeCell ref="AA58:AB58"/>
    <mergeCell ref="B62:J62"/>
    <mergeCell ref="K62:N62"/>
    <mergeCell ref="O62:R62"/>
    <mergeCell ref="S62:V62"/>
    <mergeCell ref="W62:X62"/>
    <mergeCell ref="AA62:AB62"/>
    <mergeCell ref="AA63:AB63"/>
    <mergeCell ref="F12:G12"/>
    <mergeCell ref="F17:G17"/>
    <mergeCell ref="F18:G18"/>
    <mergeCell ref="F19:G19"/>
    <mergeCell ref="D17:D20"/>
    <mergeCell ref="D21:D24"/>
    <mergeCell ref="F21:G21"/>
    <mergeCell ref="F22:G22"/>
    <mergeCell ref="F23:G23"/>
    <mergeCell ref="F24:G24"/>
    <mergeCell ref="D25:D26"/>
    <mergeCell ref="F25:G25"/>
    <mergeCell ref="F26:G26"/>
    <mergeCell ref="U32:V32"/>
    <mergeCell ref="W32:X33"/>
    <mergeCell ref="Y32:Y33"/>
    <mergeCell ref="U33:V33"/>
    <mergeCell ref="W46:X46"/>
    <mergeCell ref="W47:X47"/>
    <mergeCell ref="W48:X48"/>
    <mergeCell ref="W49:X49"/>
    <mergeCell ref="W37:X37"/>
    <mergeCell ref="F42:G42"/>
    <mergeCell ref="Q42:R42"/>
    <mergeCell ref="S42:T42"/>
    <mergeCell ref="U42:V42"/>
    <mergeCell ref="K42:L42"/>
    <mergeCell ref="M42:N42"/>
    <mergeCell ref="O42:P42"/>
    <mergeCell ref="K40:L40"/>
    <mergeCell ref="M40:N40"/>
    <mergeCell ref="O40:P40"/>
    <mergeCell ref="Q40:R40"/>
    <mergeCell ref="S40:T40"/>
    <mergeCell ref="U40:V40"/>
    <mergeCell ref="K39:L39"/>
    <mergeCell ref="M39:N39"/>
    <mergeCell ref="O39:P39"/>
    <mergeCell ref="Q39:R39"/>
    <mergeCell ref="S39:T39"/>
    <mergeCell ref="K46:L46"/>
    <mergeCell ref="AA37:AB37"/>
    <mergeCell ref="Y38:Y53"/>
    <mergeCell ref="W39:X39"/>
    <mergeCell ref="W40:X40"/>
    <mergeCell ref="W42:X42"/>
    <mergeCell ref="W50:X53"/>
    <mergeCell ref="F28:G28"/>
    <mergeCell ref="F29:G29"/>
    <mergeCell ref="K32:L32"/>
    <mergeCell ref="M32:N32"/>
    <mergeCell ref="O32:P32"/>
    <mergeCell ref="Q32:R32"/>
    <mergeCell ref="S32:T32"/>
    <mergeCell ref="O34:P34"/>
    <mergeCell ref="Q34:R34"/>
    <mergeCell ref="S34:T34"/>
    <mergeCell ref="U34:V34"/>
    <mergeCell ref="W34:X36"/>
    <mergeCell ref="Y34:Y36"/>
    <mergeCell ref="S35:T35"/>
    <mergeCell ref="U35:V35"/>
    <mergeCell ref="S36:T36"/>
    <mergeCell ref="U36:V36"/>
    <mergeCell ref="W44:X44"/>
    <mergeCell ref="K33:L33"/>
    <mergeCell ref="M33:N33"/>
    <mergeCell ref="O33:P33"/>
    <mergeCell ref="Q33:R33"/>
    <mergeCell ref="S33:T33"/>
    <mergeCell ref="K34:L34"/>
    <mergeCell ref="M34:N34"/>
    <mergeCell ref="K35:L35"/>
    <mergeCell ref="M35:N35"/>
    <mergeCell ref="O35:P35"/>
    <mergeCell ref="Q35:R35"/>
    <mergeCell ref="M46:N46"/>
    <mergeCell ref="O46:P46"/>
    <mergeCell ref="Q46:R46"/>
    <mergeCell ref="S46:T46"/>
    <mergeCell ref="U46:V46"/>
    <mergeCell ref="K47:L47"/>
    <mergeCell ref="M47:N47"/>
    <mergeCell ref="O47:P47"/>
    <mergeCell ref="Q47:R47"/>
  </mergeCells>
  <phoneticPr fontId="37" type="noConversion"/>
  <conditionalFormatting sqref="AA37:AB37 AC55 AA58:AB58 AA61:AB61 AA63:AB63">
    <cfRule type="containsText" dxfId="0" priority="1" operator="containsText" text="FALSE">
      <formula>NOT(ISERROR(SEARCH(("FALSE"),(AA37))))</formula>
    </cfRule>
  </conditionalFormatting>
  <printOptions horizontalCentered="1" verticalCentered="1"/>
  <pageMargins left="0.25" right="0.25" top="0.75" bottom="0.75" header="0" footer="0"/>
  <pageSetup paperSize="9" scale="67" orientation="portrait" cellComments="atEnd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삭제금지!$J$2:$J$59</xm:f>
          </x14:formula1>
          <xm:sqref>H5</xm:sqref>
        </x14:dataValidation>
        <x14:dataValidation type="list" allowBlank="1" showErrorMessage="1" xr:uid="{00000000-0002-0000-0000-000001000000}">
          <x14:formula1>
            <xm:f>삭제금지!$K$2:$K$59</xm:f>
          </x14:formula1>
          <xm:sqref>K5</xm:sqref>
        </x14:dataValidation>
        <x14:dataValidation type="list" allowBlank="1" showErrorMessage="1" xr:uid="{00000000-0002-0000-0000-000002000000}">
          <x14:formula1>
            <xm:f>삭제금지!$H$2:$H$18</xm:f>
          </x14:formula1>
          <xm:sqref>B5</xm:sqref>
        </x14:dataValidation>
        <x14:dataValidation type="list" allowBlank="1" showErrorMessage="1" xr:uid="{00000000-0002-0000-0000-000003000000}">
          <x14:formula1>
            <xm:f>삭제금지!$I$2:$I$18</xm:f>
          </x14:formula1>
          <xm:sqref>F5</xm:sqref>
        </x14:dataValidation>
        <x14:dataValidation type="list" allowBlank="1" showErrorMessage="1" xr:uid="{00000000-0002-0000-0000-000004000000}">
          <x14:formula1>
            <xm:f>삭제금지!$L$2:$L$4</xm:f>
          </x14:formula1>
          <xm:sqref>T5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G999"/>
  <sheetViews>
    <sheetView showGridLines="0" zoomScaleNormal="100" workbookViewId="0">
      <selection activeCell="M22" sqref="M22"/>
    </sheetView>
  </sheetViews>
  <sheetFormatPr defaultColWidth="14.42578125" defaultRowHeight="15" customHeight="1"/>
  <cols>
    <col min="1" max="1" width="3" customWidth="1"/>
    <col min="2" max="2" width="11.7109375" customWidth="1"/>
    <col min="3" max="3" width="5.5703125" customWidth="1"/>
    <col min="4" max="4" width="18.85546875" customWidth="1"/>
    <col min="5" max="5" width="19" customWidth="1"/>
    <col min="6" max="6" width="9.140625" customWidth="1"/>
    <col min="7" max="7" width="10.7109375" customWidth="1"/>
    <col min="8" max="19" width="7.7109375" customWidth="1"/>
    <col min="20" max="20" width="6.5703125" customWidth="1"/>
    <col min="21" max="21" width="7.140625" customWidth="1"/>
    <col min="22" max="33" width="8.7109375" customWidth="1"/>
  </cols>
  <sheetData>
    <row r="1" spans="2:33" ht="16.5" customHeight="1">
      <c r="E1" s="14"/>
      <c r="F1" s="14"/>
    </row>
    <row r="2" spans="2:33" ht="39.75" customHeight="1">
      <c r="B2" s="450" t="s">
        <v>115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</row>
    <row r="3" spans="2:33" ht="27" customHeight="1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451" t="s">
        <v>6</v>
      </c>
      <c r="O3" s="444"/>
      <c r="P3" s="452"/>
      <c r="Q3" s="451" t="s">
        <v>12</v>
      </c>
      <c r="R3" s="444"/>
      <c r="S3" s="452"/>
      <c r="T3" s="453" t="s">
        <v>0</v>
      </c>
      <c r="U3" s="241"/>
    </row>
    <row r="4" spans="2:33" ht="27" customHeight="1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454" t="s">
        <v>18</v>
      </c>
      <c r="O4" s="419"/>
      <c r="P4" s="420"/>
      <c r="Q4" s="455" t="s">
        <v>22</v>
      </c>
      <c r="R4" s="419"/>
      <c r="S4" s="420"/>
      <c r="T4" s="456">
        <v>2027</v>
      </c>
      <c r="U4" s="241"/>
    </row>
    <row r="5" spans="2:33" ht="24" customHeight="1">
      <c r="B5" s="436"/>
      <c r="C5" s="290"/>
      <c r="E5" s="14"/>
      <c r="F5" s="14"/>
    </row>
    <row r="6" spans="2:33" ht="20.25" customHeight="1">
      <c r="B6" s="437" t="s">
        <v>116</v>
      </c>
      <c r="C6" s="438" t="s">
        <v>31</v>
      </c>
      <c r="D6" s="428" t="s">
        <v>117</v>
      </c>
      <c r="E6" s="428" t="s">
        <v>118</v>
      </c>
      <c r="F6" s="428" t="s">
        <v>119</v>
      </c>
      <c r="G6" s="428" t="s">
        <v>120</v>
      </c>
      <c r="H6" s="443" t="s">
        <v>32</v>
      </c>
      <c r="I6" s="444"/>
      <c r="J6" s="444"/>
      <c r="K6" s="445"/>
      <c r="L6" s="443" t="s">
        <v>33</v>
      </c>
      <c r="M6" s="444"/>
      <c r="N6" s="444"/>
      <c r="O6" s="445"/>
      <c r="P6" s="443" t="s">
        <v>34</v>
      </c>
      <c r="Q6" s="444"/>
      <c r="R6" s="444"/>
      <c r="S6" s="445"/>
      <c r="T6" s="446" t="s">
        <v>121</v>
      </c>
      <c r="U6" s="447" t="s">
        <v>122</v>
      </c>
      <c r="W6" s="441" t="s">
        <v>123</v>
      </c>
      <c r="X6" s="336"/>
      <c r="Y6" s="336"/>
      <c r="Z6" s="336"/>
      <c r="AA6" s="336"/>
      <c r="AB6" s="336"/>
      <c r="AC6" s="336"/>
      <c r="AD6" s="336"/>
      <c r="AE6" s="336"/>
      <c r="AF6" s="267"/>
      <c r="AG6" s="66"/>
    </row>
    <row r="7" spans="2:33" ht="16.5" customHeight="1">
      <c r="B7" s="371"/>
      <c r="C7" s="429"/>
      <c r="D7" s="429"/>
      <c r="E7" s="429"/>
      <c r="F7" s="429"/>
      <c r="G7" s="429"/>
      <c r="H7" s="439" t="s">
        <v>39</v>
      </c>
      <c r="I7" s="440"/>
      <c r="J7" s="439" t="s">
        <v>40</v>
      </c>
      <c r="K7" s="440"/>
      <c r="L7" s="439" t="s">
        <v>39</v>
      </c>
      <c r="M7" s="440"/>
      <c r="N7" s="439" t="s">
        <v>40</v>
      </c>
      <c r="O7" s="440"/>
      <c r="P7" s="439" t="s">
        <v>39</v>
      </c>
      <c r="Q7" s="440"/>
      <c r="R7" s="439" t="s">
        <v>40</v>
      </c>
      <c r="S7" s="440"/>
      <c r="T7" s="429"/>
      <c r="U7" s="448"/>
      <c r="W7" s="442" t="s">
        <v>124</v>
      </c>
      <c r="X7" s="290"/>
      <c r="Y7" s="290"/>
      <c r="Z7" s="290"/>
      <c r="AA7" s="290"/>
      <c r="AB7" s="290"/>
      <c r="AC7" s="290"/>
      <c r="AD7" s="290"/>
      <c r="AE7" s="290"/>
      <c r="AF7" s="254"/>
      <c r="AG7" s="66"/>
    </row>
    <row r="8" spans="2:33" ht="17.25" customHeight="1">
      <c r="B8" s="372"/>
      <c r="C8" s="430"/>
      <c r="D8" s="430"/>
      <c r="E8" s="430"/>
      <c r="F8" s="430"/>
      <c r="G8" s="430"/>
      <c r="H8" s="67" t="s">
        <v>125</v>
      </c>
      <c r="I8" s="67" t="s">
        <v>126</v>
      </c>
      <c r="J8" s="67" t="s">
        <v>125</v>
      </c>
      <c r="K8" s="67" t="s">
        <v>126</v>
      </c>
      <c r="L8" s="67" t="s">
        <v>125</v>
      </c>
      <c r="M8" s="67" t="s">
        <v>126</v>
      </c>
      <c r="N8" s="67" t="s">
        <v>125</v>
      </c>
      <c r="O8" s="67" t="s">
        <v>126</v>
      </c>
      <c r="P8" s="67" t="s">
        <v>125</v>
      </c>
      <c r="Q8" s="67" t="s">
        <v>126</v>
      </c>
      <c r="R8" s="67" t="s">
        <v>125</v>
      </c>
      <c r="S8" s="67" t="s">
        <v>126</v>
      </c>
      <c r="T8" s="430"/>
      <c r="U8" s="449"/>
      <c r="W8" s="68"/>
      <c r="X8" s="69"/>
      <c r="Y8" s="69"/>
      <c r="Z8" s="69"/>
      <c r="AA8" s="69"/>
      <c r="AB8" s="69"/>
      <c r="AC8" s="69"/>
      <c r="AD8" s="69"/>
      <c r="AE8" s="69"/>
      <c r="AF8" s="70"/>
      <c r="AG8" s="66"/>
    </row>
    <row r="9" spans="2:33" ht="16.5" customHeight="1">
      <c r="B9" s="431" t="s">
        <v>102</v>
      </c>
      <c r="C9" s="432">
        <v>11</v>
      </c>
      <c r="D9" s="198" t="s">
        <v>505</v>
      </c>
      <c r="E9" s="198" t="s">
        <v>506</v>
      </c>
      <c r="F9" s="198">
        <v>48</v>
      </c>
      <c r="G9" s="198">
        <v>2</v>
      </c>
      <c r="H9" s="199"/>
      <c r="I9" s="199">
        <f>H9*16</f>
        <v>0</v>
      </c>
      <c r="J9" s="199"/>
      <c r="K9" s="199">
        <f>J9*16</f>
        <v>0</v>
      </c>
      <c r="L9" s="200">
        <v>3</v>
      </c>
      <c r="M9" s="200">
        <f>L9*16</f>
        <v>48</v>
      </c>
      <c r="N9" s="199"/>
      <c r="O9" s="199">
        <f>N9*16</f>
        <v>0</v>
      </c>
      <c r="P9" s="199"/>
      <c r="Q9" s="199">
        <f>P9*16</f>
        <v>0</v>
      </c>
      <c r="R9" s="199"/>
      <c r="S9" s="199">
        <f>R9*16</f>
        <v>0</v>
      </c>
      <c r="T9" s="201">
        <f>SUM(H9,J9,L9,N9,P9,R9)</f>
        <v>3</v>
      </c>
      <c r="U9" s="202">
        <f>SUM(I9,K9,M9,O9,Q9,S9)</f>
        <v>48</v>
      </c>
      <c r="W9" s="73"/>
      <c r="X9" s="66"/>
      <c r="Y9" s="66"/>
      <c r="Z9" s="66"/>
      <c r="AA9" s="66"/>
      <c r="AB9" s="66"/>
      <c r="AC9" s="66"/>
      <c r="AD9" s="66"/>
      <c r="AE9" s="66"/>
      <c r="AF9" s="74"/>
      <c r="AG9" s="66"/>
    </row>
    <row r="10" spans="2:33" ht="16.5" customHeight="1">
      <c r="B10" s="371"/>
      <c r="C10" s="429"/>
      <c r="D10" s="203" t="s">
        <v>507</v>
      </c>
      <c r="E10" s="204" t="s">
        <v>508</v>
      </c>
      <c r="F10" s="203">
        <v>48</v>
      </c>
      <c r="G10" s="203">
        <v>2</v>
      </c>
      <c r="H10" s="205"/>
      <c r="I10" s="205">
        <f t="shared" ref="I10" si="0">H10*16</f>
        <v>0</v>
      </c>
      <c r="J10" s="205"/>
      <c r="K10" s="205">
        <f t="shared" ref="K10" si="1">J10*16</f>
        <v>0</v>
      </c>
      <c r="L10" s="205">
        <v>3</v>
      </c>
      <c r="M10" s="205">
        <f>L10*16</f>
        <v>48</v>
      </c>
      <c r="N10" s="205"/>
      <c r="O10" s="205"/>
      <c r="P10" s="205"/>
      <c r="Q10" s="205"/>
      <c r="R10" s="205"/>
      <c r="S10" s="205"/>
      <c r="T10" s="206">
        <f t="shared" ref="T10:U11" si="2">SUM(H10,J10,L10,N10,P10,R10)</f>
        <v>3</v>
      </c>
      <c r="U10" s="207">
        <f t="shared" si="2"/>
        <v>48</v>
      </c>
      <c r="W10" s="73"/>
      <c r="X10" s="66"/>
      <c r="Y10" s="66"/>
      <c r="Z10" s="66"/>
      <c r="AA10" s="66"/>
      <c r="AB10" s="66"/>
      <c r="AC10" s="66"/>
      <c r="AD10" s="66"/>
      <c r="AE10" s="66"/>
      <c r="AF10" s="74"/>
      <c r="AG10" s="66"/>
    </row>
    <row r="11" spans="2:33" ht="16.5" customHeight="1">
      <c r="B11" s="371"/>
      <c r="C11" s="429"/>
      <c r="D11" s="204" t="s">
        <v>509</v>
      </c>
      <c r="E11" s="203" t="s">
        <v>510</v>
      </c>
      <c r="F11" s="204">
        <v>32</v>
      </c>
      <c r="G11" s="204">
        <v>2</v>
      </c>
      <c r="H11" s="208"/>
      <c r="I11" s="208"/>
      <c r="J11" s="208"/>
      <c r="K11" s="208"/>
      <c r="L11" s="208">
        <v>2</v>
      </c>
      <c r="M11" s="208">
        <f>L11*16</f>
        <v>32</v>
      </c>
      <c r="N11" s="208"/>
      <c r="O11" s="208"/>
      <c r="P11" s="208"/>
      <c r="Q11" s="208"/>
      <c r="R11" s="208"/>
      <c r="S11" s="208"/>
      <c r="T11" s="209">
        <v>2</v>
      </c>
      <c r="U11" s="207">
        <f t="shared" si="2"/>
        <v>32</v>
      </c>
    </row>
    <row r="12" spans="2:33" ht="16.5" customHeight="1">
      <c r="B12" s="371"/>
      <c r="C12" s="429"/>
      <c r="D12" s="204" t="s">
        <v>511</v>
      </c>
      <c r="E12" s="204" t="s">
        <v>482</v>
      </c>
      <c r="F12" s="204">
        <v>48</v>
      </c>
      <c r="G12" s="204">
        <v>2</v>
      </c>
      <c r="H12" s="208"/>
      <c r="I12" s="208"/>
      <c r="J12" s="208"/>
      <c r="K12" s="208"/>
      <c r="L12" s="208"/>
      <c r="M12" s="208"/>
      <c r="N12" s="208">
        <v>3</v>
      </c>
      <c r="O12" s="208">
        <v>48</v>
      </c>
      <c r="P12" s="208"/>
      <c r="Q12" s="208"/>
      <c r="R12" s="208"/>
      <c r="S12" s="208"/>
      <c r="T12" s="209">
        <f t="shared" ref="T12:U12" si="3">SUM(H12,J12,L12,N12,P12,R12)</f>
        <v>3</v>
      </c>
      <c r="U12" s="210">
        <f t="shared" si="3"/>
        <v>48</v>
      </c>
    </row>
    <row r="13" spans="2:33" ht="16.5" customHeight="1">
      <c r="B13" s="372"/>
      <c r="C13" s="430"/>
      <c r="D13" s="433" t="s">
        <v>127</v>
      </c>
      <c r="E13" s="434"/>
      <c r="F13" s="79"/>
      <c r="G13" s="79"/>
      <c r="H13" s="80">
        <f t="shared" ref="H13:K13" si="4">SUM(H11:H12)</f>
        <v>0</v>
      </c>
      <c r="I13" s="80">
        <f t="shared" si="4"/>
        <v>0</v>
      </c>
      <c r="J13" s="80">
        <f t="shared" si="4"/>
        <v>0</v>
      </c>
      <c r="K13" s="80">
        <f t="shared" si="4"/>
        <v>0</v>
      </c>
      <c r="L13" s="80">
        <f t="shared" ref="L13:U13" si="5">SUM(L9:L12)</f>
        <v>8</v>
      </c>
      <c r="M13" s="80">
        <f t="shared" si="5"/>
        <v>128</v>
      </c>
      <c r="N13" s="80">
        <f t="shared" si="5"/>
        <v>3</v>
      </c>
      <c r="O13" s="80">
        <f t="shared" si="5"/>
        <v>48</v>
      </c>
      <c r="P13" s="80">
        <f t="shared" si="5"/>
        <v>0</v>
      </c>
      <c r="Q13" s="80">
        <f t="shared" si="5"/>
        <v>0</v>
      </c>
      <c r="R13" s="80">
        <f t="shared" si="5"/>
        <v>0</v>
      </c>
      <c r="S13" s="80">
        <f t="shared" si="5"/>
        <v>0</v>
      </c>
      <c r="T13" s="81">
        <f t="shared" si="5"/>
        <v>11</v>
      </c>
      <c r="U13" s="82">
        <f t="shared" si="5"/>
        <v>176</v>
      </c>
    </row>
    <row r="14" spans="2:33" ht="16.5" customHeight="1">
      <c r="B14" s="431" t="s">
        <v>103</v>
      </c>
      <c r="C14" s="432">
        <v>11</v>
      </c>
      <c r="D14" s="198" t="s">
        <v>512</v>
      </c>
      <c r="E14" s="198" t="s">
        <v>513</v>
      </c>
      <c r="F14" s="198">
        <v>48</v>
      </c>
      <c r="G14" s="198">
        <v>3</v>
      </c>
      <c r="H14" s="199"/>
      <c r="I14" s="199"/>
      <c r="J14" s="199"/>
      <c r="K14" s="199"/>
      <c r="L14" s="199"/>
      <c r="M14" s="199"/>
      <c r="N14" s="199"/>
      <c r="O14" s="199"/>
      <c r="P14" s="199">
        <v>3</v>
      </c>
      <c r="Q14" s="199">
        <f>P14*16</f>
        <v>48</v>
      </c>
      <c r="R14" s="199"/>
      <c r="S14" s="199"/>
      <c r="T14" s="201">
        <f>SUM(H14,J14,L14,N14,P14,R14)</f>
        <v>3</v>
      </c>
      <c r="U14" s="202">
        <f>SUM(I14,K14,M14,O14,Q14,S14)</f>
        <v>48</v>
      </c>
      <c r="W14" s="83"/>
    </row>
    <row r="15" spans="2:33" ht="16.5" customHeight="1">
      <c r="B15" s="371"/>
      <c r="C15" s="429"/>
      <c r="D15" s="204" t="s">
        <v>514</v>
      </c>
      <c r="E15" s="204" t="s">
        <v>515</v>
      </c>
      <c r="F15" s="204">
        <v>32</v>
      </c>
      <c r="G15" s="204">
        <v>2</v>
      </c>
      <c r="H15" s="208"/>
      <c r="I15" s="208"/>
      <c r="J15" s="208"/>
      <c r="K15" s="208"/>
      <c r="L15" s="208"/>
      <c r="M15" s="208"/>
      <c r="N15" s="208"/>
      <c r="O15" s="208"/>
      <c r="P15" s="208">
        <v>3</v>
      </c>
      <c r="Q15" s="208">
        <f>P15*16</f>
        <v>48</v>
      </c>
      <c r="R15" s="208"/>
      <c r="S15" s="205"/>
      <c r="T15" s="209">
        <f t="shared" ref="T15:U19" si="6">SUM(H15,J15,L15,N15,P15,R15)</f>
        <v>3</v>
      </c>
      <c r="U15" s="210">
        <f t="shared" si="6"/>
        <v>48</v>
      </c>
      <c r="W15" s="83"/>
    </row>
    <row r="16" spans="2:33" ht="16.5" customHeight="1">
      <c r="B16" s="371"/>
      <c r="C16" s="429"/>
      <c r="D16" s="204" t="s">
        <v>516</v>
      </c>
      <c r="E16" s="204" t="s">
        <v>517</v>
      </c>
      <c r="F16" s="204">
        <v>32</v>
      </c>
      <c r="G16" s="204">
        <v>3</v>
      </c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>
        <v>2</v>
      </c>
      <c r="S16" s="205">
        <f>R16*16</f>
        <v>32</v>
      </c>
      <c r="T16" s="209">
        <f t="shared" si="6"/>
        <v>2</v>
      </c>
      <c r="U16" s="210">
        <f t="shared" si="6"/>
        <v>32</v>
      </c>
    </row>
    <row r="17" spans="2:21" ht="16.5" customHeight="1">
      <c r="B17" s="371"/>
      <c r="C17" s="429"/>
      <c r="D17" s="204" t="s">
        <v>518</v>
      </c>
      <c r="E17" s="204" t="s">
        <v>519</v>
      </c>
      <c r="F17" s="204">
        <v>16</v>
      </c>
      <c r="G17" s="204">
        <v>2</v>
      </c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>
        <v>1</v>
      </c>
      <c r="S17" s="205">
        <f t="shared" ref="S17:S19" si="7">R17*16</f>
        <v>16</v>
      </c>
      <c r="T17" s="209">
        <f t="shared" si="6"/>
        <v>1</v>
      </c>
      <c r="U17" s="210">
        <f t="shared" si="6"/>
        <v>16</v>
      </c>
    </row>
    <row r="18" spans="2:21" ht="16.5" customHeight="1">
      <c r="B18" s="371"/>
      <c r="C18" s="429"/>
      <c r="D18" s="204" t="s">
        <v>520</v>
      </c>
      <c r="E18" s="204" t="s">
        <v>517</v>
      </c>
      <c r="F18" s="204">
        <v>16</v>
      </c>
      <c r="G18" s="204">
        <v>3</v>
      </c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>
        <v>1</v>
      </c>
      <c r="S18" s="205">
        <f t="shared" si="7"/>
        <v>16</v>
      </c>
      <c r="T18" s="209">
        <f t="shared" si="6"/>
        <v>1</v>
      </c>
      <c r="U18" s="210">
        <f t="shared" si="6"/>
        <v>16</v>
      </c>
    </row>
    <row r="19" spans="2:21" ht="16.5" customHeight="1">
      <c r="B19" s="371"/>
      <c r="C19" s="429"/>
      <c r="D19" s="203" t="s">
        <v>521</v>
      </c>
      <c r="E19" s="203" t="s">
        <v>522</v>
      </c>
      <c r="F19" s="203">
        <v>16</v>
      </c>
      <c r="G19" s="203">
        <v>2</v>
      </c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>
        <v>1</v>
      </c>
      <c r="S19" s="205">
        <f t="shared" si="7"/>
        <v>16</v>
      </c>
      <c r="T19" s="206">
        <f t="shared" si="6"/>
        <v>1</v>
      </c>
      <c r="U19" s="207">
        <f t="shared" si="6"/>
        <v>16</v>
      </c>
    </row>
    <row r="20" spans="2:21" ht="16.5" customHeight="1">
      <c r="B20" s="372"/>
      <c r="C20" s="430"/>
      <c r="D20" s="433" t="s">
        <v>127</v>
      </c>
      <c r="E20" s="434"/>
      <c r="F20" s="79"/>
      <c r="G20" s="79"/>
      <c r="H20" s="80">
        <f t="shared" ref="H20:K20" si="8">SUM(H18:H19)</f>
        <v>0</v>
      </c>
      <c r="I20" s="80">
        <f t="shared" si="8"/>
        <v>0</v>
      </c>
      <c r="J20" s="80">
        <f t="shared" si="8"/>
        <v>0</v>
      </c>
      <c r="K20" s="80">
        <f t="shared" si="8"/>
        <v>0</v>
      </c>
      <c r="L20" s="80">
        <f t="shared" ref="L20:O20" si="9">SUM(L16:L19)</f>
        <v>0</v>
      </c>
      <c r="M20" s="80">
        <f t="shared" si="9"/>
        <v>0</v>
      </c>
      <c r="N20" s="80">
        <f t="shared" si="9"/>
        <v>0</v>
      </c>
      <c r="O20" s="80">
        <f t="shared" si="9"/>
        <v>0</v>
      </c>
      <c r="P20" s="80">
        <f t="shared" ref="P20:U20" si="10">SUM(P14:P19)</f>
        <v>6</v>
      </c>
      <c r="Q20" s="80">
        <f t="shared" si="10"/>
        <v>96</v>
      </c>
      <c r="R20" s="80">
        <f t="shared" si="10"/>
        <v>5</v>
      </c>
      <c r="S20" s="80">
        <f t="shared" si="10"/>
        <v>80</v>
      </c>
      <c r="T20" s="80">
        <f t="shared" si="10"/>
        <v>11</v>
      </c>
      <c r="U20" s="84">
        <f t="shared" si="10"/>
        <v>176</v>
      </c>
    </row>
    <row r="21" spans="2:21" ht="16.5" customHeight="1">
      <c r="B21" s="431" t="s">
        <v>128</v>
      </c>
      <c r="C21" s="435">
        <v>12</v>
      </c>
      <c r="D21" s="211" t="s">
        <v>523</v>
      </c>
      <c r="E21" s="198" t="s">
        <v>524</v>
      </c>
      <c r="F21" s="198">
        <v>32</v>
      </c>
      <c r="G21" s="198">
        <v>4</v>
      </c>
      <c r="H21" s="199"/>
      <c r="I21" s="199"/>
      <c r="J21" s="199"/>
      <c r="K21" s="199"/>
      <c r="L21" s="199"/>
      <c r="M21" s="199"/>
      <c r="N21" s="199"/>
      <c r="O21" s="199"/>
      <c r="P21" s="212">
        <v>2</v>
      </c>
      <c r="Q21" s="212">
        <f>P21*16</f>
        <v>32</v>
      </c>
      <c r="R21" s="212"/>
      <c r="S21" s="212"/>
      <c r="T21" s="201">
        <f>P21+R21</f>
        <v>2</v>
      </c>
      <c r="U21" s="202">
        <f>T21*16</f>
        <v>32</v>
      </c>
    </row>
    <row r="22" spans="2:21" ht="16.5" customHeight="1">
      <c r="B22" s="371"/>
      <c r="C22" s="429"/>
      <c r="D22" s="213" t="s">
        <v>129</v>
      </c>
      <c r="E22" s="214" t="s">
        <v>130</v>
      </c>
      <c r="F22" s="204">
        <v>32</v>
      </c>
      <c r="G22" s="204">
        <v>3</v>
      </c>
      <c r="H22" s="208"/>
      <c r="I22" s="208"/>
      <c r="J22" s="208"/>
      <c r="K22" s="208"/>
      <c r="L22" s="208"/>
      <c r="M22" s="208"/>
      <c r="N22" s="208"/>
      <c r="O22" s="208"/>
      <c r="P22" s="215">
        <v>2</v>
      </c>
      <c r="Q22" s="215">
        <f>P22*16</f>
        <v>32</v>
      </c>
      <c r="R22" s="215"/>
      <c r="S22" s="215"/>
      <c r="T22" s="209">
        <f t="shared" ref="T22:T25" si="11">P22+R22</f>
        <v>2</v>
      </c>
      <c r="U22" s="210">
        <f t="shared" ref="U22:U25" si="12">T22*16</f>
        <v>32</v>
      </c>
    </row>
    <row r="23" spans="2:21" ht="16.5" customHeight="1">
      <c r="B23" s="371"/>
      <c r="C23" s="429"/>
      <c r="D23" s="216" t="s">
        <v>525</v>
      </c>
      <c r="E23" s="203" t="s">
        <v>526</v>
      </c>
      <c r="F23" s="204">
        <v>48</v>
      </c>
      <c r="G23" s="204">
        <v>3</v>
      </c>
      <c r="H23" s="208"/>
      <c r="I23" s="208"/>
      <c r="J23" s="208"/>
      <c r="K23" s="208"/>
      <c r="L23" s="208"/>
      <c r="M23" s="208"/>
      <c r="N23" s="208"/>
      <c r="O23" s="208"/>
      <c r="P23" s="215">
        <v>3</v>
      </c>
      <c r="Q23" s="215">
        <v>48</v>
      </c>
      <c r="R23" s="215"/>
      <c r="S23" s="215"/>
      <c r="T23" s="209">
        <f t="shared" si="11"/>
        <v>3</v>
      </c>
      <c r="U23" s="210">
        <f t="shared" si="12"/>
        <v>48</v>
      </c>
    </row>
    <row r="24" spans="2:21" ht="16.5" customHeight="1">
      <c r="B24" s="371"/>
      <c r="C24" s="429"/>
      <c r="D24" s="217" t="s">
        <v>527</v>
      </c>
      <c r="E24" s="203" t="s">
        <v>528</v>
      </c>
      <c r="F24" s="203">
        <v>48</v>
      </c>
      <c r="G24" s="204">
        <v>3</v>
      </c>
      <c r="H24" s="208"/>
      <c r="I24" s="208"/>
      <c r="J24" s="208"/>
      <c r="K24" s="208"/>
      <c r="L24" s="208"/>
      <c r="M24" s="208"/>
      <c r="N24" s="208"/>
      <c r="O24" s="208"/>
      <c r="P24" s="215"/>
      <c r="Q24" s="215"/>
      <c r="R24" s="215">
        <v>3</v>
      </c>
      <c r="S24" s="215">
        <f t="shared" ref="S24:S25" si="13">R24*16</f>
        <v>48</v>
      </c>
      <c r="T24" s="209">
        <f t="shared" si="11"/>
        <v>3</v>
      </c>
      <c r="U24" s="210">
        <f t="shared" si="12"/>
        <v>48</v>
      </c>
    </row>
    <row r="25" spans="2:21" ht="16.5" customHeight="1">
      <c r="B25" s="371"/>
      <c r="C25" s="429"/>
      <c r="D25" s="217" t="s">
        <v>131</v>
      </c>
      <c r="E25" s="203" t="s">
        <v>529</v>
      </c>
      <c r="F25" s="218">
        <v>32</v>
      </c>
      <c r="G25" s="203">
        <v>3</v>
      </c>
      <c r="H25" s="205"/>
      <c r="I25" s="205"/>
      <c r="J25" s="205"/>
      <c r="K25" s="205"/>
      <c r="L25" s="205"/>
      <c r="M25" s="205"/>
      <c r="N25" s="205"/>
      <c r="O25" s="205"/>
      <c r="P25" s="219"/>
      <c r="Q25" s="219"/>
      <c r="R25" s="219">
        <v>2</v>
      </c>
      <c r="S25" s="219">
        <f t="shared" si="13"/>
        <v>32</v>
      </c>
      <c r="T25" s="209">
        <f t="shared" si="11"/>
        <v>2</v>
      </c>
      <c r="U25" s="207">
        <f t="shared" si="12"/>
        <v>32</v>
      </c>
    </row>
    <row r="26" spans="2:21" ht="16.5" customHeight="1">
      <c r="B26" s="372"/>
      <c r="C26" s="430"/>
      <c r="D26" s="433" t="s">
        <v>127</v>
      </c>
      <c r="E26" s="434"/>
      <c r="F26" s="79"/>
      <c r="G26" s="79"/>
      <c r="H26" s="80">
        <f t="shared" ref="H26:K26" si="14">SUM(H24:H25)</f>
        <v>0</v>
      </c>
      <c r="I26" s="80">
        <f t="shared" si="14"/>
        <v>0</v>
      </c>
      <c r="J26" s="80">
        <f t="shared" si="14"/>
        <v>0</v>
      </c>
      <c r="K26" s="80">
        <f t="shared" si="14"/>
        <v>0</v>
      </c>
      <c r="L26" s="80">
        <f t="shared" ref="L26:O26" si="15">SUM(L22:L25)</f>
        <v>0</v>
      </c>
      <c r="M26" s="80">
        <f t="shared" si="15"/>
        <v>0</v>
      </c>
      <c r="N26" s="80">
        <f t="shared" si="15"/>
        <v>0</v>
      </c>
      <c r="O26" s="80">
        <f t="shared" si="15"/>
        <v>0</v>
      </c>
      <c r="P26" s="80">
        <f t="shared" ref="P26:U26" si="16">SUM(P21:P25)</f>
        <v>7</v>
      </c>
      <c r="Q26" s="80">
        <f t="shared" si="16"/>
        <v>112</v>
      </c>
      <c r="R26" s="80">
        <f t="shared" si="16"/>
        <v>5</v>
      </c>
      <c r="S26" s="80">
        <f t="shared" si="16"/>
        <v>80</v>
      </c>
      <c r="T26" s="80">
        <f t="shared" si="16"/>
        <v>12</v>
      </c>
      <c r="U26" s="84">
        <f t="shared" si="16"/>
        <v>192</v>
      </c>
    </row>
    <row r="27" spans="2:21" ht="16.5" customHeight="1">
      <c r="B27" s="431" t="s">
        <v>105</v>
      </c>
      <c r="C27" s="432">
        <v>16</v>
      </c>
      <c r="D27" s="85" t="s">
        <v>530</v>
      </c>
      <c r="E27" s="71" t="s">
        <v>531</v>
      </c>
      <c r="F27" s="71">
        <v>80</v>
      </c>
      <c r="G27" s="86">
        <v>3</v>
      </c>
      <c r="H27" s="72"/>
      <c r="I27" s="72"/>
      <c r="J27" s="72"/>
      <c r="K27" s="72"/>
      <c r="L27" s="72"/>
      <c r="M27" s="72"/>
      <c r="N27" s="72"/>
      <c r="O27" s="72"/>
      <c r="P27" s="72">
        <v>5</v>
      </c>
      <c r="Q27" s="72">
        <v>80</v>
      </c>
      <c r="R27" s="72"/>
      <c r="S27" s="72"/>
      <c r="T27" s="209">
        <f t="shared" ref="T27:T30" si="17">SUM(H27,J27,L27,N27,P27,R27)</f>
        <v>5</v>
      </c>
      <c r="U27" s="207">
        <f t="shared" ref="U27:U30" si="18">SUM(I27,K27,M27,O27,Q27,S27)</f>
        <v>80</v>
      </c>
    </row>
    <row r="28" spans="2:21" ht="16.5" customHeight="1">
      <c r="B28" s="371"/>
      <c r="C28" s="429"/>
      <c r="D28" s="87" t="s">
        <v>532</v>
      </c>
      <c r="E28" s="76" t="s">
        <v>533</v>
      </c>
      <c r="F28" s="76">
        <v>48</v>
      </c>
      <c r="G28" s="76">
        <v>3</v>
      </c>
      <c r="H28" s="78"/>
      <c r="I28" s="78"/>
      <c r="J28" s="78"/>
      <c r="K28" s="78"/>
      <c r="L28" s="78"/>
      <c r="M28" s="78"/>
      <c r="N28" s="78"/>
      <c r="O28" s="78"/>
      <c r="P28" s="78"/>
      <c r="Q28" s="77"/>
      <c r="R28" s="78">
        <v>3</v>
      </c>
      <c r="S28" s="77">
        <v>48</v>
      </c>
      <c r="T28" s="209">
        <f t="shared" si="17"/>
        <v>3</v>
      </c>
      <c r="U28" s="207">
        <f t="shared" si="18"/>
        <v>48</v>
      </c>
    </row>
    <row r="29" spans="2:21" ht="16.5" customHeight="1">
      <c r="B29" s="371"/>
      <c r="C29" s="429"/>
      <c r="D29" s="87" t="s">
        <v>527</v>
      </c>
      <c r="E29" s="76" t="s">
        <v>534</v>
      </c>
      <c r="F29" s="76">
        <v>48</v>
      </c>
      <c r="G29" s="76">
        <v>3</v>
      </c>
      <c r="H29" s="78"/>
      <c r="I29" s="78"/>
      <c r="J29" s="78"/>
      <c r="K29" s="78"/>
      <c r="L29" s="78"/>
      <c r="M29" s="78"/>
      <c r="N29" s="78"/>
      <c r="O29" s="78"/>
      <c r="P29" s="78"/>
      <c r="Q29" s="77"/>
      <c r="R29" s="78">
        <v>3</v>
      </c>
      <c r="S29" s="77">
        <v>48</v>
      </c>
      <c r="T29" s="209">
        <f t="shared" si="17"/>
        <v>3</v>
      </c>
      <c r="U29" s="207">
        <f t="shared" si="18"/>
        <v>48</v>
      </c>
    </row>
    <row r="30" spans="2:21" ht="16.5" customHeight="1">
      <c r="B30" s="371"/>
      <c r="C30" s="429"/>
      <c r="D30" s="88" t="s">
        <v>535</v>
      </c>
      <c r="E30" s="75" t="s">
        <v>536</v>
      </c>
      <c r="F30" s="75">
        <v>80</v>
      </c>
      <c r="G30" s="75">
        <v>3</v>
      </c>
      <c r="H30" s="77"/>
      <c r="I30" s="77"/>
      <c r="J30" s="77"/>
      <c r="K30" s="77"/>
      <c r="L30" s="77"/>
      <c r="M30" s="77"/>
      <c r="N30" s="77"/>
      <c r="O30" s="77"/>
      <c r="P30" s="78"/>
      <c r="Q30" s="77"/>
      <c r="R30" s="78">
        <v>5</v>
      </c>
      <c r="S30" s="77">
        <v>80</v>
      </c>
      <c r="T30" s="209">
        <f t="shared" si="17"/>
        <v>5</v>
      </c>
      <c r="U30" s="207">
        <f t="shared" si="18"/>
        <v>80</v>
      </c>
    </row>
    <row r="31" spans="2:21" ht="16.5" customHeight="1">
      <c r="B31" s="372"/>
      <c r="C31" s="430"/>
      <c r="D31" s="433" t="s">
        <v>127</v>
      </c>
      <c r="E31" s="434"/>
      <c r="F31" s="79"/>
      <c r="G31" s="79"/>
      <c r="H31" s="80">
        <f>SUM(H30:H30)</f>
        <v>0</v>
      </c>
      <c r="I31" s="80">
        <f>SUM(I30:I30)</f>
        <v>0</v>
      </c>
      <c r="J31" s="80">
        <f>SUM(J30:J30)</f>
        <v>0</v>
      </c>
      <c r="K31" s="80">
        <f>SUM(K30:K30)</f>
        <v>0</v>
      </c>
      <c r="L31" s="80">
        <f>SUM(L28:L30)</f>
        <v>0</v>
      </c>
      <c r="M31" s="80">
        <f>SUM(M28:M30)</f>
        <v>0</v>
      </c>
      <c r="N31" s="80">
        <f>SUM(N28:N30)</f>
        <v>0</v>
      </c>
      <c r="O31" s="80">
        <f>SUM(O28:O30)</f>
        <v>0</v>
      </c>
      <c r="P31" s="80">
        <f t="shared" ref="P31:U31" si="19">SUM(P27:P30)</f>
        <v>5</v>
      </c>
      <c r="Q31" s="80">
        <f t="shared" si="19"/>
        <v>80</v>
      </c>
      <c r="R31" s="80">
        <f t="shared" si="19"/>
        <v>11</v>
      </c>
      <c r="S31" s="80">
        <f t="shared" si="19"/>
        <v>176</v>
      </c>
      <c r="T31" s="80">
        <f t="shared" si="19"/>
        <v>16</v>
      </c>
      <c r="U31" s="84">
        <f t="shared" si="19"/>
        <v>256</v>
      </c>
    </row>
    <row r="32" spans="2:21" ht="16.5" customHeight="1">
      <c r="E32" s="14"/>
      <c r="F32" s="14"/>
    </row>
    <row r="33" spans="5:6" ht="16.5" customHeight="1">
      <c r="E33" s="14"/>
      <c r="F33" s="14"/>
    </row>
    <row r="34" spans="5:6" ht="16.5" customHeight="1">
      <c r="E34" s="14"/>
      <c r="F34" s="14"/>
    </row>
    <row r="35" spans="5:6" ht="16.5" customHeight="1">
      <c r="E35" s="14"/>
      <c r="F35" s="14"/>
    </row>
    <row r="36" spans="5:6" ht="16.5" customHeight="1">
      <c r="E36" s="14"/>
      <c r="F36" s="14"/>
    </row>
    <row r="37" spans="5:6" ht="16.5" customHeight="1">
      <c r="E37" s="14"/>
      <c r="F37" s="14"/>
    </row>
    <row r="38" spans="5:6" ht="16.5" customHeight="1">
      <c r="E38" s="14"/>
      <c r="F38" s="14"/>
    </row>
    <row r="39" spans="5:6" ht="16.5" customHeight="1">
      <c r="E39" s="14"/>
      <c r="F39" s="14"/>
    </row>
    <row r="40" spans="5:6" ht="16.5" customHeight="1">
      <c r="E40" s="14"/>
      <c r="F40" s="14"/>
    </row>
    <row r="41" spans="5:6" ht="16.5" customHeight="1">
      <c r="E41" s="14"/>
      <c r="F41" s="14"/>
    </row>
    <row r="42" spans="5:6" ht="16.5" customHeight="1">
      <c r="E42" s="14"/>
      <c r="F42" s="14"/>
    </row>
    <row r="43" spans="5:6" ht="16.5" customHeight="1">
      <c r="E43" s="14"/>
      <c r="F43" s="14"/>
    </row>
    <row r="44" spans="5:6" ht="16.5" customHeight="1">
      <c r="E44" s="14"/>
      <c r="F44" s="14"/>
    </row>
    <row r="45" spans="5:6" ht="16.5" customHeight="1">
      <c r="E45" s="14"/>
      <c r="F45" s="14"/>
    </row>
    <row r="46" spans="5:6" ht="16.5" customHeight="1">
      <c r="E46" s="14"/>
      <c r="F46" s="14"/>
    </row>
    <row r="47" spans="5:6" ht="16.5" customHeight="1">
      <c r="E47" s="14"/>
      <c r="F47" s="14"/>
    </row>
    <row r="48" spans="5:6" ht="16.5" customHeight="1">
      <c r="E48" s="14"/>
      <c r="F48" s="14"/>
    </row>
    <row r="49" spans="5:6" ht="16.5" customHeight="1">
      <c r="E49" s="14"/>
      <c r="F49" s="14"/>
    </row>
    <row r="50" spans="5:6" ht="16.5" customHeight="1">
      <c r="E50" s="14"/>
      <c r="F50" s="14"/>
    </row>
    <row r="51" spans="5:6" ht="16.5" customHeight="1">
      <c r="E51" s="14"/>
      <c r="F51" s="14"/>
    </row>
    <row r="52" spans="5:6" ht="16.5" customHeight="1">
      <c r="E52" s="14"/>
      <c r="F52" s="14"/>
    </row>
    <row r="53" spans="5:6" ht="16.5" customHeight="1">
      <c r="E53" s="14"/>
      <c r="F53" s="14"/>
    </row>
    <row r="54" spans="5:6" ht="16.5" customHeight="1">
      <c r="E54" s="14"/>
      <c r="F54" s="14"/>
    </row>
    <row r="55" spans="5:6" ht="16.5" customHeight="1">
      <c r="E55" s="14"/>
      <c r="F55" s="14"/>
    </row>
    <row r="56" spans="5:6" ht="16.5" customHeight="1">
      <c r="E56" s="14"/>
      <c r="F56" s="14"/>
    </row>
    <row r="57" spans="5:6" ht="16.5" customHeight="1">
      <c r="E57" s="14"/>
      <c r="F57" s="14"/>
    </row>
    <row r="58" spans="5:6" ht="16.5" customHeight="1">
      <c r="E58" s="14"/>
      <c r="F58" s="14"/>
    </row>
    <row r="59" spans="5:6" ht="16.5" customHeight="1">
      <c r="E59" s="14"/>
      <c r="F59" s="14"/>
    </row>
    <row r="60" spans="5:6" ht="16.5" customHeight="1">
      <c r="E60" s="14"/>
      <c r="F60" s="14"/>
    </row>
    <row r="61" spans="5:6" ht="16.5" customHeight="1">
      <c r="E61" s="14"/>
      <c r="F61" s="14"/>
    </row>
    <row r="62" spans="5:6" ht="16.5" customHeight="1">
      <c r="E62" s="14"/>
      <c r="F62" s="14"/>
    </row>
    <row r="63" spans="5:6" ht="16.5" customHeight="1">
      <c r="E63" s="14"/>
      <c r="F63" s="14"/>
    </row>
    <row r="64" spans="5:6" ht="16.5" customHeight="1">
      <c r="E64" s="14"/>
      <c r="F64" s="14"/>
    </row>
    <row r="65" spans="5:6" ht="16.5" customHeight="1">
      <c r="E65" s="14"/>
      <c r="F65" s="14"/>
    </row>
    <row r="66" spans="5:6" ht="16.5" customHeight="1">
      <c r="E66" s="14"/>
      <c r="F66" s="14"/>
    </row>
    <row r="67" spans="5:6" ht="16.5" customHeight="1">
      <c r="E67" s="14"/>
      <c r="F67" s="14"/>
    </row>
    <row r="68" spans="5:6" ht="16.5" customHeight="1">
      <c r="E68" s="14"/>
      <c r="F68" s="14"/>
    </row>
    <row r="69" spans="5:6" ht="16.5" customHeight="1">
      <c r="E69" s="14"/>
      <c r="F69" s="14"/>
    </row>
    <row r="70" spans="5:6" ht="16.5" customHeight="1">
      <c r="E70" s="14"/>
      <c r="F70" s="14"/>
    </row>
    <row r="71" spans="5:6" ht="16.5" customHeight="1">
      <c r="E71" s="14"/>
      <c r="F71" s="14"/>
    </row>
    <row r="72" spans="5:6" ht="16.5" customHeight="1">
      <c r="E72" s="14"/>
      <c r="F72" s="14"/>
    </row>
    <row r="73" spans="5:6" ht="16.5" customHeight="1">
      <c r="E73" s="14"/>
      <c r="F73" s="14"/>
    </row>
    <row r="74" spans="5:6" ht="16.5" customHeight="1">
      <c r="E74" s="14"/>
      <c r="F74" s="14"/>
    </row>
    <row r="75" spans="5:6" ht="16.5" customHeight="1">
      <c r="E75" s="14"/>
      <c r="F75" s="14"/>
    </row>
    <row r="76" spans="5:6" ht="16.5" customHeight="1">
      <c r="E76" s="14"/>
      <c r="F76" s="14"/>
    </row>
    <row r="77" spans="5:6" ht="16.5" customHeight="1">
      <c r="E77" s="14"/>
      <c r="F77" s="14"/>
    </row>
    <row r="78" spans="5:6" ht="16.5" customHeight="1">
      <c r="E78" s="14"/>
      <c r="F78" s="14"/>
    </row>
    <row r="79" spans="5:6" ht="16.5" customHeight="1">
      <c r="E79" s="14"/>
      <c r="F79" s="14"/>
    </row>
    <row r="80" spans="5:6" ht="16.5" customHeight="1">
      <c r="E80" s="14"/>
      <c r="F80" s="14"/>
    </row>
    <row r="81" spans="5:6" ht="16.5" customHeight="1">
      <c r="E81" s="14"/>
      <c r="F81" s="14"/>
    </row>
    <row r="82" spans="5:6" ht="16.5" customHeight="1">
      <c r="E82" s="14"/>
      <c r="F82" s="14"/>
    </row>
    <row r="83" spans="5:6" ht="16.5" customHeight="1">
      <c r="E83" s="14"/>
      <c r="F83" s="14"/>
    </row>
    <row r="84" spans="5:6" ht="16.5" customHeight="1">
      <c r="E84" s="14"/>
      <c r="F84" s="14"/>
    </row>
    <row r="85" spans="5:6" ht="16.5" customHeight="1">
      <c r="E85" s="14"/>
      <c r="F85" s="14"/>
    </row>
    <row r="86" spans="5:6" ht="16.5" customHeight="1">
      <c r="E86" s="14"/>
      <c r="F86" s="14"/>
    </row>
    <row r="87" spans="5:6" ht="16.5" customHeight="1">
      <c r="E87" s="14"/>
      <c r="F87" s="14"/>
    </row>
    <row r="88" spans="5:6" ht="16.5" customHeight="1">
      <c r="E88" s="14"/>
      <c r="F88" s="14"/>
    </row>
    <row r="89" spans="5:6" ht="16.5" customHeight="1">
      <c r="E89" s="14"/>
      <c r="F89" s="14"/>
    </row>
    <row r="90" spans="5:6" ht="16.5" customHeight="1">
      <c r="E90" s="14"/>
      <c r="F90" s="14"/>
    </row>
    <row r="91" spans="5:6" ht="16.5" customHeight="1">
      <c r="E91" s="14"/>
      <c r="F91" s="14"/>
    </row>
    <row r="92" spans="5:6" ht="16.5" customHeight="1">
      <c r="E92" s="14"/>
      <c r="F92" s="14"/>
    </row>
    <row r="93" spans="5:6" ht="16.5" customHeight="1">
      <c r="E93" s="14"/>
      <c r="F93" s="14"/>
    </row>
    <row r="94" spans="5:6" ht="16.5" customHeight="1">
      <c r="E94" s="14"/>
      <c r="F94" s="14"/>
    </row>
    <row r="95" spans="5:6" ht="16.5" customHeight="1">
      <c r="E95" s="14"/>
      <c r="F95" s="14"/>
    </row>
    <row r="96" spans="5:6" ht="16.5" customHeight="1">
      <c r="E96" s="14"/>
      <c r="F96" s="14"/>
    </row>
    <row r="97" spans="5:6" ht="16.5" customHeight="1">
      <c r="E97" s="14"/>
      <c r="F97" s="14"/>
    </row>
    <row r="98" spans="5:6" ht="16.5" customHeight="1">
      <c r="E98" s="14"/>
      <c r="F98" s="14"/>
    </row>
    <row r="99" spans="5:6" ht="16.5" customHeight="1">
      <c r="E99" s="14"/>
      <c r="F99" s="14"/>
    </row>
    <row r="100" spans="5:6" ht="16.5" customHeight="1">
      <c r="E100" s="14"/>
      <c r="F100" s="14"/>
    </row>
    <row r="101" spans="5:6" ht="16.5" customHeight="1">
      <c r="E101" s="14"/>
      <c r="F101" s="14"/>
    </row>
    <row r="102" spans="5:6" ht="16.5" customHeight="1">
      <c r="E102" s="14"/>
      <c r="F102" s="14"/>
    </row>
    <row r="103" spans="5:6" ht="16.5" customHeight="1">
      <c r="E103" s="14"/>
      <c r="F103" s="14"/>
    </row>
    <row r="104" spans="5:6" ht="16.5" customHeight="1">
      <c r="E104" s="14"/>
      <c r="F104" s="14"/>
    </row>
    <row r="105" spans="5:6" ht="16.5" customHeight="1">
      <c r="E105" s="14"/>
      <c r="F105" s="14"/>
    </row>
    <row r="106" spans="5:6" ht="16.5" customHeight="1">
      <c r="E106" s="14"/>
      <c r="F106" s="14"/>
    </row>
    <row r="107" spans="5:6" ht="16.5" customHeight="1">
      <c r="E107" s="14"/>
      <c r="F107" s="14"/>
    </row>
    <row r="108" spans="5:6" ht="16.5" customHeight="1">
      <c r="E108" s="14"/>
      <c r="F108" s="14"/>
    </row>
    <row r="109" spans="5:6" ht="16.5" customHeight="1">
      <c r="E109" s="14"/>
      <c r="F109" s="14"/>
    </row>
    <row r="110" spans="5:6" ht="16.5" customHeight="1">
      <c r="E110" s="14"/>
      <c r="F110" s="14"/>
    </row>
    <row r="111" spans="5:6" ht="16.5" customHeight="1">
      <c r="E111" s="14"/>
      <c r="F111" s="14"/>
    </row>
    <row r="112" spans="5:6" ht="16.5" customHeight="1">
      <c r="E112" s="14"/>
      <c r="F112" s="14"/>
    </row>
    <row r="113" spans="5:6" ht="16.5" customHeight="1">
      <c r="E113" s="14"/>
      <c r="F113" s="14"/>
    </row>
    <row r="114" spans="5:6" ht="16.5" customHeight="1">
      <c r="E114" s="14"/>
      <c r="F114" s="14"/>
    </row>
    <row r="115" spans="5:6" ht="16.5" customHeight="1">
      <c r="E115" s="14"/>
      <c r="F115" s="14"/>
    </row>
    <row r="116" spans="5:6" ht="16.5" customHeight="1">
      <c r="E116" s="14"/>
      <c r="F116" s="14"/>
    </row>
    <row r="117" spans="5:6" ht="16.5" customHeight="1">
      <c r="E117" s="14"/>
      <c r="F117" s="14"/>
    </row>
    <row r="118" spans="5:6" ht="16.5" customHeight="1">
      <c r="E118" s="14"/>
      <c r="F118" s="14"/>
    </row>
    <row r="119" spans="5:6" ht="16.5" customHeight="1">
      <c r="E119" s="14"/>
      <c r="F119" s="14"/>
    </row>
    <row r="120" spans="5:6" ht="16.5" customHeight="1">
      <c r="E120" s="14"/>
      <c r="F120" s="14"/>
    </row>
    <row r="121" spans="5:6" ht="16.5" customHeight="1">
      <c r="E121" s="14"/>
      <c r="F121" s="14"/>
    </row>
    <row r="122" spans="5:6" ht="16.5" customHeight="1">
      <c r="E122" s="14"/>
      <c r="F122" s="14"/>
    </row>
    <row r="123" spans="5:6" ht="16.5" customHeight="1">
      <c r="E123" s="14"/>
      <c r="F123" s="14"/>
    </row>
    <row r="124" spans="5:6" ht="16.5" customHeight="1">
      <c r="E124" s="14"/>
      <c r="F124" s="14"/>
    </row>
    <row r="125" spans="5:6" ht="16.5" customHeight="1">
      <c r="E125" s="14"/>
      <c r="F125" s="14"/>
    </row>
    <row r="126" spans="5:6" ht="16.5" customHeight="1">
      <c r="E126" s="14"/>
      <c r="F126" s="14"/>
    </row>
    <row r="127" spans="5:6" ht="16.5" customHeight="1">
      <c r="E127" s="14"/>
      <c r="F127" s="14"/>
    </row>
    <row r="128" spans="5:6" ht="16.5" customHeight="1">
      <c r="E128" s="14"/>
      <c r="F128" s="14"/>
    </row>
    <row r="129" spans="5:6" ht="16.5" customHeight="1">
      <c r="E129" s="14"/>
      <c r="F129" s="14"/>
    </row>
    <row r="130" spans="5:6" ht="16.5" customHeight="1">
      <c r="E130" s="14"/>
      <c r="F130" s="14"/>
    </row>
    <row r="131" spans="5:6" ht="16.5" customHeight="1">
      <c r="E131" s="14"/>
      <c r="F131" s="14"/>
    </row>
    <row r="132" spans="5:6" ht="16.5" customHeight="1">
      <c r="E132" s="14"/>
      <c r="F132" s="14"/>
    </row>
    <row r="133" spans="5:6" ht="16.5" customHeight="1">
      <c r="E133" s="14"/>
      <c r="F133" s="14"/>
    </row>
    <row r="134" spans="5:6" ht="16.5" customHeight="1">
      <c r="E134" s="14"/>
      <c r="F134" s="14"/>
    </row>
    <row r="135" spans="5:6" ht="16.5" customHeight="1">
      <c r="E135" s="14"/>
      <c r="F135" s="14"/>
    </row>
    <row r="136" spans="5:6" ht="16.5" customHeight="1">
      <c r="E136" s="14"/>
      <c r="F136" s="14"/>
    </row>
    <row r="137" spans="5:6" ht="16.5" customHeight="1">
      <c r="E137" s="14"/>
      <c r="F137" s="14"/>
    </row>
    <row r="138" spans="5:6" ht="16.5" customHeight="1">
      <c r="E138" s="14"/>
      <c r="F138" s="14"/>
    </row>
    <row r="139" spans="5:6" ht="16.5" customHeight="1">
      <c r="E139" s="14"/>
      <c r="F139" s="14"/>
    </row>
    <row r="140" spans="5:6" ht="16.5" customHeight="1">
      <c r="E140" s="14"/>
      <c r="F140" s="14"/>
    </row>
    <row r="141" spans="5:6" ht="16.5" customHeight="1">
      <c r="E141" s="14"/>
      <c r="F141" s="14"/>
    </row>
    <row r="142" spans="5:6" ht="16.5" customHeight="1">
      <c r="E142" s="14"/>
      <c r="F142" s="14"/>
    </row>
    <row r="143" spans="5:6" ht="16.5" customHeight="1">
      <c r="E143" s="14"/>
      <c r="F143" s="14"/>
    </row>
    <row r="144" spans="5:6" ht="16.5" customHeight="1">
      <c r="E144" s="14"/>
      <c r="F144" s="14"/>
    </row>
    <row r="145" spans="5:6" ht="16.5" customHeight="1">
      <c r="E145" s="14"/>
      <c r="F145" s="14"/>
    </row>
    <row r="146" spans="5:6" ht="16.5" customHeight="1">
      <c r="E146" s="14"/>
      <c r="F146" s="14"/>
    </row>
    <row r="147" spans="5:6" ht="16.5" customHeight="1">
      <c r="E147" s="14"/>
      <c r="F147" s="14"/>
    </row>
    <row r="148" spans="5:6" ht="16.5" customHeight="1">
      <c r="E148" s="14"/>
      <c r="F148" s="14"/>
    </row>
    <row r="149" spans="5:6" ht="16.5" customHeight="1">
      <c r="E149" s="14"/>
      <c r="F149" s="14"/>
    </row>
    <row r="150" spans="5:6" ht="16.5" customHeight="1">
      <c r="E150" s="14"/>
      <c r="F150" s="14"/>
    </row>
    <row r="151" spans="5:6" ht="16.5" customHeight="1">
      <c r="E151" s="14"/>
      <c r="F151" s="14"/>
    </row>
    <row r="152" spans="5:6" ht="16.5" customHeight="1">
      <c r="E152" s="14"/>
      <c r="F152" s="14"/>
    </row>
    <row r="153" spans="5:6" ht="16.5" customHeight="1">
      <c r="E153" s="14"/>
      <c r="F153" s="14"/>
    </row>
    <row r="154" spans="5:6" ht="16.5" customHeight="1">
      <c r="E154" s="14"/>
      <c r="F154" s="14"/>
    </row>
    <row r="155" spans="5:6" ht="16.5" customHeight="1">
      <c r="E155" s="14"/>
      <c r="F155" s="14"/>
    </row>
    <row r="156" spans="5:6" ht="16.5" customHeight="1">
      <c r="E156" s="14"/>
      <c r="F156" s="14"/>
    </row>
    <row r="157" spans="5:6" ht="16.5" customHeight="1">
      <c r="E157" s="14"/>
      <c r="F157" s="14"/>
    </row>
    <row r="158" spans="5:6" ht="16.5" customHeight="1">
      <c r="E158" s="14"/>
      <c r="F158" s="14"/>
    </row>
    <row r="159" spans="5:6" ht="16.5" customHeight="1">
      <c r="E159" s="14"/>
      <c r="F159" s="14"/>
    </row>
    <row r="160" spans="5:6" ht="16.5" customHeight="1">
      <c r="E160" s="14"/>
      <c r="F160" s="14"/>
    </row>
    <row r="161" spans="5:6" ht="16.5" customHeight="1">
      <c r="E161" s="14"/>
      <c r="F161" s="14"/>
    </row>
    <row r="162" spans="5:6" ht="16.5" customHeight="1">
      <c r="E162" s="14"/>
      <c r="F162" s="14"/>
    </row>
    <row r="163" spans="5:6" ht="16.5" customHeight="1">
      <c r="E163" s="14"/>
      <c r="F163" s="14"/>
    </row>
    <row r="164" spans="5:6" ht="16.5" customHeight="1">
      <c r="E164" s="14"/>
      <c r="F164" s="14"/>
    </row>
    <row r="165" spans="5:6" ht="16.5" customHeight="1">
      <c r="E165" s="14"/>
      <c r="F165" s="14"/>
    </row>
    <row r="166" spans="5:6" ht="16.5" customHeight="1">
      <c r="E166" s="14"/>
      <c r="F166" s="14"/>
    </row>
    <row r="167" spans="5:6" ht="16.5" customHeight="1">
      <c r="E167" s="14"/>
      <c r="F167" s="14"/>
    </row>
    <row r="168" spans="5:6" ht="16.5" customHeight="1">
      <c r="E168" s="14"/>
      <c r="F168" s="14"/>
    </row>
    <row r="169" spans="5:6" ht="16.5" customHeight="1">
      <c r="E169" s="14"/>
      <c r="F169" s="14"/>
    </row>
    <row r="170" spans="5:6" ht="16.5" customHeight="1">
      <c r="E170" s="14"/>
      <c r="F170" s="14"/>
    </row>
    <row r="171" spans="5:6" ht="16.5" customHeight="1">
      <c r="E171" s="14"/>
      <c r="F171" s="14"/>
    </row>
    <row r="172" spans="5:6" ht="16.5" customHeight="1">
      <c r="E172" s="14"/>
      <c r="F172" s="14"/>
    </row>
    <row r="173" spans="5:6" ht="16.5" customHeight="1">
      <c r="E173" s="14"/>
      <c r="F173" s="14"/>
    </row>
    <row r="174" spans="5:6" ht="16.5" customHeight="1">
      <c r="E174" s="14"/>
      <c r="F174" s="14"/>
    </row>
    <row r="175" spans="5:6" ht="16.5" customHeight="1">
      <c r="E175" s="14"/>
      <c r="F175" s="14"/>
    </row>
    <row r="176" spans="5:6" ht="16.5" customHeight="1">
      <c r="E176" s="14"/>
      <c r="F176" s="14"/>
    </row>
    <row r="177" spans="5:6" ht="16.5" customHeight="1">
      <c r="E177" s="14"/>
      <c r="F177" s="14"/>
    </row>
    <row r="178" spans="5:6" ht="16.5" customHeight="1">
      <c r="E178" s="14"/>
      <c r="F178" s="14"/>
    </row>
    <row r="179" spans="5:6" ht="16.5" customHeight="1">
      <c r="E179" s="14"/>
      <c r="F179" s="14"/>
    </row>
    <row r="180" spans="5:6" ht="16.5" customHeight="1">
      <c r="E180" s="14"/>
      <c r="F180" s="14"/>
    </row>
    <row r="181" spans="5:6" ht="16.5" customHeight="1">
      <c r="E181" s="14"/>
      <c r="F181" s="14"/>
    </row>
    <row r="182" spans="5:6" ht="16.5" customHeight="1">
      <c r="E182" s="14"/>
      <c r="F182" s="14"/>
    </row>
    <row r="183" spans="5:6" ht="16.5" customHeight="1">
      <c r="E183" s="14"/>
      <c r="F183" s="14"/>
    </row>
    <row r="184" spans="5:6" ht="16.5" customHeight="1">
      <c r="E184" s="14"/>
      <c r="F184" s="14"/>
    </row>
    <row r="185" spans="5:6" ht="16.5" customHeight="1">
      <c r="E185" s="14"/>
      <c r="F185" s="14"/>
    </row>
    <row r="186" spans="5:6" ht="16.5" customHeight="1">
      <c r="E186" s="14"/>
      <c r="F186" s="14"/>
    </row>
    <row r="187" spans="5:6" ht="16.5" customHeight="1">
      <c r="E187" s="14"/>
      <c r="F187" s="14"/>
    </row>
    <row r="188" spans="5:6" ht="16.5" customHeight="1">
      <c r="E188" s="14"/>
      <c r="F188" s="14"/>
    </row>
    <row r="189" spans="5:6" ht="16.5" customHeight="1">
      <c r="E189" s="14"/>
      <c r="F189" s="14"/>
    </row>
    <row r="190" spans="5:6" ht="16.5" customHeight="1">
      <c r="E190" s="14"/>
      <c r="F190" s="14"/>
    </row>
    <row r="191" spans="5:6" ht="16.5" customHeight="1">
      <c r="E191" s="14"/>
      <c r="F191" s="14"/>
    </row>
    <row r="192" spans="5:6" ht="16.5" customHeight="1">
      <c r="E192" s="14"/>
      <c r="F192" s="14"/>
    </row>
    <row r="193" spans="5:6" ht="16.5" customHeight="1">
      <c r="E193" s="14"/>
      <c r="F193" s="14"/>
    </row>
    <row r="194" spans="5:6" ht="16.5" customHeight="1">
      <c r="E194" s="14"/>
      <c r="F194" s="14"/>
    </row>
    <row r="195" spans="5:6" ht="16.5" customHeight="1">
      <c r="E195" s="14"/>
      <c r="F195" s="14"/>
    </row>
    <row r="196" spans="5:6" ht="16.5" customHeight="1">
      <c r="E196" s="14"/>
      <c r="F196" s="14"/>
    </row>
    <row r="197" spans="5:6" ht="16.5" customHeight="1">
      <c r="E197" s="14"/>
      <c r="F197" s="14"/>
    </row>
    <row r="198" spans="5:6" ht="16.5" customHeight="1">
      <c r="E198" s="14"/>
      <c r="F198" s="14"/>
    </row>
    <row r="199" spans="5:6" ht="16.5" customHeight="1">
      <c r="E199" s="14"/>
      <c r="F199" s="14"/>
    </row>
    <row r="200" spans="5:6" ht="16.5" customHeight="1">
      <c r="E200" s="14"/>
      <c r="F200" s="14"/>
    </row>
    <row r="201" spans="5:6" ht="16.5" customHeight="1">
      <c r="E201" s="14"/>
      <c r="F201" s="14"/>
    </row>
    <row r="202" spans="5:6" ht="16.5" customHeight="1">
      <c r="E202" s="14"/>
      <c r="F202" s="14"/>
    </row>
    <row r="203" spans="5:6" ht="16.5" customHeight="1">
      <c r="E203" s="14"/>
      <c r="F203" s="14"/>
    </row>
    <row r="204" spans="5:6" ht="16.5" customHeight="1">
      <c r="E204" s="14"/>
      <c r="F204" s="14"/>
    </row>
    <row r="205" spans="5:6" ht="16.5" customHeight="1">
      <c r="E205" s="14"/>
      <c r="F205" s="14"/>
    </row>
    <row r="206" spans="5:6" ht="16.5" customHeight="1">
      <c r="E206" s="14"/>
      <c r="F206" s="14"/>
    </row>
    <row r="207" spans="5:6" ht="16.5" customHeight="1">
      <c r="E207" s="14"/>
      <c r="F207" s="14"/>
    </row>
    <row r="208" spans="5:6" ht="16.5" customHeight="1">
      <c r="E208" s="14"/>
      <c r="F208" s="14"/>
    </row>
    <row r="209" spans="5:6" ht="16.5" customHeight="1">
      <c r="E209" s="14"/>
      <c r="F209" s="14"/>
    </row>
    <row r="210" spans="5:6" ht="16.5" customHeight="1">
      <c r="E210" s="14"/>
      <c r="F210" s="14"/>
    </row>
    <row r="211" spans="5:6" ht="16.5" customHeight="1">
      <c r="E211" s="14"/>
      <c r="F211" s="14"/>
    </row>
    <row r="212" spans="5:6" ht="16.5" customHeight="1">
      <c r="E212" s="14"/>
      <c r="F212" s="14"/>
    </row>
    <row r="213" spans="5:6" ht="16.5" customHeight="1">
      <c r="E213" s="14"/>
      <c r="F213" s="14"/>
    </row>
    <row r="214" spans="5:6" ht="16.5" customHeight="1">
      <c r="E214" s="14"/>
      <c r="F214" s="14"/>
    </row>
    <row r="215" spans="5:6" ht="16.5" customHeight="1">
      <c r="E215" s="14"/>
      <c r="F215" s="14"/>
    </row>
    <row r="216" spans="5:6" ht="16.5" customHeight="1">
      <c r="E216" s="14"/>
      <c r="F216" s="14"/>
    </row>
    <row r="217" spans="5:6" ht="16.5" customHeight="1">
      <c r="E217" s="14"/>
      <c r="F217" s="14"/>
    </row>
    <row r="218" spans="5:6" ht="16.5" customHeight="1">
      <c r="E218" s="14"/>
      <c r="F218" s="14"/>
    </row>
    <row r="219" spans="5:6" ht="16.5" customHeight="1">
      <c r="E219" s="14"/>
      <c r="F219" s="14"/>
    </row>
    <row r="220" spans="5:6" ht="16.5" customHeight="1">
      <c r="E220" s="14"/>
      <c r="F220" s="14"/>
    </row>
    <row r="221" spans="5:6" ht="16.5" customHeight="1">
      <c r="E221" s="14"/>
      <c r="F221" s="14"/>
    </row>
    <row r="222" spans="5:6" ht="16.5" customHeight="1">
      <c r="E222" s="14"/>
      <c r="F222" s="14"/>
    </row>
    <row r="223" spans="5:6" ht="16.5" customHeight="1">
      <c r="E223" s="14"/>
      <c r="F223" s="14"/>
    </row>
    <row r="224" spans="5:6" ht="16.5" customHeight="1">
      <c r="E224" s="14"/>
      <c r="F224" s="14"/>
    </row>
    <row r="225" spans="5:6" ht="16.5" customHeight="1">
      <c r="E225" s="14"/>
      <c r="F225" s="14"/>
    </row>
    <row r="226" spans="5:6" ht="16.5" customHeight="1">
      <c r="E226" s="14"/>
      <c r="F226" s="14"/>
    </row>
    <row r="227" spans="5:6" ht="16.5" customHeight="1">
      <c r="E227" s="14"/>
      <c r="F227" s="14"/>
    </row>
    <row r="228" spans="5:6" ht="16.5" customHeight="1">
      <c r="E228" s="14"/>
      <c r="F228" s="14"/>
    </row>
    <row r="229" spans="5:6" ht="16.5" customHeight="1">
      <c r="E229" s="14"/>
      <c r="F229" s="14"/>
    </row>
    <row r="230" spans="5:6" ht="16.5" customHeight="1">
      <c r="E230" s="14"/>
      <c r="F230" s="14"/>
    </row>
    <row r="231" spans="5:6" ht="16.5" customHeight="1">
      <c r="E231" s="14"/>
      <c r="F231" s="14"/>
    </row>
    <row r="232" spans="5:6" ht="15.75" customHeight="1"/>
    <row r="233" spans="5:6" ht="15.75" customHeight="1"/>
    <row r="234" spans="5:6" ht="15.75" customHeight="1"/>
    <row r="235" spans="5:6" ht="15.75" customHeight="1"/>
    <row r="236" spans="5:6" ht="15.75" customHeight="1"/>
    <row r="237" spans="5:6" ht="15.75" customHeight="1"/>
    <row r="238" spans="5:6" ht="15.75" customHeight="1"/>
    <row r="239" spans="5:6" ht="15.75" customHeight="1"/>
    <row r="240" spans="5: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9">
    <mergeCell ref="B2:U2"/>
    <mergeCell ref="N3:P3"/>
    <mergeCell ref="Q3:S3"/>
    <mergeCell ref="T3:U3"/>
    <mergeCell ref="N4:P4"/>
    <mergeCell ref="Q4:S4"/>
    <mergeCell ref="T4:U4"/>
    <mergeCell ref="J7:K7"/>
    <mergeCell ref="L7:M7"/>
    <mergeCell ref="N7:O7"/>
    <mergeCell ref="P7:Q7"/>
    <mergeCell ref="W6:AF6"/>
    <mergeCell ref="W7:AF7"/>
    <mergeCell ref="H6:K6"/>
    <mergeCell ref="L6:O6"/>
    <mergeCell ref="P6:S6"/>
    <mergeCell ref="T6:T8"/>
    <mergeCell ref="U6:U8"/>
    <mergeCell ref="H7:I7"/>
    <mergeCell ref="R7:S7"/>
    <mergeCell ref="B5:C5"/>
    <mergeCell ref="B6:B8"/>
    <mergeCell ref="C6:C8"/>
    <mergeCell ref="D6:D8"/>
    <mergeCell ref="E6:E8"/>
    <mergeCell ref="F6:F8"/>
    <mergeCell ref="G6:G8"/>
    <mergeCell ref="B27:B31"/>
    <mergeCell ref="C27:C31"/>
    <mergeCell ref="D31:E31"/>
    <mergeCell ref="C21:C26"/>
    <mergeCell ref="D26:E26"/>
    <mergeCell ref="B9:B13"/>
    <mergeCell ref="C9:C13"/>
    <mergeCell ref="D13:E13"/>
    <mergeCell ref="B14:B20"/>
    <mergeCell ref="C14:C20"/>
    <mergeCell ref="D20:E20"/>
    <mergeCell ref="B21:B26"/>
  </mergeCells>
  <phoneticPr fontId="37" type="noConversion"/>
  <pageMargins left="0.70866141732283472" right="0.70866141732283472" top="0.74803149606299213" bottom="0.74803149606299213" header="0" footer="0"/>
  <pageSetup paperSize="9" scale="70" orientation="landscape" cellComments="atEn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pane ySplit="1" topLeftCell="A2" activePane="bottomLeft" state="frozen"/>
      <selection pane="bottomLeft" activeCell="J5" sqref="J5:K5"/>
    </sheetView>
  </sheetViews>
  <sheetFormatPr defaultColWidth="14.42578125" defaultRowHeight="15" customHeight="1"/>
  <cols>
    <col min="1" max="1" width="16.42578125" customWidth="1"/>
    <col min="2" max="5" width="9" customWidth="1"/>
    <col min="6" max="6" width="11.42578125" customWidth="1"/>
    <col min="7" max="8" width="8.7109375" customWidth="1"/>
    <col min="9" max="9" width="17.5703125" customWidth="1"/>
    <col min="10" max="10" width="13.42578125" customWidth="1"/>
    <col min="11" max="11" width="13" customWidth="1"/>
    <col min="12" max="12" width="8.7109375" customWidth="1"/>
  </cols>
  <sheetData>
    <row r="1" spans="1:12" ht="16.5" customHeight="1">
      <c r="A1" s="89" t="s">
        <v>38</v>
      </c>
      <c r="B1" s="89" t="s">
        <v>37</v>
      </c>
      <c r="C1" s="89" t="s">
        <v>7</v>
      </c>
      <c r="D1" s="89" t="s">
        <v>37</v>
      </c>
      <c r="E1" s="89" t="s">
        <v>132</v>
      </c>
      <c r="F1" s="89" t="s">
        <v>133</v>
      </c>
      <c r="G1" s="90"/>
      <c r="H1" s="91" t="s">
        <v>134</v>
      </c>
      <c r="I1" s="91" t="s">
        <v>7</v>
      </c>
      <c r="J1" s="91" t="s">
        <v>8</v>
      </c>
      <c r="K1" s="91" t="s">
        <v>9</v>
      </c>
      <c r="L1" s="91" t="s">
        <v>13</v>
      </c>
    </row>
    <row r="2" spans="1:12" ht="16.5" customHeight="1">
      <c r="A2" s="92" t="s">
        <v>45</v>
      </c>
      <c r="B2" s="92" t="s">
        <v>135</v>
      </c>
      <c r="C2" s="92" t="s">
        <v>43</v>
      </c>
      <c r="D2" s="92" t="s">
        <v>44</v>
      </c>
      <c r="E2" s="92">
        <v>4</v>
      </c>
      <c r="F2" s="93" t="s">
        <v>46</v>
      </c>
      <c r="G2" s="90"/>
      <c r="H2" s="94" t="s">
        <v>136</v>
      </c>
      <c r="I2" s="94" t="s">
        <v>19</v>
      </c>
      <c r="J2" s="94" t="s">
        <v>20</v>
      </c>
      <c r="K2" s="94" t="s">
        <v>20</v>
      </c>
      <c r="L2" s="94" t="s">
        <v>23</v>
      </c>
    </row>
    <row r="3" spans="1:12" ht="16.5" customHeight="1">
      <c r="A3" s="92" t="s">
        <v>50</v>
      </c>
      <c r="B3" s="92" t="s">
        <v>135</v>
      </c>
      <c r="C3" s="92" t="s">
        <v>43</v>
      </c>
      <c r="D3" s="92" t="s">
        <v>44</v>
      </c>
      <c r="E3" s="92">
        <v>4</v>
      </c>
      <c r="F3" s="93" t="s">
        <v>46</v>
      </c>
      <c r="G3" s="90"/>
      <c r="H3" s="94" t="s">
        <v>137</v>
      </c>
      <c r="I3" s="94" t="s">
        <v>138</v>
      </c>
      <c r="J3" s="94" t="s">
        <v>139</v>
      </c>
      <c r="K3" s="94" t="s">
        <v>139</v>
      </c>
      <c r="L3" s="94" t="s">
        <v>140</v>
      </c>
    </row>
    <row r="4" spans="1:12" ht="16.5" customHeight="1">
      <c r="A4" s="94" t="s">
        <v>141</v>
      </c>
      <c r="B4" s="94" t="s">
        <v>135</v>
      </c>
      <c r="C4" s="94" t="s">
        <v>43</v>
      </c>
      <c r="D4" s="94" t="s">
        <v>23</v>
      </c>
      <c r="E4" s="94">
        <v>4</v>
      </c>
      <c r="F4" s="95" t="s">
        <v>55</v>
      </c>
      <c r="G4" s="90"/>
      <c r="H4" s="94" t="s">
        <v>142</v>
      </c>
      <c r="I4" s="94" t="s">
        <v>143</v>
      </c>
      <c r="J4" s="94" t="s">
        <v>21</v>
      </c>
      <c r="K4" s="94" t="s">
        <v>21</v>
      </c>
      <c r="L4" s="94" t="s">
        <v>144</v>
      </c>
    </row>
    <row r="5" spans="1:12" ht="16.5" customHeight="1">
      <c r="A5" s="92" t="s">
        <v>54</v>
      </c>
      <c r="B5" s="92" t="s">
        <v>135</v>
      </c>
      <c r="C5" s="92" t="s">
        <v>43</v>
      </c>
      <c r="D5" s="92" t="s">
        <v>23</v>
      </c>
      <c r="E5" s="92">
        <v>4</v>
      </c>
      <c r="F5" s="93" t="s">
        <v>55</v>
      </c>
      <c r="G5" s="90"/>
      <c r="H5" s="94" t="s">
        <v>145</v>
      </c>
      <c r="I5" s="94" t="s">
        <v>146</v>
      </c>
      <c r="J5" s="94" t="s">
        <v>147</v>
      </c>
      <c r="K5" s="94" t="s">
        <v>147</v>
      </c>
      <c r="L5" s="94"/>
    </row>
    <row r="6" spans="1:12" ht="16.5" customHeight="1">
      <c r="A6" s="92" t="s">
        <v>53</v>
      </c>
      <c r="B6" s="92" t="s">
        <v>135</v>
      </c>
      <c r="C6" s="92" t="s">
        <v>43</v>
      </c>
      <c r="D6" s="92" t="s">
        <v>23</v>
      </c>
      <c r="E6" s="92">
        <v>4</v>
      </c>
      <c r="F6" s="93" t="s">
        <v>55</v>
      </c>
      <c r="G6" s="90"/>
      <c r="H6" s="94" t="s">
        <v>148</v>
      </c>
      <c r="I6" s="94" t="s">
        <v>149</v>
      </c>
      <c r="J6" s="94" t="s">
        <v>150</v>
      </c>
      <c r="K6" s="94" t="s">
        <v>150</v>
      </c>
      <c r="L6" s="94"/>
    </row>
    <row r="7" spans="1:12" ht="16.5" customHeight="1">
      <c r="A7" s="94" t="s">
        <v>151</v>
      </c>
      <c r="B7" s="94" t="s">
        <v>135</v>
      </c>
      <c r="C7" s="94" t="s">
        <v>43</v>
      </c>
      <c r="D7" s="94" t="s">
        <v>152</v>
      </c>
      <c r="E7" s="94">
        <v>4</v>
      </c>
      <c r="F7" s="95" t="s">
        <v>55</v>
      </c>
      <c r="G7" s="90"/>
      <c r="H7" s="94" t="s">
        <v>153</v>
      </c>
      <c r="I7" s="94" t="s">
        <v>154</v>
      </c>
      <c r="J7" s="94" t="s">
        <v>155</v>
      </c>
      <c r="K7" s="94" t="s">
        <v>155</v>
      </c>
      <c r="L7" s="90"/>
    </row>
    <row r="8" spans="1:12" ht="16.5" customHeight="1">
      <c r="A8" s="94" t="s">
        <v>156</v>
      </c>
      <c r="B8" s="94" t="s">
        <v>135</v>
      </c>
      <c r="C8" s="94" t="s">
        <v>43</v>
      </c>
      <c r="D8" s="94" t="s">
        <v>152</v>
      </c>
      <c r="E8" s="94">
        <v>4</v>
      </c>
      <c r="F8" s="95" t="s">
        <v>55</v>
      </c>
      <c r="G8" s="90"/>
      <c r="H8" s="94" t="s">
        <v>157</v>
      </c>
      <c r="I8" s="94" t="s">
        <v>158</v>
      </c>
      <c r="J8" s="94" t="s">
        <v>159</v>
      </c>
      <c r="K8" s="94" t="s">
        <v>159</v>
      </c>
      <c r="L8" s="90"/>
    </row>
    <row r="9" spans="1:12" ht="16.5" customHeight="1">
      <c r="A9" s="94" t="s">
        <v>160</v>
      </c>
      <c r="B9" s="94" t="s">
        <v>135</v>
      </c>
      <c r="C9" s="94" t="s">
        <v>43</v>
      </c>
      <c r="D9" s="94" t="s">
        <v>152</v>
      </c>
      <c r="E9" s="94">
        <v>4</v>
      </c>
      <c r="F9" s="95" t="s">
        <v>55</v>
      </c>
      <c r="G9" s="90"/>
      <c r="H9" s="94" t="s">
        <v>161</v>
      </c>
      <c r="I9" s="94" t="s">
        <v>162</v>
      </c>
      <c r="J9" s="94" t="s">
        <v>163</v>
      </c>
      <c r="K9" s="94" t="s">
        <v>163</v>
      </c>
      <c r="L9" s="90"/>
    </row>
    <row r="10" spans="1:12" ht="16.5" customHeight="1">
      <c r="A10" s="94" t="s">
        <v>164</v>
      </c>
      <c r="B10" s="94" t="s">
        <v>135</v>
      </c>
      <c r="C10" s="94" t="s">
        <v>43</v>
      </c>
      <c r="D10" s="94" t="s">
        <v>165</v>
      </c>
      <c r="E10" s="94">
        <v>4</v>
      </c>
      <c r="F10" s="95" t="s">
        <v>55</v>
      </c>
      <c r="G10" s="90"/>
      <c r="H10" s="94" t="s">
        <v>166</v>
      </c>
      <c r="I10" s="94" t="s">
        <v>167</v>
      </c>
      <c r="J10" s="94" t="s">
        <v>168</v>
      </c>
      <c r="K10" s="94" t="s">
        <v>168</v>
      </c>
      <c r="L10" s="90"/>
    </row>
    <row r="11" spans="1:12" ht="16.5" customHeight="1">
      <c r="A11" s="94" t="s">
        <v>169</v>
      </c>
      <c r="B11" s="94" t="s">
        <v>135</v>
      </c>
      <c r="C11" s="94" t="s">
        <v>43</v>
      </c>
      <c r="D11" s="94" t="s">
        <v>165</v>
      </c>
      <c r="E11" s="94">
        <v>4</v>
      </c>
      <c r="F11" s="95" t="s">
        <v>55</v>
      </c>
      <c r="G11" s="90"/>
      <c r="H11" s="94" t="s">
        <v>170</v>
      </c>
      <c r="I11" s="94" t="s">
        <v>171</v>
      </c>
      <c r="J11" s="94" t="s">
        <v>172</v>
      </c>
      <c r="K11" s="94" t="s">
        <v>172</v>
      </c>
      <c r="L11" s="90"/>
    </row>
    <row r="12" spans="1:12" ht="16.5" customHeight="1">
      <c r="A12" s="94" t="s">
        <v>173</v>
      </c>
      <c r="B12" s="94" t="s">
        <v>135</v>
      </c>
      <c r="C12" s="94" t="s">
        <v>43</v>
      </c>
      <c r="D12" s="94" t="s">
        <v>165</v>
      </c>
      <c r="E12" s="94">
        <v>4</v>
      </c>
      <c r="F12" s="95" t="s">
        <v>55</v>
      </c>
      <c r="G12" s="90"/>
      <c r="H12" s="94" t="s">
        <v>174</v>
      </c>
      <c r="I12" s="94" t="s">
        <v>175</v>
      </c>
      <c r="J12" s="94" t="s">
        <v>176</v>
      </c>
      <c r="K12" s="94" t="s">
        <v>176</v>
      </c>
      <c r="L12" s="90"/>
    </row>
    <row r="13" spans="1:12" ht="16.5" customHeight="1">
      <c r="A13" s="92" t="s">
        <v>58</v>
      </c>
      <c r="B13" s="92" t="s">
        <v>135</v>
      </c>
      <c r="C13" s="92" t="s">
        <v>57</v>
      </c>
      <c r="D13" s="92" t="s">
        <v>44</v>
      </c>
      <c r="E13" s="92">
        <v>4</v>
      </c>
      <c r="F13" s="93" t="s">
        <v>46</v>
      </c>
      <c r="G13" s="90"/>
      <c r="H13" s="94" t="s">
        <v>17</v>
      </c>
      <c r="I13" s="94" t="s">
        <v>177</v>
      </c>
      <c r="J13" s="94" t="s">
        <v>178</v>
      </c>
      <c r="K13" s="94" t="s">
        <v>178</v>
      </c>
      <c r="L13" s="90"/>
    </row>
    <row r="14" spans="1:12" ht="16.5" customHeight="1">
      <c r="A14" s="92" t="s">
        <v>61</v>
      </c>
      <c r="B14" s="92" t="s">
        <v>135</v>
      </c>
      <c r="C14" s="92" t="s">
        <v>57</v>
      </c>
      <c r="D14" s="92" t="s">
        <v>44</v>
      </c>
      <c r="E14" s="92">
        <v>4</v>
      </c>
      <c r="F14" s="93" t="s">
        <v>46</v>
      </c>
      <c r="G14" s="90"/>
      <c r="H14" s="94" t="s">
        <v>179</v>
      </c>
      <c r="I14" s="94" t="s">
        <v>180</v>
      </c>
      <c r="J14" s="94" t="s">
        <v>181</v>
      </c>
      <c r="K14" s="94" t="s">
        <v>181</v>
      </c>
      <c r="L14" s="90"/>
    </row>
    <row r="15" spans="1:12" ht="16.5" customHeight="1">
      <c r="A15" s="92" t="s">
        <v>64</v>
      </c>
      <c r="B15" s="92" t="s">
        <v>135</v>
      </c>
      <c r="C15" s="92" t="s">
        <v>57</v>
      </c>
      <c r="D15" s="92" t="s">
        <v>23</v>
      </c>
      <c r="E15" s="92">
        <v>4</v>
      </c>
      <c r="F15" s="93" t="s">
        <v>55</v>
      </c>
      <c r="G15" s="90"/>
      <c r="H15" s="94" t="s">
        <v>182</v>
      </c>
      <c r="I15" s="94" t="s">
        <v>183</v>
      </c>
      <c r="J15" s="94" t="s">
        <v>184</v>
      </c>
      <c r="K15" s="94" t="s">
        <v>184</v>
      </c>
      <c r="L15" s="90"/>
    </row>
    <row r="16" spans="1:12" ht="16.5" customHeight="1">
      <c r="A16" s="92" t="s">
        <v>185</v>
      </c>
      <c r="B16" s="92" t="s">
        <v>135</v>
      </c>
      <c r="C16" s="92" t="s">
        <v>57</v>
      </c>
      <c r="D16" s="92" t="s">
        <v>23</v>
      </c>
      <c r="E16" s="92">
        <v>4</v>
      </c>
      <c r="F16" s="93" t="s">
        <v>55</v>
      </c>
      <c r="G16" s="90"/>
      <c r="H16" s="94" t="s">
        <v>186</v>
      </c>
      <c r="I16" s="94" t="s">
        <v>187</v>
      </c>
      <c r="J16" s="94" t="s">
        <v>188</v>
      </c>
      <c r="K16" s="94" t="s">
        <v>188</v>
      </c>
      <c r="L16" s="90"/>
    </row>
    <row r="17" spans="1:12" ht="16.5" customHeight="1">
      <c r="A17" s="94" t="s">
        <v>189</v>
      </c>
      <c r="B17" s="94" t="s">
        <v>135</v>
      </c>
      <c r="C17" s="94" t="s">
        <v>57</v>
      </c>
      <c r="D17" s="94" t="s">
        <v>23</v>
      </c>
      <c r="E17" s="94">
        <v>4</v>
      </c>
      <c r="F17" s="95" t="s">
        <v>55</v>
      </c>
      <c r="G17" s="90"/>
      <c r="H17" s="94" t="s">
        <v>190</v>
      </c>
      <c r="I17" s="94" t="s">
        <v>191</v>
      </c>
      <c r="J17" s="94" t="s">
        <v>192</v>
      </c>
      <c r="K17" s="94" t="s">
        <v>192</v>
      </c>
      <c r="L17" s="90"/>
    </row>
    <row r="18" spans="1:12" ht="16.5" customHeight="1">
      <c r="A18" s="94" t="s">
        <v>193</v>
      </c>
      <c r="B18" s="94" t="s">
        <v>135</v>
      </c>
      <c r="C18" s="94" t="s">
        <v>57</v>
      </c>
      <c r="D18" s="94" t="s">
        <v>152</v>
      </c>
      <c r="E18" s="94">
        <v>4</v>
      </c>
      <c r="F18" s="95" t="s">
        <v>55</v>
      </c>
      <c r="G18" s="90"/>
      <c r="H18" s="94" t="s">
        <v>194</v>
      </c>
      <c r="I18" s="94" t="s">
        <v>195</v>
      </c>
      <c r="J18" s="94" t="s">
        <v>196</v>
      </c>
      <c r="K18" s="94" t="s">
        <v>196</v>
      </c>
      <c r="L18" s="90"/>
    </row>
    <row r="19" spans="1:12" ht="16.5" customHeight="1">
      <c r="A19" s="94" t="s">
        <v>197</v>
      </c>
      <c r="B19" s="94" t="s">
        <v>135</v>
      </c>
      <c r="C19" s="94" t="s">
        <v>57</v>
      </c>
      <c r="D19" s="94" t="s">
        <v>152</v>
      </c>
      <c r="E19" s="94">
        <v>4</v>
      </c>
      <c r="F19" s="95" t="s">
        <v>55</v>
      </c>
      <c r="G19" s="90"/>
      <c r="J19" s="94" t="s">
        <v>198</v>
      </c>
      <c r="K19" s="94" t="s">
        <v>198</v>
      </c>
      <c r="L19" s="90"/>
    </row>
    <row r="20" spans="1:12" ht="16.5" customHeight="1">
      <c r="A20" s="94" t="s">
        <v>199</v>
      </c>
      <c r="B20" s="94" t="s">
        <v>135</v>
      </c>
      <c r="C20" s="94" t="s">
        <v>57</v>
      </c>
      <c r="D20" s="94" t="s">
        <v>152</v>
      </c>
      <c r="E20" s="94">
        <v>4</v>
      </c>
      <c r="F20" s="95" t="s">
        <v>55</v>
      </c>
      <c r="G20" s="90"/>
      <c r="J20" s="94" t="s">
        <v>200</v>
      </c>
      <c r="K20" s="94" t="s">
        <v>200</v>
      </c>
      <c r="L20" s="90"/>
    </row>
    <row r="21" spans="1:12" ht="16.5" customHeight="1">
      <c r="A21" s="94" t="s">
        <v>201</v>
      </c>
      <c r="B21" s="94" t="s">
        <v>135</v>
      </c>
      <c r="C21" s="94" t="s">
        <v>57</v>
      </c>
      <c r="D21" s="94" t="s">
        <v>152</v>
      </c>
      <c r="E21" s="94">
        <v>4</v>
      </c>
      <c r="F21" s="95" t="s">
        <v>55</v>
      </c>
      <c r="G21" s="90"/>
      <c r="J21" s="94" t="s">
        <v>202</v>
      </c>
      <c r="K21" s="94" t="s">
        <v>202</v>
      </c>
      <c r="L21" s="90"/>
    </row>
    <row r="22" spans="1:12" ht="16.5" customHeight="1">
      <c r="A22" s="94" t="s">
        <v>203</v>
      </c>
      <c r="B22" s="94" t="s">
        <v>135</v>
      </c>
      <c r="C22" s="94" t="s">
        <v>57</v>
      </c>
      <c r="D22" s="94" t="s">
        <v>152</v>
      </c>
      <c r="E22" s="94">
        <v>4</v>
      </c>
      <c r="F22" s="95" t="s">
        <v>55</v>
      </c>
      <c r="G22" s="90"/>
      <c r="H22" s="94"/>
      <c r="I22" s="94"/>
      <c r="J22" s="94" t="s">
        <v>204</v>
      </c>
      <c r="K22" s="94" t="s">
        <v>204</v>
      </c>
      <c r="L22" s="90"/>
    </row>
    <row r="23" spans="1:12" ht="16.5" customHeight="1">
      <c r="A23" s="94" t="s">
        <v>205</v>
      </c>
      <c r="B23" s="94" t="s">
        <v>135</v>
      </c>
      <c r="C23" s="94" t="s">
        <v>57</v>
      </c>
      <c r="D23" s="94" t="s">
        <v>165</v>
      </c>
      <c r="E23" s="94">
        <v>4</v>
      </c>
      <c r="F23" s="95" t="s">
        <v>55</v>
      </c>
      <c r="G23" s="90"/>
      <c r="H23" s="94"/>
      <c r="I23" s="94"/>
      <c r="J23" s="94" t="s">
        <v>206</v>
      </c>
      <c r="K23" s="94" t="s">
        <v>206</v>
      </c>
      <c r="L23" s="90"/>
    </row>
    <row r="24" spans="1:12" ht="16.5" customHeight="1">
      <c r="A24" s="94" t="s">
        <v>207</v>
      </c>
      <c r="B24" s="94" t="s">
        <v>135</v>
      </c>
      <c r="C24" s="94" t="s">
        <v>57</v>
      </c>
      <c r="D24" s="94" t="s">
        <v>165</v>
      </c>
      <c r="E24" s="94">
        <v>4</v>
      </c>
      <c r="F24" s="95" t="s">
        <v>55</v>
      </c>
      <c r="G24" s="90"/>
      <c r="H24" s="94"/>
      <c r="I24" s="94"/>
      <c r="J24" s="94" t="s">
        <v>208</v>
      </c>
      <c r="K24" s="94" t="s">
        <v>208</v>
      </c>
      <c r="L24" s="90"/>
    </row>
    <row r="25" spans="1:12" ht="16.5" customHeight="1">
      <c r="A25" s="94" t="s">
        <v>209</v>
      </c>
      <c r="B25" s="94" t="s">
        <v>135</v>
      </c>
      <c r="C25" s="94" t="s">
        <v>57</v>
      </c>
      <c r="D25" s="94" t="s">
        <v>165</v>
      </c>
      <c r="E25" s="94">
        <v>4</v>
      </c>
      <c r="F25" s="95" t="s">
        <v>55</v>
      </c>
      <c r="G25" s="90"/>
      <c r="H25" s="94"/>
      <c r="I25" s="94"/>
      <c r="J25" s="94" t="s">
        <v>210</v>
      </c>
      <c r="K25" s="94" t="s">
        <v>210</v>
      </c>
      <c r="L25" s="90"/>
    </row>
    <row r="26" spans="1:12" ht="16.5" customHeight="1">
      <c r="A26" s="92" t="s">
        <v>68</v>
      </c>
      <c r="B26" s="92" t="s">
        <v>135</v>
      </c>
      <c r="C26" s="92" t="s">
        <v>67</v>
      </c>
      <c r="D26" s="92" t="s">
        <v>44</v>
      </c>
      <c r="E26" s="92">
        <v>4</v>
      </c>
      <c r="F26" s="93" t="s">
        <v>46</v>
      </c>
      <c r="G26" s="90"/>
      <c r="H26" s="90"/>
      <c r="I26" s="94"/>
      <c r="J26" s="94" t="s">
        <v>211</v>
      </c>
      <c r="K26" s="94" t="s">
        <v>211</v>
      </c>
      <c r="L26" s="90"/>
    </row>
    <row r="27" spans="1:12" ht="16.5" customHeight="1">
      <c r="A27" s="92" t="s">
        <v>69</v>
      </c>
      <c r="B27" s="92" t="s">
        <v>135</v>
      </c>
      <c r="C27" s="92" t="s">
        <v>67</v>
      </c>
      <c r="D27" s="92" t="s">
        <v>23</v>
      </c>
      <c r="E27" s="92">
        <v>4</v>
      </c>
      <c r="F27" s="93" t="s">
        <v>55</v>
      </c>
      <c r="G27" s="90"/>
      <c r="H27" s="90"/>
      <c r="I27" s="90"/>
      <c r="J27" s="94" t="s">
        <v>212</v>
      </c>
      <c r="K27" s="94" t="s">
        <v>212</v>
      </c>
      <c r="L27" s="90"/>
    </row>
    <row r="28" spans="1:12" ht="16.5" customHeight="1">
      <c r="A28" s="92" t="s">
        <v>213</v>
      </c>
      <c r="B28" s="92" t="s">
        <v>135</v>
      </c>
      <c r="C28" s="92" t="s">
        <v>67</v>
      </c>
      <c r="D28" s="92" t="s">
        <v>23</v>
      </c>
      <c r="E28" s="92">
        <v>4</v>
      </c>
      <c r="F28" s="93" t="s">
        <v>55</v>
      </c>
      <c r="G28" s="90"/>
      <c r="H28" s="90"/>
      <c r="I28" s="90"/>
      <c r="J28" s="94" t="s">
        <v>214</v>
      </c>
      <c r="K28" s="94" t="s">
        <v>214</v>
      </c>
      <c r="L28" s="90"/>
    </row>
    <row r="29" spans="1:12" ht="16.5" customHeight="1">
      <c r="A29" s="94" t="s">
        <v>215</v>
      </c>
      <c r="B29" s="94" t="s">
        <v>135</v>
      </c>
      <c r="C29" s="94" t="s">
        <v>67</v>
      </c>
      <c r="D29" s="94" t="s">
        <v>23</v>
      </c>
      <c r="E29" s="94">
        <v>4</v>
      </c>
      <c r="F29" s="95" t="s">
        <v>55</v>
      </c>
      <c r="G29" s="90"/>
      <c r="H29" s="90"/>
      <c r="I29" s="90"/>
      <c r="J29" s="94" t="s">
        <v>216</v>
      </c>
      <c r="K29" s="94" t="s">
        <v>216</v>
      </c>
      <c r="L29" s="90"/>
    </row>
    <row r="30" spans="1:12" ht="16.5" customHeight="1">
      <c r="A30" s="92" t="s">
        <v>217</v>
      </c>
      <c r="B30" s="92" t="s">
        <v>135</v>
      </c>
      <c r="C30" s="92" t="s">
        <v>67</v>
      </c>
      <c r="D30" s="92" t="s">
        <v>23</v>
      </c>
      <c r="E30" s="92">
        <v>4</v>
      </c>
      <c r="F30" s="93" t="s">
        <v>55</v>
      </c>
      <c r="G30" s="90"/>
      <c r="H30" s="90"/>
      <c r="I30" s="90"/>
      <c r="J30" s="94" t="s">
        <v>218</v>
      </c>
      <c r="K30" s="94" t="s">
        <v>218</v>
      </c>
      <c r="L30" s="90"/>
    </row>
    <row r="31" spans="1:12" ht="16.5" customHeight="1">
      <c r="A31" s="94" t="s">
        <v>219</v>
      </c>
      <c r="B31" s="94" t="s">
        <v>135</v>
      </c>
      <c r="C31" s="94" t="s">
        <v>67</v>
      </c>
      <c r="D31" s="94" t="s">
        <v>152</v>
      </c>
      <c r="E31" s="94">
        <v>4</v>
      </c>
      <c r="F31" s="95" t="s">
        <v>55</v>
      </c>
      <c r="G31" s="90"/>
      <c r="H31" s="90"/>
      <c r="I31" s="90"/>
      <c r="J31" s="94" t="s">
        <v>220</v>
      </c>
      <c r="K31" s="94" t="s">
        <v>220</v>
      </c>
      <c r="L31" s="90"/>
    </row>
    <row r="32" spans="1:12" ht="16.5" customHeight="1">
      <c r="A32" s="94" t="s">
        <v>221</v>
      </c>
      <c r="B32" s="94" t="s">
        <v>135</v>
      </c>
      <c r="C32" s="94" t="s">
        <v>67</v>
      </c>
      <c r="D32" s="94" t="s">
        <v>152</v>
      </c>
      <c r="E32" s="94">
        <v>4</v>
      </c>
      <c r="F32" s="95" t="s">
        <v>55</v>
      </c>
      <c r="G32" s="90"/>
      <c r="H32" s="90"/>
      <c r="I32" s="90"/>
      <c r="J32" s="94" t="s">
        <v>222</v>
      </c>
      <c r="K32" s="94" t="s">
        <v>222</v>
      </c>
      <c r="L32" s="90"/>
    </row>
    <row r="33" spans="1:12" ht="16.5" customHeight="1">
      <c r="A33" s="94" t="s">
        <v>223</v>
      </c>
      <c r="B33" s="94" t="s">
        <v>135</v>
      </c>
      <c r="C33" s="94" t="s">
        <v>67</v>
      </c>
      <c r="D33" s="94" t="s">
        <v>152</v>
      </c>
      <c r="E33" s="94">
        <v>4</v>
      </c>
      <c r="F33" s="95" t="s">
        <v>55</v>
      </c>
      <c r="G33" s="90"/>
      <c r="H33" s="90"/>
      <c r="I33" s="90"/>
      <c r="J33" s="94" t="s">
        <v>224</v>
      </c>
      <c r="K33" s="94" t="s">
        <v>224</v>
      </c>
      <c r="L33" s="90"/>
    </row>
    <row r="34" spans="1:12" ht="16.5" customHeight="1">
      <c r="A34" s="94" t="s">
        <v>225</v>
      </c>
      <c r="B34" s="94" t="s">
        <v>135</v>
      </c>
      <c r="C34" s="94" t="s">
        <v>67</v>
      </c>
      <c r="D34" s="94" t="s">
        <v>152</v>
      </c>
      <c r="E34" s="94">
        <v>4</v>
      </c>
      <c r="F34" s="95" t="s">
        <v>55</v>
      </c>
      <c r="G34" s="90"/>
      <c r="H34" s="90"/>
      <c r="I34" s="90"/>
      <c r="J34" s="94" t="s">
        <v>226</v>
      </c>
      <c r="K34" s="94" t="s">
        <v>226</v>
      </c>
      <c r="L34" s="90"/>
    </row>
    <row r="35" spans="1:12" ht="16.5" customHeight="1">
      <c r="A35" s="94" t="s">
        <v>227</v>
      </c>
      <c r="B35" s="94" t="s">
        <v>135</v>
      </c>
      <c r="C35" s="94" t="s">
        <v>67</v>
      </c>
      <c r="D35" s="94" t="s">
        <v>152</v>
      </c>
      <c r="E35" s="94">
        <v>4</v>
      </c>
      <c r="F35" s="95" t="s">
        <v>55</v>
      </c>
      <c r="G35" s="90"/>
      <c r="H35" s="90"/>
      <c r="I35" s="90"/>
      <c r="J35" s="94" t="s">
        <v>228</v>
      </c>
      <c r="K35" s="94" t="s">
        <v>228</v>
      </c>
      <c r="L35" s="90"/>
    </row>
    <row r="36" spans="1:12" ht="16.5" customHeight="1">
      <c r="A36" s="94" t="s">
        <v>229</v>
      </c>
      <c r="B36" s="94" t="s">
        <v>135</v>
      </c>
      <c r="C36" s="94" t="s">
        <v>67</v>
      </c>
      <c r="D36" s="94" t="s">
        <v>165</v>
      </c>
      <c r="E36" s="94">
        <v>4</v>
      </c>
      <c r="F36" s="95" t="s">
        <v>55</v>
      </c>
      <c r="G36" s="90"/>
      <c r="H36" s="90"/>
      <c r="I36" s="90"/>
      <c r="J36" s="94" t="s">
        <v>230</v>
      </c>
      <c r="K36" s="94" t="s">
        <v>230</v>
      </c>
      <c r="L36" s="90"/>
    </row>
    <row r="37" spans="1:12" ht="16.5" customHeight="1">
      <c r="A37" s="94" t="s">
        <v>231</v>
      </c>
      <c r="B37" s="94" t="s">
        <v>135</v>
      </c>
      <c r="C37" s="94" t="s">
        <v>67</v>
      </c>
      <c r="D37" s="94" t="s">
        <v>165</v>
      </c>
      <c r="E37" s="94">
        <v>4</v>
      </c>
      <c r="F37" s="95" t="s">
        <v>55</v>
      </c>
      <c r="G37" s="90"/>
      <c r="H37" s="90"/>
      <c r="I37" s="90"/>
      <c r="J37" s="94" t="s">
        <v>232</v>
      </c>
      <c r="K37" s="94" t="s">
        <v>232</v>
      </c>
      <c r="L37" s="90"/>
    </row>
    <row r="38" spans="1:12" ht="16.5" customHeight="1">
      <c r="A38" s="94" t="s">
        <v>233</v>
      </c>
      <c r="B38" s="94" t="s">
        <v>135</v>
      </c>
      <c r="C38" s="94" t="s">
        <v>67</v>
      </c>
      <c r="D38" s="94" t="s">
        <v>165</v>
      </c>
      <c r="E38" s="94">
        <v>4</v>
      </c>
      <c r="F38" s="95" t="s">
        <v>55</v>
      </c>
      <c r="G38" s="90"/>
      <c r="H38" s="90"/>
      <c r="I38" s="90"/>
      <c r="J38" s="94" t="s">
        <v>234</v>
      </c>
      <c r="K38" s="94" t="s">
        <v>234</v>
      </c>
      <c r="L38" s="90"/>
    </row>
    <row r="39" spans="1:12" ht="16.5" customHeight="1">
      <c r="A39" s="92" t="s">
        <v>72</v>
      </c>
      <c r="B39" s="92" t="s">
        <v>135</v>
      </c>
      <c r="C39" s="92" t="s">
        <v>235</v>
      </c>
      <c r="D39" s="92" t="s">
        <v>44</v>
      </c>
      <c r="E39" s="92">
        <v>3</v>
      </c>
      <c r="F39" s="93" t="s">
        <v>236</v>
      </c>
      <c r="G39" s="90"/>
      <c r="H39" s="90"/>
      <c r="I39" s="90"/>
      <c r="J39" s="94" t="s">
        <v>237</v>
      </c>
      <c r="K39" s="94" t="s">
        <v>237</v>
      </c>
      <c r="L39" s="90"/>
    </row>
    <row r="40" spans="1:12" ht="16.5" customHeight="1">
      <c r="A40" s="92" t="s">
        <v>74</v>
      </c>
      <c r="B40" s="92" t="s">
        <v>135</v>
      </c>
      <c r="C40" s="92" t="s">
        <v>235</v>
      </c>
      <c r="D40" s="92" t="s">
        <v>44</v>
      </c>
      <c r="E40" s="92">
        <v>3</v>
      </c>
      <c r="F40" s="93" t="s">
        <v>236</v>
      </c>
      <c r="G40" s="90"/>
      <c r="H40" s="90"/>
      <c r="I40" s="90"/>
      <c r="J40" s="94" t="s">
        <v>238</v>
      </c>
      <c r="K40" s="94" t="s">
        <v>238</v>
      </c>
      <c r="L40" s="90"/>
    </row>
    <row r="41" spans="1:12" ht="17.25" customHeight="1">
      <c r="A41" s="92" t="s">
        <v>75</v>
      </c>
      <c r="B41" s="92" t="s">
        <v>135</v>
      </c>
      <c r="C41" s="92" t="s">
        <v>239</v>
      </c>
      <c r="D41" s="92" t="s">
        <v>44</v>
      </c>
      <c r="E41" s="92">
        <v>4</v>
      </c>
      <c r="F41" s="93" t="s">
        <v>46</v>
      </c>
      <c r="G41" s="90"/>
      <c r="H41" s="90"/>
      <c r="I41" s="90"/>
      <c r="J41" s="94" t="s">
        <v>240</v>
      </c>
      <c r="K41" s="94" t="s">
        <v>240</v>
      </c>
      <c r="L41" s="90"/>
    </row>
    <row r="42" spans="1:12" ht="17.25" customHeight="1">
      <c r="A42" s="92" t="s">
        <v>76</v>
      </c>
      <c r="B42" s="92" t="s">
        <v>135</v>
      </c>
      <c r="C42" s="92" t="s">
        <v>239</v>
      </c>
      <c r="D42" s="92" t="s">
        <v>44</v>
      </c>
      <c r="E42" s="92">
        <v>4</v>
      </c>
      <c r="F42" s="93" t="s">
        <v>46</v>
      </c>
      <c r="G42" s="90"/>
      <c r="H42" s="90"/>
      <c r="I42" s="90"/>
      <c r="J42" s="94" t="s">
        <v>241</v>
      </c>
      <c r="K42" s="94" t="s">
        <v>241</v>
      </c>
      <c r="L42" s="90"/>
    </row>
    <row r="43" spans="1:12" ht="17.25" customHeight="1">
      <c r="A43" s="94" t="s">
        <v>242</v>
      </c>
      <c r="B43" s="94" t="s">
        <v>135</v>
      </c>
      <c r="C43" s="94" t="s">
        <v>239</v>
      </c>
      <c r="D43" s="94" t="s">
        <v>23</v>
      </c>
      <c r="E43" s="94">
        <v>4</v>
      </c>
      <c r="F43" s="95" t="s">
        <v>55</v>
      </c>
      <c r="G43" s="90"/>
      <c r="H43" s="90"/>
      <c r="I43" s="90"/>
      <c r="J43" s="94" t="s">
        <v>243</v>
      </c>
      <c r="K43" s="94" t="s">
        <v>243</v>
      </c>
      <c r="L43" s="90"/>
    </row>
    <row r="44" spans="1:12" ht="17.25" customHeight="1">
      <c r="A44" s="94" t="s">
        <v>244</v>
      </c>
      <c r="B44" s="94" t="s">
        <v>135</v>
      </c>
      <c r="C44" s="94" t="s">
        <v>239</v>
      </c>
      <c r="D44" s="94" t="s">
        <v>23</v>
      </c>
      <c r="E44" s="94">
        <v>4</v>
      </c>
      <c r="F44" s="95" t="s">
        <v>55</v>
      </c>
      <c r="G44" s="90"/>
      <c r="H44" s="90"/>
      <c r="I44" s="90"/>
      <c r="J44" s="94" t="s">
        <v>245</v>
      </c>
      <c r="K44" s="94" t="s">
        <v>245</v>
      </c>
      <c r="L44" s="90"/>
    </row>
    <row r="45" spans="1:12" ht="17.25" customHeight="1">
      <c r="A45" s="94" t="s">
        <v>246</v>
      </c>
      <c r="B45" s="94" t="s">
        <v>135</v>
      </c>
      <c r="C45" s="94" t="s">
        <v>239</v>
      </c>
      <c r="D45" s="94" t="s">
        <v>23</v>
      </c>
      <c r="E45" s="94">
        <v>4</v>
      </c>
      <c r="F45" s="95" t="s">
        <v>55</v>
      </c>
      <c r="G45" s="90"/>
      <c r="H45" s="90"/>
      <c r="I45" s="90"/>
      <c r="J45" s="94" t="s">
        <v>247</v>
      </c>
      <c r="K45" s="94" t="s">
        <v>247</v>
      </c>
      <c r="L45" s="90"/>
    </row>
    <row r="46" spans="1:12" ht="17.25" customHeight="1">
      <c r="A46" s="94" t="s">
        <v>248</v>
      </c>
      <c r="B46" s="94" t="s">
        <v>135</v>
      </c>
      <c r="C46" s="94" t="s">
        <v>239</v>
      </c>
      <c r="D46" s="94" t="s">
        <v>23</v>
      </c>
      <c r="E46" s="94">
        <v>4</v>
      </c>
      <c r="F46" s="95" t="s">
        <v>55</v>
      </c>
      <c r="G46" s="90"/>
      <c r="H46" s="90"/>
      <c r="I46" s="90"/>
      <c r="J46" s="94" t="s">
        <v>249</v>
      </c>
      <c r="K46" s="94" t="s">
        <v>249</v>
      </c>
      <c r="L46" s="90"/>
    </row>
    <row r="47" spans="1:12" ht="16.5" customHeight="1">
      <c r="A47" s="94" t="s">
        <v>250</v>
      </c>
      <c r="B47" s="94" t="s">
        <v>135</v>
      </c>
      <c r="C47" s="94" t="s">
        <v>239</v>
      </c>
      <c r="D47" s="94" t="s">
        <v>152</v>
      </c>
      <c r="E47" s="94">
        <v>4</v>
      </c>
      <c r="F47" s="95" t="s">
        <v>55</v>
      </c>
      <c r="G47" s="90"/>
      <c r="H47" s="90"/>
      <c r="I47" s="90"/>
      <c r="J47" s="94" t="s">
        <v>251</v>
      </c>
      <c r="K47" s="94" t="s">
        <v>251</v>
      </c>
      <c r="L47" s="90"/>
    </row>
    <row r="48" spans="1:12" ht="16.5" customHeight="1">
      <c r="A48" s="94" t="s">
        <v>252</v>
      </c>
      <c r="B48" s="94" t="s">
        <v>135</v>
      </c>
      <c r="C48" s="94" t="s">
        <v>239</v>
      </c>
      <c r="D48" s="94" t="s">
        <v>152</v>
      </c>
      <c r="E48" s="94">
        <v>4</v>
      </c>
      <c r="F48" s="95" t="s">
        <v>55</v>
      </c>
      <c r="G48" s="90"/>
      <c r="H48" s="90"/>
      <c r="I48" s="90"/>
      <c r="J48" s="94" t="s">
        <v>253</v>
      </c>
      <c r="K48" s="94" t="s">
        <v>253</v>
      </c>
      <c r="L48" s="90"/>
    </row>
    <row r="49" spans="1:12" ht="16.5" customHeight="1">
      <c r="A49" s="94" t="s">
        <v>254</v>
      </c>
      <c r="B49" s="94" t="s">
        <v>135</v>
      </c>
      <c r="C49" s="94" t="s">
        <v>239</v>
      </c>
      <c r="D49" s="94" t="s">
        <v>152</v>
      </c>
      <c r="E49" s="94">
        <v>4</v>
      </c>
      <c r="F49" s="95" t="s">
        <v>55</v>
      </c>
      <c r="G49" s="90"/>
      <c r="H49" s="90"/>
      <c r="I49" s="90"/>
      <c r="J49" s="90" t="s">
        <v>255</v>
      </c>
      <c r="K49" s="90" t="s">
        <v>255</v>
      </c>
      <c r="L49" s="90"/>
    </row>
    <row r="50" spans="1:12" ht="16.5" customHeight="1">
      <c r="A50" s="94" t="s">
        <v>256</v>
      </c>
      <c r="B50" s="94" t="s">
        <v>135</v>
      </c>
      <c r="C50" s="94" t="s">
        <v>239</v>
      </c>
      <c r="D50" s="94" t="s">
        <v>152</v>
      </c>
      <c r="E50" s="94">
        <v>4</v>
      </c>
      <c r="F50" s="95" t="s">
        <v>55</v>
      </c>
      <c r="G50" s="90"/>
      <c r="H50" s="90"/>
      <c r="I50" s="90"/>
      <c r="J50" s="90" t="s">
        <v>257</v>
      </c>
      <c r="K50" s="90" t="s">
        <v>257</v>
      </c>
      <c r="L50" s="90"/>
    </row>
    <row r="51" spans="1:12" ht="16.5" customHeight="1">
      <c r="A51" s="94" t="s">
        <v>258</v>
      </c>
      <c r="B51" s="94" t="s">
        <v>135</v>
      </c>
      <c r="C51" s="94" t="s">
        <v>239</v>
      </c>
      <c r="D51" s="94" t="s">
        <v>152</v>
      </c>
      <c r="E51" s="94">
        <v>4</v>
      </c>
      <c r="F51" s="95" t="s">
        <v>55</v>
      </c>
      <c r="G51" s="90"/>
      <c r="H51" s="90"/>
      <c r="I51" s="90"/>
      <c r="J51" s="90" t="s">
        <v>259</v>
      </c>
      <c r="K51" s="90" t="s">
        <v>259</v>
      </c>
      <c r="L51" s="90"/>
    </row>
    <row r="52" spans="1:12" ht="16.5" customHeight="1">
      <c r="A52" s="94" t="s">
        <v>260</v>
      </c>
      <c r="B52" s="94" t="s">
        <v>135</v>
      </c>
      <c r="C52" s="94" t="s">
        <v>239</v>
      </c>
      <c r="D52" s="94" t="s">
        <v>152</v>
      </c>
      <c r="E52" s="94">
        <v>4</v>
      </c>
      <c r="F52" s="95" t="s">
        <v>55</v>
      </c>
      <c r="G52" s="90"/>
      <c r="H52" s="90"/>
      <c r="I52" s="90"/>
      <c r="J52" s="90" t="s">
        <v>261</v>
      </c>
      <c r="K52" s="90" t="s">
        <v>261</v>
      </c>
      <c r="L52" s="90"/>
    </row>
    <row r="53" spans="1:12" ht="16.5" customHeight="1">
      <c r="A53" s="94" t="s">
        <v>262</v>
      </c>
      <c r="B53" s="94" t="s">
        <v>135</v>
      </c>
      <c r="C53" s="94" t="s">
        <v>239</v>
      </c>
      <c r="D53" s="94" t="s">
        <v>152</v>
      </c>
      <c r="E53" s="94">
        <v>4</v>
      </c>
      <c r="F53" s="95" t="s">
        <v>55</v>
      </c>
      <c r="G53" s="90"/>
      <c r="H53" s="90"/>
      <c r="I53" s="90"/>
      <c r="J53" s="90" t="s">
        <v>263</v>
      </c>
      <c r="K53" s="90" t="s">
        <v>263</v>
      </c>
      <c r="L53" s="90"/>
    </row>
    <row r="54" spans="1:12" ht="16.5" customHeight="1">
      <c r="A54" s="94" t="s">
        <v>264</v>
      </c>
      <c r="B54" s="94" t="s">
        <v>135</v>
      </c>
      <c r="C54" s="94" t="s">
        <v>239</v>
      </c>
      <c r="D54" s="94" t="s">
        <v>152</v>
      </c>
      <c r="E54" s="94">
        <v>4</v>
      </c>
      <c r="F54" s="95" t="s">
        <v>55</v>
      </c>
      <c r="G54" s="90"/>
      <c r="H54" s="90"/>
      <c r="I54" s="90"/>
      <c r="J54" s="90" t="s">
        <v>265</v>
      </c>
      <c r="K54" s="90" t="s">
        <v>265</v>
      </c>
      <c r="L54" s="90"/>
    </row>
    <row r="55" spans="1:12" ht="16.5" customHeight="1">
      <c r="A55" s="94" t="s">
        <v>266</v>
      </c>
      <c r="B55" s="94" t="s">
        <v>135</v>
      </c>
      <c r="C55" s="94" t="s">
        <v>239</v>
      </c>
      <c r="D55" s="94" t="s">
        <v>152</v>
      </c>
      <c r="E55" s="94">
        <v>4</v>
      </c>
      <c r="F55" s="95" t="s">
        <v>55</v>
      </c>
      <c r="G55" s="90"/>
      <c r="H55" s="90"/>
      <c r="I55" s="90"/>
      <c r="J55" s="90" t="s">
        <v>267</v>
      </c>
      <c r="K55" s="90" t="s">
        <v>267</v>
      </c>
      <c r="L55" s="90"/>
    </row>
    <row r="56" spans="1:12" ht="16.5" customHeight="1">
      <c r="A56" s="94" t="s">
        <v>268</v>
      </c>
      <c r="B56" s="94" t="s">
        <v>135</v>
      </c>
      <c r="C56" s="94" t="s">
        <v>239</v>
      </c>
      <c r="D56" s="94" t="s">
        <v>165</v>
      </c>
      <c r="E56" s="94">
        <v>4</v>
      </c>
      <c r="F56" s="95" t="s">
        <v>55</v>
      </c>
      <c r="G56" s="90"/>
      <c r="H56" s="90"/>
      <c r="I56" s="90"/>
      <c r="J56" s="90" t="s">
        <v>269</v>
      </c>
      <c r="K56" s="90" t="s">
        <v>269</v>
      </c>
      <c r="L56" s="90"/>
    </row>
    <row r="57" spans="1:12" ht="16.5" customHeight="1">
      <c r="A57" s="94" t="s">
        <v>270</v>
      </c>
      <c r="B57" s="94" t="s">
        <v>135</v>
      </c>
      <c r="C57" s="94" t="s">
        <v>239</v>
      </c>
      <c r="D57" s="94" t="s">
        <v>165</v>
      </c>
      <c r="E57" s="94">
        <v>4</v>
      </c>
      <c r="F57" s="95" t="s">
        <v>55</v>
      </c>
      <c r="G57" s="90"/>
      <c r="H57" s="90"/>
      <c r="I57" s="90"/>
      <c r="J57" s="90" t="s">
        <v>271</v>
      </c>
      <c r="K57" s="90" t="s">
        <v>271</v>
      </c>
      <c r="L57" s="90"/>
    </row>
    <row r="58" spans="1:12" ht="16.5" customHeight="1">
      <c r="A58" s="94" t="s">
        <v>272</v>
      </c>
      <c r="B58" s="94" t="s">
        <v>135</v>
      </c>
      <c r="C58" s="94" t="s">
        <v>239</v>
      </c>
      <c r="D58" s="94" t="s">
        <v>165</v>
      </c>
      <c r="E58" s="94">
        <v>4</v>
      </c>
      <c r="F58" s="95" t="s">
        <v>55</v>
      </c>
      <c r="G58" s="90"/>
      <c r="H58" s="90"/>
      <c r="I58" s="90"/>
      <c r="J58" s="90" t="s">
        <v>273</v>
      </c>
      <c r="K58" s="90" t="s">
        <v>273</v>
      </c>
      <c r="L58" s="90"/>
    </row>
    <row r="59" spans="1:12" ht="16.5" customHeight="1">
      <c r="A59" s="94" t="s">
        <v>274</v>
      </c>
      <c r="B59" s="94" t="s">
        <v>135</v>
      </c>
      <c r="C59" s="94" t="s">
        <v>239</v>
      </c>
      <c r="D59" s="94" t="s">
        <v>165</v>
      </c>
      <c r="E59" s="94">
        <v>4</v>
      </c>
      <c r="F59" s="95" t="s">
        <v>55</v>
      </c>
      <c r="G59" s="90"/>
      <c r="H59" s="90"/>
      <c r="I59" s="90"/>
      <c r="J59" s="90" t="s">
        <v>275</v>
      </c>
      <c r="K59" s="90" t="s">
        <v>275</v>
      </c>
      <c r="L59" s="90"/>
    </row>
    <row r="60" spans="1:12" ht="16.5" customHeight="1">
      <c r="A60" s="94" t="s">
        <v>276</v>
      </c>
      <c r="B60" s="94" t="s">
        <v>135</v>
      </c>
      <c r="C60" s="94" t="s">
        <v>239</v>
      </c>
      <c r="D60" s="94" t="s">
        <v>165</v>
      </c>
      <c r="E60" s="94">
        <v>4</v>
      </c>
      <c r="F60" s="95" t="s">
        <v>55</v>
      </c>
      <c r="G60" s="90"/>
      <c r="H60" s="90"/>
      <c r="I60" s="90"/>
      <c r="J60" s="94"/>
      <c r="K60" s="94"/>
      <c r="L60" s="90"/>
    </row>
    <row r="61" spans="1:12" ht="16.5" customHeight="1">
      <c r="A61" s="94" t="s">
        <v>277</v>
      </c>
      <c r="B61" s="94" t="s">
        <v>135</v>
      </c>
      <c r="C61" s="94" t="s">
        <v>239</v>
      </c>
      <c r="D61" s="94" t="s">
        <v>165</v>
      </c>
      <c r="E61" s="94">
        <v>4</v>
      </c>
      <c r="F61" s="95" t="s">
        <v>55</v>
      </c>
      <c r="G61" s="90"/>
      <c r="H61" s="90"/>
      <c r="I61" s="90"/>
      <c r="J61" s="94"/>
      <c r="K61" s="94"/>
      <c r="L61" s="90"/>
    </row>
    <row r="62" spans="1:12" ht="16.5" customHeight="1">
      <c r="A62" s="92" t="s">
        <v>78</v>
      </c>
      <c r="B62" s="92" t="s">
        <v>135</v>
      </c>
      <c r="C62" s="92" t="s">
        <v>77</v>
      </c>
      <c r="D62" s="92" t="s">
        <v>44</v>
      </c>
      <c r="E62" s="92">
        <v>4</v>
      </c>
      <c r="F62" s="93" t="s">
        <v>46</v>
      </c>
      <c r="G62" s="90"/>
      <c r="H62" s="90"/>
      <c r="I62" s="90"/>
      <c r="L62" s="90"/>
    </row>
    <row r="63" spans="1:12" ht="16.5" customHeight="1">
      <c r="A63" s="92" t="s">
        <v>79</v>
      </c>
      <c r="B63" s="92" t="s">
        <v>135</v>
      </c>
      <c r="C63" s="92" t="s">
        <v>77</v>
      </c>
      <c r="D63" s="92" t="s">
        <v>44</v>
      </c>
      <c r="E63" s="92">
        <v>4</v>
      </c>
      <c r="F63" s="93" t="s">
        <v>46</v>
      </c>
      <c r="G63" s="90"/>
      <c r="H63" s="90"/>
      <c r="I63" s="90"/>
      <c r="J63" s="94"/>
      <c r="K63" s="94"/>
      <c r="L63" s="90"/>
    </row>
    <row r="64" spans="1:12" ht="16.5" customHeight="1">
      <c r="A64" s="94" t="s">
        <v>278</v>
      </c>
      <c r="B64" s="94" t="s">
        <v>135</v>
      </c>
      <c r="C64" s="94" t="s">
        <v>77</v>
      </c>
      <c r="D64" s="94" t="s">
        <v>44</v>
      </c>
      <c r="E64" s="94">
        <v>4</v>
      </c>
      <c r="F64" s="95" t="s">
        <v>46</v>
      </c>
      <c r="G64" s="90"/>
      <c r="H64" s="90"/>
      <c r="I64" s="90"/>
      <c r="L64" s="90"/>
    </row>
    <row r="65" spans="1:12" ht="16.5" customHeight="1">
      <c r="A65" s="94" t="s">
        <v>279</v>
      </c>
      <c r="B65" s="94" t="s">
        <v>135</v>
      </c>
      <c r="C65" s="94" t="s">
        <v>77</v>
      </c>
      <c r="D65" s="94" t="s">
        <v>44</v>
      </c>
      <c r="E65" s="94">
        <v>4</v>
      </c>
      <c r="F65" s="95" t="s">
        <v>46</v>
      </c>
      <c r="G65" s="90"/>
      <c r="H65" s="90"/>
      <c r="I65" s="90"/>
      <c r="J65" s="94"/>
      <c r="K65" s="94"/>
      <c r="L65" s="90"/>
    </row>
    <row r="66" spans="1:12" ht="16.5" customHeight="1">
      <c r="A66" s="94" t="s">
        <v>280</v>
      </c>
      <c r="B66" s="94" t="s">
        <v>135</v>
      </c>
      <c r="C66" s="94" t="s">
        <v>77</v>
      </c>
      <c r="D66" s="94" t="s">
        <v>23</v>
      </c>
      <c r="E66" s="94">
        <v>4</v>
      </c>
      <c r="F66" s="95" t="s">
        <v>55</v>
      </c>
      <c r="G66" s="90"/>
      <c r="H66" s="90"/>
      <c r="I66" s="90"/>
      <c r="J66" s="94"/>
      <c r="K66" s="94"/>
      <c r="L66" s="90"/>
    </row>
    <row r="67" spans="1:12" ht="16.5" customHeight="1">
      <c r="A67" s="94" t="s">
        <v>281</v>
      </c>
      <c r="B67" s="94" t="s">
        <v>135</v>
      </c>
      <c r="C67" s="94" t="s">
        <v>77</v>
      </c>
      <c r="D67" s="94" t="s">
        <v>23</v>
      </c>
      <c r="E67" s="94">
        <v>4</v>
      </c>
      <c r="F67" s="95" t="s">
        <v>55</v>
      </c>
      <c r="G67" s="90"/>
      <c r="H67" s="90"/>
      <c r="I67" s="90"/>
      <c r="J67" s="94"/>
      <c r="K67" s="94"/>
      <c r="L67" s="90"/>
    </row>
    <row r="68" spans="1:12" ht="16.5" customHeight="1">
      <c r="A68" s="94" t="s">
        <v>282</v>
      </c>
      <c r="B68" s="94" t="s">
        <v>135</v>
      </c>
      <c r="C68" s="94" t="s">
        <v>77</v>
      </c>
      <c r="D68" s="94" t="s">
        <v>23</v>
      </c>
      <c r="E68" s="94">
        <v>4</v>
      </c>
      <c r="F68" s="95" t="s">
        <v>55</v>
      </c>
      <c r="G68" s="90"/>
      <c r="H68" s="90"/>
      <c r="I68" s="90"/>
      <c r="J68" s="94"/>
      <c r="K68" s="94"/>
      <c r="L68" s="90"/>
    </row>
    <row r="69" spans="1:12" ht="16.5" customHeight="1">
      <c r="A69" s="94" t="s">
        <v>283</v>
      </c>
      <c r="B69" s="94" t="s">
        <v>135</v>
      </c>
      <c r="C69" s="94" t="s">
        <v>77</v>
      </c>
      <c r="D69" s="94" t="s">
        <v>23</v>
      </c>
      <c r="E69" s="94">
        <v>4</v>
      </c>
      <c r="F69" s="95" t="s">
        <v>55</v>
      </c>
      <c r="G69" s="90"/>
      <c r="H69" s="90"/>
      <c r="I69" s="90"/>
      <c r="L69" s="90"/>
    </row>
    <row r="70" spans="1:12" ht="16.5" customHeight="1">
      <c r="A70" s="94" t="s">
        <v>284</v>
      </c>
      <c r="B70" s="94" t="s">
        <v>135</v>
      </c>
      <c r="C70" s="94" t="s">
        <v>77</v>
      </c>
      <c r="D70" s="94" t="s">
        <v>152</v>
      </c>
      <c r="E70" s="94">
        <v>4</v>
      </c>
      <c r="F70" s="95" t="s">
        <v>55</v>
      </c>
      <c r="G70" s="90"/>
      <c r="H70" s="90"/>
      <c r="I70" s="90"/>
      <c r="L70" s="90"/>
    </row>
    <row r="71" spans="1:12" ht="16.5" customHeight="1">
      <c r="A71" s="94" t="s">
        <v>285</v>
      </c>
      <c r="B71" s="94" t="s">
        <v>135</v>
      </c>
      <c r="C71" s="94" t="s">
        <v>77</v>
      </c>
      <c r="D71" s="94" t="s">
        <v>152</v>
      </c>
      <c r="E71" s="94">
        <v>4</v>
      </c>
      <c r="F71" s="95" t="s">
        <v>55</v>
      </c>
      <c r="G71" s="90"/>
      <c r="H71" s="90"/>
      <c r="I71" s="90"/>
      <c r="L71" s="90"/>
    </row>
    <row r="72" spans="1:12" ht="16.5" customHeight="1">
      <c r="A72" s="94" t="s">
        <v>286</v>
      </c>
      <c r="B72" s="94" t="s">
        <v>135</v>
      </c>
      <c r="C72" s="94" t="s">
        <v>77</v>
      </c>
      <c r="D72" s="94" t="s">
        <v>152</v>
      </c>
      <c r="E72" s="94">
        <v>4</v>
      </c>
      <c r="F72" s="95" t="s">
        <v>55</v>
      </c>
      <c r="G72" s="90"/>
      <c r="H72" s="90"/>
      <c r="I72" s="90"/>
      <c r="L72" s="90"/>
    </row>
    <row r="73" spans="1:12" ht="16.5" customHeight="1">
      <c r="A73" s="94" t="s">
        <v>287</v>
      </c>
      <c r="B73" s="94" t="s">
        <v>135</v>
      </c>
      <c r="C73" s="94" t="s">
        <v>77</v>
      </c>
      <c r="D73" s="94" t="s">
        <v>152</v>
      </c>
      <c r="E73" s="94">
        <v>4</v>
      </c>
      <c r="F73" s="95" t="s">
        <v>55</v>
      </c>
      <c r="G73" s="90"/>
      <c r="H73" s="90"/>
      <c r="I73" s="90"/>
      <c r="L73" s="90"/>
    </row>
    <row r="74" spans="1:12" ht="16.5" customHeight="1">
      <c r="A74" s="94" t="s">
        <v>288</v>
      </c>
      <c r="B74" s="94" t="s">
        <v>135</v>
      </c>
      <c r="C74" s="94" t="s">
        <v>77</v>
      </c>
      <c r="D74" s="94" t="s">
        <v>152</v>
      </c>
      <c r="E74" s="94">
        <v>4</v>
      </c>
      <c r="F74" s="95" t="s">
        <v>55</v>
      </c>
      <c r="G74" s="90"/>
      <c r="H74" s="90"/>
      <c r="I74" s="90"/>
      <c r="L74" s="90"/>
    </row>
    <row r="75" spans="1:12" ht="16.5" customHeight="1">
      <c r="A75" s="94" t="s">
        <v>289</v>
      </c>
      <c r="B75" s="94" t="s">
        <v>135</v>
      </c>
      <c r="C75" s="94" t="s">
        <v>77</v>
      </c>
      <c r="D75" s="94" t="s">
        <v>152</v>
      </c>
      <c r="E75" s="94">
        <v>4</v>
      </c>
      <c r="F75" s="95" t="s">
        <v>55</v>
      </c>
      <c r="G75" s="90"/>
      <c r="H75" s="90"/>
      <c r="I75" s="90"/>
      <c r="L75" s="90"/>
    </row>
    <row r="76" spans="1:12" ht="16.5" customHeight="1">
      <c r="A76" s="94" t="s">
        <v>290</v>
      </c>
      <c r="B76" s="94" t="s">
        <v>135</v>
      </c>
      <c r="C76" s="94" t="s">
        <v>77</v>
      </c>
      <c r="D76" s="94" t="s">
        <v>152</v>
      </c>
      <c r="E76" s="94">
        <v>4</v>
      </c>
      <c r="F76" s="95" t="s">
        <v>55</v>
      </c>
      <c r="G76" s="90"/>
      <c r="H76" s="90"/>
      <c r="I76" s="90"/>
      <c r="L76" s="90"/>
    </row>
    <row r="77" spans="1:12" ht="16.5" customHeight="1">
      <c r="A77" s="94" t="s">
        <v>291</v>
      </c>
      <c r="B77" s="94" t="s">
        <v>135</v>
      </c>
      <c r="C77" s="94" t="s">
        <v>77</v>
      </c>
      <c r="D77" s="94" t="s">
        <v>152</v>
      </c>
      <c r="E77" s="94">
        <v>4</v>
      </c>
      <c r="F77" s="95" t="s">
        <v>55</v>
      </c>
      <c r="G77" s="90"/>
      <c r="H77" s="90"/>
      <c r="I77" s="90"/>
      <c r="L77" s="90"/>
    </row>
    <row r="78" spans="1:12" ht="16.5" customHeight="1">
      <c r="A78" s="94" t="s">
        <v>292</v>
      </c>
      <c r="B78" s="94" t="s">
        <v>135</v>
      </c>
      <c r="C78" s="94" t="s">
        <v>77</v>
      </c>
      <c r="D78" s="94" t="s">
        <v>165</v>
      </c>
      <c r="E78" s="94">
        <v>4</v>
      </c>
      <c r="F78" s="95" t="s">
        <v>55</v>
      </c>
      <c r="G78" s="90"/>
      <c r="H78" s="90"/>
      <c r="I78" s="90"/>
      <c r="L78" s="90"/>
    </row>
    <row r="79" spans="1:12" ht="16.5" customHeight="1">
      <c r="A79" s="94" t="s">
        <v>293</v>
      </c>
      <c r="B79" s="94" t="s">
        <v>135</v>
      </c>
      <c r="C79" s="94" t="s">
        <v>77</v>
      </c>
      <c r="D79" s="94" t="s">
        <v>165</v>
      </c>
      <c r="E79" s="94">
        <v>4</v>
      </c>
      <c r="F79" s="95" t="s">
        <v>55</v>
      </c>
      <c r="G79" s="90"/>
      <c r="H79" s="90"/>
      <c r="I79" s="90"/>
      <c r="L79" s="90"/>
    </row>
    <row r="80" spans="1:12" ht="16.5" customHeight="1">
      <c r="A80" s="94" t="s">
        <v>294</v>
      </c>
      <c r="B80" s="94" t="s">
        <v>135</v>
      </c>
      <c r="C80" s="94" t="s">
        <v>77</v>
      </c>
      <c r="D80" s="94" t="s">
        <v>165</v>
      </c>
      <c r="E80" s="94">
        <v>4</v>
      </c>
      <c r="F80" s="95" t="s">
        <v>55</v>
      </c>
      <c r="G80" s="90"/>
      <c r="H80" s="90"/>
      <c r="I80" s="90"/>
      <c r="L80" s="90"/>
    </row>
    <row r="81" spans="1:12" ht="16.5" customHeight="1">
      <c r="A81" s="92" t="s">
        <v>295</v>
      </c>
      <c r="B81" s="92" t="s">
        <v>135</v>
      </c>
      <c r="C81" s="92" t="s">
        <v>80</v>
      </c>
      <c r="D81" s="92" t="s">
        <v>23</v>
      </c>
      <c r="E81" s="92">
        <v>3</v>
      </c>
      <c r="F81" s="93" t="s">
        <v>63</v>
      </c>
      <c r="G81" s="90"/>
      <c r="H81" s="90"/>
      <c r="I81" s="90"/>
      <c r="L81" s="90"/>
    </row>
    <row r="82" spans="1:12" ht="16.5" customHeight="1">
      <c r="A82" s="94" t="s">
        <v>296</v>
      </c>
      <c r="B82" s="94" t="s">
        <v>135</v>
      </c>
      <c r="C82" s="94" t="s">
        <v>80</v>
      </c>
      <c r="D82" s="94" t="s">
        <v>23</v>
      </c>
      <c r="E82" s="94">
        <v>3</v>
      </c>
      <c r="F82" s="95" t="s">
        <v>63</v>
      </c>
      <c r="G82" s="90"/>
      <c r="H82" s="90"/>
      <c r="I82" s="90"/>
      <c r="L82" s="90"/>
    </row>
    <row r="83" spans="1:12" ht="16.5" customHeight="1">
      <c r="A83" s="92" t="s">
        <v>297</v>
      </c>
      <c r="B83" s="92" t="s">
        <v>135</v>
      </c>
      <c r="C83" s="92" t="s">
        <v>80</v>
      </c>
      <c r="D83" s="92" t="s">
        <v>152</v>
      </c>
      <c r="E83" s="92">
        <v>3</v>
      </c>
      <c r="F83" s="93" t="s">
        <v>63</v>
      </c>
      <c r="G83" s="90"/>
      <c r="H83" s="90"/>
      <c r="I83" s="90"/>
      <c r="L83" s="90"/>
    </row>
    <row r="84" spans="1:12" ht="16.5" customHeight="1">
      <c r="A84" s="94" t="s">
        <v>298</v>
      </c>
      <c r="B84" s="94" t="s">
        <v>135</v>
      </c>
      <c r="C84" s="94" t="s">
        <v>80</v>
      </c>
      <c r="D84" s="94" t="s">
        <v>152</v>
      </c>
      <c r="E84" s="94">
        <v>3</v>
      </c>
      <c r="F84" s="95" t="s">
        <v>63</v>
      </c>
      <c r="G84" s="90"/>
      <c r="H84" s="90"/>
      <c r="I84" s="90"/>
      <c r="L84" s="90"/>
    </row>
    <row r="85" spans="1:12" ht="16.5" customHeight="1">
      <c r="A85" s="94" t="s">
        <v>299</v>
      </c>
      <c r="B85" s="94" t="s">
        <v>135</v>
      </c>
      <c r="C85" s="94" t="s">
        <v>80</v>
      </c>
      <c r="D85" s="94" t="s">
        <v>152</v>
      </c>
      <c r="E85" s="94">
        <v>2</v>
      </c>
      <c r="F85" s="95" t="s">
        <v>88</v>
      </c>
      <c r="G85" s="90"/>
      <c r="H85" s="90"/>
      <c r="I85" s="90"/>
      <c r="J85" s="90"/>
      <c r="K85" s="90"/>
      <c r="L85" s="90"/>
    </row>
    <row r="86" spans="1:12" ht="16.5" customHeight="1">
      <c r="A86" s="92" t="s">
        <v>300</v>
      </c>
      <c r="B86" s="92" t="s">
        <v>135</v>
      </c>
      <c r="C86" s="92" t="s">
        <v>80</v>
      </c>
      <c r="D86" s="92" t="s">
        <v>165</v>
      </c>
      <c r="E86" s="92">
        <v>3</v>
      </c>
      <c r="F86" s="93" t="s">
        <v>63</v>
      </c>
      <c r="G86" s="90"/>
      <c r="H86" s="90"/>
      <c r="I86" s="90"/>
      <c r="J86" s="90"/>
      <c r="K86" s="90"/>
      <c r="L86" s="90"/>
    </row>
    <row r="87" spans="1:12" ht="16.5" customHeight="1">
      <c r="A87" s="94" t="s">
        <v>301</v>
      </c>
      <c r="B87" s="94" t="s">
        <v>135</v>
      </c>
      <c r="C87" s="94" t="s">
        <v>80</v>
      </c>
      <c r="D87" s="94" t="s">
        <v>165</v>
      </c>
      <c r="E87" s="94">
        <v>2</v>
      </c>
      <c r="F87" s="95" t="s">
        <v>88</v>
      </c>
      <c r="G87" s="90"/>
      <c r="H87" s="90"/>
      <c r="I87" s="90"/>
      <c r="J87" s="90"/>
      <c r="K87" s="90"/>
      <c r="L87" s="90"/>
    </row>
    <row r="88" spans="1:12" ht="17.25" customHeight="1">
      <c r="A88" s="92" t="s">
        <v>91</v>
      </c>
      <c r="B88" s="92" t="s">
        <v>135</v>
      </c>
      <c r="C88" s="92" t="s">
        <v>89</v>
      </c>
      <c r="D88" s="92" t="s">
        <v>23</v>
      </c>
      <c r="E88" s="92">
        <v>3</v>
      </c>
      <c r="F88" s="93" t="s">
        <v>63</v>
      </c>
      <c r="G88" s="90"/>
      <c r="H88" s="90"/>
      <c r="I88" s="90"/>
      <c r="J88" s="90"/>
      <c r="K88" s="90"/>
      <c r="L88" s="90"/>
    </row>
    <row r="89" spans="1:12" ht="16.5" customHeight="1">
      <c r="A89" s="92" t="s">
        <v>90</v>
      </c>
      <c r="B89" s="92" t="s">
        <v>135</v>
      </c>
      <c r="C89" s="92" t="s">
        <v>89</v>
      </c>
      <c r="D89" s="92" t="s">
        <v>23</v>
      </c>
      <c r="E89" s="92">
        <v>3</v>
      </c>
      <c r="F89" s="93" t="s">
        <v>63</v>
      </c>
      <c r="G89" s="90"/>
      <c r="H89" s="90"/>
      <c r="I89" s="90"/>
      <c r="J89" s="90"/>
      <c r="K89" s="90"/>
      <c r="L89" s="90"/>
    </row>
    <row r="90" spans="1:12" ht="16.5" customHeight="1">
      <c r="A90" s="94" t="s">
        <v>302</v>
      </c>
      <c r="B90" s="94" t="s">
        <v>135</v>
      </c>
      <c r="C90" s="94" t="s">
        <v>89</v>
      </c>
      <c r="D90" s="94" t="s">
        <v>23</v>
      </c>
      <c r="E90" s="94">
        <v>3</v>
      </c>
      <c r="F90" s="95" t="s">
        <v>63</v>
      </c>
      <c r="G90" s="90"/>
      <c r="H90" s="90"/>
      <c r="I90" s="90"/>
      <c r="J90" s="90"/>
      <c r="K90" s="90"/>
      <c r="L90" s="90"/>
    </row>
    <row r="91" spans="1:12" ht="16.5" customHeight="1">
      <c r="A91" s="94" t="s">
        <v>303</v>
      </c>
      <c r="B91" s="94" t="s">
        <v>135</v>
      </c>
      <c r="C91" s="94" t="s">
        <v>89</v>
      </c>
      <c r="D91" s="94" t="s">
        <v>152</v>
      </c>
      <c r="E91" s="94">
        <v>3</v>
      </c>
      <c r="F91" s="95" t="s">
        <v>63</v>
      </c>
      <c r="G91" s="90"/>
      <c r="H91" s="90"/>
      <c r="I91" s="90"/>
      <c r="J91" s="90"/>
      <c r="K91" s="90"/>
      <c r="L91" s="90"/>
    </row>
    <row r="92" spans="1:12" ht="16.5" customHeight="1">
      <c r="A92" s="94" t="s">
        <v>304</v>
      </c>
      <c r="B92" s="94" t="s">
        <v>135</v>
      </c>
      <c r="C92" s="94" t="s">
        <v>89</v>
      </c>
      <c r="D92" s="94" t="s">
        <v>152</v>
      </c>
      <c r="E92" s="94">
        <v>3</v>
      </c>
      <c r="F92" s="95" t="s">
        <v>63</v>
      </c>
      <c r="G92" s="90"/>
      <c r="H92" s="90"/>
      <c r="I92" s="90"/>
      <c r="J92" s="90"/>
      <c r="K92" s="90"/>
      <c r="L92" s="90"/>
    </row>
    <row r="93" spans="1:12" ht="16.5" customHeight="1">
      <c r="A93" s="94" t="s">
        <v>305</v>
      </c>
      <c r="B93" s="94" t="s">
        <v>135</v>
      </c>
      <c r="C93" s="94" t="s">
        <v>89</v>
      </c>
      <c r="D93" s="94" t="s">
        <v>152</v>
      </c>
      <c r="E93" s="94">
        <v>3</v>
      </c>
      <c r="F93" s="95" t="s">
        <v>63</v>
      </c>
      <c r="G93" s="90"/>
      <c r="H93" s="90"/>
      <c r="I93" s="90"/>
      <c r="J93" s="90"/>
      <c r="K93" s="90"/>
      <c r="L93" s="90"/>
    </row>
    <row r="94" spans="1:12" ht="16.5" customHeight="1">
      <c r="A94" s="94" t="s">
        <v>306</v>
      </c>
      <c r="B94" s="94" t="s">
        <v>135</v>
      </c>
      <c r="C94" s="94" t="s">
        <v>89</v>
      </c>
      <c r="D94" s="94" t="s">
        <v>152</v>
      </c>
      <c r="E94" s="94">
        <v>3</v>
      </c>
      <c r="F94" s="95" t="s">
        <v>63</v>
      </c>
      <c r="G94" s="90"/>
      <c r="H94" s="90"/>
      <c r="I94" s="90"/>
      <c r="J94" s="90"/>
      <c r="K94" s="90"/>
      <c r="L94" s="90"/>
    </row>
    <row r="95" spans="1:12" ht="16.5" customHeight="1">
      <c r="A95" s="94" t="s">
        <v>307</v>
      </c>
      <c r="B95" s="94" t="s">
        <v>135</v>
      </c>
      <c r="C95" s="94" t="s">
        <v>89</v>
      </c>
      <c r="D95" s="94" t="s">
        <v>165</v>
      </c>
      <c r="E95" s="94">
        <v>3</v>
      </c>
      <c r="F95" s="95" t="s">
        <v>63</v>
      </c>
      <c r="G95" s="90"/>
      <c r="H95" s="90"/>
      <c r="I95" s="90"/>
      <c r="J95" s="90"/>
      <c r="K95" s="90"/>
      <c r="L95" s="90"/>
    </row>
    <row r="96" spans="1:12" ht="16.5" customHeight="1">
      <c r="A96" s="94" t="s">
        <v>308</v>
      </c>
      <c r="B96" s="94" t="s">
        <v>135</v>
      </c>
      <c r="C96" s="94" t="s">
        <v>89</v>
      </c>
      <c r="D96" s="94" t="s">
        <v>165</v>
      </c>
      <c r="E96" s="94">
        <v>3</v>
      </c>
      <c r="F96" s="95" t="s">
        <v>63</v>
      </c>
      <c r="G96" s="90"/>
      <c r="H96" s="90"/>
      <c r="I96" s="90"/>
      <c r="J96" s="90"/>
      <c r="K96" s="90"/>
      <c r="L96" s="90"/>
    </row>
    <row r="97" spans="1:12" ht="16.5" customHeight="1">
      <c r="A97" s="94" t="s">
        <v>309</v>
      </c>
      <c r="B97" s="94" t="s">
        <v>135</v>
      </c>
      <c r="C97" s="94" t="s">
        <v>309</v>
      </c>
      <c r="D97" s="94" t="s">
        <v>23</v>
      </c>
      <c r="E97" s="94">
        <v>4</v>
      </c>
      <c r="F97" s="95" t="s">
        <v>55</v>
      </c>
      <c r="G97" s="90"/>
      <c r="H97" s="90"/>
      <c r="I97" s="90"/>
      <c r="J97" s="90"/>
      <c r="K97" s="90"/>
      <c r="L97" s="90"/>
    </row>
    <row r="98" spans="1:12" ht="16.5" customHeight="1">
      <c r="A98" s="94" t="s">
        <v>310</v>
      </c>
      <c r="B98" s="94" t="s">
        <v>135</v>
      </c>
      <c r="C98" s="94" t="s">
        <v>309</v>
      </c>
      <c r="D98" s="94" t="s">
        <v>23</v>
      </c>
      <c r="E98" s="94">
        <v>4</v>
      </c>
      <c r="F98" s="95" t="s">
        <v>55</v>
      </c>
      <c r="G98" s="90"/>
      <c r="H98" s="90"/>
      <c r="I98" s="90"/>
      <c r="J98" s="90"/>
      <c r="K98" s="90"/>
      <c r="L98" s="90"/>
    </row>
    <row r="99" spans="1:12" ht="16.5" customHeight="1">
      <c r="A99" s="94" t="s">
        <v>311</v>
      </c>
      <c r="B99" s="94" t="s">
        <v>135</v>
      </c>
      <c r="C99" s="94" t="s">
        <v>309</v>
      </c>
      <c r="D99" s="94" t="s">
        <v>152</v>
      </c>
      <c r="E99" s="94">
        <v>4</v>
      </c>
      <c r="F99" s="95" t="s">
        <v>55</v>
      </c>
      <c r="G99" s="90"/>
      <c r="H99" s="90"/>
      <c r="I99" s="90"/>
      <c r="J99" s="90"/>
      <c r="K99" s="90"/>
      <c r="L99" s="90"/>
    </row>
    <row r="100" spans="1:12" ht="16.5" customHeight="1">
      <c r="A100" s="94" t="s">
        <v>312</v>
      </c>
      <c r="B100" s="94" t="s">
        <v>135</v>
      </c>
      <c r="C100" s="94" t="s">
        <v>309</v>
      </c>
      <c r="D100" s="94" t="s">
        <v>152</v>
      </c>
      <c r="E100" s="94">
        <v>4</v>
      </c>
      <c r="F100" s="95" t="s">
        <v>55</v>
      </c>
      <c r="G100" s="90"/>
      <c r="H100" s="90"/>
      <c r="I100" s="90"/>
      <c r="J100" s="90"/>
      <c r="K100" s="90"/>
      <c r="L100" s="90"/>
    </row>
    <row r="101" spans="1:12" ht="16.5" customHeight="1">
      <c r="A101" s="94" t="s">
        <v>313</v>
      </c>
      <c r="B101" s="94" t="s">
        <v>135</v>
      </c>
      <c r="C101" s="94" t="s">
        <v>309</v>
      </c>
      <c r="D101" s="94" t="s">
        <v>152</v>
      </c>
      <c r="E101" s="94">
        <v>4</v>
      </c>
      <c r="F101" s="95" t="s">
        <v>55</v>
      </c>
      <c r="G101" s="90"/>
      <c r="H101" s="90"/>
      <c r="I101" s="90"/>
      <c r="J101" s="90"/>
      <c r="K101" s="90"/>
      <c r="L101" s="90"/>
    </row>
    <row r="102" spans="1:12" ht="16.5" customHeight="1">
      <c r="A102" s="94" t="s">
        <v>314</v>
      </c>
      <c r="B102" s="94" t="s">
        <v>135</v>
      </c>
      <c r="C102" s="94" t="s">
        <v>309</v>
      </c>
      <c r="D102" s="94" t="s">
        <v>152</v>
      </c>
      <c r="E102" s="94">
        <v>4</v>
      </c>
      <c r="F102" s="95" t="s">
        <v>55</v>
      </c>
      <c r="G102" s="90"/>
      <c r="H102" s="90"/>
      <c r="I102" s="90"/>
      <c r="J102" s="90"/>
      <c r="K102" s="90"/>
      <c r="L102" s="90"/>
    </row>
    <row r="103" spans="1:12" ht="16.5" customHeight="1">
      <c r="A103" s="94" t="s">
        <v>315</v>
      </c>
      <c r="B103" s="94" t="s">
        <v>135</v>
      </c>
      <c r="C103" s="94" t="s">
        <v>309</v>
      </c>
      <c r="D103" s="94" t="s">
        <v>165</v>
      </c>
      <c r="E103" s="94">
        <v>4</v>
      </c>
      <c r="F103" s="95" t="s">
        <v>55</v>
      </c>
      <c r="G103" s="90"/>
      <c r="H103" s="90"/>
      <c r="I103" s="90"/>
      <c r="J103" s="90"/>
      <c r="K103" s="90"/>
      <c r="L103" s="90"/>
    </row>
    <row r="104" spans="1:12" ht="16.5" customHeight="1">
      <c r="A104" s="94" t="s">
        <v>316</v>
      </c>
      <c r="B104" s="94" t="s">
        <v>135</v>
      </c>
      <c r="C104" s="94" t="s">
        <v>309</v>
      </c>
      <c r="D104" s="94" t="s">
        <v>165</v>
      </c>
      <c r="E104" s="94">
        <v>4</v>
      </c>
      <c r="F104" s="95" t="s">
        <v>55</v>
      </c>
      <c r="G104" s="90"/>
      <c r="H104" s="90"/>
      <c r="I104" s="90"/>
      <c r="J104" s="90"/>
      <c r="K104" s="90"/>
      <c r="L104" s="90"/>
    </row>
    <row r="105" spans="1:12" ht="16.5" customHeight="1">
      <c r="A105" s="94" t="s">
        <v>317</v>
      </c>
      <c r="B105" s="94" t="s">
        <v>135</v>
      </c>
      <c r="C105" s="94" t="s">
        <v>309</v>
      </c>
      <c r="D105" s="94" t="s">
        <v>165</v>
      </c>
      <c r="E105" s="94">
        <v>4</v>
      </c>
      <c r="F105" s="95" t="s">
        <v>55</v>
      </c>
      <c r="G105" s="90"/>
      <c r="H105" s="90"/>
      <c r="I105" s="90"/>
      <c r="J105" s="90"/>
      <c r="K105" s="90"/>
      <c r="L105" s="90"/>
    </row>
    <row r="106" spans="1:12" ht="16.5" customHeight="1">
      <c r="A106" s="94" t="s">
        <v>318</v>
      </c>
      <c r="B106" s="94" t="s">
        <v>135</v>
      </c>
      <c r="C106" s="94" t="s">
        <v>309</v>
      </c>
      <c r="D106" s="94" t="s">
        <v>165</v>
      </c>
      <c r="E106" s="94">
        <v>2</v>
      </c>
      <c r="F106" s="95" t="s">
        <v>88</v>
      </c>
      <c r="G106" s="90"/>
      <c r="H106" s="90"/>
      <c r="I106" s="90"/>
      <c r="J106" s="90"/>
      <c r="K106" s="90"/>
      <c r="L106" s="90"/>
    </row>
    <row r="107" spans="1:12" ht="16.5" customHeight="1">
      <c r="A107" s="94" t="s">
        <v>319</v>
      </c>
      <c r="B107" s="94" t="s">
        <v>135</v>
      </c>
      <c r="C107" s="94" t="s">
        <v>309</v>
      </c>
      <c r="D107" s="94" t="s">
        <v>165</v>
      </c>
      <c r="E107" s="94">
        <v>4</v>
      </c>
      <c r="F107" s="95" t="s">
        <v>55</v>
      </c>
      <c r="G107" s="90"/>
      <c r="H107" s="90"/>
      <c r="I107" s="90"/>
      <c r="J107" s="90"/>
      <c r="K107" s="90"/>
      <c r="L107" s="90"/>
    </row>
    <row r="108" spans="1:12" ht="16.5" customHeight="1">
      <c r="A108" s="94" t="s">
        <v>320</v>
      </c>
      <c r="B108" s="94" t="s">
        <v>135</v>
      </c>
      <c r="C108" s="94" t="s">
        <v>321</v>
      </c>
      <c r="D108" s="94" t="s">
        <v>23</v>
      </c>
      <c r="E108" s="94">
        <v>4</v>
      </c>
      <c r="F108" s="95" t="s">
        <v>55</v>
      </c>
      <c r="G108" s="90"/>
      <c r="H108" s="90"/>
      <c r="I108" s="90"/>
      <c r="J108" s="90"/>
      <c r="K108" s="90"/>
      <c r="L108" s="90"/>
    </row>
    <row r="109" spans="1:12" ht="16.5" customHeight="1">
      <c r="A109" s="94" t="s">
        <v>322</v>
      </c>
      <c r="B109" s="94" t="s">
        <v>135</v>
      </c>
      <c r="C109" s="94" t="s">
        <v>309</v>
      </c>
      <c r="D109" s="94" t="s">
        <v>23</v>
      </c>
      <c r="E109" s="94">
        <v>4</v>
      </c>
      <c r="F109" s="95" t="s">
        <v>55</v>
      </c>
      <c r="G109" s="90"/>
      <c r="H109" s="90"/>
      <c r="I109" s="90"/>
      <c r="J109" s="90"/>
      <c r="K109" s="90"/>
      <c r="L109" s="90"/>
    </row>
    <row r="110" spans="1:12" ht="16.5" customHeight="1">
      <c r="A110" s="94" t="s">
        <v>323</v>
      </c>
      <c r="B110" s="94" t="s">
        <v>135</v>
      </c>
      <c r="C110" s="94" t="s">
        <v>309</v>
      </c>
      <c r="D110" s="94" t="s">
        <v>23</v>
      </c>
      <c r="E110" s="94">
        <v>4</v>
      </c>
      <c r="F110" s="95" t="s">
        <v>55</v>
      </c>
      <c r="G110" s="90"/>
      <c r="H110" s="90"/>
      <c r="I110" s="90"/>
      <c r="J110" s="90"/>
      <c r="K110" s="90"/>
      <c r="L110" s="90"/>
    </row>
    <row r="111" spans="1:12" ht="16.5" customHeight="1">
      <c r="A111" s="94" t="s">
        <v>324</v>
      </c>
      <c r="B111" s="94" t="s">
        <v>135</v>
      </c>
      <c r="C111" s="94" t="s">
        <v>309</v>
      </c>
      <c r="D111" s="94" t="s">
        <v>23</v>
      </c>
      <c r="E111" s="94">
        <v>4</v>
      </c>
      <c r="F111" s="95" t="s">
        <v>55</v>
      </c>
      <c r="G111" s="90"/>
      <c r="H111" s="90"/>
      <c r="I111" s="90"/>
      <c r="J111" s="90"/>
      <c r="K111" s="90"/>
      <c r="L111" s="90"/>
    </row>
    <row r="112" spans="1:12" ht="16.5" customHeight="1">
      <c r="A112" s="94" t="s">
        <v>93</v>
      </c>
      <c r="B112" s="94" t="s">
        <v>135</v>
      </c>
      <c r="C112" s="94" t="s">
        <v>309</v>
      </c>
      <c r="D112" s="94" t="s">
        <v>23</v>
      </c>
      <c r="E112" s="94">
        <v>4</v>
      </c>
      <c r="F112" s="95" t="s">
        <v>55</v>
      </c>
      <c r="G112" s="90"/>
      <c r="H112" s="90"/>
      <c r="I112" s="90"/>
      <c r="J112" s="90"/>
      <c r="K112" s="90"/>
      <c r="L112" s="90"/>
    </row>
    <row r="113" spans="1:12" ht="16.5" customHeight="1">
      <c r="A113" s="94" t="s">
        <v>325</v>
      </c>
      <c r="B113" s="94" t="s">
        <v>135</v>
      </c>
      <c r="C113" s="94" t="s">
        <v>309</v>
      </c>
      <c r="D113" s="94" t="s">
        <v>23</v>
      </c>
      <c r="E113" s="94">
        <v>4</v>
      </c>
      <c r="F113" s="95" t="s">
        <v>55</v>
      </c>
      <c r="G113" s="90"/>
      <c r="H113" s="90"/>
      <c r="I113" s="90"/>
      <c r="J113" s="90"/>
      <c r="K113" s="90"/>
      <c r="L113" s="90"/>
    </row>
    <row r="114" spans="1:12" ht="16.5" customHeight="1">
      <c r="A114" s="94" t="s">
        <v>326</v>
      </c>
      <c r="B114" s="94" t="s">
        <v>135</v>
      </c>
      <c r="C114" s="94" t="s">
        <v>321</v>
      </c>
      <c r="D114" s="94" t="s">
        <v>23</v>
      </c>
      <c r="E114" s="94">
        <v>4</v>
      </c>
      <c r="F114" s="95" t="s">
        <v>55</v>
      </c>
      <c r="G114" s="90"/>
      <c r="H114" s="90"/>
      <c r="I114" s="90"/>
      <c r="J114" s="90"/>
      <c r="K114" s="90"/>
      <c r="L114" s="90"/>
    </row>
    <row r="115" spans="1:12" ht="16.5" customHeight="1">
      <c r="A115" s="94" t="s">
        <v>327</v>
      </c>
      <c r="B115" s="94" t="s">
        <v>135</v>
      </c>
      <c r="C115" s="94" t="s">
        <v>321</v>
      </c>
      <c r="D115" s="94" t="s">
        <v>23</v>
      </c>
      <c r="E115" s="94">
        <v>4</v>
      </c>
      <c r="F115" s="95" t="s">
        <v>55</v>
      </c>
      <c r="G115" s="90"/>
      <c r="H115" s="90"/>
      <c r="I115" s="90"/>
      <c r="J115" s="90"/>
      <c r="K115" s="90"/>
      <c r="L115" s="90"/>
    </row>
    <row r="116" spans="1:12" ht="16.5" customHeight="1">
      <c r="A116" s="94" t="s">
        <v>328</v>
      </c>
      <c r="B116" s="94" t="s">
        <v>135</v>
      </c>
      <c r="C116" s="94" t="s">
        <v>321</v>
      </c>
      <c r="D116" s="94" t="s">
        <v>23</v>
      </c>
      <c r="E116" s="94">
        <v>4</v>
      </c>
      <c r="F116" s="95" t="s">
        <v>55</v>
      </c>
      <c r="G116" s="90"/>
      <c r="H116" s="90"/>
      <c r="I116" s="90"/>
      <c r="J116" s="90"/>
      <c r="K116" s="90"/>
      <c r="L116" s="90"/>
    </row>
    <row r="117" spans="1:12" ht="16.5" customHeight="1">
      <c r="A117" s="94" t="s">
        <v>329</v>
      </c>
      <c r="B117" s="94" t="s">
        <v>135</v>
      </c>
      <c r="C117" s="94" t="s">
        <v>321</v>
      </c>
      <c r="D117" s="94" t="s">
        <v>23</v>
      </c>
      <c r="E117" s="94">
        <v>4</v>
      </c>
      <c r="F117" s="95" t="s">
        <v>55</v>
      </c>
      <c r="G117" s="90"/>
      <c r="H117" s="90"/>
      <c r="I117" s="90"/>
      <c r="J117" s="90"/>
      <c r="K117" s="90"/>
      <c r="L117" s="90"/>
    </row>
    <row r="118" spans="1:12" ht="16.5" customHeight="1">
      <c r="A118" s="94" t="s">
        <v>330</v>
      </c>
      <c r="B118" s="94" t="s">
        <v>135</v>
      </c>
      <c r="C118" s="94" t="s">
        <v>321</v>
      </c>
      <c r="D118" s="94" t="s">
        <v>23</v>
      </c>
      <c r="E118" s="94">
        <v>4</v>
      </c>
      <c r="F118" s="95" t="s">
        <v>55</v>
      </c>
      <c r="G118" s="90"/>
      <c r="H118" s="90"/>
      <c r="I118" s="90"/>
      <c r="J118" s="90"/>
      <c r="K118" s="90"/>
      <c r="L118" s="90"/>
    </row>
    <row r="119" spans="1:12" ht="16.5" customHeight="1">
      <c r="A119" s="94" t="s">
        <v>331</v>
      </c>
      <c r="B119" s="94" t="s">
        <v>135</v>
      </c>
      <c r="C119" s="94" t="s">
        <v>321</v>
      </c>
      <c r="D119" s="94" t="s">
        <v>23</v>
      </c>
      <c r="E119" s="94">
        <v>4</v>
      </c>
      <c r="F119" s="95" t="s">
        <v>55</v>
      </c>
      <c r="G119" s="90"/>
      <c r="H119" s="90"/>
      <c r="I119" s="90"/>
      <c r="J119" s="90"/>
      <c r="K119" s="90"/>
      <c r="L119" s="90"/>
    </row>
    <row r="120" spans="1:12" ht="16.5" customHeight="1">
      <c r="A120" s="94" t="s">
        <v>332</v>
      </c>
      <c r="B120" s="94" t="s">
        <v>135</v>
      </c>
      <c r="C120" s="94" t="s">
        <v>321</v>
      </c>
      <c r="D120" s="94" t="s">
        <v>23</v>
      </c>
      <c r="E120" s="94">
        <v>4</v>
      </c>
      <c r="F120" s="95" t="s">
        <v>55</v>
      </c>
      <c r="G120" s="90"/>
      <c r="H120" s="90"/>
      <c r="I120" s="90"/>
      <c r="J120" s="90"/>
      <c r="K120" s="90"/>
      <c r="L120" s="90"/>
    </row>
    <row r="121" spans="1:12" ht="16.5" customHeight="1">
      <c r="A121" s="94" t="s">
        <v>333</v>
      </c>
      <c r="B121" s="94" t="s">
        <v>135</v>
      </c>
      <c r="C121" s="94" t="s">
        <v>321</v>
      </c>
      <c r="D121" s="94" t="s">
        <v>23</v>
      </c>
      <c r="E121" s="94">
        <v>4</v>
      </c>
      <c r="F121" s="95" t="s">
        <v>55</v>
      </c>
      <c r="G121" s="90"/>
      <c r="H121" s="90"/>
      <c r="I121" s="90"/>
      <c r="J121" s="90"/>
      <c r="K121" s="90"/>
      <c r="L121" s="90"/>
    </row>
    <row r="122" spans="1:12" ht="16.5" customHeight="1">
      <c r="A122" s="94" t="s">
        <v>334</v>
      </c>
      <c r="B122" s="94" t="s">
        <v>135</v>
      </c>
      <c r="C122" s="94" t="s">
        <v>321</v>
      </c>
      <c r="D122" s="94" t="s">
        <v>23</v>
      </c>
      <c r="E122" s="94">
        <v>4</v>
      </c>
      <c r="F122" s="95" t="s">
        <v>55</v>
      </c>
      <c r="G122" s="90"/>
      <c r="H122" s="90"/>
      <c r="I122" s="90"/>
      <c r="J122" s="90"/>
      <c r="K122" s="90"/>
      <c r="L122" s="90"/>
    </row>
    <row r="123" spans="1:12" ht="16.5" customHeight="1">
      <c r="A123" s="94" t="s">
        <v>335</v>
      </c>
      <c r="B123" s="94" t="s">
        <v>135</v>
      </c>
      <c r="C123" s="94" t="s">
        <v>321</v>
      </c>
      <c r="D123" s="94" t="s">
        <v>23</v>
      </c>
      <c r="E123" s="94">
        <v>4</v>
      </c>
      <c r="F123" s="95" t="s">
        <v>55</v>
      </c>
      <c r="G123" s="90"/>
      <c r="H123" s="90"/>
      <c r="I123" s="90"/>
      <c r="J123" s="90"/>
      <c r="K123" s="90"/>
      <c r="L123" s="90"/>
    </row>
    <row r="124" spans="1:12" ht="16.5" customHeight="1">
      <c r="A124" s="94" t="s">
        <v>336</v>
      </c>
      <c r="B124" s="94" t="s">
        <v>135</v>
      </c>
      <c r="C124" s="94" t="s">
        <v>321</v>
      </c>
      <c r="D124" s="94" t="s">
        <v>152</v>
      </c>
      <c r="E124" s="94">
        <v>4</v>
      </c>
      <c r="F124" s="95" t="s">
        <v>55</v>
      </c>
      <c r="G124" s="90"/>
      <c r="H124" s="90"/>
      <c r="I124" s="90"/>
      <c r="J124" s="90"/>
      <c r="K124" s="90"/>
      <c r="L124" s="90"/>
    </row>
    <row r="125" spans="1:12" ht="16.5" customHeight="1">
      <c r="A125" s="94" t="s">
        <v>337</v>
      </c>
      <c r="B125" s="94" t="s">
        <v>135</v>
      </c>
      <c r="C125" s="94" t="s">
        <v>321</v>
      </c>
      <c r="D125" s="94" t="s">
        <v>152</v>
      </c>
      <c r="E125" s="94">
        <v>4</v>
      </c>
      <c r="F125" s="95" t="s">
        <v>55</v>
      </c>
      <c r="G125" s="90"/>
      <c r="H125" s="90"/>
      <c r="I125" s="90"/>
      <c r="J125" s="90"/>
      <c r="K125" s="90"/>
      <c r="L125" s="90"/>
    </row>
    <row r="126" spans="1:12" ht="16.5" customHeight="1">
      <c r="A126" s="94" t="s">
        <v>338</v>
      </c>
      <c r="B126" s="94" t="s">
        <v>135</v>
      </c>
      <c r="C126" s="94" t="s">
        <v>321</v>
      </c>
      <c r="D126" s="94" t="s">
        <v>152</v>
      </c>
      <c r="E126" s="94">
        <v>4</v>
      </c>
      <c r="F126" s="95" t="s">
        <v>55</v>
      </c>
      <c r="G126" s="90"/>
      <c r="H126" s="90"/>
      <c r="I126" s="90"/>
      <c r="J126" s="90"/>
      <c r="K126" s="90"/>
      <c r="L126" s="90"/>
    </row>
    <row r="127" spans="1:12" ht="16.5" customHeight="1">
      <c r="A127" s="94" t="s">
        <v>339</v>
      </c>
      <c r="B127" s="94" t="s">
        <v>135</v>
      </c>
      <c r="C127" s="94" t="s">
        <v>321</v>
      </c>
      <c r="D127" s="94" t="s">
        <v>152</v>
      </c>
      <c r="E127" s="94">
        <v>4</v>
      </c>
      <c r="F127" s="95" t="s">
        <v>55</v>
      </c>
      <c r="G127" s="90"/>
      <c r="H127" s="90"/>
      <c r="I127" s="90"/>
      <c r="J127" s="90"/>
      <c r="K127" s="90"/>
      <c r="L127" s="90"/>
    </row>
    <row r="128" spans="1:12" ht="16.5" customHeight="1">
      <c r="A128" s="94" t="s">
        <v>340</v>
      </c>
      <c r="B128" s="94" t="s">
        <v>135</v>
      </c>
      <c r="C128" s="94" t="s">
        <v>321</v>
      </c>
      <c r="D128" s="94" t="s">
        <v>152</v>
      </c>
      <c r="E128" s="94">
        <v>4</v>
      </c>
      <c r="F128" s="95" t="s">
        <v>55</v>
      </c>
      <c r="G128" s="90"/>
      <c r="H128" s="90"/>
      <c r="I128" s="90"/>
      <c r="J128" s="90"/>
      <c r="K128" s="90"/>
      <c r="L128" s="90"/>
    </row>
    <row r="129" spans="1:12" ht="16.5" customHeight="1">
      <c r="A129" s="94" t="s">
        <v>341</v>
      </c>
      <c r="B129" s="94" t="s">
        <v>135</v>
      </c>
      <c r="C129" s="94" t="s">
        <v>321</v>
      </c>
      <c r="D129" s="94" t="s">
        <v>152</v>
      </c>
      <c r="E129" s="94">
        <v>4</v>
      </c>
      <c r="F129" s="95" t="s">
        <v>55</v>
      </c>
      <c r="G129" s="90"/>
      <c r="H129" s="90"/>
      <c r="I129" s="90"/>
      <c r="J129" s="90"/>
      <c r="K129" s="90"/>
      <c r="L129" s="90"/>
    </row>
    <row r="130" spans="1:12" ht="16.5" customHeight="1">
      <c r="A130" s="94" t="s">
        <v>342</v>
      </c>
      <c r="B130" s="94" t="s">
        <v>135</v>
      </c>
      <c r="C130" s="94" t="s">
        <v>321</v>
      </c>
      <c r="D130" s="94" t="s">
        <v>152</v>
      </c>
      <c r="E130" s="94">
        <v>4</v>
      </c>
      <c r="F130" s="95" t="s">
        <v>55</v>
      </c>
      <c r="G130" s="90"/>
      <c r="H130" s="90"/>
      <c r="I130" s="90"/>
      <c r="J130" s="90"/>
      <c r="K130" s="90"/>
      <c r="L130" s="90"/>
    </row>
    <row r="131" spans="1:12" ht="16.5" customHeight="1">
      <c r="A131" s="94" t="s">
        <v>343</v>
      </c>
      <c r="B131" s="94" t="s">
        <v>135</v>
      </c>
      <c r="C131" s="94" t="s">
        <v>321</v>
      </c>
      <c r="D131" s="94" t="s">
        <v>165</v>
      </c>
      <c r="E131" s="94">
        <v>4</v>
      </c>
      <c r="F131" s="95" t="s">
        <v>55</v>
      </c>
      <c r="G131" s="90"/>
      <c r="H131" s="90"/>
      <c r="I131" s="90"/>
      <c r="J131" s="90"/>
      <c r="K131" s="90"/>
      <c r="L131" s="90"/>
    </row>
    <row r="132" spans="1:12" ht="16.5" customHeight="1">
      <c r="A132" s="94" t="s">
        <v>344</v>
      </c>
      <c r="B132" s="94" t="s">
        <v>135</v>
      </c>
      <c r="C132" s="94" t="s">
        <v>321</v>
      </c>
      <c r="D132" s="94" t="s">
        <v>165</v>
      </c>
      <c r="E132" s="94">
        <v>4</v>
      </c>
      <c r="F132" s="95" t="s">
        <v>55</v>
      </c>
      <c r="G132" s="90"/>
      <c r="H132" s="90"/>
      <c r="I132" s="90"/>
      <c r="J132" s="90"/>
      <c r="K132" s="90"/>
      <c r="L132" s="90"/>
    </row>
    <row r="133" spans="1:12" ht="16.5" customHeight="1">
      <c r="A133" s="94" t="s">
        <v>345</v>
      </c>
      <c r="B133" s="94" t="s">
        <v>135</v>
      </c>
      <c r="C133" s="94" t="s">
        <v>321</v>
      </c>
      <c r="D133" s="94" t="s">
        <v>165</v>
      </c>
      <c r="E133" s="94">
        <v>4</v>
      </c>
      <c r="F133" s="95" t="s">
        <v>55</v>
      </c>
      <c r="G133" s="90"/>
      <c r="H133" s="90"/>
      <c r="I133" s="90"/>
      <c r="J133" s="90"/>
      <c r="K133" s="90"/>
      <c r="L133" s="90"/>
    </row>
    <row r="134" spans="1:12" ht="16.5" customHeight="1">
      <c r="A134" s="94" t="s">
        <v>346</v>
      </c>
      <c r="B134" s="94" t="s">
        <v>135</v>
      </c>
      <c r="C134" s="94" t="s">
        <v>321</v>
      </c>
      <c r="D134" s="94" t="s">
        <v>165</v>
      </c>
      <c r="E134" s="94">
        <v>4</v>
      </c>
      <c r="F134" s="95" t="s">
        <v>55</v>
      </c>
      <c r="G134" s="90"/>
      <c r="H134" s="90"/>
      <c r="I134" s="90"/>
      <c r="J134" s="90"/>
      <c r="K134" s="90"/>
      <c r="L134" s="90"/>
    </row>
    <row r="135" spans="1:12" ht="16.5" customHeight="1">
      <c r="A135" s="94" t="s">
        <v>347</v>
      </c>
      <c r="B135" s="94" t="s">
        <v>135</v>
      </c>
      <c r="C135" s="94" t="s">
        <v>321</v>
      </c>
      <c r="D135" s="94" t="s">
        <v>165</v>
      </c>
      <c r="E135" s="94">
        <v>4</v>
      </c>
      <c r="F135" s="95" t="s">
        <v>55</v>
      </c>
      <c r="G135" s="90"/>
      <c r="H135" s="90"/>
      <c r="I135" s="90"/>
      <c r="J135" s="90"/>
      <c r="K135" s="90"/>
      <c r="L135" s="90"/>
    </row>
    <row r="136" spans="1:12" ht="16.5" customHeight="1">
      <c r="A136" s="94" t="s">
        <v>348</v>
      </c>
      <c r="B136" s="94" t="s">
        <v>135</v>
      </c>
      <c r="C136" s="94" t="s">
        <v>321</v>
      </c>
      <c r="D136" s="94" t="s">
        <v>165</v>
      </c>
      <c r="E136" s="94">
        <v>4</v>
      </c>
      <c r="F136" s="95" t="s">
        <v>55</v>
      </c>
      <c r="G136" s="90"/>
      <c r="H136" s="90"/>
      <c r="I136" s="90"/>
      <c r="J136" s="90"/>
      <c r="K136" s="90"/>
      <c r="L136" s="90"/>
    </row>
    <row r="137" spans="1:12" ht="16.5" customHeight="1">
      <c r="A137" s="94" t="s">
        <v>349</v>
      </c>
      <c r="B137" s="94" t="s">
        <v>135</v>
      </c>
      <c r="C137" s="94" t="s">
        <v>321</v>
      </c>
      <c r="D137" s="94" t="s">
        <v>165</v>
      </c>
      <c r="E137" s="94">
        <v>4</v>
      </c>
      <c r="F137" s="95" t="s">
        <v>55</v>
      </c>
      <c r="G137" s="90"/>
      <c r="H137" s="90"/>
      <c r="I137" s="90"/>
      <c r="J137" s="90"/>
      <c r="K137" s="90"/>
      <c r="L137" s="90"/>
    </row>
    <row r="138" spans="1:12" ht="16.5" customHeight="1">
      <c r="A138" s="94" t="s">
        <v>350</v>
      </c>
      <c r="B138" s="94" t="s">
        <v>135</v>
      </c>
      <c r="C138" s="94" t="s">
        <v>321</v>
      </c>
      <c r="D138" s="94" t="s">
        <v>165</v>
      </c>
      <c r="E138" s="94">
        <v>4</v>
      </c>
      <c r="F138" s="95" t="s">
        <v>55</v>
      </c>
      <c r="G138" s="90"/>
      <c r="H138" s="90"/>
      <c r="I138" s="90"/>
      <c r="J138" s="90"/>
      <c r="K138" s="90"/>
      <c r="L138" s="90"/>
    </row>
    <row r="139" spans="1:12" ht="16.5" customHeight="1">
      <c r="A139" s="94" t="s">
        <v>94</v>
      </c>
      <c r="B139" s="94" t="s">
        <v>135</v>
      </c>
      <c r="C139" s="94" t="s">
        <v>94</v>
      </c>
      <c r="D139" s="94" t="s">
        <v>23</v>
      </c>
      <c r="E139" s="94">
        <v>4</v>
      </c>
      <c r="F139" s="95" t="s">
        <v>55</v>
      </c>
      <c r="G139" s="90"/>
      <c r="H139" s="90"/>
      <c r="I139" s="90"/>
      <c r="J139" s="90"/>
      <c r="K139" s="90"/>
      <c r="L139" s="90"/>
    </row>
    <row r="140" spans="1:12" ht="16.5" customHeight="1">
      <c r="A140" s="94" t="s">
        <v>351</v>
      </c>
      <c r="B140" s="94" t="s">
        <v>135</v>
      </c>
      <c r="C140" s="94" t="s">
        <v>94</v>
      </c>
      <c r="D140" s="94" t="s">
        <v>152</v>
      </c>
      <c r="E140" s="94">
        <v>4</v>
      </c>
      <c r="F140" s="95" t="s">
        <v>55</v>
      </c>
      <c r="G140" s="90"/>
      <c r="H140" s="90"/>
      <c r="I140" s="90"/>
      <c r="J140" s="90"/>
      <c r="K140" s="90"/>
      <c r="L140" s="90"/>
    </row>
    <row r="141" spans="1:12" ht="16.5" customHeight="1">
      <c r="A141" s="94" t="s">
        <v>352</v>
      </c>
      <c r="B141" s="94" t="s">
        <v>135</v>
      </c>
      <c r="C141" s="94" t="s">
        <v>353</v>
      </c>
      <c r="D141" s="94" t="s">
        <v>23</v>
      </c>
      <c r="E141" s="94">
        <v>3</v>
      </c>
      <c r="F141" s="95" t="s">
        <v>63</v>
      </c>
      <c r="G141" s="90"/>
      <c r="H141" s="90"/>
      <c r="I141" s="90"/>
      <c r="J141" s="90"/>
      <c r="K141" s="90"/>
      <c r="L141" s="90"/>
    </row>
    <row r="142" spans="1:12" ht="16.5" customHeight="1">
      <c r="A142" s="94" t="s">
        <v>354</v>
      </c>
      <c r="B142" s="94" t="s">
        <v>135</v>
      </c>
      <c r="C142" s="94" t="s">
        <v>353</v>
      </c>
      <c r="D142" s="94" t="s">
        <v>23</v>
      </c>
      <c r="E142" s="94">
        <v>3</v>
      </c>
      <c r="F142" s="95" t="s">
        <v>63</v>
      </c>
      <c r="G142" s="90"/>
      <c r="H142" s="90"/>
      <c r="I142" s="90"/>
      <c r="J142" s="90"/>
      <c r="K142" s="90"/>
      <c r="L142" s="90"/>
    </row>
    <row r="143" spans="1:12" ht="16.5" customHeight="1">
      <c r="A143" s="94" t="s">
        <v>355</v>
      </c>
      <c r="B143" s="94" t="s">
        <v>135</v>
      </c>
      <c r="C143" s="94" t="s">
        <v>353</v>
      </c>
      <c r="D143" s="94" t="s">
        <v>152</v>
      </c>
      <c r="E143" s="94">
        <v>3</v>
      </c>
      <c r="F143" s="95" t="s">
        <v>63</v>
      </c>
      <c r="G143" s="90"/>
      <c r="H143" s="90"/>
      <c r="I143" s="90"/>
      <c r="J143" s="90"/>
      <c r="K143" s="90"/>
      <c r="L143" s="90"/>
    </row>
    <row r="144" spans="1:12" ht="16.5" customHeight="1">
      <c r="A144" s="94" t="s">
        <v>356</v>
      </c>
      <c r="B144" s="94" t="s">
        <v>135</v>
      </c>
      <c r="C144" s="94" t="s">
        <v>353</v>
      </c>
      <c r="D144" s="94" t="s">
        <v>152</v>
      </c>
      <c r="E144" s="94">
        <v>3</v>
      </c>
      <c r="F144" s="95" t="s">
        <v>63</v>
      </c>
      <c r="G144" s="90"/>
      <c r="H144" s="90"/>
      <c r="I144" s="90"/>
      <c r="J144" s="90"/>
      <c r="K144" s="90"/>
      <c r="L144" s="90"/>
    </row>
    <row r="145" spans="1:12" ht="16.5" customHeight="1">
      <c r="A145" s="94" t="s">
        <v>357</v>
      </c>
      <c r="B145" s="94" t="s">
        <v>135</v>
      </c>
      <c r="C145" s="94" t="s">
        <v>353</v>
      </c>
      <c r="D145" s="94" t="s">
        <v>152</v>
      </c>
      <c r="E145" s="94">
        <v>3</v>
      </c>
      <c r="F145" s="95" t="s">
        <v>63</v>
      </c>
      <c r="G145" s="90"/>
      <c r="H145" s="90"/>
      <c r="I145" s="90"/>
      <c r="J145" s="90"/>
      <c r="K145" s="90"/>
      <c r="L145" s="90"/>
    </row>
    <row r="146" spans="1:12" ht="16.5" customHeight="1">
      <c r="A146" s="94" t="s">
        <v>358</v>
      </c>
      <c r="B146" s="94" t="s">
        <v>135</v>
      </c>
      <c r="C146" s="94" t="s">
        <v>353</v>
      </c>
      <c r="D146" s="94" t="s">
        <v>152</v>
      </c>
      <c r="E146" s="94">
        <v>3</v>
      </c>
      <c r="F146" s="95" t="s">
        <v>63</v>
      </c>
      <c r="G146" s="90"/>
      <c r="H146" s="90"/>
      <c r="I146" s="90"/>
      <c r="J146" s="90"/>
      <c r="K146" s="90"/>
      <c r="L146" s="90"/>
    </row>
    <row r="147" spans="1:12" ht="16.5" customHeight="1">
      <c r="A147" s="94" t="s">
        <v>359</v>
      </c>
      <c r="B147" s="94" t="s">
        <v>135</v>
      </c>
      <c r="C147" s="94" t="s">
        <v>353</v>
      </c>
      <c r="D147" s="94" t="s">
        <v>152</v>
      </c>
      <c r="E147" s="94">
        <v>3</v>
      </c>
      <c r="F147" s="95" t="s">
        <v>63</v>
      </c>
      <c r="G147" s="90"/>
      <c r="H147" s="90"/>
      <c r="I147" s="90"/>
      <c r="J147" s="90"/>
      <c r="K147" s="90"/>
      <c r="L147" s="90"/>
    </row>
    <row r="148" spans="1:12" ht="16.5" customHeight="1">
      <c r="A148" s="94" t="s">
        <v>360</v>
      </c>
      <c r="B148" s="94" t="s">
        <v>135</v>
      </c>
      <c r="C148" s="94" t="s">
        <v>353</v>
      </c>
      <c r="D148" s="94" t="s">
        <v>152</v>
      </c>
      <c r="E148" s="94">
        <v>3</v>
      </c>
      <c r="F148" s="95" t="s">
        <v>63</v>
      </c>
      <c r="G148" s="90"/>
      <c r="H148" s="90"/>
      <c r="I148" s="90"/>
      <c r="J148" s="90"/>
      <c r="K148" s="90"/>
      <c r="L148" s="90"/>
    </row>
    <row r="149" spans="1:12" ht="16.5" customHeight="1">
      <c r="A149" s="94" t="s">
        <v>361</v>
      </c>
      <c r="B149" s="94" t="s">
        <v>135</v>
      </c>
      <c r="C149" s="94" t="s">
        <v>353</v>
      </c>
      <c r="D149" s="94" t="s">
        <v>165</v>
      </c>
      <c r="E149" s="94">
        <v>3</v>
      </c>
      <c r="F149" s="95" t="s">
        <v>63</v>
      </c>
      <c r="G149" s="90"/>
      <c r="H149" s="90"/>
      <c r="I149" s="90"/>
      <c r="J149" s="90"/>
      <c r="K149" s="90"/>
      <c r="L149" s="90"/>
    </row>
    <row r="150" spans="1:12" ht="16.5" customHeight="1">
      <c r="A150" s="94" t="s">
        <v>362</v>
      </c>
      <c r="B150" s="94" t="s">
        <v>135</v>
      </c>
      <c r="C150" s="94" t="s">
        <v>353</v>
      </c>
      <c r="D150" s="94" t="s">
        <v>165</v>
      </c>
      <c r="E150" s="94">
        <v>3</v>
      </c>
      <c r="F150" s="95" t="s">
        <v>63</v>
      </c>
      <c r="G150" s="90"/>
      <c r="H150" s="90"/>
      <c r="I150" s="90"/>
      <c r="J150" s="90"/>
      <c r="K150" s="90"/>
      <c r="L150" s="90"/>
    </row>
    <row r="151" spans="1:12" ht="16.5" customHeight="1">
      <c r="A151" s="94"/>
      <c r="B151" s="94"/>
      <c r="C151" s="94"/>
      <c r="D151" s="94"/>
      <c r="E151" s="94"/>
      <c r="F151" s="95"/>
      <c r="G151" s="90"/>
      <c r="H151" s="90"/>
      <c r="I151" s="90"/>
      <c r="J151" s="90"/>
      <c r="K151" s="90"/>
      <c r="L151" s="90"/>
    </row>
    <row r="152" spans="1:12" ht="16.5" customHeight="1">
      <c r="A152" s="14"/>
      <c r="B152" s="14"/>
      <c r="C152" s="14"/>
      <c r="D152" s="14"/>
      <c r="E152" s="14"/>
      <c r="F152" s="14"/>
    </row>
    <row r="153" spans="1:12" ht="16.5" customHeight="1">
      <c r="A153" s="14"/>
      <c r="B153" s="14"/>
      <c r="C153" s="14"/>
      <c r="D153" s="14"/>
      <c r="E153" s="14"/>
      <c r="F153" s="14"/>
    </row>
    <row r="154" spans="1:12" ht="16.5" customHeight="1">
      <c r="A154" s="14"/>
      <c r="B154" s="14"/>
      <c r="C154" s="14"/>
      <c r="D154" s="14"/>
      <c r="E154" s="14"/>
      <c r="F154" s="14"/>
    </row>
    <row r="155" spans="1:12" ht="16.5" customHeight="1">
      <c r="A155" s="14"/>
      <c r="B155" s="14"/>
      <c r="C155" s="14"/>
      <c r="D155" s="14"/>
      <c r="E155" s="14"/>
      <c r="F155" s="14"/>
    </row>
    <row r="156" spans="1:12" ht="16.5" customHeight="1">
      <c r="A156" s="14"/>
      <c r="B156" s="14"/>
      <c r="C156" s="14"/>
      <c r="D156" s="14"/>
      <c r="E156" s="14"/>
      <c r="F156" s="14"/>
    </row>
    <row r="157" spans="1:12" ht="16.5" customHeight="1">
      <c r="A157" s="14"/>
      <c r="B157" s="14"/>
      <c r="C157" s="14"/>
      <c r="D157" s="14"/>
      <c r="E157" s="14"/>
      <c r="F157" s="14"/>
    </row>
    <row r="158" spans="1:12" ht="16.5" customHeight="1">
      <c r="A158" s="14"/>
      <c r="B158" s="14"/>
      <c r="C158" s="14"/>
      <c r="D158" s="14"/>
      <c r="E158" s="14"/>
      <c r="F158" s="14"/>
    </row>
    <row r="159" spans="1:12" ht="16.5" customHeight="1">
      <c r="A159" s="14"/>
      <c r="B159" s="14"/>
      <c r="C159" s="14"/>
      <c r="D159" s="14"/>
      <c r="E159" s="14"/>
      <c r="F159" s="14"/>
    </row>
    <row r="160" spans="1:12" ht="16.5" customHeight="1">
      <c r="A160" s="14"/>
      <c r="B160" s="14"/>
      <c r="C160" s="14"/>
      <c r="D160" s="14"/>
      <c r="E160" s="14"/>
      <c r="F160" s="14"/>
    </row>
    <row r="161" spans="1:6" ht="16.5" customHeight="1">
      <c r="A161" s="14"/>
      <c r="B161" s="14"/>
      <c r="C161" s="14"/>
      <c r="D161" s="14"/>
      <c r="E161" s="14"/>
      <c r="F161" s="14"/>
    </row>
    <row r="162" spans="1:6" ht="16.5" customHeight="1">
      <c r="A162" s="14"/>
      <c r="B162" s="14"/>
      <c r="C162" s="14"/>
      <c r="D162" s="14"/>
      <c r="E162" s="14"/>
      <c r="F162" s="14"/>
    </row>
    <row r="163" spans="1:6" ht="16.5" customHeight="1">
      <c r="A163" s="14"/>
      <c r="B163" s="14"/>
      <c r="C163" s="14"/>
      <c r="D163" s="14"/>
      <c r="E163" s="14"/>
      <c r="F163" s="14"/>
    </row>
    <row r="164" spans="1:6" ht="16.5" customHeight="1">
      <c r="A164" s="14"/>
      <c r="B164" s="14"/>
      <c r="C164" s="14"/>
      <c r="D164" s="14"/>
      <c r="E164" s="14"/>
      <c r="F164" s="14"/>
    </row>
    <row r="165" spans="1:6" ht="16.5" customHeight="1">
      <c r="A165" s="14"/>
      <c r="B165" s="14"/>
      <c r="C165" s="14"/>
      <c r="D165" s="14"/>
      <c r="E165" s="14"/>
      <c r="F165" s="14"/>
    </row>
    <row r="166" spans="1:6" ht="16.5" customHeight="1">
      <c r="A166" s="14"/>
      <c r="B166" s="14"/>
      <c r="C166" s="14"/>
      <c r="D166" s="14"/>
      <c r="E166" s="14"/>
      <c r="F166" s="14"/>
    </row>
    <row r="167" spans="1:6" ht="16.5" customHeight="1">
      <c r="A167" s="14"/>
      <c r="B167" s="14"/>
      <c r="C167" s="14"/>
      <c r="D167" s="14"/>
      <c r="E167" s="14"/>
      <c r="F167" s="14"/>
    </row>
    <row r="168" spans="1:6" ht="16.5" customHeight="1">
      <c r="A168" s="14"/>
      <c r="B168" s="14"/>
      <c r="C168" s="14"/>
      <c r="D168" s="14"/>
      <c r="E168" s="14"/>
      <c r="F168" s="14"/>
    </row>
    <row r="169" spans="1:6" ht="16.5" customHeight="1">
      <c r="A169" s="14"/>
      <c r="B169" s="14"/>
      <c r="C169" s="14"/>
      <c r="D169" s="14"/>
      <c r="E169" s="14"/>
      <c r="F169" s="14"/>
    </row>
    <row r="170" spans="1:6" ht="16.5" customHeight="1">
      <c r="A170" s="14"/>
      <c r="B170" s="14"/>
      <c r="C170" s="14"/>
      <c r="D170" s="14"/>
      <c r="E170" s="14"/>
      <c r="F170" s="14"/>
    </row>
    <row r="171" spans="1:6" ht="16.5" customHeight="1">
      <c r="A171" s="14"/>
      <c r="B171" s="14"/>
      <c r="C171" s="14"/>
      <c r="D171" s="14"/>
      <c r="E171" s="14"/>
      <c r="F171" s="14"/>
    </row>
    <row r="172" spans="1:6" ht="16.5" customHeight="1">
      <c r="A172" s="14"/>
      <c r="B172" s="14"/>
      <c r="C172" s="14"/>
      <c r="D172" s="14"/>
      <c r="E172" s="14"/>
      <c r="F172" s="14"/>
    </row>
    <row r="173" spans="1:6" ht="16.5" customHeight="1">
      <c r="A173" s="14"/>
      <c r="B173" s="14"/>
      <c r="C173" s="14"/>
      <c r="D173" s="14"/>
      <c r="E173" s="14"/>
      <c r="F173" s="14"/>
    </row>
    <row r="174" spans="1:6" ht="16.5" customHeight="1">
      <c r="A174" s="14"/>
      <c r="B174" s="14"/>
      <c r="C174" s="14"/>
      <c r="D174" s="14"/>
      <c r="E174" s="14"/>
      <c r="F174" s="14"/>
    </row>
    <row r="175" spans="1:6" ht="16.5" customHeight="1">
      <c r="A175" s="14"/>
      <c r="B175" s="14"/>
      <c r="C175" s="14"/>
      <c r="D175" s="14"/>
      <c r="E175" s="14"/>
      <c r="F175" s="14"/>
    </row>
    <row r="176" spans="1:6" ht="16.5" customHeight="1">
      <c r="A176" s="14"/>
      <c r="B176" s="14"/>
      <c r="C176" s="14"/>
      <c r="D176" s="14"/>
      <c r="E176" s="14"/>
      <c r="F176" s="14"/>
    </row>
    <row r="177" spans="1:6" ht="16.5" customHeight="1">
      <c r="A177" s="14"/>
      <c r="B177" s="14"/>
      <c r="C177" s="14"/>
      <c r="D177" s="14"/>
      <c r="E177" s="14"/>
      <c r="F177" s="14"/>
    </row>
    <row r="178" spans="1:6" ht="16.5" customHeight="1">
      <c r="A178" s="14"/>
      <c r="B178" s="14"/>
      <c r="C178" s="14"/>
      <c r="D178" s="14"/>
      <c r="E178" s="14"/>
      <c r="F178" s="14"/>
    </row>
    <row r="179" spans="1:6" ht="16.5" customHeight="1">
      <c r="A179" s="14"/>
      <c r="B179" s="14"/>
      <c r="C179" s="14"/>
      <c r="D179" s="14"/>
      <c r="E179" s="14"/>
      <c r="F179" s="14"/>
    </row>
    <row r="180" spans="1:6" ht="16.5" customHeight="1">
      <c r="A180" s="14"/>
      <c r="B180" s="14"/>
      <c r="C180" s="14"/>
      <c r="D180" s="14"/>
      <c r="E180" s="14"/>
      <c r="F180" s="14"/>
    </row>
    <row r="181" spans="1:6" ht="16.5" customHeight="1">
      <c r="A181" s="14"/>
      <c r="B181" s="14"/>
      <c r="C181" s="14"/>
      <c r="D181" s="14"/>
      <c r="E181" s="14"/>
      <c r="F181" s="14"/>
    </row>
    <row r="182" spans="1:6" ht="16.5" customHeight="1">
      <c r="A182" s="14"/>
      <c r="B182" s="14"/>
      <c r="C182" s="14"/>
      <c r="D182" s="14"/>
      <c r="E182" s="14"/>
      <c r="F182" s="14"/>
    </row>
    <row r="183" spans="1:6" ht="16.5" customHeight="1">
      <c r="A183" s="14"/>
      <c r="B183" s="14"/>
      <c r="C183" s="14"/>
      <c r="D183" s="14"/>
      <c r="E183" s="14"/>
      <c r="F183" s="14"/>
    </row>
    <row r="184" spans="1:6" ht="16.5" customHeight="1">
      <c r="A184" s="14"/>
      <c r="B184" s="14"/>
      <c r="C184" s="14"/>
      <c r="D184" s="14"/>
      <c r="E184" s="14"/>
      <c r="F184" s="14"/>
    </row>
    <row r="185" spans="1:6" ht="16.5" customHeight="1">
      <c r="A185" s="14"/>
      <c r="B185" s="14"/>
      <c r="C185" s="14"/>
      <c r="D185" s="14"/>
      <c r="E185" s="14"/>
      <c r="F185" s="14"/>
    </row>
    <row r="186" spans="1:6" ht="16.5" customHeight="1">
      <c r="A186" s="14"/>
      <c r="B186" s="14"/>
      <c r="C186" s="14"/>
      <c r="D186" s="14"/>
      <c r="E186" s="14"/>
      <c r="F186" s="14"/>
    </row>
    <row r="187" spans="1:6" ht="16.5" customHeight="1">
      <c r="A187" s="14"/>
      <c r="B187" s="14"/>
      <c r="C187" s="14"/>
      <c r="D187" s="14"/>
      <c r="E187" s="14"/>
      <c r="F187" s="14"/>
    </row>
    <row r="188" spans="1:6" ht="16.5" customHeight="1">
      <c r="A188" s="14"/>
      <c r="B188" s="14"/>
      <c r="C188" s="14"/>
      <c r="D188" s="14"/>
      <c r="E188" s="14"/>
      <c r="F188" s="14"/>
    </row>
    <row r="189" spans="1:6" ht="16.5" customHeight="1">
      <c r="A189" s="14"/>
      <c r="B189" s="14"/>
      <c r="C189" s="14"/>
      <c r="D189" s="14"/>
      <c r="E189" s="14"/>
      <c r="F189" s="14"/>
    </row>
    <row r="190" spans="1:6" ht="16.5" customHeight="1">
      <c r="A190" s="14"/>
      <c r="B190" s="14"/>
      <c r="C190" s="14"/>
      <c r="D190" s="14"/>
      <c r="E190" s="14"/>
      <c r="F190" s="14"/>
    </row>
    <row r="191" spans="1:6" ht="16.5" customHeight="1">
      <c r="A191" s="14"/>
      <c r="B191" s="14"/>
      <c r="C191" s="14"/>
      <c r="D191" s="14"/>
      <c r="E191" s="14"/>
      <c r="F191" s="14"/>
    </row>
    <row r="192" spans="1:6" ht="16.5" customHeight="1">
      <c r="A192" s="14"/>
      <c r="B192" s="14"/>
      <c r="C192" s="14"/>
      <c r="D192" s="14"/>
      <c r="E192" s="14"/>
      <c r="F192" s="14"/>
    </row>
    <row r="193" spans="1:6" ht="16.5" customHeight="1">
      <c r="A193" s="14"/>
      <c r="B193" s="14"/>
      <c r="C193" s="14"/>
      <c r="D193" s="14"/>
      <c r="E193" s="14"/>
      <c r="F193" s="14"/>
    </row>
    <row r="194" spans="1:6" ht="16.5" customHeight="1">
      <c r="A194" s="14"/>
      <c r="B194" s="14"/>
      <c r="C194" s="14"/>
      <c r="D194" s="14"/>
      <c r="E194" s="14"/>
      <c r="F194" s="14"/>
    </row>
    <row r="195" spans="1:6" ht="16.5" customHeight="1">
      <c r="A195" s="14"/>
      <c r="B195" s="14"/>
      <c r="C195" s="14"/>
      <c r="D195" s="14"/>
      <c r="E195" s="14"/>
      <c r="F195" s="14"/>
    </row>
    <row r="196" spans="1:6" ht="16.5" customHeight="1">
      <c r="A196" s="14"/>
      <c r="B196" s="14"/>
      <c r="C196" s="14"/>
      <c r="D196" s="14"/>
      <c r="E196" s="14"/>
      <c r="F196" s="14"/>
    </row>
    <row r="197" spans="1:6" ht="16.5" customHeight="1">
      <c r="A197" s="14"/>
      <c r="B197" s="14"/>
      <c r="C197" s="14"/>
      <c r="D197" s="14"/>
      <c r="E197" s="14"/>
      <c r="F197" s="14"/>
    </row>
    <row r="198" spans="1:6" ht="16.5" customHeight="1">
      <c r="A198" s="14"/>
      <c r="B198" s="14"/>
      <c r="C198" s="14"/>
      <c r="D198" s="14"/>
      <c r="E198" s="14"/>
      <c r="F198" s="14"/>
    </row>
    <row r="199" spans="1:6" ht="16.5" customHeight="1">
      <c r="A199" s="14"/>
      <c r="B199" s="14"/>
      <c r="C199" s="14"/>
      <c r="D199" s="14"/>
      <c r="E199" s="14"/>
      <c r="F199" s="14"/>
    </row>
    <row r="200" spans="1:6" ht="16.5" customHeight="1">
      <c r="A200" s="14"/>
      <c r="B200" s="14"/>
      <c r="C200" s="14"/>
      <c r="D200" s="14"/>
      <c r="E200" s="14"/>
      <c r="F200" s="14"/>
    </row>
    <row r="201" spans="1:6" ht="16.5" customHeight="1">
      <c r="A201" s="14"/>
      <c r="B201" s="14"/>
      <c r="C201" s="14"/>
      <c r="D201" s="14"/>
      <c r="E201" s="14"/>
      <c r="F201" s="14"/>
    </row>
    <row r="202" spans="1:6" ht="16.5" customHeight="1">
      <c r="A202" s="14"/>
      <c r="B202" s="14"/>
      <c r="C202" s="14"/>
      <c r="D202" s="14"/>
      <c r="E202" s="14"/>
      <c r="F202" s="14"/>
    </row>
    <row r="203" spans="1:6" ht="16.5" customHeight="1">
      <c r="A203" s="14"/>
      <c r="B203" s="14"/>
      <c r="C203" s="14"/>
      <c r="D203" s="14"/>
      <c r="E203" s="14"/>
      <c r="F203" s="14"/>
    </row>
    <row r="204" spans="1:6" ht="16.5" customHeight="1">
      <c r="A204" s="14"/>
      <c r="B204" s="14"/>
      <c r="C204" s="14"/>
      <c r="D204" s="14"/>
      <c r="E204" s="14"/>
      <c r="F204" s="14"/>
    </row>
    <row r="205" spans="1:6" ht="16.5" customHeight="1">
      <c r="A205" s="14"/>
      <c r="B205" s="14"/>
      <c r="C205" s="14"/>
      <c r="D205" s="14"/>
      <c r="E205" s="14"/>
      <c r="F205" s="14"/>
    </row>
    <row r="206" spans="1:6" ht="16.5" customHeight="1">
      <c r="A206" s="14"/>
      <c r="B206" s="14"/>
      <c r="C206" s="14"/>
      <c r="D206" s="14"/>
      <c r="E206" s="14"/>
      <c r="F206" s="14"/>
    </row>
    <row r="207" spans="1:6" ht="16.5" customHeight="1">
      <c r="A207" s="14"/>
      <c r="B207" s="14"/>
      <c r="C207" s="14"/>
      <c r="D207" s="14"/>
      <c r="E207" s="14"/>
      <c r="F207" s="14"/>
    </row>
    <row r="208" spans="1:6" ht="16.5" customHeight="1">
      <c r="A208" s="14"/>
      <c r="B208" s="14"/>
      <c r="C208" s="14"/>
      <c r="D208" s="14"/>
      <c r="E208" s="14"/>
      <c r="F208" s="14"/>
    </row>
    <row r="209" spans="1:6" ht="16.5" customHeight="1">
      <c r="A209" s="14"/>
      <c r="B209" s="14"/>
      <c r="C209" s="14"/>
      <c r="D209" s="14"/>
      <c r="E209" s="14"/>
      <c r="F209" s="14"/>
    </row>
    <row r="210" spans="1:6" ht="16.5" customHeight="1">
      <c r="A210" s="14"/>
      <c r="B210" s="14"/>
      <c r="C210" s="14"/>
      <c r="D210" s="14"/>
      <c r="E210" s="14"/>
      <c r="F210" s="14"/>
    </row>
    <row r="211" spans="1:6" ht="16.5" customHeight="1">
      <c r="A211" s="14"/>
      <c r="B211" s="14"/>
      <c r="C211" s="14"/>
      <c r="D211" s="14"/>
      <c r="E211" s="14"/>
      <c r="F211" s="14"/>
    </row>
    <row r="212" spans="1:6" ht="16.5" customHeight="1">
      <c r="A212" s="14"/>
      <c r="B212" s="14"/>
      <c r="C212" s="14"/>
      <c r="D212" s="14"/>
      <c r="E212" s="14"/>
      <c r="F212" s="14"/>
    </row>
    <row r="213" spans="1:6" ht="16.5" customHeight="1">
      <c r="A213" s="14"/>
      <c r="B213" s="14"/>
      <c r="C213" s="14"/>
      <c r="D213" s="14"/>
      <c r="E213" s="14"/>
      <c r="F213" s="14"/>
    </row>
    <row r="214" spans="1:6" ht="16.5" customHeight="1">
      <c r="A214" s="14"/>
      <c r="B214" s="14"/>
      <c r="C214" s="14"/>
      <c r="D214" s="14"/>
      <c r="E214" s="14"/>
      <c r="F214" s="14"/>
    </row>
    <row r="215" spans="1:6" ht="16.5" customHeight="1">
      <c r="A215" s="14"/>
      <c r="B215" s="14"/>
      <c r="C215" s="14"/>
      <c r="D215" s="14"/>
      <c r="E215" s="14"/>
      <c r="F215" s="14"/>
    </row>
    <row r="216" spans="1:6" ht="16.5" customHeight="1">
      <c r="A216" s="14"/>
      <c r="B216" s="14"/>
      <c r="C216" s="14"/>
      <c r="D216" s="14"/>
      <c r="E216" s="14"/>
      <c r="F216" s="14"/>
    </row>
    <row r="217" spans="1:6" ht="16.5" customHeight="1">
      <c r="A217" s="14"/>
      <c r="B217" s="14"/>
      <c r="C217" s="14"/>
      <c r="D217" s="14"/>
      <c r="E217" s="14"/>
      <c r="F217" s="14"/>
    </row>
    <row r="218" spans="1:6" ht="16.5" customHeight="1">
      <c r="A218" s="14"/>
      <c r="B218" s="14"/>
      <c r="C218" s="14"/>
      <c r="D218" s="14"/>
      <c r="E218" s="14"/>
      <c r="F218" s="14"/>
    </row>
    <row r="219" spans="1:6" ht="16.5" customHeight="1">
      <c r="A219" s="14"/>
      <c r="B219" s="14"/>
      <c r="C219" s="14"/>
      <c r="D219" s="14"/>
      <c r="E219" s="14"/>
      <c r="F219" s="14"/>
    </row>
    <row r="220" spans="1:6" ht="16.5" customHeight="1">
      <c r="A220" s="14"/>
      <c r="B220" s="14"/>
      <c r="C220" s="14"/>
      <c r="D220" s="14"/>
      <c r="E220" s="14"/>
      <c r="F220" s="14"/>
    </row>
    <row r="221" spans="1:6" ht="16.5" customHeight="1">
      <c r="A221" s="14"/>
      <c r="B221" s="14"/>
      <c r="C221" s="14"/>
      <c r="D221" s="14"/>
      <c r="E221" s="14"/>
      <c r="F221" s="14"/>
    </row>
    <row r="222" spans="1:6" ht="16.5" customHeight="1">
      <c r="A222" s="14"/>
      <c r="B222" s="14"/>
      <c r="C222" s="14"/>
      <c r="D222" s="14"/>
      <c r="E222" s="14"/>
      <c r="F222" s="14"/>
    </row>
    <row r="223" spans="1:6" ht="16.5" customHeight="1">
      <c r="A223" s="14"/>
      <c r="B223" s="14"/>
      <c r="C223" s="14"/>
      <c r="D223" s="14"/>
      <c r="E223" s="14"/>
      <c r="F223" s="14"/>
    </row>
    <row r="224" spans="1:6" ht="16.5" customHeight="1">
      <c r="A224" s="14"/>
      <c r="B224" s="14"/>
      <c r="C224" s="14"/>
      <c r="D224" s="14"/>
      <c r="E224" s="14"/>
      <c r="F224" s="14"/>
    </row>
    <row r="225" spans="1:6" ht="16.5" customHeight="1">
      <c r="A225" s="14"/>
      <c r="B225" s="14"/>
      <c r="C225" s="14"/>
      <c r="D225" s="14"/>
      <c r="E225" s="14"/>
      <c r="F225" s="14"/>
    </row>
    <row r="226" spans="1:6" ht="16.5" customHeight="1">
      <c r="A226" s="14"/>
      <c r="B226" s="14"/>
      <c r="C226" s="14"/>
      <c r="D226" s="14"/>
      <c r="E226" s="14"/>
      <c r="F226" s="14"/>
    </row>
    <row r="227" spans="1:6" ht="16.5" customHeight="1">
      <c r="A227" s="14"/>
      <c r="B227" s="14"/>
      <c r="C227" s="14"/>
      <c r="D227" s="14"/>
      <c r="E227" s="14"/>
      <c r="F227" s="14"/>
    </row>
    <row r="228" spans="1:6" ht="16.5" customHeight="1">
      <c r="A228" s="14"/>
      <c r="B228" s="14"/>
      <c r="C228" s="14"/>
      <c r="D228" s="14"/>
      <c r="E228" s="14"/>
      <c r="F228" s="14"/>
    </row>
    <row r="229" spans="1:6" ht="16.5" customHeight="1">
      <c r="A229" s="14"/>
      <c r="B229" s="14"/>
      <c r="C229" s="14"/>
      <c r="D229" s="14"/>
      <c r="E229" s="14"/>
      <c r="F229" s="14"/>
    </row>
    <row r="230" spans="1:6" ht="16.5" customHeight="1">
      <c r="A230" s="14"/>
      <c r="B230" s="14"/>
      <c r="C230" s="14"/>
      <c r="D230" s="14"/>
      <c r="E230" s="14"/>
      <c r="F230" s="14"/>
    </row>
    <row r="231" spans="1:6" ht="16.5" customHeight="1">
      <c r="A231" s="14"/>
      <c r="B231" s="14"/>
      <c r="C231" s="14"/>
      <c r="D231" s="14"/>
      <c r="E231" s="14"/>
      <c r="F231" s="14"/>
    </row>
    <row r="232" spans="1:6" ht="16.5" customHeight="1">
      <c r="A232" s="14"/>
      <c r="B232" s="14"/>
      <c r="C232" s="14"/>
      <c r="D232" s="14"/>
      <c r="E232" s="14"/>
      <c r="F232" s="14"/>
    </row>
    <row r="233" spans="1:6" ht="16.5" customHeight="1">
      <c r="A233" s="14"/>
      <c r="B233" s="14"/>
      <c r="C233" s="14"/>
      <c r="D233" s="14"/>
      <c r="E233" s="14"/>
      <c r="F233" s="14"/>
    </row>
    <row r="234" spans="1:6" ht="16.5" customHeight="1">
      <c r="A234" s="14"/>
      <c r="B234" s="14"/>
      <c r="C234" s="14"/>
      <c r="D234" s="14"/>
      <c r="E234" s="14"/>
      <c r="F234" s="14"/>
    </row>
    <row r="235" spans="1:6" ht="16.5" customHeight="1">
      <c r="A235" s="14"/>
      <c r="B235" s="14"/>
      <c r="C235" s="14"/>
      <c r="D235" s="14"/>
      <c r="E235" s="14"/>
      <c r="F235" s="14"/>
    </row>
    <row r="236" spans="1:6" ht="16.5" customHeight="1">
      <c r="A236" s="14"/>
      <c r="B236" s="14"/>
      <c r="C236" s="14"/>
      <c r="D236" s="14"/>
      <c r="E236" s="14"/>
      <c r="F236" s="14"/>
    </row>
    <row r="237" spans="1:6" ht="16.5" customHeight="1">
      <c r="A237" s="14"/>
      <c r="B237" s="14"/>
      <c r="C237" s="14"/>
      <c r="D237" s="14"/>
      <c r="E237" s="14"/>
      <c r="F237" s="14"/>
    </row>
    <row r="238" spans="1:6" ht="16.5" customHeight="1">
      <c r="A238" s="14"/>
      <c r="B238" s="14"/>
      <c r="C238" s="14"/>
      <c r="D238" s="14"/>
      <c r="E238" s="14"/>
      <c r="F238" s="14"/>
    </row>
    <row r="239" spans="1:6" ht="16.5" customHeight="1">
      <c r="A239" s="14"/>
      <c r="B239" s="14"/>
      <c r="C239" s="14"/>
      <c r="D239" s="14"/>
      <c r="E239" s="14"/>
      <c r="F239" s="14"/>
    </row>
    <row r="240" spans="1:6" ht="16.5" customHeight="1">
      <c r="A240" s="14"/>
      <c r="B240" s="14"/>
      <c r="C240" s="14"/>
      <c r="D240" s="14"/>
      <c r="E240" s="14"/>
      <c r="F240" s="14"/>
    </row>
    <row r="241" spans="1:6" ht="16.5" customHeight="1">
      <c r="A241" s="14"/>
      <c r="B241" s="14"/>
      <c r="C241" s="14"/>
      <c r="D241" s="14"/>
      <c r="E241" s="14"/>
      <c r="F241" s="14"/>
    </row>
    <row r="242" spans="1:6" ht="16.5" customHeight="1">
      <c r="A242" s="14"/>
      <c r="B242" s="14"/>
      <c r="C242" s="14"/>
      <c r="D242" s="14"/>
      <c r="E242" s="14"/>
      <c r="F242" s="14"/>
    </row>
    <row r="243" spans="1:6" ht="16.5" customHeight="1">
      <c r="A243" s="14"/>
      <c r="B243" s="14"/>
      <c r="C243" s="14"/>
      <c r="D243" s="14"/>
      <c r="E243" s="14"/>
      <c r="F243" s="14"/>
    </row>
    <row r="244" spans="1:6" ht="16.5" customHeight="1">
      <c r="A244" s="14"/>
      <c r="B244" s="14"/>
      <c r="C244" s="14"/>
      <c r="D244" s="14"/>
      <c r="E244" s="14"/>
      <c r="F244" s="14"/>
    </row>
    <row r="245" spans="1:6" ht="16.5" customHeight="1">
      <c r="A245" s="14"/>
      <c r="B245" s="14"/>
      <c r="C245" s="14"/>
      <c r="D245" s="14"/>
      <c r="E245" s="14"/>
      <c r="F245" s="14"/>
    </row>
    <row r="246" spans="1:6" ht="16.5" customHeight="1">
      <c r="A246" s="14"/>
      <c r="B246" s="14"/>
      <c r="C246" s="14"/>
      <c r="D246" s="14"/>
      <c r="E246" s="14"/>
      <c r="F246" s="14"/>
    </row>
    <row r="247" spans="1:6" ht="16.5" customHeight="1">
      <c r="A247" s="14"/>
      <c r="B247" s="14"/>
      <c r="C247" s="14"/>
      <c r="D247" s="14"/>
      <c r="E247" s="14"/>
      <c r="F247" s="14"/>
    </row>
    <row r="248" spans="1:6" ht="16.5" customHeight="1">
      <c r="A248" s="14"/>
      <c r="B248" s="14"/>
      <c r="C248" s="14"/>
      <c r="D248" s="14"/>
      <c r="E248" s="14"/>
      <c r="F248" s="14"/>
    </row>
    <row r="249" spans="1:6" ht="16.5" customHeight="1">
      <c r="A249" s="14"/>
      <c r="B249" s="14"/>
      <c r="C249" s="14"/>
      <c r="D249" s="14"/>
      <c r="E249" s="14"/>
      <c r="F249" s="14"/>
    </row>
    <row r="250" spans="1:6" ht="16.5" customHeight="1">
      <c r="A250" s="14"/>
      <c r="B250" s="14"/>
      <c r="C250" s="14"/>
      <c r="D250" s="14"/>
      <c r="E250" s="14"/>
      <c r="F250" s="14"/>
    </row>
    <row r="251" spans="1:6" ht="16.5" customHeight="1">
      <c r="A251" s="14"/>
      <c r="B251" s="14"/>
      <c r="C251" s="14"/>
      <c r="D251" s="14"/>
      <c r="E251" s="14"/>
      <c r="F251" s="14"/>
    </row>
    <row r="252" spans="1:6" ht="16.5" customHeight="1">
      <c r="A252" s="14"/>
      <c r="B252" s="14"/>
      <c r="C252" s="14"/>
      <c r="D252" s="14"/>
      <c r="E252" s="14"/>
      <c r="F252" s="14"/>
    </row>
    <row r="253" spans="1:6" ht="16.5" customHeight="1">
      <c r="A253" s="14"/>
      <c r="B253" s="14"/>
      <c r="C253" s="14"/>
      <c r="D253" s="14"/>
      <c r="E253" s="14"/>
      <c r="F253" s="14"/>
    </row>
    <row r="254" spans="1:6" ht="16.5" customHeight="1">
      <c r="A254" s="14"/>
      <c r="B254" s="14"/>
      <c r="C254" s="14"/>
      <c r="D254" s="14"/>
      <c r="E254" s="14"/>
      <c r="F254" s="14"/>
    </row>
    <row r="255" spans="1:6" ht="16.5" customHeight="1">
      <c r="A255" s="14"/>
      <c r="B255" s="14"/>
      <c r="C255" s="14"/>
      <c r="D255" s="14"/>
      <c r="E255" s="14"/>
      <c r="F255" s="14"/>
    </row>
    <row r="256" spans="1:6" ht="16.5" customHeight="1">
      <c r="A256" s="14"/>
      <c r="B256" s="14"/>
      <c r="C256" s="14"/>
      <c r="D256" s="14"/>
      <c r="E256" s="14"/>
      <c r="F256" s="14"/>
    </row>
    <row r="257" spans="1:6" ht="16.5" customHeight="1">
      <c r="A257" s="14"/>
      <c r="B257" s="14"/>
      <c r="C257" s="14"/>
      <c r="D257" s="14"/>
      <c r="E257" s="14"/>
      <c r="F257" s="14"/>
    </row>
    <row r="258" spans="1:6" ht="16.5" customHeight="1">
      <c r="A258" s="14"/>
      <c r="B258" s="14"/>
      <c r="C258" s="14"/>
      <c r="D258" s="14"/>
      <c r="E258" s="14"/>
      <c r="F258" s="14"/>
    </row>
    <row r="259" spans="1:6" ht="16.5" customHeight="1">
      <c r="A259" s="14"/>
      <c r="B259" s="14"/>
      <c r="C259" s="14"/>
      <c r="D259" s="14"/>
      <c r="E259" s="14"/>
      <c r="F259" s="14"/>
    </row>
    <row r="260" spans="1:6" ht="16.5" customHeight="1">
      <c r="A260" s="14"/>
      <c r="B260" s="14"/>
      <c r="C260" s="14"/>
      <c r="D260" s="14"/>
      <c r="E260" s="14"/>
      <c r="F260" s="14"/>
    </row>
    <row r="261" spans="1:6" ht="16.5" customHeight="1">
      <c r="A261" s="14"/>
      <c r="B261" s="14"/>
      <c r="C261" s="14"/>
      <c r="D261" s="14"/>
      <c r="E261" s="14"/>
      <c r="F261" s="14"/>
    </row>
    <row r="262" spans="1:6" ht="16.5" customHeight="1">
      <c r="A262" s="14"/>
      <c r="B262" s="14"/>
      <c r="C262" s="14"/>
      <c r="D262" s="14"/>
      <c r="E262" s="14"/>
      <c r="F262" s="14"/>
    </row>
    <row r="263" spans="1:6" ht="16.5" customHeight="1">
      <c r="A263" s="14"/>
      <c r="B263" s="14"/>
      <c r="C263" s="14"/>
      <c r="D263" s="14"/>
      <c r="E263" s="14"/>
      <c r="F263" s="14"/>
    </row>
    <row r="264" spans="1:6" ht="16.5" customHeight="1">
      <c r="A264" s="14"/>
      <c r="B264" s="14"/>
      <c r="C264" s="14"/>
      <c r="D264" s="14"/>
      <c r="E264" s="14"/>
      <c r="F264" s="14"/>
    </row>
    <row r="265" spans="1:6" ht="16.5" customHeight="1">
      <c r="A265" s="14"/>
      <c r="B265" s="14"/>
      <c r="C265" s="14"/>
      <c r="D265" s="14"/>
      <c r="E265" s="14"/>
      <c r="F265" s="14"/>
    </row>
    <row r="266" spans="1:6" ht="16.5" customHeight="1">
      <c r="A266" s="14"/>
      <c r="B266" s="14"/>
      <c r="C266" s="14"/>
      <c r="D266" s="14"/>
      <c r="E266" s="14"/>
      <c r="F266" s="14"/>
    </row>
    <row r="267" spans="1:6" ht="16.5" customHeight="1">
      <c r="A267" s="14"/>
      <c r="B267" s="14"/>
      <c r="C267" s="14"/>
      <c r="D267" s="14"/>
      <c r="E267" s="14"/>
      <c r="F267" s="14"/>
    </row>
    <row r="268" spans="1:6" ht="16.5" customHeight="1">
      <c r="A268" s="14"/>
      <c r="B268" s="14"/>
      <c r="C268" s="14"/>
      <c r="D268" s="14"/>
      <c r="E268" s="14"/>
      <c r="F268" s="14"/>
    </row>
    <row r="269" spans="1:6" ht="16.5" customHeight="1">
      <c r="A269" s="14"/>
      <c r="B269" s="14"/>
      <c r="C269" s="14"/>
      <c r="D269" s="14"/>
      <c r="E269" s="14"/>
      <c r="F269" s="14"/>
    </row>
    <row r="270" spans="1:6" ht="16.5" customHeight="1">
      <c r="A270" s="14"/>
      <c r="B270" s="14"/>
      <c r="C270" s="14"/>
      <c r="D270" s="14"/>
      <c r="E270" s="14"/>
      <c r="F270" s="14"/>
    </row>
    <row r="271" spans="1:6" ht="16.5" customHeight="1">
      <c r="A271" s="14"/>
      <c r="B271" s="14"/>
      <c r="C271" s="14"/>
      <c r="D271" s="14"/>
      <c r="E271" s="14"/>
      <c r="F271" s="14"/>
    </row>
    <row r="272" spans="1:6" ht="16.5" customHeight="1">
      <c r="A272" s="14"/>
      <c r="B272" s="14"/>
      <c r="C272" s="14"/>
      <c r="D272" s="14"/>
      <c r="E272" s="14"/>
      <c r="F272" s="14"/>
    </row>
    <row r="273" spans="1:6" ht="16.5" customHeight="1">
      <c r="A273" s="14"/>
      <c r="B273" s="14"/>
      <c r="C273" s="14"/>
      <c r="D273" s="14"/>
      <c r="E273" s="14"/>
      <c r="F273" s="14"/>
    </row>
    <row r="274" spans="1:6" ht="16.5" customHeight="1">
      <c r="A274" s="14"/>
      <c r="B274" s="14"/>
      <c r="C274" s="14"/>
      <c r="D274" s="14"/>
      <c r="E274" s="14"/>
      <c r="F274" s="14"/>
    </row>
    <row r="275" spans="1:6" ht="16.5" customHeight="1">
      <c r="A275" s="14"/>
      <c r="B275" s="14"/>
      <c r="C275" s="14"/>
      <c r="D275" s="14"/>
      <c r="E275" s="14"/>
      <c r="F275" s="14"/>
    </row>
    <row r="276" spans="1:6" ht="16.5" customHeight="1">
      <c r="A276" s="14"/>
      <c r="B276" s="14"/>
      <c r="C276" s="14"/>
      <c r="D276" s="14"/>
      <c r="E276" s="14"/>
      <c r="F276" s="14"/>
    </row>
    <row r="277" spans="1:6" ht="16.5" customHeight="1">
      <c r="A277" s="14"/>
      <c r="B277" s="14"/>
      <c r="C277" s="14"/>
      <c r="D277" s="14"/>
      <c r="E277" s="14"/>
      <c r="F277" s="14"/>
    </row>
    <row r="278" spans="1:6" ht="16.5" customHeight="1">
      <c r="A278" s="14"/>
      <c r="B278" s="14"/>
      <c r="C278" s="14"/>
      <c r="D278" s="14"/>
      <c r="E278" s="14"/>
      <c r="F278" s="14"/>
    </row>
    <row r="279" spans="1:6" ht="16.5" customHeight="1">
      <c r="A279" s="14"/>
      <c r="B279" s="14"/>
      <c r="C279" s="14"/>
      <c r="D279" s="14"/>
      <c r="E279" s="14"/>
      <c r="F279" s="14"/>
    </row>
    <row r="280" spans="1:6" ht="16.5" customHeight="1">
      <c r="A280" s="14"/>
      <c r="B280" s="14"/>
      <c r="C280" s="14"/>
      <c r="D280" s="14"/>
      <c r="E280" s="14"/>
      <c r="F280" s="14"/>
    </row>
    <row r="281" spans="1:6" ht="16.5" customHeight="1">
      <c r="A281" s="14"/>
      <c r="B281" s="14"/>
      <c r="C281" s="14"/>
      <c r="D281" s="14"/>
      <c r="E281" s="14"/>
      <c r="F281" s="14"/>
    </row>
    <row r="282" spans="1:6" ht="16.5" customHeight="1">
      <c r="A282" s="14"/>
      <c r="B282" s="14"/>
      <c r="C282" s="14"/>
      <c r="D282" s="14"/>
      <c r="E282" s="14"/>
      <c r="F282" s="14"/>
    </row>
    <row r="283" spans="1:6" ht="16.5" customHeight="1">
      <c r="A283" s="14"/>
      <c r="B283" s="14"/>
      <c r="C283" s="14"/>
      <c r="D283" s="14"/>
      <c r="E283" s="14"/>
      <c r="F283" s="14"/>
    </row>
    <row r="284" spans="1:6" ht="16.5" customHeight="1">
      <c r="A284" s="14"/>
      <c r="B284" s="14"/>
      <c r="C284" s="14"/>
      <c r="D284" s="14"/>
      <c r="E284" s="14"/>
      <c r="F284" s="14"/>
    </row>
    <row r="285" spans="1:6" ht="16.5" customHeight="1">
      <c r="A285" s="14"/>
      <c r="B285" s="14"/>
      <c r="C285" s="14"/>
      <c r="D285" s="14"/>
      <c r="E285" s="14"/>
      <c r="F285" s="14"/>
    </row>
    <row r="286" spans="1:6" ht="16.5" customHeight="1">
      <c r="A286" s="14"/>
      <c r="B286" s="14"/>
      <c r="C286" s="14"/>
      <c r="D286" s="14"/>
      <c r="E286" s="14"/>
      <c r="F286" s="14"/>
    </row>
    <row r="287" spans="1:6" ht="16.5" customHeight="1">
      <c r="A287" s="14"/>
      <c r="B287" s="14"/>
      <c r="C287" s="14"/>
      <c r="D287" s="14"/>
      <c r="E287" s="14"/>
      <c r="F287" s="14"/>
    </row>
    <row r="288" spans="1:6" ht="16.5" customHeight="1">
      <c r="A288" s="14"/>
      <c r="B288" s="14"/>
      <c r="C288" s="14"/>
      <c r="D288" s="14"/>
      <c r="E288" s="14"/>
      <c r="F288" s="14"/>
    </row>
    <row r="289" spans="1:6" ht="16.5" customHeight="1">
      <c r="A289" s="14"/>
      <c r="B289" s="14"/>
      <c r="C289" s="14"/>
      <c r="D289" s="14"/>
      <c r="E289" s="14"/>
      <c r="F289" s="14"/>
    </row>
    <row r="290" spans="1:6" ht="16.5" customHeight="1">
      <c r="A290" s="14"/>
      <c r="B290" s="14"/>
      <c r="C290" s="14"/>
      <c r="D290" s="14"/>
      <c r="E290" s="14"/>
      <c r="F290" s="14"/>
    </row>
    <row r="291" spans="1:6" ht="16.5" customHeight="1">
      <c r="A291" s="14"/>
      <c r="B291" s="14"/>
      <c r="C291" s="14"/>
      <c r="D291" s="14"/>
      <c r="E291" s="14"/>
      <c r="F291" s="14"/>
    </row>
    <row r="292" spans="1:6" ht="16.5" customHeight="1">
      <c r="A292" s="14"/>
      <c r="B292" s="14"/>
      <c r="C292" s="14"/>
      <c r="D292" s="14"/>
      <c r="E292" s="14"/>
      <c r="F292" s="14"/>
    </row>
    <row r="293" spans="1:6" ht="16.5" customHeight="1">
      <c r="A293" s="14"/>
      <c r="B293" s="14"/>
      <c r="C293" s="14"/>
      <c r="D293" s="14"/>
      <c r="E293" s="14"/>
      <c r="F293" s="14"/>
    </row>
    <row r="294" spans="1:6" ht="16.5" customHeight="1">
      <c r="A294" s="14"/>
      <c r="B294" s="14"/>
      <c r="C294" s="14"/>
      <c r="D294" s="14"/>
      <c r="E294" s="14"/>
      <c r="F294" s="14"/>
    </row>
    <row r="295" spans="1:6" ht="16.5" customHeight="1">
      <c r="A295" s="14"/>
      <c r="B295" s="14"/>
      <c r="C295" s="14"/>
      <c r="D295" s="14"/>
      <c r="E295" s="14"/>
      <c r="F295" s="14"/>
    </row>
    <row r="296" spans="1:6" ht="16.5" customHeight="1">
      <c r="A296" s="14"/>
      <c r="B296" s="14"/>
      <c r="C296" s="14"/>
      <c r="D296" s="14"/>
      <c r="E296" s="14"/>
      <c r="F296" s="14"/>
    </row>
    <row r="297" spans="1:6" ht="16.5" customHeight="1">
      <c r="A297" s="14"/>
      <c r="B297" s="14"/>
      <c r="C297" s="14"/>
      <c r="D297" s="14"/>
      <c r="E297" s="14"/>
      <c r="F297" s="14"/>
    </row>
    <row r="298" spans="1:6" ht="16.5" customHeight="1">
      <c r="A298" s="14"/>
      <c r="B298" s="14"/>
      <c r="C298" s="14"/>
      <c r="D298" s="14"/>
      <c r="E298" s="14"/>
      <c r="F298" s="14"/>
    </row>
    <row r="299" spans="1:6" ht="16.5" customHeight="1">
      <c r="A299" s="14"/>
      <c r="B299" s="14"/>
      <c r="C299" s="14"/>
      <c r="D299" s="14"/>
      <c r="E299" s="14"/>
      <c r="F299" s="14"/>
    </row>
    <row r="300" spans="1:6" ht="16.5" customHeight="1">
      <c r="A300" s="14"/>
      <c r="B300" s="14"/>
      <c r="C300" s="14"/>
      <c r="D300" s="14"/>
      <c r="E300" s="14"/>
      <c r="F300" s="14"/>
    </row>
    <row r="301" spans="1:6" ht="16.5" customHeight="1">
      <c r="A301" s="14"/>
      <c r="B301" s="14"/>
      <c r="C301" s="14"/>
      <c r="D301" s="14"/>
      <c r="E301" s="14"/>
      <c r="F301" s="14"/>
    </row>
    <row r="302" spans="1:6" ht="16.5" customHeight="1">
      <c r="A302" s="14"/>
      <c r="B302" s="14"/>
      <c r="C302" s="14"/>
      <c r="D302" s="14"/>
      <c r="E302" s="14"/>
      <c r="F302" s="14"/>
    </row>
    <row r="303" spans="1:6" ht="16.5" customHeight="1">
      <c r="A303" s="14"/>
      <c r="B303" s="14"/>
      <c r="C303" s="14"/>
      <c r="D303" s="14"/>
      <c r="E303" s="14"/>
      <c r="F303" s="14"/>
    </row>
    <row r="304" spans="1:6" ht="16.5" customHeight="1">
      <c r="A304" s="14"/>
      <c r="B304" s="14"/>
      <c r="C304" s="14"/>
      <c r="D304" s="14"/>
      <c r="E304" s="14"/>
      <c r="F304" s="14"/>
    </row>
    <row r="305" spans="1:6" ht="16.5" customHeight="1">
      <c r="A305" s="14"/>
      <c r="B305" s="14"/>
      <c r="C305" s="14"/>
      <c r="D305" s="14"/>
      <c r="E305" s="14"/>
      <c r="F305" s="14"/>
    </row>
    <row r="306" spans="1:6" ht="16.5" customHeight="1">
      <c r="A306" s="14"/>
      <c r="B306" s="14"/>
      <c r="C306" s="14"/>
      <c r="D306" s="14"/>
      <c r="E306" s="14"/>
      <c r="F306" s="14"/>
    </row>
    <row r="307" spans="1:6" ht="16.5" customHeight="1">
      <c r="A307" s="14"/>
      <c r="B307" s="14"/>
      <c r="C307" s="14"/>
      <c r="D307" s="14"/>
      <c r="E307" s="14"/>
      <c r="F307" s="14"/>
    </row>
    <row r="308" spans="1:6" ht="16.5" customHeight="1">
      <c r="A308" s="14"/>
      <c r="B308" s="14"/>
      <c r="C308" s="14"/>
      <c r="D308" s="14"/>
      <c r="E308" s="14"/>
      <c r="F308" s="14"/>
    </row>
    <row r="309" spans="1:6" ht="16.5" customHeight="1">
      <c r="A309" s="14"/>
      <c r="B309" s="14"/>
      <c r="C309" s="14"/>
      <c r="D309" s="14"/>
      <c r="E309" s="14"/>
      <c r="F309" s="14"/>
    </row>
    <row r="310" spans="1:6" ht="16.5" customHeight="1">
      <c r="A310" s="14"/>
      <c r="B310" s="14"/>
      <c r="C310" s="14"/>
      <c r="D310" s="14"/>
      <c r="E310" s="14"/>
      <c r="F310" s="14"/>
    </row>
    <row r="311" spans="1:6" ht="16.5" customHeight="1">
      <c r="A311" s="14"/>
      <c r="B311" s="14"/>
      <c r="C311" s="14"/>
      <c r="D311" s="14"/>
      <c r="E311" s="14"/>
      <c r="F311" s="14"/>
    </row>
    <row r="312" spans="1:6" ht="16.5" customHeight="1">
      <c r="A312" s="14"/>
      <c r="B312" s="14"/>
      <c r="C312" s="14"/>
      <c r="D312" s="14"/>
      <c r="E312" s="14"/>
      <c r="F312" s="14"/>
    </row>
    <row r="313" spans="1:6" ht="16.5" customHeight="1">
      <c r="A313" s="14"/>
      <c r="B313" s="14"/>
      <c r="C313" s="14"/>
      <c r="D313" s="14"/>
      <c r="E313" s="14"/>
      <c r="F313" s="14"/>
    </row>
    <row r="314" spans="1:6" ht="16.5" customHeight="1">
      <c r="A314" s="14"/>
      <c r="B314" s="14"/>
      <c r="C314" s="14"/>
      <c r="D314" s="14"/>
      <c r="E314" s="14"/>
      <c r="F314" s="14"/>
    </row>
    <row r="315" spans="1:6" ht="16.5" customHeight="1">
      <c r="A315" s="14"/>
      <c r="B315" s="14"/>
      <c r="C315" s="14"/>
      <c r="D315" s="14"/>
      <c r="E315" s="14"/>
      <c r="F315" s="14"/>
    </row>
    <row r="316" spans="1:6" ht="16.5" customHeight="1">
      <c r="A316" s="14"/>
      <c r="B316" s="14"/>
      <c r="C316" s="14"/>
      <c r="D316" s="14"/>
      <c r="E316" s="14"/>
      <c r="F316" s="14"/>
    </row>
    <row r="317" spans="1:6" ht="16.5" customHeight="1">
      <c r="A317" s="14"/>
      <c r="B317" s="14"/>
      <c r="C317" s="14"/>
      <c r="D317" s="14"/>
      <c r="E317" s="14"/>
      <c r="F317" s="14"/>
    </row>
    <row r="318" spans="1:6" ht="16.5" customHeight="1">
      <c r="A318" s="14"/>
      <c r="B318" s="14"/>
      <c r="C318" s="14"/>
      <c r="D318" s="14"/>
      <c r="E318" s="14"/>
      <c r="F318" s="14"/>
    </row>
    <row r="319" spans="1:6" ht="16.5" customHeight="1">
      <c r="A319" s="14"/>
      <c r="B319" s="14"/>
      <c r="C319" s="14"/>
      <c r="D319" s="14"/>
      <c r="E319" s="14"/>
      <c r="F319" s="14"/>
    </row>
    <row r="320" spans="1:6" ht="16.5" customHeight="1">
      <c r="A320" s="14"/>
      <c r="B320" s="14"/>
      <c r="C320" s="14"/>
      <c r="D320" s="14"/>
      <c r="E320" s="14"/>
      <c r="F320" s="14"/>
    </row>
    <row r="321" spans="1:6" ht="16.5" customHeight="1">
      <c r="A321" s="14"/>
      <c r="B321" s="14"/>
      <c r="C321" s="14"/>
      <c r="D321" s="14"/>
      <c r="E321" s="14"/>
      <c r="F321" s="14"/>
    </row>
    <row r="322" spans="1:6" ht="16.5" customHeight="1">
      <c r="A322" s="14"/>
      <c r="B322" s="14"/>
      <c r="C322" s="14"/>
      <c r="D322" s="14"/>
      <c r="E322" s="14"/>
      <c r="F322" s="14"/>
    </row>
    <row r="323" spans="1:6" ht="16.5" customHeight="1">
      <c r="A323" s="14"/>
      <c r="B323" s="14"/>
      <c r="C323" s="14"/>
      <c r="D323" s="14"/>
      <c r="E323" s="14"/>
      <c r="F323" s="14"/>
    </row>
    <row r="324" spans="1:6" ht="16.5" customHeight="1">
      <c r="A324" s="14"/>
      <c r="B324" s="14"/>
      <c r="C324" s="14"/>
      <c r="D324" s="14"/>
      <c r="E324" s="14"/>
      <c r="F324" s="14"/>
    </row>
    <row r="325" spans="1:6" ht="16.5" customHeight="1">
      <c r="A325" s="14"/>
      <c r="B325" s="14"/>
      <c r="C325" s="14"/>
      <c r="D325" s="14"/>
      <c r="E325" s="14"/>
      <c r="F325" s="14"/>
    </row>
    <row r="326" spans="1:6" ht="16.5" customHeight="1">
      <c r="A326" s="14"/>
      <c r="B326" s="14"/>
      <c r="C326" s="14"/>
      <c r="D326" s="14"/>
      <c r="E326" s="14"/>
      <c r="F326" s="14"/>
    </row>
    <row r="327" spans="1:6" ht="16.5" customHeight="1">
      <c r="A327" s="14"/>
      <c r="B327" s="14"/>
      <c r="C327" s="14"/>
      <c r="D327" s="14"/>
      <c r="E327" s="14"/>
      <c r="F327" s="14"/>
    </row>
    <row r="328" spans="1:6" ht="16.5" customHeight="1">
      <c r="A328" s="14"/>
      <c r="B328" s="14"/>
      <c r="C328" s="14"/>
      <c r="D328" s="14"/>
      <c r="E328" s="14"/>
      <c r="F328" s="14"/>
    </row>
    <row r="329" spans="1:6" ht="16.5" customHeight="1">
      <c r="A329" s="14"/>
      <c r="B329" s="14"/>
      <c r="C329" s="14"/>
      <c r="D329" s="14"/>
      <c r="E329" s="14"/>
      <c r="F329" s="14"/>
    </row>
    <row r="330" spans="1:6" ht="16.5" customHeight="1">
      <c r="A330" s="14"/>
      <c r="B330" s="14"/>
      <c r="C330" s="14"/>
      <c r="D330" s="14"/>
      <c r="E330" s="14"/>
      <c r="F330" s="14"/>
    </row>
    <row r="331" spans="1:6" ht="16.5" customHeight="1">
      <c r="A331" s="14"/>
      <c r="B331" s="14"/>
      <c r="C331" s="14"/>
      <c r="D331" s="14"/>
      <c r="E331" s="14"/>
      <c r="F331" s="14"/>
    </row>
    <row r="332" spans="1:6" ht="16.5" customHeight="1">
      <c r="A332" s="14"/>
      <c r="B332" s="14"/>
      <c r="C332" s="14"/>
      <c r="D332" s="14"/>
      <c r="E332" s="14"/>
      <c r="F332" s="14"/>
    </row>
    <row r="333" spans="1:6" ht="16.5" customHeight="1">
      <c r="A333" s="14"/>
      <c r="B333" s="14"/>
      <c r="C333" s="14"/>
      <c r="D333" s="14"/>
      <c r="E333" s="14"/>
      <c r="F333" s="14"/>
    </row>
    <row r="334" spans="1:6" ht="16.5" customHeight="1">
      <c r="A334" s="14"/>
      <c r="B334" s="14"/>
      <c r="C334" s="14"/>
      <c r="D334" s="14"/>
      <c r="E334" s="14"/>
      <c r="F334" s="14"/>
    </row>
    <row r="335" spans="1:6" ht="16.5" customHeight="1">
      <c r="A335" s="14"/>
      <c r="B335" s="14"/>
      <c r="C335" s="14"/>
      <c r="D335" s="14"/>
      <c r="E335" s="14"/>
      <c r="F335" s="14"/>
    </row>
    <row r="336" spans="1:6" ht="16.5" customHeight="1">
      <c r="A336" s="14"/>
      <c r="B336" s="14"/>
      <c r="C336" s="14"/>
      <c r="D336" s="14"/>
      <c r="E336" s="14"/>
      <c r="F336" s="14"/>
    </row>
    <row r="337" spans="1:6" ht="16.5" customHeight="1">
      <c r="A337" s="14"/>
      <c r="B337" s="14"/>
      <c r="C337" s="14"/>
      <c r="D337" s="14"/>
      <c r="E337" s="14"/>
      <c r="F337" s="14"/>
    </row>
    <row r="338" spans="1:6" ht="16.5" customHeight="1">
      <c r="A338" s="14"/>
      <c r="B338" s="14"/>
      <c r="C338" s="14"/>
      <c r="D338" s="14"/>
      <c r="E338" s="14"/>
      <c r="F338" s="14"/>
    </row>
    <row r="339" spans="1:6" ht="16.5" customHeight="1">
      <c r="A339" s="14"/>
      <c r="B339" s="14"/>
      <c r="C339" s="14"/>
      <c r="D339" s="14"/>
      <c r="E339" s="14"/>
      <c r="F339" s="14"/>
    </row>
    <row r="340" spans="1:6" ht="16.5" customHeight="1">
      <c r="A340" s="14"/>
      <c r="B340" s="14"/>
      <c r="C340" s="14"/>
      <c r="D340" s="14"/>
      <c r="E340" s="14"/>
      <c r="F340" s="14"/>
    </row>
    <row r="341" spans="1:6" ht="16.5" customHeight="1">
      <c r="A341" s="14"/>
      <c r="B341" s="14"/>
      <c r="C341" s="14"/>
      <c r="D341" s="14"/>
      <c r="E341" s="14"/>
      <c r="F341" s="14"/>
    </row>
    <row r="342" spans="1:6" ht="16.5" customHeight="1">
      <c r="A342" s="14"/>
      <c r="B342" s="14"/>
      <c r="C342" s="14"/>
      <c r="D342" s="14"/>
      <c r="E342" s="14"/>
      <c r="F342" s="14"/>
    </row>
    <row r="343" spans="1:6" ht="16.5" customHeight="1">
      <c r="A343" s="14"/>
      <c r="B343" s="14"/>
      <c r="C343" s="14"/>
      <c r="D343" s="14"/>
      <c r="E343" s="14"/>
      <c r="F343" s="14"/>
    </row>
    <row r="344" spans="1:6" ht="16.5" customHeight="1">
      <c r="A344" s="14"/>
      <c r="B344" s="14"/>
      <c r="C344" s="14"/>
      <c r="D344" s="14"/>
      <c r="E344" s="14"/>
      <c r="F344" s="14"/>
    </row>
    <row r="345" spans="1:6" ht="16.5" customHeight="1">
      <c r="A345" s="14"/>
      <c r="B345" s="14"/>
      <c r="C345" s="14"/>
      <c r="D345" s="14"/>
      <c r="E345" s="14"/>
      <c r="F345" s="14"/>
    </row>
    <row r="346" spans="1:6" ht="16.5" customHeight="1">
      <c r="A346" s="14"/>
      <c r="B346" s="14"/>
      <c r="C346" s="14"/>
      <c r="D346" s="14"/>
      <c r="E346" s="14"/>
      <c r="F346" s="14"/>
    </row>
    <row r="347" spans="1:6" ht="16.5" customHeight="1">
      <c r="A347" s="14"/>
      <c r="B347" s="14"/>
      <c r="C347" s="14"/>
      <c r="D347" s="14"/>
      <c r="E347" s="14"/>
      <c r="F347" s="14"/>
    </row>
    <row r="348" spans="1:6" ht="16.5" customHeight="1">
      <c r="A348" s="14"/>
      <c r="B348" s="14"/>
      <c r="C348" s="14"/>
      <c r="D348" s="14"/>
      <c r="E348" s="14"/>
      <c r="F348" s="14"/>
    </row>
    <row r="349" spans="1:6" ht="16.5" customHeight="1">
      <c r="A349" s="14"/>
      <c r="B349" s="14"/>
      <c r="C349" s="14"/>
      <c r="D349" s="14"/>
      <c r="E349" s="14"/>
      <c r="F349" s="14"/>
    </row>
    <row r="350" spans="1:6" ht="16.5" customHeight="1">
      <c r="A350" s="14"/>
      <c r="B350" s="14"/>
      <c r="C350" s="14"/>
      <c r="D350" s="14"/>
      <c r="E350" s="14"/>
      <c r="F350" s="14"/>
    </row>
    <row r="351" spans="1:6" ht="15.75" customHeight="1"/>
    <row r="352" spans="1: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151" xr:uid="{00000000-0009-0000-0000-000002000000}"/>
  <phoneticPr fontId="3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B757B"/>
    <outlinePr summaryBelow="0" summaryRight="0"/>
  </sheetPr>
  <dimension ref="A1:Z1000"/>
  <sheetViews>
    <sheetView showGridLines="0" workbookViewId="0">
      <pane ySplit="2" topLeftCell="A3" activePane="bottomLeft" state="frozen"/>
      <selection pane="bottomLeft" activeCell="AD46" sqref="AD46"/>
    </sheetView>
  </sheetViews>
  <sheetFormatPr defaultColWidth="14.42578125" defaultRowHeight="15" customHeight="1"/>
  <cols>
    <col min="1" max="1" width="0.85546875" customWidth="1"/>
    <col min="2" max="2" width="7.42578125" customWidth="1"/>
    <col min="3" max="3" width="0.85546875" customWidth="1"/>
    <col min="4" max="4" width="4" customWidth="1"/>
    <col min="5" max="5" width="5.85546875" customWidth="1"/>
    <col min="6" max="6" width="5.5703125" customWidth="1"/>
    <col min="7" max="7" width="11.28515625" customWidth="1"/>
    <col min="8" max="8" width="9.140625" customWidth="1"/>
    <col min="9" max="9" width="12.7109375" customWidth="1"/>
    <col min="10" max="10" width="1.42578125" customWidth="1"/>
    <col min="11" max="11" width="1" customWidth="1"/>
    <col min="12" max="12" width="10.7109375" customWidth="1"/>
    <col min="13" max="13" width="10.140625" customWidth="1"/>
    <col min="14" max="14" width="16.5703125" customWidth="1"/>
    <col min="15" max="15" width="8.42578125" customWidth="1"/>
    <col min="16" max="16" width="9.42578125" customWidth="1"/>
    <col min="17" max="17" width="1.28515625" customWidth="1"/>
    <col min="18" max="18" width="0.42578125" customWidth="1"/>
    <col min="19" max="26" width="8.7109375" hidden="1" customWidth="1"/>
  </cols>
  <sheetData>
    <row r="1" spans="1:26">
      <c r="A1" s="96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38.25">
      <c r="A2" s="96"/>
      <c r="B2" s="494" t="s">
        <v>363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90"/>
      <c r="S2" s="90"/>
      <c r="T2" s="90"/>
      <c r="U2" s="90"/>
      <c r="V2" s="90"/>
      <c r="W2" s="90"/>
      <c r="X2" s="90"/>
      <c r="Y2" s="90"/>
      <c r="Z2" s="90"/>
    </row>
    <row r="3" spans="1:26" ht="24" customHeight="1">
      <c r="A3" s="96"/>
      <c r="B3" s="97" t="s">
        <v>37</v>
      </c>
      <c r="C3" s="495" t="s">
        <v>364</v>
      </c>
      <c r="D3" s="336"/>
      <c r="E3" s="336"/>
      <c r="F3" s="336"/>
      <c r="G3" s="336"/>
      <c r="H3" s="336"/>
      <c r="I3" s="336"/>
      <c r="J3" s="267"/>
      <c r="K3" s="496" t="s">
        <v>365</v>
      </c>
      <c r="L3" s="497"/>
      <c r="M3" s="497"/>
      <c r="N3" s="497"/>
      <c r="O3" s="497"/>
      <c r="P3" s="497"/>
      <c r="Q3" s="498"/>
      <c r="R3" s="90"/>
      <c r="S3" s="90"/>
      <c r="T3" s="90"/>
      <c r="U3" s="90"/>
      <c r="V3" s="90"/>
      <c r="W3" s="90"/>
      <c r="X3" s="90"/>
      <c r="Y3" s="90"/>
      <c r="Z3" s="90"/>
    </row>
    <row r="4" spans="1:26">
      <c r="A4" s="96"/>
      <c r="B4" s="460" t="s">
        <v>366</v>
      </c>
      <c r="C4" s="98" t="s">
        <v>367</v>
      </c>
      <c r="D4" s="99"/>
      <c r="E4" s="99"/>
      <c r="F4" s="99"/>
      <c r="G4" s="99"/>
      <c r="H4" s="99"/>
      <c r="I4" s="99"/>
      <c r="J4" s="100"/>
      <c r="K4" s="101" t="s">
        <v>367</v>
      </c>
      <c r="L4" s="99"/>
      <c r="M4" s="99"/>
      <c r="N4" s="99"/>
      <c r="O4" s="99"/>
      <c r="P4" s="99"/>
      <c r="Q4" s="10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>
      <c r="A5" s="96"/>
      <c r="B5" s="371"/>
      <c r="C5" s="102"/>
      <c r="D5" s="461" t="s">
        <v>368</v>
      </c>
      <c r="E5" s="458"/>
      <c r="F5" s="458"/>
      <c r="G5" s="440"/>
      <c r="H5" s="462" t="s">
        <v>369</v>
      </c>
      <c r="I5" s="458"/>
      <c r="J5" s="104"/>
      <c r="K5" s="105"/>
      <c r="L5" s="461" t="s">
        <v>368</v>
      </c>
      <c r="M5" s="458"/>
      <c r="N5" s="440"/>
      <c r="O5" s="462" t="s">
        <v>370</v>
      </c>
      <c r="P5" s="458"/>
      <c r="Q5" s="104"/>
      <c r="R5" s="90"/>
      <c r="S5" s="90"/>
      <c r="T5" s="90"/>
      <c r="U5" s="90"/>
      <c r="V5" s="90"/>
      <c r="W5" s="90"/>
      <c r="X5" s="90"/>
      <c r="Y5" s="90"/>
      <c r="Z5" s="90"/>
    </row>
    <row r="6" spans="1:26" ht="18.75" customHeight="1">
      <c r="A6" s="96"/>
      <c r="B6" s="371"/>
      <c r="C6" s="102"/>
      <c r="D6" s="461" t="s">
        <v>371</v>
      </c>
      <c r="E6" s="458"/>
      <c r="F6" s="458"/>
      <c r="G6" s="440"/>
      <c r="H6" s="462" t="s">
        <v>372</v>
      </c>
      <c r="I6" s="458"/>
      <c r="J6" s="104"/>
      <c r="K6" s="105"/>
      <c r="L6" s="461" t="s">
        <v>371</v>
      </c>
      <c r="M6" s="458"/>
      <c r="N6" s="440"/>
      <c r="O6" s="462" t="s">
        <v>373</v>
      </c>
      <c r="P6" s="458"/>
      <c r="Q6" s="104"/>
      <c r="R6" s="90"/>
      <c r="S6" s="90"/>
      <c r="T6" s="90"/>
      <c r="U6" s="90"/>
      <c r="V6" s="90"/>
      <c r="W6" s="90"/>
      <c r="X6" s="90"/>
      <c r="Y6" s="90"/>
      <c r="Z6" s="90"/>
    </row>
    <row r="7" spans="1:26" ht="18.75" customHeight="1">
      <c r="A7" s="96"/>
      <c r="B7" s="371"/>
      <c r="C7" s="102"/>
      <c r="D7" s="461" t="s">
        <v>374</v>
      </c>
      <c r="E7" s="458"/>
      <c r="F7" s="458"/>
      <c r="G7" s="440"/>
      <c r="H7" s="462" t="s">
        <v>375</v>
      </c>
      <c r="I7" s="458"/>
      <c r="J7" s="104"/>
      <c r="K7" s="105"/>
      <c r="L7" s="461" t="s">
        <v>374</v>
      </c>
      <c r="M7" s="458"/>
      <c r="N7" s="440"/>
      <c r="O7" s="462" t="s">
        <v>376</v>
      </c>
      <c r="P7" s="458"/>
      <c r="Q7" s="104"/>
      <c r="R7" s="90"/>
      <c r="S7" s="90"/>
      <c r="T7" s="90"/>
      <c r="U7" s="90"/>
      <c r="V7" s="90"/>
      <c r="W7" s="90"/>
      <c r="X7" s="90"/>
      <c r="Y7" s="90"/>
      <c r="Z7" s="90"/>
    </row>
    <row r="8" spans="1:26" ht="18.75" customHeight="1">
      <c r="A8" s="96"/>
      <c r="B8" s="371"/>
      <c r="C8" s="102"/>
      <c r="D8" s="461" t="s">
        <v>377</v>
      </c>
      <c r="E8" s="458"/>
      <c r="F8" s="458"/>
      <c r="G8" s="440"/>
      <c r="H8" s="462" t="s">
        <v>378</v>
      </c>
      <c r="I8" s="458"/>
      <c r="J8" s="104"/>
      <c r="K8" s="105"/>
      <c r="L8" s="461" t="s">
        <v>377</v>
      </c>
      <c r="M8" s="458"/>
      <c r="N8" s="440"/>
      <c r="O8" s="462" t="s">
        <v>378</v>
      </c>
      <c r="P8" s="458"/>
      <c r="Q8" s="104"/>
      <c r="R8" s="90"/>
      <c r="S8" s="90"/>
      <c r="T8" s="90"/>
      <c r="U8" s="90"/>
      <c r="V8" s="90"/>
      <c r="W8" s="90"/>
      <c r="X8" s="90"/>
      <c r="Y8" s="90"/>
      <c r="Z8" s="90"/>
    </row>
    <row r="9" spans="1:26" ht="8.25" customHeight="1">
      <c r="A9" s="96"/>
      <c r="B9" s="372"/>
      <c r="C9" s="106"/>
      <c r="D9" s="107"/>
      <c r="E9" s="107"/>
      <c r="F9" s="107"/>
      <c r="G9" s="107"/>
      <c r="H9" s="107"/>
      <c r="I9" s="107"/>
      <c r="J9" s="108"/>
      <c r="K9" s="109"/>
      <c r="L9" s="107"/>
      <c r="M9" s="107"/>
      <c r="N9" s="107"/>
      <c r="O9" s="107"/>
      <c r="P9" s="107"/>
      <c r="Q9" s="108"/>
      <c r="R9" s="90"/>
      <c r="S9" s="90"/>
      <c r="T9" s="90"/>
      <c r="U9" s="90"/>
      <c r="V9" s="90"/>
      <c r="W9" s="90"/>
      <c r="X9" s="90"/>
      <c r="Y9" s="90"/>
      <c r="Z9" s="90"/>
    </row>
    <row r="10" spans="1:26" ht="6.75" customHeight="1">
      <c r="A10" s="96"/>
      <c r="B10" s="460" t="s">
        <v>379</v>
      </c>
      <c r="C10" s="98"/>
      <c r="D10" s="99"/>
      <c r="E10" s="99"/>
      <c r="F10" s="99"/>
      <c r="G10" s="99"/>
      <c r="H10" s="99"/>
      <c r="I10" s="99"/>
      <c r="J10" s="100"/>
      <c r="K10" s="101"/>
      <c r="L10" s="99"/>
      <c r="M10" s="99"/>
      <c r="N10" s="99"/>
      <c r="O10" s="99"/>
      <c r="P10" s="99"/>
      <c r="Q10" s="10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6.5" customHeight="1">
      <c r="A11" s="96"/>
      <c r="B11" s="371"/>
      <c r="C11" s="102"/>
      <c r="D11" s="461" t="s">
        <v>135</v>
      </c>
      <c r="E11" s="458"/>
      <c r="F11" s="482"/>
      <c r="G11" s="462" t="s">
        <v>380</v>
      </c>
      <c r="H11" s="458"/>
      <c r="I11" s="458"/>
      <c r="J11" s="104"/>
      <c r="K11" s="105"/>
      <c r="L11" s="506" t="s">
        <v>135</v>
      </c>
      <c r="M11" s="507"/>
      <c r="N11" s="509" t="s">
        <v>381</v>
      </c>
      <c r="O11" s="510"/>
      <c r="P11" s="510"/>
      <c r="Q11" s="104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6.5" customHeight="1">
      <c r="A12" s="96"/>
      <c r="B12" s="371"/>
      <c r="C12" s="102"/>
      <c r="D12" s="461" t="s">
        <v>382</v>
      </c>
      <c r="E12" s="458"/>
      <c r="F12" s="482"/>
      <c r="G12" s="462" t="s">
        <v>383</v>
      </c>
      <c r="H12" s="458"/>
      <c r="I12" s="458"/>
      <c r="J12" s="104"/>
      <c r="K12" s="105"/>
      <c r="L12" s="508"/>
      <c r="M12" s="468"/>
      <c r="N12" s="472"/>
      <c r="O12" s="502"/>
      <c r="P12" s="502"/>
      <c r="Q12" s="104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16.5" customHeight="1">
      <c r="A13" s="96"/>
      <c r="B13" s="371"/>
      <c r="C13" s="102"/>
      <c r="D13" s="461" t="s">
        <v>384</v>
      </c>
      <c r="E13" s="458"/>
      <c r="F13" s="482"/>
      <c r="G13" s="462" t="s">
        <v>385</v>
      </c>
      <c r="H13" s="458"/>
      <c r="I13" s="458"/>
      <c r="J13" s="104"/>
      <c r="K13" s="105"/>
      <c r="L13" s="461" t="s">
        <v>65</v>
      </c>
      <c r="M13" s="440"/>
      <c r="N13" s="462" t="s">
        <v>385</v>
      </c>
      <c r="O13" s="458"/>
      <c r="P13" s="458"/>
      <c r="Q13" s="104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6.75" customHeight="1">
      <c r="A14" s="96"/>
      <c r="B14" s="372"/>
      <c r="C14" s="106"/>
      <c r="D14" s="107"/>
      <c r="E14" s="107"/>
      <c r="F14" s="107"/>
      <c r="G14" s="107"/>
      <c r="H14" s="107"/>
      <c r="I14" s="107"/>
      <c r="J14" s="108"/>
      <c r="K14" s="109"/>
      <c r="L14" s="107"/>
      <c r="M14" s="107"/>
      <c r="N14" s="107"/>
      <c r="O14" s="107"/>
      <c r="P14" s="107"/>
      <c r="Q14" s="108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6.75" customHeight="1">
      <c r="A15" s="96"/>
      <c r="B15" s="460" t="s">
        <v>386</v>
      </c>
      <c r="C15" s="98"/>
      <c r="D15" s="99"/>
      <c r="E15" s="99"/>
      <c r="F15" s="99"/>
      <c r="G15" s="99"/>
      <c r="H15" s="99"/>
      <c r="I15" s="99"/>
      <c r="J15" s="100"/>
      <c r="K15" s="101"/>
      <c r="L15" s="99"/>
      <c r="M15" s="99"/>
      <c r="N15" s="99"/>
      <c r="O15" s="99"/>
      <c r="P15" s="99"/>
      <c r="Q15" s="10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0.25" customHeight="1">
      <c r="A16" s="96"/>
      <c r="B16" s="371"/>
      <c r="C16" s="102"/>
      <c r="D16" s="461" t="s">
        <v>387</v>
      </c>
      <c r="E16" s="458"/>
      <c r="F16" s="458"/>
      <c r="G16" s="440"/>
      <c r="H16" s="462">
        <v>1</v>
      </c>
      <c r="I16" s="458"/>
      <c r="J16" s="104"/>
      <c r="K16" s="105"/>
      <c r="L16" s="461" t="s">
        <v>387</v>
      </c>
      <c r="M16" s="458"/>
      <c r="N16" s="440"/>
      <c r="O16" s="462" t="s">
        <v>388</v>
      </c>
      <c r="P16" s="458"/>
      <c r="Q16" s="104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0.25" customHeight="1">
      <c r="A17" s="96"/>
      <c r="B17" s="371"/>
      <c r="C17" s="102"/>
      <c r="D17" s="461" t="s">
        <v>389</v>
      </c>
      <c r="E17" s="458"/>
      <c r="F17" s="458"/>
      <c r="G17" s="440"/>
      <c r="H17" s="462">
        <v>179</v>
      </c>
      <c r="I17" s="458"/>
      <c r="J17" s="104"/>
      <c r="K17" s="105"/>
      <c r="L17" s="461" t="s">
        <v>390</v>
      </c>
      <c r="M17" s="458"/>
      <c r="N17" s="440"/>
      <c r="O17" s="462" t="s">
        <v>391</v>
      </c>
      <c r="P17" s="458"/>
      <c r="Q17" s="104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20.25" customHeight="1">
      <c r="A18" s="96"/>
      <c r="B18" s="371"/>
      <c r="C18" s="102"/>
      <c r="D18" s="461" t="s">
        <v>392</v>
      </c>
      <c r="E18" s="458"/>
      <c r="F18" s="458"/>
      <c r="G18" s="440"/>
      <c r="H18" s="462">
        <v>368</v>
      </c>
      <c r="I18" s="458"/>
      <c r="J18" s="104"/>
      <c r="K18" s="105"/>
      <c r="L18" s="461" t="s">
        <v>393</v>
      </c>
      <c r="M18" s="458"/>
      <c r="N18" s="440"/>
      <c r="O18" s="462" t="s">
        <v>394</v>
      </c>
      <c r="P18" s="458"/>
      <c r="Q18" s="104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20.25" customHeight="1">
      <c r="A19" s="96"/>
      <c r="B19" s="371"/>
      <c r="C19" s="102"/>
      <c r="D19" s="461" t="s">
        <v>395</v>
      </c>
      <c r="E19" s="458"/>
      <c r="F19" s="458"/>
      <c r="G19" s="440"/>
      <c r="H19" s="462">
        <v>548</v>
      </c>
      <c r="I19" s="458"/>
      <c r="J19" s="104"/>
      <c r="K19" s="105"/>
      <c r="L19" s="461" t="s">
        <v>395</v>
      </c>
      <c r="M19" s="458"/>
      <c r="N19" s="440"/>
      <c r="O19" s="462" t="s">
        <v>396</v>
      </c>
      <c r="P19" s="458"/>
      <c r="Q19" s="104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5.25" customHeight="1">
      <c r="A20" s="96"/>
      <c r="B20" s="372"/>
      <c r="C20" s="106"/>
      <c r="D20" s="107"/>
      <c r="E20" s="107"/>
      <c r="F20" s="107"/>
      <c r="G20" s="107"/>
      <c r="H20" s="107"/>
      <c r="I20" s="107"/>
      <c r="J20" s="108"/>
      <c r="K20" s="109"/>
      <c r="L20" s="107"/>
      <c r="M20" s="107"/>
      <c r="N20" s="107"/>
      <c r="O20" s="107"/>
      <c r="P20" s="107"/>
      <c r="Q20" s="108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5.25" customHeight="1">
      <c r="A21" s="96"/>
      <c r="B21" s="460" t="s">
        <v>397</v>
      </c>
      <c r="C21" s="98"/>
      <c r="D21" s="99"/>
      <c r="E21" s="99"/>
      <c r="F21" s="99"/>
      <c r="G21" s="99"/>
      <c r="H21" s="99"/>
      <c r="I21" s="99"/>
      <c r="J21" s="100"/>
      <c r="K21" s="101"/>
      <c r="L21" s="99"/>
      <c r="M21" s="99"/>
      <c r="N21" s="99"/>
      <c r="O21" s="99"/>
      <c r="P21" s="99"/>
      <c r="Q21" s="10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15.75" customHeight="1">
      <c r="A22" s="96"/>
      <c r="B22" s="371"/>
      <c r="C22" s="102"/>
      <c r="D22" s="110"/>
      <c r="E22" s="111"/>
      <c r="F22" s="112" t="s">
        <v>398</v>
      </c>
      <c r="G22" s="112" t="s">
        <v>399</v>
      </c>
      <c r="H22" s="112" t="s">
        <v>400</v>
      </c>
      <c r="I22" s="113" t="s">
        <v>401</v>
      </c>
      <c r="J22" s="114"/>
      <c r="K22" s="115"/>
      <c r="L22" s="110"/>
      <c r="M22" s="112" t="s">
        <v>399</v>
      </c>
      <c r="N22" s="112" t="s">
        <v>402</v>
      </c>
      <c r="O22" s="503" t="s">
        <v>401</v>
      </c>
      <c r="P22" s="504"/>
      <c r="Q22" s="104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5.75" customHeight="1">
      <c r="A23" s="96"/>
      <c r="B23" s="371"/>
      <c r="C23" s="102"/>
      <c r="D23" s="466" t="s">
        <v>399</v>
      </c>
      <c r="E23" s="476" t="s">
        <v>403</v>
      </c>
      <c r="F23" s="476" t="s">
        <v>404</v>
      </c>
      <c r="G23" s="116" t="s">
        <v>43</v>
      </c>
      <c r="H23" s="116" t="s">
        <v>405</v>
      </c>
      <c r="I23" s="463">
        <v>24</v>
      </c>
      <c r="J23" s="114"/>
      <c r="K23" s="115"/>
      <c r="L23" s="466" t="s">
        <v>406</v>
      </c>
      <c r="M23" s="117" t="s">
        <v>43</v>
      </c>
      <c r="N23" s="117" t="s">
        <v>407</v>
      </c>
      <c r="O23" s="463">
        <v>24</v>
      </c>
      <c r="P23" s="505"/>
      <c r="Q23" s="104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15.75" customHeight="1">
      <c r="A24" s="96"/>
      <c r="B24" s="371"/>
      <c r="C24" s="102"/>
      <c r="D24" s="467"/>
      <c r="E24" s="429"/>
      <c r="F24" s="429"/>
      <c r="G24" s="118" t="s">
        <v>57</v>
      </c>
      <c r="H24" s="118" t="s">
        <v>408</v>
      </c>
      <c r="I24" s="464"/>
      <c r="J24" s="114"/>
      <c r="K24" s="115"/>
      <c r="L24" s="467"/>
      <c r="M24" s="119" t="s">
        <v>57</v>
      </c>
      <c r="N24" s="119" t="s">
        <v>409</v>
      </c>
      <c r="O24" s="464"/>
      <c r="P24" s="290"/>
      <c r="Q24" s="104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15.75" customHeight="1">
      <c r="A25" s="96"/>
      <c r="B25" s="371"/>
      <c r="C25" s="102"/>
      <c r="D25" s="467"/>
      <c r="E25" s="429"/>
      <c r="F25" s="429"/>
      <c r="G25" s="118" t="s">
        <v>67</v>
      </c>
      <c r="H25" s="118" t="s">
        <v>410</v>
      </c>
      <c r="I25" s="465"/>
      <c r="J25" s="114"/>
      <c r="K25" s="115"/>
      <c r="L25" s="467"/>
      <c r="M25" s="119" t="s">
        <v>67</v>
      </c>
      <c r="N25" s="119" t="s">
        <v>411</v>
      </c>
      <c r="O25" s="472"/>
      <c r="P25" s="502"/>
      <c r="Q25" s="104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15.75" customHeight="1">
      <c r="A26" s="96"/>
      <c r="B26" s="371"/>
      <c r="C26" s="102"/>
      <c r="D26" s="467"/>
      <c r="E26" s="429"/>
      <c r="F26" s="470"/>
      <c r="G26" s="120" t="s">
        <v>235</v>
      </c>
      <c r="H26" s="120" t="s">
        <v>412</v>
      </c>
      <c r="I26" s="121">
        <v>6</v>
      </c>
      <c r="J26" s="114"/>
      <c r="K26" s="115"/>
      <c r="L26" s="467"/>
      <c r="M26" s="469" t="s">
        <v>413</v>
      </c>
      <c r="N26" s="122" t="s">
        <v>414</v>
      </c>
      <c r="O26" s="499">
        <v>6</v>
      </c>
      <c r="P26" s="500"/>
      <c r="Q26" s="104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15.75" customHeight="1">
      <c r="A27" s="96"/>
      <c r="B27" s="371"/>
      <c r="C27" s="102"/>
      <c r="D27" s="467"/>
      <c r="E27" s="429"/>
      <c r="F27" s="469" t="s">
        <v>415</v>
      </c>
      <c r="G27" s="122" t="s">
        <v>413</v>
      </c>
      <c r="H27" s="122" t="s">
        <v>416</v>
      </c>
      <c r="I27" s="471">
        <v>12</v>
      </c>
      <c r="J27" s="114"/>
      <c r="K27" s="115"/>
      <c r="L27" s="467"/>
      <c r="M27" s="470"/>
      <c r="N27" s="120" t="s">
        <v>417</v>
      </c>
      <c r="O27" s="501">
        <v>12</v>
      </c>
      <c r="P27" s="281"/>
      <c r="Q27" s="104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15.75" customHeight="1">
      <c r="A28" s="96"/>
      <c r="B28" s="371"/>
      <c r="C28" s="102"/>
      <c r="D28" s="467"/>
      <c r="E28" s="429"/>
      <c r="F28" s="470"/>
      <c r="G28" s="120" t="s">
        <v>77</v>
      </c>
      <c r="H28" s="120" t="s">
        <v>418</v>
      </c>
      <c r="I28" s="472"/>
      <c r="J28" s="114"/>
      <c r="K28" s="115"/>
      <c r="L28" s="467"/>
      <c r="M28" s="119" t="s">
        <v>77</v>
      </c>
      <c r="N28" s="119" t="s">
        <v>419</v>
      </c>
      <c r="O28" s="472"/>
      <c r="P28" s="502"/>
      <c r="Q28" s="104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15.75" customHeight="1">
      <c r="A29" s="96"/>
      <c r="B29" s="371"/>
      <c r="C29" s="102"/>
      <c r="D29" s="467"/>
      <c r="E29" s="429"/>
      <c r="F29" s="469" t="s">
        <v>420</v>
      </c>
      <c r="G29" s="122" t="s">
        <v>80</v>
      </c>
      <c r="H29" s="124"/>
      <c r="I29" s="123">
        <v>8</v>
      </c>
      <c r="J29" s="114"/>
      <c r="K29" s="115"/>
      <c r="L29" s="467"/>
      <c r="M29" s="119" t="s">
        <v>80</v>
      </c>
      <c r="N29" s="125"/>
      <c r="O29" s="493">
        <v>8</v>
      </c>
      <c r="P29" s="458"/>
      <c r="Q29" s="104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15.75" customHeight="1">
      <c r="A30" s="96"/>
      <c r="B30" s="371"/>
      <c r="C30" s="102"/>
      <c r="D30" s="467"/>
      <c r="E30" s="429"/>
      <c r="F30" s="470"/>
      <c r="G30" s="120" t="s">
        <v>89</v>
      </c>
      <c r="H30" s="127"/>
      <c r="I30" s="121">
        <v>6</v>
      </c>
      <c r="J30" s="114"/>
      <c r="K30" s="115"/>
      <c r="L30" s="467"/>
      <c r="M30" s="119" t="s">
        <v>89</v>
      </c>
      <c r="N30" s="125"/>
      <c r="O30" s="493">
        <v>6</v>
      </c>
      <c r="P30" s="458"/>
      <c r="Q30" s="104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15.75" customHeight="1">
      <c r="A31" s="96"/>
      <c r="B31" s="371"/>
      <c r="C31" s="102"/>
      <c r="D31" s="467"/>
      <c r="E31" s="429"/>
      <c r="F31" s="119" t="s">
        <v>421</v>
      </c>
      <c r="G31" s="119" t="s">
        <v>422</v>
      </c>
      <c r="H31" s="125"/>
      <c r="I31" s="126">
        <v>10</v>
      </c>
      <c r="J31" s="114"/>
      <c r="K31" s="115"/>
      <c r="L31" s="467"/>
      <c r="M31" s="119" t="s">
        <v>423</v>
      </c>
      <c r="N31" s="125"/>
      <c r="O31" s="493">
        <v>8</v>
      </c>
      <c r="P31" s="458"/>
      <c r="Q31" s="104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18.75" customHeight="1">
      <c r="A32" s="96"/>
      <c r="B32" s="371"/>
      <c r="C32" s="102"/>
      <c r="D32" s="467"/>
      <c r="E32" s="470"/>
      <c r="F32" s="488" t="s">
        <v>395</v>
      </c>
      <c r="G32" s="458"/>
      <c r="H32" s="440"/>
      <c r="I32" s="128">
        <v>66</v>
      </c>
      <c r="J32" s="114"/>
      <c r="K32" s="115"/>
      <c r="L32" s="468"/>
      <c r="M32" s="488" t="s">
        <v>395</v>
      </c>
      <c r="N32" s="440"/>
      <c r="O32" s="491">
        <v>64</v>
      </c>
      <c r="P32" s="482"/>
      <c r="Q32" s="104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35.25" customHeight="1">
      <c r="A33" s="96"/>
      <c r="B33" s="371"/>
      <c r="C33" s="102"/>
      <c r="D33" s="468"/>
      <c r="E33" s="129" t="s">
        <v>424</v>
      </c>
      <c r="F33" s="488" t="s">
        <v>425</v>
      </c>
      <c r="G33" s="458"/>
      <c r="H33" s="440"/>
      <c r="I33" s="128">
        <v>86</v>
      </c>
      <c r="J33" s="114"/>
      <c r="K33" s="115"/>
      <c r="L33" s="130" t="s">
        <v>426</v>
      </c>
      <c r="M33" s="488" t="s">
        <v>427</v>
      </c>
      <c r="N33" s="440"/>
      <c r="O33" s="491">
        <v>80</v>
      </c>
      <c r="P33" s="482"/>
      <c r="Q33" s="104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1.75" customHeight="1">
      <c r="A34" s="96"/>
      <c r="B34" s="371"/>
      <c r="C34" s="102"/>
      <c r="D34" s="489" t="s">
        <v>374</v>
      </c>
      <c r="E34" s="458"/>
      <c r="F34" s="458"/>
      <c r="G34" s="458"/>
      <c r="H34" s="440"/>
      <c r="I34" s="131">
        <v>22</v>
      </c>
      <c r="J34" s="114"/>
      <c r="K34" s="115"/>
      <c r="L34" s="489" t="s">
        <v>374</v>
      </c>
      <c r="M34" s="458"/>
      <c r="N34" s="440"/>
      <c r="O34" s="492">
        <v>30</v>
      </c>
      <c r="P34" s="458"/>
      <c r="Q34" s="104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4" customHeight="1">
      <c r="A35" s="96"/>
      <c r="B35" s="371"/>
      <c r="C35" s="102"/>
      <c r="D35" s="489" t="s">
        <v>377</v>
      </c>
      <c r="E35" s="458"/>
      <c r="F35" s="458"/>
      <c r="G35" s="458"/>
      <c r="H35" s="440"/>
      <c r="I35" s="131">
        <v>18</v>
      </c>
      <c r="J35" s="114"/>
      <c r="K35" s="115"/>
      <c r="L35" s="489" t="s">
        <v>377</v>
      </c>
      <c r="M35" s="458"/>
      <c r="N35" s="440"/>
      <c r="O35" s="492">
        <v>18</v>
      </c>
      <c r="P35" s="458"/>
      <c r="Q35" s="104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15.75" customHeight="1">
      <c r="A36" s="96"/>
      <c r="B36" s="371"/>
      <c r="C36" s="102"/>
      <c r="D36" s="490" t="s">
        <v>428</v>
      </c>
      <c r="E36" s="458"/>
      <c r="F36" s="458"/>
      <c r="G36" s="458"/>
      <c r="H36" s="440"/>
      <c r="I36" s="128">
        <v>192</v>
      </c>
      <c r="J36" s="114"/>
      <c r="K36" s="115"/>
      <c r="L36" s="490" t="s">
        <v>428</v>
      </c>
      <c r="M36" s="458"/>
      <c r="N36" s="440"/>
      <c r="O36" s="491">
        <v>192</v>
      </c>
      <c r="P36" s="482"/>
      <c r="Q36" s="104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5.25" customHeight="1">
      <c r="A37" s="96"/>
      <c r="B37" s="372"/>
      <c r="C37" s="106"/>
      <c r="D37" s="107"/>
      <c r="E37" s="107"/>
      <c r="F37" s="107"/>
      <c r="G37" s="107"/>
      <c r="H37" s="107"/>
      <c r="I37" s="107"/>
      <c r="J37" s="108"/>
      <c r="K37" s="109"/>
      <c r="L37" s="107"/>
      <c r="M37" s="107"/>
      <c r="N37" s="107"/>
      <c r="O37" s="107"/>
      <c r="P37" s="107"/>
      <c r="Q37" s="108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5.25" customHeight="1">
      <c r="A38" s="96"/>
      <c r="B38" s="460" t="s">
        <v>429</v>
      </c>
      <c r="C38" s="98"/>
      <c r="D38" s="99"/>
      <c r="E38" s="99"/>
      <c r="F38" s="99"/>
      <c r="G38" s="99"/>
      <c r="H38" s="99"/>
      <c r="I38" s="99"/>
      <c r="J38" s="100"/>
      <c r="K38" s="101"/>
      <c r="L38" s="99"/>
      <c r="M38" s="99"/>
      <c r="N38" s="99"/>
      <c r="O38" s="99"/>
      <c r="P38" s="99"/>
      <c r="Q38" s="10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15.75" customHeight="1">
      <c r="A39" s="96"/>
      <c r="B39" s="371"/>
      <c r="C39" s="102" t="s">
        <v>430</v>
      </c>
      <c r="D39" s="90"/>
      <c r="E39" s="90"/>
      <c r="F39" s="90"/>
      <c r="G39" s="90"/>
      <c r="H39" s="90"/>
      <c r="I39" s="90"/>
      <c r="J39" s="104"/>
      <c r="K39" s="105"/>
      <c r="L39" s="90" t="s">
        <v>431</v>
      </c>
      <c r="M39" s="90"/>
      <c r="N39" s="90"/>
      <c r="O39" s="90"/>
      <c r="P39" s="90"/>
      <c r="Q39" s="104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15.75" customHeight="1">
      <c r="A40" s="96"/>
      <c r="B40" s="371"/>
      <c r="C40" s="102" t="s">
        <v>432</v>
      </c>
      <c r="D40" s="90"/>
      <c r="E40" s="90"/>
      <c r="F40" s="90"/>
      <c r="G40" s="90"/>
      <c r="H40" s="90"/>
      <c r="I40" s="90"/>
      <c r="J40" s="104"/>
      <c r="K40" s="105"/>
      <c r="L40" s="90" t="s">
        <v>433</v>
      </c>
      <c r="M40" s="90"/>
      <c r="N40" s="90"/>
      <c r="O40" s="90"/>
      <c r="P40" s="90"/>
      <c r="Q40" s="104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5.25" customHeight="1">
      <c r="A41" s="96"/>
      <c r="B41" s="372"/>
      <c r="C41" s="106"/>
      <c r="D41" s="107"/>
      <c r="E41" s="107"/>
      <c r="F41" s="107"/>
      <c r="G41" s="107"/>
      <c r="H41" s="107"/>
      <c r="I41" s="107"/>
      <c r="J41" s="108"/>
      <c r="K41" s="109"/>
      <c r="L41" s="107"/>
      <c r="M41" s="107"/>
      <c r="N41" s="107"/>
      <c r="O41" s="107"/>
      <c r="P41" s="107"/>
      <c r="Q41" s="108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5.25" customHeight="1">
      <c r="A42" s="96"/>
      <c r="B42" s="460" t="s">
        <v>426</v>
      </c>
      <c r="C42" s="98"/>
      <c r="D42" s="99"/>
      <c r="E42" s="99"/>
      <c r="F42" s="99"/>
      <c r="G42" s="99"/>
      <c r="H42" s="99"/>
      <c r="I42" s="99"/>
      <c r="J42" s="100"/>
      <c r="K42" s="101"/>
      <c r="L42" s="99"/>
      <c r="M42" s="99"/>
      <c r="N42" s="99"/>
      <c r="O42" s="99"/>
      <c r="P42" s="99"/>
      <c r="Q42" s="10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15.75" customHeight="1">
      <c r="A43" s="96"/>
      <c r="B43" s="371"/>
      <c r="C43" s="102"/>
      <c r="D43" s="90" t="s">
        <v>434</v>
      </c>
      <c r="E43" s="90"/>
      <c r="F43" s="90"/>
      <c r="G43" s="90"/>
      <c r="H43" s="90"/>
      <c r="I43" s="90"/>
      <c r="J43" s="104"/>
      <c r="K43" s="105"/>
      <c r="L43" s="90" t="s">
        <v>435</v>
      </c>
      <c r="M43" s="90"/>
      <c r="N43" s="90"/>
      <c r="O43" s="90"/>
      <c r="P43" s="90"/>
      <c r="Q43" s="104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15.75" customHeight="1">
      <c r="A44" s="96"/>
      <c r="B44" s="371"/>
      <c r="C44" s="102"/>
      <c r="D44" s="90" t="s">
        <v>436</v>
      </c>
      <c r="E44" s="132"/>
      <c r="F44" s="132"/>
      <c r="G44" s="132"/>
      <c r="H44" s="132"/>
      <c r="I44" s="132"/>
      <c r="J44" s="104"/>
      <c r="K44" s="105"/>
      <c r="L44" s="90"/>
      <c r="M44" s="90"/>
      <c r="N44" s="90"/>
      <c r="O44" s="90"/>
      <c r="P44" s="90"/>
      <c r="Q44" s="104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15.75" customHeight="1">
      <c r="A45" s="96"/>
      <c r="B45" s="371"/>
      <c r="C45" s="102"/>
      <c r="D45" s="483" t="s">
        <v>37</v>
      </c>
      <c r="E45" s="458"/>
      <c r="F45" s="440"/>
      <c r="G45" s="484" t="s">
        <v>437</v>
      </c>
      <c r="H45" s="440"/>
      <c r="I45" s="103" t="s">
        <v>438</v>
      </c>
      <c r="J45" s="104"/>
      <c r="K45" s="105"/>
      <c r="L45" s="483" t="s">
        <v>37</v>
      </c>
      <c r="M45" s="440"/>
      <c r="N45" s="484" t="s">
        <v>437</v>
      </c>
      <c r="O45" s="440"/>
      <c r="P45" s="103" t="s">
        <v>438</v>
      </c>
      <c r="Q45" s="104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38.25" customHeight="1">
      <c r="A46" s="96"/>
      <c r="B46" s="371"/>
      <c r="C46" s="102"/>
      <c r="D46" s="461" t="s">
        <v>439</v>
      </c>
      <c r="E46" s="440"/>
      <c r="F46" s="133">
        <v>1</v>
      </c>
      <c r="G46" s="457" t="s">
        <v>99</v>
      </c>
      <c r="H46" s="440"/>
      <c r="I46" s="473">
        <v>86</v>
      </c>
      <c r="J46" s="104"/>
      <c r="K46" s="105"/>
      <c r="L46" s="135" t="s">
        <v>439</v>
      </c>
      <c r="M46" s="133">
        <v>3</v>
      </c>
      <c r="N46" s="457" t="s">
        <v>440</v>
      </c>
      <c r="O46" s="440"/>
      <c r="P46" s="473">
        <v>80</v>
      </c>
      <c r="Q46" s="104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16.5" customHeight="1">
      <c r="A47" s="96"/>
      <c r="B47" s="371"/>
      <c r="C47" s="102"/>
      <c r="D47" s="461" t="s">
        <v>441</v>
      </c>
      <c r="E47" s="440"/>
      <c r="F47" s="133">
        <v>179</v>
      </c>
      <c r="G47" s="462" t="s">
        <v>427</v>
      </c>
      <c r="H47" s="440"/>
      <c r="I47" s="464"/>
      <c r="J47" s="104"/>
      <c r="K47" s="105"/>
      <c r="L47" s="177" t="s">
        <v>442</v>
      </c>
      <c r="M47" s="133">
        <v>216</v>
      </c>
      <c r="N47" s="462" t="s">
        <v>427</v>
      </c>
      <c r="O47" s="440"/>
      <c r="P47" s="464"/>
      <c r="Q47" s="104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16.5" customHeight="1">
      <c r="A48" s="96"/>
      <c r="B48" s="371"/>
      <c r="C48" s="102"/>
      <c r="D48" s="461" t="s">
        <v>116</v>
      </c>
      <c r="E48" s="440"/>
      <c r="F48" s="133">
        <v>368</v>
      </c>
      <c r="G48" s="462" t="s">
        <v>427</v>
      </c>
      <c r="H48" s="440"/>
      <c r="I48" s="472"/>
      <c r="J48" s="104"/>
      <c r="K48" s="105"/>
      <c r="L48" s="177" t="s">
        <v>443</v>
      </c>
      <c r="M48" s="133">
        <v>309</v>
      </c>
      <c r="N48" s="462" t="s">
        <v>427</v>
      </c>
      <c r="O48" s="440"/>
      <c r="P48" s="472"/>
      <c r="Q48" s="104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5.25" customHeight="1">
      <c r="A49" s="96"/>
      <c r="B49" s="372"/>
      <c r="C49" s="106"/>
      <c r="D49" s="107"/>
      <c r="E49" s="107"/>
      <c r="F49" s="107"/>
      <c r="G49" s="107"/>
      <c r="H49" s="107"/>
      <c r="I49" s="107"/>
      <c r="J49" s="108"/>
      <c r="K49" s="109"/>
      <c r="L49" s="107"/>
      <c r="M49" s="107"/>
      <c r="N49" s="107"/>
      <c r="O49" s="107"/>
      <c r="P49" s="107"/>
      <c r="Q49" s="108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5.25" customHeight="1">
      <c r="A50" s="96"/>
      <c r="B50" s="460" t="s">
        <v>444</v>
      </c>
      <c r="C50" s="98"/>
      <c r="D50" s="99"/>
      <c r="E50" s="99"/>
      <c r="F50" s="99"/>
      <c r="G50" s="99"/>
      <c r="H50" s="99"/>
      <c r="I50" s="99"/>
      <c r="J50" s="100"/>
      <c r="K50" s="101"/>
      <c r="L50" s="99"/>
      <c r="M50" s="99"/>
      <c r="N50" s="99"/>
      <c r="O50" s="99"/>
      <c r="P50" s="99"/>
      <c r="Q50" s="10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5.75" customHeight="1">
      <c r="A51" s="96"/>
      <c r="B51" s="371"/>
      <c r="C51" s="102"/>
      <c r="D51" s="474" t="s">
        <v>37</v>
      </c>
      <c r="E51" s="458"/>
      <c r="F51" s="440"/>
      <c r="G51" s="136" t="s">
        <v>47</v>
      </c>
      <c r="H51" s="136" t="s">
        <v>48</v>
      </c>
      <c r="I51" s="137" t="s">
        <v>445</v>
      </c>
      <c r="J51" s="114"/>
      <c r="K51" s="115"/>
      <c r="L51" s="474" t="s">
        <v>37</v>
      </c>
      <c r="M51" s="440"/>
      <c r="N51" s="136" t="s">
        <v>47</v>
      </c>
      <c r="O51" s="136" t="s">
        <v>48</v>
      </c>
      <c r="P51" s="137" t="s">
        <v>445</v>
      </c>
      <c r="Q51" s="104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15.75" customHeight="1">
      <c r="A52" s="96"/>
      <c r="B52" s="371"/>
      <c r="C52" s="102"/>
      <c r="D52" s="475" t="s">
        <v>51</v>
      </c>
      <c r="E52" s="458"/>
      <c r="F52" s="440"/>
      <c r="G52" s="138">
        <v>8</v>
      </c>
      <c r="H52" s="138">
        <v>-2</v>
      </c>
      <c r="I52" s="134" t="s">
        <v>446</v>
      </c>
      <c r="J52" s="114"/>
      <c r="K52" s="115"/>
      <c r="L52" s="475" t="s">
        <v>51</v>
      </c>
      <c r="M52" s="440"/>
      <c r="N52" s="138">
        <v>4</v>
      </c>
      <c r="O52" s="138">
        <v>-1</v>
      </c>
      <c r="P52" s="134" t="s">
        <v>46</v>
      </c>
      <c r="Q52" s="104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27.75" customHeight="1">
      <c r="A53" s="96"/>
      <c r="B53" s="371"/>
      <c r="C53" s="102"/>
      <c r="D53" s="475" t="s">
        <v>447</v>
      </c>
      <c r="E53" s="458"/>
      <c r="F53" s="440"/>
      <c r="G53" s="138">
        <v>6</v>
      </c>
      <c r="H53" s="139"/>
      <c r="I53" s="134" t="s">
        <v>448</v>
      </c>
      <c r="J53" s="114"/>
      <c r="K53" s="115"/>
      <c r="L53" s="475" t="s">
        <v>449</v>
      </c>
      <c r="M53" s="440"/>
      <c r="N53" s="138">
        <v>3</v>
      </c>
      <c r="O53" s="139"/>
      <c r="P53" s="134">
        <v>3</v>
      </c>
      <c r="Q53" s="104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15.75" customHeight="1">
      <c r="A54" s="96"/>
      <c r="B54" s="371"/>
      <c r="C54" s="102"/>
      <c r="D54" s="475" t="s">
        <v>450</v>
      </c>
      <c r="E54" s="458"/>
      <c r="F54" s="440"/>
      <c r="G54" s="138">
        <v>5</v>
      </c>
      <c r="H54" s="138" t="s">
        <v>451</v>
      </c>
      <c r="I54" s="134" t="s">
        <v>452</v>
      </c>
      <c r="J54" s="114"/>
      <c r="K54" s="115"/>
      <c r="L54" s="475" t="s">
        <v>59</v>
      </c>
      <c r="M54" s="440"/>
      <c r="N54" s="138">
        <v>4</v>
      </c>
      <c r="O54" s="138" t="s">
        <v>60</v>
      </c>
      <c r="P54" s="134" t="s">
        <v>55</v>
      </c>
      <c r="Q54" s="104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15.75" customHeight="1">
      <c r="A55" s="96"/>
      <c r="B55" s="371"/>
      <c r="C55" s="102"/>
      <c r="D55" s="475" t="s">
        <v>453</v>
      </c>
      <c r="E55" s="458"/>
      <c r="F55" s="440"/>
      <c r="G55" s="138">
        <v>5</v>
      </c>
      <c r="H55" s="138" t="s">
        <v>454</v>
      </c>
      <c r="I55" s="134" t="s">
        <v>455</v>
      </c>
      <c r="J55" s="114"/>
      <c r="K55" s="115"/>
      <c r="L55" s="475" t="s">
        <v>456</v>
      </c>
      <c r="M55" s="440"/>
      <c r="N55" s="138">
        <v>3</v>
      </c>
      <c r="O55" s="138" t="s">
        <v>60</v>
      </c>
      <c r="P55" s="134" t="s">
        <v>63</v>
      </c>
      <c r="Q55" s="104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15.75" customHeight="1">
      <c r="A56" s="96"/>
      <c r="B56" s="371"/>
      <c r="C56" s="102"/>
      <c r="D56" s="475" t="s">
        <v>457</v>
      </c>
      <c r="E56" s="458"/>
      <c r="F56" s="440"/>
      <c r="G56" s="138">
        <v>5</v>
      </c>
      <c r="H56" s="138" t="s">
        <v>454</v>
      </c>
      <c r="I56" s="134" t="s">
        <v>455</v>
      </c>
      <c r="J56" s="114"/>
      <c r="K56" s="115"/>
      <c r="L56" s="475" t="s">
        <v>65</v>
      </c>
      <c r="M56" s="440"/>
      <c r="N56" s="457" t="s">
        <v>458</v>
      </c>
      <c r="O56" s="458"/>
      <c r="P56" s="458"/>
      <c r="Q56" s="104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15.75" customHeight="1">
      <c r="A57" s="96"/>
      <c r="B57" s="371"/>
      <c r="C57" s="102"/>
      <c r="D57" s="475" t="s">
        <v>384</v>
      </c>
      <c r="E57" s="458"/>
      <c r="F57" s="440"/>
      <c r="G57" s="457" t="s">
        <v>458</v>
      </c>
      <c r="H57" s="458"/>
      <c r="I57" s="458"/>
      <c r="J57" s="114"/>
      <c r="K57" s="115"/>
      <c r="L57" s="140"/>
      <c r="M57" s="90"/>
      <c r="N57" s="90"/>
      <c r="O57" s="90"/>
      <c r="P57" s="90"/>
      <c r="Q57" s="104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15.75" customHeight="1">
      <c r="A58" s="96"/>
      <c r="B58" s="371"/>
      <c r="C58" s="102"/>
      <c r="D58" s="90"/>
      <c r="E58" s="90"/>
      <c r="F58" s="90"/>
      <c r="G58" s="90"/>
      <c r="H58" s="90"/>
      <c r="I58" s="90"/>
      <c r="J58" s="104"/>
      <c r="K58" s="105"/>
      <c r="L58" s="90"/>
      <c r="M58" s="90"/>
      <c r="N58" s="90"/>
      <c r="O58" s="90"/>
      <c r="P58" s="90"/>
      <c r="Q58" s="104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33.75" customHeight="1">
      <c r="A59" s="96"/>
      <c r="B59" s="371"/>
      <c r="C59" s="102"/>
      <c r="D59" s="459" t="s">
        <v>459</v>
      </c>
      <c r="E59" s="290"/>
      <c r="F59" s="290"/>
      <c r="G59" s="290"/>
      <c r="H59" s="290"/>
      <c r="I59" s="290"/>
      <c r="J59" s="104"/>
      <c r="K59" s="105"/>
      <c r="L59" s="459" t="s">
        <v>460</v>
      </c>
      <c r="M59" s="290"/>
      <c r="N59" s="290"/>
      <c r="O59" s="290"/>
      <c r="P59" s="290"/>
      <c r="Q59" s="104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5.25" customHeight="1">
      <c r="A60" s="96"/>
      <c r="B60" s="372"/>
      <c r="C60" s="106"/>
      <c r="D60" s="107"/>
      <c r="E60" s="107"/>
      <c r="F60" s="107"/>
      <c r="G60" s="107"/>
      <c r="H60" s="107"/>
      <c r="I60" s="107"/>
      <c r="J60" s="108"/>
      <c r="K60" s="109"/>
      <c r="L60" s="107"/>
      <c r="M60" s="107"/>
      <c r="N60" s="107"/>
      <c r="O60" s="107"/>
      <c r="P60" s="107"/>
      <c r="Q60" s="108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5.25" customHeight="1">
      <c r="A61" s="96"/>
      <c r="B61" s="485" t="s">
        <v>461</v>
      </c>
      <c r="C61" s="102"/>
      <c r="D61" s="90"/>
      <c r="E61" s="90"/>
      <c r="F61" s="90"/>
      <c r="G61" s="90"/>
      <c r="H61" s="90"/>
      <c r="I61" s="90"/>
      <c r="J61" s="90"/>
      <c r="K61" s="101"/>
      <c r="L61" s="99"/>
      <c r="M61" s="99"/>
      <c r="N61" s="99"/>
      <c r="O61" s="99"/>
      <c r="P61" s="99"/>
      <c r="Q61" s="10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15.75" customHeight="1">
      <c r="A62" s="96"/>
      <c r="B62" s="486"/>
      <c r="C62" s="102"/>
      <c r="D62" s="90"/>
      <c r="E62" s="90"/>
      <c r="F62" s="90"/>
      <c r="G62" s="90"/>
      <c r="H62" s="90"/>
      <c r="I62" s="90"/>
      <c r="J62" s="90"/>
      <c r="K62" s="105"/>
      <c r="L62" s="90" t="s">
        <v>462</v>
      </c>
      <c r="M62" s="90"/>
      <c r="N62" s="90"/>
      <c r="O62" s="90"/>
      <c r="P62" s="90"/>
      <c r="Q62" s="104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15.75" customHeight="1">
      <c r="A63" s="96"/>
      <c r="B63" s="486"/>
      <c r="C63" s="102"/>
      <c r="D63" s="90"/>
      <c r="E63" s="90"/>
      <c r="F63" s="90"/>
      <c r="G63" s="90"/>
      <c r="H63" s="90"/>
      <c r="I63" s="90"/>
      <c r="J63" s="90"/>
      <c r="K63" s="105"/>
      <c r="L63" s="90" t="s">
        <v>463</v>
      </c>
      <c r="M63" s="90"/>
      <c r="N63" s="90"/>
      <c r="O63" s="90"/>
      <c r="P63" s="90"/>
      <c r="Q63" s="104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15.75" customHeight="1">
      <c r="A64" s="96"/>
      <c r="B64" s="486"/>
      <c r="C64" s="102"/>
      <c r="D64" s="90"/>
      <c r="E64" s="90"/>
      <c r="F64" s="90"/>
      <c r="G64" s="90"/>
      <c r="H64" s="90"/>
      <c r="I64" s="90"/>
      <c r="J64" s="90"/>
      <c r="K64" s="105"/>
      <c r="L64" s="479" t="s">
        <v>37</v>
      </c>
      <c r="M64" s="481" t="s">
        <v>464</v>
      </c>
      <c r="N64" s="440"/>
      <c r="O64" s="481" t="s">
        <v>465</v>
      </c>
      <c r="P64" s="482"/>
      <c r="Q64" s="104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15.75" customHeight="1">
      <c r="A65" s="96"/>
      <c r="B65" s="486"/>
      <c r="C65" s="102"/>
      <c r="D65" s="90"/>
      <c r="E65" s="90"/>
      <c r="F65" s="90"/>
      <c r="G65" s="90"/>
      <c r="H65" s="90"/>
      <c r="I65" s="90"/>
      <c r="J65" s="90"/>
      <c r="K65" s="105"/>
      <c r="L65" s="480"/>
      <c r="M65" s="133" t="s">
        <v>39</v>
      </c>
      <c r="N65" s="133" t="s">
        <v>40</v>
      </c>
      <c r="O65" s="133" t="s">
        <v>39</v>
      </c>
      <c r="P65" s="141" t="s">
        <v>40</v>
      </c>
      <c r="Q65" s="104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15.75" customHeight="1">
      <c r="A66" s="96"/>
      <c r="B66" s="486"/>
      <c r="C66" s="102"/>
      <c r="D66" s="90"/>
      <c r="E66" s="90"/>
      <c r="F66" s="90"/>
      <c r="G66" s="90"/>
      <c r="H66" s="90"/>
      <c r="I66" s="90"/>
      <c r="J66" s="90"/>
      <c r="K66" s="105"/>
      <c r="L66" s="142" t="s">
        <v>45</v>
      </c>
      <c r="M66" s="143">
        <v>2</v>
      </c>
      <c r="N66" s="143">
        <v>2</v>
      </c>
      <c r="O66" s="143">
        <v>4</v>
      </c>
      <c r="P66" s="103">
        <v>0</v>
      </c>
      <c r="Q66" s="104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15.75" customHeight="1">
      <c r="A67" s="96"/>
      <c r="B67" s="486"/>
      <c r="C67" s="102"/>
      <c r="D67" s="90"/>
      <c r="E67" s="90"/>
      <c r="F67" s="90"/>
      <c r="G67" s="90"/>
      <c r="H67" s="90"/>
      <c r="I67" s="90"/>
      <c r="J67" s="90"/>
      <c r="K67" s="105"/>
      <c r="L67" s="142" t="s">
        <v>61</v>
      </c>
      <c r="M67" s="143">
        <v>2</v>
      </c>
      <c r="N67" s="143">
        <v>2</v>
      </c>
      <c r="O67" s="143">
        <v>0</v>
      </c>
      <c r="P67" s="103">
        <v>4</v>
      </c>
      <c r="Q67" s="104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15.75" customHeight="1">
      <c r="A68" s="96"/>
      <c r="B68" s="486"/>
      <c r="C68" s="102"/>
      <c r="D68" s="90"/>
      <c r="E68" s="90"/>
      <c r="F68" s="90"/>
      <c r="G68" s="90"/>
      <c r="H68" s="90"/>
      <c r="I68" s="90"/>
      <c r="J68" s="90"/>
      <c r="K68" s="105"/>
      <c r="L68" s="142" t="s">
        <v>141</v>
      </c>
      <c r="M68" s="143">
        <v>2</v>
      </c>
      <c r="N68" s="143">
        <v>2</v>
      </c>
      <c r="O68" s="143">
        <v>4</v>
      </c>
      <c r="P68" s="103">
        <v>0</v>
      </c>
      <c r="Q68" s="104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15.75" customHeight="1">
      <c r="A69" s="96"/>
      <c r="B69" s="486"/>
      <c r="C69" s="102"/>
      <c r="D69" s="90"/>
      <c r="E69" s="90"/>
      <c r="F69" s="90"/>
      <c r="G69" s="90"/>
      <c r="H69" s="90"/>
      <c r="I69" s="90"/>
      <c r="J69" s="90"/>
      <c r="K69" s="105"/>
      <c r="L69" s="90" t="s">
        <v>466</v>
      </c>
      <c r="M69" s="90"/>
      <c r="N69" s="90"/>
      <c r="O69" s="90"/>
      <c r="P69" s="90"/>
      <c r="Q69" s="104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15.75" customHeight="1">
      <c r="A70" s="96"/>
      <c r="B70" s="486"/>
      <c r="C70" s="102"/>
      <c r="D70" s="90"/>
      <c r="E70" s="90"/>
      <c r="F70" s="90"/>
      <c r="G70" s="90"/>
      <c r="H70" s="90"/>
      <c r="I70" s="90"/>
      <c r="J70" s="90"/>
      <c r="K70" s="105"/>
      <c r="L70" s="479" t="s">
        <v>37</v>
      </c>
      <c r="M70" s="481" t="s">
        <v>464</v>
      </c>
      <c r="N70" s="440"/>
      <c r="O70" s="481" t="s">
        <v>465</v>
      </c>
      <c r="P70" s="482"/>
      <c r="Q70" s="104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15.75" customHeight="1">
      <c r="A71" s="96"/>
      <c r="B71" s="486"/>
      <c r="C71" s="102"/>
      <c r="D71" s="90"/>
      <c r="E71" s="90"/>
      <c r="F71" s="90"/>
      <c r="G71" s="90"/>
      <c r="H71" s="90"/>
      <c r="I71" s="90"/>
      <c r="J71" s="90"/>
      <c r="K71" s="105"/>
      <c r="L71" s="480"/>
      <c r="M71" s="133" t="s">
        <v>39</v>
      </c>
      <c r="N71" s="133" t="s">
        <v>40</v>
      </c>
      <c r="O71" s="133" t="s">
        <v>39</v>
      </c>
      <c r="P71" s="141" t="s">
        <v>40</v>
      </c>
      <c r="Q71" s="104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15.75" customHeight="1">
      <c r="A72" s="96"/>
      <c r="B72" s="486"/>
      <c r="C72" s="102"/>
      <c r="D72" s="90"/>
      <c r="E72" s="90"/>
      <c r="F72" s="90"/>
      <c r="G72" s="90"/>
      <c r="H72" s="90"/>
      <c r="I72" s="90"/>
      <c r="J72" s="90"/>
      <c r="K72" s="105"/>
      <c r="L72" s="142" t="s">
        <v>439</v>
      </c>
      <c r="M72" s="143">
        <v>1</v>
      </c>
      <c r="N72" s="143">
        <v>1</v>
      </c>
      <c r="O72" s="143">
        <v>2</v>
      </c>
      <c r="P72" s="103">
        <v>0</v>
      </c>
      <c r="Q72" s="104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15.75" customHeight="1">
      <c r="A73" s="96"/>
      <c r="B73" s="486"/>
      <c r="C73" s="102"/>
      <c r="D73" s="90"/>
      <c r="E73" s="90"/>
      <c r="F73" s="90"/>
      <c r="G73" s="90"/>
      <c r="H73" s="90"/>
      <c r="I73" s="90"/>
      <c r="J73" s="90"/>
      <c r="K73" s="105"/>
      <c r="L73" s="142" t="s">
        <v>442</v>
      </c>
      <c r="M73" s="143">
        <v>2</v>
      </c>
      <c r="N73" s="143">
        <v>2</v>
      </c>
      <c r="O73" s="143">
        <v>0</v>
      </c>
      <c r="P73" s="103">
        <v>4</v>
      </c>
      <c r="Q73" s="104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15.75" customHeight="1">
      <c r="A74" s="96"/>
      <c r="B74" s="486"/>
      <c r="C74" s="102"/>
      <c r="D74" s="90"/>
      <c r="E74" s="90"/>
      <c r="F74" s="90"/>
      <c r="G74" s="90"/>
      <c r="H74" s="90"/>
      <c r="I74" s="90"/>
      <c r="J74" s="90"/>
      <c r="K74" s="105"/>
      <c r="L74" s="477" t="s">
        <v>443</v>
      </c>
      <c r="M74" s="478" t="s">
        <v>467</v>
      </c>
      <c r="N74" s="478" t="s">
        <v>467</v>
      </c>
      <c r="O74" s="144">
        <v>8</v>
      </c>
      <c r="P74" s="145">
        <v>0</v>
      </c>
      <c r="Q74" s="104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15.75" customHeight="1">
      <c r="A75" s="96"/>
      <c r="B75" s="486"/>
      <c r="C75" s="102"/>
      <c r="D75" s="90"/>
      <c r="E75" s="90"/>
      <c r="F75" s="90"/>
      <c r="G75" s="90"/>
      <c r="H75" s="90"/>
      <c r="I75" s="90"/>
      <c r="J75" s="90"/>
      <c r="K75" s="105"/>
      <c r="L75" s="468"/>
      <c r="M75" s="470"/>
      <c r="N75" s="470"/>
      <c r="O75" s="144">
        <v>4</v>
      </c>
      <c r="P75" s="145">
        <v>4</v>
      </c>
      <c r="Q75" s="104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33.75" customHeight="1">
      <c r="A76" s="96"/>
      <c r="B76" s="486"/>
      <c r="C76" s="102"/>
      <c r="D76" s="90"/>
      <c r="E76" s="90"/>
      <c r="F76" s="90"/>
      <c r="G76" s="90"/>
      <c r="H76" s="90"/>
      <c r="I76" s="90"/>
      <c r="J76" s="90"/>
      <c r="K76" s="105"/>
      <c r="L76" s="459" t="s">
        <v>468</v>
      </c>
      <c r="M76" s="290"/>
      <c r="N76" s="290"/>
      <c r="O76" s="290"/>
      <c r="P76" s="290"/>
      <c r="Q76" s="104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5.25" customHeight="1">
      <c r="A77" s="96"/>
      <c r="B77" s="341"/>
      <c r="C77" s="146"/>
      <c r="D77" s="147"/>
      <c r="E77" s="147"/>
      <c r="F77" s="147"/>
      <c r="G77" s="147"/>
      <c r="H77" s="147"/>
      <c r="I77" s="147"/>
      <c r="J77" s="147"/>
      <c r="K77" s="148"/>
      <c r="L77" s="147"/>
      <c r="M77" s="147"/>
      <c r="N77" s="147"/>
      <c r="O77" s="147"/>
      <c r="P77" s="147"/>
      <c r="Q77" s="149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5.25" customHeight="1">
      <c r="A78" s="96"/>
      <c r="B78" s="487" t="s">
        <v>469</v>
      </c>
      <c r="C78" s="150"/>
      <c r="D78" s="151"/>
      <c r="E78" s="151"/>
      <c r="F78" s="151"/>
      <c r="G78" s="151"/>
      <c r="H78" s="151"/>
      <c r="I78" s="151"/>
      <c r="J78" s="151"/>
      <c r="K78" s="152"/>
      <c r="L78" s="151"/>
      <c r="M78" s="151"/>
      <c r="N78" s="151"/>
      <c r="O78" s="151"/>
      <c r="P78" s="151"/>
      <c r="Q78" s="153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15.75" customHeight="1">
      <c r="A79" s="96"/>
      <c r="B79" s="371"/>
      <c r="C79" s="102"/>
      <c r="D79" s="90" t="s">
        <v>470</v>
      </c>
      <c r="E79" s="90"/>
      <c r="F79" s="90"/>
      <c r="G79" s="90"/>
      <c r="H79" s="90"/>
      <c r="I79" s="90"/>
      <c r="J79" s="90"/>
      <c r="K79" s="105"/>
      <c r="L79" s="90" t="s">
        <v>471</v>
      </c>
      <c r="M79" s="90"/>
      <c r="N79" s="90"/>
      <c r="O79" s="90"/>
      <c r="P79" s="90"/>
      <c r="Q79" s="104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15.75" customHeight="1">
      <c r="A80" s="96"/>
      <c r="B80" s="371"/>
      <c r="C80" s="102"/>
      <c r="D80" s="90"/>
      <c r="E80" s="90"/>
      <c r="F80" s="90"/>
      <c r="G80" s="90"/>
      <c r="H80" s="90"/>
      <c r="I80" s="90"/>
      <c r="J80" s="90"/>
      <c r="K80" s="105"/>
      <c r="L80" s="90" t="s">
        <v>472</v>
      </c>
      <c r="M80" s="90"/>
      <c r="N80" s="90"/>
      <c r="O80" s="90"/>
      <c r="P80" s="90"/>
      <c r="Q80" s="104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5.25" customHeight="1">
      <c r="A81" s="96"/>
      <c r="B81" s="372"/>
      <c r="C81" s="106"/>
      <c r="D81" s="107"/>
      <c r="E81" s="107"/>
      <c r="F81" s="107"/>
      <c r="G81" s="107"/>
      <c r="H81" s="107"/>
      <c r="I81" s="107"/>
      <c r="J81" s="107"/>
      <c r="K81" s="109"/>
      <c r="L81" s="107"/>
      <c r="M81" s="107"/>
      <c r="N81" s="107"/>
      <c r="O81" s="107"/>
      <c r="P81" s="107"/>
      <c r="Q81" s="108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4.5" customHeight="1">
      <c r="A82" s="96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15.75" hidden="1" customHeight="1">
      <c r="A83" s="96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15.75" hidden="1" customHeight="1">
      <c r="A84" s="96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15.75" hidden="1" customHeight="1">
      <c r="A85" s="96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15.75" hidden="1" customHeight="1">
      <c r="A86" s="96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15.75" hidden="1" customHeight="1">
      <c r="A87" s="96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15.75" hidden="1" customHeight="1">
      <c r="A88" s="96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15.75" hidden="1" customHeight="1">
      <c r="A89" s="96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15.75" hidden="1" customHeight="1">
      <c r="A90" s="96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15.75" hidden="1" customHeight="1">
      <c r="A91" s="96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15.75" hidden="1" customHeight="1">
      <c r="A92" s="96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15.75" hidden="1" customHeight="1">
      <c r="A93" s="96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15.75" hidden="1" customHeight="1">
      <c r="A94" s="96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15.75" hidden="1" customHeight="1">
      <c r="A95" s="96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15.75" hidden="1" customHeight="1">
      <c r="A96" s="96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15.75" hidden="1" customHeight="1">
      <c r="A97" s="96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15.75" hidden="1" customHeight="1">
      <c r="A98" s="96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5.75" hidden="1" customHeight="1">
      <c r="A99" s="96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15.75" hidden="1" customHeight="1">
      <c r="A100" s="96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15.75" hidden="1" customHeight="1">
      <c r="A101" s="96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15.75" hidden="1" customHeight="1">
      <c r="A102" s="96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15.75" hidden="1" customHeight="1">
      <c r="A103" s="96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15.75" hidden="1" customHeight="1">
      <c r="A104" s="96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15.75" hidden="1" customHeight="1">
      <c r="A105" s="96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15.75" hidden="1" customHeight="1">
      <c r="A106" s="96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15.75" hidden="1" customHeight="1">
      <c r="A107" s="96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15.75" hidden="1" customHeight="1">
      <c r="A108" s="96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15.75" hidden="1" customHeight="1">
      <c r="A109" s="96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15.75" hidden="1" customHeight="1">
      <c r="A110" s="96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15.75" hidden="1" customHeight="1">
      <c r="A111" s="96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15.75" hidden="1" customHeight="1">
      <c r="A112" s="96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15.75" hidden="1" customHeight="1">
      <c r="A113" s="96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15.75" hidden="1" customHeight="1">
      <c r="A114" s="96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15.75" hidden="1" customHeight="1">
      <c r="A115" s="96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15.75" hidden="1" customHeight="1">
      <c r="A116" s="96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15.75" hidden="1" customHeight="1">
      <c r="A117" s="96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15.75" hidden="1" customHeight="1">
      <c r="A118" s="96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15.75" hidden="1" customHeight="1">
      <c r="A119" s="96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15.75" hidden="1" customHeight="1">
      <c r="A120" s="96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15.75" hidden="1" customHeight="1">
      <c r="A121" s="96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15.75" hidden="1" customHeight="1">
      <c r="A122" s="96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5.75" hidden="1" customHeight="1">
      <c r="A123" s="96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5.75" hidden="1" customHeight="1">
      <c r="A124" s="96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5.75" hidden="1" customHeight="1">
      <c r="A125" s="96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5.75" hidden="1" customHeight="1">
      <c r="A126" s="96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5.75" hidden="1" customHeight="1">
      <c r="A127" s="96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5.75" hidden="1" customHeight="1">
      <c r="A128" s="96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5.75" hidden="1" customHeight="1">
      <c r="A129" s="96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5.75" hidden="1" customHeight="1">
      <c r="A130" s="96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15.75" hidden="1" customHeight="1">
      <c r="A131" s="96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15.75" hidden="1" customHeight="1">
      <c r="A132" s="96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15.75" hidden="1" customHeight="1">
      <c r="A133" s="96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15.75" hidden="1" customHeight="1">
      <c r="A134" s="96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15.75" hidden="1" customHeight="1">
      <c r="A135" s="96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15.75" hidden="1" customHeight="1">
      <c r="A136" s="96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15.75" hidden="1" customHeight="1">
      <c r="A137" s="96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15.75" hidden="1" customHeight="1">
      <c r="A138" s="96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15.75" hidden="1" customHeight="1">
      <c r="A139" s="96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15.75" hidden="1" customHeight="1">
      <c r="A140" s="96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15.75" hidden="1" customHeight="1">
      <c r="A141" s="96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15.75" hidden="1" customHeight="1">
      <c r="A142" s="96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5.75" hidden="1" customHeight="1">
      <c r="A143" s="96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15.75" hidden="1" customHeight="1">
      <c r="A144" s="96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15.75" hidden="1" customHeight="1">
      <c r="A145" s="96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15.75" hidden="1" customHeight="1">
      <c r="A146" s="96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15.75" hidden="1" customHeight="1">
      <c r="A147" s="96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15.75" hidden="1" customHeight="1">
      <c r="A148" s="96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15.75" hidden="1" customHeight="1">
      <c r="A149" s="96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15.75" hidden="1" customHeight="1">
      <c r="A150" s="96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15.75" hidden="1" customHeight="1">
      <c r="A151" s="96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15.75" hidden="1" customHeight="1">
      <c r="A152" s="96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15.75" hidden="1" customHeight="1">
      <c r="A153" s="96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15.75" hidden="1" customHeight="1">
      <c r="A154" s="96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15.75" hidden="1" customHeight="1">
      <c r="A155" s="96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15.75" hidden="1" customHeight="1">
      <c r="A156" s="96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15.75" hidden="1" customHeight="1">
      <c r="A157" s="96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15.75" hidden="1" customHeight="1">
      <c r="A158" s="96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15.75" hidden="1" customHeight="1">
      <c r="A159" s="96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15.75" hidden="1" customHeight="1">
      <c r="A160" s="96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15.75" hidden="1" customHeight="1">
      <c r="A161" s="96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15.75" hidden="1" customHeight="1">
      <c r="A162" s="96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15.75" hidden="1" customHeight="1">
      <c r="A163" s="96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15.75" hidden="1" customHeight="1">
      <c r="A164" s="96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15.75" hidden="1" customHeight="1">
      <c r="A165" s="96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15.75" hidden="1" customHeight="1">
      <c r="A166" s="96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15.75" hidden="1" customHeight="1">
      <c r="A167" s="96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15.75" hidden="1" customHeight="1">
      <c r="A168" s="96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15.75" hidden="1" customHeight="1">
      <c r="A169" s="96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15.75" hidden="1" customHeight="1">
      <c r="A170" s="96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15.75" hidden="1" customHeight="1">
      <c r="A171" s="96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15.75" hidden="1" customHeight="1">
      <c r="A172" s="96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15.75" hidden="1" customHeight="1">
      <c r="A173" s="96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15.75" hidden="1" customHeight="1">
      <c r="A174" s="96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15.75" hidden="1" customHeight="1">
      <c r="A175" s="96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15.75" hidden="1" customHeight="1">
      <c r="A176" s="96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15.75" hidden="1" customHeight="1">
      <c r="A177" s="96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15.75" hidden="1" customHeight="1">
      <c r="A178" s="96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15.75" hidden="1" customHeight="1">
      <c r="A179" s="96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15.75" hidden="1" customHeight="1">
      <c r="A180" s="96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15.75" hidden="1" customHeight="1">
      <c r="A181" s="96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5.75" hidden="1" customHeight="1">
      <c r="A182" s="96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5.75" hidden="1" customHeight="1">
      <c r="A183" s="96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5.75" hidden="1" customHeight="1">
      <c r="A184" s="96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15.75" hidden="1" customHeight="1">
      <c r="A185" s="96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15.75" hidden="1" customHeight="1">
      <c r="A186" s="96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15.75" hidden="1" customHeight="1">
      <c r="A187" s="96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15.75" hidden="1" customHeight="1">
      <c r="A188" s="96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15.75" hidden="1" customHeight="1">
      <c r="A189" s="96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15.75" hidden="1" customHeight="1">
      <c r="A190" s="96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15.75" hidden="1" customHeight="1">
      <c r="A191" s="96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15.75" hidden="1" customHeight="1">
      <c r="A192" s="96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15.75" hidden="1" customHeight="1">
      <c r="A193" s="96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15.75" hidden="1" customHeight="1">
      <c r="A194" s="96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15.75" hidden="1" customHeight="1">
      <c r="A195" s="96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15.75" hidden="1" customHeight="1">
      <c r="A196" s="96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15.75" hidden="1" customHeight="1">
      <c r="A197" s="96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15.75" hidden="1" customHeight="1">
      <c r="A198" s="96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15.75" hidden="1" customHeight="1">
      <c r="A199" s="96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15.75" hidden="1" customHeight="1">
      <c r="A200" s="96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15.75" hidden="1" customHeight="1">
      <c r="A201" s="96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15.75" hidden="1" customHeight="1">
      <c r="A202" s="96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15.75" hidden="1" customHeight="1">
      <c r="A203" s="96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15.75" hidden="1" customHeight="1">
      <c r="A204" s="96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15.75" hidden="1" customHeight="1">
      <c r="A205" s="96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15.75" hidden="1" customHeight="1">
      <c r="A206" s="96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15.75" hidden="1" customHeight="1">
      <c r="A207" s="96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15.75" hidden="1" customHeight="1">
      <c r="A208" s="96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15.75" hidden="1" customHeight="1">
      <c r="A209" s="96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15.75" hidden="1" customHeight="1">
      <c r="A210" s="96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15.75" hidden="1" customHeight="1">
      <c r="A211" s="96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15.75" hidden="1" customHeight="1">
      <c r="A212" s="96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15.75" hidden="1" customHeight="1">
      <c r="A213" s="96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15.75" hidden="1" customHeight="1">
      <c r="A214" s="96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15.75" hidden="1" customHeight="1">
      <c r="A215" s="96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15.75" hidden="1" customHeight="1">
      <c r="A216" s="96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15.75" hidden="1" customHeight="1">
      <c r="A217" s="96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15.75" hidden="1" customHeight="1">
      <c r="A218" s="96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15.75" hidden="1" customHeight="1">
      <c r="A219" s="96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15.75" hidden="1" customHeight="1">
      <c r="A220" s="96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15.75" hidden="1" customHeight="1">
      <c r="A221" s="96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15.75" hidden="1" customHeight="1">
      <c r="A222" s="96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15.75" hidden="1" customHeight="1">
      <c r="A223" s="96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15.75" hidden="1" customHeight="1">
      <c r="A224" s="96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15.75" hidden="1" customHeight="1">
      <c r="A225" s="96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15.75" hidden="1" customHeight="1">
      <c r="A226" s="96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15.75" hidden="1" customHeight="1">
      <c r="A227" s="96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15.75" hidden="1" customHeight="1">
      <c r="A228" s="96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15.75" hidden="1" customHeight="1">
      <c r="A229" s="96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15.75" hidden="1" customHeight="1">
      <c r="A230" s="96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15.75" hidden="1" customHeight="1">
      <c r="A231" s="96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15.75" hidden="1" customHeight="1">
      <c r="A232" s="96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15.75" hidden="1" customHeight="1">
      <c r="A233" s="96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15.75" hidden="1" customHeight="1">
      <c r="A234" s="96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15.75" hidden="1" customHeight="1">
      <c r="A235" s="96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15.75" hidden="1" customHeight="1">
      <c r="A236" s="96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15.75" hidden="1" customHeight="1">
      <c r="A237" s="96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15.75" hidden="1" customHeight="1">
      <c r="A238" s="96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15.75" hidden="1" customHeight="1">
      <c r="A239" s="96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15.75" hidden="1" customHeight="1">
      <c r="A240" s="96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15.75" hidden="1" customHeight="1">
      <c r="A241" s="96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15.75" hidden="1" customHeight="1">
      <c r="A242" s="96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5.75" hidden="1" customHeight="1">
      <c r="A243" s="96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hidden="1" customHeight="1">
      <c r="A244" s="96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ht="15.75" hidden="1" customHeight="1">
      <c r="A245" s="96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ht="15.75" hidden="1" customHeight="1">
      <c r="A246" s="96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ht="15.75" hidden="1" customHeight="1">
      <c r="A247" s="96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ht="15.75" hidden="1" customHeight="1">
      <c r="A248" s="96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ht="15.75" hidden="1" customHeight="1">
      <c r="A249" s="96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ht="15.75" hidden="1" customHeight="1">
      <c r="A250" s="96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ht="15.75" hidden="1" customHeight="1">
      <c r="A251" s="96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ht="15.75" hidden="1" customHeight="1">
      <c r="A252" s="96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ht="15.75" hidden="1" customHeight="1">
      <c r="A253" s="96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ht="15.75" hidden="1" customHeight="1">
      <c r="A254" s="96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ht="15.75" hidden="1" customHeight="1">
      <c r="A255" s="96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ht="15.75" hidden="1" customHeight="1">
      <c r="A256" s="96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ht="15.75" hidden="1" customHeight="1">
      <c r="A257" s="96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ht="15.75" hidden="1" customHeight="1">
      <c r="A258" s="96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ht="15.75" hidden="1" customHeight="1">
      <c r="A259" s="96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ht="15.75" hidden="1" customHeight="1">
      <c r="A260" s="96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ht="15.75" hidden="1" customHeight="1">
      <c r="A261" s="96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ht="15.75" hidden="1" customHeight="1">
      <c r="A262" s="96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ht="15.75" hidden="1" customHeight="1">
      <c r="A263" s="96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ht="15.75" hidden="1" customHeight="1">
      <c r="A264" s="96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ht="15.75" hidden="1" customHeight="1">
      <c r="A265" s="96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ht="15.75" hidden="1" customHeight="1">
      <c r="A266" s="96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ht="15.75" hidden="1" customHeight="1">
      <c r="A267" s="96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ht="15.75" hidden="1" customHeight="1">
      <c r="A268" s="96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ht="15.75" hidden="1" customHeight="1">
      <c r="A269" s="96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ht="15.75" hidden="1" customHeight="1">
      <c r="A270" s="96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ht="15.75" hidden="1" customHeight="1">
      <c r="A271" s="96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ht="15.75" hidden="1" customHeight="1">
      <c r="A272" s="96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ht="15.75" hidden="1" customHeight="1">
      <c r="A273" s="96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ht="15.75" hidden="1" customHeight="1">
      <c r="A274" s="96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ht="15.75" hidden="1" customHeight="1">
      <c r="A275" s="96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ht="15.75" hidden="1" customHeight="1">
      <c r="A276" s="96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ht="15.75" hidden="1" customHeight="1">
      <c r="A277" s="96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ht="15.75" hidden="1" customHeight="1">
      <c r="A278" s="96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ht="15.75" hidden="1" customHeight="1">
      <c r="A279" s="96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ht="15.75" hidden="1" customHeight="1">
      <c r="A280" s="96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5.75" customHeight="1"/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D5:G5"/>
    <mergeCell ref="D6:G6"/>
    <mergeCell ref="H6:I6"/>
    <mergeCell ref="D7:G7"/>
    <mergeCell ref="H7:I7"/>
    <mergeCell ref="L7:N7"/>
    <mergeCell ref="O7:P7"/>
    <mergeCell ref="L8:N8"/>
    <mergeCell ref="O8:P8"/>
    <mergeCell ref="L5:N5"/>
    <mergeCell ref="O17:P17"/>
    <mergeCell ref="O26:P26"/>
    <mergeCell ref="O27:P28"/>
    <mergeCell ref="O29:P29"/>
    <mergeCell ref="L17:N17"/>
    <mergeCell ref="L18:N18"/>
    <mergeCell ref="O18:P18"/>
    <mergeCell ref="O30:P30"/>
    <mergeCell ref="G12:I12"/>
    <mergeCell ref="L19:N19"/>
    <mergeCell ref="O19:P19"/>
    <mergeCell ref="O22:P22"/>
    <mergeCell ref="O23:P25"/>
    <mergeCell ref="D16:G16"/>
    <mergeCell ref="H16:I16"/>
    <mergeCell ref="D17:G17"/>
    <mergeCell ref="H17:I17"/>
    <mergeCell ref="D18:G18"/>
    <mergeCell ref="H18:I18"/>
    <mergeCell ref="L11:M12"/>
    <mergeCell ref="N11:P12"/>
    <mergeCell ref="L16:N16"/>
    <mergeCell ref="O31:P31"/>
    <mergeCell ref="M32:N32"/>
    <mergeCell ref="O32:P32"/>
    <mergeCell ref="B2:Q2"/>
    <mergeCell ref="C3:J3"/>
    <mergeCell ref="K3:Q3"/>
    <mergeCell ref="B4:B9"/>
    <mergeCell ref="H5:I5"/>
    <mergeCell ref="O5:P5"/>
    <mergeCell ref="O6:P6"/>
    <mergeCell ref="D13:F13"/>
    <mergeCell ref="G13:I13"/>
    <mergeCell ref="L13:M13"/>
    <mergeCell ref="N13:P13"/>
    <mergeCell ref="D12:F12"/>
    <mergeCell ref="D8:G8"/>
    <mergeCell ref="H8:I8"/>
    <mergeCell ref="B10:B14"/>
    <mergeCell ref="D11:F11"/>
    <mergeCell ref="G11:I11"/>
    <mergeCell ref="F29:F30"/>
    <mergeCell ref="F32:H32"/>
    <mergeCell ref="L6:N6"/>
    <mergeCell ref="O16:P16"/>
    <mergeCell ref="F33:H33"/>
    <mergeCell ref="D34:H34"/>
    <mergeCell ref="D35:H35"/>
    <mergeCell ref="D36:H36"/>
    <mergeCell ref="G45:H45"/>
    <mergeCell ref="M33:N33"/>
    <mergeCell ref="O33:P33"/>
    <mergeCell ref="L34:N34"/>
    <mergeCell ref="O34:P34"/>
    <mergeCell ref="L35:N35"/>
    <mergeCell ref="O35:P35"/>
    <mergeCell ref="L36:N36"/>
    <mergeCell ref="O36:P36"/>
    <mergeCell ref="B50:B60"/>
    <mergeCell ref="B61:B77"/>
    <mergeCell ref="B78:B81"/>
    <mergeCell ref="D51:F51"/>
    <mergeCell ref="D52:F52"/>
    <mergeCell ref="D53:F53"/>
    <mergeCell ref="D54:F54"/>
    <mergeCell ref="D55:F55"/>
    <mergeCell ref="D56:F56"/>
    <mergeCell ref="D57:F57"/>
    <mergeCell ref="B38:B41"/>
    <mergeCell ref="D45:F45"/>
    <mergeCell ref="D48:E48"/>
    <mergeCell ref="L45:M45"/>
    <mergeCell ref="N45:O45"/>
    <mergeCell ref="I46:I48"/>
    <mergeCell ref="N46:O46"/>
    <mergeCell ref="D47:E47"/>
    <mergeCell ref="B42:B49"/>
    <mergeCell ref="G46:H46"/>
    <mergeCell ref="G47:H47"/>
    <mergeCell ref="G48:H48"/>
    <mergeCell ref="L74:L75"/>
    <mergeCell ref="M74:M75"/>
    <mergeCell ref="N74:N75"/>
    <mergeCell ref="L76:P76"/>
    <mergeCell ref="L56:M56"/>
    <mergeCell ref="L64:L65"/>
    <mergeCell ref="M64:N64"/>
    <mergeCell ref="O64:P64"/>
    <mergeCell ref="L70:L71"/>
    <mergeCell ref="M70:N70"/>
    <mergeCell ref="O70:P70"/>
    <mergeCell ref="N56:P56"/>
    <mergeCell ref="G57:I57"/>
    <mergeCell ref="D59:I59"/>
    <mergeCell ref="B15:B20"/>
    <mergeCell ref="D19:G19"/>
    <mergeCell ref="H19:I19"/>
    <mergeCell ref="I23:I25"/>
    <mergeCell ref="L23:L32"/>
    <mergeCell ref="M26:M27"/>
    <mergeCell ref="F27:F28"/>
    <mergeCell ref="I27:I28"/>
    <mergeCell ref="D46:E46"/>
    <mergeCell ref="L59:P59"/>
    <mergeCell ref="P46:P48"/>
    <mergeCell ref="N47:O47"/>
    <mergeCell ref="N48:O48"/>
    <mergeCell ref="L51:M51"/>
    <mergeCell ref="L52:M52"/>
    <mergeCell ref="L53:M53"/>
    <mergeCell ref="L54:M54"/>
    <mergeCell ref="L55:M55"/>
    <mergeCell ref="B21:B37"/>
    <mergeCell ref="D23:D33"/>
    <mergeCell ref="E23:E32"/>
    <mergeCell ref="F23:F26"/>
  </mergeCells>
  <phoneticPr fontId="37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교육과정편제표(사무행정과)</vt:lpstr>
      <vt:lpstr>실무과목 능력단위(사무행정과)</vt:lpstr>
      <vt:lpstr>삭제금지</vt:lpstr>
      <vt:lpstr>(참고1) 편성 기준🔐</vt:lpstr>
      <vt:lpstr>'교육과정편제표(사무행정과)'!Print_Area</vt:lpstr>
      <vt:lpstr>'실무과목 능력단위(사무행정과)'!Print_Area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2026-10-20T06:22:21Z</cp:lastPrinted>
  <dcterms:created xsi:type="dcterms:W3CDTF">2025-10-17T01:24:16Z</dcterms:created>
  <dcterms:modified xsi:type="dcterms:W3CDTF">2026-10-21T05:27:56Z</dcterms:modified>
</cp:coreProperties>
</file>