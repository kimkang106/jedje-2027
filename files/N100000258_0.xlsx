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교육과정부\2026 교육과정부\2026 교육과정편제\2027 입학생 편제표 및 능력단위 편성계획\"/>
    </mc:Choice>
  </mc:AlternateContent>
  <xr:revisionPtr revIDLastSave="0" documentId="13_ncr:1_{AC801C26-D2A3-4278-8AEB-E87D8DA3F96D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교육과정편제표(해양산업운항과)" sheetId="8" r:id="rId1"/>
    <sheet name="교육과정편제표(동력제어시스템과)" sheetId="25" r:id="rId2"/>
    <sheet name="교육과정편제표(자영수산과)" sheetId="26" r:id="rId3"/>
    <sheet name="교육과정편제표(냉동공조과)" sheetId="27" r:id="rId4"/>
    <sheet name="실무과목 능력단위(해양산업운항과)" sheetId="14" r:id="rId5"/>
    <sheet name="실무과목 능력단위(동력제어시스템과)" sheetId="28" r:id="rId6"/>
    <sheet name="실무과목 능력단위(자영수산과)" sheetId="29" r:id="rId7"/>
    <sheet name="실무과목 능력단위(냉동공조과)" sheetId="30" r:id="rId8"/>
    <sheet name="삭제금지" sheetId="4" r:id="rId9"/>
    <sheet name="(참고1) 편성 기준🔐" sheetId="16" r:id="rId10"/>
  </sheets>
  <definedNames>
    <definedName name="_xlnm._FilterDatabase" localSheetId="3" hidden="1">'교육과정편제표(냉동공조과)'!$M$3:$P$4</definedName>
    <definedName name="_xlnm._FilterDatabase" localSheetId="1" hidden="1">'교육과정편제표(동력제어시스템과)'!$M$3:$P$4</definedName>
    <definedName name="_xlnm._FilterDatabase" localSheetId="2" hidden="1">'교육과정편제표(자영수산과)'!$M$3:$P$4</definedName>
    <definedName name="_xlnm._FilterDatabase" localSheetId="0" hidden="1">'교육과정편제표(해양산업운항과)'!$M$3:$P$4</definedName>
    <definedName name="_xlnm._FilterDatabase" localSheetId="8" hidden="1">삭제금지!$A$1:$F$151</definedName>
    <definedName name="_xlnm._FilterDatabase" localSheetId="7" hidden="1">'실무과목 능력단위(냉동공조과)'!#REF!</definedName>
    <definedName name="_xlnm._FilterDatabase" localSheetId="5" hidden="1">'실무과목 능력단위(동력제어시스템과)'!#REF!</definedName>
    <definedName name="_xlnm._FilterDatabase" localSheetId="6" hidden="1">'실무과목 능력단위(자영수산과)'!#REF!</definedName>
    <definedName name="_xlnm._FilterDatabase" localSheetId="4" hidden="1">'실무과목 능력단위(해양산업운항과)'!#REF!</definedName>
    <definedName name="_xlnm.Print_Area" localSheetId="3">'교육과정편제표(냉동공조과)'!$A$1:$AE$57</definedName>
    <definedName name="_xlnm.Print_Area" localSheetId="1">'교육과정편제표(동력제어시스템과)'!$A$1:$AE$59</definedName>
    <definedName name="_xlnm.Print_Area" localSheetId="2">'교육과정편제표(자영수산과)'!$A$1:$AE$60</definedName>
    <definedName name="_xlnm.Print_Area" localSheetId="0">'교육과정편제표(해양산업운항과)'!$A$1:$AE$60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2" i="28" l="1"/>
  <c r="T32" i="28"/>
  <c r="R32" i="28"/>
  <c r="P32" i="28"/>
  <c r="T30" i="28"/>
  <c r="S30" i="28"/>
  <c r="S32" i="28" s="1"/>
  <c r="Q30" i="28"/>
  <c r="Q32" i="28" s="1"/>
  <c r="U29" i="28"/>
  <c r="R29" i="28"/>
  <c r="P29" i="28"/>
  <c r="T27" i="28"/>
  <c r="T29" i="28" s="1"/>
  <c r="S27" i="28"/>
  <c r="S29" i="28" s="1"/>
  <c r="Q27" i="28"/>
  <c r="Q29" i="28" s="1"/>
  <c r="P14" i="28"/>
  <c r="Q14" i="28"/>
  <c r="U12" i="28"/>
  <c r="U14" i="28" s="1"/>
  <c r="T12" i="28"/>
  <c r="T14" i="28" s="1"/>
  <c r="W35" i="25" l="1"/>
  <c r="N11" i="28" l="1"/>
  <c r="O11" i="28"/>
  <c r="S10" i="28"/>
  <c r="L11" i="28"/>
  <c r="M11" i="28"/>
  <c r="R11" i="28"/>
  <c r="N35" i="30"/>
  <c r="O35" i="30"/>
  <c r="T35" i="30"/>
  <c r="T30" i="29"/>
  <c r="U30" i="29"/>
  <c r="U29" i="29"/>
  <c r="T29" i="29"/>
  <c r="U17" i="30"/>
  <c r="O17" i="30"/>
  <c r="M17" i="30"/>
  <c r="T17" i="30"/>
  <c r="Q21" i="30"/>
  <c r="S21" i="30"/>
  <c r="U21" i="30"/>
  <c r="T21" i="30"/>
  <c r="U25" i="30"/>
  <c r="T25" i="30"/>
  <c r="S25" i="30"/>
  <c r="T28" i="30"/>
  <c r="U28" i="30"/>
  <c r="R28" i="30"/>
  <c r="S28" i="30"/>
  <c r="T32" i="30"/>
  <c r="U32" i="30"/>
  <c r="P32" i="30"/>
  <c r="Q32" i="30"/>
  <c r="R32" i="30"/>
  <c r="S32" i="30"/>
  <c r="P25" i="30"/>
  <c r="R25" i="30"/>
  <c r="P21" i="30"/>
  <c r="R21" i="30"/>
  <c r="L17" i="30"/>
  <c r="N17" i="30"/>
  <c r="N12" i="30"/>
  <c r="L12" i="30"/>
  <c r="M12" i="30"/>
  <c r="O12" i="30"/>
  <c r="T12" i="30"/>
  <c r="U12" i="30"/>
  <c r="S17" i="28"/>
  <c r="T17" i="14"/>
  <c r="S17" i="14"/>
  <c r="R17" i="14"/>
  <c r="Q17" i="14"/>
  <c r="T16" i="14"/>
  <c r="S16" i="14"/>
  <c r="U37" i="30"/>
  <c r="T36" i="30"/>
  <c r="T37" i="30" s="1"/>
  <c r="S9" i="30"/>
  <c r="S12" i="30" s="1"/>
  <c r="K9" i="30"/>
  <c r="I9" i="30"/>
  <c r="U28" i="29"/>
  <c r="T28" i="29"/>
  <c r="U26" i="29"/>
  <c r="T26" i="29"/>
  <c r="U25" i="29"/>
  <c r="U27" i="29" s="1"/>
  <c r="T25" i="29"/>
  <c r="T27" i="29" s="1"/>
  <c r="U24" i="29"/>
  <c r="T24" i="29"/>
  <c r="U21" i="29"/>
  <c r="T20" i="29"/>
  <c r="T19" i="29"/>
  <c r="U18" i="29"/>
  <c r="T17" i="29"/>
  <c r="T16" i="29"/>
  <c r="T15" i="29"/>
  <c r="T14" i="29"/>
  <c r="O13" i="29"/>
  <c r="N13" i="29"/>
  <c r="M13" i="29"/>
  <c r="L13" i="29"/>
  <c r="K13" i="29"/>
  <c r="J13" i="29"/>
  <c r="I13" i="29"/>
  <c r="H13" i="29"/>
  <c r="U12" i="29"/>
  <c r="T11" i="29"/>
  <c r="K11" i="29"/>
  <c r="I11" i="29"/>
  <c r="U11" i="29" s="1"/>
  <c r="T10" i="29"/>
  <c r="K10" i="29"/>
  <c r="I10" i="29"/>
  <c r="T9" i="29"/>
  <c r="T13" i="29" s="1"/>
  <c r="K9" i="29"/>
  <c r="I9" i="29"/>
  <c r="U9" i="29" s="1"/>
  <c r="R26" i="28"/>
  <c r="Q26" i="28"/>
  <c r="P26" i="28"/>
  <c r="T25" i="28"/>
  <c r="S25" i="28"/>
  <c r="U25" i="28" s="1"/>
  <c r="T24" i="28"/>
  <c r="S24" i="28"/>
  <c r="U24" i="28" s="1"/>
  <c r="U23" i="28"/>
  <c r="T23" i="28"/>
  <c r="U22" i="28"/>
  <c r="T22" i="28"/>
  <c r="U21" i="28"/>
  <c r="T21" i="28"/>
  <c r="R21" i="28"/>
  <c r="P21" i="28"/>
  <c r="S20" i="28"/>
  <c r="S19" i="28"/>
  <c r="S18" i="28"/>
  <c r="T9" i="28"/>
  <c r="T11" i="28" s="1"/>
  <c r="S9" i="28"/>
  <c r="S11" i="28" s="1"/>
  <c r="K9" i="28"/>
  <c r="I9" i="28"/>
  <c r="P33" i="14"/>
  <c r="T32" i="14"/>
  <c r="S32" i="14"/>
  <c r="Q32" i="14"/>
  <c r="T31" i="14"/>
  <c r="S31" i="14"/>
  <c r="Q31" i="14"/>
  <c r="U31" i="14" s="1"/>
  <c r="R30" i="14"/>
  <c r="T29" i="14"/>
  <c r="S29" i="14"/>
  <c r="U29" i="14" s="1"/>
  <c r="T28" i="14"/>
  <c r="S28" i="14"/>
  <c r="U28" i="14" s="1"/>
  <c r="U27" i="14"/>
  <c r="T27" i="14"/>
  <c r="R27" i="14"/>
  <c r="P27" i="14"/>
  <c r="S26" i="14"/>
  <c r="S25" i="14"/>
  <c r="S24" i="14"/>
  <c r="S27" i="14" s="1"/>
  <c r="Q24" i="14"/>
  <c r="Q27" i="14" s="1"/>
  <c r="U23" i="14"/>
  <c r="R23" i="14"/>
  <c r="P23" i="14"/>
  <c r="T22" i="14"/>
  <c r="S22" i="14"/>
  <c r="T21" i="14"/>
  <c r="S21" i="14"/>
  <c r="T20" i="14"/>
  <c r="T19" i="14"/>
  <c r="S19" i="14"/>
  <c r="Q19" i="14"/>
  <c r="T18" i="14"/>
  <c r="S18" i="14"/>
  <c r="Q18" i="14"/>
  <c r="U17" i="14"/>
  <c r="P17" i="14"/>
  <c r="T15" i="14"/>
  <c r="S15" i="14"/>
  <c r="T14" i="14"/>
  <c r="S14" i="14"/>
  <c r="Q14" i="14"/>
  <c r="T13" i="14"/>
  <c r="S13" i="14"/>
  <c r="Q13" i="14"/>
  <c r="R12" i="14"/>
  <c r="P12" i="14"/>
  <c r="O12" i="14"/>
  <c r="N12" i="14"/>
  <c r="M12" i="14"/>
  <c r="L12" i="14"/>
  <c r="K12" i="14"/>
  <c r="J12" i="14"/>
  <c r="I12" i="14"/>
  <c r="H12" i="14"/>
  <c r="U11" i="14"/>
  <c r="T10" i="14"/>
  <c r="S10" i="14"/>
  <c r="Q10" i="14"/>
  <c r="K10" i="14"/>
  <c r="I10" i="14"/>
  <c r="T9" i="14"/>
  <c r="S9" i="14"/>
  <c r="Q9" i="14"/>
  <c r="K9" i="14"/>
  <c r="I9" i="14"/>
  <c r="T18" i="29" l="1"/>
  <c r="T21" i="29"/>
  <c r="U10" i="29"/>
  <c r="S21" i="28"/>
  <c r="Q21" i="28"/>
  <c r="U26" i="28"/>
  <c r="T26" i="28"/>
  <c r="U9" i="28"/>
  <c r="U11" i="28" s="1"/>
  <c r="U32" i="14"/>
  <c r="U10" i="14"/>
  <c r="T23" i="14"/>
  <c r="S12" i="14"/>
  <c r="Q23" i="14"/>
  <c r="Q12" i="14"/>
  <c r="S23" i="14"/>
  <c r="T12" i="14"/>
  <c r="T30" i="14"/>
  <c r="U33" i="14"/>
  <c r="Q33" i="14"/>
  <c r="U9" i="14"/>
  <c r="U30" i="14"/>
  <c r="T33" i="14"/>
  <c r="U13" i="29"/>
  <c r="S26" i="28"/>
  <c r="S30" i="14"/>
  <c r="U12" i="14" l="1"/>
  <c r="S55" i="27"/>
  <c r="O55" i="27"/>
  <c r="K55" i="27"/>
  <c r="W55" i="27" s="1"/>
  <c r="W54" i="27"/>
  <c r="W53" i="27"/>
  <c r="AA54" i="27" s="1"/>
  <c r="Y50" i="27"/>
  <c r="W50" i="27"/>
  <c r="Y47" i="27"/>
  <c r="U47" i="27"/>
  <c r="S47" i="27"/>
  <c r="Q47" i="27"/>
  <c r="Q49" i="27" s="1"/>
  <c r="O47" i="27"/>
  <c r="M47" i="27"/>
  <c r="K47" i="27"/>
  <c r="J47" i="27"/>
  <c r="I47" i="27"/>
  <c r="I49" i="27" s="1"/>
  <c r="H47" i="27"/>
  <c r="W45" i="27"/>
  <c r="W43" i="27"/>
  <c r="W42" i="27"/>
  <c r="W41" i="27"/>
  <c r="W40" i="27"/>
  <c r="W39" i="27"/>
  <c r="W38" i="27"/>
  <c r="W37" i="27"/>
  <c r="W36" i="27"/>
  <c r="W35" i="27"/>
  <c r="W34" i="27"/>
  <c r="W33" i="27"/>
  <c r="W32" i="27"/>
  <c r="Y31" i="27"/>
  <c r="U31" i="27"/>
  <c r="S31" i="27"/>
  <c r="Q31" i="27"/>
  <c r="O31" i="27"/>
  <c r="M31" i="27"/>
  <c r="K31" i="27"/>
  <c r="H31" i="27"/>
  <c r="W28" i="27"/>
  <c r="W26" i="27"/>
  <c r="W25" i="27"/>
  <c r="W24" i="27"/>
  <c r="W23" i="27"/>
  <c r="W22" i="27"/>
  <c r="J22" i="27"/>
  <c r="J31" i="27" s="1"/>
  <c r="W21" i="27"/>
  <c r="J21" i="27"/>
  <c r="W20" i="27"/>
  <c r="W19" i="27"/>
  <c r="W18" i="27"/>
  <c r="W17" i="27"/>
  <c r="X17" i="27" s="1"/>
  <c r="W16" i="27"/>
  <c r="W15" i="27"/>
  <c r="W14" i="27"/>
  <c r="W13" i="27"/>
  <c r="W12" i="27"/>
  <c r="W11" i="27"/>
  <c r="W10" i="27"/>
  <c r="W9" i="27"/>
  <c r="AA59" i="26"/>
  <c r="W58" i="26"/>
  <c r="S58" i="26"/>
  <c r="O58" i="26"/>
  <c r="K58" i="26"/>
  <c r="AA57" i="26"/>
  <c r="Y57" i="26"/>
  <c r="W57" i="26"/>
  <c r="W56" i="26"/>
  <c r="Y53" i="26"/>
  <c r="W53" i="26"/>
  <c r="Y52" i="26"/>
  <c r="AA54" i="26" s="1"/>
  <c r="S52" i="26"/>
  <c r="Q52" i="26"/>
  <c r="Y50" i="26"/>
  <c r="U50" i="26"/>
  <c r="U52" i="26" s="1"/>
  <c r="S50" i="26"/>
  <c r="Q50" i="26"/>
  <c r="O50" i="26"/>
  <c r="O52" i="26" s="1"/>
  <c r="M50" i="26"/>
  <c r="K50" i="26"/>
  <c r="J50" i="26"/>
  <c r="I50" i="26"/>
  <c r="I52" i="26" s="1"/>
  <c r="H50" i="26"/>
  <c r="H52" i="26" s="1"/>
  <c r="W48" i="26"/>
  <c r="W46" i="26"/>
  <c r="W45" i="26"/>
  <c r="W44" i="26"/>
  <c r="W43" i="26"/>
  <c r="W42" i="26"/>
  <c r="W41" i="26"/>
  <c r="W40" i="26"/>
  <c r="W39" i="26"/>
  <c r="W38" i="26"/>
  <c r="W37" i="26"/>
  <c r="W36" i="26"/>
  <c r="W35" i="26"/>
  <c r="W34" i="26"/>
  <c r="W33" i="26"/>
  <c r="W32" i="26"/>
  <c r="Y31" i="26"/>
  <c r="U31" i="26"/>
  <c r="S31" i="26"/>
  <c r="Q31" i="26"/>
  <c r="O31" i="26"/>
  <c r="M31" i="26"/>
  <c r="K31" i="26"/>
  <c r="W31" i="26" s="1"/>
  <c r="AA31" i="26" s="1"/>
  <c r="H31" i="26"/>
  <c r="W28" i="26"/>
  <c r="W26" i="26"/>
  <c r="W25" i="26"/>
  <c r="W24" i="26"/>
  <c r="W23" i="26"/>
  <c r="W22" i="26"/>
  <c r="J22" i="26"/>
  <c r="J31" i="26" s="1"/>
  <c r="J52" i="26" s="1"/>
  <c r="W21" i="26"/>
  <c r="X21" i="26" s="1"/>
  <c r="J21" i="26"/>
  <c r="W20" i="26"/>
  <c r="W19" i="26"/>
  <c r="X19" i="26" s="1"/>
  <c r="W18" i="26"/>
  <c r="X17" i="26"/>
  <c r="W17" i="26"/>
  <c r="W16" i="26"/>
  <c r="X15" i="26"/>
  <c r="W15" i="26"/>
  <c r="W14" i="26"/>
  <c r="W13" i="26"/>
  <c r="X13" i="26" s="1"/>
  <c r="W12" i="26"/>
  <c r="W11" i="26"/>
  <c r="X11" i="26" s="1"/>
  <c r="W10" i="26"/>
  <c r="W9" i="26"/>
  <c r="X9" i="26" s="1"/>
  <c r="S57" i="25"/>
  <c r="O57" i="25"/>
  <c r="K57" i="25"/>
  <c r="AA56" i="25"/>
  <c r="W56" i="25"/>
  <c r="W55" i="25"/>
  <c r="Y52" i="25"/>
  <c r="W52" i="25"/>
  <c r="Y49" i="25"/>
  <c r="U49" i="25"/>
  <c r="S49" i="25"/>
  <c r="Q49" i="25"/>
  <c r="Q51" i="25" s="1"/>
  <c r="O49" i="25"/>
  <c r="M49" i="25"/>
  <c r="K49" i="25"/>
  <c r="J49" i="25"/>
  <c r="I49" i="25"/>
  <c r="I51" i="25" s="1"/>
  <c r="H49" i="25"/>
  <c r="H51" i="25" s="1"/>
  <c r="W47" i="25"/>
  <c r="W45" i="25"/>
  <c r="W44" i="25"/>
  <c r="W43" i="25"/>
  <c r="W42" i="25"/>
  <c r="W41" i="25"/>
  <c r="W40" i="25"/>
  <c r="W39" i="25"/>
  <c r="W38" i="25"/>
  <c r="W37" i="25"/>
  <c r="W36" i="25"/>
  <c r="W34" i="25"/>
  <c r="W33" i="25"/>
  <c r="W32" i="25"/>
  <c r="Y31" i="25"/>
  <c r="U31" i="25"/>
  <c r="S31" i="25"/>
  <c r="Q31" i="25"/>
  <c r="O31" i="25"/>
  <c r="O51" i="25" s="1"/>
  <c r="M31" i="25"/>
  <c r="M51" i="25" s="1"/>
  <c r="K31" i="25"/>
  <c r="K51" i="25" s="1"/>
  <c r="H31" i="25"/>
  <c r="W28" i="25"/>
  <c r="W26" i="25"/>
  <c r="W25" i="25"/>
  <c r="W24" i="25"/>
  <c r="W23" i="25"/>
  <c r="W22" i="25"/>
  <c r="J22" i="25"/>
  <c r="W21" i="25"/>
  <c r="J21" i="25"/>
  <c r="J31" i="25" s="1"/>
  <c r="W20" i="25"/>
  <c r="W19" i="25"/>
  <c r="X19" i="25" s="1"/>
  <c r="W18" i="25"/>
  <c r="W17" i="25"/>
  <c r="X17" i="25" s="1"/>
  <c r="W16" i="25"/>
  <c r="W15" i="25"/>
  <c r="X15" i="25" s="1"/>
  <c r="W14" i="25"/>
  <c r="W13" i="25"/>
  <c r="X13" i="25" s="1"/>
  <c r="W12" i="25"/>
  <c r="W11" i="25"/>
  <c r="W10" i="25"/>
  <c r="W9" i="25"/>
  <c r="H50" i="8"/>
  <c r="W48" i="8"/>
  <c r="W37" i="8"/>
  <c r="W36" i="8"/>
  <c r="W35" i="8"/>
  <c r="W38" i="8"/>
  <c r="W39" i="8"/>
  <c r="W33" i="8"/>
  <c r="W40" i="8"/>
  <c r="J22" i="8"/>
  <c r="J21" i="8"/>
  <c r="S51" i="25" l="1"/>
  <c r="Y51" i="25"/>
  <c r="AA53" i="25" s="1"/>
  <c r="W57" i="25"/>
  <c r="U51" i="25"/>
  <c r="X9" i="25"/>
  <c r="X21" i="25"/>
  <c r="X11" i="25"/>
  <c r="J49" i="27"/>
  <c r="X9" i="27"/>
  <c r="M49" i="27"/>
  <c r="S49" i="27"/>
  <c r="H49" i="27"/>
  <c r="Y49" i="27"/>
  <c r="AA51" i="27" s="1"/>
  <c r="O49" i="27"/>
  <c r="K49" i="27"/>
  <c r="X11" i="27"/>
  <c r="X13" i="27"/>
  <c r="M52" i="26"/>
  <c r="X19" i="27"/>
  <c r="X15" i="27"/>
  <c r="X21" i="27"/>
  <c r="U49" i="27"/>
  <c r="K52" i="26"/>
  <c r="J51" i="25"/>
  <c r="W31" i="27"/>
  <c r="AA31" i="27" s="1"/>
  <c r="Y54" i="27"/>
  <c r="AA56" i="27" s="1"/>
  <c r="W31" i="25"/>
  <c r="AA31" i="25" s="1"/>
  <c r="Y56" i="25"/>
  <c r="AA58" i="25" s="1"/>
  <c r="S58" i="8" l="1"/>
  <c r="O58" i="8"/>
  <c r="K58" i="8"/>
  <c r="W57" i="8"/>
  <c r="Y57" i="8" s="1"/>
  <c r="W56" i="8"/>
  <c r="AA57" i="8" s="1"/>
  <c r="Y53" i="8"/>
  <c r="W53" i="8"/>
  <c r="Y50" i="8"/>
  <c r="U50" i="8"/>
  <c r="S50" i="8"/>
  <c r="Q50" i="8"/>
  <c r="O50" i="8"/>
  <c r="M50" i="8"/>
  <c r="K50" i="8"/>
  <c r="I50" i="8"/>
  <c r="I52" i="8" s="1"/>
  <c r="J50" i="8"/>
  <c r="W46" i="8"/>
  <c r="W45" i="8"/>
  <c r="W44" i="8"/>
  <c r="W43" i="8"/>
  <c r="W42" i="8"/>
  <c r="W41" i="8"/>
  <c r="W34" i="8"/>
  <c r="W32" i="8"/>
  <c r="Y31" i="8"/>
  <c r="U31" i="8"/>
  <c r="S31" i="8"/>
  <c r="Q31" i="8"/>
  <c r="O31" i="8"/>
  <c r="M31" i="8"/>
  <c r="K31" i="8"/>
  <c r="H31" i="8"/>
  <c r="W28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O52" i="8" l="1"/>
  <c r="X21" i="8"/>
  <c r="X17" i="8"/>
  <c r="X13" i="8"/>
  <c r="M52" i="8"/>
  <c r="W58" i="8"/>
  <c r="Q52" i="8"/>
  <c r="U52" i="8"/>
  <c r="X19" i="8"/>
  <c r="S52" i="8"/>
  <c r="X11" i="8"/>
  <c r="J31" i="8"/>
  <c r="J52" i="8" s="1"/>
  <c r="X9" i="8"/>
  <c r="AA59" i="8"/>
  <c r="Y52" i="8"/>
  <c r="H52" i="8"/>
  <c r="W31" i="8"/>
  <c r="AA31" i="8" s="1"/>
  <c r="X15" i="8"/>
  <c r="K52" i="8"/>
  <c r="AA5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2" authorId="0" shapeId="0" xr:uid="{FA44814E-F68A-49DA-AB84-C78C1301FC5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0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2" authorId="0" shapeId="0" xr:uid="{0C7EB615-D5E6-42AE-96DC-CBC0E41E2A2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9" authorId="0" shapeId="0" xr:uid="{6C46FAB4-52EB-48A8-BD06-0CBE0FC7CE2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2" authorId="0" shapeId="0" xr:uid="{86083F64-0848-4349-A39B-E8D1511434C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0" authorId="0" shapeId="0" xr:uid="{27EEB3BB-1FDC-4662-A4EA-B1F5B3C5B30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2" authorId="0" shapeId="0" xr:uid="{C6842486-86A4-42A8-A36B-26F876573A22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7" authorId="0" shapeId="0" xr:uid="{B0A89D52-8BAE-4BC6-A563-C3BB4276C67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9" authorId="0" shapeId="0" xr:uid="{D7BB0C02-E735-4CA2-8F3D-791FEC0CC328}">
      <text>
        <r>
          <rPr>
            <b/>
            <sz val="9"/>
            <color indexed="81"/>
            <rFont val="돋움"/>
            <family val="3"/>
            <charset val="129"/>
          </rPr>
          <t>수산해운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실무과목들의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능력단위는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업데이트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학습모듈이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학습모듈이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능력단위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입력했습니다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<sst xmlns="http://schemas.openxmlformats.org/spreadsheetml/2006/main" count="2331" uniqueCount="759">
  <si>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</si>
  <si>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</si>
  <si>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</si>
  <si>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</si>
  <si>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</si>
  <si>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</si>
  <si>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</si>
  <si>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</si>
  <si>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</si>
  <si>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</si>
  <si>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</si>
  <si>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</si>
  <si>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</si>
  <si>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</si>
  <si>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</si>
  <si>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</si>
  <si>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</si>
  <si>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</si>
  <si>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</si>
  <si>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</si>
  <si>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</si>
  <si>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</si>
  <si>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</si>
  <si>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</si>
  <si>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</si>
  <si>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</si>
  <si>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</si>
  <si>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</si>
  <si>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</si>
  <si>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</si>
  <si>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</si>
  <si>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</si>
  <si>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</si>
  <si>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</si>
  <si>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</si>
  <si>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</si>
  <si>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</si>
  <si>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</si>
  <si>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</si>
  <si>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</si>
  <si>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</si>
  <si>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</si>
  <si>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</si>
  <si>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</si>
  <si>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</si>
  <si>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</si>
  <si>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</si>
  <si>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</si>
  <si>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</si>
  <si>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</si>
  <si>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</si>
  <si>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</si>
  <si>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</si>
  <si>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</si>
  <si>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</si>
  <si>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</si>
  <si>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</si>
  <si>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</si>
  <si>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</si>
  <si>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</si>
  <si>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</si>
  <si>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</si>
  <si>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</si>
  <si>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</si>
  <si>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</si>
  <si>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</si>
  <si>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</si>
  <si>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</si>
  <si>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</si>
  <si>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</si>
  <si>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</si>
  <si>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</si>
  <si>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</si>
  <si>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</si>
  <si>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</si>
  <si>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</si>
  <si>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</si>
  <si>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</si>
  <si>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</si>
  <si>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</si>
  <si>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</si>
  <si>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</si>
  <si>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</si>
  <si>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</si>
  <si>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</si>
  <si>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</si>
  <si>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</si>
  <si>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</si>
  <si>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</si>
  <si>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</si>
  <si>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</si>
  <si>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</si>
  <si>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</si>
  <si>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</si>
  <si>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</si>
  <si>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</si>
  <si>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</si>
  <si>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</si>
  <si>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</si>
  <si>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</si>
  <si>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</si>
  <si>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</si>
  <si>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</si>
  <si>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</si>
  <si>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</si>
  <si>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</si>
  <si>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</si>
  <si>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</si>
  <si>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</si>
  <si>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</si>
  <si>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</si>
  <si>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</si>
  <si>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</si>
  <si>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</si>
  <si>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</si>
  <si>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</si>
  <si>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</si>
  <si>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</si>
  <si>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</si>
  <si>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</si>
  <si>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</si>
  <si>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</si>
  <si>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</si>
  <si>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</si>
  <si>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</si>
  <si>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</si>
  <si>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</si>
  <si>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</si>
  <si>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</si>
  <si>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</si>
  <si>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</si>
  <si>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</si>
  <si>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</si>
  <si>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</si>
  <si>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</si>
  <si>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</si>
  <si>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</si>
  <si>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</si>
  <si>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</si>
  <si>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</si>
  <si>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</si>
  <si>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</si>
  <si>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</si>
  <si>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</si>
  <si>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</si>
  <si>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</si>
  <si>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</si>
  <si>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</si>
  <si>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</si>
  <si>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</si>
  <si>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</si>
  <si>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</si>
  <si>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</si>
  <si>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</si>
  <si>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</si>
  <si>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</si>
  <si>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</si>
  <si>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</si>
  <si>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</si>
  <si>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</si>
  <si>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</si>
  <si>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</si>
  <si>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</si>
  <si>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</si>
  <si>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</si>
  <si>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</si>
  <si>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</si>
  <si>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</si>
  <si>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</si>
  <si>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</si>
  <si>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</si>
  <si>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</si>
  <si>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</si>
  <si>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</si>
  <si>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</si>
  <si>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</si>
  <si>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</si>
  <si>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</si>
  <si>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</si>
  <si>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</si>
  <si>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</si>
  <si>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</si>
  <si>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</si>
  <si>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</si>
  <si>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</si>
  <si>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</si>
  <si>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</si>
  <si>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</si>
  <si>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</si>
  <si>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</si>
  <si>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</si>
  <si>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</si>
  <si>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</si>
  <si>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</si>
  <si>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</si>
  <si>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</si>
  <si>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</si>
  <si>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</si>
  <si>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</si>
  <si>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</si>
  <si>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</si>
  <si>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</si>
  <si>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</si>
  <si>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</si>
  <si>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</si>
  <si>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</si>
  <si>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</si>
  <si>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</si>
  <si>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</si>
  <si>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</si>
  <si>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</si>
  <si>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</si>
  <si>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</si>
  <si>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</si>
  <si>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</si>
  <si>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</si>
  <si>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</si>
  <si>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</si>
  <si>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</si>
  <si>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</si>
  <si>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</si>
  <si>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</si>
  <si>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</si>
  <si>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</si>
  <si>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</si>
  <si>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</si>
  <si>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</si>
  <si>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</si>
  <si>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</si>
  <si>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</si>
  <si>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</si>
  <si>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</si>
  <si>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</si>
  <si>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</si>
  <si>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</si>
  <si>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</si>
  <si>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</si>
  <si>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</si>
  <si>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</si>
  <si>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</si>
  <si>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</si>
  <si>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</si>
  <si>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</si>
  <si>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</si>
  <si>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</si>
  <si>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</si>
  <si>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</si>
  <si>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</si>
  <si>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</si>
  <si>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</si>
  <si>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</si>
  <si>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</si>
  <si>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</si>
  <si>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</si>
  <si>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</si>
  <si>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</si>
  <si>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</si>
  <si>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</si>
  <si>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</si>
  <si>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</si>
  <si>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</si>
  <si>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</si>
  <si>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</si>
  <si>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</si>
  <si>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</si>
  <si>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</si>
  <si>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</si>
  <si>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</si>
  <si>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</si>
  <si>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</si>
  <si>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</si>
  <si>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</si>
  <si>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</si>
  <si>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</si>
  <si>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</si>
  <si>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</si>
  <si>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</si>
  <si>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</si>
  <si>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</si>
  <si>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</si>
  <si>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</si>
  <si>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</si>
  <si>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</si>
  <si>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</si>
  <si>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</si>
  <si>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</si>
  <si>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</si>
  <si>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</si>
  <si>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</si>
  <si>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</si>
  <si>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</si>
  <si>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</si>
  <si>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</si>
  <si>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</si>
  <si>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</si>
  <si>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</si>
  <si>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</si>
  <si>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</si>
  <si>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</si>
  <si>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</si>
  <si>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</si>
  <si>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</si>
  <si>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</si>
  <si>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</si>
  <si>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</si>
  <si>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</si>
  <si>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</si>
  <si>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</si>
  <si>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</si>
  <si>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</si>
  <si>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</si>
  <si>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</si>
  <si>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</si>
  <si>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</si>
  <si>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</si>
  <si>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</si>
  <si>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</si>
  <si>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</si>
  <si>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</si>
  <si>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</si>
  <si>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</si>
  <si>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</si>
  <si>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</si>
  <si>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</si>
  <si>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</si>
  <si>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</si>
  <si>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</si>
  <si>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</si>
  <si>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</si>
  <si>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</si>
  <si>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</si>
  <si>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</si>
  <si>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</si>
  <si>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</si>
  <si>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</si>
  <si>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</si>
  <si>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</si>
  <si>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</si>
  <si>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</si>
  <si>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</si>
  <si>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</si>
  <si>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</si>
  <si>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</si>
  <si>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</si>
  <si>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</si>
  <si>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</si>
  <si>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</si>
  <si>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</si>
  <si>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</si>
  <si>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</si>
  <si>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</si>
  <si>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</si>
  <si>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</si>
  <si>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</si>
  <si>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</si>
  <si>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</si>
  <si>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</si>
  <si>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</si>
  <si>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</si>
  <si>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</si>
  <si>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</si>
  <si>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</si>
  <si>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</si>
  <si>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</si>
  <si>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</si>
  <si>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</si>
  <si>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</si>
  <si>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</si>
  <si>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</si>
  <si>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</si>
  <si>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</si>
  <si>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</si>
  <si>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</si>
  <si>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</si>
  <si>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</si>
  <si>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</si>
  <si>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</si>
  <si>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</si>
  <si>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</si>
  <si>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</si>
  <si>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</si>
  <si>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</si>
  <si>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</si>
  <si>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</si>
  <si>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</si>
  <si>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</si>
  <si>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</si>
  <si>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</si>
  <si>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</si>
  <si>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</si>
  <si>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</si>
  <si>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</si>
  <si>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</si>
  <si>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</si>
  <si>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</si>
  <si>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</si>
  <si>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</si>
  <si>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</si>
  <si>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</si>
  <si>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</si>
  <si>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</si>
  <si>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</si>
  <si>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</si>
  <si>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</si>
  <si>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</si>
  <si>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</si>
  <si>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</si>
  <si>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</si>
  <si>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</si>
  <si>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</si>
  <si>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</si>
  <si>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</si>
  <si>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</si>
  <si>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</si>
  <si>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</si>
  <si>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</si>
  <si>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</si>
  <si>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</si>
  <si>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</si>
  <si>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</si>
  <si>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</si>
  <si>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</si>
  <si>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</si>
  <si>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</si>
  <si>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</si>
  <si>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</si>
  <si>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</si>
  <si>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</si>
  <si>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</si>
  <si>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</si>
  <si>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</si>
  <si>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</si>
  <si>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</si>
  <si>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</si>
  <si>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</si>
  <si>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</si>
  <si>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</si>
  <si>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</si>
  <si>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</si>
  <si>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</si>
  <si>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</si>
  <si>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</si>
  <si>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</si>
  <si>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</si>
  <si>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</si>
  <si>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</si>
  <si>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</si>
  <si>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</si>
  <si>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</si>
  <si>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</si>
  <si>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</si>
  <si>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</si>
  <si>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</si>
  <si>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</si>
  <si>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</si>
  <si>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</si>
  <si>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</si>
  <si>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</si>
  <si>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</si>
  <si>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</si>
  <si>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</si>
  <si>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</si>
  <si>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</si>
  <si>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</si>
  <si>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</si>
  <si>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</si>
  <si>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</si>
  <si>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</si>
  <si>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</si>
  <si>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</si>
  <si>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</si>
  <si>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</si>
  <si>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</si>
  <si>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</si>
  <si>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</si>
  <si>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</si>
  <si>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</si>
  <si>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</si>
  <si>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</si>
  <si>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</si>
  <si>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</si>
  <si>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</si>
  <si>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</si>
  <si>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</si>
  <si>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</si>
  <si>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</si>
  <si>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</si>
  <si>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</si>
  <si>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</si>
  <si>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</si>
  <si>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</si>
  <si>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</si>
  <si>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</si>
  <si>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</si>
  <si>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</si>
  <si>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</si>
  <si>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</si>
  <si>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</si>
  <si>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</si>
  <si>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</si>
  <si>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</si>
  <si>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</si>
  <si>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</si>
  <si>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</si>
  <si>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</si>
  <si>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</si>
  <si>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2027학년도 교육과정 편제 및 학점배당표(마이스터고/특성화고)</t>
    <phoneticPr fontId="9" type="noConversion"/>
  </si>
  <si>
    <t>충남해양과학고등학교</t>
    <phoneticPr fontId="9" type="noConversion"/>
  </si>
  <si>
    <t>수산해운</t>
  </si>
  <si>
    <t>해양생산과</t>
  </si>
  <si>
    <t>항해과</t>
  </si>
  <si>
    <t>해양산업운항과</t>
    <phoneticPr fontId="9" type="noConversion"/>
  </si>
  <si>
    <t>임태수</t>
    <phoneticPr fontId="9" type="noConversion"/>
  </si>
  <si>
    <t>정종원</t>
    <phoneticPr fontId="9" type="noConversion"/>
  </si>
  <si>
    <t>070-7512-9467</t>
    <phoneticPr fontId="9" type="noConversion"/>
  </si>
  <si>
    <t>070-7512-9487</t>
    <phoneticPr fontId="9" type="noConversion"/>
  </si>
  <si>
    <t>운동과 건강</t>
    <phoneticPr fontId="9" type="noConversion"/>
  </si>
  <si>
    <t>스포츠 과학*</t>
    <phoneticPr fontId="9" type="noConversion"/>
  </si>
  <si>
    <t>해양의 이해</t>
    <phoneticPr fontId="5" type="noConversion"/>
  </si>
  <si>
    <t>2~</t>
    <phoneticPr fontId="9" type="noConversion"/>
  </si>
  <si>
    <t>수산·해운 산업 기초</t>
    <phoneticPr fontId="5" type="noConversion"/>
  </si>
  <si>
    <t>해양 생산 일반</t>
    <phoneticPr fontId="9" type="noConversion"/>
  </si>
  <si>
    <t>2~</t>
  </si>
  <si>
    <t>선박 운용</t>
    <phoneticPr fontId="9" type="noConversion"/>
  </si>
  <si>
    <t>해사 영어</t>
    <phoneticPr fontId="9" type="noConversion"/>
  </si>
  <si>
    <t>어선 전문</t>
    <phoneticPr fontId="9" type="noConversion"/>
  </si>
  <si>
    <t>항해 기초</t>
    <phoneticPr fontId="9" type="noConversion"/>
  </si>
  <si>
    <t>항해사 직무</t>
    <phoneticPr fontId="9" type="noConversion"/>
  </si>
  <si>
    <t>해사 법규</t>
    <phoneticPr fontId="9" type="noConversion"/>
  </si>
  <si>
    <t>원양 어업</t>
    <phoneticPr fontId="9" type="noConversion"/>
  </si>
  <si>
    <t>선박 운항 관리</t>
    <phoneticPr fontId="9" type="noConversion"/>
  </si>
  <si>
    <t>선박 통신</t>
    <phoneticPr fontId="9" type="noConversion"/>
  </si>
  <si>
    <t>선박 안전 관리</t>
    <phoneticPr fontId="9" type="noConversion"/>
  </si>
  <si>
    <t>산업 잠수</t>
    <phoneticPr fontId="9" type="noConversion"/>
  </si>
  <si>
    <t>해양산업
동력제어</t>
    <phoneticPr fontId="9" type="noConversion"/>
  </si>
  <si>
    <t>타학과
융합
(택1)</t>
    <phoneticPr fontId="9" type="noConversion"/>
  </si>
  <si>
    <t>잠수 기술</t>
    <phoneticPr fontId="9" type="noConversion"/>
  </si>
  <si>
    <t>해사 일반</t>
    <phoneticPr fontId="9" type="noConversion"/>
  </si>
  <si>
    <t>일반 잠수</t>
    <phoneticPr fontId="9" type="noConversion"/>
  </si>
  <si>
    <t>기관사 직무</t>
    <phoneticPr fontId="9" type="noConversion"/>
  </si>
  <si>
    <t>동력제어시스템과</t>
    <phoneticPr fontId="9" type="noConversion"/>
  </si>
  <si>
    <t>기관과</t>
  </si>
  <si>
    <t>해사 영어</t>
    <phoneticPr fontId="5" type="noConversion"/>
  </si>
  <si>
    <t>선박 운용</t>
    <phoneticPr fontId="5" type="noConversion"/>
  </si>
  <si>
    <t>전기전자</t>
    <phoneticPr fontId="9" type="noConversion"/>
  </si>
  <si>
    <t>전기 회로</t>
    <phoneticPr fontId="9" type="noConversion"/>
  </si>
  <si>
    <t>기관 직무 일반</t>
    <phoneticPr fontId="9" type="noConversion"/>
  </si>
  <si>
    <r>
      <t>선박 전기</t>
    </r>
    <r>
      <rPr>
        <sz val="10"/>
        <color theme="1"/>
        <rFont val="Yu Gothic"/>
        <family val="3"/>
        <charset val="128"/>
      </rPr>
      <t>･</t>
    </r>
    <r>
      <rPr>
        <sz val="10"/>
        <color theme="1"/>
        <rFont val="맑은 고딕"/>
        <family val="3"/>
        <charset val="129"/>
        <scheme val="minor"/>
      </rPr>
      <t>전자</t>
    </r>
    <phoneticPr fontId="9" type="noConversion"/>
  </si>
  <si>
    <t>선박 보조 기계</t>
    <phoneticPr fontId="9" type="noConversion"/>
  </si>
  <si>
    <t>열기관</t>
    <phoneticPr fontId="9" type="noConversion"/>
  </si>
  <si>
    <t>기관 실무 기초</t>
    <phoneticPr fontId="9" type="noConversion"/>
  </si>
  <si>
    <t>자동 제어 시스템 운영</t>
    <phoneticPr fontId="9" type="noConversion"/>
  </si>
  <si>
    <t>선박 보조 기계 정비</t>
    <phoneticPr fontId="9" type="noConversion"/>
  </si>
  <si>
    <t>선박 기기 운용</t>
    <phoneticPr fontId="9" type="noConversion"/>
  </si>
  <si>
    <t>내선 공사</t>
    <phoneticPr fontId="9" type="noConversion"/>
  </si>
  <si>
    <t>자영수산과</t>
    <phoneticPr fontId="9" type="noConversion"/>
  </si>
  <si>
    <t>수산양식과</t>
  </si>
  <si>
    <t>수산 일반</t>
    <phoneticPr fontId="5" type="noConversion"/>
  </si>
  <si>
    <t>수산물 유통</t>
    <phoneticPr fontId="9" type="noConversion"/>
  </si>
  <si>
    <t>수산 생물</t>
    <phoneticPr fontId="9" type="noConversion"/>
  </si>
  <si>
    <t>기초 조리</t>
    <phoneticPr fontId="9" type="noConversion"/>
  </si>
  <si>
    <t>수산 경영</t>
    <phoneticPr fontId="9" type="noConversion"/>
  </si>
  <si>
    <t>수산 양식 일반</t>
    <phoneticPr fontId="9" type="noConversion"/>
  </si>
  <si>
    <t>관상 생물 기초</t>
    <phoneticPr fontId="9" type="noConversion"/>
  </si>
  <si>
    <t>양식 생물 질병</t>
    <phoneticPr fontId="9" type="noConversion"/>
  </si>
  <si>
    <t>수산 해양 창업</t>
    <phoneticPr fontId="9" type="noConversion"/>
  </si>
  <si>
    <t>내수면 양식</t>
    <phoneticPr fontId="9" type="noConversion"/>
  </si>
  <si>
    <t>수산 질병 관리</t>
    <phoneticPr fontId="9" type="noConversion"/>
  </si>
  <si>
    <t>해면 양식</t>
    <phoneticPr fontId="9" type="noConversion"/>
  </si>
  <si>
    <t>어촌 체험 상품 개발</t>
    <phoneticPr fontId="9" type="noConversion"/>
  </si>
  <si>
    <t>일식 조리</t>
    <phoneticPr fontId="9" type="noConversion"/>
  </si>
  <si>
    <t>한식 조리</t>
    <phoneticPr fontId="9" type="noConversion"/>
  </si>
  <si>
    <t>자영수산
냉동공조</t>
    <phoneticPr fontId="9" type="noConversion"/>
  </si>
  <si>
    <t>공조산업설비과</t>
  </si>
  <si>
    <t>냉동공조과</t>
    <phoneticPr fontId="9" type="noConversion"/>
  </si>
  <si>
    <t>과정평가형</t>
  </si>
  <si>
    <t>기계 일반</t>
    <phoneticPr fontId="5" type="noConversion"/>
  </si>
  <si>
    <t>공업 일반</t>
    <phoneticPr fontId="5" type="noConversion"/>
  </si>
  <si>
    <t>기계 제도</t>
    <phoneticPr fontId="9" type="noConversion"/>
  </si>
  <si>
    <t>냉동 공조 일반</t>
    <phoneticPr fontId="9" type="noConversion"/>
  </si>
  <si>
    <t>자동화 설비</t>
    <phoneticPr fontId="9" type="noConversion"/>
  </si>
  <si>
    <t>냉동 공조 설계</t>
    <phoneticPr fontId="9" type="noConversion"/>
  </si>
  <si>
    <t>냉동 공조 유지 보수 관리</t>
    <phoneticPr fontId="9" type="noConversion"/>
  </si>
  <si>
    <t>냉동 공조 장치 설치</t>
    <phoneticPr fontId="9" type="noConversion"/>
  </si>
  <si>
    <t>자동 제어 기기 제작</t>
    <phoneticPr fontId="9" type="noConversion"/>
  </si>
  <si>
    <r>
      <t>보일러 설치</t>
    </r>
    <r>
      <rPr>
        <sz val="10"/>
        <color theme="1"/>
        <rFont val="Yu Gothic"/>
        <family val="3"/>
        <charset val="128"/>
      </rPr>
      <t>・</t>
    </r>
    <r>
      <rPr>
        <sz val="10"/>
        <color theme="1"/>
        <rFont val="맑은 고딕"/>
        <family val="3"/>
        <charset val="129"/>
        <scheme val="minor"/>
      </rPr>
      <t>정비</t>
    </r>
    <phoneticPr fontId="9" type="noConversion"/>
  </si>
  <si>
    <t>배관 시공</t>
    <phoneticPr fontId="9" type="noConversion"/>
  </si>
  <si>
    <t>기계요소 설계</t>
    <phoneticPr fontId="9" type="noConversion"/>
  </si>
  <si>
    <t>전지전자</t>
    <phoneticPr fontId="9" type="noConversion"/>
  </si>
  <si>
    <t>어구 준비</t>
    <phoneticPr fontId="9" type="noConversion"/>
  </si>
  <si>
    <t>2404010102_13v1</t>
    <phoneticPr fontId="9" type="noConversion"/>
  </si>
  <si>
    <t>어로 작업</t>
    <phoneticPr fontId="9" type="noConversion"/>
  </si>
  <si>
    <t>2404010106_13v1</t>
    <phoneticPr fontId="9" type="noConversion"/>
  </si>
  <si>
    <t>어획물 처리</t>
    <phoneticPr fontId="9" type="noConversion"/>
  </si>
  <si>
    <t>2404010107_13v1</t>
    <phoneticPr fontId="9" type="noConversion"/>
  </si>
  <si>
    <t>선박 운항 
관리</t>
    <phoneticPr fontId="9" type="noConversion"/>
  </si>
  <si>
    <t>선위 결정</t>
    <phoneticPr fontId="9" type="noConversion"/>
  </si>
  <si>
    <t>0903010102_16v2</t>
    <phoneticPr fontId="9" type="noConversion"/>
  </si>
  <si>
    <t>0903010106_16v2</t>
    <phoneticPr fontId="9" type="noConversion"/>
  </si>
  <si>
    <t>항해 계획 수립</t>
    <phoneticPr fontId="9" type="noConversion"/>
  </si>
  <si>
    <t>0903010112_16v2</t>
    <phoneticPr fontId="9" type="noConversion"/>
  </si>
  <si>
    <t>선박 조종</t>
    <phoneticPr fontId="9" type="noConversion"/>
  </si>
  <si>
    <t>0903010104_16v2</t>
    <phoneticPr fontId="9" type="noConversion"/>
  </si>
  <si>
    <t>일반 통신 운용</t>
    <phoneticPr fontId="9" type="noConversion"/>
  </si>
  <si>
    <t>0903010301_14v1</t>
    <phoneticPr fontId="9" type="noConversion"/>
  </si>
  <si>
    <t>위성 통신 운용</t>
    <phoneticPr fontId="9" type="noConversion"/>
  </si>
  <si>
    <t>0903010302_14v1</t>
    <phoneticPr fontId="9" type="noConversion"/>
  </si>
  <si>
    <t>안전 통신 운용</t>
    <phoneticPr fontId="9" type="noConversion"/>
  </si>
  <si>
    <t>0903010303_14v1</t>
    <phoneticPr fontId="9" type="noConversion"/>
  </si>
  <si>
    <t>DSC 통신 운용</t>
    <phoneticPr fontId="9" type="noConversion"/>
  </si>
  <si>
    <t>0903010304_14v1</t>
    <phoneticPr fontId="9" type="noConversion"/>
  </si>
  <si>
    <t>조난 통신 운용</t>
    <phoneticPr fontId="9" type="noConversion"/>
  </si>
  <si>
    <t>0903010305_14v1</t>
    <phoneticPr fontId="9" type="noConversion"/>
  </si>
  <si>
    <t>선박 안전 
관리</t>
    <phoneticPr fontId="9" type="noConversion"/>
  </si>
  <si>
    <t>비상 대응</t>
    <phoneticPr fontId="9" type="noConversion"/>
  </si>
  <si>
    <t>0903010114_16v2</t>
    <phoneticPr fontId="9" type="noConversion"/>
  </si>
  <si>
    <t>조난 구급 장비 운용</t>
    <phoneticPr fontId="9" type="noConversion"/>
  </si>
  <si>
    <t>0903010113_16v2</t>
    <phoneticPr fontId="9" type="noConversion"/>
  </si>
  <si>
    <t>안전 법규 준수</t>
    <phoneticPr fontId="9" type="noConversion"/>
  </si>
  <si>
    <t>0903010120_16v2</t>
    <phoneticPr fontId="9" type="noConversion"/>
  </si>
  <si>
    <t>표면 공급식 공기 잠수</t>
    <phoneticPr fontId="9" type="noConversion"/>
  </si>
  <si>
    <t>1408050203_15v1</t>
    <phoneticPr fontId="9" type="noConversion"/>
  </si>
  <si>
    <t>기압 조절실 운용</t>
    <phoneticPr fontId="9" type="noConversion"/>
  </si>
  <si>
    <t>1408050205_15v1</t>
    <phoneticPr fontId="9" type="noConversion"/>
  </si>
  <si>
    <t>잠수 기능 운용</t>
    <phoneticPr fontId="9" type="noConversion"/>
  </si>
  <si>
    <t>1408050103_15v1</t>
    <phoneticPr fontId="9" type="noConversion"/>
  </si>
  <si>
    <t>인명 구조</t>
    <phoneticPr fontId="9" type="noConversion"/>
  </si>
  <si>
    <t>1408050108_15v1</t>
    <phoneticPr fontId="9" type="noConversion"/>
  </si>
  <si>
    <t>자동 제어 
시스템 운영</t>
    <phoneticPr fontId="9" type="noConversion"/>
  </si>
  <si>
    <t>시퀀스 회로 제어 운영</t>
    <phoneticPr fontId="9" type="noConversion"/>
  </si>
  <si>
    <t>1901080411_20v3</t>
    <phoneticPr fontId="9" type="noConversion"/>
  </si>
  <si>
    <t>선박 보조 
기계 정비</t>
    <phoneticPr fontId="9" type="noConversion"/>
  </si>
  <si>
    <t>기관 보조 기기 정비</t>
    <phoneticPr fontId="9" type="noConversion"/>
  </si>
  <si>
    <t>1508070211_19v2</t>
    <phoneticPr fontId="9" type="noConversion"/>
  </si>
  <si>
    <t>선박 기기 
운용</t>
    <phoneticPr fontId="9" type="noConversion"/>
  </si>
  <si>
    <t>추진 장치 운용</t>
    <phoneticPr fontId="9" type="noConversion"/>
  </si>
  <si>
    <t>0903010201_20v3</t>
    <phoneticPr fontId="9" type="noConversion"/>
  </si>
  <si>
    <t>보일러 운용</t>
    <phoneticPr fontId="9" type="noConversion"/>
  </si>
  <si>
    <t>0903010224_20v3</t>
    <phoneticPr fontId="9" type="noConversion"/>
  </si>
  <si>
    <t>보조 기기 운용</t>
    <phoneticPr fontId="9" type="noConversion"/>
  </si>
  <si>
    <t>0903010225_20v3</t>
    <phoneticPr fontId="9" type="noConversion"/>
  </si>
  <si>
    <t>제어 장치 운용</t>
    <phoneticPr fontId="9" type="noConversion"/>
  </si>
  <si>
    <t>0903010207_20v2</t>
    <phoneticPr fontId="9" type="noConversion"/>
  </si>
  <si>
    <t>전기 장치 운용</t>
    <phoneticPr fontId="9" type="noConversion"/>
  </si>
  <si>
    <t>0903010226_20v3</t>
    <phoneticPr fontId="9" type="noConversion"/>
  </si>
  <si>
    <t>동력 제어반 공사</t>
    <phoneticPr fontId="9" type="noConversion"/>
  </si>
  <si>
    <t>1901070121_22v4</t>
    <phoneticPr fontId="9" type="noConversion"/>
  </si>
  <si>
    <t>동력 설비 공사</t>
    <phoneticPr fontId="9" type="noConversion"/>
  </si>
  <si>
    <t>1901070122_22v4</t>
    <phoneticPr fontId="9" type="noConversion"/>
  </si>
  <si>
    <t>옥내 조명 공사</t>
    <phoneticPr fontId="9" type="noConversion"/>
  </si>
  <si>
    <t>1901070119_22v4</t>
    <phoneticPr fontId="9" type="noConversion"/>
  </si>
  <si>
    <t>전열 공사</t>
    <phoneticPr fontId="9" type="noConversion"/>
  </si>
  <si>
    <t>1901070120_22v4</t>
    <phoneticPr fontId="9" type="noConversion"/>
  </si>
  <si>
    <t>직무 일반 수행</t>
    <phoneticPr fontId="9" type="noConversion"/>
  </si>
  <si>
    <t>0903010221_20v2</t>
    <phoneticPr fontId="9" type="noConversion"/>
  </si>
  <si>
    <t>2404020302_17v2</t>
    <phoneticPr fontId="9" type="noConversion"/>
  </si>
  <si>
    <t>2404020305_17v2</t>
    <phoneticPr fontId="9" type="noConversion"/>
  </si>
  <si>
    <t>양식장 환경 관리</t>
    <phoneticPr fontId="9" type="noConversion"/>
  </si>
  <si>
    <t>2404020306_17v2</t>
    <phoneticPr fontId="9" type="noConversion"/>
  </si>
  <si>
    <t>2404020308_17v2</t>
    <phoneticPr fontId="9" type="noConversion"/>
  </si>
  <si>
    <t>수산 질병 
관리</t>
    <phoneticPr fontId="9" type="noConversion"/>
  </si>
  <si>
    <t>수서 생태계 질병 관리</t>
    <phoneticPr fontId="9" type="noConversion"/>
  </si>
  <si>
    <t>2404030206_13v1</t>
    <phoneticPr fontId="9" type="noConversion"/>
  </si>
  <si>
    <t>관상 생물 질병 관리</t>
    <phoneticPr fontId="9" type="noConversion"/>
  </si>
  <si>
    <t>2404030207_13v1</t>
    <phoneticPr fontId="9" type="noConversion"/>
  </si>
  <si>
    <t>수서 환경 관리</t>
    <phoneticPr fontId="9" type="noConversion"/>
  </si>
  <si>
    <t>2404030208_13v1</t>
    <phoneticPr fontId="9" type="noConversion"/>
  </si>
  <si>
    <t>수산 생물 사육 시설 관리</t>
    <phoneticPr fontId="9" type="noConversion"/>
  </si>
  <si>
    <t>2404030209_13v1</t>
    <phoneticPr fontId="9" type="noConversion"/>
  </si>
  <si>
    <t>사업 계획 수립</t>
    <phoneticPr fontId="9" type="noConversion"/>
  </si>
  <si>
    <t>2404020105_17v2</t>
    <phoneticPr fontId="9" type="noConversion"/>
  </si>
  <si>
    <t>어촌 체험 
상품 개발</t>
    <phoneticPr fontId="9" type="noConversion"/>
  </si>
  <si>
    <t>어촌ㆍ어업의 다원적 기능 파악</t>
    <phoneticPr fontId="9" type="noConversion"/>
  </si>
  <si>
    <t>2404040101_13v1</t>
    <phoneticPr fontId="9" type="noConversion"/>
  </si>
  <si>
    <r>
      <t>체험 자원 조사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맑은 고딕"/>
        <family val="3"/>
        <charset val="129"/>
      </rPr>
      <t>분석</t>
    </r>
    <phoneticPr fontId="9" type="noConversion"/>
  </si>
  <si>
    <t>2404040102_13v1</t>
    <phoneticPr fontId="9" type="noConversion"/>
  </si>
  <si>
    <t>일식 튀김 조리</t>
    <phoneticPr fontId="9" type="noConversion"/>
  </si>
  <si>
    <t>1301010409_21v4</t>
    <phoneticPr fontId="9" type="noConversion"/>
  </si>
  <si>
    <t>일식 밥류 조리</t>
    <phoneticPr fontId="9" type="noConversion"/>
  </si>
  <si>
    <t>1301010412_21v4</t>
    <phoneticPr fontId="9" type="noConversion"/>
  </si>
  <si>
    <t>한식 국·탕 조리</t>
    <phoneticPr fontId="9" type="noConversion"/>
  </si>
  <si>
    <t>1301010104_21v4</t>
    <phoneticPr fontId="9" type="noConversion"/>
  </si>
  <si>
    <t>1505020409_18v2</t>
    <phoneticPr fontId="9" type="noConversion"/>
  </si>
  <si>
    <t>자동 제어 
기기 제작</t>
    <phoneticPr fontId="9" type="noConversion"/>
  </si>
  <si>
    <t>전장품 조립</t>
    <phoneticPr fontId="9" type="noConversion"/>
  </si>
  <si>
    <t>1901080214_16v2</t>
    <phoneticPr fontId="9" type="noConversion"/>
  </si>
  <si>
    <t>냉동 공조 
설계</t>
    <phoneticPr fontId="9" type="noConversion"/>
  </si>
  <si>
    <t>냉동 사이클 분석</t>
    <phoneticPr fontId="9" type="noConversion"/>
  </si>
  <si>
    <t>공조 프로세스 분석</t>
    <phoneticPr fontId="9" type="noConversion"/>
  </si>
  <si>
    <t>배관 작업</t>
    <phoneticPr fontId="9" type="noConversion"/>
  </si>
  <si>
    <t>1403030504_21v2</t>
    <phoneticPr fontId="9" type="noConversion"/>
  </si>
  <si>
    <t>냉동 공조 
유지 보수 
관리</t>
    <phoneticPr fontId="9" type="noConversion"/>
  </si>
  <si>
    <t>공조 설비 운영 관리</t>
    <phoneticPr fontId="9" type="noConversion"/>
  </si>
  <si>
    <t>1505020319_16v2</t>
    <phoneticPr fontId="9" type="noConversion"/>
  </si>
  <si>
    <t>냉동 설비 운영</t>
    <phoneticPr fontId="9" type="noConversion"/>
  </si>
  <si>
    <t>보일러 설비 운영</t>
    <phoneticPr fontId="9" type="noConversion"/>
  </si>
  <si>
    <t>1505020322_16v2</t>
    <phoneticPr fontId="9" type="noConversion"/>
  </si>
  <si>
    <t>냉동 공조 
장치 설치</t>
    <phoneticPr fontId="9" type="noConversion"/>
  </si>
  <si>
    <t>1505020222_16v2</t>
    <phoneticPr fontId="9" type="noConversion"/>
  </si>
  <si>
    <t>1505020223_16v2</t>
    <phoneticPr fontId="9" type="noConversion"/>
  </si>
  <si>
    <t>기계요소 
설계</t>
    <phoneticPr fontId="9" type="noConversion"/>
  </si>
  <si>
    <t>동력 전달 요소 설계</t>
    <phoneticPr fontId="9" type="noConversion"/>
  </si>
  <si>
    <t>1501020120_19v4</t>
    <phoneticPr fontId="9" type="noConversion"/>
  </si>
  <si>
    <t>내연 기관 운용</t>
  </si>
  <si>
    <t>0903010223_20v2</t>
  </si>
  <si>
    <t>육상 수조식 양식</t>
    <phoneticPr fontId="9" type="noConversion"/>
  </si>
  <si>
    <t>1505020112_16v2</t>
    <phoneticPr fontId="9" type="noConversion"/>
  </si>
  <si>
    <t xml:space="preserve">1505020115_16v2  </t>
    <phoneticPr fontId="9" type="noConversion"/>
  </si>
  <si>
    <t xml:space="preserve">1505020114_16v2  </t>
    <phoneticPr fontId="9" type="noConversion"/>
  </si>
  <si>
    <t>1505020320_16v2</t>
    <phoneticPr fontId="9" type="noConversion"/>
  </si>
  <si>
    <t xml:space="preserve">1505020321_16v2 </t>
    <phoneticPr fontId="9" type="noConversion"/>
  </si>
  <si>
    <t>설비 적산</t>
    <phoneticPr fontId="9" type="noConversion"/>
  </si>
  <si>
    <t>냉동 장치 제작</t>
    <phoneticPr fontId="9" type="noConversion"/>
  </si>
  <si>
    <t>공조 설비 점검 관리</t>
    <phoneticPr fontId="9" type="noConversion"/>
  </si>
  <si>
    <t>냉동 설비 설치</t>
    <phoneticPr fontId="9" type="noConversion"/>
  </si>
  <si>
    <t>품질 검사</t>
    <phoneticPr fontId="9" type="noConversion"/>
  </si>
  <si>
    <t>1901080219_16v2</t>
    <phoneticPr fontId="9" type="noConversion"/>
  </si>
  <si>
    <t>소프트웨어 작성</t>
    <phoneticPr fontId="9" type="noConversion"/>
  </si>
  <si>
    <t>1901080216_16v2</t>
    <phoneticPr fontId="9" type="noConversion"/>
  </si>
  <si>
    <t>보일러 배관 설비 설치</t>
    <phoneticPr fontId="9" type="noConversion"/>
  </si>
  <si>
    <t>보일러 배관 설비 정비</t>
    <phoneticPr fontId="9" type="noConversion"/>
  </si>
  <si>
    <t>1505020425_18v1</t>
    <phoneticPr fontId="9" type="noConversion"/>
  </si>
  <si>
    <t>배관 부대 장치 시공</t>
    <phoneticPr fontId="9" type="noConversion"/>
  </si>
  <si>
    <t>1403030506_21v2</t>
    <phoneticPr fontId="9" type="noConversion"/>
  </si>
  <si>
    <t>배관 검사</t>
    <phoneticPr fontId="9" type="noConversion"/>
  </si>
  <si>
    <t>1403030507_21v2</t>
    <phoneticPr fontId="9" type="noConversion"/>
  </si>
  <si>
    <t>제어 원리 응용</t>
    <phoneticPr fontId="9" type="noConversion"/>
  </si>
  <si>
    <t>1901080401_14v2</t>
    <phoneticPr fontId="9" type="noConversion"/>
  </si>
  <si>
    <r>
      <t>보일러 
설치</t>
    </r>
    <r>
      <rPr>
        <b/>
        <sz val="11"/>
        <color theme="1"/>
        <rFont val="Yu Gothic"/>
        <family val="3"/>
        <charset val="128"/>
      </rPr>
      <t>･</t>
    </r>
    <r>
      <rPr>
        <b/>
        <sz val="11"/>
        <color theme="1"/>
        <rFont val="맑은 고딕"/>
        <family val="3"/>
        <charset val="129"/>
      </rPr>
      <t>정비</t>
    </r>
    <phoneticPr fontId="9" type="noConversion"/>
  </si>
  <si>
    <t>김민정</t>
    <phoneticPr fontId="9" type="noConversion"/>
  </si>
  <si>
    <t>070-7512-9485</t>
    <phoneticPr fontId="9" type="noConversion"/>
  </si>
  <si>
    <t xml:space="preserve"> 1505020217_16v1  </t>
    <phoneticPr fontId="9" type="noConversion"/>
  </si>
  <si>
    <t>조리과</t>
  </si>
  <si>
    <t>전기과</t>
  </si>
  <si>
    <t>어선항해사
해군 부사관</t>
    <phoneticPr fontId="9" type="noConversion"/>
  </si>
  <si>
    <t>선박기관사
내선·외선 공사 
시공원</t>
    <phoneticPr fontId="9" type="noConversion"/>
  </si>
  <si>
    <t>양식 기술 관리자
일식 조리사</t>
    <phoneticPr fontId="9" type="noConversion"/>
  </si>
  <si>
    <r>
      <t>냉동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맑은 고딕"/>
        <family val="3"/>
        <charset val="129"/>
        <scheme val="minor"/>
      </rPr>
      <t>냉장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맑은 고딕"/>
        <family val="3"/>
        <charset val="129"/>
        <scheme val="minor"/>
      </rPr>
      <t>공조기 설치 및 정비원
자동 제어 시스템 제작 및 유지 보수원</t>
    </r>
    <phoneticPr fontId="9" type="noConversion"/>
  </si>
  <si>
    <t>1301010114_21v4</t>
    <phoneticPr fontId="9" type="noConversion"/>
  </si>
  <si>
    <t>장아찌 조리</t>
    <phoneticPr fontId="9" type="noConversion"/>
  </si>
  <si>
    <t>냉난방 부하 계산</t>
    <phoneticPr fontId="9" type="noConversion"/>
  </si>
  <si>
    <t>2404020101_17v2</t>
    <phoneticPr fontId="9" type="noConversion"/>
  </si>
  <si>
    <t>양식장 시설 설계·관리</t>
    <phoneticPr fontId="9" type="noConversion"/>
  </si>
  <si>
    <t>종묘 생산·양성</t>
    <phoneticPr fontId="9" type="noConversion"/>
  </si>
  <si>
    <r>
      <t>출하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맑은 고딕"/>
        <family val="3"/>
        <charset val="129"/>
      </rPr>
      <t>품질 관리</t>
    </r>
    <phoneticPr fontId="9" type="noConversion"/>
  </si>
  <si>
    <t>항해 장비 운용</t>
    <phoneticPr fontId="9" type="noConversion"/>
  </si>
  <si>
    <t>1901080412_20v3</t>
    <phoneticPr fontId="9" type="noConversion"/>
  </si>
  <si>
    <t xml:space="preserve">프로그램 로직 제어(PLC) 기본 운영 </t>
    <phoneticPr fontId="9" type="noConversion"/>
  </si>
  <si>
    <t>성공적인 직업 생활(기가대체)</t>
    <phoneticPr fontId="9" type="noConversion"/>
  </si>
  <si>
    <t>디지털과 직업 생활(정보대체)</t>
    <phoneticPr fontId="9" type="noConversion"/>
  </si>
  <si>
    <t>자동차 엔진 정비</t>
    <phoneticPr fontId="9" type="noConversion"/>
  </si>
  <si>
    <t>통합 안전 관리</t>
    <phoneticPr fontId="9" type="noConversion"/>
  </si>
  <si>
    <t>0903010222_20v2</t>
    <phoneticPr fontId="9" type="noConversion"/>
  </si>
  <si>
    <t>엔진 본체 정비</t>
    <phoneticPr fontId="9" type="noConversion"/>
  </si>
  <si>
    <t>1506030201_24v5</t>
    <phoneticPr fontId="9" type="noConversion"/>
  </si>
  <si>
    <t>1506030206_24v4</t>
    <phoneticPr fontId="9" type="noConversion"/>
  </si>
  <si>
    <r>
      <t>유</t>
    </r>
    <r>
      <rPr>
        <sz val="11"/>
        <color theme="1"/>
        <rFont val="Tahoma"/>
        <family val="3"/>
        <charset val="1"/>
      </rPr>
      <t>‧</t>
    </r>
    <r>
      <rPr>
        <sz val="11"/>
        <color theme="1"/>
        <rFont val="맑은 고딕"/>
        <family val="3"/>
        <charset val="129"/>
      </rPr>
      <t>공압 기기 정비</t>
    </r>
    <phoneticPr fontId="9" type="noConversion"/>
  </si>
  <si>
    <t>1508070216_19v2</t>
    <phoneticPr fontId="9" type="noConversion"/>
  </si>
  <si>
    <r>
      <t>흡</t>
    </r>
    <r>
      <rPr>
        <sz val="11"/>
        <color theme="1"/>
        <rFont val="Tahoma"/>
        <family val="3"/>
        <charset val="1"/>
      </rPr>
      <t>‧</t>
    </r>
    <r>
      <rPr>
        <sz val="11"/>
        <color theme="1"/>
        <rFont val="맑은 고딕"/>
        <family val="3"/>
        <charset val="129"/>
      </rPr>
      <t>배기 장치 정비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</si>
</sst>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b/>
      <sz val="11"/>
      <color theme="1"/>
      <name val="Yu Gothic"/>
      <family val="3"/>
      <charset val="128"/>
    </font>
    <font>
      <sz val="8"/>
      <color theme="1"/>
      <name val="맑은 고딕"/>
      <family val="3"/>
      <charset val="129"/>
    </font>
    <font>
      <sz val="11"/>
      <color theme="1"/>
      <name val="Tahoma"/>
      <family val="3"/>
      <charset val="1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5" fillId="0" borderId="0"/>
  </cellStyleXfs>
  <cellXfs count="5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2" fillId="0" borderId="19" xfId="0" applyFont="1" applyBorder="1" applyAlignment="1">
      <alignment vertical="center"/>
    </xf>
    <xf numFmtId="0" fontId="13" fillId="10" borderId="93" xfId="6" applyFont="1" applyFill="1" applyBorder="1" applyAlignment="1" applyProtection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5" fillId="3" borderId="54" xfId="3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176" fontId="12" fillId="16" borderId="30" xfId="0" applyNumberFormat="1" applyFont="1" applyFill="1" applyBorder="1" applyAlignment="1">
      <alignment horizontal="right" vertical="center"/>
    </xf>
    <xf numFmtId="176" fontId="12" fillId="16" borderId="106" xfId="0" applyNumberFormat="1" applyFont="1" applyFill="1" applyBorder="1" applyAlignment="1">
      <alignment horizontal="right" vertical="center"/>
    </xf>
    <xf numFmtId="176" fontId="12" fillId="16" borderId="95" xfId="0" applyNumberFormat="1" applyFont="1" applyFill="1" applyBorder="1" applyAlignment="1">
      <alignment horizontal="right" vertical="center"/>
    </xf>
    <xf numFmtId="176" fontId="12" fillId="16" borderId="29" xfId="0" applyNumberFormat="1" applyFont="1" applyFill="1" applyBorder="1" applyAlignment="1">
      <alignment horizontal="right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7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2" xfId="4" applyFont="1" applyFill="1" applyBorder="1" applyAlignment="1" applyProtection="1">
      <alignment horizontal="center" vertical="center" wrapText="1"/>
    </xf>
    <xf numFmtId="0" fontId="22" fillId="15" borderId="36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shrinkToFi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1" xfId="4" applyFont="1" applyFill="1" applyBorder="1" applyAlignment="1" applyProtection="1">
      <alignment horizontal="center" vertical="center" wrapText="1"/>
    </xf>
    <xf numFmtId="0" fontId="22" fillId="0" borderId="127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8" xfId="16" applyFont="1" applyFill="1" applyBorder="1" applyAlignment="1">
      <alignment horizontal="center" vertical="center"/>
    </xf>
    <xf numFmtId="0" fontId="35" fillId="0" borderId="129" xfId="16" applyFont="1" applyBorder="1" applyAlignment="1">
      <alignment vertical="center"/>
    </xf>
    <xf numFmtId="0" fontId="35" fillId="0" borderId="26" xfId="16" applyFont="1" applyBorder="1" applyAlignment="1">
      <alignment vertical="center"/>
    </xf>
    <xf numFmtId="0" fontId="35" fillId="0" borderId="23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1" borderId="142" xfId="16" applyFont="1" applyFill="1" applyBorder="1" applyAlignment="1">
      <alignment horizontal="center" vertical="center" wrapText="1"/>
    </xf>
    <xf numFmtId="0" fontId="35" fillId="21" borderId="143" xfId="16" applyFont="1" applyFill="1" applyBorder="1" applyAlignment="1">
      <alignment horizontal="center" vertical="center" wrapText="1"/>
    </xf>
    <xf numFmtId="0" fontId="51" fillId="21" borderId="143" xfId="16" applyFont="1" applyFill="1" applyBorder="1" applyAlignment="1">
      <alignment horizontal="center" vertical="center" wrapText="1"/>
    </xf>
    <xf numFmtId="0" fontId="51" fillId="21" borderId="144" xfId="16" applyFont="1" applyFill="1" applyBorder="1" applyAlignment="1">
      <alignment horizontal="center" vertical="center" wrapText="1"/>
    </xf>
    <xf numFmtId="0" fontId="35" fillId="0" borderId="19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52" fillId="0" borderId="148" xfId="16" applyFont="1" applyBorder="1" applyAlignment="1">
      <alignment horizontal="center" vertical="center" wrapText="1"/>
    </xf>
    <xf numFmtId="0" fontId="52" fillId="0" borderId="150" xfId="16" applyFont="1" applyBorder="1" applyAlignment="1">
      <alignment horizontal="center" vertical="center" wrapText="1"/>
    </xf>
    <xf numFmtId="0" fontId="52" fillId="0" borderId="154" xfId="16" applyFont="1" applyBorder="1" applyAlignment="1">
      <alignment horizontal="center" vertical="center" wrapText="1"/>
    </xf>
    <xf numFmtId="0" fontId="52" fillId="0" borderId="155" xfId="16" applyFont="1" applyBorder="1" applyAlignment="1">
      <alignment horizontal="center" vertical="center" wrapText="1"/>
    </xf>
    <xf numFmtId="0" fontId="52" fillId="0" borderId="158" xfId="16" applyFont="1" applyBorder="1" applyAlignment="1">
      <alignment horizontal="center" vertical="center" wrapText="1"/>
    </xf>
    <xf numFmtId="0" fontId="52" fillId="0" borderId="159" xfId="16" applyFont="1" applyBorder="1" applyAlignment="1">
      <alignment horizontal="center" vertical="center" wrapText="1"/>
    </xf>
    <xf numFmtId="0" fontId="52" fillId="0" borderId="161" xfId="16" applyFont="1" applyBorder="1" applyAlignment="1">
      <alignment horizontal="center" vertical="center" wrapText="1"/>
    </xf>
    <xf numFmtId="0" fontId="35" fillId="0" borderId="161" xfId="16" applyFont="1" applyBorder="1" applyAlignment="1">
      <alignment horizontal="center" vertical="center" wrapText="1"/>
    </xf>
    <xf numFmtId="0" fontId="52" fillId="0" borderId="162" xfId="16" applyFont="1" applyBorder="1" applyAlignment="1">
      <alignment horizontal="center" vertical="center" wrapText="1"/>
    </xf>
    <xf numFmtId="0" fontId="35" fillId="0" borderId="155" xfId="16" applyFont="1" applyBorder="1" applyAlignment="1">
      <alignment horizontal="center" vertical="center" wrapText="1"/>
    </xf>
    <xf numFmtId="0" fontId="35" fillId="0" borderId="158" xfId="16" applyFont="1" applyBorder="1" applyAlignment="1">
      <alignment horizontal="center" vertical="center" wrapText="1"/>
    </xf>
    <xf numFmtId="0" fontId="52" fillId="0" borderId="134" xfId="16" applyFont="1" applyBorder="1" applyAlignment="1">
      <alignment horizontal="center" vertical="center" wrapText="1"/>
    </xf>
    <xf numFmtId="0" fontId="54" fillId="21" borderId="134" xfId="16" applyFont="1" applyFill="1" applyBorder="1" applyAlignment="1">
      <alignment horizontal="center" vertical="center" wrapText="1"/>
    </xf>
    <xf numFmtId="0" fontId="55" fillId="0" borderId="155" xfId="16" applyFont="1" applyBorder="1" applyAlignment="1">
      <alignment horizontal="center" vertical="center" wrapText="1"/>
    </xf>
    <xf numFmtId="0" fontId="55" fillId="0" borderId="133" xfId="16" applyFont="1" applyBorder="1" applyAlignment="1">
      <alignment horizontal="center" vertical="center" wrapText="1"/>
    </xf>
    <xf numFmtId="0" fontId="54" fillId="0" borderId="134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6" fillId="0" borderId="0" xfId="16" applyFont="1" applyBorder="1" applyAlignment="1">
      <alignment horizontal="center" vertical="center"/>
    </xf>
    <xf numFmtId="0" fontId="50" fillId="0" borderId="134" xfId="16" applyFont="1" applyBorder="1" applyAlignment="1">
      <alignment horizontal="center" vertical="center"/>
    </xf>
    <xf numFmtId="0" fontId="50" fillId="20" borderId="155" xfId="16" applyFont="1" applyFill="1" applyBorder="1" applyAlignment="1">
      <alignment horizontal="center" vertical="center"/>
    </xf>
    <xf numFmtId="0" fontId="50" fillId="20" borderId="133" xfId="16" applyFont="1" applyFill="1" applyBorder="1" applyAlignment="1">
      <alignment horizontal="center" vertical="center" wrapText="1"/>
    </xf>
    <xf numFmtId="0" fontId="56" fillId="0" borderId="155" xfId="16" applyFont="1" applyBorder="1" applyAlignment="1">
      <alignment horizontal="center" vertical="center" wrapText="1"/>
    </xf>
    <xf numFmtId="0" fontId="56" fillId="0" borderId="134" xfId="16" applyFont="1" applyBorder="1" applyAlignment="1">
      <alignment horizontal="center" vertical="center" wrapText="1"/>
    </xf>
    <xf numFmtId="0" fontId="50" fillId="0" borderId="155" xfId="16" applyFont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35" fillId="0" borderId="155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50" fillId="20" borderId="134" xfId="16" applyFont="1" applyFill="1" applyBorder="1" applyAlignment="1">
      <alignment horizontal="center" vertical="center"/>
    </xf>
    <xf numFmtId="0" fontId="50" fillId="0" borderId="133" xfId="16" applyFont="1" applyBorder="1" applyAlignment="1">
      <alignment horizontal="center" vertical="center"/>
    </xf>
    <xf numFmtId="0" fontId="50" fillId="0" borderId="155" xfId="16" applyFont="1" applyBorder="1" applyAlignment="1">
      <alignment horizontal="center" vertical="center"/>
    </xf>
    <xf numFmtId="0" fontId="57" fillId="0" borderId="155" xfId="16" applyFont="1" applyBorder="1" applyAlignment="1">
      <alignment horizontal="center" vertical="center"/>
    </xf>
    <xf numFmtId="0" fontId="57" fillId="0" borderId="134" xfId="16" applyFont="1" applyBorder="1" applyAlignment="1">
      <alignment horizontal="center" vertical="center"/>
    </xf>
    <xf numFmtId="0" fontId="35" fillId="0" borderId="141" xfId="16" applyFont="1" applyBorder="1" applyAlignment="1">
      <alignment vertical="center"/>
    </xf>
    <xf numFmtId="0" fontId="35" fillId="0" borderId="139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67" xfId="16" applyFont="1" applyBorder="1" applyAlignment="1">
      <alignment vertical="center"/>
    </xf>
    <xf numFmtId="0" fontId="35" fillId="0" borderId="112" xfId="16" applyFont="1" applyBorder="1" applyAlignment="1">
      <alignment vertical="center"/>
    </xf>
    <xf numFmtId="0" fontId="35" fillId="0" borderId="137" xfId="16" applyFont="1" applyBorder="1" applyAlignment="1">
      <alignment vertical="center"/>
    </xf>
    <xf numFmtId="0" fontId="35" fillId="0" borderId="169" xfId="16" applyFont="1" applyBorder="1" applyAlignment="1">
      <alignment vertical="center"/>
    </xf>
    <xf numFmtId="0" fontId="35" fillId="0" borderId="17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2" fillId="15" borderId="41" xfId="4" applyFont="1" applyFill="1" applyBorder="1" applyAlignment="1" applyProtection="1">
      <alignment horizontal="center" vertical="center" wrapText="1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60" xfId="4" applyFont="1" applyFill="1" applyBorder="1" applyAlignment="1" applyProtection="1">
      <alignment horizontal="center" vertical="center" wrapText="1"/>
    </xf>
    <xf numFmtId="0" fontId="22" fillId="15" borderId="46" xfId="4" applyFont="1" applyFill="1" applyBorder="1" applyAlignment="1" applyProtection="1">
      <alignment horizontal="center" vertical="center" wrapText="1"/>
    </xf>
    <xf numFmtId="0" fontId="12" fillId="0" borderId="0" xfId="0" applyFont="1" applyProtection="1">
      <alignment vertical="center"/>
      <protection locked="0"/>
    </xf>
    <xf numFmtId="0" fontId="22" fillId="15" borderId="98" xfId="4" applyFont="1" applyFill="1" applyBorder="1" applyAlignment="1" applyProtection="1">
      <alignment horizontal="center" vertical="center" shrinkToFit="1"/>
    </xf>
    <xf numFmtId="0" fontId="22" fillId="15" borderId="37" xfId="4" applyFont="1" applyFill="1" applyBorder="1" applyAlignment="1" applyProtection="1">
      <alignment horizontal="center" vertical="center" wrapText="1"/>
    </xf>
    <xf numFmtId="0" fontId="22" fillId="15" borderId="67" xfId="4" applyFont="1" applyFill="1" applyBorder="1" applyAlignment="1" applyProtection="1">
      <alignment horizontal="center" vertical="center" wrapText="1"/>
    </xf>
    <xf numFmtId="0" fontId="22" fillId="0" borderId="99" xfId="4" applyFont="1" applyFill="1" applyBorder="1" applyAlignment="1" applyProtection="1">
      <alignment horizontal="center" vertical="center" wrapText="1"/>
    </xf>
    <xf numFmtId="0" fontId="22" fillId="15" borderId="100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shrinkToFit="1"/>
    </xf>
    <xf numFmtId="0" fontId="22" fillId="15" borderId="97" xfId="4" applyFont="1" applyFill="1" applyBorder="1" applyAlignment="1" applyProtection="1">
      <alignment horizontal="center" vertical="center" wrapText="1"/>
    </xf>
    <xf numFmtId="0" fontId="22" fillId="15" borderId="36" xfId="4" applyFont="1" applyFill="1" applyBorder="1" applyAlignment="1" applyProtection="1">
      <alignment horizontal="center" vertical="center" shrinkToFi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2" fillId="15" borderId="42" xfId="4" applyFont="1" applyFill="1" applyBorder="1" applyAlignment="1" applyProtection="1">
      <alignment horizontal="center" vertical="center" wrapText="1"/>
    </xf>
    <xf numFmtId="0" fontId="28" fillId="11" borderId="95" xfId="7" applyFont="1" applyFill="1" applyBorder="1" applyAlignment="1">
      <alignment horizontal="center" vertical="center" wrapText="1"/>
    </xf>
    <xf numFmtId="0" fontId="37" fillId="9" borderId="94" xfId="7" applyFont="1" applyFill="1" applyBorder="1" applyAlignment="1">
      <alignment horizontal="center" vertical="center" shrinkToFit="1"/>
    </xf>
    <xf numFmtId="176" fontId="37" fillId="9" borderId="94" xfId="7" applyNumberFormat="1" applyFont="1" applyFill="1" applyBorder="1" applyAlignment="1">
      <alignment horizontal="center" vertical="center" shrinkToFit="1"/>
    </xf>
    <xf numFmtId="176" fontId="7" fillId="0" borderId="94" xfId="0" applyNumberFormat="1" applyFont="1" applyBorder="1">
      <alignment vertical="center"/>
    </xf>
    <xf numFmtId="176" fontId="7" fillId="0" borderId="28" xfId="0" applyNumberFormat="1" applyFont="1" applyBorder="1">
      <alignment vertical="center"/>
    </xf>
    <xf numFmtId="0" fontId="37" fillId="9" borderId="14" xfId="7" applyFont="1" applyFill="1" applyBorder="1" applyAlignment="1">
      <alignment horizontal="center" vertical="center" shrinkToFit="1"/>
    </xf>
    <xf numFmtId="0" fontId="37" fillId="9" borderId="11" xfId="7" applyFont="1" applyFill="1" applyBorder="1" applyAlignment="1">
      <alignment horizontal="center" vertical="center" shrinkToFit="1"/>
    </xf>
    <xf numFmtId="176" fontId="37" fillId="9" borderId="14" xfId="7" applyNumberFormat="1" applyFont="1" applyFill="1" applyBorder="1" applyAlignment="1">
      <alignment horizontal="center" vertical="center" shrinkToFit="1"/>
    </xf>
    <xf numFmtId="176" fontId="7" fillId="0" borderId="14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176" fontId="37" fillId="9" borderId="11" xfId="7" applyNumberFormat="1" applyFont="1" applyFill="1" applyBorder="1" applyAlignment="1">
      <alignment horizontal="center" vertical="center" shrinkToFit="1"/>
    </xf>
    <xf numFmtId="176" fontId="7" fillId="0" borderId="11" xfId="0" applyNumberFormat="1" applyFont="1" applyBorder="1">
      <alignment vertical="center"/>
    </xf>
    <xf numFmtId="176" fontId="7" fillId="0" borderId="104" xfId="0" applyNumberFormat="1" applyFont="1" applyBorder="1">
      <alignment vertical="center"/>
    </xf>
    <xf numFmtId="0" fontId="36" fillId="16" borderId="95" xfId="7" applyFont="1" applyFill="1" applyBorder="1" applyAlignment="1">
      <alignment horizontal="center" vertical="center" shrinkToFit="1"/>
    </xf>
    <xf numFmtId="176" fontId="36" fillId="16" borderId="95" xfId="7" applyNumberFormat="1" applyFont="1" applyFill="1" applyBorder="1" applyAlignment="1">
      <alignment horizontal="center" vertical="center" shrinkToFit="1"/>
    </xf>
    <xf numFmtId="176" fontId="36" fillId="16" borderId="95" xfId="7" applyNumberFormat="1" applyFont="1" applyFill="1" applyBorder="1" applyAlignment="1">
      <alignment horizontal="right" vertical="center" shrinkToFit="1"/>
    </xf>
    <xf numFmtId="0" fontId="36" fillId="16" borderId="95" xfId="7" applyFont="1" applyFill="1" applyBorder="1" applyAlignment="1">
      <alignment horizontal="center" vertical="center" shrinkToFit="1"/>
    </xf>
    <xf numFmtId="0" fontId="37" fillId="9" borderId="113" xfId="7" applyFont="1" applyFill="1" applyBorder="1" applyAlignment="1">
      <alignment horizontal="center" vertical="center" shrinkToFit="1"/>
    </xf>
    <xf numFmtId="0" fontId="38" fillId="18" borderId="131" xfId="0" applyFont="1" applyFill="1" applyBorder="1" applyAlignment="1">
      <alignment horizontal="center" vertical="center" shrinkToFit="1"/>
    </xf>
    <xf numFmtId="0" fontId="36" fillId="16" borderId="30" xfId="7" applyFont="1" applyFill="1" applyBorder="1" applyAlignment="1">
      <alignment horizontal="center" vertical="center" shrinkToFit="1"/>
    </xf>
    <xf numFmtId="176" fontId="36" fillId="16" borderId="30" xfId="7" applyNumberFormat="1" applyFont="1" applyFill="1" applyBorder="1" applyAlignment="1">
      <alignment horizontal="center" vertical="center" shrinkToFit="1"/>
    </xf>
    <xf numFmtId="0" fontId="37" fillId="0" borderId="114" xfId="7" applyFont="1" applyBorder="1" applyAlignment="1">
      <alignment horizontal="center" vertical="center" shrinkToFit="1"/>
    </xf>
    <xf numFmtId="0" fontId="37" fillId="0" borderId="94" xfId="7" applyFont="1" applyBorder="1" applyAlignment="1">
      <alignment horizontal="center" vertical="center" shrinkToFit="1"/>
    </xf>
    <xf numFmtId="0" fontId="37" fillId="0" borderId="113" xfId="7" applyFont="1" applyBorder="1" applyAlignment="1">
      <alignment horizontal="center" vertical="center" shrinkToFit="1"/>
    </xf>
    <xf numFmtId="0" fontId="37" fillId="0" borderId="115" xfId="7" applyFont="1" applyBorder="1" applyAlignment="1">
      <alignment horizontal="center" vertical="center" shrinkToFit="1"/>
    </xf>
    <xf numFmtId="0" fontId="37" fillId="9" borderId="108" xfId="7" applyFont="1" applyFill="1" applyBorder="1" applyAlignment="1">
      <alignment horizontal="center" vertical="center" shrinkToFit="1"/>
    </xf>
    <xf numFmtId="0" fontId="37" fillId="9" borderId="116" xfId="7" applyFont="1" applyFill="1" applyBorder="1" applyAlignment="1">
      <alignment horizontal="center" vertical="center" shrinkToFit="1"/>
    </xf>
    <xf numFmtId="0" fontId="39" fillId="16" borderId="95" xfId="7" applyFont="1" applyFill="1" applyBorder="1" applyAlignment="1">
      <alignment horizontal="center" vertical="center" shrinkToFit="1"/>
    </xf>
    <xf numFmtId="176" fontId="39" fillId="16" borderId="95" xfId="7" applyNumberFormat="1" applyFont="1" applyFill="1" applyBorder="1" applyAlignment="1">
      <alignment horizontal="center" vertical="center" shrinkToFit="1"/>
    </xf>
    <xf numFmtId="176" fontId="40" fillId="9" borderId="94" xfId="7" applyNumberFormat="1" applyFont="1" applyFill="1" applyBorder="1" applyAlignment="1">
      <alignment horizontal="center" vertical="center" shrinkToFit="1"/>
    </xf>
    <xf numFmtId="176" fontId="40" fillId="9" borderId="14" xfId="7" applyNumberFormat="1" applyFont="1" applyFill="1" applyBorder="1" applyAlignment="1">
      <alignment horizontal="center" vertical="center" shrinkToFit="1"/>
    </xf>
    <xf numFmtId="176" fontId="0" fillId="0" borderId="94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0" xfId="0" applyNumberFormat="1" applyBorder="1">
      <alignment vertical="center"/>
    </xf>
    <xf numFmtId="0" fontId="18" fillId="16" borderId="95" xfId="7" applyFont="1" applyFill="1" applyBorder="1" applyAlignment="1">
      <alignment horizontal="center" vertical="center" shrinkToFit="1"/>
    </xf>
    <xf numFmtId="176" fontId="18" fillId="16" borderId="95" xfId="7" applyNumberFormat="1" applyFont="1" applyFill="1" applyBorder="1" applyAlignment="1">
      <alignment horizontal="center" vertical="center" shrinkToFit="1"/>
    </xf>
    <xf numFmtId="0" fontId="37" fillId="0" borderId="113" xfId="7" applyFont="1" applyBorder="1" applyAlignment="1">
      <alignment horizontal="right" vertical="center" shrinkToFit="1"/>
    </xf>
    <xf numFmtId="0" fontId="37" fillId="0" borderId="11" xfId="7" applyFont="1" applyBorder="1" applyAlignment="1">
      <alignment horizontal="center" vertical="center" shrinkToFit="1"/>
    </xf>
    <xf numFmtId="0" fontId="37" fillId="0" borderId="171" xfId="7" applyFont="1" applyBorder="1" applyAlignment="1">
      <alignment horizontal="right" vertical="center" shrinkToFit="1"/>
    </xf>
    <xf numFmtId="0" fontId="37" fillId="0" borderId="171" xfId="7" applyFont="1" applyBorder="1" applyAlignment="1">
      <alignment horizontal="center" vertical="center" shrinkToFit="1"/>
    </xf>
    <xf numFmtId="176" fontId="40" fillId="9" borderId="113" xfId="7" applyNumberFormat="1" applyFont="1" applyFill="1" applyBorder="1" applyAlignment="1">
      <alignment horizontal="center" vertical="center" shrinkToFit="1"/>
    </xf>
    <xf numFmtId="0" fontId="37" fillId="0" borderId="125" xfId="7" applyFont="1" applyBorder="1" applyAlignment="1">
      <alignment horizontal="center" vertical="center" shrinkToFit="1"/>
    </xf>
    <xf numFmtId="0" fontId="37" fillId="9" borderId="110" xfId="7" applyFont="1" applyFill="1" applyBorder="1" applyAlignment="1">
      <alignment horizontal="center" vertical="center" shrinkToFit="1"/>
    </xf>
    <xf numFmtId="0" fontId="37" fillId="0" borderId="110" xfId="7" applyFont="1" applyBorder="1" applyAlignment="1">
      <alignment horizontal="center" vertical="center" shrinkToFit="1"/>
    </xf>
    <xf numFmtId="176" fontId="37" fillId="9" borderId="110" xfId="7" applyNumberFormat="1" applyFont="1" applyFill="1" applyBorder="1" applyAlignment="1">
      <alignment horizontal="center" vertical="center" shrinkToFit="1"/>
    </xf>
    <xf numFmtId="0" fontId="37" fillId="0" borderId="14" xfId="7" applyFont="1" applyBorder="1" applyAlignment="1">
      <alignment horizontal="center" vertical="center" shrinkToFit="1"/>
    </xf>
    <xf numFmtId="0" fontId="37" fillId="0" borderId="115" xfId="7" applyFont="1" applyBorder="1" applyAlignment="1">
      <alignment horizontal="right" vertical="center" shrinkToFit="1"/>
    </xf>
    <xf numFmtId="176" fontId="37" fillId="0" borderId="113" xfId="7" applyNumberFormat="1" applyFont="1" applyBorder="1" applyAlignment="1">
      <alignment horizontal="right" vertical="center" shrinkToFit="1"/>
    </xf>
    <xf numFmtId="176" fontId="37" fillId="0" borderId="115" xfId="7" applyNumberFormat="1" applyFont="1" applyBorder="1" applyAlignment="1">
      <alignment horizontal="right" vertical="center" shrinkToFi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0" fillId="0" borderId="29" xfId="0" applyFont="1" applyBorder="1" applyAlignment="1" applyProtection="1">
      <alignment horizontal="center" vertical="center"/>
      <protection locked="0"/>
    </xf>
    <xf numFmtId="0" fontId="36" fillId="16" borderId="95" xfId="7" applyFont="1" applyFill="1" applyBorder="1" applyAlignment="1">
      <alignment horizontal="center" vertical="center" shrinkToFit="1"/>
    </xf>
    <xf numFmtId="0" fontId="36" fillId="16" borderId="95" xfId="7" applyFont="1" applyFill="1" applyBorder="1" applyAlignment="1">
      <alignment horizontal="center" vertical="center" shrinkToFit="1"/>
    </xf>
    <xf numFmtId="0" fontId="36" fillId="16" borderId="95" xfId="7" applyFont="1" applyFill="1" applyBorder="1" applyAlignment="1">
      <alignment horizontal="center" vertical="center" shrinkToFit="1"/>
    </xf>
    <xf numFmtId="0" fontId="37" fillId="9" borderId="171" xfId="7" applyFont="1" applyFill="1" applyBorder="1" applyAlignment="1">
      <alignment horizontal="center" vertical="center" shrinkToFit="1"/>
    </xf>
    <xf numFmtId="0" fontId="37" fillId="9" borderId="9" xfId="7" applyFont="1" applyFill="1" applyBorder="1" applyAlignment="1">
      <alignment horizontal="center" vertical="center" shrinkToFit="1"/>
    </xf>
    <xf numFmtId="0" fontId="37" fillId="0" borderId="9" xfId="7" applyFont="1" applyBorder="1" applyAlignment="1">
      <alignment horizontal="center" vertical="center" shrinkToFit="1"/>
    </xf>
    <xf numFmtId="176" fontId="37" fillId="9" borderId="9" xfId="7" applyNumberFormat="1" applyFont="1" applyFill="1" applyBorder="1" applyAlignment="1">
      <alignment horizontal="center" vertical="center" shrinkToFit="1"/>
    </xf>
    <xf numFmtId="176" fontId="7" fillId="0" borderId="9" xfId="0" applyNumberFormat="1" applyFont="1" applyBorder="1">
      <alignment vertical="center"/>
    </xf>
    <xf numFmtId="176" fontId="7" fillId="0" borderId="172" xfId="0" applyNumberFormat="1" applyFont="1" applyBorder="1">
      <alignment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23" fillId="13" borderId="22" xfId="0" applyFont="1" applyFill="1" applyBorder="1" applyAlignment="1" applyProtection="1">
      <alignment horizontal="center" vertical="center"/>
      <protection locked="0"/>
    </xf>
    <xf numFmtId="0" fontId="23" fillId="13" borderId="27" xfId="0" applyFont="1" applyFill="1" applyBorder="1" applyAlignment="1" applyProtection="1">
      <alignment horizontal="center" vertical="center"/>
      <protection locked="0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22" fillId="0" borderId="40" xfId="4" applyFont="1" applyFill="1" applyBorder="1" applyAlignment="1" applyProtection="1">
      <alignment horizontal="center" vertical="center" wrapText="1"/>
    </xf>
    <xf numFmtId="0" fontId="22" fillId="0" borderId="32" xfId="4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0" fontId="22" fillId="0" borderId="52" xfId="0" applyFont="1" applyBorder="1" applyAlignment="1" applyProtection="1">
      <alignment horizontal="center" vertical="center" shrinkToFi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33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22" fillId="0" borderId="47" xfId="0" applyFont="1" applyBorder="1" applyAlignment="1" applyProtection="1">
      <alignment horizontal="center" vertical="center" shrinkToFit="1"/>
      <protection locked="0"/>
    </xf>
    <xf numFmtId="0" fontId="22" fillId="0" borderId="58" xfId="0" applyFont="1" applyBorder="1" applyAlignment="1" applyProtection="1">
      <alignment horizontal="center" vertical="center" shrinkToFit="1"/>
      <protection locked="0"/>
    </xf>
    <xf numFmtId="0" fontId="22" fillId="0" borderId="47" xfId="4" applyFont="1" applyFill="1" applyBorder="1" applyAlignment="1" applyProtection="1">
      <alignment horizontal="center" vertical="center" wrapTex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68" xfId="4" applyFont="1" applyFill="1" applyBorder="1" applyAlignment="1" applyProtection="1">
      <alignment horizontal="center" vertical="center" wrapText="1"/>
      <protection locked="0"/>
    </xf>
    <xf numFmtId="0" fontId="22" fillId="0" borderId="64" xfId="4" applyFont="1" applyFill="1" applyBorder="1" applyAlignment="1" applyProtection="1">
      <alignment horizontal="center" vertical="center" wrapText="1"/>
    </xf>
    <xf numFmtId="0" fontId="22" fillId="0" borderId="92" xfId="4" applyFont="1" applyFill="1" applyBorder="1" applyAlignment="1" applyProtection="1">
      <alignment horizontal="center" vertical="center" wrapText="1"/>
    </xf>
    <xf numFmtId="0" fontId="22" fillId="15" borderId="73" xfId="4" applyFont="1" applyFill="1" applyBorder="1" applyAlignment="1" applyProtection="1">
      <alignment horizontal="center" vertical="center" wrapText="1"/>
    </xf>
    <xf numFmtId="0" fontId="22" fillId="15" borderId="76" xfId="4" applyFont="1" applyFill="1" applyBorder="1" applyAlignment="1" applyProtection="1">
      <alignment horizontal="center" vertical="center" wrapText="1"/>
    </xf>
    <xf numFmtId="0" fontId="22" fillId="0" borderId="77" xfId="4" applyFont="1" applyFill="1" applyBorder="1" applyAlignment="1" applyProtection="1">
      <alignment horizontal="center" vertical="center" wrapText="1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0" borderId="48" xfId="2" applyFont="1" applyBorder="1" applyAlignment="1" applyProtection="1">
      <alignment horizontal="center" vertical="center" wrapText="1"/>
      <protection locked="0"/>
    </xf>
    <xf numFmtId="0" fontId="22" fillId="0" borderId="52" xfId="2" applyFont="1" applyBorder="1" applyAlignment="1" applyProtection="1">
      <alignment horizontal="center" vertical="center" wrapText="1"/>
      <protection locked="0"/>
    </xf>
    <xf numFmtId="0" fontId="22" fillId="9" borderId="48" xfId="4" applyFont="1" applyFill="1" applyBorder="1" applyAlignment="1" applyProtection="1">
      <alignment horizontal="center" vertical="center" wrapText="1"/>
      <protection locked="0"/>
    </xf>
    <xf numFmtId="0" fontId="22" fillId="9" borderId="34" xfId="4" applyFont="1" applyFill="1" applyBorder="1" applyAlignment="1" applyProtection="1">
      <alignment horizontal="center" vertical="center" wrapText="1"/>
      <protection locked="0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22" fillId="0" borderId="58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13" fillId="6" borderId="31" xfId="4" applyFont="1" applyFill="1" applyBorder="1" applyAlignment="1" applyProtection="1">
      <alignment horizontal="center" vertical="center" wrapText="1"/>
    </xf>
    <xf numFmtId="0" fontId="42" fillId="15" borderId="13" xfId="0" applyFont="1" applyFill="1" applyBorder="1" applyAlignment="1">
      <alignment horizontal="center" vertical="center" wrapText="1"/>
    </xf>
    <xf numFmtId="0" fontId="42" fillId="15" borderId="16" xfId="0" applyFont="1" applyFill="1" applyBorder="1" applyAlignment="1">
      <alignment horizontal="center" vertical="center" wrapText="1"/>
    </xf>
    <xf numFmtId="0" fontId="22" fillId="0" borderId="54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9" fillId="0" borderId="33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13" fillId="15" borderId="78" xfId="0" applyFont="1" applyFill="1" applyBorder="1" applyAlignment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22" fillId="0" borderId="122" xfId="4" applyFont="1" applyFill="1" applyBorder="1" applyAlignment="1" applyProtection="1">
      <alignment horizontal="center" vertical="center" wrapText="1"/>
      <protection locked="0"/>
    </xf>
    <xf numFmtId="0" fontId="22" fillId="0" borderId="123" xfId="4" applyFont="1" applyFill="1" applyBorder="1" applyAlignment="1" applyProtection="1">
      <alignment horizontal="center" vertical="center" wrapText="1"/>
      <protection locked="0"/>
    </xf>
    <xf numFmtId="0" fontId="22" fillId="0" borderId="124" xfId="4" applyFont="1" applyFill="1" applyBorder="1" applyAlignment="1" applyProtection="1">
      <alignment horizontal="center" vertical="center" wrapText="1"/>
      <protection locked="0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66" xfId="4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22" fillId="0" borderId="18" xfId="4" applyFont="1" applyFill="1" applyBorder="1" applyAlignment="1" applyProtection="1">
      <alignment horizontal="center" vertical="center" wrapText="1"/>
      <protection locked="0"/>
    </xf>
    <xf numFmtId="0" fontId="22" fillId="0" borderId="20" xfId="4" applyFont="1" applyFill="1" applyBorder="1" applyAlignment="1" applyProtection="1">
      <alignment horizontal="center" vertical="center" wrapText="1"/>
      <protection locked="0"/>
    </xf>
    <xf numFmtId="0" fontId="29" fillId="0" borderId="122" xfId="4" applyFont="1" applyFill="1" applyBorder="1" applyAlignment="1" applyProtection="1">
      <alignment horizontal="center" vertical="center" wrapText="1"/>
      <protection locked="0"/>
    </xf>
    <xf numFmtId="0" fontId="29" fillId="0" borderId="51" xfId="4" applyFont="1" applyFill="1" applyBorder="1" applyAlignment="1" applyProtection="1">
      <alignment horizontal="center" vertical="center" wrapText="1"/>
      <protection locked="0"/>
    </xf>
    <xf numFmtId="0" fontId="13" fillId="15" borderId="76" xfId="4" applyFont="1" applyFill="1" applyBorder="1" applyAlignment="1" applyProtection="1">
      <alignment horizontal="center" vertical="center" wrapText="1"/>
    </xf>
    <xf numFmtId="0" fontId="29" fillId="0" borderId="69" xfId="4" applyFont="1" applyFill="1" applyBorder="1" applyAlignment="1" applyProtection="1">
      <alignment horizontal="center" vertical="center" wrapText="1"/>
      <protection locked="0"/>
    </xf>
    <xf numFmtId="0" fontId="29" fillId="0" borderId="58" xfId="4" applyFont="1" applyFill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07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41" fillId="0" borderId="15" xfId="0" applyFont="1" applyBorder="1" applyAlignment="1" applyProtection="1">
      <alignment horizontal="center" vertical="center" wrapText="1"/>
      <protection locked="0"/>
    </xf>
    <xf numFmtId="0" fontId="41" fillId="0" borderId="21" xfId="0" applyFont="1" applyBorder="1" applyAlignment="1" applyProtection="1">
      <alignment horizontal="center" vertical="center" wrapText="1"/>
      <protection locked="0"/>
    </xf>
    <xf numFmtId="0" fontId="41" fillId="0" borderId="2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5" fillId="3" borderId="35" xfId="3" applyFont="1" applyBorder="1" applyAlignment="1" applyProtection="1">
      <alignment horizontal="center" vertical="center"/>
      <protection locked="0"/>
    </xf>
    <xf numFmtId="0" fontId="25" fillId="3" borderId="71" xfId="3" applyFont="1" applyBorder="1" applyAlignment="1" applyProtection="1">
      <alignment horizontal="center" vertical="center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22" fillId="0" borderId="65" xfId="4" applyFont="1" applyFill="1" applyBorder="1" applyAlignment="1" applyProtection="1">
      <alignment horizontal="center" vertical="center" wrapText="1"/>
      <protection locked="0"/>
    </xf>
    <xf numFmtId="0" fontId="22" fillId="0" borderId="125" xfId="4" applyFont="1" applyFill="1" applyBorder="1" applyAlignment="1" applyProtection="1">
      <alignment horizontal="center" vertical="center" wrapText="1"/>
      <protection locked="0"/>
    </xf>
    <xf numFmtId="0" fontId="22" fillId="0" borderId="126" xfId="4" applyFont="1" applyFill="1" applyBorder="1" applyAlignment="1" applyProtection="1">
      <alignment horizontal="center" vertical="center" wrapText="1"/>
      <protection locked="0"/>
    </xf>
    <xf numFmtId="0" fontId="29" fillId="0" borderId="65" xfId="4" applyFont="1" applyFill="1" applyBorder="1" applyAlignment="1" applyProtection="1">
      <alignment horizontal="center" vertical="center" wrapText="1"/>
      <protection locked="0"/>
    </xf>
    <xf numFmtId="0" fontId="29" fillId="0" borderId="23" xfId="4" applyFont="1" applyFill="1" applyBorder="1" applyAlignment="1" applyProtection="1">
      <alignment horizontal="center" vertical="center" wrapText="1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22" fillId="0" borderId="23" xfId="4" applyFont="1" applyFill="1" applyBorder="1" applyAlignment="1" applyProtection="1">
      <alignment horizontal="center" vertical="center" wrapText="1"/>
      <protection locked="0"/>
    </xf>
    <xf numFmtId="0" fontId="17" fillId="11" borderId="94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 shrinkToFit="1"/>
    </xf>
    <xf numFmtId="0" fontId="17" fillId="11" borderId="95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55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2" xfId="7" applyFont="1" applyFill="1" applyBorder="1" applyAlignment="1">
      <alignment horizontal="center" vertical="center" wrapText="1"/>
    </xf>
    <xf numFmtId="0" fontId="17" fillId="11" borderId="8" xfId="7" applyFont="1" applyFill="1" applyBorder="1" applyAlignment="1">
      <alignment horizontal="center" vertical="center" wrapText="1"/>
    </xf>
    <xf numFmtId="0" fontId="17" fillId="11" borderId="94" xfId="7" applyFont="1" applyFill="1" applyBorder="1" applyAlignment="1">
      <alignment horizontal="center" vertical="center" wrapText="1"/>
    </xf>
    <xf numFmtId="0" fontId="17" fillId="11" borderId="14" xfId="7" applyFont="1" applyFill="1" applyBorder="1" applyAlignment="1">
      <alignment horizontal="center" vertical="center" wrapText="1"/>
    </xf>
    <xf numFmtId="0" fontId="17" fillId="11" borderId="95" xfId="7" applyFont="1" applyFill="1" applyBorder="1" applyAlignment="1">
      <alignment horizontal="center" vertical="center" wrapText="1"/>
    </xf>
    <xf numFmtId="176" fontId="36" fillId="9" borderId="110" xfId="7" applyNumberFormat="1" applyFont="1" applyFill="1" applyBorder="1" applyAlignment="1">
      <alignment horizontal="center" vertical="center" wrapText="1"/>
    </xf>
    <xf numFmtId="176" fontId="36" fillId="9" borderId="9" xfId="7" applyNumberFormat="1" applyFont="1" applyFill="1" applyBorder="1" applyAlignment="1">
      <alignment horizontal="center" vertical="center" wrapText="1"/>
    </xf>
    <xf numFmtId="176" fontId="36" fillId="9" borderId="111" xfId="7" applyNumberFormat="1" applyFont="1" applyFill="1" applyBorder="1" applyAlignment="1">
      <alignment horizontal="center" vertical="center" wrapText="1"/>
    </xf>
    <xf numFmtId="0" fontId="36" fillId="16" borderId="7" xfId="7" applyFont="1" applyFill="1" applyBorder="1" applyAlignment="1">
      <alignment horizontal="center" vertical="center" shrinkToFit="1"/>
    </xf>
    <xf numFmtId="0" fontId="36" fillId="16" borderId="17" xfId="7" applyFont="1" applyFill="1" applyBorder="1" applyAlignment="1">
      <alignment horizontal="center" vertical="center" shrinkToFit="1"/>
    </xf>
    <xf numFmtId="0" fontId="36" fillId="9" borderId="5" xfId="7" applyFont="1" applyFill="1" applyBorder="1" applyAlignment="1">
      <alignment horizontal="center" vertical="center" wrapText="1"/>
    </xf>
    <xf numFmtId="0" fontId="36" fillId="9" borderId="103" xfId="7" applyFont="1" applyFill="1" applyBorder="1" applyAlignment="1">
      <alignment horizontal="center" vertical="center" wrapText="1"/>
    </xf>
    <xf numFmtId="0" fontId="36" fillId="9" borderId="12" xfId="7" applyFont="1" applyFill="1" applyBorder="1" applyAlignment="1">
      <alignment horizontal="center" vertical="center" wrapText="1"/>
    </xf>
    <xf numFmtId="0" fontId="36" fillId="9" borderId="105" xfId="7" applyFont="1" applyFill="1" applyBorder="1" applyAlignment="1">
      <alignment horizontal="center" vertical="center" wrapText="1"/>
    </xf>
    <xf numFmtId="0" fontId="36" fillId="9" borderId="8" xfId="7" applyFont="1" applyFill="1" applyBorder="1" applyAlignment="1">
      <alignment horizontal="center" vertical="center" wrapText="1"/>
    </xf>
    <xf numFmtId="176" fontId="36" fillId="9" borderId="94" xfId="7" applyNumberFormat="1" applyFont="1" applyFill="1" applyBorder="1" applyAlignment="1">
      <alignment horizontal="center" vertical="center" wrapText="1"/>
    </xf>
    <xf numFmtId="176" fontId="36" fillId="9" borderId="11" xfId="7" applyNumberFormat="1" applyFont="1" applyFill="1" applyBorder="1" applyAlignment="1">
      <alignment horizontal="center" vertical="center" wrapText="1"/>
    </xf>
    <xf numFmtId="0" fontId="36" fillId="9" borderId="14" xfId="7" applyFont="1" applyFill="1" applyBorder="1" applyAlignment="1">
      <alignment horizontal="center" vertical="center" wrapText="1"/>
    </xf>
    <xf numFmtId="0" fontId="36" fillId="9" borderId="30" xfId="7" applyFont="1" applyFill="1" applyBorder="1" applyAlignment="1">
      <alignment horizontal="center" vertical="center" wrapText="1"/>
    </xf>
    <xf numFmtId="0" fontId="36" fillId="9" borderId="95" xfId="7" applyFont="1" applyFill="1" applyBorder="1" applyAlignment="1">
      <alignment horizontal="center" vertical="center" wrapText="1"/>
    </xf>
    <xf numFmtId="0" fontId="36" fillId="16" borderId="95" xfId="7" applyFont="1" applyFill="1" applyBorder="1" applyAlignment="1">
      <alignment horizontal="center" vertical="center" shrinkToFit="1"/>
    </xf>
    <xf numFmtId="0" fontId="36" fillId="9" borderId="96" xfId="7" applyFont="1" applyFill="1" applyBorder="1" applyAlignment="1">
      <alignment horizontal="center" vertical="center" wrapText="1"/>
    </xf>
    <xf numFmtId="0" fontId="36" fillId="9" borderId="24" xfId="7" applyFont="1" applyFill="1" applyBorder="1" applyAlignment="1">
      <alignment horizontal="center" vertical="center" wrapText="1"/>
    </xf>
    <xf numFmtId="0" fontId="36" fillId="9" borderId="25" xfId="7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7" fillId="11" borderId="94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27" fillId="11" borderId="94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/>
    </xf>
    <xf numFmtId="0" fontId="36" fillId="16" borderId="109" xfId="7" applyFont="1" applyFill="1" applyBorder="1" applyAlignment="1">
      <alignment horizontal="center" vertical="center" shrinkToFit="1"/>
    </xf>
    <xf numFmtId="0" fontId="36" fillId="16" borderId="30" xfId="7" applyFont="1" applyFill="1" applyBorder="1" applyAlignment="1">
      <alignment horizontal="center" vertical="center" shrinkToFit="1"/>
    </xf>
    <xf numFmtId="0" fontId="36" fillId="9" borderId="110" xfId="7" applyFont="1" applyFill="1" applyBorder="1" applyAlignment="1">
      <alignment horizontal="center" vertical="center" wrapText="1"/>
    </xf>
    <xf numFmtId="0" fontId="36" fillId="9" borderId="9" xfId="7" applyFont="1" applyFill="1" applyBorder="1" applyAlignment="1">
      <alignment horizontal="center" vertical="center" wrapText="1"/>
    </xf>
    <xf numFmtId="0" fontId="36" fillId="9" borderId="111" xfId="7" applyFont="1" applyFill="1" applyBorder="1" applyAlignment="1">
      <alignment horizontal="center" vertical="center" wrapText="1"/>
    </xf>
    <xf numFmtId="0" fontId="17" fillId="9" borderId="24" xfId="7" applyFont="1" applyFill="1" applyBorder="1" applyAlignment="1">
      <alignment horizontal="center" vertical="center" wrapText="1"/>
    </xf>
    <xf numFmtId="0" fontId="17" fillId="9" borderId="25" xfId="7" applyFont="1" applyFill="1" applyBorder="1" applyAlignment="1">
      <alignment horizontal="center" vertical="center" wrapText="1"/>
    </xf>
    <xf numFmtId="0" fontId="17" fillId="9" borderId="110" xfId="7" applyFont="1" applyFill="1" applyBorder="1" applyAlignment="1">
      <alignment horizontal="center" vertical="center" wrapText="1"/>
    </xf>
    <xf numFmtId="0" fontId="17" fillId="9" borderId="9" xfId="7" applyFont="1" applyFill="1" applyBorder="1" applyAlignment="1">
      <alignment horizontal="center" vertical="center" wrapText="1"/>
    </xf>
    <xf numFmtId="0" fontId="17" fillId="9" borderId="111" xfId="7" applyFont="1" applyFill="1" applyBorder="1" applyAlignment="1">
      <alignment horizontal="center" vertical="center" wrapText="1"/>
    </xf>
    <xf numFmtId="176" fontId="17" fillId="9" borderId="9" xfId="7" applyNumberFormat="1" applyFont="1" applyFill="1" applyBorder="1" applyAlignment="1">
      <alignment horizontal="center" vertical="center" wrapText="1"/>
    </xf>
    <xf numFmtId="176" fontId="17" fillId="9" borderId="111" xfId="7" applyNumberFormat="1" applyFont="1" applyFill="1" applyBorder="1" applyAlignment="1">
      <alignment horizontal="center" vertical="center" wrapText="1"/>
    </xf>
    <xf numFmtId="0" fontId="17" fillId="9" borderId="96" xfId="7" applyFont="1" applyFill="1" applyBorder="1" applyAlignment="1">
      <alignment horizontal="center" vertical="center" wrapText="1"/>
    </xf>
    <xf numFmtId="176" fontId="17" fillId="9" borderId="110" xfId="7" applyNumberFormat="1" applyFont="1" applyFill="1" applyBorder="1" applyAlignment="1">
      <alignment horizontal="center" vertical="center" wrapTex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2" xfId="7" applyFont="1" applyFill="1" applyBorder="1" applyAlignment="1">
      <alignment horizontal="center" vertical="center" wrapText="1"/>
    </xf>
    <xf numFmtId="0" fontId="17" fillId="9" borderId="8" xfId="7" applyFont="1" applyFill="1" applyBorder="1" applyAlignment="1">
      <alignment horizontal="center" vertical="center" wrapText="1"/>
    </xf>
    <xf numFmtId="176" fontId="17" fillId="9" borderId="94" xfId="7" applyNumberFormat="1" applyFont="1" applyFill="1" applyBorder="1" applyAlignment="1">
      <alignment horizontal="center" vertical="center" wrapText="1"/>
    </xf>
    <xf numFmtId="0" fontId="17" fillId="9" borderId="14" xfId="7" applyFont="1" applyFill="1" applyBorder="1" applyAlignment="1">
      <alignment horizontal="center" vertical="center" wrapText="1"/>
    </xf>
    <xf numFmtId="0" fontId="17" fillId="9" borderId="95" xfId="7" applyFont="1" applyFill="1" applyBorder="1" applyAlignment="1">
      <alignment horizontal="center" vertical="center" wrapText="1"/>
    </xf>
    <xf numFmtId="0" fontId="17" fillId="9" borderId="103" xfId="7" applyFont="1" applyFill="1" applyBorder="1" applyAlignment="1">
      <alignment horizontal="center" vertical="center" wrapText="1"/>
    </xf>
    <xf numFmtId="176" fontId="17" fillId="9" borderId="11" xfId="7" applyNumberFormat="1" applyFont="1" applyFill="1" applyBorder="1" applyAlignment="1">
      <alignment horizontal="center" vertical="center" wrapText="1"/>
    </xf>
    <xf numFmtId="0" fontId="18" fillId="16" borderId="95" xfId="7" applyFont="1" applyFill="1" applyBorder="1" applyAlignment="1">
      <alignment horizontal="center" vertical="center" shrinkToFit="1"/>
    </xf>
    <xf numFmtId="0" fontId="17" fillId="9" borderId="114" xfId="7" applyFont="1" applyFill="1" applyBorder="1" applyAlignment="1">
      <alignment horizontal="center" vertical="center" wrapText="1"/>
    </xf>
    <xf numFmtId="0" fontId="17" fillId="9" borderId="113" xfId="7" applyFont="1" applyFill="1" applyBorder="1" applyAlignment="1">
      <alignment horizontal="center" vertical="center" wrapText="1"/>
    </xf>
    <xf numFmtId="0" fontId="17" fillId="9" borderId="115" xfId="7" applyFont="1" applyFill="1" applyBorder="1" applyAlignment="1">
      <alignment horizontal="center" vertical="center" wrapText="1"/>
    </xf>
    <xf numFmtId="0" fontId="17" fillId="9" borderId="17" xfId="7" applyFont="1" applyFill="1" applyBorder="1" applyAlignment="1">
      <alignment horizontal="center" vertical="center" wrapText="1"/>
    </xf>
    <xf numFmtId="0" fontId="17" fillId="9" borderId="171" xfId="7" applyFont="1" applyFill="1" applyBorder="1" applyAlignment="1">
      <alignment horizontal="center" vertical="center" wrapText="1"/>
    </xf>
    <xf numFmtId="0" fontId="58" fillId="0" borderId="160" xfId="16" applyFont="1" applyBorder="1" applyAlignment="1">
      <alignment horizontal="center" vertical="center"/>
    </xf>
    <xf numFmtId="0" fontId="43" fillId="0" borderId="157" xfId="16" applyFont="1" applyBorder="1"/>
    <xf numFmtId="0" fontId="35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5" fillId="19" borderId="168" xfId="16" applyFont="1" applyFill="1" applyBorder="1" applyAlignment="1">
      <alignment horizontal="center" vertical="center" wrapText="1"/>
    </xf>
    <xf numFmtId="0" fontId="43" fillId="0" borderId="130" xfId="16" applyFont="1" applyBorder="1"/>
    <xf numFmtId="0" fontId="43" fillId="0" borderId="135" xfId="16" applyFont="1" applyBorder="1"/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6" fillId="20" borderId="138" xfId="16" applyFont="1" applyFill="1" applyBorder="1" applyAlignment="1">
      <alignment horizontal="center" vertical="center"/>
    </xf>
    <xf numFmtId="0" fontId="43" fillId="0" borderId="140" xfId="16" applyFont="1" applyBorder="1"/>
    <xf numFmtId="0" fontId="56" fillId="20" borderId="134" xfId="16" applyFont="1" applyFill="1" applyBorder="1" applyAlignment="1">
      <alignment horizontal="center" vertical="center"/>
    </xf>
    <xf numFmtId="0" fontId="43" fillId="0" borderId="133" xfId="16" applyFont="1" applyBorder="1"/>
    <xf numFmtId="0" fontId="43" fillId="0" borderId="132" xfId="16" applyFont="1" applyBorder="1"/>
    <xf numFmtId="0" fontId="57" fillId="0" borderId="138" xfId="16" applyFont="1" applyBorder="1" applyAlignment="1">
      <alignment horizontal="center" vertical="center"/>
    </xf>
    <xf numFmtId="0" fontId="59" fillId="0" borderId="140" xfId="16" applyFont="1" applyBorder="1"/>
    <xf numFmtId="0" fontId="50" fillId="20" borderId="132" xfId="16" applyFont="1" applyFill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35" fillId="19" borderId="128" xfId="16" applyFont="1" applyFill="1" applyBorder="1" applyAlignment="1">
      <alignment horizontal="center" vertical="center" wrapText="1"/>
    </xf>
    <xf numFmtId="0" fontId="56" fillId="20" borderId="132" xfId="16" applyFont="1" applyFill="1" applyBorder="1" applyAlignment="1">
      <alignment horizontal="center" vertical="center" wrapText="1"/>
    </xf>
    <xf numFmtId="0" fontId="52" fillId="21" borderId="132" xfId="16" applyFont="1" applyFill="1" applyBorder="1" applyAlignment="1">
      <alignment horizontal="center" vertical="center" wrapText="1"/>
    </xf>
    <xf numFmtId="0" fontId="54" fillId="21" borderId="134" xfId="16" applyFont="1" applyFill="1" applyBorder="1" applyAlignment="1">
      <alignment horizontal="center" vertical="center" wrapText="1"/>
    </xf>
    <xf numFmtId="0" fontId="56" fillId="20" borderId="132" xfId="16" applyFont="1" applyFill="1" applyBorder="1" applyAlignment="1">
      <alignment horizontal="center" vertical="center"/>
    </xf>
    <xf numFmtId="0" fontId="56" fillId="0" borderId="134" xfId="16" applyFont="1" applyBorder="1" applyAlignment="1">
      <alignment horizontal="center" vertical="center"/>
    </xf>
    <xf numFmtId="0" fontId="50" fillId="20" borderId="132" xfId="16" applyFont="1" applyFill="1" applyBorder="1" applyAlignment="1">
      <alignment horizontal="center" vertical="center"/>
    </xf>
    <xf numFmtId="0" fontId="50" fillId="0" borderId="112" xfId="16" applyFont="1" applyBorder="1" applyAlignment="1">
      <alignment horizontal="center" vertical="center"/>
    </xf>
    <xf numFmtId="0" fontId="43" fillId="0" borderId="131" xfId="16" applyFont="1" applyBorder="1"/>
    <xf numFmtId="0" fontId="43" fillId="0" borderId="141" xfId="16" applyFont="1" applyBorder="1"/>
    <xf numFmtId="0" fontId="50" fillId="0" borderId="134" xfId="16" applyFont="1" applyBorder="1" applyAlignment="1">
      <alignment horizontal="center" vertical="center"/>
    </xf>
    <xf numFmtId="0" fontId="52" fillId="0" borderId="146" xfId="16" applyFont="1" applyBorder="1" applyAlignment="1">
      <alignment horizontal="center" vertical="center" wrapText="1"/>
    </xf>
    <xf numFmtId="0" fontId="43" fillId="0" borderId="152" xfId="16" applyFont="1" applyBorder="1"/>
    <xf numFmtId="0" fontId="52" fillId="0" borderId="149" xfId="16" applyFont="1" applyBorder="1" applyAlignment="1">
      <alignment horizontal="center" vertical="center" wrapText="1"/>
    </xf>
    <xf numFmtId="0" fontId="43" fillId="0" borderId="151" xfId="16" applyFont="1" applyBorder="1"/>
    <xf numFmtId="0" fontId="43" fillId="0" borderId="139" xfId="16" applyFont="1" applyBorder="1"/>
    <xf numFmtId="0" fontId="52" fillId="0" borderId="160" xfId="16" applyFont="1" applyBorder="1" applyAlignment="1">
      <alignment horizontal="center" vertical="center" wrapText="1"/>
    </xf>
    <xf numFmtId="0" fontId="52" fillId="0" borderId="162" xfId="16" applyFont="1" applyBorder="1" applyAlignment="1">
      <alignment horizontal="center" vertical="center" wrapText="1"/>
    </xf>
    <xf numFmtId="0" fontId="43" fillId="0" borderId="163" xfId="16" applyFont="1" applyBorder="1"/>
    <xf numFmtId="0" fontId="52" fillId="0" borderId="112" xfId="16" applyFont="1" applyBorder="1" applyAlignment="1">
      <alignment horizontal="center" vertical="center" wrapText="1"/>
    </xf>
    <xf numFmtId="0" fontId="52" fillId="0" borderId="164" xfId="16" applyFont="1" applyBorder="1" applyAlignment="1">
      <alignment horizontal="center" vertical="center" wrapText="1"/>
    </xf>
    <xf numFmtId="0" fontId="43" fillId="0" borderId="165" xfId="16" applyFont="1" applyBorder="1"/>
    <xf numFmtId="0" fontId="52" fillId="0" borderId="134" xfId="16" applyFont="1" applyBorder="1" applyAlignment="1">
      <alignment horizontal="center" vertical="center" wrapText="1"/>
    </xf>
    <xf numFmtId="0" fontId="51" fillId="21" borderId="144" xfId="16" applyFont="1" applyFill="1" applyBorder="1" applyAlignment="1">
      <alignment horizontal="center" vertical="center" wrapText="1"/>
    </xf>
    <xf numFmtId="0" fontId="43" fillId="0" borderId="145" xfId="16" applyFont="1" applyBorder="1"/>
    <xf numFmtId="0" fontId="52" fillId="0" borderId="147" xfId="16" applyFont="1" applyBorder="1" applyAlignment="1">
      <alignment horizontal="center" vertical="center" wrapText="1"/>
    </xf>
    <xf numFmtId="0" fontId="43" fillId="0" borderId="153" xfId="16" applyFont="1" applyBorder="1"/>
    <xf numFmtId="0" fontId="43" fillId="0" borderId="156" xfId="16" applyFont="1" applyBorder="1"/>
    <xf numFmtId="0" fontId="52" fillId="0" borderId="132" xfId="16" applyFont="1" applyBorder="1" applyAlignment="1">
      <alignment horizontal="center" vertical="center" wrapText="1"/>
    </xf>
    <xf numFmtId="0" fontId="54" fillId="0" borderId="134" xfId="16" applyFont="1" applyBorder="1" applyAlignment="1">
      <alignment horizontal="center" vertical="center" wrapText="1"/>
    </xf>
    <xf numFmtId="0" fontId="52" fillId="21" borderId="134" xfId="16" applyFont="1" applyFill="1" applyBorder="1" applyAlignment="1">
      <alignment horizontal="center" vertical="center" wrapText="1"/>
    </xf>
    <xf numFmtId="0" fontId="50" fillId="20" borderId="137" xfId="16" applyFont="1" applyFill="1" applyBorder="1" applyAlignment="1">
      <alignment horizontal="center" vertical="center"/>
    </xf>
    <xf numFmtId="0" fontId="43" fillId="0" borderId="138" xfId="16" applyFont="1" applyBorder="1"/>
    <xf numFmtId="0" fontId="50" fillId="0" borderId="112" xfId="16" applyFont="1" applyBorder="1" applyAlignment="1">
      <alignment horizontal="center" vertical="center" wrapText="1"/>
    </xf>
    <xf numFmtId="0" fontId="43" fillId="0" borderId="137" xfId="16" applyFont="1" applyBorder="1"/>
    <xf numFmtId="0" fontId="46" fillId="0" borderId="0" xfId="16" applyFont="1" applyAlignment="1">
      <alignment horizontal="center" vertical="center"/>
    </xf>
    <xf numFmtId="0" fontId="48" fillId="0" borderId="0" xfId="16" applyFont="1" applyAlignment="1"/>
    <xf numFmtId="0" fontId="49" fillId="0" borderId="129" xfId="16" applyFont="1" applyBorder="1" applyAlignment="1">
      <alignment horizontal="center" vertical="center"/>
    </xf>
    <xf numFmtId="0" fontId="43" fillId="0" borderId="26" xfId="16" applyFont="1" applyBorder="1"/>
    <xf numFmtId="0" fontId="43" fillId="0" borderId="23" xfId="16" applyFont="1" applyBorder="1"/>
    <xf numFmtId="0" fontId="49" fillId="8" borderId="4" xfId="16" applyFont="1" applyFill="1" applyBorder="1" applyAlignment="1">
      <alignment horizontal="center" vertical="center"/>
    </xf>
    <xf numFmtId="0" fontId="43" fillId="8" borderId="26" xfId="16" applyFont="1" applyFill="1" applyBorder="1"/>
    <xf numFmtId="0" fontId="43" fillId="8" borderId="23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B904D8FF-419E-4412-A18B-A8CFF14B5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FFE0A4F-01CF-4C3B-A8CC-1A517E3FA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6C52A0E9-2444-440F-964F-2EE4234BA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91"/>
  <sheetViews>
    <sheetView tabSelected="1" view="pageBreakPreview" zoomScaleNormal="100" zoomScaleSheetLayoutView="100" workbookViewId="0">
      <pane ySplit="8" topLeftCell="A9" activePane="bottomLeft" state="frozen"/>
      <selection pane="bottomLeft" activeCell="AA17" sqref="AA17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8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12" t="s">
        <v>506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3"/>
      <c r="V2" s="414" t="s">
        <v>130</v>
      </c>
      <c r="W2" s="415"/>
      <c r="X2" s="410">
        <v>2027</v>
      </c>
      <c r="Y2" s="411"/>
      <c r="AA2" s="416" t="s">
        <v>143</v>
      </c>
      <c r="AB2" s="19" t="s">
        <v>144</v>
      </c>
      <c r="AC2" s="31" t="s">
        <v>152</v>
      </c>
      <c r="AD2" s="20" t="s">
        <v>145</v>
      </c>
    </row>
    <row r="3" spans="2:30" ht="18" thickBot="1">
      <c r="B3" s="388" t="s">
        <v>353</v>
      </c>
      <c r="C3" s="390" t="s">
        <v>53</v>
      </c>
      <c r="D3" s="391"/>
      <c r="E3" s="391"/>
      <c r="F3" s="390" t="s">
        <v>64</v>
      </c>
      <c r="G3" s="394"/>
      <c r="H3" s="390" t="s">
        <v>54</v>
      </c>
      <c r="I3" s="391"/>
      <c r="J3" s="391"/>
      <c r="K3" s="390" t="s">
        <v>55</v>
      </c>
      <c r="L3" s="391"/>
      <c r="M3" s="391"/>
      <c r="N3" s="391"/>
      <c r="O3" s="394"/>
      <c r="P3" s="396" t="s">
        <v>56</v>
      </c>
      <c r="Q3" s="397"/>
      <c r="R3" s="397"/>
      <c r="S3" s="397"/>
      <c r="T3" s="397"/>
      <c r="U3" s="397"/>
      <c r="V3" s="397"/>
      <c r="W3" s="397"/>
      <c r="X3" s="397"/>
      <c r="Y3" s="398"/>
      <c r="AA3" s="417"/>
      <c r="AB3" s="21" t="s">
        <v>146</v>
      </c>
      <c r="AC3" s="38" t="s">
        <v>512</v>
      </c>
      <c r="AD3" s="22" t="s">
        <v>514</v>
      </c>
    </row>
    <row r="4" spans="2:30" ht="18" thickBot="1">
      <c r="B4" s="389"/>
      <c r="C4" s="392"/>
      <c r="D4" s="393"/>
      <c r="E4" s="393"/>
      <c r="F4" s="392"/>
      <c r="G4" s="395"/>
      <c r="H4" s="392"/>
      <c r="I4" s="393"/>
      <c r="J4" s="393"/>
      <c r="K4" s="392"/>
      <c r="L4" s="393"/>
      <c r="M4" s="393"/>
      <c r="N4" s="393"/>
      <c r="O4" s="395"/>
      <c r="P4" s="396" t="s">
        <v>127</v>
      </c>
      <c r="Q4" s="397"/>
      <c r="R4" s="397"/>
      <c r="S4" s="397"/>
      <c r="T4" s="396" t="s">
        <v>61</v>
      </c>
      <c r="U4" s="397"/>
      <c r="V4" s="398"/>
      <c r="W4" s="397" t="s">
        <v>128</v>
      </c>
      <c r="X4" s="397"/>
      <c r="Y4" s="398"/>
      <c r="AA4" s="417"/>
      <c r="AB4" s="23" t="s">
        <v>147</v>
      </c>
      <c r="AC4" s="39" t="s">
        <v>513</v>
      </c>
      <c r="AD4" s="22" t="s">
        <v>515</v>
      </c>
    </row>
    <row r="5" spans="2:30" ht="52.8" customHeight="1" thickBot="1">
      <c r="B5" s="63" t="s">
        <v>505</v>
      </c>
      <c r="C5" s="354" t="s">
        <v>507</v>
      </c>
      <c r="D5" s="355"/>
      <c r="E5" s="356"/>
      <c r="F5" s="354" t="s">
        <v>508</v>
      </c>
      <c r="G5" s="357"/>
      <c r="H5" s="358" t="s">
        <v>509</v>
      </c>
      <c r="I5" s="355"/>
      <c r="J5" s="356"/>
      <c r="K5" s="354" t="s">
        <v>510</v>
      </c>
      <c r="L5" s="355"/>
      <c r="M5" s="355"/>
      <c r="N5" s="355"/>
      <c r="O5" s="357"/>
      <c r="P5" s="358" t="s">
        <v>511</v>
      </c>
      <c r="Q5" s="355"/>
      <c r="R5" s="355"/>
      <c r="S5" s="356"/>
      <c r="T5" s="354" t="s">
        <v>34</v>
      </c>
      <c r="U5" s="355"/>
      <c r="V5" s="356"/>
      <c r="W5" s="359" t="s">
        <v>734</v>
      </c>
      <c r="X5" s="360"/>
      <c r="Y5" s="361"/>
      <c r="AA5" s="418"/>
      <c r="AB5" s="200" t="s">
        <v>148</v>
      </c>
      <c r="AC5" s="201" t="s">
        <v>729</v>
      </c>
      <c r="AD5" s="202" t="s">
        <v>730</v>
      </c>
    </row>
    <row r="6" spans="2:30" ht="15.75" customHeight="1" thickBot="1">
      <c r="U6" s="362"/>
      <c r="V6" s="362"/>
      <c r="W6" s="362"/>
      <c r="X6" s="362"/>
      <c r="Y6" s="362"/>
    </row>
    <row r="7" spans="2:30" s="10" customFormat="1" ht="22.5" customHeight="1">
      <c r="B7" s="363" t="s">
        <v>2</v>
      </c>
      <c r="C7" s="364"/>
      <c r="D7" s="367" t="s">
        <v>120</v>
      </c>
      <c r="E7" s="369" t="s">
        <v>57</v>
      </c>
      <c r="F7" s="370"/>
      <c r="G7" s="371"/>
      <c r="H7" s="372" t="s">
        <v>133</v>
      </c>
      <c r="I7" s="375" t="s">
        <v>134</v>
      </c>
      <c r="J7" s="379" t="s">
        <v>135</v>
      </c>
      <c r="K7" s="374" t="s">
        <v>58</v>
      </c>
      <c r="L7" s="375"/>
      <c r="M7" s="375"/>
      <c r="N7" s="376"/>
      <c r="O7" s="377" t="s">
        <v>59</v>
      </c>
      <c r="P7" s="375"/>
      <c r="Q7" s="375"/>
      <c r="R7" s="376"/>
      <c r="S7" s="374" t="s">
        <v>60</v>
      </c>
      <c r="T7" s="375"/>
      <c r="U7" s="375"/>
      <c r="V7" s="378"/>
      <c r="W7" s="372" t="s">
        <v>136</v>
      </c>
      <c r="X7" s="379"/>
      <c r="Y7" s="371" t="s">
        <v>137</v>
      </c>
      <c r="Z7" s="9"/>
    </row>
    <row r="8" spans="2:30" s="10" customFormat="1" ht="22.5" customHeight="1" thickBot="1">
      <c r="B8" s="365"/>
      <c r="C8" s="366"/>
      <c r="D8" s="368"/>
      <c r="E8" s="24" t="s">
        <v>18</v>
      </c>
      <c r="F8" s="382" t="s">
        <v>19</v>
      </c>
      <c r="G8" s="383"/>
      <c r="H8" s="373"/>
      <c r="I8" s="385"/>
      <c r="J8" s="380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419"/>
      <c r="W8" s="373"/>
      <c r="X8" s="380"/>
      <c r="Y8" s="381"/>
      <c r="AA8" s="212" t="s">
        <v>493</v>
      </c>
      <c r="AB8" s="212"/>
      <c r="AC8" s="212"/>
      <c r="AD8" s="212"/>
    </row>
    <row r="9" spans="2:30" ht="16.5" customHeight="1" thickBot="1">
      <c r="B9" s="399" t="s">
        <v>337</v>
      </c>
      <c r="C9" s="400"/>
      <c r="D9" s="320" t="s">
        <v>21</v>
      </c>
      <c r="E9" s="40" t="s">
        <v>12</v>
      </c>
      <c r="F9" s="302" t="s">
        <v>201</v>
      </c>
      <c r="G9" s="322"/>
      <c r="H9" s="41">
        <v>4</v>
      </c>
      <c r="I9" s="42" t="s">
        <v>338</v>
      </c>
      <c r="J9" s="135">
        <v>4</v>
      </c>
      <c r="K9" s="302">
        <v>4</v>
      </c>
      <c r="L9" s="303"/>
      <c r="M9" s="304"/>
      <c r="N9" s="305"/>
      <c r="O9" s="335"/>
      <c r="P9" s="303"/>
      <c r="Q9" s="304"/>
      <c r="R9" s="305"/>
      <c r="S9" s="335"/>
      <c r="T9" s="303"/>
      <c r="U9" s="352"/>
      <c r="V9" s="353"/>
      <c r="W9" s="43">
        <f>SUM(K9:V9)</f>
        <v>4</v>
      </c>
      <c r="X9" s="345">
        <f>SUM(W9:W10)</f>
        <v>8</v>
      </c>
      <c r="Y9" s="327">
        <v>24</v>
      </c>
      <c r="AA9" s="124" t="s">
        <v>494</v>
      </c>
      <c r="AB9" s="125" t="s">
        <v>498</v>
      </c>
      <c r="AC9" s="125" t="s">
        <v>499</v>
      </c>
      <c r="AD9" s="126" t="s">
        <v>500</v>
      </c>
    </row>
    <row r="10" spans="2:30" ht="18" thickBot="1">
      <c r="B10" s="401"/>
      <c r="C10" s="402"/>
      <c r="D10" s="321"/>
      <c r="E10" s="44" t="s">
        <v>12</v>
      </c>
      <c r="F10" s="296" t="s">
        <v>202</v>
      </c>
      <c r="G10" s="326"/>
      <c r="H10" s="45">
        <v>4</v>
      </c>
      <c r="I10" s="46" t="s">
        <v>338</v>
      </c>
      <c r="J10" s="136">
        <v>4</v>
      </c>
      <c r="K10" s="296"/>
      <c r="L10" s="297"/>
      <c r="M10" s="298">
        <v>4</v>
      </c>
      <c r="N10" s="299"/>
      <c r="O10" s="323"/>
      <c r="P10" s="297"/>
      <c r="Q10" s="298"/>
      <c r="R10" s="299"/>
      <c r="S10" s="323"/>
      <c r="T10" s="297"/>
      <c r="U10" s="333"/>
      <c r="V10" s="334"/>
      <c r="W10" s="47">
        <f t="shared" ref="W10:W20" si="0">SUM(K10:V10)</f>
        <v>4</v>
      </c>
      <c r="X10" s="351"/>
      <c r="Y10" s="327"/>
      <c r="AA10" s="127" t="s">
        <v>495</v>
      </c>
      <c r="AB10" s="128">
        <v>4</v>
      </c>
      <c r="AC10" s="128">
        <v>-1</v>
      </c>
      <c r="AD10" s="22" t="s">
        <v>501</v>
      </c>
    </row>
    <row r="11" spans="2:30" ht="18" thickBot="1">
      <c r="B11" s="401"/>
      <c r="C11" s="402"/>
      <c r="D11" s="320" t="s">
        <v>5</v>
      </c>
      <c r="E11" s="40" t="s">
        <v>12</v>
      </c>
      <c r="F11" s="302" t="s">
        <v>213</v>
      </c>
      <c r="G11" s="322"/>
      <c r="H11" s="41">
        <v>4</v>
      </c>
      <c r="I11" s="42" t="s">
        <v>338</v>
      </c>
      <c r="J11" s="135">
        <v>4</v>
      </c>
      <c r="K11" s="302"/>
      <c r="L11" s="303"/>
      <c r="M11" s="304"/>
      <c r="N11" s="305"/>
      <c r="O11" s="335">
        <v>4</v>
      </c>
      <c r="P11" s="303"/>
      <c r="Q11" s="304"/>
      <c r="R11" s="305"/>
      <c r="S11" s="335"/>
      <c r="T11" s="303"/>
      <c r="U11" s="352"/>
      <c r="V11" s="353"/>
      <c r="W11" s="43">
        <f t="shared" si="0"/>
        <v>4</v>
      </c>
      <c r="X11" s="345">
        <f>SUM(W11:W12)</f>
        <v>8</v>
      </c>
      <c r="Y11" s="327"/>
      <c r="AA11" s="127" t="s">
        <v>496</v>
      </c>
      <c r="AB11" s="128">
        <v>4</v>
      </c>
      <c r="AC11" s="128" t="s">
        <v>504</v>
      </c>
      <c r="AD11" s="22" t="s">
        <v>502</v>
      </c>
    </row>
    <row r="12" spans="2:30" ht="18" thickBot="1">
      <c r="B12" s="401"/>
      <c r="C12" s="402"/>
      <c r="D12" s="321"/>
      <c r="E12" s="44" t="s">
        <v>12</v>
      </c>
      <c r="F12" s="296" t="s">
        <v>215</v>
      </c>
      <c r="G12" s="326"/>
      <c r="H12" s="45">
        <v>4</v>
      </c>
      <c r="I12" s="46" t="s">
        <v>338</v>
      </c>
      <c r="J12" s="136">
        <v>4</v>
      </c>
      <c r="K12" s="296"/>
      <c r="L12" s="297"/>
      <c r="M12" s="298"/>
      <c r="N12" s="299"/>
      <c r="O12" s="323"/>
      <c r="P12" s="297"/>
      <c r="Q12" s="298">
        <v>4</v>
      </c>
      <c r="R12" s="299"/>
      <c r="S12" s="323"/>
      <c r="T12" s="297"/>
      <c r="U12" s="333"/>
      <c r="V12" s="334"/>
      <c r="W12" s="47">
        <f t="shared" si="0"/>
        <v>4</v>
      </c>
      <c r="X12" s="351"/>
      <c r="Y12" s="327"/>
      <c r="AA12" s="127" t="s">
        <v>497</v>
      </c>
      <c r="AB12" s="128">
        <v>3</v>
      </c>
      <c r="AC12" s="128" t="s">
        <v>504</v>
      </c>
      <c r="AD12" s="22" t="s">
        <v>503</v>
      </c>
    </row>
    <row r="13" spans="2:30" ht="18" thickBot="1">
      <c r="B13" s="401"/>
      <c r="C13" s="402"/>
      <c r="D13" s="320" t="s">
        <v>6</v>
      </c>
      <c r="E13" s="40" t="s">
        <v>12</v>
      </c>
      <c r="F13" s="302" t="s">
        <v>220</v>
      </c>
      <c r="G13" s="322"/>
      <c r="H13" s="41">
        <v>4</v>
      </c>
      <c r="I13" s="42" t="s">
        <v>338</v>
      </c>
      <c r="J13" s="135">
        <v>4</v>
      </c>
      <c r="K13" s="302">
        <v>4</v>
      </c>
      <c r="L13" s="303"/>
      <c r="M13" s="304"/>
      <c r="N13" s="305"/>
      <c r="O13" s="335"/>
      <c r="P13" s="303"/>
      <c r="Q13" s="304"/>
      <c r="R13" s="305"/>
      <c r="S13" s="335"/>
      <c r="T13" s="303"/>
      <c r="U13" s="352"/>
      <c r="V13" s="353"/>
      <c r="W13" s="43">
        <f t="shared" si="0"/>
        <v>4</v>
      </c>
      <c r="X13" s="345">
        <f>SUM(W13:W14)</f>
        <v>8</v>
      </c>
      <c r="Y13" s="327"/>
    </row>
    <row r="14" spans="2:30" ht="18" thickBot="1">
      <c r="B14" s="401"/>
      <c r="C14" s="402"/>
      <c r="D14" s="321"/>
      <c r="E14" s="44" t="s">
        <v>12</v>
      </c>
      <c r="F14" s="296" t="s">
        <v>226</v>
      </c>
      <c r="G14" s="326"/>
      <c r="H14" s="45">
        <v>4</v>
      </c>
      <c r="I14" s="46" t="s">
        <v>338</v>
      </c>
      <c r="J14" s="136">
        <v>4</v>
      </c>
      <c r="K14" s="296"/>
      <c r="L14" s="297"/>
      <c r="M14" s="298">
        <v>4</v>
      </c>
      <c r="N14" s="299"/>
      <c r="O14" s="323"/>
      <c r="P14" s="297"/>
      <c r="Q14" s="298"/>
      <c r="R14" s="299"/>
      <c r="S14" s="323"/>
      <c r="T14" s="297"/>
      <c r="U14" s="333"/>
      <c r="V14" s="334"/>
      <c r="W14" s="47">
        <f t="shared" si="0"/>
        <v>4</v>
      </c>
      <c r="X14" s="351"/>
      <c r="Y14" s="327"/>
    </row>
    <row r="15" spans="2:30" ht="18" thickBot="1">
      <c r="B15" s="401"/>
      <c r="C15" s="402"/>
      <c r="D15" s="320" t="s">
        <v>341</v>
      </c>
      <c r="E15" s="40" t="s">
        <v>12</v>
      </c>
      <c r="F15" s="302" t="s">
        <v>234</v>
      </c>
      <c r="G15" s="322"/>
      <c r="H15" s="41">
        <v>3</v>
      </c>
      <c r="I15" s="52" t="s">
        <v>342</v>
      </c>
      <c r="J15" s="135">
        <v>3</v>
      </c>
      <c r="K15" s="343">
        <v>3</v>
      </c>
      <c r="L15" s="344"/>
      <c r="M15" s="405"/>
      <c r="N15" s="406"/>
      <c r="O15" s="407"/>
      <c r="P15" s="344"/>
      <c r="Q15" s="405"/>
      <c r="R15" s="406"/>
      <c r="S15" s="407"/>
      <c r="T15" s="344"/>
      <c r="U15" s="408"/>
      <c r="V15" s="409"/>
      <c r="W15" s="43">
        <f t="shared" si="0"/>
        <v>3</v>
      </c>
      <c r="X15" s="345">
        <f>SUM(W15:W16)</f>
        <v>6</v>
      </c>
      <c r="Y15" s="327">
        <v>6</v>
      </c>
    </row>
    <row r="16" spans="2:30" ht="18" thickBot="1">
      <c r="B16" s="401"/>
      <c r="C16" s="402"/>
      <c r="D16" s="321"/>
      <c r="E16" s="53" t="s">
        <v>12</v>
      </c>
      <c r="F16" s="347" t="s">
        <v>235</v>
      </c>
      <c r="G16" s="348"/>
      <c r="H16" s="54">
        <v>3</v>
      </c>
      <c r="I16" s="55" t="s">
        <v>342</v>
      </c>
      <c r="J16" s="137">
        <v>3</v>
      </c>
      <c r="K16" s="330"/>
      <c r="L16" s="332"/>
      <c r="M16" s="340">
        <v>3</v>
      </c>
      <c r="N16" s="341"/>
      <c r="O16" s="342"/>
      <c r="P16" s="332"/>
      <c r="Q16" s="340"/>
      <c r="R16" s="341"/>
      <c r="S16" s="342"/>
      <c r="T16" s="332"/>
      <c r="U16" s="349"/>
      <c r="V16" s="350"/>
      <c r="W16" s="56">
        <f t="shared" si="0"/>
        <v>3</v>
      </c>
      <c r="X16" s="346"/>
      <c r="Y16" s="327"/>
      <c r="AA16" s="218"/>
      <c r="AB16" s="218"/>
      <c r="AC16" s="32"/>
    </row>
    <row r="17" spans="2:28" ht="18" thickBot="1">
      <c r="B17" s="401"/>
      <c r="C17" s="402"/>
      <c r="D17" s="321"/>
      <c r="E17" s="40" t="s">
        <v>12</v>
      </c>
      <c r="F17" s="302" t="s">
        <v>237</v>
      </c>
      <c r="G17" s="322"/>
      <c r="H17" s="41">
        <v>4</v>
      </c>
      <c r="I17" s="52" t="s">
        <v>338</v>
      </c>
      <c r="J17" s="135">
        <v>4</v>
      </c>
      <c r="K17" s="302">
        <v>4</v>
      </c>
      <c r="L17" s="303"/>
      <c r="M17" s="304"/>
      <c r="N17" s="305"/>
      <c r="O17" s="335"/>
      <c r="P17" s="303"/>
      <c r="Q17" s="304"/>
      <c r="R17" s="305"/>
      <c r="S17" s="335"/>
      <c r="T17" s="303"/>
      <c r="U17" s="352"/>
      <c r="V17" s="353"/>
      <c r="W17" s="43">
        <f t="shared" si="0"/>
        <v>4</v>
      </c>
      <c r="X17" s="345">
        <f>SUM(W17:W18)</f>
        <v>8</v>
      </c>
      <c r="Y17" s="327">
        <v>12</v>
      </c>
    </row>
    <row r="18" spans="2:28" ht="18" thickBot="1">
      <c r="B18" s="401"/>
      <c r="C18" s="402"/>
      <c r="D18" s="336"/>
      <c r="E18" s="51" t="s">
        <v>12</v>
      </c>
      <c r="F18" s="330" t="s">
        <v>238</v>
      </c>
      <c r="G18" s="331"/>
      <c r="H18" s="49">
        <v>4</v>
      </c>
      <c r="I18" s="50" t="s">
        <v>338</v>
      </c>
      <c r="J18" s="138">
        <v>4</v>
      </c>
      <c r="K18" s="330"/>
      <c r="L18" s="332"/>
      <c r="M18" s="340">
        <v>4</v>
      </c>
      <c r="N18" s="341"/>
      <c r="O18" s="342"/>
      <c r="P18" s="332"/>
      <c r="Q18" s="340"/>
      <c r="R18" s="341"/>
      <c r="S18" s="342"/>
      <c r="T18" s="332"/>
      <c r="U18" s="349"/>
      <c r="V18" s="350"/>
      <c r="W18" s="56">
        <f t="shared" si="0"/>
        <v>4</v>
      </c>
      <c r="X18" s="346"/>
      <c r="Y18" s="327"/>
    </row>
    <row r="19" spans="2:28" ht="18" thickBot="1">
      <c r="B19" s="401"/>
      <c r="C19" s="402"/>
      <c r="D19" s="320" t="s">
        <v>26</v>
      </c>
      <c r="E19" s="40" t="s">
        <v>12</v>
      </c>
      <c r="F19" s="302" t="s">
        <v>255</v>
      </c>
      <c r="G19" s="322"/>
      <c r="H19" s="41">
        <v>4</v>
      </c>
      <c r="I19" s="52" t="s">
        <v>338</v>
      </c>
      <c r="J19" s="135">
        <v>4</v>
      </c>
      <c r="K19" s="302"/>
      <c r="L19" s="303"/>
      <c r="M19" s="304"/>
      <c r="N19" s="305"/>
      <c r="O19" s="335">
        <v>4</v>
      </c>
      <c r="P19" s="303"/>
      <c r="Q19" s="304"/>
      <c r="R19" s="305"/>
      <c r="S19" s="335"/>
      <c r="T19" s="303"/>
      <c r="U19" s="352"/>
      <c r="V19" s="353"/>
      <c r="W19" s="43">
        <f t="shared" si="0"/>
        <v>4</v>
      </c>
      <c r="X19" s="400">
        <f>SUM(W19:W20)</f>
        <v>8</v>
      </c>
      <c r="Y19" s="327"/>
    </row>
    <row r="20" spans="2:28" ht="18" thickBot="1">
      <c r="B20" s="401"/>
      <c r="C20" s="402"/>
      <c r="D20" s="321"/>
      <c r="E20" s="44" t="s">
        <v>12</v>
      </c>
      <c r="F20" s="296" t="s">
        <v>256</v>
      </c>
      <c r="G20" s="326"/>
      <c r="H20" s="45">
        <v>4</v>
      </c>
      <c r="I20" s="46" t="s">
        <v>338</v>
      </c>
      <c r="J20" s="136">
        <v>4</v>
      </c>
      <c r="K20" s="296"/>
      <c r="L20" s="297"/>
      <c r="M20" s="298"/>
      <c r="N20" s="299"/>
      <c r="O20" s="323"/>
      <c r="P20" s="297"/>
      <c r="Q20" s="298">
        <v>4</v>
      </c>
      <c r="R20" s="299"/>
      <c r="S20" s="323"/>
      <c r="T20" s="297"/>
      <c r="U20" s="333"/>
      <c r="V20" s="334"/>
      <c r="W20" s="47">
        <f t="shared" si="0"/>
        <v>4</v>
      </c>
      <c r="X20" s="402"/>
      <c r="Y20" s="327"/>
    </row>
    <row r="21" spans="2:28" ht="16.5" customHeight="1" thickBot="1">
      <c r="B21" s="401"/>
      <c r="C21" s="402"/>
      <c r="D21" s="320" t="s">
        <v>8</v>
      </c>
      <c r="E21" s="40" t="s">
        <v>343</v>
      </c>
      <c r="F21" s="302" t="s">
        <v>344</v>
      </c>
      <c r="G21" s="322"/>
      <c r="H21" s="41">
        <v>3</v>
      </c>
      <c r="I21" s="52" t="s">
        <v>345</v>
      </c>
      <c r="J21" s="135">
        <f t="shared" ref="J21:J22" si="1">SUM(K21:V21)</f>
        <v>2</v>
      </c>
      <c r="K21" s="302">
        <v>2</v>
      </c>
      <c r="L21" s="303"/>
      <c r="M21" s="304"/>
      <c r="N21" s="305"/>
      <c r="O21" s="335"/>
      <c r="P21" s="303"/>
      <c r="Q21" s="304"/>
      <c r="R21" s="305"/>
      <c r="S21" s="335"/>
      <c r="T21" s="303"/>
      <c r="U21" s="352"/>
      <c r="V21" s="353"/>
      <c r="W21" s="43">
        <f>SUM(K21:V21)</f>
        <v>2</v>
      </c>
      <c r="X21" s="337">
        <f>SUM(W21:W25)</f>
        <v>8</v>
      </c>
      <c r="Y21" s="327">
        <v>8</v>
      </c>
    </row>
    <row r="22" spans="2:28" ht="18" thickBot="1">
      <c r="B22" s="401"/>
      <c r="C22" s="402"/>
      <c r="D22" s="321"/>
      <c r="E22" s="44" t="s">
        <v>343</v>
      </c>
      <c r="F22" s="296" t="s">
        <v>346</v>
      </c>
      <c r="G22" s="326"/>
      <c r="H22" s="45">
        <v>3</v>
      </c>
      <c r="I22" s="46" t="s">
        <v>345</v>
      </c>
      <c r="J22" s="136">
        <f t="shared" si="1"/>
        <v>2</v>
      </c>
      <c r="K22" s="296"/>
      <c r="L22" s="297"/>
      <c r="M22" s="298">
        <v>2</v>
      </c>
      <c r="N22" s="299"/>
      <c r="O22" s="323"/>
      <c r="P22" s="297"/>
      <c r="Q22" s="298"/>
      <c r="R22" s="299"/>
      <c r="S22" s="323"/>
      <c r="T22" s="297"/>
      <c r="U22" s="333"/>
      <c r="V22" s="334"/>
      <c r="W22" s="47">
        <f t="shared" ref="W22:W25" si="2">SUM(K22:V22)</f>
        <v>2</v>
      </c>
      <c r="X22" s="338"/>
      <c r="Y22" s="327"/>
    </row>
    <row r="23" spans="2:28" ht="18" thickBot="1">
      <c r="B23" s="401"/>
      <c r="C23" s="402"/>
      <c r="D23" s="321"/>
      <c r="E23" s="44" t="s">
        <v>339</v>
      </c>
      <c r="F23" s="296" t="s">
        <v>361</v>
      </c>
      <c r="G23" s="326"/>
      <c r="H23" s="45">
        <v>3</v>
      </c>
      <c r="I23" s="46" t="s">
        <v>347</v>
      </c>
      <c r="J23" s="136">
        <v>1</v>
      </c>
      <c r="K23" s="296"/>
      <c r="L23" s="297"/>
      <c r="M23" s="298"/>
      <c r="N23" s="299"/>
      <c r="O23" s="323">
        <v>1</v>
      </c>
      <c r="P23" s="297"/>
      <c r="Q23" s="298"/>
      <c r="R23" s="299"/>
      <c r="S23" s="323"/>
      <c r="T23" s="297"/>
      <c r="U23" s="333"/>
      <c r="V23" s="334"/>
      <c r="W23" s="47">
        <f t="shared" si="2"/>
        <v>1</v>
      </c>
      <c r="X23" s="338"/>
      <c r="Y23" s="327"/>
    </row>
    <row r="24" spans="2:28" ht="18" thickBot="1">
      <c r="B24" s="401"/>
      <c r="C24" s="402"/>
      <c r="D24" s="321"/>
      <c r="E24" s="44" t="s">
        <v>339</v>
      </c>
      <c r="F24" s="296" t="s">
        <v>516</v>
      </c>
      <c r="G24" s="326"/>
      <c r="H24" s="45">
        <v>3</v>
      </c>
      <c r="I24" s="46" t="s">
        <v>345</v>
      </c>
      <c r="J24" s="136">
        <v>2</v>
      </c>
      <c r="K24" s="296"/>
      <c r="L24" s="297"/>
      <c r="M24" s="298"/>
      <c r="N24" s="299"/>
      <c r="O24" s="323"/>
      <c r="P24" s="297"/>
      <c r="Q24" s="298">
        <v>2</v>
      </c>
      <c r="R24" s="299"/>
      <c r="S24" s="323"/>
      <c r="T24" s="297"/>
      <c r="U24" s="333"/>
      <c r="V24" s="334"/>
      <c r="W24" s="47">
        <f t="shared" si="2"/>
        <v>2</v>
      </c>
      <c r="X24" s="338"/>
      <c r="Y24" s="327"/>
    </row>
    <row r="25" spans="2:28" ht="18" thickBot="1">
      <c r="B25" s="401"/>
      <c r="C25" s="402"/>
      <c r="D25" s="336"/>
      <c r="E25" s="51" t="s">
        <v>339</v>
      </c>
      <c r="F25" s="330" t="s">
        <v>517</v>
      </c>
      <c r="G25" s="331"/>
      <c r="H25" s="49">
        <v>2</v>
      </c>
      <c r="I25" s="50" t="s">
        <v>347</v>
      </c>
      <c r="J25" s="138">
        <v>1</v>
      </c>
      <c r="K25" s="330"/>
      <c r="L25" s="332"/>
      <c r="M25" s="340"/>
      <c r="N25" s="341"/>
      <c r="O25" s="342"/>
      <c r="P25" s="332"/>
      <c r="Q25" s="340"/>
      <c r="R25" s="341"/>
      <c r="S25" s="342">
        <v>1</v>
      </c>
      <c r="T25" s="332"/>
      <c r="U25" s="349"/>
      <c r="V25" s="350"/>
      <c r="W25" s="56">
        <f t="shared" si="2"/>
        <v>1</v>
      </c>
      <c r="X25" s="339"/>
      <c r="Y25" s="327"/>
    </row>
    <row r="26" spans="2:28" ht="18" thickBot="1">
      <c r="B26" s="401"/>
      <c r="C26" s="402"/>
      <c r="D26" s="320" t="s">
        <v>28</v>
      </c>
      <c r="E26" s="40" t="s">
        <v>343</v>
      </c>
      <c r="F26" s="302" t="s">
        <v>47</v>
      </c>
      <c r="G26" s="322"/>
      <c r="H26" s="41">
        <v>3</v>
      </c>
      <c r="I26" s="57" t="s">
        <v>345</v>
      </c>
      <c r="J26" s="135">
        <v>4</v>
      </c>
      <c r="K26" s="302"/>
      <c r="L26" s="303"/>
      <c r="M26" s="304"/>
      <c r="N26" s="305"/>
      <c r="O26" s="335">
        <v>4</v>
      </c>
      <c r="P26" s="303"/>
      <c r="Q26" s="304"/>
      <c r="R26" s="305"/>
      <c r="S26" s="335"/>
      <c r="T26" s="303"/>
      <c r="U26" s="352"/>
      <c r="V26" s="353"/>
      <c r="W26" s="270">
        <f>SUM(K26:V27)</f>
        <v>8</v>
      </c>
      <c r="X26" s="271"/>
      <c r="Y26" s="327">
        <v>6</v>
      </c>
    </row>
    <row r="27" spans="2:28" ht="18" thickBot="1">
      <c r="B27" s="401"/>
      <c r="C27" s="402"/>
      <c r="D27" s="321"/>
      <c r="E27" s="48" t="s">
        <v>343</v>
      </c>
      <c r="F27" s="296" t="s">
        <v>283</v>
      </c>
      <c r="G27" s="326"/>
      <c r="H27" s="45">
        <v>3</v>
      </c>
      <c r="I27" s="46" t="s">
        <v>345</v>
      </c>
      <c r="J27" s="136">
        <v>4</v>
      </c>
      <c r="K27" s="296"/>
      <c r="L27" s="297"/>
      <c r="M27" s="298"/>
      <c r="N27" s="299"/>
      <c r="O27" s="323"/>
      <c r="P27" s="297"/>
      <c r="Q27" s="298">
        <v>4</v>
      </c>
      <c r="R27" s="299"/>
      <c r="S27" s="323"/>
      <c r="T27" s="297"/>
      <c r="U27" s="333"/>
      <c r="V27" s="334"/>
      <c r="W27" s="272"/>
      <c r="X27" s="273"/>
      <c r="Y27" s="327"/>
    </row>
    <row r="28" spans="2:28" ht="16.5" customHeight="1" thickBot="1">
      <c r="B28" s="401"/>
      <c r="C28" s="402"/>
      <c r="D28" s="328" t="s">
        <v>348</v>
      </c>
      <c r="E28" s="40" t="s">
        <v>339</v>
      </c>
      <c r="F28" s="302" t="s">
        <v>50</v>
      </c>
      <c r="G28" s="322"/>
      <c r="H28" s="41">
        <v>3</v>
      </c>
      <c r="I28" s="52" t="s">
        <v>345</v>
      </c>
      <c r="J28" s="135">
        <v>2</v>
      </c>
      <c r="K28" s="302">
        <v>2</v>
      </c>
      <c r="L28" s="303"/>
      <c r="M28" s="304"/>
      <c r="N28" s="305"/>
      <c r="O28" s="335"/>
      <c r="P28" s="303"/>
      <c r="Q28" s="304"/>
      <c r="R28" s="305"/>
      <c r="S28" s="335"/>
      <c r="T28" s="303"/>
      <c r="U28" s="352"/>
      <c r="V28" s="353"/>
      <c r="W28" s="270">
        <f>SUM(K28:V30)</f>
        <v>8</v>
      </c>
      <c r="X28" s="271"/>
      <c r="Y28" s="327">
        <v>8</v>
      </c>
    </row>
    <row r="29" spans="2:28" ht="16.5" customHeight="1" thickBot="1">
      <c r="B29" s="401"/>
      <c r="C29" s="402"/>
      <c r="D29" s="329"/>
      <c r="E29" s="48" t="s">
        <v>343</v>
      </c>
      <c r="F29" s="296" t="s">
        <v>748</v>
      </c>
      <c r="G29" s="326"/>
      <c r="H29" s="45">
        <v>3</v>
      </c>
      <c r="I29" s="46" t="s">
        <v>345</v>
      </c>
      <c r="J29" s="136">
        <v>3</v>
      </c>
      <c r="K29" s="296">
        <v>3</v>
      </c>
      <c r="L29" s="297"/>
      <c r="M29" s="298"/>
      <c r="N29" s="299"/>
      <c r="O29" s="323"/>
      <c r="P29" s="297"/>
      <c r="Q29" s="298"/>
      <c r="R29" s="299"/>
      <c r="S29" s="323"/>
      <c r="T29" s="297"/>
      <c r="U29" s="333"/>
      <c r="V29" s="334"/>
      <c r="W29" s="272"/>
      <c r="X29" s="273"/>
      <c r="Y29" s="327"/>
    </row>
    <row r="30" spans="2:28" ht="18" thickBot="1">
      <c r="B30" s="403"/>
      <c r="C30" s="404"/>
      <c r="D30" s="329"/>
      <c r="E30" s="48" t="s">
        <v>343</v>
      </c>
      <c r="F30" s="330" t="s">
        <v>749</v>
      </c>
      <c r="G30" s="331"/>
      <c r="H30" s="49">
        <v>3</v>
      </c>
      <c r="I30" s="50" t="s">
        <v>345</v>
      </c>
      <c r="J30" s="138">
        <v>3</v>
      </c>
      <c r="K30" s="330"/>
      <c r="L30" s="332"/>
      <c r="M30" s="340">
        <v>3</v>
      </c>
      <c r="N30" s="341"/>
      <c r="O30" s="323"/>
      <c r="P30" s="297"/>
      <c r="Q30" s="298"/>
      <c r="R30" s="299"/>
      <c r="S30" s="323"/>
      <c r="T30" s="297"/>
      <c r="U30" s="333"/>
      <c r="V30" s="334"/>
      <c r="W30" s="272"/>
      <c r="X30" s="273"/>
      <c r="Y30" s="327"/>
    </row>
    <row r="31" spans="2:28" ht="24.75" customHeight="1" thickBot="1">
      <c r="B31" s="213" t="s">
        <v>354</v>
      </c>
      <c r="C31" s="214"/>
      <c r="D31" s="214"/>
      <c r="E31" s="214"/>
      <c r="F31" s="214"/>
      <c r="G31" s="215"/>
      <c r="H31" s="35">
        <f>SUM(H17:H30)</f>
        <v>45</v>
      </c>
      <c r="I31" s="18"/>
      <c r="J31" s="36">
        <f>SUM(J17:J30)</f>
        <v>40</v>
      </c>
      <c r="K31" s="312">
        <f>SUM(K9:L30)</f>
        <v>22</v>
      </c>
      <c r="L31" s="313"/>
      <c r="M31" s="313">
        <f>SUM(M9:N30)</f>
        <v>20</v>
      </c>
      <c r="N31" s="239"/>
      <c r="O31" s="420">
        <f>SUM(O9:P30)</f>
        <v>13</v>
      </c>
      <c r="P31" s="313"/>
      <c r="Q31" s="313">
        <f>SUM(Q9:R30)</f>
        <v>14</v>
      </c>
      <c r="R31" s="422"/>
      <c r="S31" s="240">
        <f>SUM(S9:T30)</f>
        <v>1</v>
      </c>
      <c r="T31" s="313"/>
      <c r="U31" s="313">
        <f>SUM(U9:V30)</f>
        <v>0</v>
      </c>
      <c r="V31" s="421"/>
      <c r="W31" s="213">
        <f>SUM(K31:V31)</f>
        <v>70</v>
      </c>
      <c r="X31" s="240"/>
      <c r="Y31" s="36">
        <f>SUM(Y9:Y30)</f>
        <v>64</v>
      </c>
      <c r="AA31" s="232" t="b">
        <f>W31&gt;=Y31</f>
        <v>1</v>
      </c>
      <c r="AB31" s="233"/>
    </row>
    <row r="32" spans="2:28" ht="17.25" customHeight="1">
      <c r="B32" s="314" t="s">
        <v>349</v>
      </c>
      <c r="C32" s="315"/>
      <c r="D32" s="140" t="s">
        <v>163</v>
      </c>
      <c r="E32" s="141" t="s">
        <v>350</v>
      </c>
      <c r="F32" s="316" t="s">
        <v>518</v>
      </c>
      <c r="G32" s="317"/>
      <c r="H32" s="142">
        <v>2</v>
      </c>
      <c r="I32" s="143" t="s">
        <v>519</v>
      </c>
      <c r="J32" s="144">
        <v>3</v>
      </c>
      <c r="K32" s="296">
        <v>3</v>
      </c>
      <c r="L32" s="297"/>
      <c r="M32" s="298"/>
      <c r="N32" s="306"/>
      <c r="O32" s="323"/>
      <c r="P32" s="297"/>
      <c r="Q32" s="298"/>
      <c r="R32" s="299"/>
      <c r="S32" s="306"/>
      <c r="T32" s="297"/>
      <c r="U32" s="298"/>
      <c r="V32" s="326"/>
      <c r="W32" s="324">
        <f t="shared" ref="W32:W45" si="3">SUM(K32:V32)</f>
        <v>3</v>
      </c>
      <c r="X32" s="325"/>
      <c r="Y32" s="264">
        <v>80</v>
      </c>
    </row>
    <row r="33" spans="2:25" ht="17.25" customHeight="1">
      <c r="B33" s="314"/>
      <c r="C33" s="315"/>
      <c r="D33" s="140" t="s">
        <v>163</v>
      </c>
      <c r="E33" s="141" t="s">
        <v>350</v>
      </c>
      <c r="F33" s="316" t="s">
        <v>520</v>
      </c>
      <c r="G33" s="317"/>
      <c r="H33" s="142">
        <v>2</v>
      </c>
      <c r="I33" s="143" t="s">
        <v>519</v>
      </c>
      <c r="J33" s="144">
        <v>4</v>
      </c>
      <c r="K33" s="296">
        <v>4</v>
      </c>
      <c r="L33" s="297"/>
      <c r="M33" s="298"/>
      <c r="N33" s="299"/>
      <c r="O33" s="323"/>
      <c r="P33" s="297"/>
      <c r="Q33" s="298"/>
      <c r="R33" s="299"/>
      <c r="S33" s="323"/>
      <c r="T33" s="297"/>
      <c r="U33" s="298"/>
      <c r="V33" s="326"/>
      <c r="W33" s="324">
        <f t="shared" ref="W33" si="4">SUM(K33:V33)</f>
        <v>4</v>
      </c>
      <c r="X33" s="325"/>
      <c r="Y33" s="264"/>
    </row>
    <row r="34" spans="2:25" ht="17.25" customHeight="1">
      <c r="B34" s="314"/>
      <c r="C34" s="315"/>
      <c r="D34" s="140" t="s">
        <v>163</v>
      </c>
      <c r="E34" s="141" t="s">
        <v>350</v>
      </c>
      <c r="F34" s="316" t="s">
        <v>521</v>
      </c>
      <c r="G34" s="317"/>
      <c r="H34" s="142">
        <v>2</v>
      </c>
      <c r="I34" s="143" t="s">
        <v>522</v>
      </c>
      <c r="J34" s="144">
        <v>4</v>
      </c>
      <c r="K34" s="296"/>
      <c r="L34" s="297"/>
      <c r="M34" s="298">
        <v>4</v>
      </c>
      <c r="N34" s="299"/>
      <c r="O34" s="323"/>
      <c r="P34" s="297"/>
      <c r="Q34" s="298"/>
      <c r="R34" s="299"/>
      <c r="S34" s="323"/>
      <c r="T34" s="297"/>
      <c r="U34" s="298"/>
      <c r="V34" s="326"/>
      <c r="W34" s="324">
        <f t="shared" si="3"/>
        <v>4</v>
      </c>
      <c r="X34" s="325"/>
      <c r="Y34" s="264"/>
    </row>
    <row r="35" spans="2:25" s="139" customFormat="1" ht="17.25" customHeight="1">
      <c r="B35" s="314"/>
      <c r="C35" s="315"/>
      <c r="D35" s="140" t="s">
        <v>163</v>
      </c>
      <c r="E35" s="141" t="s">
        <v>350</v>
      </c>
      <c r="F35" s="316" t="s">
        <v>523</v>
      </c>
      <c r="G35" s="317"/>
      <c r="H35" s="142">
        <v>2</v>
      </c>
      <c r="I35" s="143" t="s">
        <v>522</v>
      </c>
      <c r="J35" s="144">
        <v>5</v>
      </c>
      <c r="K35" s="296"/>
      <c r="L35" s="297"/>
      <c r="M35" s="298">
        <v>5</v>
      </c>
      <c r="N35" s="299"/>
      <c r="O35" s="323"/>
      <c r="P35" s="297"/>
      <c r="Q35" s="298"/>
      <c r="R35" s="299"/>
      <c r="S35" s="323"/>
      <c r="T35" s="297"/>
      <c r="U35" s="298"/>
      <c r="V35" s="326"/>
      <c r="W35" s="324">
        <f t="shared" si="3"/>
        <v>5</v>
      </c>
      <c r="X35" s="325"/>
      <c r="Y35" s="264"/>
    </row>
    <row r="36" spans="2:25" s="139" customFormat="1" ht="17.25" customHeight="1">
      <c r="B36" s="314"/>
      <c r="C36" s="315"/>
      <c r="D36" s="140" t="s">
        <v>163</v>
      </c>
      <c r="E36" s="141" t="s">
        <v>350</v>
      </c>
      <c r="F36" s="316" t="s">
        <v>524</v>
      </c>
      <c r="G36" s="317"/>
      <c r="H36" s="142">
        <v>2</v>
      </c>
      <c r="I36" s="143" t="s">
        <v>522</v>
      </c>
      <c r="J36" s="144">
        <v>6</v>
      </c>
      <c r="K36" s="296"/>
      <c r="L36" s="297"/>
      <c r="M36" s="298"/>
      <c r="N36" s="299"/>
      <c r="O36" s="323">
        <v>5</v>
      </c>
      <c r="P36" s="297"/>
      <c r="Q36" s="298"/>
      <c r="R36" s="299"/>
      <c r="S36" s="323"/>
      <c r="T36" s="297"/>
      <c r="U36" s="298"/>
      <c r="V36" s="326"/>
      <c r="W36" s="324">
        <f t="shared" si="3"/>
        <v>5</v>
      </c>
      <c r="X36" s="325"/>
      <c r="Y36" s="264"/>
    </row>
    <row r="37" spans="2:25" s="139" customFormat="1" ht="17.25" customHeight="1">
      <c r="B37" s="314"/>
      <c r="C37" s="315"/>
      <c r="D37" s="140" t="s">
        <v>163</v>
      </c>
      <c r="E37" s="141" t="s">
        <v>350</v>
      </c>
      <c r="F37" s="316" t="s">
        <v>525</v>
      </c>
      <c r="G37" s="317"/>
      <c r="H37" s="142">
        <v>2</v>
      </c>
      <c r="I37" s="143" t="s">
        <v>522</v>
      </c>
      <c r="J37" s="144">
        <v>5</v>
      </c>
      <c r="K37" s="296"/>
      <c r="L37" s="297"/>
      <c r="M37" s="298"/>
      <c r="N37" s="299"/>
      <c r="O37" s="323">
        <v>5</v>
      </c>
      <c r="P37" s="297"/>
      <c r="Q37" s="298"/>
      <c r="R37" s="299"/>
      <c r="S37" s="323"/>
      <c r="T37" s="297"/>
      <c r="U37" s="298"/>
      <c r="V37" s="326"/>
      <c r="W37" s="324">
        <f t="shared" si="3"/>
        <v>5</v>
      </c>
      <c r="X37" s="325"/>
      <c r="Y37" s="264"/>
    </row>
    <row r="38" spans="2:25" s="139" customFormat="1" ht="17.25" customHeight="1">
      <c r="B38" s="314"/>
      <c r="C38" s="315"/>
      <c r="D38" s="140" t="s">
        <v>163</v>
      </c>
      <c r="E38" s="141" t="s">
        <v>350</v>
      </c>
      <c r="F38" s="316" t="s">
        <v>526</v>
      </c>
      <c r="G38" s="317"/>
      <c r="H38" s="142">
        <v>2</v>
      </c>
      <c r="I38" s="143" t="s">
        <v>522</v>
      </c>
      <c r="J38" s="144">
        <v>5</v>
      </c>
      <c r="K38" s="296"/>
      <c r="L38" s="297"/>
      <c r="M38" s="298"/>
      <c r="N38" s="299"/>
      <c r="O38" s="323">
        <v>6</v>
      </c>
      <c r="P38" s="297"/>
      <c r="Q38" s="298"/>
      <c r="R38" s="299"/>
      <c r="S38" s="323"/>
      <c r="T38" s="297"/>
      <c r="U38" s="298"/>
      <c r="V38" s="326"/>
      <c r="W38" s="324">
        <f t="shared" ref="W38" si="5">SUM(K38:V38)</f>
        <v>6</v>
      </c>
      <c r="X38" s="325"/>
      <c r="Y38" s="264"/>
    </row>
    <row r="39" spans="2:25" s="139" customFormat="1" ht="17.25" customHeight="1">
      <c r="B39" s="314"/>
      <c r="C39" s="315"/>
      <c r="D39" s="140" t="s">
        <v>163</v>
      </c>
      <c r="E39" s="141" t="s">
        <v>350</v>
      </c>
      <c r="F39" s="316" t="s">
        <v>527</v>
      </c>
      <c r="G39" s="317"/>
      <c r="H39" s="142">
        <v>2</v>
      </c>
      <c r="I39" s="143" t="s">
        <v>522</v>
      </c>
      <c r="J39" s="144">
        <v>5</v>
      </c>
      <c r="K39" s="296"/>
      <c r="L39" s="297"/>
      <c r="M39" s="298"/>
      <c r="N39" s="299"/>
      <c r="O39" s="323"/>
      <c r="P39" s="297"/>
      <c r="Q39" s="298">
        <v>5</v>
      </c>
      <c r="R39" s="299"/>
      <c r="S39" s="323"/>
      <c r="T39" s="297"/>
      <c r="U39" s="298"/>
      <c r="V39" s="326"/>
      <c r="W39" s="324">
        <f t="shared" si="3"/>
        <v>5</v>
      </c>
      <c r="X39" s="325"/>
      <c r="Y39" s="264"/>
    </row>
    <row r="40" spans="2:25" ht="17.25" customHeight="1">
      <c r="B40" s="314"/>
      <c r="C40" s="315"/>
      <c r="D40" s="140" t="s">
        <v>163</v>
      </c>
      <c r="E40" s="141" t="s">
        <v>350</v>
      </c>
      <c r="F40" s="316" t="s">
        <v>528</v>
      </c>
      <c r="G40" s="317"/>
      <c r="H40" s="142">
        <v>2</v>
      </c>
      <c r="I40" s="143" t="s">
        <v>522</v>
      </c>
      <c r="J40" s="144">
        <v>6</v>
      </c>
      <c r="K40" s="296"/>
      <c r="L40" s="297"/>
      <c r="M40" s="298"/>
      <c r="N40" s="299"/>
      <c r="O40" s="323"/>
      <c r="P40" s="297"/>
      <c r="Q40" s="298">
        <v>6</v>
      </c>
      <c r="R40" s="299"/>
      <c r="S40" s="323"/>
      <c r="T40" s="297"/>
      <c r="U40" s="298"/>
      <c r="V40" s="326"/>
      <c r="W40" s="324">
        <f t="shared" ref="W40" si="6">SUM(K40:V40)</f>
        <v>6</v>
      </c>
      <c r="X40" s="325"/>
      <c r="Y40" s="264"/>
    </row>
    <row r="41" spans="2:25" ht="17.25" customHeight="1">
      <c r="B41" s="314"/>
      <c r="C41" s="315"/>
      <c r="D41" s="140" t="s">
        <v>163</v>
      </c>
      <c r="E41" s="141" t="s">
        <v>351</v>
      </c>
      <c r="F41" s="274" t="s">
        <v>529</v>
      </c>
      <c r="G41" s="275"/>
      <c r="H41" s="142">
        <v>2</v>
      </c>
      <c r="I41" s="143" t="s">
        <v>522</v>
      </c>
      <c r="J41" s="144">
        <v>9</v>
      </c>
      <c r="K41" s="296"/>
      <c r="L41" s="297"/>
      <c r="M41" s="298"/>
      <c r="N41" s="299"/>
      <c r="O41" s="323"/>
      <c r="P41" s="297"/>
      <c r="Q41" s="298"/>
      <c r="R41" s="299"/>
      <c r="S41" s="323">
        <v>6</v>
      </c>
      <c r="T41" s="297"/>
      <c r="U41" s="298">
        <v>3</v>
      </c>
      <c r="V41" s="326"/>
      <c r="W41" s="324">
        <f t="shared" si="3"/>
        <v>9</v>
      </c>
      <c r="X41" s="325"/>
      <c r="Y41" s="264"/>
    </row>
    <row r="42" spans="2:25" ht="17.25" customHeight="1">
      <c r="B42" s="314"/>
      <c r="C42" s="315"/>
      <c r="D42" s="140" t="s">
        <v>163</v>
      </c>
      <c r="E42" s="141" t="s">
        <v>351</v>
      </c>
      <c r="F42" s="274" t="s">
        <v>530</v>
      </c>
      <c r="G42" s="275"/>
      <c r="H42" s="142">
        <v>2</v>
      </c>
      <c r="I42" s="143" t="s">
        <v>522</v>
      </c>
      <c r="J42" s="144">
        <v>16</v>
      </c>
      <c r="K42" s="296"/>
      <c r="L42" s="297"/>
      <c r="M42" s="298"/>
      <c r="N42" s="306"/>
      <c r="O42" s="323"/>
      <c r="P42" s="297"/>
      <c r="Q42" s="298"/>
      <c r="R42" s="299"/>
      <c r="S42" s="306">
        <v>8</v>
      </c>
      <c r="T42" s="297"/>
      <c r="U42" s="298">
        <v>8</v>
      </c>
      <c r="V42" s="326"/>
      <c r="W42" s="324">
        <f t="shared" si="3"/>
        <v>16</v>
      </c>
      <c r="X42" s="325"/>
      <c r="Y42" s="264"/>
    </row>
    <row r="43" spans="2:25" ht="17.25" customHeight="1">
      <c r="B43" s="314"/>
      <c r="C43" s="315"/>
      <c r="D43" s="140" t="s">
        <v>163</v>
      </c>
      <c r="E43" s="141" t="s">
        <v>351</v>
      </c>
      <c r="F43" s="274" t="s">
        <v>531</v>
      </c>
      <c r="G43" s="275"/>
      <c r="H43" s="142">
        <v>2</v>
      </c>
      <c r="I43" s="143" t="s">
        <v>522</v>
      </c>
      <c r="J43" s="136">
        <v>12</v>
      </c>
      <c r="K43" s="296"/>
      <c r="L43" s="297"/>
      <c r="M43" s="298"/>
      <c r="N43" s="306"/>
      <c r="O43" s="323"/>
      <c r="P43" s="297"/>
      <c r="Q43" s="298"/>
      <c r="R43" s="299"/>
      <c r="S43" s="306">
        <v>6</v>
      </c>
      <c r="T43" s="297"/>
      <c r="U43" s="298">
        <v>6</v>
      </c>
      <c r="V43" s="326"/>
      <c r="W43" s="324">
        <f t="shared" si="3"/>
        <v>12</v>
      </c>
      <c r="X43" s="325"/>
      <c r="Y43" s="264"/>
    </row>
    <row r="44" spans="2:25" ht="16.5" customHeight="1">
      <c r="B44" s="314"/>
      <c r="C44" s="315"/>
      <c r="D44" s="140" t="s">
        <v>163</v>
      </c>
      <c r="E44" s="141" t="s">
        <v>351</v>
      </c>
      <c r="F44" s="274" t="s">
        <v>532</v>
      </c>
      <c r="G44" s="275"/>
      <c r="H44" s="142">
        <v>2</v>
      </c>
      <c r="I44" s="143" t="s">
        <v>522</v>
      </c>
      <c r="J44" s="136">
        <v>10</v>
      </c>
      <c r="K44" s="318"/>
      <c r="L44" s="319"/>
      <c r="M44" s="298"/>
      <c r="N44" s="306"/>
      <c r="O44" s="323"/>
      <c r="P44" s="297"/>
      <c r="Q44" s="298"/>
      <c r="R44" s="299"/>
      <c r="S44" s="306">
        <v>4</v>
      </c>
      <c r="T44" s="297"/>
      <c r="U44" s="298">
        <v>6</v>
      </c>
      <c r="V44" s="326"/>
      <c r="W44" s="324">
        <f t="shared" si="3"/>
        <v>10</v>
      </c>
      <c r="X44" s="325"/>
      <c r="Y44" s="264"/>
    </row>
    <row r="45" spans="2:25" ht="16.5" customHeight="1" thickBot="1">
      <c r="B45" s="314"/>
      <c r="C45" s="315"/>
      <c r="D45" s="60" t="s">
        <v>163</v>
      </c>
      <c r="E45" s="141" t="s">
        <v>351</v>
      </c>
      <c r="F45" s="274" t="s">
        <v>533</v>
      </c>
      <c r="G45" s="275"/>
      <c r="H45" s="142">
        <v>2</v>
      </c>
      <c r="I45" s="143" t="s">
        <v>519</v>
      </c>
      <c r="J45" s="136">
        <v>6</v>
      </c>
      <c r="K45" s="318"/>
      <c r="L45" s="319"/>
      <c r="M45" s="298"/>
      <c r="N45" s="306"/>
      <c r="O45" s="323"/>
      <c r="P45" s="297"/>
      <c r="Q45" s="298"/>
      <c r="R45" s="299"/>
      <c r="S45" s="306"/>
      <c r="T45" s="297"/>
      <c r="U45" s="298">
        <v>6</v>
      </c>
      <c r="V45" s="326"/>
      <c r="W45" s="324">
        <f t="shared" si="3"/>
        <v>6</v>
      </c>
      <c r="X45" s="325"/>
      <c r="Y45" s="264"/>
    </row>
    <row r="46" spans="2:25" ht="16.5" customHeight="1">
      <c r="B46" s="266" t="s">
        <v>535</v>
      </c>
      <c r="C46" s="266" t="s">
        <v>534</v>
      </c>
      <c r="D46" s="145" t="s">
        <v>163</v>
      </c>
      <c r="E46" s="58" t="s">
        <v>350</v>
      </c>
      <c r="F46" s="300" t="s">
        <v>536</v>
      </c>
      <c r="G46" s="301"/>
      <c r="H46" s="148">
        <v>2</v>
      </c>
      <c r="I46" s="307" t="s">
        <v>519</v>
      </c>
      <c r="J46" s="309">
        <v>8</v>
      </c>
      <c r="K46" s="302"/>
      <c r="L46" s="303"/>
      <c r="M46" s="304"/>
      <c r="N46" s="311"/>
      <c r="O46" s="335"/>
      <c r="P46" s="303"/>
      <c r="Q46" s="304">
        <v>4</v>
      </c>
      <c r="R46" s="305"/>
      <c r="S46" s="311"/>
      <c r="T46" s="303"/>
      <c r="U46" s="352"/>
      <c r="V46" s="353"/>
      <c r="W46" s="270">
        <f>SUM(K46:V47)</f>
        <v>4</v>
      </c>
      <c r="X46" s="271"/>
      <c r="Y46" s="264"/>
    </row>
    <row r="47" spans="2:25" ht="16.5" customHeight="1" thickBot="1">
      <c r="B47" s="267"/>
      <c r="C47" s="267"/>
      <c r="D47" s="59" t="s">
        <v>163</v>
      </c>
      <c r="E47" s="146" t="s">
        <v>350</v>
      </c>
      <c r="F47" s="274" t="s">
        <v>537</v>
      </c>
      <c r="G47" s="275"/>
      <c r="H47" s="142">
        <v>2</v>
      </c>
      <c r="I47" s="308"/>
      <c r="J47" s="310"/>
      <c r="K47" s="296"/>
      <c r="L47" s="297"/>
      <c r="M47" s="298"/>
      <c r="N47" s="299"/>
      <c r="O47" s="323"/>
      <c r="P47" s="297"/>
      <c r="Q47" s="298"/>
      <c r="R47" s="299"/>
      <c r="S47" s="323"/>
      <c r="T47" s="297"/>
      <c r="U47" s="333"/>
      <c r="V47" s="334"/>
      <c r="W47" s="272"/>
      <c r="X47" s="273"/>
      <c r="Y47" s="264"/>
    </row>
    <row r="48" spans="2:25">
      <c r="B48" s="267"/>
      <c r="C48" s="266" t="s">
        <v>534</v>
      </c>
      <c r="D48" s="147" t="s">
        <v>163</v>
      </c>
      <c r="E48" s="58" t="s">
        <v>351</v>
      </c>
      <c r="F48" s="300" t="s">
        <v>538</v>
      </c>
      <c r="G48" s="301"/>
      <c r="H48" s="148">
        <v>2</v>
      </c>
      <c r="I48" s="268" t="s">
        <v>519</v>
      </c>
      <c r="J48" s="310"/>
      <c r="K48" s="302"/>
      <c r="L48" s="303"/>
      <c r="M48" s="304"/>
      <c r="N48" s="305"/>
      <c r="O48" s="335"/>
      <c r="P48" s="303"/>
      <c r="Q48" s="304"/>
      <c r="R48" s="305"/>
      <c r="S48" s="335">
        <v>4</v>
      </c>
      <c r="T48" s="303"/>
      <c r="U48" s="352"/>
      <c r="V48" s="353"/>
      <c r="W48" s="270">
        <f>SUM(K48:V49)</f>
        <v>4</v>
      </c>
      <c r="X48" s="271"/>
      <c r="Y48" s="264"/>
    </row>
    <row r="49" spans="2:29" ht="18" thickBot="1">
      <c r="B49" s="267"/>
      <c r="C49" s="267"/>
      <c r="D49" s="59" t="s">
        <v>163</v>
      </c>
      <c r="E49" s="141" t="s">
        <v>351</v>
      </c>
      <c r="F49" s="274" t="s">
        <v>552</v>
      </c>
      <c r="G49" s="275"/>
      <c r="H49" s="149">
        <v>2</v>
      </c>
      <c r="I49" s="269"/>
      <c r="J49" s="310"/>
      <c r="K49" s="296"/>
      <c r="L49" s="297"/>
      <c r="M49" s="298"/>
      <c r="N49" s="306"/>
      <c r="O49" s="323"/>
      <c r="P49" s="297"/>
      <c r="Q49" s="298"/>
      <c r="R49" s="299"/>
      <c r="S49" s="306"/>
      <c r="T49" s="297"/>
      <c r="U49" s="333"/>
      <c r="V49" s="334"/>
      <c r="W49" s="272"/>
      <c r="X49" s="273"/>
      <c r="Y49" s="264"/>
    </row>
    <row r="50" spans="2:29" ht="24.75" customHeight="1">
      <c r="B50" s="276" t="s">
        <v>355</v>
      </c>
      <c r="C50" s="277"/>
      <c r="D50" s="277"/>
      <c r="E50" s="277"/>
      <c r="F50" s="277"/>
      <c r="G50" s="278"/>
      <c r="H50" s="282">
        <f>SUM(H32:H49)</f>
        <v>36</v>
      </c>
      <c r="I50" s="284">
        <f>SUM(I32:I45)</f>
        <v>0</v>
      </c>
      <c r="J50" s="286">
        <f>SUM(J32:J49)</f>
        <v>104</v>
      </c>
      <c r="K50" s="276">
        <f>SUM(K32:L49)</f>
        <v>7</v>
      </c>
      <c r="L50" s="288"/>
      <c r="M50" s="290">
        <f>SUM(M32:N47)</f>
        <v>9</v>
      </c>
      <c r="N50" s="277"/>
      <c r="O50" s="292">
        <f>SUM(O32:P47)</f>
        <v>16</v>
      </c>
      <c r="P50" s="288"/>
      <c r="Q50" s="290">
        <f>SUM(Q32:R47)</f>
        <v>15</v>
      </c>
      <c r="R50" s="294"/>
      <c r="S50" s="277">
        <f>SUM(S32:T47)</f>
        <v>24</v>
      </c>
      <c r="T50" s="288"/>
      <c r="U50" s="290">
        <f>SUM(U32:V47)</f>
        <v>29</v>
      </c>
      <c r="V50" s="278"/>
      <c r="W50" s="276">
        <v>104</v>
      </c>
      <c r="X50" s="278"/>
      <c r="Y50" s="241">
        <f>SUM(Y32:Y48)</f>
        <v>80</v>
      </c>
      <c r="AC50" s="32"/>
    </row>
    <row r="51" spans="2:29" ht="18" thickBot="1">
      <c r="B51" s="279"/>
      <c r="C51" s="280"/>
      <c r="D51" s="280"/>
      <c r="E51" s="280"/>
      <c r="F51" s="280"/>
      <c r="G51" s="281"/>
      <c r="H51" s="283"/>
      <c r="I51" s="285"/>
      <c r="J51" s="287"/>
      <c r="K51" s="279"/>
      <c r="L51" s="289"/>
      <c r="M51" s="291"/>
      <c r="N51" s="280"/>
      <c r="O51" s="293"/>
      <c r="P51" s="289"/>
      <c r="Q51" s="291"/>
      <c r="R51" s="295"/>
      <c r="S51" s="280"/>
      <c r="T51" s="289"/>
      <c r="U51" s="291"/>
      <c r="V51" s="281"/>
      <c r="W51" s="279"/>
      <c r="X51" s="281"/>
      <c r="Y51" s="242"/>
      <c r="AC51" s="61"/>
    </row>
    <row r="52" spans="2:29" ht="17.25" customHeight="1" thickBot="1">
      <c r="B52" s="213"/>
      <c r="C52" s="214"/>
      <c r="D52" s="214"/>
      <c r="E52" s="214"/>
      <c r="F52" s="214"/>
      <c r="G52" s="215"/>
      <c r="H52" s="33">
        <f>SUM(H31,H50)</f>
        <v>81</v>
      </c>
      <c r="I52" s="34">
        <f>SUM(I31,I50)</f>
        <v>0</v>
      </c>
      <c r="J52" s="36">
        <f>SUM(J31,J50)</f>
        <v>144</v>
      </c>
      <c r="K52" s="213">
        <f>SUM(K31,K50)</f>
        <v>29</v>
      </c>
      <c r="L52" s="240"/>
      <c r="M52" s="239">
        <f>SUM(M31,M50)</f>
        <v>29</v>
      </c>
      <c r="N52" s="216"/>
      <c r="O52" s="217">
        <f>SUM(O31,O50)</f>
        <v>29</v>
      </c>
      <c r="P52" s="240"/>
      <c r="Q52" s="239">
        <f>SUM(Q31,Q50)</f>
        <v>29</v>
      </c>
      <c r="R52" s="216"/>
      <c r="S52" s="217">
        <f>SUM(S31,S50)</f>
        <v>25</v>
      </c>
      <c r="T52" s="240"/>
      <c r="U52" s="239">
        <f>SUM(U31,U50)</f>
        <v>29</v>
      </c>
      <c r="V52" s="215"/>
      <c r="W52" s="213">
        <v>174</v>
      </c>
      <c r="X52" s="215"/>
      <c r="Y52" s="11">
        <f>Y50+Y31</f>
        <v>144</v>
      </c>
      <c r="AA52" s="218" t="s">
        <v>154</v>
      </c>
      <c r="AB52" s="218"/>
    </row>
    <row r="53" spans="2:29" ht="18.75" customHeight="1" thickBot="1">
      <c r="B53" s="244" t="s">
        <v>356</v>
      </c>
      <c r="C53" s="245"/>
      <c r="D53" s="245"/>
      <c r="E53" s="246"/>
      <c r="F53" s="253" t="s">
        <v>352</v>
      </c>
      <c r="G53" s="254"/>
      <c r="H53" s="254"/>
      <c r="I53" s="254"/>
      <c r="J53" s="255"/>
      <c r="K53" s="256">
        <v>16</v>
      </c>
      <c r="L53" s="257"/>
      <c r="M53" s="258">
        <v>16</v>
      </c>
      <c r="N53" s="259"/>
      <c r="O53" s="260">
        <v>16</v>
      </c>
      <c r="P53" s="257"/>
      <c r="Q53" s="258">
        <v>16</v>
      </c>
      <c r="R53" s="259"/>
      <c r="S53" s="260">
        <v>16</v>
      </c>
      <c r="T53" s="257"/>
      <c r="U53" s="258">
        <v>16</v>
      </c>
      <c r="V53" s="261"/>
      <c r="W53" s="244">
        <f>SUM(K53:V55)</f>
        <v>288</v>
      </c>
      <c r="X53" s="246"/>
      <c r="Y53" s="241">
        <f>Y56*16</f>
        <v>288</v>
      </c>
      <c r="AA53" s="243"/>
      <c r="AB53" s="243"/>
    </row>
    <row r="54" spans="2:29" ht="17.25" customHeight="1" thickBot="1">
      <c r="B54" s="247"/>
      <c r="C54" s="248"/>
      <c r="D54" s="248"/>
      <c r="E54" s="249"/>
      <c r="F54" s="234" t="s">
        <v>63</v>
      </c>
      <c r="G54" s="235"/>
      <c r="H54" s="235"/>
      <c r="I54" s="235"/>
      <c r="J54" s="236"/>
      <c r="K54" s="237">
        <v>16</v>
      </c>
      <c r="L54" s="229"/>
      <c r="M54" s="230">
        <v>16</v>
      </c>
      <c r="N54" s="238"/>
      <c r="O54" s="228">
        <v>16</v>
      </c>
      <c r="P54" s="229"/>
      <c r="Q54" s="230">
        <v>16</v>
      </c>
      <c r="R54" s="238"/>
      <c r="S54" s="228">
        <v>16</v>
      </c>
      <c r="T54" s="229"/>
      <c r="U54" s="230">
        <v>16</v>
      </c>
      <c r="V54" s="231"/>
      <c r="W54" s="247"/>
      <c r="X54" s="249"/>
      <c r="Y54" s="264"/>
      <c r="AA54" s="232" t="b">
        <f>W52&gt;=Y52</f>
        <v>1</v>
      </c>
      <c r="AB54" s="233"/>
    </row>
    <row r="55" spans="2:29" ht="17.25" customHeight="1">
      <c r="B55" s="247"/>
      <c r="C55" s="248"/>
      <c r="D55" s="248"/>
      <c r="E55" s="249"/>
      <c r="F55" s="234" t="s">
        <v>11</v>
      </c>
      <c r="G55" s="235"/>
      <c r="H55" s="235"/>
      <c r="I55" s="235"/>
      <c r="J55" s="236"/>
      <c r="K55" s="237">
        <v>16</v>
      </c>
      <c r="L55" s="229"/>
      <c r="M55" s="230">
        <v>16</v>
      </c>
      <c r="N55" s="238"/>
      <c r="O55" s="228">
        <v>16</v>
      </c>
      <c r="P55" s="229"/>
      <c r="Q55" s="230">
        <v>16</v>
      </c>
      <c r="R55" s="238"/>
      <c r="S55" s="228">
        <v>16</v>
      </c>
      <c r="T55" s="229"/>
      <c r="U55" s="230">
        <v>16</v>
      </c>
      <c r="V55" s="231"/>
      <c r="W55" s="262"/>
      <c r="X55" s="263"/>
      <c r="Y55" s="265"/>
    </row>
    <row r="56" spans="2:29" ht="17.25" customHeight="1" thickBot="1">
      <c r="B56" s="250"/>
      <c r="C56" s="251"/>
      <c r="D56" s="251"/>
      <c r="E56" s="252"/>
      <c r="F56" s="219" t="s">
        <v>149</v>
      </c>
      <c r="G56" s="220"/>
      <c r="H56" s="220"/>
      <c r="I56" s="220"/>
      <c r="J56" s="221"/>
      <c r="K56" s="222">
        <v>3</v>
      </c>
      <c r="L56" s="223"/>
      <c r="M56" s="224">
        <v>3</v>
      </c>
      <c r="N56" s="225"/>
      <c r="O56" s="226">
        <v>3</v>
      </c>
      <c r="P56" s="223"/>
      <c r="Q56" s="224">
        <v>3</v>
      </c>
      <c r="R56" s="225"/>
      <c r="S56" s="226">
        <v>3</v>
      </c>
      <c r="T56" s="223"/>
      <c r="U56" s="224">
        <v>3</v>
      </c>
      <c r="V56" s="227"/>
      <c r="W56" s="219">
        <f>SUM(K56:V56)</f>
        <v>18</v>
      </c>
      <c r="X56" s="221"/>
      <c r="Y56" s="62">
        <v>18</v>
      </c>
      <c r="AA56" s="218" t="s">
        <v>155</v>
      </c>
      <c r="AB56" s="218"/>
    </row>
    <row r="57" spans="2:29" ht="17.25" customHeight="1" thickBot="1">
      <c r="B57" s="213"/>
      <c r="C57" s="214"/>
      <c r="D57" s="214"/>
      <c r="E57" s="214"/>
      <c r="F57" s="214"/>
      <c r="G57" s="214"/>
      <c r="H57" s="214"/>
      <c r="I57" s="214"/>
      <c r="J57" s="215"/>
      <c r="K57" s="213">
        <v>32</v>
      </c>
      <c r="L57" s="240"/>
      <c r="M57" s="239">
        <v>32</v>
      </c>
      <c r="N57" s="216"/>
      <c r="O57" s="217">
        <v>32</v>
      </c>
      <c r="P57" s="240"/>
      <c r="Q57" s="239">
        <v>32</v>
      </c>
      <c r="R57" s="216"/>
      <c r="S57" s="217">
        <v>32</v>
      </c>
      <c r="T57" s="240"/>
      <c r="U57" s="239">
        <v>32</v>
      </c>
      <c r="V57" s="215"/>
      <c r="W57" s="213">
        <f>SUM(K57:V57)</f>
        <v>192</v>
      </c>
      <c r="X57" s="215"/>
      <c r="Y57" s="37">
        <f>W57</f>
        <v>192</v>
      </c>
      <c r="AA57" s="232" t="b">
        <f>W56&gt;=Y56</f>
        <v>1</v>
      </c>
      <c r="AB57" s="233"/>
    </row>
    <row r="58" spans="2:29" ht="17.25" customHeight="1" thickBot="1">
      <c r="B58" s="213"/>
      <c r="C58" s="214"/>
      <c r="D58" s="214"/>
      <c r="E58" s="214"/>
      <c r="F58" s="214"/>
      <c r="G58" s="214"/>
      <c r="H58" s="214"/>
      <c r="I58" s="214"/>
      <c r="J58" s="215"/>
      <c r="K58" s="213">
        <f>SUM(K57:N57)</f>
        <v>64</v>
      </c>
      <c r="L58" s="214"/>
      <c r="M58" s="214"/>
      <c r="N58" s="216"/>
      <c r="O58" s="217">
        <f>SUM(O57:R57)</f>
        <v>64</v>
      </c>
      <c r="P58" s="214"/>
      <c r="Q58" s="214"/>
      <c r="R58" s="216"/>
      <c r="S58" s="217">
        <f>SUM(S57:V57)</f>
        <v>64</v>
      </c>
      <c r="T58" s="214"/>
      <c r="U58" s="214"/>
      <c r="V58" s="215"/>
      <c r="W58" s="213">
        <f>SUM(K58:V58)</f>
        <v>192</v>
      </c>
      <c r="X58" s="215"/>
      <c r="Y58" s="11"/>
      <c r="AA58" s="218" t="s">
        <v>153</v>
      </c>
      <c r="AB58" s="218"/>
    </row>
    <row r="59" spans="2:29" ht="17.25" customHeight="1" thickBot="1">
      <c r="AA59" s="232" t="b">
        <f>W57&gt;=Y57</f>
        <v>1</v>
      </c>
      <c r="AB59" s="233"/>
    </row>
    <row r="60" spans="2:29" ht="17.25" customHeight="1"/>
    <row r="61" spans="2:29" ht="17.25" customHeight="1"/>
    <row r="62" spans="2:29" ht="17.25" customHeight="1"/>
    <row r="64" spans="2:29" ht="24.9" customHeight="1"/>
    <row r="65" ht="24.9" customHeight="1"/>
    <row r="66" ht="32.25" customHeight="1"/>
    <row r="67" ht="24.9" customHeight="1"/>
    <row r="69" ht="16.5" customHeight="1"/>
    <row r="70" ht="17.2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244.5" customHeight="1"/>
  </sheetData>
  <mergeCells count="449">
    <mergeCell ref="F37:G37"/>
    <mergeCell ref="K37:L37"/>
    <mergeCell ref="M37:N37"/>
    <mergeCell ref="O37:P37"/>
    <mergeCell ref="Q37:R37"/>
    <mergeCell ref="S37:T37"/>
    <mergeCell ref="U37:V37"/>
    <mergeCell ref="W37:X37"/>
    <mergeCell ref="F35:G35"/>
    <mergeCell ref="K35:L35"/>
    <mergeCell ref="M35:N35"/>
    <mergeCell ref="O35:P35"/>
    <mergeCell ref="Q35:R35"/>
    <mergeCell ref="S35:T35"/>
    <mergeCell ref="U35:V35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F39:G39"/>
    <mergeCell ref="K39:L39"/>
    <mergeCell ref="M39:N39"/>
    <mergeCell ref="O39:P39"/>
    <mergeCell ref="Q39:R39"/>
    <mergeCell ref="S39:T39"/>
    <mergeCell ref="U39:V39"/>
    <mergeCell ref="W39:X39"/>
    <mergeCell ref="F38:G38"/>
    <mergeCell ref="K38:L38"/>
    <mergeCell ref="M38:N38"/>
    <mergeCell ref="O38:P38"/>
    <mergeCell ref="Q38:R38"/>
    <mergeCell ref="S38:T38"/>
    <mergeCell ref="U38:V38"/>
    <mergeCell ref="W38:X38"/>
    <mergeCell ref="S31:T31"/>
    <mergeCell ref="F33:G33"/>
    <mergeCell ref="K33:L33"/>
    <mergeCell ref="M33:N33"/>
    <mergeCell ref="O33:P33"/>
    <mergeCell ref="Q33:R33"/>
    <mergeCell ref="S33:T33"/>
    <mergeCell ref="U33:V33"/>
    <mergeCell ref="W33:X33"/>
    <mergeCell ref="Y21:Y25"/>
    <mergeCell ref="M28:N28"/>
    <mergeCell ref="M29:N29"/>
    <mergeCell ref="O30:P30"/>
    <mergeCell ref="M31:N31"/>
    <mergeCell ref="O31:P31"/>
    <mergeCell ref="O29:P29"/>
    <mergeCell ref="M30:N30"/>
    <mergeCell ref="M32:N32"/>
    <mergeCell ref="O32:P32"/>
    <mergeCell ref="U32:V32"/>
    <mergeCell ref="O28:P28"/>
    <mergeCell ref="S21:T21"/>
    <mergeCell ref="U21:V21"/>
    <mergeCell ref="M22:N22"/>
    <mergeCell ref="O22:P22"/>
    <mergeCell ref="Q22:R22"/>
    <mergeCell ref="S32:T32"/>
    <mergeCell ref="U30:V30"/>
    <mergeCell ref="U31:V31"/>
    <mergeCell ref="W31:X31"/>
    <mergeCell ref="W32:X32"/>
    <mergeCell ref="Q32:R32"/>
    <mergeCell ref="Q31:R31"/>
    <mergeCell ref="S8:T8"/>
    <mergeCell ref="U8:V8"/>
    <mergeCell ref="Q10:R10"/>
    <mergeCell ref="S10:T10"/>
    <mergeCell ref="U10:V10"/>
    <mergeCell ref="U26:V26"/>
    <mergeCell ref="S43:T43"/>
    <mergeCell ref="M43:N43"/>
    <mergeCell ref="O43:P43"/>
    <mergeCell ref="U42:V42"/>
    <mergeCell ref="M34:N34"/>
    <mergeCell ref="M40:N40"/>
    <mergeCell ref="O34:P34"/>
    <mergeCell ref="O40:P40"/>
    <mergeCell ref="S34:T34"/>
    <mergeCell ref="U34:V34"/>
    <mergeCell ref="M11:N11"/>
    <mergeCell ref="O11:P11"/>
    <mergeCell ref="Q11:R11"/>
    <mergeCell ref="S11:T11"/>
    <mergeCell ref="Q30:R30"/>
    <mergeCell ref="S30:T30"/>
    <mergeCell ref="O21:P21"/>
    <mergeCell ref="Q21:R21"/>
    <mergeCell ref="X2:Y2"/>
    <mergeCell ref="B2:U2"/>
    <mergeCell ref="V2:W2"/>
    <mergeCell ref="AA2:AA5"/>
    <mergeCell ref="S44:T44"/>
    <mergeCell ref="U43:V43"/>
    <mergeCell ref="W43:X43"/>
    <mergeCell ref="U44:V44"/>
    <mergeCell ref="W42:X42"/>
    <mergeCell ref="M41:N41"/>
    <mergeCell ref="O41:P41"/>
    <mergeCell ref="M42:N42"/>
    <mergeCell ref="O42:P42"/>
    <mergeCell ref="Q41:R41"/>
    <mergeCell ref="S41:T41"/>
    <mergeCell ref="Q28:R28"/>
    <mergeCell ref="Q29:R29"/>
    <mergeCell ref="S28:T28"/>
    <mergeCell ref="S29:T29"/>
    <mergeCell ref="U28:V28"/>
    <mergeCell ref="U29:V29"/>
    <mergeCell ref="U12:V12"/>
    <mergeCell ref="M10:N10"/>
    <mergeCell ref="O10:P10"/>
    <mergeCell ref="AA16:AB16"/>
    <mergeCell ref="M15:N15"/>
    <mergeCell ref="O15:P15"/>
    <mergeCell ref="Q15:R15"/>
    <mergeCell ref="S15:T15"/>
    <mergeCell ref="U15:V15"/>
    <mergeCell ref="Y9:Y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M9:N9"/>
    <mergeCell ref="X11:X12"/>
    <mergeCell ref="X13:X14"/>
    <mergeCell ref="F13:G13"/>
    <mergeCell ref="K13:L13"/>
    <mergeCell ref="D19:D20"/>
    <mergeCell ref="F19:G19"/>
    <mergeCell ref="K19:L19"/>
    <mergeCell ref="M27:N27"/>
    <mergeCell ref="M21:N21"/>
    <mergeCell ref="Y17:Y20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S19:T19"/>
    <mergeCell ref="U19:V19"/>
    <mergeCell ref="S20:T20"/>
    <mergeCell ref="U20:V20"/>
    <mergeCell ref="X19:X20"/>
    <mergeCell ref="Y15:Y16"/>
    <mergeCell ref="U25:V25"/>
    <mergeCell ref="M24:N24"/>
    <mergeCell ref="O24:P24"/>
    <mergeCell ref="Q24:R24"/>
    <mergeCell ref="S24:T24"/>
    <mergeCell ref="U24:V24"/>
    <mergeCell ref="M23:N23"/>
    <mergeCell ref="B9:C30"/>
    <mergeCell ref="D9:D10"/>
    <mergeCell ref="F9:G9"/>
    <mergeCell ref="K9:L9"/>
    <mergeCell ref="F10:G10"/>
    <mergeCell ref="K10:L10"/>
    <mergeCell ref="M20:N20"/>
    <mergeCell ref="O20:P20"/>
    <mergeCell ref="Q20:R20"/>
    <mergeCell ref="M19:N19"/>
    <mergeCell ref="O19:P19"/>
    <mergeCell ref="Q19:R19"/>
    <mergeCell ref="Q16:R16"/>
    <mergeCell ref="F11:G11"/>
    <mergeCell ref="K11:L11"/>
    <mergeCell ref="D11:D12"/>
    <mergeCell ref="D13:D14"/>
    <mergeCell ref="S49:T49"/>
    <mergeCell ref="U49:V49"/>
    <mergeCell ref="O45:P45"/>
    <mergeCell ref="Q45:R45"/>
    <mergeCell ref="S45:T45"/>
    <mergeCell ref="U45:V45"/>
    <mergeCell ref="W45:X45"/>
    <mergeCell ref="S46:T46"/>
    <mergeCell ref="U46:V46"/>
    <mergeCell ref="W46:X47"/>
    <mergeCell ref="S47:T47"/>
    <mergeCell ref="U47:V47"/>
    <mergeCell ref="O49:P49"/>
    <mergeCell ref="O48:P48"/>
    <mergeCell ref="Q48:R48"/>
    <mergeCell ref="S48:T48"/>
    <mergeCell ref="U48:V48"/>
    <mergeCell ref="O47:P47"/>
    <mergeCell ref="Q47:R47"/>
    <mergeCell ref="O46:P46"/>
    <mergeCell ref="Q46:R46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F12:G12"/>
    <mergeCell ref="K12:L12"/>
    <mergeCell ref="X9:X10"/>
    <mergeCell ref="O9:P9"/>
    <mergeCell ref="Q9:R9"/>
    <mergeCell ref="S9:T9"/>
    <mergeCell ref="U9:V9"/>
    <mergeCell ref="M12:N12"/>
    <mergeCell ref="O12:P12"/>
    <mergeCell ref="Q12:R12"/>
    <mergeCell ref="S12:T12"/>
    <mergeCell ref="U11:V11"/>
    <mergeCell ref="F14:G14"/>
    <mergeCell ref="K14:L14"/>
    <mergeCell ref="F15:G15"/>
    <mergeCell ref="K15:L15"/>
    <mergeCell ref="D15:D18"/>
    <mergeCell ref="X15:X16"/>
    <mergeCell ref="F16:G16"/>
    <mergeCell ref="K16:L16"/>
    <mergeCell ref="F17:G17"/>
    <mergeCell ref="K17:L17"/>
    <mergeCell ref="X17:X18"/>
    <mergeCell ref="F18:G18"/>
    <mergeCell ref="K18:L18"/>
    <mergeCell ref="U16:V16"/>
    <mergeCell ref="M16:N16"/>
    <mergeCell ref="O16:P16"/>
    <mergeCell ref="S16:T16"/>
    <mergeCell ref="F20:G20"/>
    <mergeCell ref="K20:L20"/>
    <mergeCell ref="F21:G21"/>
    <mergeCell ref="K21:L21"/>
    <mergeCell ref="D21:D25"/>
    <mergeCell ref="X21:X25"/>
    <mergeCell ref="F22:G22"/>
    <mergeCell ref="K22:L22"/>
    <mergeCell ref="F23:G23"/>
    <mergeCell ref="K23:L23"/>
    <mergeCell ref="F24:G24"/>
    <mergeCell ref="K24:L24"/>
    <mergeCell ref="F25:G25"/>
    <mergeCell ref="K25:L25"/>
    <mergeCell ref="O23:P23"/>
    <mergeCell ref="Q23:R23"/>
    <mergeCell ref="S23:T23"/>
    <mergeCell ref="U23:V23"/>
    <mergeCell ref="S22:T22"/>
    <mergeCell ref="U22:V22"/>
    <mergeCell ref="M25:N25"/>
    <mergeCell ref="O25:P25"/>
    <mergeCell ref="Q25:R25"/>
    <mergeCell ref="S25:T25"/>
    <mergeCell ref="Y26:Y27"/>
    <mergeCell ref="F27:G27"/>
    <mergeCell ref="K27:L27"/>
    <mergeCell ref="D28:D30"/>
    <mergeCell ref="F28:G28"/>
    <mergeCell ref="K28:L28"/>
    <mergeCell ref="W28:X30"/>
    <mergeCell ref="Y28:Y30"/>
    <mergeCell ref="F29:G29"/>
    <mergeCell ref="K29:L29"/>
    <mergeCell ref="F30:G30"/>
    <mergeCell ref="K30:L30"/>
    <mergeCell ref="O27:P27"/>
    <mergeCell ref="Q27:R27"/>
    <mergeCell ref="S27:T27"/>
    <mergeCell ref="U27:V27"/>
    <mergeCell ref="M26:N26"/>
    <mergeCell ref="O26:P26"/>
    <mergeCell ref="Q26:R26"/>
    <mergeCell ref="S26:T26"/>
    <mergeCell ref="F45:G45"/>
    <mergeCell ref="K45:L45"/>
    <mergeCell ref="M45:N45"/>
    <mergeCell ref="F46:G46"/>
    <mergeCell ref="F47:G47"/>
    <mergeCell ref="D26:D27"/>
    <mergeCell ref="F26:G26"/>
    <mergeCell ref="K26:L26"/>
    <mergeCell ref="W26:X27"/>
    <mergeCell ref="M44:N44"/>
    <mergeCell ref="O44:P44"/>
    <mergeCell ref="W44:X44"/>
    <mergeCell ref="Q43:R43"/>
    <mergeCell ref="Q44:R44"/>
    <mergeCell ref="U41:V41"/>
    <mergeCell ref="W41:X41"/>
    <mergeCell ref="W34:X34"/>
    <mergeCell ref="Q34:R34"/>
    <mergeCell ref="Q40:R40"/>
    <mergeCell ref="S40:T40"/>
    <mergeCell ref="U40:V40"/>
    <mergeCell ref="Q42:R42"/>
    <mergeCell ref="S42:T42"/>
    <mergeCell ref="W40:X40"/>
    <mergeCell ref="C46:C47"/>
    <mergeCell ref="I46:I47"/>
    <mergeCell ref="J46:J49"/>
    <mergeCell ref="K46:L46"/>
    <mergeCell ref="M46:N46"/>
    <mergeCell ref="B31:G31"/>
    <mergeCell ref="K31:L31"/>
    <mergeCell ref="AA31:AB31"/>
    <mergeCell ref="B32:C45"/>
    <mergeCell ref="F32:G32"/>
    <mergeCell ref="K32:L32"/>
    <mergeCell ref="Y32:Y49"/>
    <mergeCell ref="F34:G34"/>
    <mergeCell ref="K34:L34"/>
    <mergeCell ref="F40:G40"/>
    <mergeCell ref="K40:L40"/>
    <mergeCell ref="F41:G41"/>
    <mergeCell ref="K41:L41"/>
    <mergeCell ref="F42:G42"/>
    <mergeCell ref="K42:L42"/>
    <mergeCell ref="F43:G43"/>
    <mergeCell ref="K43:L43"/>
    <mergeCell ref="F44:G44"/>
    <mergeCell ref="K44:L44"/>
    <mergeCell ref="B46:B49"/>
    <mergeCell ref="C48:C49"/>
    <mergeCell ref="I48:I49"/>
    <mergeCell ref="W48:X49"/>
    <mergeCell ref="F49:G49"/>
    <mergeCell ref="B50:G51"/>
    <mergeCell ref="H50:H51"/>
    <mergeCell ref="I50:I51"/>
    <mergeCell ref="J50:J51"/>
    <mergeCell ref="K50:L51"/>
    <mergeCell ref="M50:N51"/>
    <mergeCell ref="O50:P51"/>
    <mergeCell ref="Q50:R51"/>
    <mergeCell ref="S50:T51"/>
    <mergeCell ref="U50:V51"/>
    <mergeCell ref="W50:X51"/>
    <mergeCell ref="K47:L47"/>
    <mergeCell ref="M47:N47"/>
    <mergeCell ref="F48:G48"/>
    <mergeCell ref="K48:L48"/>
    <mergeCell ref="M48:N48"/>
    <mergeCell ref="M49:N49"/>
    <mergeCell ref="Q49:R49"/>
    <mergeCell ref="K49:L49"/>
    <mergeCell ref="Y50:Y51"/>
    <mergeCell ref="W52:X52"/>
    <mergeCell ref="AA52:AB53"/>
    <mergeCell ref="B53:E56"/>
    <mergeCell ref="F53:J53"/>
    <mergeCell ref="K53:L53"/>
    <mergeCell ref="M53:N53"/>
    <mergeCell ref="O53:P53"/>
    <mergeCell ref="Q53:R53"/>
    <mergeCell ref="S53:T53"/>
    <mergeCell ref="U53:V53"/>
    <mergeCell ref="W53:X55"/>
    <mergeCell ref="Y53:Y55"/>
    <mergeCell ref="F54:J54"/>
    <mergeCell ref="K54:L54"/>
    <mergeCell ref="M54:N54"/>
    <mergeCell ref="O54:P54"/>
    <mergeCell ref="Q54:R54"/>
    <mergeCell ref="O55:P55"/>
    <mergeCell ref="Q55:R55"/>
    <mergeCell ref="S55:T55"/>
    <mergeCell ref="U55:V55"/>
    <mergeCell ref="B52:G52"/>
    <mergeCell ref="K52:L52"/>
    <mergeCell ref="Q52:R52"/>
    <mergeCell ref="S52:T52"/>
    <mergeCell ref="U52:V52"/>
    <mergeCell ref="AA59:AB59"/>
    <mergeCell ref="B57:J57"/>
    <mergeCell ref="K57:L57"/>
    <mergeCell ref="M57:N57"/>
    <mergeCell ref="O57:P57"/>
    <mergeCell ref="Q57:R57"/>
    <mergeCell ref="S57:T57"/>
    <mergeCell ref="U57:V57"/>
    <mergeCell ref="W57:X57"/>
    <mergeCell ref="AA57:AB57"/>
    <mergeCell ref="AA8:AD8"/>
    <mergeCell ref="B58:J58"/>
    <mergeCell ref="K58:N58"/>
    <mergeCell ref="O58:R58"/>
    <mergeCell ref="S58:V58"/>
    <mergeCell ref="W58:X58"/>
    <mergeCell ref="AA58:AB58"/>
    <mergeCell ref="F56:J56"/>
    <mergeCell ref="K56:L56"/>
    <mergeCell ref="M56:N56"/>
    <mergeCell ref="O56:P56"/>
    <mergeCell ref="Q56:R56"/>
    <mergeCell ref="S56:T56"/>
    <mergeCell ref="U56:V56"/>
    <mergeCell ref="W56:X56"/>
    <mergeCell ref="AA56:AB56"/>
    <mergeCell ref="S54:T54"/>
    <mergeCell ref="U54:V54"/>
    <mergeCell ref="AA54:AB54"/>
    <mergeCell ref="F55:J55"/>
    <mergeCell ref="K55:L55"/>
    <mergeCell ref="M55:N55"/>
    <mergeCell ref="M52:N52"/>
    <mergeCell ref="O52:P52"/>
  </mergeCells>
  <phoneticPr fontId="9" type="noConversion"/>
  <conditionalFormatting sqref="AA31:AB31 AC51 AA54:AB54 AA57:AB57 AA59:AB59">
    <cfRule type="containsText" dxfId="3" priority="1" operator="containsText" text="FALSE">
      <formula>NOT(ISERROR(SEARCH("FALSE",AA31)))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8BB1-FD63-4EF7-AF09-01D1AFAB2BF9}">
  <sheetPr>
    <pageSetUpPr fitToPage="1"/>
  </sheetPr>
  <dimension ref="B1:AD90"/>
  <sheetViews>
    <sheetView view="pageBreakPreview" zoomScaleNormal="100" zoomScaleSheetLayoutView="100" workbookViewId="0">
      <pane ySplit="8" topLeftCell="A29" activePane="bottomLeft" state="frozen"/>
      <selection pane="bottomLeft" activeCell="E41" sqref="E41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7.89843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12" t="s">
        <v>506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3"/>
      <c r="V2" s="414" t="s">
        <v>130</v>
      </c>
      <c r="W2" s="415"/>
      <c r="X2" s="410">
        <v>2027</v>
      </c>
      <c r="Y2" s="411"/>
      <c r="AA2" s="416" t="s">
        <v>143</v>
      </c>
      <c r="AB2" s="19" t="s">
        <v>144</v>
      </c>
      <c r="AC2" s="31" t="s">
        <v>152</v>
      </c>
      <c r="AD2" s="20" t="s">
        <v>145</v>
      </c>
    </row>
    <row r="3" spans="2:30" ht="18" thickBot="1">
      <c r="B3" s="388" t="s">
        <v>353</v>
      </c>
      <c r="C3" s="390" t="s">
        <v>53</v>
      </c>
      <c r="D3" s="391"/>
      <c r="E3" s="391"/>
      <c r="F3" s="390" t="s">
        <v>64</v>
      </c>
      <c r="G3" s="394"/>
      <c r="H3" s="390" t="s">
        <v>54</v>
      </c>
      <c r="I3" s="391"/>
      <c r="J3" s="391"/>
      <c r="K3" s="390" t="s">
        <v>55</v>
      </c>
      <c r="L3" s="391"/>
      <c r="M3" s="391"/>
      <c r="N3" s="391"/>
      <c r="O3" s="394"/>
      <c r="P3" s="396" t="s">
        <v>56</v>
      </c>
      <c r="Q3" s="397"/>
      <c r="R3" s="397"/>
      <c r="S3" s="397"/>
      <c r="T3" s="397"/>
      <c r="U3" s="397"/>
      <c r="V3" s="397"/>
      <c r="W3" s="397"/>
      <c r="X3" s="397"/>
      <c r="Y3" s="398"/>
      <c r="AA3" s="417"/>
      <c r="AB3" s="21" t="s">
        <v>146</v>
      </c>
      <c r="AC3" s="38" t="s">
        <v>512</v>
      </c>
      <c r="AD3" s="22" t="s">
        <v>514</v>
      </c>
    </row>
    <row r="4" spans="2:30" ht="18" thickBot="1">
      <c r="B4" s="389"/>
      <c r="C4" s="392"/>
      <c r="D4" s="393"/>
      <c r="E4" s="393"/>
      <c r="F4" s="392"/>
      <c r="G4" s="395"/>
      <c r="H4" s="392"/>
      <c r="I4" s="393"/>
      <c r="J4" s="393"/>
      <c r="K4" s="392"/>
      <c r="L4" s="393"/>
      <c r="M4" s="393"/>
      <c r="N4" s="393"/>
      <c r="O4" s="395"/>
      <c r="P4" s="396" t="s">
        <v>127</v>
      </c>
      <c r="Q4" s="397"/>
      <c r="R4" s="397"/>
      <c r="S4" s="397"/>
      <c r="T4" s="396" t="s">
        <v>61</v>
      </c>
      <c r="U4" s="397"/>
      <c r="V4" s="398"/>
      <c r="W4" s="397" t="s">
        <v>128</v>
      </c>
      <c r="X4" s="397"/>
      <c r="Y4" s="398"/>
      <c r="AA4" s="417"/>
      <c r="AB4" s="23" t="s">
        <v>147</v>
      </c>
      <c r="AC4" s="39" t="s">
        <v>513</v>
      </c>
      <c r="AD4" s="22" t="s">
        <v>515</v>
      </c>
    </row>
    <row r="5" spans="2:30" ht="52.8" customHeight="1" thickBot="1">
      <c r="B5" s="63" t="s">
        <v>505</v>
      </c>
      <c r="C5" s="354" t="s">
        <v>507</v>
      </c>
      <c r="D5" s="355"/>
      <c r="E5" s="356"/>
      <c r="F5" s="354" t="s">
        <v>508</v>
      </c>
      <c r="G5" s="357"/>
      <c r="H5" s="358" t="s">
        <v>541</v>
      </c>
      <c r="I5" s="355"/>
      <c r="J5" s="356"/>
      <c r="K5" s="354" t="s">
        <v>733</v>
      </c>
      <c r="L5" s="355"/>
      <c r="M5" s="355"/>
      <c r="N5" s="355"/>
      <c r="O5" s="357"/>
      <c r="P5" s="358" t="s">
        <v>540</v>
      </c>
      <c r="Q5" s="355"/>
      <c r="R5" s="355"/>
      <c r="S5" s="356"/>
      <c r="T5" s="354" t="s">
        <v>34</v>
      </c>
      <c r="U5" s="355"/>
      <c r="V5" s="356"/>
      <c r="W5" s="359" t="s">
        <v>735</v>
      </c>
      <c r="X5" s="360"/>
      <c r="Y5" s="361"/>
      <c r="AA5" s="418"/>
      <c r="AB5" s="200" t="s">
        <v>148</v>
      </c>
      <c r="AC5" s="201" t="s">
        <v>729</v>
      </c>
      <c r="AD5" s="202" t="s">
        <v>730</v>
      </c>
    </row>
    <row r="6" spans="2:30" ht="15.75" customHeight="1" thickBot="1">
      <c r="U6" s="362"/>
      <c r="V6" s="362"/>
      <c r="W6" s="362"/>
      <c r="X6" s="362"/>
      <c r="Y6" s="362"/>
    </row>
    <row r="7" spans="2:30" s="10" customFormat="1" ht="22.5" customHeight="1">
      <c r="B7" s="363" t="s">
        <v>2</v>
      </c>
      <c r="C7" s="364"/>
      <c r="D7" s="367" t="s">
        <v>120</v>
      </c>
      <c r="E7" s="369" t="s">
        <v>57</v>
      </c>
      <c r="F7" s="370"/>
      <c r="G7" s="371"/>
      <c r="H7" s="372" t="s">
        <v>133</v>
      </c>
      <c r="I7" s="375" t="s">
        <v>134</v>
      </c>
      <c r="J7" s="379" t="s">
        <v>135</v>
      </c>
      <c r="K7" s="374" t="s">
        <v>58</v>
      </c>
      <c r="L7" s="375"/>
      <c r="M7" s="375"/>
      <c r="N7" s="376"/>
      <c r="O7" s="377" t="s">
        <v>59</v>
      </c>
      <c r="P7" s="375"/>
      <c r="Q7" s="375"/>
      <c r="R7" s="376"/>
      <c r="S7" s="374" t="s">
        <v>60</v>
      </c>
      <c r="T7" s="375"/>
      <c r="U7" s="375"/>
      <c r="V7" s="378"/>
      <c r="W7" s="372" t="s">
        <v>136</v>
      </c>
      <c r="X7" s="379"/>
      <c r="Y7" s="371" t="s">
        <v>137</v>
      </c>
      <c r="Z7" s="9"/>
    </row>
    <row r="8" spans="2:30" s="10" customFormat="1" ht="22.5" customHeight="1" thickBot="1">
      <c r="B8" s="365"/>
      <c r="C8" s="366"/>
      <c r="D8" s="368"/>
      <c r="E8" s="24" t="s">
        <v>18</v>
      </c>
      <c r="F8" s="382" t="s">
        <v>19</v>
      </c>
      <c r="G8" s="383"/>
      <c r="H8" s="373"/>
      <c r="I8" s="385"/>
      <c r="J8" s="380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419"/>
      <c r="W8" s="373"/>
      <c r="X8" s="380"/>
      <c r="Y8" s="381"/>
      <c r="AA8" s="212" t="s">
        <v>493</v>
      </c>
      <c r="AB8" s="212"/>
      <c r="AC8" s="212"/>
      <c r="AD8" s="212"/>
    </row>
    <row r="9" spans="2:30" ht="16.5" customHeight="1" thickBot="1">
      <c r="B9" s="399" t="s">
        <v>337</v>
      </c>
      <c r="C9" s="400"/>
      <c r="D9" s="320" t="s">
        <v>21</v>
      </c>
      <c r="E9" s="40" t="s">
        <v>12</v>
      </c>
      <c r="F9" s="302" t="s">
        <v>201</v>
      </c>
      <c r="G9" s="322"/>
      <c r="H9" s="41">
        <v>4</v>
      </c>
      <c r="I9" s="42" t="s">
        <v>338</v>
      </c>
      <c r="J9" s="135">
        <v>4</v>
      </c>
      <c r="K9" s="302">
        <v>4</v>
      </c>
      <c r="L9" s="303"/>
      <c r="M9" s="304"/>
      <c r="N9" s="305"/>
      <c r="O9" s="335"/>
      <c r="P9" s="303"/>
      <c r="Q9" s="304"/>
      <c r="R9" s="305"/>
      <c r="S9" s="335"/>
      <c r="T9" s="303"/>
      <c r="U9" s="352"/>
      <c r="V9" s="353"/>
      <c r="W9" s="43">
        <f>SUM(K9:V9)</f>
        <v>4</v>
      </c>
      <c r="X9" s="345">
        <f>SUM(W9:W10)</f>
        <v>8</v>
      </c>
      <c r="Y9" s="327">
        <v>24</v>
      </c>
      <c r="AA9" s="124" t="s">
        <v>18</v>
      </c>
      <c r="AB9" s="125" t="s">
        <v>498</v>
      </c>
      <c r="AC9" s="125" t="s">
        <v>499</v>
      </c>
      <c r="AD9" s="126" t="s">
        <v>500</v>
      </c>
    </row>
    <row r="10" spans="2:30" ht="18" thickBot="1">
      <c r="B10" s="401"/>
      <c r="C10" s="402"/>
      <c r="D10" s="321"/>
      <c r="E10" s="44" t="s">
        <v>12</v>
      </c>
      <c r="F10" s="296" t="s">
        <v>202</v>
      </c>
      <c r="G10" s="326"/>
      <c r="H10" s="45">
        <v>4</v>
      </c>
      <c r="I10" s="46" t="s">
        <v>338</v>
      </c>
      <c r="J10" s="136">
        <v>4</v>
      </c>
      <c r="K10" s="296"/>
      <c r="L10" s="297"/>
      <c r="M10" s="298">
        <v>4</v>
      </c>
      <c r="N10" s="299"/>
      <c r="O10" s="323"/>
      <c r="P10" s="297"/>
      <c r="Q10" s="298"/>
      <c r="R10" s="299"/>
      <c r="S10" s="323"/>
      <c r="T10" s="297"/>
      <c r="U10" s="333"/>
      <c r="V10" s="334"/>
      <c r="W10" s="47">
        <f t="shared" ref="W10:W20" si="0">SUM(K10:V10)</f>
        <v>4</v>
      </c>
      <c r="X10" s="351"/>
      <c r="Y10" s="327"/>
      <c r="AA10" s="127" t="s">
        <v>495</v>
      </c>
      <c r="AB10" s="128">
        <v>4</v>
      </c>
      <c r="AC10" s="128">
        <v>-1</v>
      </c>
      <c r="AD10" s="22" t="s">
        <v>338</v>
      </c>
    </row>
    <row r="11" spans="2:30" ht="18" thickBot="1">
      <c r="B11" s="401"/>
      <c r="C11" s="402"/>
      <c r="D11" s="320" t="s">
        <v>5</v>
      </c>
      <c r="E11" s="40" t="s">
        <v>12</v>
      </c>
      <c r="F11" s="302" t="s">
        <v>213</v>
      </c>
      <c r="G11" s="322"/>
      <c r="H11" s="41">
        <v>4</v>
      </c>
      <c r="I11" s="42" t="s">
        <v>338</v>
      </c>
      <c r="J11" s="135">
        <v>4</v>
      </c>
      <c r="K11" s="302"/>
      <c r="L11" s="303"/>
      <c r="M11" s="304"/>
      <c r="N11" s="305"/>
      <c r="O11" s="335">
        <v>4</v>
      </c>
      <c r="P11" s="303"/>
      <c r="Q11" s="304"/>
      <c r="R11" s="305"/>
      <c r="S11" s="335"/>
      <c r="T11" s="303"/>
      <c r="U11" s="352"/>
      <c r="V11" s="353"/>
      <c r="W11" s="43">
        <f t="shared" si="0"/>
        <v>4</v>
      </c>
      <c r="X11" s="345">
        <f>SUM(W11:W12)</f>
        <v>8</v>
      </c>
      <c r="Y11" s="327"/>
      <c r="AA11" s="127" t="s">
        <v>496</v>
      </c>
      <c r="AB11" s="128">
        <v>4</v>
      </c>
      <c r="AC11" s="128" t="s">
        <v>504</v>
      </c>
      <c r="AD11" s="22" t="s">
        <v>340</v>
      </c>
    </row>
    <row r="12" spans="2:30" ht="18" thickBot="1">
      <c r="B12" s="401"/>
      <c r="C12" s="402"/>
      <c r="D12" s="321"/>
      <c r="E12" s="44" t="s">
        <v>12</v>
      </c>
      <c r="F12" s="296" t="s">
        <v>215</v>
      </c>
      <c r="G12" s="326"/>
      <c r="H12" s="45">
        <v>4</v>
      </c>
      <c r="I12" s="46" t="s">
        <v>338</v>
      </c>
      <c r="J12" s="136">
        <v>4</v>
      </c>
      <c r="K12" s="296"/>
      <c r="L12" s="297"/>
      <c r="M12" s="298"/>
      <c r="N12" s="299"/>
      <c r="O12" s="323"/>
      <c r="P12" s="297"/>
      <c r="Q12" s="298">
        <v>4</v>
      </c>
      <c r="R12" s="299"/>
      <c r="S12" s="323"/>
      <c r="T12" s="297"/>
      <c r="U12" s="333"/>
      <c r="V12" s="334"/>
      <c r="W12" s="47">
        <f t="shared" si="0"/>
        <v>4</v>
      </c>
      <c r="X12" s="351"/>
      <c r="Y12" s="327"/>
      <c r="AA12" s="127" t="s">
        <v>497</v>
      </c>
      <c r="AB12" s="128">
        <v>3</v>
      </c>
      <c r="AC12" s="128" t="s">
        <v>504</v>
      </c>
      <c r="AD12" s="22" t="s">
        <v>345</v>
      </c>
    </row>
    <row r="13" spans="2:30" ht="18" thickBot="1">
      <c r="B13" s="401"/>
      <c r="C13" s="402"/>
      <c r="D13" s="320" t="s">
        <v>6</v>
      </c>
      <c r="E13" s="40" t="s">
        <v>12</v>
      </c>
      <c r="F13" s="302" t="s">
        <v>220</v>
      </c>
      <c r="G13" s="322"/>
      <c r="H13" s="41">
        <v>4</v>
      </c>
      <c r="I13" s="42" t="s">
        <v>338</v>
      </c>
      <c r="J13" s="135">
        <v>4</v>
      </c>
      <c r="K13" s="302">
        <v>4</v>
      </c>
      <c r="L13" s="303"/>
      <c r="M13" s="304"/>
      <c r="N13" s="305"/>
      <c r="O13" s="335"/>
      <c r="P13" s="303"/>
      <c r="Q13" s="304"/>
      <c r="R13" s="305"/>
      <c r="S13" s="335"/>
      <c r="T13" s="303"/>
      <c r="U13" s="352"/>
      <c r="V13" s="353"/>
      <c r="W13" s="43">
        <f t="shared" si="0"/>
        <v>4</v>
      </c>
      <c r="X13" s="345">
        <f>SUM(W13:W14)</f>
        <v>8</v>
      </c>
      <c r="Y13" s="327"/>
    </row>
    <row r="14" spans="2:30" ht="18" thickBot="1">
      <c r="B14" s="401"/>
      <c r="C14" s="402"/>
      <c r="D14" s="321"/>
      <c r="E14" s="44" t="s">
        <v>12</v>
      </c>
      <c r="F14" s="296" t="s">
        <v>226</v>
      </c>
      <c r="G14" s="326"/>
      <c r="H14" s="45">
        <v>4</v>
      </c>
      <c r="I14" s="46" t="s">
        <v>338</v>
      </c>
      <c r="J14" s="136">
        <v>4</v>
      </c>
      <c r="K14" s="296"/>
      <c r="L14" s="297"/>
      <c r="M14" s="298">
        <v>4</v>
      </c>
      <c r="N14" s="299"/>
      <c r="O14" s="323"/>
      <c r="P14" s="297"/>
      <c r="Q14" s="298"/>
      <c r="R14" s="299"/>
      <c r="S14" s="323"/>
      <c r="T14" s="297"/>
      <c r="U14" s="333"/>
      <c r="V14" s="334"/>
      <c r="W14" s="47">
        <f t="shared" si="0"/>
        <v>4</v>
      </c>
      <c r="X14" s="351"/>
      <c r="Y14" s="327"/>
    </row>
    <row r="15" spans="2:30" ht="18" thickBot="1">
      <c r="B15" s="401"/>
      <c r="C15" s="402"/>
      <c r="D15" s="320" t="s">
        <v>341</v>
      </c>
      <c r="E15" s="40" t="s">
        <v>12</v>
      </c>
      <c r="F15" s="302" t="s">
        <v>234</v>
      </c>
      <c r="G15" s="322"/>
      <c r="H15" s="41">
        <v>3</v>
      </c>
      <c r="I15" s="52" t="s">
        <v>342</v>
      </c>
      <c r="J15" s="135">
        <v>3</v>
      </c>
      <c r="K15" s="343">
        <v>3</v>
      </c>
      <c r="L15" s="344"/>
      <c r="M15" s="405"/>
      <c r="N15" s="406"/>
      <c r="O15" s="407"/>
      <c r="P15" s="344"/>
      <c r="Q15" s="405"/>
      <c r="R15" s="406"/>
      <c r="S15" s="407"/>
      <c r="T15" s="344"/>
      <c r="U15" s="408"/>
      <c r="V15" s="409"/>
      <c r="W15" s="43">
        <f t="shared" si="0"/>
        <v>3</v>
      </c>
      <c r="X15" s="345">
        <f>SUM(W15:W16)</f>
        <v>6</v>
      </c>
      <c r="Y15" s="327">
        <v>6</v>
      </c>
    </row>
    <row r="16" spans="2:30" ht="18" thickBot="1">
      <c r="B16" s="401"/>
      <c r="C16" s="402"/>
      <c r="D16" s="321"/>
      <c r="E16" s="53" t="s">
        <v>12</v>
      </c>
      <c r="F16" s="347" t="s">
        <v>235</v>
      </c>
      <c r="G16" s="348"/>
      <c r="H16" s="54">
        <v>3</v>
      </c>
      <c r="I16" s="55" t="s">
        <v>342</v>
      </c>
      <c r="J16" s="137">
        <v>3</v>
      </c>
      <c r="K16" s="330"/>
      <c r="L16" s="332"/>
      <c r="M16" s="340">
        <v>3</v>
      </c>
      <c r="N16" s="341"/>
      <c r="O16" s="342"/>
      <c r="P16" s="332"/>
      <c r="Q16" s="340"/>
      <c r="R16" s="341"/>
      <c r="S16" s="342"/>
      <c r="T16" s="332"/>
      <c r="U16" s="349"/>
      <c r="V16" s="350"/>
      <c r="W16" s="56">
        <f t="shared" si="0"/>
        <v>3</v>
      </c>
      <c r="X16" s="346"/>
      <c r="Y16" s="327"/>
      <c r="AA16" s="218"/>
      <c r="AB16" s="218"/>
      <c r="AC16" s="132"/>
    </row>
    <row r="17" spans="2:28" ht="18" thickBot="1">
      <c r="B17" s="401"/>
      <c r="C17" s="402"/>
      <c r="D17" s="321"/>
      <c r="E17" s="40" t="s">
        <v>12</v>
      </c>
      <c r="F17" s="302" t="s">
        <v>237</v>
      </c>
      <c r="G17" s="322"/>
      <c r="H17" s="41">
        <v>4</v>
      </c>
      <c r="I17" s="52" t="s">
        <v>338</v>
      </c>
      <c r="J17" s="135">
        <v>4</v>
      </c>
      <c r="K17" s="302">
        <v>4</v>
      </c>
      <c r="L17" s="303"/>
      <c r="M17" s="304"/>
      <c r="N17" s="305"/>
      <c r="O17" s="335"/>
      <c r="P17" s="303"/>
      <c r="Q17" s="304"/>
      <c r="R17" s="305"/>
      <c r="S17" s="335"/>
      <c r="T17" s="303"/>
      <c r="U17" s="352"/>
      <c r="V17" s="353"/>
      <c r="W17" s="43">
        <f t="shared" si="0"/>
        <v>4</v>
      </c>
      <c r="X17" s="345">
        <f>SUM(W17:W18)</f>
        <v>8</v>
      </c>
      <c r="Y17" s="327">
        <v>12</v>
      </c>
    </row>
    <row r="18" spans="2:28" ht="18" thickBot="1">
      <c r="B18" s="401"/>
      <c r="C18" s="402"/>
      <c r="D18" s="336"/>
      <c r="E18" s="51" t="s">
        <v>12</v>
      </c>
      <c r="F18" s="330" t="s">
        <v>238</v>
      </c>
      <c r="G18" s="331"/>
      <c r="H18" s="49">
        <v>4</v>
      </c>
      <c r="I18" s="50" t="s">
        <v>338</v>
      </c>
      <c r="J18" s="138">
        <v>4</v>
      </c>
      <c r="K18" s="330"/>
      <c r="L18" s="332"/>
      <c r="M18" s="340">
        <v>4</v>
      </c>
      <c r="N18" s="341"/>
      <c r="O18" s="342"/>
      <c r="P18" s="332"/>
      <c r="Q18" s="340"/>
      <c r="R18" s="341"/>
      <c r="S18" s="342"/>
      <c r="T18" s="332"/>
      <c r="U18" s="349"/>
      <c r="V18" s="350"/>
      <c r="W18" s="56">
        <f t="shared" si="0"/>
        <v>4</v>
      </c>
      <c r="X18" s="346"/>
      <c r="Y18" s="327"/>
    </row>
    <row r="19" spans="2:28" ht="18" thickBot="1">
      <c r="B19" s="401"/>
      <c r="C19" s="402"/>
      <c r="D19" s="320" t="s">
        <v>26</v>
      </c>
      <c r="E19" s="40" t="s">
        <v>12</v>
      </c>
      <c r="F19" s="302" t="s">
        <v>255</v>
      </c>
      <c r="G19" s="322"/>
      <c r="H19" s="41">
        <v>4</v>
      </c>
      <c r="I19" s="52" t="s">
        <v>338</v>
      </c>
      <c r="J19" s="135">
        <v>4</v>
      </c>
      <c r="K19" s="302"/>
      <c r="L19" s="303"/>
      <c r="M19" s="304"/>
      <c r="N19" s="305"/>
      <c r="O19" s="335">
        <v>4</v>
      </c>
      <c r="P19" s="303"/>
      <c r="Q19" s="304"/>
      <c r="R19" s="305"/>
      <c r="S19" s="335"/>
      <c r="T19" s="303"/>
      <c r="U19" s="352"/>
      <c r="V19" s="353"/>
      <c r="W19" s="43">
        <f t="shared" si="0"/>
        <v>4</v>
      </c>
      <c r="X19" s="400">
        <f>SUM(W19:W20)</f>
        <v>8</v>
      </c>
      <c r="Y19" s="327"/>
    </row>
    <row r="20" spans="2:28" ht="18" thickBot="1">
      <c r="B20" s="401"/>
      <c r="C20" s="402"/>
      <c r="D20" s="321"/>
      <c r="E20" s="44" t="s">
        <v>12</v>
      </c>
      <c r="F20" s="296" t="s">
        <v>256</v>
      </c>
      <c r="G20" s="326"/>
      <c r="H20" s="45">
        <v>4</v>
      </c>
      <c r="I20" s="46" t="s">
        <v>338</v>
      </c>
      <c r="J20" s="136">
        <v>4</v>
      </c>
      <c r="K20" s="296"/>
      <c r="L20" s="297"/>
      <c r="M20" s="298"/>
      <c r="N20" s="299"/>
      <c r="O20" s="323"/>
      <c r="P20" s="297"/>
      <c r="Q20" s="298">
        <v>4</v>
      </c>
      <c r="R20" s="299"/>
      <c r="S20" s="323"/>
      <c r="T20" s="297"/>
      <c r="U20" s="333"/>
      <c r="V20" s="334"/>
      <c r="W20" s="47">
        <f t="shared" si="0"/>
        <v>4</v>
      </c>
      <c r="X20" s="402"/>
      <c r="Y20" s="327"/>
    </row>
    <row r="21" spans="2:28" ht="16.5" customHeight="1" thickBot="1">
      <c r="B21" s="401"/>
      <c r="C21" s="402"/>
      <c r="D21" s="320" t="s">
        <v>8</v>
      </c>
      <c r="E21" s="40" t="s">
        <v>343</v>
      </c>
      <c r="F21" s="302" t="s">
        <v>344</v>
      </c>
      <c r="G21" s="322"/>
      <c r="H21" s="41">
        <v>3</v>
      </c>
      <c r="I21" s="52" t="s">
        <v>345</v>
      </c>
      <c r="J21" s="135">
        <f t="shared" ref="J21:J22" si="1">SUM(K21:V21)</f>
        <v>2</v>
      </c>
      <c r="K21" s="302">
        <v>2</v>
      </c>
      <c r="L21" s="303"/>
      <c r="M21" s="304"/>
      <c r="N21" s="305"/>
      <c r="O21" s="335"/>
      <c r="P21" s="303"/>
      <c r="Q21" s="304"/>
      <c r="R21" s="305"/>
      <c r="S21" s="335"/>
      <c r="T21" s="303"/>
      <c r="U21" s="352"/>
      <c r="V21" s="353"/>
      <c r="W21" s="43">
        <f>SUM(K21:V21)</f>
        <v>2</v>
      </c>
      <c r="X21" s="337">
        <f>SUM(W21:W25)</f>
        <v>8</v>
      </c>
      <c r="Y21" s="327">
        <v>8</v>
      </c>
    </row>
    <row r="22" spans="2:28" ht="18" thickBot="1">
      <c r="B22" s="401"/>
      <c r="C22" s="402"/>
      <c r="D22" s="321"/>
      <c r="E22" s="44" t="s">
        <v>343</v>
      </c>
      <c r="F22" s="296" t="s">
        <v>346</v>
      </c>
      <c r="G22" s="326"/>
      <c r="H22" s="45">
        <v>3</v>
      </c>
      <c r="I22" s="46" t="s">
        <v>345</v>
      </c>
      <c r="J22" s="136">
        <f t="shared" si="1"/>
        <v>2</v>
      </c>
      <c r="K22" s="296"/>
      <c r="L22" s="297"/>
      <c r="M22" s="298">
        <v>2</v>
      </c>
      <c r="N22" s="299"/>
      <c r="O22" s="323"/>
      <c r="P22" s="297"/>
      <c r="Q22" s="298"/>
      <c r="R22" s="299"/>
      <c r="S22" s="323"/>
      <c r="T22" s="297"/>
      <c r="U22" s="333"/>
      <c r="V22" s="334"/>
      <c r="W22" s="47">
        <f t="shared" ref="W22:W25" si="2">SUM(K22:V22)</f>
        <v>2</v>
      </c>
      <c r="X22" s="338"/>
      <c r="Y22" s="327"/>
    </row>
    <row r="23" spans="2:28" ht="18" thickBot="1">
      <c r="B23" s="401"/>
      <c r="C23" s="402"/>
      <c r="D23" s="321"/>
      <c r="E23" s="44" t="s">
        <v>339</v>
      </c>
      <c r="F23" s="296" t="s">
        <v>361</v>
      </c>
      <c r="G23" s="326"/>
      <c r="H23" s="45">
        <v>3</v>
      </c>
      <c r="I23" s="46" t="s">
        <v>347</v>
      </c>
      <c r="J23" s="136">
        <v>1</v>
      </c>
      <c r="K23" s="296"/>
      <c r="L23" s="297"/>
      <c r="M23" s="298"/>
      <c r="N23" s="299"/>
      <c r="O23" s="323">
        <v>1</v>
      </c>
      <c r="P23" s="297"/>
      <c r="Q23" s="298"/>
      <c r="R23" s="299"/>
      <c r="S23" s="323"/>
      <c r="T23" s="297"/>
      <c r="U23" s="333"/>
      <c r="V23" s="334"/>
      <c r="W23" s="47">
        <f t="shared" si="2"/>
        <v>1</v>
      </c>
      <c r="X23" s="338"/>
      <c r="Y23" s="327"/>
    </row>
    <row r="24" spans="2:28" ht="18" thickBot="1">
      <c r="B24" s="401"/>
      <c r="C24" s="402"/>
      <c r="D24" s="321"/>
      <c r="E24" s="44" t="s">
        <v>339</v>
      </c>
      <c r="F24" s="296" t="s">
        <v>516</v>
      </c>
      <c r="G24" s="326"/>
      <c r="H24" s="45">
        <v>3</v>
      </c>
      <c r="I24" s="46" t="s">
        <v>345</v>
      </c>
      <c r="J24" s="136">
        <v>2</v>
      </c>
      <c r="K24" s="296"/>
      <c r="L24" s="297"/>
      <c r="M24" s="298"/>
      <c r="N24" s="299"/>
      <c r="O24" s="323"/>
      <c r="P24" s="297"/>
      <c r="Q24" s="298">
        <v>2</v>
      </c>
      <c r="R24" s="299"/>
      <c r="S24" s="323"/>
      <c r="T24" s="297"/>
      <c r="U24" s="333"/>
      <c r="V24" s="334"/>
      <c r="W24" s="47">
        <f t="shared" si="2"/>
        <v>2</v>
      </c>
      <c r="X24" s="338"/>
      <c r="Y24" s="327"/>
    </row>
    <row r="25" spans="2:28" ht="18" thickBot="1">
      <c r="B25" s="401"/>
      <c r="C25" s="402"/>
      <c r="D25" s="336"/>
      <c r="E25" s="51" t="s">
        <v>339</v>
      </c>
      <c r="F25" s="330" t="s">
        <v>517</v>
      </c>
      <c r="G25" s="331"/>
      <c r="H25" s="49">
        <v>2</v>
      </c>
      <c r="I25" s="50" t="s">
        <v>347</v>
      </c>
      <c r="J25" s="138">
        <v>1</v>
      </c>
      <c r="K25" s="330"/>
      <c r="L25" s="332"/>
      <c r="M25" s="340"/>
      <c r="N25" s="341"/>
      <c r="O25" s="342"/>
      <c r="P25" s="332"/>
      <c r="Q25" s="340"/>
      <c r="R25" s="341"/>
      <c r="S25" s="342">
        <v>1</v>
      </c>
      <c r="T25" s="332"/>
      <c r="U25" s="349"/>
      <c r="V25" s="350"/>
      <c r="W25" s="56">
        <f t="shared" si="2"/>
        <v>1</v>
      </c>
      <c r="X25" s="339"/>
      <c r="Y25" s="327"/>
    </row>
    <row r="26" spans="2:28" ht="18" thickBot="1">
      <c r="B26" s="401"/>
      <c r="C26" s="402"/>
      <c r="D26" s="320" t="s">
        <v>28</v>
      </c>
      <c r="E26" s="40" t="s">
        <v>343</v>
      </c>
      <c r="F26" s="302" t="s">
        <v>47</v>
      </c>
      <c r="G26" s="322"/>
      <c r="H26" s="41">
        <v>3</v>
      </c>
      <c r="I26" s="57" t="s">
        <v>345</v>
      </c>
      <c r="J26" s="135">
        <v>4</v>
      </c>
      <c r="K26" s="302"/>
      <c r="L26" s="303"/>
      <c r="M26" s="304"/>
      <c r="N26" s="305"/>
      <c r="O26" s="335">
        <v>4</v>
      </c>
      <c r="P26" s="303"/>
      <c r="Q26" s="304"/>
      <c r="R26" s="305"/>
      <c r="S26" s="335"/>
      <c r="T26" s="303"/>
      <c r="U26" s="352"/>
      <c r="V26" s="353"/>
      <c r="W26" s="270">
        <f>SUM(K26:V27)</f>
        <v>8</v>
      </c>
      <c r="X26" s="271"/>
      <c r="Y26" s="327">
        <v>6</v>
      </c>
    </row>
    <row r="27" spans="2:28" ht="18" thickBot="1">
      <c r="B27" s="401"/>
      <c r="C27" s="402"/>
      <c r="D27" s="321"/>
      <c r="E27" s="48" t="s">
        <v>343</v>
      </c>
      <c r="F27" s="296" t="s">
        <v>283</v>
      </c>
      <c r="G27" s="326"/>
      <c r="H27" s="45">
        <v>3</v>
      </c>
      <c r="I27" s="46" t="s">
        <v>345</v>
      </c>
      <c r="J27" s="136">
        <v>4</v>
      </c>
      <c r="K27" s="296"/>
      <c r="L27" s="297"/>
      <c r="M27" s="298"/>
      <c r="N27" s="299"/>
      <c r="O27" s="323"/>
      <c r="P27" s="297"/>
      <c r="Q27" s="298">
        <v>4</v>
      </c>
      <c r="R27" s="299"/>
      <c r="S27" s="323"/>
      <c r="T27" s="297"/>
      <c r="U27" s="333"/>
      <c r="V27" s="334"/>
      <c r="W27" s="272"/>
      <c r="X27" s="273"/>
      <c r="Y27" s="327"/>
    </row>
    <row r="28" spans="2:28" ht="16.5" customHeight="1" thickBot="1">
      <c r="B28" s="401"/>
      <c r="C28" s="402"/>
      <c r="D28" s="328" t="s">
        <v>348</v>
      </c>
      <c r="E28" s="40" t="s">
        <v>339</v>
      </c>
      <c r="F28" s="302" t="s">
        <v>50</v>
      </c>
      <c r="G28" s="322"/>
      <c r="H28" s="41">
        <v>3</v>
      </c>
      <c r="I28" s="52" t="s">
        <v>345</v>
      </c>
      <c r="J28" s="135">
        <v>2</v>
      </c>
      <c r="K28" s="302">
        <v>2</v>
      </c>
      <c r="L28" s="303"/>
      <c r="M28" s="304"/>
      <c r="N28" s="305"/>
      <c r="O28" s="335"/>
      <c r="P28" s="303"/>
      <c r="Q28" s="304"/>
      <c r="R28" s="305"/>
      <c r="S28" s="335"/>
      <c r="T28" s="303"/>
      <c r="U28" s="352"/>
      <c r="V28" s="353"/>
      <c r="W28" s="270">
        <f>SUM(K28:V30)</f>
        <v>8</v>
      </c>
      <c r="X28" s="271"/>
      <c r="Y28" s="327">
        <v>8</v>
      </c>
    </row>
    <row r="29" spans="2:28" ht="16.5" customHeight="1" thickBot="1">
      <c r="B29" s="401"/>
      <c r="C29" s="402"/>
      <c r="D29" s="329"/>
      <c r="E29" s="48" t="s">
        <v>343</v>
      </c>
      <c r="F29" s="296" t="s">
        <v>748</v>
      </c>
      <c r="G29" s="326"/>
      <c r="H29" s="45">
        <v>3</v>
      </c>
      <c r="I29" s="46" t="s">
        <v>345</v>
      </c>
      <c r="J29" s="136">
        <v>3</v>
      </c>
      <c r="K29" s="296">
        <v>3</v>
      </c>
      <c r="L29" s="297"/>
      <c r="M29" s="298"/>
      <c r="N29" s="299"/>
      <c r="O29" s="323"/>
      <c r="P29" s="297"/>
      <c r="Q29" s="298"/>
      <c r="R29" s="299"/>
      <c r="S29" s="323"/>
      <c r="T29" s="297"/>
      <c r="U29" s="333"/>
      <c r="V29" s="334"/>
      <c r="W29" s="272"/>
      <c r="X29" s="273"/>
      <c r="Y29" s="327"/>
    </row>
    <row r="30" spans="2:28" ht="18" thickBot="1">
      <c r="B30" s="403"/>
      <c r="C30" s="404"/>
      <c r="D30" s="329"/>
      <c r="E30" s="48" t="s">
        <v>343</v>
      </c>
      <c r="F30" s="330" t="s">
        <v>749</v>
      </c>
      <c r="G30" s="331"/>
      <c r="H30" s="49">
        <v>3</v>
      </c>
      <c r="I30" s="50" t="s">
        <v>345</v>
      </c>
      <c r="J30" s="138">
        <v>3</v>
      </c>
      <c r="K30" s="330"/>
      <c r="L30" s="332"/>
      <c r="M30" s="340">
        <v>3</v>
      </c>
      <c r="N30" s="341"/>
      <c r="O30" s="323"/>
      <c r="P30" s="297"/>
      <c r="Q30" s="298"/>
      <c r="R30" s="299"/>
      <c r="S30" s="323"/>
      <c r="T30" s="297"/>
      <c r="U30" s="333"/>
      <c r="V30" s="334"/>
      <c r="W30" s="272"/>
      <c r="X30" s="273"/>
      <c r="Y30" s="327"/>
    </row>
    <row r="31" spans="2:28" ht="24.75" customHeight="1" thickBot="1">
      <c r="B31" s="213" t="s">
        <v>354</v>
      </c>
      <c r="C31" s="214"/>
      <c r="D31" s="214"/>
      <c r="E31" s="214"/>
      <c r="F31" s="214"/>
      <c r="G31" s="215"/>
      <c r="H31" s="131">
        <f>SUM(H17:H30)</f>
        <v>45</v>
      </c>
      <c r="I31" s="18"/>
      <c r="J31" s="130">
        <f>SUM(J17:J30)</f>
        <v>40</v>
      </c>
      <c r="K31" s="312">
        <f>SUM(K9:L30)</f>
        <v>22</v>
      </c>
      <c r="L31" s="313"/>
      <c r="M31" s="313">
        <f>SUM(M9:N30)</f>
        <v>20</v>
      </c>
      <c r="N31" s="239"/>
      <c r="O31" s="420">
        <f>SUM(O9:P30)</f>
        <v>13</v>
      </c>
      <c r="P31" s="313"/>
      <c r="Q31" s="313">
        <f>SUM(Q9:R30)</f>
        <v>14</v>
      </c>
      <c r="R31" s="422"/>
      <c r="S31" s="240">
        <f>SUM(S9:T30)</f>
        <v>1</v>
      </c>
      <c r="T31" s="313"/>
      <c r="U31" s="313">
        <f>SUM(U9:V30)</f>
        <v>0</v>
      </c>
      <c r="V31" s="421"/>
      <c r="W31" s="213">
        <f>SUM(K31:V31)</f>
        <v>70</v>
      </c>
      <c r="X31" s="240"/>
      <c r="Y31" s="130">
        <f>SUM(Y9:Y30)</f>
        <v>64</v>
      </c>
      <c r="AA31" s="232" t="b">
        <f>W31&gt;=Y31</f>
        <v>1</v>
      </c>
      <c r="AB31" s="233"/>
    </row>
    <row r="32" spans="2:28" ht="17.25" customHeight="1">
      <c r="B32" s="314" t="s">
        <v>349</v>
      </c>
      <c r="C32" s="315"/>
      <c r="D32" s="140" t="s">
        <v>163</v>
      </c>
      <c r="E32" s="141" t="s">
        <v>350</v>
      </c>
      <c r="F32" s="316" t="s">
        <v>542</v>
      </c>
      <c r="G32" s="317"/>
      <c r="H32" s="142">
        <v>2</v>
      </c>
      <c r="I32" s="143" t="s">
        <v>519</v>
      </c>
      <c r="J32" s="144">
        <v>3</v>
      </c>
      <c r="K32" s="296">
        <v>3</v>
      </c>
      <c r="L32" s="297"/>
      <c r="M32" s="298"/>
      <c r="N32" s="306"/>
      <c r="O32" s="323"/>
      <c r="P32" s="297"/>
      <c r="Q32" s="298"/>
      <c r="R32" s="299"/>
      <c r="S32" s="306"/>
      <c r="T32" s="297"/>
      <c r="U32" s="298"/>
      <c r="V32" s="326"/>
      <c r="W32" s="324">
        <f t="shared" ref="W32:W44" si="3">SUM(K32:V32)</f>
        <v>3</v>
      </c>
      <c r="X32" s="325"/>
      <c r="Y32" s="264">
        <v>80</v>
      </c>
    </row>
    <row r="33" spans="2:25" ht="17.25" customHeight="1">
      <c r="B33" s="314"/>
      <c r="C33" s="315"/>
      <c r="D33" s="140" t="s">
        <v>163</v>
      </c>
      <c r="E33" s="141" t="s">
        <v>350</v>
      </c>
      <c r="F33" s="316" t="s">
        <v>543</v>
      </c>
      <c r="G33" s="317"/>
      <c r="H33" s="142">
        <v>2</v>
      </c>
      <c r="I33" s="143" t="s">
        <v>519</v>
      </c>
      <c r="J33" s="144">
        <v>4</v>
      </c>
      <c r="K33" s="296">
        <v>4</v>
      </c>
      <c r="L33" s="297"/>
      <c r="M33" s="298"/>
      <c r="N33" s="299"/>
      <c r="O33" s="323"/>
      <c r="P33" s="297"/>
      <c r="Q33" s="298"/>
      <c r="R33" s="299"/>
      <c r="S33" s="323"/>
      <c r="T33" s="297"/>
      <c r="U33" s="298"/>
      <c r="V33" s="326"/>
      <c r="W33" s="324">
        <f t="shared" si="3"/>
        <v>4</v>
      </c>
      <c r="X33" s="325"/>
      <c r="Y33" s="264"/>
    </row>
    <row r="34" spans="2:25" ht="17.25" customHeight="1">
      <c r="B34" s="314"/>
      <c r="C34" s="315"/>
      <c r="D34" s="140" t="s">
        <v>544</v>
      </c>
      <c r="E34" s="141" t="s">
        <v>350</v>
      </c>
      <c r="F34" s="316" t="s">
        <v>545</v>
      </c>
      <c r="G34" s="317"/>
      <c r="H34" s="142">
        <v>2</v>
      </c>
      <c r="I34" s="143" t="s">
        <v>522</v>
      </c>
      <c r="J34" s="144">
        <v>4</v>
      </c>
      <c r="K34" s="296"/>
      <c r="L34" s="297"/>
      <c r="M34" s="298">
        <v>4</v>
      </c>
      <c r="N34" s="299"/>
      <c r="O34" s="323"/>
      <c r="P34" s="297"/>
      <c r="Q34" s="298"/>
      <c r="R34" s="299"/>
      <c r="S34" s="323"/>
      <c r="T34" s="297"/>
      <c r="U34" s="298"/>
      <c r="V34" s="326"/>
      <c r="W34" s="324">
        <f t="shared" si="3"/>
        <v>4</v>
      </c>
      <c r="X34" s="325"/>
      <c r="Y34" s="264"/>
    </row>
    <row r="35" spans="2:25" s="139" customFormat="1" ht="17.25" customHeight="1">
      <c r="B35" s="314"/>
      <c r="C35" s="315"/>
      <c r="D35" s="140" t="s">
        <v>163</v>
      </c>
      <c r="E35" s="141" t="s">
        <v>350</v>
      </c>
      <c r="F35" s="316" t="s">
        <v>546</v>
      </c>
      <c r="G35" s="317"/>
      <c r="H35" s="142">
        <v>2</v>
      </c>
      <c r="I35" s="143" t="s">
        <v>522</v>
      </c>
      <c r="J35" s="144">
        <v>5</v>
      </c>
      <c r="K35" s="296"/>
      <c r="L35" s="297"/>
      <c r="M35" s="298">
        <v>5</v>
      </c>
      <c r="N35" s="299"/>
      <c r="O35" s="323"/>
      <c r="P35" s="297"/>
      <c r="Q35" s="298"/>
      <c r="R35" s="299"/>
      <c r="S35" s="323"/>
      <c r="T35" s="297"/>
      <c r="U35" s="298"/>
      <c r="V35" s="326"/>
      <c r="W35" s="324">
        <f>SUM(K35:V35)</f>
        <v>5</v>
      </c>
      <c r="X35" s="325"/>
      <c r="Y35" s="264"/>
    </row>
    <row r="36" spans="2:25" s="139" customFormat="1" ht="17.25" customHeight="1">
      <c r="B36" s="314"/>
      <c r="C36" s="315"/>
      <c r="D36" s="140" t="s">
        <v>163</v>
      </c>
      <c r="E36" s="141" t="s">
        <v>350</v>
      </c>
      <c r="F36" s="316" t="s">
        <v>547</v>
      </c>
      <c r="G36" s="317"/>
      <c r="H36" s="142">
        <v>2</v>
      </c>
      <c r="I36" s="143" t="s">
        <v>522</v>
      </c>
      <c r="J36" s="144">
        <v>5</v>
      </c>
      <c r="K36" s="296"/>
      <c r="L36" s="297"/>
      <c r="M36" s="298"/>
      <c r="N36" s="299"/>
      <c r="O36" s="323">
        <v>5</v>
      </c>
      <c r="P36" s="297"/>
      <c r="Q36" s="298"/>
      <c r="R36" s="299"/>
      <c r="S36" s="323"/>
      <c r="T36" s="297"/>
      <c r="U36" s="298"/>
      <c r="V36" s="326"/>
      <c r="W36" s="324">
        <f t="shared" si="3"/>
        <v>5</v>
      </c>
      <c r="X36" s="325"/>
      <c r="Y36" s="264"/>
    </row>
    <row r="37" spans="2:25" s="139" customFormat="1" ht="17.25" customHeight="1">
      <c r="B37" s="314"/>
      <c r="C37" s="315"/>
      <c r="D37" s="140" t="s">
        <v>163</v>
      </c>
      <c r="E37" s="141" t="s">
        <v>350</v>
      </c>
      <c r="F37" s="316" t="s">
        <v>548</v>
      </c>
      <c r="G37" s="317"/>
      <c r="H37" s="142">
        <v>2</v>
      </c>
      <c r="I37" s="143" t="s">
        <v>522</v>
      </c>
      <c r="J37" s="144">
        <v>5</v>
      </c>
      <c r="K37" s="296"/>
      <c r="L37" s="297"/>
      <c r="M37" s="298"/>
      <c r="N37" s="299"/>
      <c r="O37" s="323">
        <v>5</v>
      </c>
      <c r="P37" s="297"/>
      <c r="Q37" s="298"/>
      <c r="R37" s="299"/>
      <c r="S37" s="323"/>
      <c r="T37" s="297"/>
      <c r="U37" s="298"/>
      <c r="V37" s="326"/>
      <c r="W37" s="324">
        <f t="shared" si="3"/>
        <v>5</v>
      </c>
      <c r="X37" s="325"/>
      <c r="Y37" s="264"/>
    </row>
    <row r="38" spans="2:25" s="139" customFormat="1" ht="17.25" customHeight="1">
      <c r="B38" s="314"/>
      <c r="C38" s="315"/>
      <c r="D38" s="140" t="s">
        <v>163</v>
      </c>
      <c r="E38" s="141" t="s">
        <v>350</v>
      </c>
      <c r="F38" s="316" t="s">
        <v>549</v>
      </c>
      <c r="G38" s="317"/>
      <c r="H38" s="142">
        <v>2</v>
      </c>
      <c r="I38" s="143" t="s">
        <v>522</v>
      </c>
      <c r="J38" s="144">
        <v>6</v>
      </c>
      <c r="K38" s="296"/>
      <c r="L38" s="297"/>
      <c r="M38" s="298"/>
      <c r="N38" s="299"/>
      <c r="O38" s="323">
        <v>6</v>
      </c>
      <c r="P38" s="297"/>
      <c r="Q38" s="298"/>
      <c r="R38" s="299"/>
      <c r="S38" s="323"/>
      <c r="T38" s="297"/>
      <c r="U38" s="298"/>
      <c r="V38" s="326"/>
      <c r="W38" s="324">
        <f t="shared" si="3"/>
        <v>6</v>
      </c>
      <c r="X38" s="325"/>
      <c r="Y38" s="264"/>
    </row>
    <row r="39" spans="2:25" s="139" customFormat="1" ht="17.25" customHeight="1">
      <c r="B39" s="314"/>
      <c r="C39" s="315"/>
      <c r="D39" s="140" t="s">
        <v>163</v>
      </c>
      <c r="E39" s="141" t="s">
        <v>350</v>
      </c>
      <c r="F39" s="316" t="s">
        <v>550</v>
      </c>
      <c r="G39" s="317"/>
      <c r="H39" s="142">
        <v>2</v>
      </c>
      <c r="I39" s="143" t="s">
        <v>522</v>
      </c>
      <c r="J39" s="144">
        <v>5</v>
      </c>
      <c r="K39" s="296"/>
      <c r="L39" s="297"/>
      <c r="M39" s="298"/>
      <c r="N39" s="299"/>
      <c r="O39" s="323"/>
      <c r="P39" s="297"/>
      <c r="Q39" s="298">
        <v>5</v>
      </c>
      <c r="R39" s="299"/>
      <c r="S39" s="323"/>
      <c r="T39" s="297"/>
      <c r="U39" s="298"/>
      <c r="V39" s="326"/>
      <c r="W39" s="324">
        <f t="shared" si="3"/>
        <v>5</v>
      </c>
      <c r="X39" s="325"/>
      <c r="Y39" s="264"/>
    </row>
    <row r="40" spans="2:25" ht="17.25" customHeight="1">
      <c r="B40" s="314"/>
      <c r="C40" s="315"/>
      <c r="D40" s="140" t="s">
        <v>544</v>
      </c>
      <c r="E40" s="141" t="s">
        <v>351</v>
      </c>
      <c r="F40" s="316" t="s">
        <v>551</v>
      </c>
      <c r="G40" s="317"/>
      <c r="H40" s="142">
        <v>2</v>
      </c>
      <c r="I40" s="143" t="s">
        <v>522</v>
      </c>
      <c r="J40" s="144">
        <v>6</v>
      </c>
      <c r="K40" s="296"/>
      <c r="L40" s="297"/>
      <c r="M40" s="298"/>
      <c r="N40" s="299"/>
      <c r="O40" s="323"/>
      <c r="P40" s="297"/>
      <c r="Q40" s="298">
        <v>6</v>
      </c>
      <c r="R40" s="299"/>
      <c r="S40" s="323"/>
      <c r="T40" s="297"/>
      <c r="U40" s="298"/>
      <c r="V40" s="326"/>
      <c r="W40" s="324">
        <f t="shared" si="3"/>
        <v>6</v>
      </c>
      <c r="X40" s="325"/>
      <c r="Y40" s="264"/>
    </row>
    <row r="41" spans="2:25" ht="17.25" customHeight="1">
      <c r="B41" s="314"/>
      <c r="C41" s="315"/>
      <c r="D41" s="140" t="s">
        <v>163</v>
      </c>
      <c r="E41" s="141" t="s">
        <v>351</v>
      </c>
      <c r="F41" s="274" t="s">
        <v>539</v>
      </c>
      <c r="G41" s="275"/>
      <c r="H41" s="142">
        <v>2</v>
      </c>
      <c r="I41" s="143" t="s">
        <v>522</v>
      </c>
      <c r="J41" s="144">
        <v>8</v>
      </c>
      <c r="K41" s="296"/>
      <c r="L41" s="297"/>
      <c r="M41" s="298"/>
      <c r="N41" s="306"/>
      <c r="O41" s="323"/>
      <c r="P41" s="297"/>
      <c r="Q41" s="298"/>
      <c r="R41" s="299"/>
      <c r="S41" s="306">
        <v>8</v>
      </c>
      <c r="T41" s="297"/>
      <c r="U41" s="298"/>
      <c r="V41" s="326"/>
      <c r="W41" s="324">
        <f t="shared" si="3"/>
        <v>8</v>
      </c>
      <c r="X41" s="325"/>
      <c r="Y41" s="264"/>
    </row>
    <row r="42" spans="2:25" ht="17.25" customHeight="1">
      <c r="B42" s="314"/>
      <c r="C42" s="315"/>
      <c r="D42" s="140" t="s">
        <v>163</v>
      </c>
      <c r="E42" s="141" t="s">
        <v>351</v>
      </c>
      <c r="F42" s="274" t="s">
        <v>553</v>
      </c>
      <c r="G42" s="275"/>
      <c r="H42" s="142">
        <v>2</v>
      </c>
      <c r="I42" s="143" t="s">
        <v>522</v>
      </c>
      <c r="J42" s="136">
        <v>25</v>
      </c>
      <c r="K42" s="296"/>
      <c r="L42" s="297"/>
      <c r="M42" s="298"/>
      <c r="N42" s="306"/>
      <c r="O42" s="323"/>
      <c r="P42" s="297"/>
      <c r="Q42" s="298"/>
      <c r="R42" s="299"/>
      <c r="S42" s="306">
        <v>8</v>
      </c>
      <c r="T42" s="297"/>
      <c r="U42" s="298">
        <v>17</v>
      </c>
      <c r="V42" s="326"/>
      <c r="W42" s="324">
        <f t="shared" si="3"/>
        <v>25</v>
      </c>
      <c r="X42" s="325"/>
      <c r="Y42" s="264"/>
    </row>
    <row r="43" spans="2:25" ht="16.5" customHeight="1">
      <c r="B43" s="314"/>
      <c r="C43" s="315"/>
      <c r="D43" s="140" t="s">
        <v>544</v>
      </c>
      <c r="E43" s="141" t="s">
        <v>351</v>
      </c>
      <c r="F43" s="274" t="s">
        <v>554</v>
      </c>
      <c r="G43" s="275"/>
      <c r="H43" s="142">
        <v>2</v>
      </c>
      <c r="I43" s="143" t="s">
        <v>522</v>
      </c>
      <c r="J43" s="136">
        <v>15</v>
      </c>
      <c r="K43" s="318"/>
      <c r="L43" s="319"/>
      <c r="M43" s="298"/>
      <c r="N43" s="306"/>
      <c r="O43" s="323"/>
      <c r="P43" s="297"/>
      <c r="Q43" s="298"/>
      <c r="R43" s="299"/>
      <c r="S43" s="306">
        <v>8</v>
      </c>
      <c r="T43" s="297"/>
      <c r="U43" s="298">
        <v>7</v>
      </c>
      <c r="V43" s="326"/>
      <c r="W43" s="324">
        <f t="shared" si="3"/>
        <v>15</v>
      </c>
      <c r="X43" s="325"/>
      <c r="Y43" s="264"/>
    </row>
    <row r="44" spans="2:25" ht="16.5" customHeight="1" thickBot="1">
      <c r="B44" s="314"/>
      <c r="C44" s="315"/>
      <c r="D44" s="60" t="s">
        <v>68</v>
      </c>
      <c r="E44" s="141" t="s">
        <v>351</v>
      </c>
      <c r="F44" s="274" t="s">
        <v>750</v>
      </c>
      <c r="G44" s="275"/>
      <c r="H44" s="142">
        <v>2</v>
      </c>
      <c r="I44" s="143" t="s">
        <v>519</v>
      </c>
      <c r="J44" s="136">
        <v>5</v>
      </c>
      <c r="K44" s="318"/>
      <c r="L44" s="319"/>
      <c r="M44" s="298"/>
      <c r="N44" s="306"/>
      <c r="O44" s="323"/>
      <c r="P44" s="297"/>
      <c r="Q44" s="298"/>
      <c r="R44" s="299"/>
      <c r="S44" s="306"/>
      <c r="T44" s="297"/>
      <c r="U44" s="298">
        <v>5</v>
      </c>
      <c r="V44" s="326"/>
      <c r="W44" s="324">
        <f t="shared" si="3"/>
        <v>5</v>
      </c>
      <c r="X44" s="325"/>
      <c r="Y44" s="264"/>
    </row>
    <row r="45" spans="2:25" ht="16.5" customHeight="1">
      <c r="B45" s="266" t="s">
        <v>535</v>
      </c>
      <c r="C45" s="266" t="s">
        <v>534</v>
      </c>
      <c r="D45" s="145" t="s">
        <v>163</v>
      </c>
      <c r="E45" s="58" t="s">
        <v>350</v>
      </c>
      <c r="F45" s="300" t="s">
        <v>536</v>
      </c>
      <c r="G45" s="301"/>
      <c r="H45" s="148">
        <v>2</v>
      </c>
      <c r="I45" s="307" t="s">
        <v>519</v>
      </c>
      <c r="J45" s="309">
        <v>8</v>
      </c>
      <c r="K45" s="302"/>
      <c r="L45" s="303"/>
      <c r="M45" s="304"/>
      <c r="N45" s="311"/>
      <c r="O45" s="335"/>
      <c r="P45" s="303"/>
      <c r="Q45" s="304"/>
      <c r="R45" s="305"/>
      <c r="S45" s="311"/>
      <c r="T45" s="303"/>
      <c r="U45" s="352"/>
      <c r="V45" s="353"/>
      <c r="W45" s="270">
        <f>SUM(K45:V46)</f>
        <v>4</v>
      </c>
      <c r="X45" s="271"/>
      <c r="Y45" s="264"/>
    </row>
    <row r="46" spans="2:25" ht="16.5" customHeight="1" thickBot="1">
      <c r="B46" s="267"/>
      <c r="C46" s="267"/>
      <c r="D46" s="59" t="s">
        <v>163</v>
      </c>
      <c r="E46" s="146" t="s">
        <v>350</v>
      </c>
      <c r="F46" s="274" t="s">
        <v>537</v>
      </c>
      <c r="G46" s="275"/>
      <c r="H46" s="142">
        <v>2</v>
      </c>
      <c r="I46" s="308"/>
      <c r="J46" s="310"/>
      <c r="K46" s="296"/>
      <c r="L46" s="297"/>
      <c r="M46" s="298"/>
      <c r="N46" s="299"/>
      <c r="O46" s="323"/>
      <c r="P46" s="297"/>
      <c r="Q46" s="298">
        <v>4</v>
      </c>
      <c r="R46" s="299"/>
      <c r="S46" s="323"/>
      <c r="T46" s="297"/>
      <c r="U46" s="333"/>
      <c r="V46" s="334"/>
      <c r="W46" s="272"/>
      <c r="X46" s="273"/>
      <c r="Y46" s="264"/>
    </row>
    <row r="47" spans="2:25">
      <c r="B47" s="267"/>
      <c r="C47" s="266" t="s">
        <v>534</v>
      </c>
      <c r="D47" s="147" t="s">
        <v>163</v>
      </c>
      <c r="E47" s="58" t="s">
        <v>351</v>
      </c>
      <c r="F47" s="300" t="s">
        <v>538</v>
      </c>
      <c r="G47" s="301"/>
      <c r="H47" s="148">
        <v>2</v>
      </c>
      <c r="I47" s="268" t="s">
        <v>519</v>
      </c>
      <c r="J47" s="310"/>
      <c r="K47" s="302"/>
      <c r="L47" s="303"/>
      <c r="M47" s="304"/>
      <c r="N47" s="305"/>
      <c r="O47" s="335"/>
      <c r="P47" s="303"/>
      <c r="Q47" s="304"/>
      <c r="R47" s="305"/>
      <c r="S47" s="335"/>
      <c r="T47" s="303"/>
      <c r="U47" s="352"/>
      <c r="V47" s="353"/>
      <c r="W47" s="270">
        <f>SUM(K47:V48)</f>
        <v>4</v>
      </c>
      <c r="X47" s="271"/>
      <c r="Y47" s="264"/>
    </row>
    <row r="48" spans="2:25" ht="18" thickBot="1">
      <c r="B48" s="267"/>
      <c r="C48" s="267"/>
      <c r="D48" s="59" t="s">
        <v>163</v>
      </c>
      <c r="E48" s="141" t="s">
        <v>351</v>
      </c>
      <c r="F48" s="274" t="s">
        <v>552</v>
      </c>
      <c r="G48" s="275"/>
      <c r="H48" s="149">
        <v>2</v>
      </c>
      <c r="I48" s="269"/>
      <c r="J48" s="310"/>
      <c r="K48" s="296"/>
      <c r="L48" s="297"/>
      <c r="M48" s="298"/>
      <c r="N48" s="306"/>
      <c r="O48" s="323"/>
      <c r="P48" s="297"/>
      <c r="Q48" s="298"/>
      <c r="R48" s="299"/>
      <c r="S48" s="306">
        <v>4</v>
      </c>
      <c r="T48" s="297"/>
      <c r="U48" s="333"/>
      <c r="V48" s="334"/>
      <c r="W48" s="272"/>
      <c r="X48" s="273"/>
      <c r="Y48" s="264"/>
    </row>
    <row r="49" spans="2:29" ht="24.75" customHeight="1">
      <c r="B49" s="276" t="s">
        <v>355</v>
      </c>
      <c r="C49" s="277"/>
      <c r="D49" s="277"/>
      <c r="E49" s="277"/>
      <c r="F49" s="277"/>
      <c r="G49" s="278"/>
      <c r="H49" s="282">
        <f>SUM(H32:H48)</f>
        <v>34</v>
      </c>
      <c r="I49" s="284">
        <f>SUM(I32:I44)</f>
        <v>0</v>
      </c>
      <c r="J49" s="286">
        <f>SUM(J32:J48)</f>
        <v>104</v>
      </c>
      <c r="K49" s="276">
        <f>SUM(K32:L48)</f>
        <v>7</v>
      </c>
      <c r="L49" s="288"/>
      <c r="M49" s="290">
        <f>SUM(M32:N46)</f>
        <v>9</v>
      </c>
      <c r="N49" s="277"/>
      <c r="O49" s="292">
        <f>SUM(O32:P46)</f>
        <v>16</v>
      </c>
      <c r="P49" s="288"/>
      <c r="Q49" s="290">
        <f>SUM(Q32:R46)</f>
        <v>15</v>
      </c>
      <c r="R49" s="294"/>
      <c r="S49" s="277">
        <f>SUM(S32:T46)</f>
        <v>24</v>
      </c>
      <c r="T49" s="288"/>
      <c r="U49" s="290">
        <f>SUM(U32:V46)</f>
        <v>29</v>
      </c>
      <c r="V49" s="278"/>
      <c r="W49" s="276">
        <v>104</v>
      </c>
      <c r="X49" s="278"/>
      <c r="Y49" s="241">
        <f>SUM(Y32:Y47)</f>
        <v>80</v>
      </c>
      <c r="AC49" s="132"/>
    </row>
    <row r="50" spans="2:29" ht="18" thickBot="1">
      <c r="B50" s="279"/>
      <c r="C50" s="280"/>
      <c r="D50" s="280"/>
      <c r="E50" s="280"/>
      <c r="F50" s="280"/>
      <c r="G50" s="281"/>
      <c r="H50" s="283"/>
      <c r="I50" s="285"/>
      <c r="J50" s="287"/>
      <c r="K50" s="279"/>
      <c r="L50" s="289"/>
      <c r="M50" s="291"/>
      <c r="N50" s="280"/>
      <c r="O50" s="293"/>
      <c r="P50" s="289"/>
      <c r="Q50" s="291"/>
      <c r="R50" s="295"/>
      <c r="S50" s="280"/>
      <c r="T50" s="289"/>
      <c r="U50" s="291"/>
      <c r="V50" s="281"/>
      <c r="W50" s="279"/>
      <c r="X50" s="281"/>
      <c r="Y50" s="242"/>
      <c r="AC50" s="61"/>
    </row>
    <row r="51" spans="2:29" ht="17.25" customHeight="1" thickBot="1">
      <c r="B51" s="213"/>
      <c r="C51" s="214"/>
      <c r="D51" s="214"/>
      <c r="E51" s="214"/>
      <c r="F51" s="214"/>
      <c r="G51" s="215"/>
      <c r="H51" s="133">
        <f>SUM(H31,H49)</f>
        <v>79</v>
      </c>
      <c r="I51" s="129">
        <f>SUM(I31,I49)</f>
        <v>0</v>
      </c>
      <c r="J51" s="130">
        <f>SUM(J31,J49)</f>
        <v>144</v>
      </c>
      <c r="K51" s="213">
        <f>SUM(K31,K49)</f>
        <v>29</v>
      </c>
      <c r="L51" s="240"/>
      <c r="M51" s="239">
        <f>SUM(M31,M49)</f>
        <v>29</v>
      </c>
      <c r="N51" s="216"/>
      <c r="O51" s="217">
        <f>SUM(O31,O49)</f>
        <v>29</v>
      </c>
      <c r="P51" s="240"/>
      <c r="Q51" s="239">
        <f>SUM(Q31,Q49)</f>
        <v>29</v>
      </c>
      <c r="R51" s="216"/>
      <c r="S51" s="217">
        <f>SUM(S31,S49)</f>
        <v>25</v>
      </c>
      <c r="T51" s="240"/>
      <c r="U51" s="239">
        <f>SUM(U31,U49)</f>
        <v>29</v>
      </c>
      <c r="V51" s="215"/>
      <c r="W51" s="213">
        <v>174</v>
      </c>
      <c r="X51" s="215"/>
      <c r="Y51" s="11">
        <f>Y49+Y31</f>
        <v>144</v>
      </c>
      <c r="AA51" s="218" t="s">
        <v>154</v>
      </c>
      <c r="AB51" s="218"/>
    </row>
    <row r="52" spans="2:29" ht="18.75" customHeight="1" thickBot="1">
      <c r="B52" s="244" t="s">
        <v>356</v>
      </c>
      <c r="C52" s="245"/>
      <c r="D52" s="245"/>
      <c r="E52" s="246"/>
      <c r="F52" s="253" t="s">
        <v>352</v>
      </c>
      <c r="G52" s="254"/>
      <c r="H52" s="254"/>
      <c r="I52" s="254"/>
      <c r="J52" s="255"/>
      <c r="K52" s="256">
        <v>16</v>
      </c>
      <c r="L52" s="257"/>
      <c r="M52" s="258">
        <v>16</v>
      </c>
      <c r="N52" s="259"/>
      <c r="O52" s="260">
        <v>16</v>
      </c>
      <c r="P52" s="257"/>
      <c r="Q52" s="258">
        <v>16</v>
      </c>
      <c r="R52" s="259"/>
      <c r="S52" s="260">
        <v>16</v>
      </c>
      <c r="T52" s="257"/>
      <c r="U52" s="258">
        <v>16</v>
      </c>
      <c r="V52" s="261"/>
      <c r="W52" s="244">
        <f>SUM(K52:V54)</f>
        <v>288</v>
      </c>
      <c r="X52" s="246"/>
      <c r="Y52" s="241">
        <f>Y55*16</f>
        <v>288</v>
      </c>
      <c r="AA52" s="243"/>
      <c r="AB52" s="243"/>
    </row>
    <row r="53" spans="2:29" ht="17.25" customHeight="1" thickBot="1">
      <c r="B53" s="247"/>
      <c r="C53" s="248"/>
      <c r="D53" s="248"/>
      <c r="E53" s="249"/>
      <c r="F53" s="234" t="s">
        <v>63</v>
      </c>
      <c r="G53" s="235"/>
      <c r="H53" s="235"/>
      <c r="I53" s="235"/>
      <c r="J53" s="236"/>
      <c r="K53" s="237">
        <v>16</v>
      </c>
      <c r="L53" s="229"/>
      <c r="M53" s="230">
        <v>16</v>
      </c>
      <c r="N53" s="238"/>
      <c r="O53" s="228">
        <v>16</v>
      </c>
      <c r="P53" s="229"/>
      <c r="Q53" s="230">
        <v>16</v>
      </c>
      <c r="R53" s="238"/>
      <c r="S53" s="228">
        <v>16</v>
      </c>
      <c r="T53" s="229"/>
      <c r="U53" s="230">
        <v>16</v>
      </c>
      <c r="V53" s="231"/>
      <c r="W53" s="247"/>
      <c r="X53" s="249"/>
      <c r="Y53" s="264"/>
      <c r="AA53" s="232" t="b">
        <f>W51&gt;=Y51</f>
        <v>1</v>
      </c>
      <c r="AB53" s="233"/>
    </row>
    <row r="54" spans="2:29" ht="17.25" customHeight="1">
      <c r="B54" s="247"/>
      <c r="C54" s="248"/>
      <c r="D54" s="248"/>
      <c r="E54" s="249"/>
      <c r="F54" s="234" t="s">
        <v>11</v>
      </c>
      <c r="G54" s="235"/>
      <c r="H54" s="235"/>
      <c r="I54" s="235"/>
      <c r="J54" s="236"/>
      <c r="K54" s="237">
        <v>16</v>
      </c>
      <c r="L54" s="229"/>
      <c r="M54" s="230">
        <v>16</v>
      </c>
      <c r="N54" s="238"/>
      <c r="O54" s="228">
        <v>16</v>
      </c>
      <c r="P54" s="229"/>
      <c r="Q54" s="230">
        <v>16</v>
      </c>
      <c r="R54" s="238"/>
      <c r="S54" s="228">
        <v>16</v>
      </c>
      <c r="T54" s="229"/>
      <c r="U54" s="230">
        <v>16</v>
      </c>
      <c r="V54" s="231"/>
      <c r="W54" s="262"/>
      <c r="X54" s="263"/>
      <c r="Y54" s="265"/>
    </row>
    <row r="55" spans="2:29" ht="17.25" customHeight="1" thickBot="1">
      <c r="B55" s="250"/>
      <c r="C55" s="251"/>
      <c r="D55" s="251"/>
      <c r="E55" s="252"/>
      <c r="F55" s="219" t="s">
        <v>149</v>
      </c>
      <c r="G55" s="220"/>
      <c r="H55" s="220"/>
      <c r="I55" s="220"/>
      <c r="J55" s="221"/>
      <c r="K55" s="222">
        <v>3</v>
      </c>
      <c r="L55" s="223"/>
      <c r="M55" s="224">
        <v>3</v>
      </c>
      <c r="N55" s="225"/>
      <c r="O55" s="226">
        <v>3</v>
      </c>
      <c r="P55" s="223"/>
      <c r="Q55" s="224">
        <v>3</v>
      </c>
      <c r="R55" s="225"/>
      <c r="S55" s="226">
        <v>3</v>
      </c>
      <c r="T55" s="223"/>
      <c r="U55" s="224">
        <v>3</v>
      </c>
      <c r="V55" s="227"/>
      <c r="W55" s="219">
        <f>SUM(K55:V55)</f>
        <v>18</v>
      </c>
      <c r="X55" s="221"/>
      <c r="Y55" s="62">
        <v>18</v>
      </c>
      <c r="AA55" s="218" t="s">
        <v>155</v>
      </c>
      <c r="AB55" s="218"/>
    </row>
    <row r="56" spans="2:29" ht="17.25" customHeight="1" thickBot="1">
      <c r="B56" s="213"/>
      <c r="C56" s="214"/>
      <c r="D56" s="214"/>
      <c r="E56" s="214"/>
      <c r="F56" s="214"/>
      <c r="G56" s="214"/>
      <c r="H56" s="214"/>
      <c r="I56" s="214"/>
      <c r="J56" s="215"/>
      <c r="K56" s="213">
        <v>32</v>
      </c>
      <c r="L56" s="240"/>
      <c r="M56" s="239">
        <v>32</v>
      </c>
      <c r="N56" s="216"/>
      <c r="O56" s="217">
        <v>32</v>
      </c>
      <c r="P56" s="240"/>
      <c r="Q56" s="239">
        <v>32</v>
      </c>
      <c r="R56" s="216"/>
      <c r="S56" s="217">
        <v>32</v>
      </c>
      <c r="T56" s="240"/>
      <c r="U56" s="239">
        <v>32</v>
      </c>
      <c r="V56" s="215"/>
      <c r="W56" s="213">
        <f>SUM(K56:V56)</f>
        <v>192</v>
      </c>
      <c r="X56" s="215"/>
      <c r="Y56" s="37">
        <f>W56</f>
        <v>192</v>
      </c>
      <c r="AA56" s="232" t="b">
        <f>W55&gt;=Y55</f>
        <v>1</v>
      </c>
      <c r="AB56" s="233"/>
    </row>
    <row r="57" spans="2:29" ht="17.25" customHeight="1" thickBot="1">
      <c r="B57" s="213"/>
      <c r="C57" s="214"/>
      <c r="D57" s="214"/>
      <c r="E57" s="214"/>
      <c r="F57" s="214"/>
      <c r="G57" s="214"/>
      <c r="H57" s="214"/>
      <c r="I57" s="214"/>
      <c r="J57" s="215"/>
      <c r="K57" s="213">
        <f>SUM(K56:N56)</f>
        <v>64</v>
      </c>
      <c r="L57" s="214"/>
      <c r="M57" s="214"/>
      <c r="N57" s="216"/>
      <c r="O57" s="217">
        <f>SUM(O56:R56)</f>
        <v>64</v>
      </c>
      <c r="P57" s="214"/>
      <c r="Q57" s="214"/>
      <c r="R57" s="216"/>
      <c r="S57" s="217">
        <f>SUM(S56:V56)</f>
        <v>64</v>
      </c>
      <c r="T57" s="214"/>
      <c r="U57" s="214"/>
      <c r="V57" s="215"/>
      <c r="W57" s="213">
        <f>SUM(K57:V57)</f>
        <v>192</v>
      </c>
      <c r="X57" s="215"/>
      <c r="Y57" s="11"/>
      <c r="AA57" s="218" t="s">
        <v>153</v>
      </c>
      <c r="AB57" s="218"/>
    </row>
    <row r="58" spans="2:29" ht="17.25" customHeight="1" thickBot="1">
      <c r="AA58" s="232" t="b">
        <f>W56&gt;=Y56</f>
        <v>1</v>
      </c>
      <c r="AB58" s="233"/>
    </row>
    <row r="59" spans="2:29" ht="17.25" customHeight="1"/>
    <row r="60" spans="2:29" ht="17.25" customHeight="1"/>
    <row r="61" spans="2:29" ht="17.25" customHeight="1"/>
    <row r="63" spans="2:29" ht="24.9" customHeight="1"/>
    <row r="64" spans="2:29" ht="24.9" customHeight="1"/>
    <row r="65" ht="32.25" customHeight="1"/>
    <row r="66" ht="24.9" customHeight="1"/>
    <row r="68" ht="16.5" customHeight="1"/>
    <row r="69" ht="17.2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244.5" customHeight="1"/>
  </sheetData>
  <mergeCells count="441">
    <mergeCell ref="AA58:AB58"/>
    <mergeCell ref="W56:X56"/>
    <mergeCell ref="AA56:AB56"/>
    <mergeCell ref="B57:J57"/>
    <mergeCell ref="K57:N57"/>
    <mergeCell ref="O57:R57"/>
    <mergeCell ref="S57:V57"/>
    <mergeCell ref="W57:X57"/>
    <mergeCell ref="AA57:AB57"/>
    <mergeCell ref="U55:V55"/>
    <mergeCell ref="W55:X55"/>
    <mergeCell ref="AA55:AB55"/>
    <mergeCell ref="B56:J56"/>
    <mergeCell ref="K56:L56"/>
    <mergeCell ref="M56:N56"/>
    <mergeCell ref="O56:P56"/>
    <mergeCell ref="Q56:R56"/>
    <mergeCell ref="S56:T56"/>
    <mergeCell ref="U56:V56"/>
    <mergeCell ref="F55:J55"/>
    <mergeCell ref="K55:L55"/>
    <mergeCell ref="M55:N55"/>
    <mergeCell ref="O55:P55"/>
    <mergeCell ref="Q55:R55"/>
    <mergeCell ref="S55:T55"/>
    <mergeCell ref="U52:V52"/>
    <mergeCell ref="W52:X54"/>
    <mergeCell ref="Y52:Y54"/>
    <mergeCell ref="F53:J53"/>
    <mergeCell ref="K53:L53"/>
    <mergeCell ref="M53:N53"/>
    <mergeCell ref="O53:P53"/>
    <mergeCell ref="Q53:R53"/>
    <mergeCell ref="S53:T53"/>
    <mergeCell ref="U53:V53"/>
    <mergeCell ref="U51:V51"/>
    <mergeCell ref="W51:X51"/>
    <mergeCell ref="AA51:AB52"/>
    <mergeCell ref="B52:E55"/>
    <mergeCell ref="F52:J52"/>
    <mergeCell ref="K52:L52"/>
    <mergeCell ref="M52:N52"/>
    <mergeCell ref="O52:P52"/>
    <mergeCell ref="Q52:R52"/>
    <mergeCell ref="S52:T52"/>
    <mergeCell ref="B51:G51"/>
    <mergeCell ref="K51:L51"/>
    <mergeCell ref="M51:N51"/>
    <mergeCell ref="O51:P51"/>
    <mergeCell ref="Q51:R51"/>
    <mergeCell ref="S51:T51"/>
    <mergeCell ref="AA53:AB53"/>
    <mergeCell ref="F54:J54"/>
    <mergeCell ref="K54:L54"/>
    <mergeCell ref="M54:N54"/>
    <mergeCell ref="O54:P54"/>
    <mergeCell ref="Q54:R54"/>
    <mergeCell ref="S54:T54"/>
    <mergeCell ref="U54:V54"/>
    <mergeCell ref="W47:X48"/>
    <mergeCell ref="F48:G48"/>
    <mergeCell ref="K48:L48"/>
    <mergeCell ref="M48:N48"/>
    <mergeCell ref="O48:P48"/>
    <mergeCell ref="Q48:R48"/>
    <mergeCell ref="S48:T48"/>
    <mergeCell ref="U48:V48"/>
    <mergeCell ref="Q46:R46"/>
    <mergeCell ref="S46:T46"/>
    <mergeCell ref="O49:P50"/>
    <mergeCell ref="Q49:R50"/>
    <mergeCell ref="S49:T50"/>
    <mergeCell ref="U49:V50"/>
    <mergeCell ref="W49:X50"/>
    <mergeCell ref="Y49:Y50"/>
    <mergeCell ref="B49:G50"/>
    <mergeCell ref="H49:H50"/>
    <mergeCell ref="I49:I50"/>
    <mergeCell ref="J49:J50"/>
    <mergeCell ref="K49:L50"/>
    <mergeCell ref="M49:N50"/>
    <mergeCell ref="C47:C48"/>
    <mergeCell ref="F47:G47"/>
    <mergeCell ref="I47:I48"/>
    <mergeCell ref="K47:L47"/>
    <mergeCell ref="M47:N47"/>
    <mergeCell ref="O47:P47"/>
    <mergeCell ref="Q47:R47"/>
    <mergeCell ref="S47:T47"/>
    <mergeCell ref="U44:V44"/>
    <mergeCell ref="U46:V46"/>
    <mergeCell ref="U47:V47"/>
    <mergeCell ref="W44:X44"/>
    <mergeCell ref="B45:B48"/>
    <mergeCell ref="C45:C46"/>
    <mergeCell ref="F45:G45"/>
    <mergeCell ref="I45:I46"/>
    <mergeCell ref="J45:J48"/>
    <mergeCell ref="K45:L45"/>
    <mergeCell ref="M45:N45"/>
    <mergeCell ref="O45:P45"/>
    <mergeCell ref="F44:G44"/>
    <mergeCell ref="K44:L44"/>
    <mergeCell ref="M44:N44"/>
    <mergeCell ref="O44:P44"/>
    <mergeCell ref="Q44:R44"/>
    <mergeCell ref="S44:T44"/>
    <mergeCell ref="Q45:R45"/>
    <mergeCell ref="S45:T45"/>
    <mergeCell ref="U45:V45"/>
    <mergeCell ref="W45:X46"/>
    <mergeCell ref="F46:G46"/>
    <mergeCell ref="K46:L46"/>
    <mergeCell ref="M46:N46"/>
    <mergeCell ref="O46:P46"/>
    <mergeCell ref="B32:C44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F41:G41"/>
    <mergeCell ref="K41:L41"/>
    <mergeCell ref="M41:N41"/>
    <mergeCell ref="O41:P41"/>
    <mergeCell ref="Q41:R41"/>
    <mergeCell ref="S41:T41"/>
    <mergeCell ref="U41:V41"/>
    <mergeCell ref="W41:X41"/>
    <mergeCell ref="U42:V42"/>
    <mergeCell ref="W42:X42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Y32:Y48"/>
    <mergeCell ref="F33:G33"/>
    <mergeCell ref="K33:L33"/>
    <mergeCell ref="M33:N33"/>
    <mergeCell ref="O33:P33"/>
    <mergeCell ref="Q33:R33"/>
    <mergeCell ref="S33:T33"/>
    <mergeCell ref="U33:V33"/>
    <mergeCell ref="W33:X33"/>
    <mergeCell ref="F34:G34"/>
    <mergeCell ref="K34:L34"/>
    <mergeCell ref="M34:N34"/>
    <mergeCell ref="O34:P34"/>
    <mergeCell ref="Q34:R34"/>
    <mergeCell ref="S34:T34"/>
    <mergeCell ref="U34:V34"/>
    <mergeCell ref="W34:X34"/>
    <mergeCell ref="U35:V35"/>
    <mergeCell ref="W35:X35"/>
    <mergeCell ref="F36:G36"/>
    <mergeCell ref="K36:L36"/>
    <mergeCell ref="M36:N36"/>
    <mergeCell ref="O36:P36"/>
    <mergeCell ref="Q36:R36"/>
    <mergeCell ref="F32:G32"/>
    <mergeCell ref="K32:L32"/>
    <mergeCell ref="M32:N32"/>
    <mergeCell ref="O32:P32"/>
    <mergeCell ref="Q32:R32"/>
    <mergeCell ref="S32:T32"/>
    <mergeCell ref="U32:V32"/>
    <mergeCell ref="W32:X32"/>
    <mergeCell ref="S36:T36"/>
    <mergeCell ref="U36:V36"/>
    <mergeCell ref="W36:X36"/>
    <mergeCell ref="F35:G35"/>
    <mergeCell ref="K35:L35"/>
    <mergeCell ref="M35:N35"/>
    <mergeCell ref="O35:P35"/>
    <mergeCell ref="Q35:R35"/>
    <mergeCell ref="S35:T35"/>
    <mergeCell ref="B31:G31"/>
    <mergeCell ref="K31:L31"/>
    <mergeCell ref="M31:N31"/>
    <mergeCell ref="O31:P31"/>
    <mergeCell ref="Q31:R31"/>
    <mergeCell ref="S31:T31"/>
    <mergeCell ref="U31:V31"/>
    <mergeCell ref="W31:X31"/>
    <mergeCell ref="AA31:AB31"/>
    <mergeCell ref="D26:D27"/>
    <mergeCell ref="W28:X30"/>
    <mergeCell ref="Y28:Y30"/>
    <mergeCell ref="F29:G29"/>
    <mergeCell ref="K29:L29"/>
    <mergeCell ref="M29:N29"/>
    <mergeCell ref="O29:P29"/>
    <mergeCell ref="Q29:R29"/>
    <mergeCell ref="S29:T29"/>
    <mergeCell ref="U29:V29"/>
    <mergeCell ref="F30:G30"/>
    <mergeCell ref="M30:N30"/>
    <mergeCell ref="O30:P30"/>
    <mergeCell ref="Q30:R30"/>
    <mergeCell ref="S30:T30"/>
    <mergeCell ref="U30:V30"/>
    <mergeCell ref="D28:D30"/>
    <mergeCell ref="F28:G28"/>
    <mergeCell ref="K28:L28"/>
    <mergeCell ref="M28:N28"/>
    <mergeCell ref="O28:P28"/>
    <mergeCell ref="Q28:R28"/>
    <mergeCell ref="S28:T28"/>
    <mergeCell ref="U28:V28"/>
    <mergeCell ref="K30:L30"/>
    <mergeCell ref="S26:T26"/>
    <mergeCell ref="U26:V26"/>
    <mergeCell ref="W26:X27"/>
    <mergeCell ref="Y26:Y27"/>
    <mergeCell ref="F27:G27"/>
    <mergeCell ref="K27:L27"/>
    <mergeCell ref="M27:N27"/>
    <mergeCell ref="O27:P27"/>
    <mergeCell ref="Q27:R27"/>
    <mergeCell ref="S27:T27"/>
    <mergeCell ref="F26:G26"/>
    <mergeCell ref="K26:L26"/>
    <mergeCell ref="M26:N26"/>
    <mergeCell ref="O26:P26"/>
    <mergeCell ref="Q26:R26"/>
    <mergeCell ref="U27:V27"/>
    <mergeCell ref="S23:T23"/>
    <mergeCell ref="U23:V23"/>
    <mergeCell ref="S21:T21"/>
    <mergeCell ref="U21:V21"/>
    <mergeCell ref="Q24:R24"/>
    <mergeCell ref="S24:T24"/>
    <mergeCell ref="U24:V24"/>
    <mergeCell ref="F25:G25"/>
    <mergeCell ref="K25:L25"/>
    <mergeCell ref="M25:N25"/>
    <mergeCell ref="O25:P25"/>
    <mergeCell ref="Q25:R25"/>
    <mergeCell ref="S25:T25"/>
    <mergeCell ref="U25:V25"/>
    <mergeCell ref="X21:X25"/>
    <mergeCell ref="Y21:Y25"/>
    <mergeCell ref="F22:G22"/>
    <mergeCell ref="K22:L22"/>
    <mergeCell ref="M22:N22"/>
    <mergeCell ref="O22:P22"/>
    <mergeCell ref="Q22:R22"/>
    <mergeCell ref="S22:T22"/>
    <mergeCell ref="D21:D25"/>
    <mergeCell ref="F21:G21"/>
    <mergeCell ref="K21:L21"/>
    <mergeCell ref="M21:N21"/>
    <mergeCell ref="O21:P21"/>
    <mergeCell ref="Q21:R21"/>
    <mergeCell ref="F24:G24"/>
    <mergeCell ref="K24:L24"/>
    <mergeCell ref="M24:N24"/>
    <mergeCell ref="O24:P24"/>
    <mergeCell ref="U22:V22"/>
    <mergeCell ref="F23:G23"/>
    <mergeCell ref="K23:L23"/>
    <mergeCell ref="M23:N23"/>
    <mergeCell ref="O23:P23"/>
    <mergeCell ref="Q23:R23"/>
    <mergeCell ref="Q20:R20"/>
    <mergeCell ref="S20:T20"/>
    <mergeCell ref="U20:V20"/>
    <mergeCell ref="D19:D20"/>
    <mergeCell ref="F19:G19"/>
    <mergeCell ref="K19:L19"/>
    <mergeCell ref="M19:N19"/>
    <mergeCell ref="O19:P19"/>
    <mergeCell ref="Q19:R19"/>
    <mergeCell ref="AA16:AB16"/>
    <mergeCell ref="F17:G17"/>
    <mergeCell ref="K17:L17"/>
    <mergeCell ref="M17:N17"/>
    <mergeCell ref="O17:P17"/>
    <mergeCell ref="Q17:R17"/>
    <mergeCell ref="S17:T17"/>
    <mergeCell ref="U17:V17"/>
    <mergeCell ref="X17:X18"/>
    <mergeCell ref="Y17:Y20"/>
    <mergeCell ref="F18:G18"/>
    <mergeCell ref="K18:L18"/>
    <mergeCell ref="M18:N18"/>
    <mergeCell ref="O18:P18"/>
    <mergeCell ref="Q18:R18"/>
    <mergeCell ref="S18:T18"/>
    <mergeCell ref="U18:V18"/>
    <mergeCell ref="S19:T19"/>
    <mergeCell ref="U19:V19"/>
    <mergeCell ref="X19:X20"/>
    <mergeCell ref="F20:G20"/>
    <mergeCell ref="K20:L20"/>
    <mergeCell ref="M20:N20"/>
    <mergeCell ref="O20:P20"/>
    <mergeCell ref="X15:X16"/>
    <mergeCell ref="Y15:Y16"/>
    <mergeCell ref="F16:G16"/>
    <mergeCell ref="K16:L16"/>
    <mergeCell ref="M16:N16"/>
    <mergeCell ref="O16:P16"/>
    <mergeCell ref="Q16:R16"/>
    <mergeCell ref="S16:T16"/>
    <mergeCell ref="U16:V16"/>
    <mergeCell ref="D15:D18"/>
    <mergeCell ref="F15:G15"/>
    <mergeCell ref="K15:L15"/>
    <mergeCell ref="M15:N15"/>
    <mergeCell ref="O15:P15"/>
    <mergeCell ref="Q15:R15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D13:D14"/>
    <mergeCell ref="F13:G13"/>
    <mergeCell ref="K13:L13"/>
    <mergeCell ref="M13:N13"/>
    <mergeCell ref="O13:P13"/>
    <mergeCell ref="Q13:R13"/>
    <mergeCell ref="S15:T15"/>
    <mergeCell ref="U15:V15"/>
    <mergeCell ref="Q11:R11"/>
    <mergeCell ref="X9:X10"/>
    <mergeCell ref="Y9:Y14"/>
    <mergeCell ref="F10:G10"/>
    <mergeCell ref="K10:L10"/>
    <mergeCell ref="M10:N10"/>
    <mergeCell ref="O10:P10"/>
    <mergeCell ref="Q10:R10"/>
    <mergeCell ref="S10:T10"/>
    <mergeCell ref="U10:V10"/>
    <mergeCell ref="S11:T11"/>
    <mergeCell ref="U11:V11"/>
    <mergeCell ref="X11:X12"/>
    <mergeCell ref="F12:G12"/>
    <mergeCell ref="K12:L12"/>
    <mergeCell ref="M12:N12"/>
    <mergeCell ref="O12:P12"/>
    <mergeCell ref="Q12:R12"/>
    <mergeCell ref="S12:T12"/>
    <mergeCell ref="U12:V12"/>
    <mergeCell ref="AA8:AD8"/>
    <mergeCell ref="B9:C30"/>
    <mergeCell ref="D9:D10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D11:D12"/>
    <mergeCell ref="F11:G11"/>
    <mergeCell ref="K11:L11"/>
    <mergeCell ref="M11:N11"/>
    <mergeCell ref="O11:P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1:AB31 AC50 AA53:AB53 AA56:AB56 AA58:AB58">
    <cfRule type="containsText" dxfId="2" priority="1" operator="containsText" text="FALSE">
      <formula>NOT(ISERROR(SEARCH("FALSE",AA31)))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4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6A7A4C6-2AFA-42B1-896C-9530C4B00538}">
          <x14:formula1>
            <xm:f>삭제금지!$J$2:$J$59</xm:f>
          </x14:formula1>
          <xm:sqref>H5:J5</xm:sqref>
        </x14:dataValidation>
        <x14:dataValidation type="list" allowBlank="1" showInputMessage="1" showErrorMessage="1" xr:uid="{C9106E74-7F4A-4005-89C8-CA76D43AC7E1}">
          <x14:formula1>
            <xm:f>삭제금지!$I$2:$I$18</xm:f>
          </x14:formula1>
          <xm:sqref>F5:G5</xm:sqref>
        </x14:dataValidation>
        <x14:dataValidation type="list" allowBlank="1" showInputMessage="1" showErrorMessage="1" xr:uid="{CBFE4685-A276-4B23-AB2C-9CF39107E785}">
          <x14:formula1>
            <xm:f>삭제금지!$K$2:$K$59</xm:f>
          </x14:formula1>
          <xm:sqref>K5:O5</xm:sqref>
        </x14:dataValidation>
        <x14:dataValidation type="list" allowBlank="1" showInputMessage="1" showErrorMessage="1" xr:uid="{5E8550B0-D106-46F0-ACC1-D82BBC46F383}">
          <x14:formula1>
            <xm:f>삭제금지!$L$2:$L$4</xm:f>
          </x14:formula1>
          <xm:sqref>T5:V5</xm:sqref>
        </x14:dataValidation>
        <x14:dataValidation type="list" allowBlank="1" showInputMessage="1" showErrorMessage="1" xr:uid="{A879DB32-EC85-414D-80F0-67FD4E012F8A}">
          <x14:formula1>
            <xm:f>삭제금지!$H$2:$H$18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111A-1969-426A-8CB5-21C6F6F58324}">
  <sheetPr>
    <pageSetUpPr fitToPage="1"/>
  </sheetPr>
  <dimension ref="B1:AD91"/>
  <sheetViews>
    <sheetView view="pageBreakPreview" zoomScaleNormal="100" zoomScaleSheetLayoutView="100" workbookViewId="0">
      <pane ySplit="8" topLeftCell="A33" activePane="bottomLeft" state="frozen"/>
      <selection pane="bottomLeft" activeCell="W32" sqref="W32:X4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7.6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12" t="s">
        <v>506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3"/>
      <c r="V2" s="414" t="s">
        <v>130</v>
      </c>
      <c r="W2" s="415"/>
      <c r="X2" s="410">
        <v>2027</v>
      </c>
      <c r="Y2" s="411"/>
      <c r="AA2" s="416" t="s">
        <v>143</v>
      </c>
      <c r="AB2" s="19" t="s">
        <v>144</v>
      </c>
      <c r="AC2" s="31" t="s">
        <v>152</v>
      </c>
      <c r="AD2" s="20" t="s">
        <v>145</v>
      </c>
    </row>
    <row r="3" spans="2:30" ht="18" thickBot="1">
      <c r="B3" s="388" t="s">
        <v>353</v>
      </c>
      <c r="C3" s="390" t="s">
        <v>53</v>
      </c>
      <c r="D3" s="391"/>
      <c r="E3" s="391"/>
      <c r="F3" s="390" t="s">
        <v>64</v>
      </c>
      <c r="G3" s="394"/>
      <c r="H3" s="390" t="s">
        <v>54</v>
      </c>
      <c r="I3" s="391"/>
      <c r="J3" s="391"/>
      <c r="K3" s="390" t="s">
        <v>55</v>
      </c>
      <c r="L3" s="391"/>
      <c r="M3" s="391"/>
      <c r="N3" s="391"/>
      <c r="O3" s="394"/>
      <c r="P3" s="396" t="s">
        <v>56</v>
      </c>
      <c r="Q3" s="397"/>
      <c r="R3" s="397"/>
      <c r="S3" s="397"/>
      <c r="T3" s="397"/>
      <c r="U3" s="397"/>
      <c r="V3" s="397"/>
      <c r="W3" s="397"/>
      <c r="X3" s="397"/>
      <c r="Y3" s="398"/>
      <c r="AA3" s="417"/>
      <c r="AB3" s="21" t="s">
        <v>146</v>
      </c>
      <c r="AC3" s="38" t="s">
        <v>512</v>
      </c>
      <c r="AD3" s="22" t="s">
        <v>514</v>
      </c>
    </row>
    <row r="4" spans="2:30" ht="18" thickBot="1">
      <c r="B4" s="389"/>
      <c r="C4" s="392"/>
      <c r="D4" s="393"/>
      <c r="E4" s="393"/>
      <c r="F4" s="392"/>
      <c r="G4" s="395"/>
      <c r="H4" s="392"/>
      <c r="I4" s="393"/>
      <c r="J4" s="393"/>
      <c r="K4" s="392"/>
      <c r="L4" s="393"/>
      <c r="M4" s="393"/>
      <c r="N4" s="393"/>
      <c r="O4" s="395"/>
      <c r="P4" s="396" t="s">
        <v>127</v>
      </c>
      <c r="Q4" s="397"/>
      <c r="R4" s="397"/>
      <c r="S4" s="397"/>
      <c r="T4" s="396" t="s">
        <v>61</v>
      </c>
      <c r="U4" s="397"/>
      <c r="V4" s="398"/>
      <c r="W4" s="397" t="s">
        <v>128</v>
      </c>
      <c r="X4" s="397"/>
      <c r="Y4" s="398"/>
      <c r="AA4" s="417"/>
      <c r="AB4" s="23" t="s">
        <v>147</v>
      </c>
      <c r="AC4" s="39" t="s">
        <v>513</v>
      </c>
      <c r="AD4" s="22" t="s">
        <v>515</v>
      </c>
    </row>
    <row r="5" spans="2:30" ht="52.8" customHeight="1" thickBot="1">
      <c r="B5" s="63" t="s">
        <v>505</v>
      </c>
      <c r="C5" s="354" t="s">
        <v>507</v>
      </c>
      <c r="D5" s="355"/>
      <c r="E5" s="356"/>
      <c r="F5" s="354" t="s">
        <v>508</v>
      </c>
      <c r="G5" s="357"/>
      <c r="H5" s="358" t="s">
        <v>556</v>
      </c>
      <c r="I5" s="355"/>
      <c r="J5" s="356"/>
      <c r="K5" s="354" t="s">
        <v>732</v>
      </c>
      <c r="L5" s="355"/>
      <c r="M5" s="355"/>
      <c r="N5" s="355"/>
      <c r="O5" s="357"/>
      <c r="P5" s="358" t="s">
        <v>555</v>
      </c>
      <c r="Q5" s="355"/>
      <c r="R5" s="355"/>
      <c r="S5" s="356"/>
      <c r="T5" s="354" t="s">
        <v>34</v>
      </c>
      <c r="U5" s="355"/>
      <c r="V5" s="356"/>
      <c r="W5" s="359" t="s">
        <v>736</v>
      </c>
      <c r="X5" s="360"/>
      <c r="Y5" s="361"/>
      <c r="AA5" s="418"/>
      <c r="AB5" s="200" t="s">
        <v>148</v>
      </c>
      <c r="AC5" s="201" t="s">
        <v>729</v>
      </c>
      <c r="AD5" s="202" t="s">
        <v>730</v>
      </c>
    </row>
    <row r="6" spans="2:30" ht="15.75" customHeight="1" thickBot="1">
      <c r="U6" s="362"/>
      <c r="V6" s="362"/>
      <c r="W6" s="362"/>
      <c r="X6" s="362"/>
      <c r="Y6" s="362"/>
    </row>
    <row r="7" spans="2:30" s="10" customFormat="1" ht="22.5" customHeight="1">
      <c r="B7" s="363" t="s">
        <v>2</v>
      </c>
      <c r="C7" s="364"/>
      <c r="D7" s="367" t="s">
        <v>120</v>
      </c>
      <c r="E7" s="369" t="s">
        <v>57</v>
      </c>
      <c r="F7" s="370"/>
      <c r="G7" s="371"/>
      <c r="H7" s="372" t="s">
        <v>133</v>
      </c>
      <c r="I7" s="375" t="s">
        <v>134</v>
      </c>
      <c r="J7" s="379" t="s">
        <v>135</v>
      </c>
      <c r="K7" s="374" t="s">
        <v>58</v>
      </c>
      <c r="L7" s="375"/>
      <c r="M7" s="375"/>
      <c r="N7" s="376"/>
      <c r="O7" s="377" t="s">
        <v>59</v>
      </c>
      <c r="P7" s="375"/>
      <c r="Q7" s="375"/>
      <c r="R7" s="376"/>
      <c r="S7" s="374" t="s">
        <v>60</v>
      </c>
      <c r="T7" s="375"/>
      <c r="U7" s="375"/>
      <c r="V7" s="378"/>
      <c r="W7" s="372" t="s">
        <v>136</v>
      </c>
      <c r="X7" s="379"/>
      <c r="Y7" s="371" t="s">
        <v>137</v>
      </c>
      <c r="Z7" s="9"/>
    </row>
    <row r="8" spans="2:30" s="10" customFormat="1" ht="22.5" customHeight="1" thickBot="1">
      <c r="B8" s="365"/>
      <c r="C8" s="366"/>
      <c r="D8" s="368"/>
      <c r="E8" s="24" t="s">
        <v>18</v>
      </c>
      <c r="F8" s="382" t="s">
        <v>19</v>
      </c>
      <c r="G8" s="383"/>
      <c r="H8" s="373"/>
      <c r="I8" s="385"/>
      <c r="J8" s="380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419"/>
      <c r="W8" s="373"/>
      <c r="X8" s="380"/>
      <c r="Y8" s="381"/>
      <c r="AA8" s="212" t="s">
        <v>493</v>
      </c>
      <c r="AB8" s="212"/>
      <c r="AC8" s="212"/>
      <c r="AD8" s="212"/>
    </row>
    <row r="9" spans="2:30" ht="16.5" customHeight="1" thickBot="1">
      <c r="B9" s="399" t="s">
        <v>337</v>
      </c>
      <c r="C9" s="400"/>
      <c r="D9" s="320" t="s">
        <v>21</v>
      </c>
      <c r="E9" s="40" t="s">
        <v>12</v>
      </c>
      <c r="F9" s="302" t="s">
        <v>201</v>
      </c>
      <c r="G9" s="322"/>
      <c r="H9" s="41">
        <v>4</v>
      </c>
      <c r="I9" s="42" t="s">
        <v>338</v>
      </c>
      <c r="J9" s="135">
        <v>4</v>
      </c>
      <c r="K9" s="302"/>
      <c r="L9" s="303"/>
      <c r="M9" s="304"/>
      <c r="N9" s="305"/>
      <c r="O9" s="335">
        <v>4</v>
      </c>
      <c r="P9" s="303"/>
      <c r="Q9" s="304"/>
      <c r="R9" s="305"/>
      <c r="S9" s="335"/>
      <c r="T9" s="303"/>
      <c r="U9" s="304"/>
      <c r="V9" s="322"/>
      <c r="W9" s="43">
        <f>SUM(K9:V9)</f>
        <v>4</v>
      </c>
      <c r="X9" s="345">
        <f>SUM(W9:W10)</f>
        <v>8</v>
      </c>
      <c r="Y9" s="327">
        <v>24</v>
      </c>
      <c r="AA9" s="124" t="s">
        <v>18</v>
      </c>
      <c r="AB9" s="125" t="s">
        <v>498</v>
      </c>
      <c r="AC9" s="125" t="s">
        <v>499</v>
      </c>
      <c r="AD9" s="126" t="s">
        <v>500</v>
      </c>
    </row>
    <row r="10" spans="2:30" ht="18" thickBot="1">
      <c r="B10" s="401"/>
      <c r="C10" s="402"/>
      <c r="D10" s="321"/>
      <c r="E10" s="44" t="s">
        <v>12</v>
      </c>
      <c r="F10" s="296" t="s">
        <v>202</v>
      </c>
      <c r="G10" s="326"/>
      <c r="H10" s="45">
        <v>4</v>
      </c>
      <c r="I10" s="46" t="s">
        <v>338</v>
      </c>
      <c r="J10" s="136">
        <v>4</v>
      </c>
      <c r="K10" s="296"/>
      <c r="L10" s="297"/>
      <c r="M10" s="298"/>
      <c r="N10" s="299"/>
      <c r="O10" s="323"/>
      <c r="P10" s="297"/>
      <c r="Q10" s="298">
        <v>4</v>
      </c>
      <c r="R10" s="299"/>
      <c r="S10" s="323"/>
      <c r="T10" s="297"/>
      <c r="U10" s="298"/>
      <c r="V10" s="326"/>
      <c r="W10" s="47">
        <f t="shared" ref="W10:W20" si="0">SUM(K10:V10)</f>
        <v>4</v>
      </c>
      <c r="X10" s="351"/>
      <c r="Y10" s="327"/>
      <c r="AA10" s="127" t="s">
        <v>495</v>
      </c>
      <c r="AB10" s="128">
        <v>4</v>
      </c>
      <c r="AC10" s="128">
        <v>-1</v>
      </c>
      <c r="AD10" s="22" t="s">
        <v>338</v>
      </c>
    </row>
    <row r="11" spans="2:30" ht="18" thickBot="1">
      <c r="B11" s="401"/>
      <c r="C11" s="402"/>
      <c r="D11" s="320" t="s">
        <v>5</v>
      </c>
      <c r="E11" s="40" t="s">
        <v>12</v>
      </c>
      <c r="F11" s="302" t="s">
        <v>213</v>
      </c>
      <c r="G11" s="322"/>
      <c r="H11" s="41">
        <v>4</v>
      </c>
      <c r="I11" s="42" t="s">
        <v>338</v>
      </c>
      <c r="J11" s="135">
        <v>4</v>
      </c>
      <c r="K11" s="302">
        <v>4</v>
      </c>
      <c r="L11" s="303"/>
      <c r="M11" s="304"/>
      <c r="N11" s="305"/>
      <c r="O11" s="335"/>
      <c r="P11" s="303"/>
      <c r="Q11" s="304"/>
      <c r="R11" s="305"/>
      <c r="S11" s="335"/>
      <c r="T11" s="303"/>
      <c r="U11" s="304"/>
      <c r="V11" s="322"/>
      <c r="W11" s="43">
        <f t="shared" si="0"/>
        <v>4</v>
      </c>
      <c r="X11" s="345">
        <f>SUM(W11:W12)</f>
        <v>8</v>
      </c>
      <c r="Y11" s="327"/>
      <c r="AA11" s="127" t="s">
        <v>496</v>
      </c>
      <c r="AB11" s="128">
        <v>4</v>
      </c>
      <c r="AC11" s="128" t="s">
        <v>504</v>
      </c>
      <c r="AD11" s="22" t="s">
        <v>340</v>
      </c>
    </row>
    <row r="12" spans="2:30" ht="18" thickBot="1">
      <c r="B12" s="401"/>
      <c r="C12" s="402"/>
      <c r="D12" s="321"/>
      <c r="E12" s="44" t="s">
        <v>12</v>
      </c>
      <c r="F12" s="296" t="s">
        <v>215</v>
      </c>
      <c r="G12" s="326"/>
      <c r="H12" s="45">
        <v>4</v>
      </c>
      <c r="I12" s="46" t="s">
        <v>338</v>
      </c>
      <c r="J12" s="136">
        <v>4</v>
      </c>
      <c r="K12" s="296"/>
      <c r="L12" s="297"/>
      <c r="M12" s="298">
        <v>4</v>
      </c>
      <c r="N12" s="299"/>
      <c r="O12" s="323"/>
      <c r="P12" s="297"/>
      <c r="Q12" s="298"/>
      <c r="R12" s="299"/>
      <c r="S12" s="323"/>
      <c r="T12" s="297"/>
      <c r="U12" s="298"/>
      <c r="V12" s="326"/>
      <c r="W12" s="47">
        <f t="shared" si="0"/>
        <v>4</v>
      </c>
      <c r="X12" s="351"/>
      <c r="Y12" s="327"/>
      <c r="AA12" s="127" t="s">
        <v>497</v>
      </c>
      <c r="AB12" s="128">
        <v>3</v>
      </c>
      <c r="AC12" s="128" t="s">
        <v>504</v>
      </c>
      <c r="AD12" s="22" t="s">
        <v>345</v>
      </c>
    </row>
    <row r="13" spans="2:30" ht="18" thickBot="1">
      <c r="B13" s="401"/>
      <c r="C13" s="402"/>
      <c r="D13" s="320" t="s">
        <v>6</v>
      </c>
      <c r="E13" s="40" t="s">
        <v>12</v>
      </c>
      <c r="F13" s="302" t="s">
        <v>220</v>
      </c>
      <c r="G13" s="322"/>
      <c r="H13" s="41">
        <v>4</v>
      </c>
      <c r="I13" s="42" t="s">
        <v>338</v>
      </c>
      <c r="J13" s="135">
        <v>4</v>
      </c>
      <c r="K13" s="302"/>
      <c r="L13" s="303"/>
      <c r="M13" s="304"/>
      <c r="N13" s="305"/>
      <c r="O13" s="335">
        <v>4</v>
      </c>
      <c r="P13" s="303"/>
      <c r="Q13" s="304"/>
      <c r="R13" s="305"/>
      <c r="S13" s="335"/>
      <c r="T13" s="303"/>
      <c r="U13" s="304"/>
      <c r="V13" s="322"/>
      <c r="W13" s="43">
        <f t="shared" si="0"/>
        <v>4</v>
      </c>
      <c r="X13" s="345">
        <f>SUM(W13:W14)</f>
        <v>8</v>
      </c>
      <c r="Y13" s="327"/>
    </row>
    <row r="14" spans="2:30" ht="18" thickBot="1">
      <c r="B14" s="401"/>
      <c r="C14" s="402"/>
      <c r="D14" s="321"/>
      <c r="E14" s="44" t="s">
        <v>12</v>
      </c>
      <c r="F14" s="296" t="s">
        <v>226</v>
      </c>
      <c r="G14" s="326"/>
      <c r="H14" s="45">
        <v>4</v>
      </c>
      <c r="I14" s="46" t="s">
        <v>338</v>
      </c>
      <c r="J14" s="136">
        <v>4</v>
      </c>
      <c r="K14" s="296"/>
      <c r="L14" s="297"/>
      <c r="M14" s="298"/>
      <c r="N14" s="299"/>
      <c r="O14" s="323"/>
      <c r="P14" s="297"/>
      <c r="Q14" s="298">
        <v>4</v>
      </c>
      <c r="R14" s="299"/>
      <c r="S14" s="323"/>
      <c r="T14" s="297"/>
      <c r="U14" s="298"/>
      <c r="V14" s="326"/>
      <c r="W14" s="47">
        <f t="shared" si="0"/>
        <v>4</v>
      </c>
      <c r="X14" s="351"/>
      <c r="Y14" s="327"/>
    </row>
    <row r="15" spans="2:30" ht="18" thickBot="1">
      <c r="B15" s="401"/>
      <c r="C15" s="402"/>
      <c r="D15" s="320" t="s">
        <v>341</v>
      </c>
      <c r="E15" s="40" t="s">
        <v>12</v>
      </c>
      <c r="F15" s="302" t="s">
        <v>234</v>
      </c>
      <c r="G15" s="322"/>
      <c r="H15" s="41">
        <v>3</v>
      </c>
      <c r="I15" s="52" t="s">
        <v>342</v>
      </c>
      <c r="J15" s="135">
        <v>3</v>
      </c>
      <c r="K15" s="343">
        <v>3</v>
      </c>
      <c r="L15" s="344"/>
      <c r="M15" s="405"/>
      <c r="N15" s="406"/>
      <c r="O15" s="407"/>
      <c r="P15" s="344"/>
      <c r="Q15" s="405"/>
      <c r="R15" s="406"/>
      <c r="S15" s="407"/>
      <c r="T15" s="344"/>
      <c r="U15" s="405"/>
      <c r="V15" s="423"/>
      <c r="W15" s="43">
        <f t="shared" si="0"/>
        <v>3</v>
      </c>
      <c r="X15" s="345">
        <f>SUM(W15:W16)</f>
        <v>6</v>
      </c>
      <c r="Y15" s="327">
        <v>6</v>
      </c>
    </row>
    <row r="16" spans="2:30" ht="18" thickBot="1">
      <c r="B16" s="401"/>
      <c r="C16" s="402"/>
      <c r="D16" s="321"/>
      <c r="E16" s="53" t="s">
        <v>12</v>
      </c>
      <c r="F16" s="347" t="s">
        <v>235</v>
      </c>
      <c r="G16" s="348"/>
      <c r="H16" s="54">
        <v>3</v>
      </c>
      <c r="I16" s="55" t="s">
        <v>342</v>
      </c>
      <c r="J16" s="137">
        <v>3</v>
      </c>
      <c r="K16" s="330"/>
      <c r="L16" s="332"/>
      <c r="M16" s="340">
        <v>3</v>
      </c>
      <c r="N16" s="341"/>
      <c r="O16" s="342"/>
      <c r="P16" s="332"/>
      <c r="Q16" s="340"/>
      <c r="R16" s="341"/>
      <c r="S16" s="342"/>
      <c r="T16" s="332"/>
      <c r="U16" s="340"/>
      <c r="V16" s="331"/>
      <c r="W16" s="56">
        <f t="shared" si="0"/>
        <v>3</v>
      </c>
      <c r="X16" s="346"/>
      <c r="Y16" s="327"/>
      <c r="AA16" s="218"/>
      <c r="AB16" s="218"/>
      <c r="AC16" s="132"/>
    </row>
    <row r="17" spans="2:28" ht="18" thickBot="1">
      <c r="B17" s="401"/>
      <c r="C17" s="402"/>
      <c r="D17" s="321"/>
      <c r="E17" s="40" t="s">
        <v>12</v>
      </c>
      <c r="F17" s="302" t="s">
        <v>237</v>
      </c>
      <c r="G17" s="322"/>
      <c r="H17" s="41">
        <v>4</v>
      </c>
      <c r="I17" s="52" t="s">
        <v>338</v>
      </c>
      <c r="J17" s="135">
        <v>4</v>
      </c>
      <c r="K17" s="302"/>
      <c r="L17" s="303"/>
      <c r="M17" s="304"/>
      <c r="N17" s="305"/>
      <c r="O17" s="335">
        <v>4</v>
      </c>
      <c r="P17" s="303"/>
      <c r="Q17" s="304"/>
      <c r="R17" s="305"/>
      <c r="S17" s="335"/>
      <c r="T17" s="303"/>
      <c r="U17" s="304"/>
      <c r="V17" s="322"/>
      <c r="W17" s="43">
        <f t="shared" si="0"/>
        <v>4</v>
      </c>
      <c r="X17" s="345">
        <f>SUM(W17:W18)</f>
        <v>8</v>
      </c>
      <c r="Y17" s="327">
        <v>12</v>
      </c>
    </row>
    <row r="18" spans="2:28" ht="18" thickBot="1">
      <c r="B18" s="401"/>
      <c r="C18" s="402"/>
      <c r="D18" s="336"/>
      <c r="E18" s="51" t="s">
        <v>12</v>
      </c>
      <c r="F18" s="330" t="s">
        <v>238</v>
      </c>
      <c r="G18" s="331"/>
      <c r="H18" s="49">
        <v>4</v>
      </c>
      <c r="I18" s="50" t="s">
        <v>338</v>
      </c>
      <c r="J18" s="138">
        <v>4</v>
      </c>
      <c r="K18" s="330"/>
      <c r="L18" s="332"/>
      <c r="M18" s="340"/>
      <c r="N18" s="341"/>
      <c r="O18" s="342"/>
      <c r="P18" s="332"/>
      <c r="Q18" s="340">
        <v>4</v>
      </c>
      <c r="R18" s="341"/>
      <c r="S18" s="342"/>
      <c r="T18" s="332"/>
      <c r="U18" s="340"/>
      <c r="V18" s="331"/>
      <c r="W18" s="56">
        <f t="shared" si="0"/>
        <v>4</v>
      </c>
      <c r="X18" s="346"/>
      <c r="Y18" s="327"/>
    </row>
    <row r="19" spans="2:28" ht="18" thickBot="1">
      <c r="B19" s="401"/>
      <c r="C19" s="402"/>
      <c r="D19" s="320" t="s">
        <v>26</v>
      </c>
      <c r="E19" s="40" t="s">
        <v>12</v>
      </c>
      <c r="F19" s="302" t="s">
        <v>255</v>
      </c>
      <c r="G19" s="322"/>
      <c r="H19" s="41">
        <v>4</v>
      </c>
      <c r="I19" s="52" t="s">
        <v>338</v>
      </c>
      <c r="J19" s="135">
        <v>4</v>
      </c>
      <c r="K19" s="302">
        <v>4</v>
      </c>
      <c r="L19" s="303"/>
      <c r="M19" s="304"/>
      <c r="N19" s="305"/>
      <c r="O19" s="335"/>
      <c r="P19" s="303"/>
      <c r="Q19" s="304"/>
      <c r="R19" s="305"/>
      <c r="S19" s="335"/>
      <c r="T19" s="303"/>
      <c r="U19" s="304"/>
      <c r="V19" s="322"/>
      <c r="W19" s="43">
        <f t="shared" si="0"/>
        <v>4</v>
      </c>
      <c r="X19" s="400">
        <f>SUM(W19:W20)</f>
        <v>8</v>
      </c>
      <c r="Y19" s="327"/>
    </row>
    <row r="20" spans="2:28" ht="18" thickBot="1">
      <c r="B20" s="401"/>
      <c r="C20" s="402"/>
      <c r="D20" s="321"/>
      <c r="E20" s="44" t="s">
        <v>12</v>
      </c>
      <c r="F20" s="296" t="s">
        <v>256</v>
      </c>
      <c r="G20" s="326"/>
      <c r="H20" s="45">
        <v>4</v>
      </c>
      <c r="I20" s="46" t="s">
        <v>338</v>
      </c>
      <c r="J20" s="136">
        <v>4</v>
      </c>
      <c r="K20" s="296"/>
      <c r="L20" s="297"/>
      <c r="M20" s="298">
        <v>4</v>
      </c>
      <c r="N20" s="299"/>
      <c r="O20" s="323"/>
      <c r="P20" s="297"/>
      <c r="Q20" s="298"/>
      <c r="R20" s="299"/>
      <c r="S20" s="323"/>
      <c r="T20" s="297"/>
      <c r="U20" s="298"/>
      <c r="V20" s="326"/>
      <c r="W20" s="47">
        <f t="shared" si="0"/>
        <v>4</v>
      </c>
      <c r="X20" s="402"/>
      <c r="Y20" s="327"/>
    </row>
    <row r="21" spans="2:28" ht="16.5" customHeight="1" thickBot="1">
      <c r="B21" s="401"/>
      <c r="C21" s="402"/>
      <c r="D21" s="320" t="s">
        <v>8</v>
      </c>
      <c r="E21" s="40" t="s">
        <v>343</v>
      </c>
      <c r="F21" s="302" t="s">
        <v>344</v>
      </c>
      <c r="G21" s="322"/>
      <c r="H21" s="41">
        <v>3</v>
      </c>
      <c r="I21" s="52" t="s">
        <v>345</v>
      </c>
      <c r="J21" s="135">
        <f t="shared" ref="J21:J22" si="1">SUM(K21:V21)</f>
        <v>2</v>
      </c>
      <c r="K21" s="302">
        <v>2</v>
      </c>
      <c r="L21" s="303"/>
      <c r="M21" s="304"/>
      <c r="N21" s="305"/>
      <c r="O21" s="335"/>
      <c r="P21" s="303"/>
      <c r="Q21" s="304"/>
      <c r="R21" s="305"/>
      <c r="S21" s="335"/>
      <c r="T21" s="303"/>
      <c r="U21" s="304"/>
      <c r="V21" s="322"/>
      <c r="W21" s="43">
        <f>SUM(K21:V21)</f>
        <v>2</v>
      </c>
      <c r="X21" s="337">
        <f>SUM(W21:W25)</f>
        <v>8</v>
      </c>
      <c r="Y21" s="327">
        <v>8</v>
      </c>
    </row>
    <row r="22" spans="2:28" ht="18" thickBot="1">
      <c r="B22" s="401"/>
      <c r="C22" s="402"/>
      <c r="D22" s="321"/>
      <c r="E22" s="44" t="s">
        <v>343</v>
      </c>
      <c r="F22" s="296" t="s">
        <v>346</v>
      </c>
      <c r="G22" s="326"/>
      <c r="H22" s="45">
        <v>3</v>
      </c>
      <c r="I22" s="46" t="s">
        <v>345</v>
      </c>
      <c r="J22" s="136">
        <f t="shared" si="1"/>
        <v>2</v>
      </c>
      <c r="K22" s="296"/>
      <c r="L22" s="297"/>
      <c r="M22" s="298">
        <v>2</v>
      </c>
      <c r="N22" s="299"/>
      <c r="O22" s="323"/>
      <c r="P22" s="297"/>
      <c r="Q22" s="298"/>
      <c r="R22" s="299"/>
      <c r="S22" s="323"/>
      <c r="T22" s="297"/>
      <c r="U22" s="298"/>
      <c r="V22" s="326"/>
      <c r="W22" s="47">
        <f t="shared" ref="W22:W25" si="2">SUM(K22:V22)</f>
        <v>2</v>
      </c>
      <c r="X22" s="338"/>
      <c r="Y22" s="327"/>
    </row>
    <row r="23" spans="2:28" ht="18" thickBot="1">
      <c r="B23" s="401"/>
      <c r="C23" s="402"/>
      <c r="D23" s="321"/>
      <c r="E23" s="44" t="s">
        <v>339</v>
      </c>
      <c r="F23" s="296" t="s">
        <v>361</v>
      </c>
      <c r="G23" s="326"/>
      <c r="H23" s="45">
        <v>3</v>
      </c>
      <c r="I23" s="46" t="s">
        <v>347</v>
      </c>
      <c r="J23" s="136">
        <v>1</v>
      </c>
      <c r="K23" s="296"/>
      <c r="L23" s="297"/>
      <c r="M23" s="298"/>
      <c r="N23" s="299"/>
      <c r="O23" s="323">
        <v>1</v>
      </c>
      <c r="P23" s="297"/>
      <c r="Q23" s="298"/>
      <c r="R23" s="299"/>
      <c r="S23" s="323"/>
      <c r="T23" s="297"/>
      <c r="U23" s="298"/>
      <c r="V23" s="326"/>
      <c r="W23" s="47">
        <f t="shared" si="2"/>
        <v>1</v>
      </c>
      <c r="X23" s="338"/>
      <c r="Y23" s="327"/>
    </row>
    <row r="24" spans="2:28" ht="18" thickBot="1">
      <c r="B24" s="401"/>
      <c r="C24" s="402"/>
      <c r="D24" s="321"/>
      <c r="E24" s="44" t="s">
        <v>339</v>
      </c>
      <c r="F24" s="296" t="s">
        <v>516</v>
      </c>
      <c r="G24" s="326"/>
      <c r="H24" s="45">
        <v>3</v>
      </c>
      <c r="I24" s="46" t="s">
        <v>345</v>
      </c>
      <c r="J24" s="136">
        <v>2</v>
      </c>
      <c r="K24" s="296"/>
      <c r="L24" s="297"/>
      <c r="M24" s="298"/>
      <c r="N24" s="299"/>
      <c r="O24" s="323"/>
      <c r="P24" s="297"/>
      <c r="Q24" s="298">
        <v>2</v>
      </c>
      <c r="R24" s="299"/>
      <c r="S24" s="323"/>
      <c r="T24" s="297"/>
      <c r="U24" s="298"/>
      <c r="V24" s="326"/>
      <c r="W24" s="47">
        <f t="shared" si="2"/>
        <v>2</v>
      </c>
      <c r="X24" s="338"/>
      <c r="Y24" s="327"/>
    </row>
    <row r="25" spans="2:28" ht="18" thickBot="1">
      <c r="B25" s="401"/>
      <c r="C25" s="402"/>
      <c r="D25" s="336"/>
      <c r="E25" s="51" t="s">
        <v>339</v>
      </c>
      <c r="F25" s="330" t="s">
        <v>517</v>
      </c>
      <c r="G25" s="331"/>
      <c r="H25" s="49">
        <v>2</v>
      </c>
      <c r="I25" s="50" t="s">
        <v>347</v>
      </c>
      <c r="J25" s="138">
        <v>1</v>
      </c>
      <c r="K25" s="330"/>
      <c r="L25" s="332"/>
      <c r="M25" s="340"/>
      <c r="N25" s="341"/>
      <c r="O25" s="342"/>
      <c r="P25" s="332"/>
      <c r="Q25" s="340"/>
      <c r="R25" s="341"/>
      <c r="S25" s="342">
        <v>1</v>
      </c>
      <c r="T25" s="332"/>
      <c r="U25" s="340"/>
      <c r="V25" s="331"/>
      <c r="W25" s="56">
        <f t="shared" si="2"/>
        <v>1</v>
      </c>
      <c r="X25" s="339"/>
      <c r="Y25" s="327"/>
    </row>
    <row r="26" spans="2:28" ht="18" thickBot="1">
      <c r="B26" s="401"/>
      <c r="C26" s="402"/>
      <c r="D26" s="320" t="s">
        <v>28</v>
      </c>
      <c r="E26" s="40" t="s">
        <v>343</v>
      </c>
      <c r="F26" s="302" t="s">
        <v>47</v>
      </c>
      <c r="G26" s="322"/>
      <c r="H26" s="41">
        <v>3</v>
      </c>
      <c r="I26" s="57" t="s">
        <v>345</v>
      </c>
      <c r="J26" s="135">
        <v>4</v>
      </c>
      <c r="K26" s="302">
        <v>4</v>
      </c>
      <c r="L26" s="303"/>
      <c r="M26" s="304"/>
      <c r="N26" s="305"/>
      <c r="O26" s="335"/>
      <c r="P26" s="303"/>
      <c r="Q26" s="304"/>
      <c r="R26" s="305"/>
      <c r="S26" s="335"/>
      <c r="T26" s="303"/>
      <c r="U26" s="304"/>
      <c r="V26" s="322"/>
      <c r="W26" s="270">
        <f>SUM(K26:V27)</f>
        <v>8</v>
      </c>
      <c r="X26" s="271"/>
      <c r="Y26" s="327">
        <v>6</v>
      </c>
    </row>
    <row r="27" spans="2:28" ht="18" thickBot="1">
      <c r="B27" s="401"/>
      <c r="C27" s="402"/>
      <c r="D27" s="321"/>
      <c r="E27" s="48" t="s">
        <v>343</v>
      </c>
      <c r="F27" s="296" t="s">
        <v>283</v>
      </c>
      <c r="G27" s="326"/>
      <c r="H27" s="45">
        <v>3</v>
      </c>
      <c r="I27" s="46" t="s">
        <v>345</v>
      </c>
      <c r="J27" s="136">
        <v>4</v>
      </c>
      <c r="K27" s="296"/>
      <c r="L27" s="297"/>
      <c r="M27" s="298">
        <v>4</v>
      </c>
      <c r="N27" s="299"/>
      <c r="O27" s="323"/>
      <c r="P27" s="297"/>
      <c r="Q27" s="298"/>
      <c r="R27" s="299"/>
      <c r="S27" s="323"/>
      <c r="T27" s="297"/>
      <c r="U27" s="298"/>
      <c r="V27" s="326"/>
      <c r="W27" s="272"/>
      <c r="X27" s="273"/>
      <c r="Y27" s="327"/>
    </row>
    <row r="28" spans="2:28" ht="16.5" customHeight="1" thickBot="1">
      <c r="B28" s="401"/>
      <c r="C28" s="402"/>
      <c r="D28" s="328" t="s">
        <v>348</v>
      </c>
      <c r="E28" s="40" t="s">
        <v>339</v>
      </c>
      <c r="F28" s="302" t="s">
        <v>50</v>
      </c>
      <c r="G28" s="322"/>
      <c r="H28" s="41">
        <v>3</v>
      </c>
      <c r="I28" s="52" t="s">
        <v>345</v>
      </c>
      <c r="J28" s="135">
        <v>2</v>
      </c>
      <c r="K28" s="302">
        <v>2</v>
      </c>
      <c r="L28" s="303"/>
      <c r="M28" s="304"/>
      <c r="N28" s="305"/>
      <c r="O28" s="335"/>
      <c r="P28" s="303"/>
      <c r="Q28" s="304"/>
      <c r="R28" s="305"/>
      <c r="S28" s="335"/>
      <c r="T28" s="303"/>
      <c r="U28" s="304"/>
      <c r="V28" s="322"/>
      <c r="W28" s="270">
        <f>SUM(K28:V30)</f>
        <v>8</v>
      </c>
      <c r="X28" s="271"/>
      <c r="Y28" s="327">
        <v>8</v>
      </c>
    </row>
    <row r="29" spans="2:28" ht="16.5" customHeight="1" thickBot="1">
      <c r="B29" s="401"/>
      <c r="C29" s="402"/>
      <c r="D29" s="329"/>
      <c r="E29" s="48" t="s">
        <v>343</v>
      </c>
      <c r="F29" s="296" t="s">
        <v>748</v>
      </c>
      <c r="G29" s="326"/>
      <c r="H29" s="45">
        <v>3</v>
      </c>
      <c r="I29" s="46" t="s">
        <v>345</v>
      </c>
      <c r="J29" s="136">
        <v>3</v>
      </c>
      <c r="K29" s="296">
        <v>3</v>
      </c>
      <c r="L29" s="297"/>
      <c r="M29" s="298"/>
      <c r="N29" s="299"/>
      <c r="O29" s="323"/>
      <c r="P29" s="297"/>
      <c r="Q29" s="298"/>
      <c r="R29" s="299"/>
      <c r="S29" s="323"/>
      <c r="T29" s="297"/>
      <c r="U29" s="298"/>
      <c r="V29" s="326"/>
      <c r="W29" s="272"/>
      <c r="X29" s="273"/>
      <c r="Y29" s="327"/>
    </row>
    <row r="30" spans="2:28" ht="18" thickBot="1">
      <c r="B30" s="403"/>
      <c r="C30" s="404"/>
      <c r="D30" s="329"/>
      <c r="E30" s="48" t="s">
        <v>343</v>
      </c>
      <c r="F30" s="330" t="s">
        <v>749</v>
      </c>
      <c r="G30" s="331"/>
      <c r="H30" s="49">
        <v>3</v>
      </c>
      <c r="I30" s="50" t="s">
        <v>345</v>
      </c>
      <c r="J30" s="138">
        <v>3</v>
      </c>
      <c r="K30" s="330"/>
      <c r="L30" s="332"/>
      <c r="M30" s="340">
        <v>3</v>
      </c>
      <c r="N30" s="341"/>
      <c r="O30" s="323"/>
      <c r="P30" s="297"/>
      <c r="Q30" s="298"/>
      <c r="R30" s="299"/>
      <c r="S30" s="323"/>
      <c r="T30" s="297"/>
      <c r="U30" s="298"/>
      <c r="V30" s="326"/>
      <c r="W30" s="272"/>
      <c r="X30" s="273"/>
      <c r="Y30" s="327"/>
    </row>
    <row r="31" spans="2:28" ht="24.75" customHeight="1" thickBot="1">
      <c r="B31" s="213" t="s">
        <v>354</v>
      </c>
      <c r="C31" s="214"/>
      <c r="D31" s="214"/>
      <c r="E31" s="214"/>
      <c r="F31" s="214"/>
      <c r="G31" s="215"/>
      <c r="H31" s="131">
        <f>SUM(H17:H30)</f>
        <v>45</v>
      </c>
      <c r="I31" s="18"/>
      <c r="J31" s="130">
        <f>SUM(J17:J30)</f>
        <v>40</v>
      </c>
      <c r="K31" s="312">
        <f>SUM(K9:L30)</f>
        <v>22</v>
      </c>
      <c r="L31" s="313"/>
      <c r="M31" s="313">
        <f>SUM(M9:N30)</f>
        <v>20</v>
      </c>
      <c r="N31" s="239"/>
      <c r="O31" s="420">
        <f>SUM(O9:P30)</f>
        <v>13</v>
      </c>
      <c r="P31" s="313"/>
      <c r="Q31" s="313">
        <f>SUM(Q9:R30)</f>
        <v>14</v>
      </c>
      <c r="R31" s="422"/>
      <c r="S31" s="240">
        <f>SUM(S9:T30)</f>
        <v>1</v>
      </c>
      <c r="T31" s="313"/>
      <c r="U31" s="313">
        <f>SUM(U9:V30)</f>
        <v>0</v>
      </c>
      <c r="V31" s="421"/>
      <c r="W31" s="213">
        <f>SUM(K31:V31)</f>
        <v>70</v>
      </c>
      <c r="X31" s="240"/>
      <c r="Y31" s="130">
        <f>SUM(Y9:Y30)</f>
        <v>64</v>
      </c>
      <c r="AA31" s="232" t="b">
        <f>W31&gt;=Y31</f>
        <v>1</v>
      </c>
      <c r="AB31" s="233"/>
    </row>
    <row r="32" spans="2:28" ht="17.25" customHeight="1">
      <c r="B32" s="314" t="s">
        <v>349</v>
      </c>
      <c r="C32" s="315"/>
      <c r="D32" s="140" t="s">
        <v>163</v>
      </c>
      <c r="E32" s="141" t="s">
        <v>350</v>
      </c>
      <c r="F32" s="316" t="s">
        <v>557</v>
      </c>
      <c r="G32" s="317"/>
      <c r="H32" s="142">
        <v>2</v>
      </c>
      <c r="I32" s="143" t="s">
        <v>519</v>
      </c>
      <c r="J32" s="144">
        <v>3</v>
      </c>
      <c r="K32" s="296">
        <v>3</v>
      </c>
      <c r="L32" s="297"/>
      <c r="M32" s="298"/>
      <c r="N32" s="306"/>
      <c r="O32" s="323"/>
      <c r="P32" s="297"/>
      <c r="Q32" s="298"/>
      <c r="R32" s="299"/>
      <c r="S32" s="306"/>
      <c r="T32" s="297"/>
      <c r="U32" s="298"/>
      <c r="V32" s="326"/>
      <c r="W32" s="324">
        <f t="shared" ref="W32:W45" si="3">SUM(K32:V32)</f>
        <v>3</v>
      </c>
      <c r="X32" s="325"/>
      <c r="Y32" s="264">
        <v>80</v>
      </c>
    </row>
    <row r="33" spans="2:25" ht="17.25" customHeight="1">
      <c r="B33" s="314"/>
      <c r="C33" s="315"/>
      <c r="D33" s="140" t="s">
        <v>163</v>
      </c>
      <c r="E33" s="141" t="s">
        <v>350</v>
      </c>
      <c r="F33" s="316" t="s">
        <v>520</v>
      </c>
      <c r="G33" s="317"/>
      <c r="H33" s="142">
        <v>2</v>
      </c>
      <c r="I33" s="143" t="s">
        <v>519</v>
      </c>
      <c r="J33" s="144">
        <v>4</v>
      </c>
      <c r="K33" s="296">
        <v>4</v>
      </c>
      <c r="L33" s="297"/>
      <c r="M33" s="298"/>
      <c r="N33" s="299"/>
      <c r="O33" s="323"/>
      <c r="P33" s="297"/>
      <c r="Q33" s="298"/>
      <c r="R33" s="299"/>
      <c r="S33" s="323"/>
      <c r="T33" s="297"/>
      <c r="U33" s="298"/>
      <c r="V33" s="326"/>
      <c r="W33" s="324">
        <f t="shared" si="3"/>
        <v>4</v>
      </c>
      <c r="X33" s="325"/>
      <c r="Y33" s="264"/>
    </row>
    <row r="34" spans="2:25" ht="17.25" customHeight="1">
      <c r="B34" s="314"/>
      <c r="C34" s="315"/>
      <c r="D34" s="140" t="s">
        <v>163</v>
      </c>
      <c r="E34" s="141" t="s">
        <v>350</v>
      </c>
      <c r="F34" s="316" t="s">
        <v>558</v>
      </c>
      <c r="G34" s="317"/>
      <c r="H34" s="142">
        <v>2</v>
      </c>
      <c r="I34" s="143" t="s">
        <v>522</v>
      </c>
      <c r="J34" s="144">
        <v>4</v>
      </c>
      <c r="K34" s="296"/>
      <c r="L34" s="297"/>
      <c r="M34" s="298">
        <v>4</v>
      </c>
      <c r="N34" s="299"/>
      <c r="O34" s="323"/>
      <c r="P34" s="297"/>
      <c r="Q34" s="298"/>
      <c r="R34" s="299"/>
      <c r="S34" s="323"/>
      <c r="T34" s="297"/>
      <c r="U34" s="298"/>
      <c r="V34" s="326"/>
      <c r="W34" s="324">
        <f t="shared" si="3"/>
        <v>4</v>
      </c>
      <c r="X34" s="325"/>
      <c r="Y34" s="264"/>
    </row>
    <row r="35" spans="2:25" s="139" customFormat="1" ht="17.25" customHeight="1">
      <c r="B35" s="314"/>
      <c r="C35" s="315"/>
      <c r="D35" s="140" t="s">
        <v>163</v>
      </c>
      <c r="E35" s="141" t="s">
        <v>350</v>
      </c>
      <c r="F35" s="316" t="s">
        <v>559</v>
      </c>
      <c r="G35" s="317"/>
      <c r="H35" s="142">
        <v>2</v>
      </c>
      <c r="I35" s="143" t="s">
        <v>522</v>
      </c>
      <c r="J35" s="144">
        <v>5</v>
      </c>
      <c r="K35" s="296"/>
      <c r="L35" s="297"/>
      <c r="M35" s="298">
        <v>5</v>
      </c>
      <c r="N35" s="299"/>
      <c r="O35" s="323"/>
      <c r="P35" s="297"/>
      <c r="Q35" s="298"/>
      <c r="R35" s="299"/>
      <c r="S35" s="323"/>
      <c r="T35" s="297"/>
      <c r="U35" s="298"/>
      <c r="V35" s="326"/>
      <c r="W35" s="324">
        <f t="shared" si="3"/>
        <v>5</v>
      </c>
      <c r="X35" s="325"/>
      <c r="Y35" s="264"/>
    </row>
    <row r="36" spans="2:25" s="139" customFormat="1" ht="17.25" customHeight="1">
      <c r="B36" s="314"/>
      <c r="C36" s="315"/>
      <c r="D36" s="140" t="s">
        <v>164</v>
      </c>
      <c r="E36" s="141" t="s">
        <v>350</v>
      </c>
      <c r="F36" s="316" t="s">
        <v>560</v>
      </c>
      <c r="G36" s="317"/>
      <c r="H36" s="142">
        <v>2</v>
      </c>
      <c r="I36" s="143" t="s">
        <v>522</v>
      </c>
      <c r="J36" s="144">
        <v>4</v>
      </c>
      <c r="K36" s="296"/>
      <c r="L36" s="297"/>
      <c r="M36" s="298"/>
      <c r="N36" s="299"/>
      <c r="O36" s="323">
        <v>4</v>
      </c>
      <c r="P36" s="297"/>
      <c r="Q36" s="298"/>
      <c r="R36" s="299"/>
      <c r="S36" s="323"/>
      <c r="T36" s="297"/>
      <c r="U36" s="298"/>
      <c r="V36" s="326"/>
      <c r="W36" s="324">
        <f t="shared" si="3"/>
        <v>4</v>
      </c>
      <c r="X36" s="325"/>
      <c r="Y36" s="264"/>
    </row>
    <row r="37" spans="2:25" s="139" customFormat="1" ht="17.25" customHeight="1">
      <c r="B37" s="314"/>
      <c r="C37" s="315"/>
      <c r="D37" s="140" t="s">
        <v>163</v>
      </c>
      <c r="E37" s="141" t="s">
        <v>350</v>
      </c>
      <c r="F37" s="316" t="s">
        <v>561</v>
      </c>
      <c r="G37" s="317"/>
      <c r="H37" s="142">
        <v>2</v>
      </c>
      <c r="I37" s="143" t="s">
        <v>522</v>
      </c>
      <c r="J37" s="144">
        <v>5</v>
      </c>
      <c r="K37" s="296"/>
      <c r="L37" s="297"/>
      <c r="M37" s="298"/>
      <c r="N37" s="299"/>
      <c r="O37" s="323">
        <v>5</v>
      </c>
      <c r="P37" s="297"/>
      <c r="Q37" s="298"/>
      <c r="R37" s="299"/>
      <c r="S37" s="323"/>
      <c r="T37" s="297"/>
      <c r="U37" s="298"/>
      <c r="V37" s="326"/>
      <c r="W37" s="324">
        <f t="shared" si="3"/>
        <v>5</v>
      </c>
      <c r="X37" s="325"/>
      <c r="Y37" s="264"/>
    </row>
    <row r="38" spans="2:25" s="139" customFormat="1" ht="17.25" customHeight="1">
      <c r="B38" s="314"/>
      <c r="C38" s="315"/>
      <c r="D38" s="140" t="s">
        <v>163</v>
      </c>
      <c r="E38" s="141" t="s">
        <v>350</v>
      </c>
      <c r="F38" s="316" t="s">
        <v>562</v>
      </c>
      <c r="G38" s="317"/>
      <c r="H38" s="142">
        <v>2</v>
      </c>
      <c r="I38" s="143" t="s">
        <v>522</v>
      </c>
      <c r="J38" s="144">
        <v>7</v>
      </c>
      <c r="K38" s="296"/>
      <c r="L38" s="297"/>
      <c r="M38" s="298"/>
      <c r="N38" s="299"/>
      <c r="O38" s="323">
        <v>7</v>
      </c>
      <c r="P38" s="297"/>
      <c r="Q38" s="298"/>
      <c r="R38" s="299"/>
      <c r="S38" s="323"/>
      <c r="T38" s="297"/>
      <c r="U38" s="298"/>
      <c r="V38" s="326"/>
      <c r="W38" s="324">
        <f t="shared" si="3"/>
        <v>7</v>
      </c>
      <c r="X38" s="325"/>
      <c r="Y38" s="264"/>
    </row>
    <row r="39" spans="2:25" s="139" customFormat="1" ht="17.25" customHeight="1">
      <c r="B39" s="314"/>
      <c r="C39" s="315"/>
      <c r="D39" s="140" t="s">
        <v>163</v>
      </c>
      <c r="E39" s="141" t="s">
        <v>350</v>
      </c>
      <c r="F39" s="316" t="s">
        <v>563</v>
      </c>
      <c r="G39" s="317"/>
      <c r="H39" s="142">
        <v>2</v>
      </c>
      <c r="I39" s="143" t="s">
        <v>522</v>
      </c>
      <c r="J39" s="144">
        <v>5</v>
      </c>
      <c r="K39" s="296"/>
      <c r="L39" s="297"/>
      <c r="M39" s="298"/>
      <c r="N39" s="299"/>
      <c r="O39" s="323"/>
      <c r="P39" s="297"/>
      <c r="Q39" s="298">
        <v>5</v>
      </c>
      <c r="R39" s="299"/>
      <c r="S39" s="323"/>
      <c r="T39" s="297"/>
      <c r="U39" s="298"/>
      <c r="V39" s="326"/>
      <c r="W39" s="324">
        <f t="shared" si="3"/>
        <v>5</v>
      </c>
      <c r="X39" s="325"/>
      <c r="Y39" s="264"/>
    </row>
    <row r="40" spans="2:25" ht="17.25" customHeight="1">
      <c r="B40" s="314"/>
      <c r="C40" s="315"/>
      <c r="D40" s="140" t="s">
        <v>163</v>
      </c>
      <c r="E40" s="141" t="s">
        <v>350</v>
      </c>
      <c r="F40" s="316" t="s">
        <v>564</v>
      </c>
      <c r="G40" s="317"/>
      <c r="H40" s="142">
        <v>2</v>
      </c>
      <c r="I40" s="143" t="s">
        <v>522</v>
      </c>
      <c r="J40" s="144">
        <v>6</v>
      </c>
      <c r="K40" s="296"/>
      <c r="L40" s="297"/>
      <c r="M40" s="298"/>
      <c r="N40" s="299"/>
      <c r="O40" s="323"/>
      <c r="P40" s="297"/>
      <c r="Q40" s="298">
        <v>6</v>
      </c>
      <c r="R40" s="299"/>
      <c r="S40" s="323"/>
      <c r="T40" s="297"/>
      <c r="U40" s="298"/>
      <c r="V40" s="326"/>
      <c r="W40" s="324">
        <f t="shared" si="3"/>
        <v>6</v>
      </c>
      <c r="X40" s="325"/>
      <c r="Y40" s="264"/>
    </row>
    <row r="41" spans="2:25" ht="17.25" customHeight="1">
      <c r="B41" s="314"/>
      <c r="C41" s="315"/>
      <c r="D41" s="140" t="s">
        <v>163</v>
      </c>
      <c r="E41" s="141" t="s">
        <v>350</v>
      </c>
      <c r="F41" s="274" t="s">
        <v>565</v>
      </c>
      <c r="G41" s="275"/>
      <c r="H41" s="142">
        <v>2</v>
      </c>
      <c r="I41" s="143" t="s">
        <v>522</v>
      </c>
      <c r="J41" s="144">
        <v>4</v>
      </c>
      <c r="K41" s="296"/>
      <c r="L41" s="297"/>
      <c r="M41" s="298"/>
      <c r="N41" s="299"/>
      <c r="O41" s="323"/>
      <c r="P41" s="297"/>
      <c r="Q41" s="298"/>
      <c r="R41" s="299"/>
      <c r="S41" s="323">
        <v>4</v>
      </c>
      <c r="T41" s="297"/>
      <c r="U41" s="298"/>
      <c r="V41" s="326"/>
      <c r="W41" s="324">
        <f t="shared" si="3"/>
        <v>4</v>
      </c>
      <c r="X41" s="325"/>
      <c r="Y41" s="264"/>
    </row>
    <row r="42" spans="2:25" ht="17.25" customHeight="1">
      <c r="B42" s="314"/>
      <c r="C42" s="315"/>
      <c r="D42" s="140" t="s">
        <v>163</v>
      </c>
      <c r="E42" s="141" t="s">
        <v>351</v>
      </c>
      <c r="F42" s="274" t="s">
        <v>566</v>
      </c>
      <c r="G42" s="275"/>
      <c r="H42" s="142">
        <v>2</v>
      </c>
      <c r="I42" s="143" t="s">
        <v>522</v>
      </c>
      <c r="J42" s="144">
        <v>16</v>
      </c>
      <c r="K42" s="296"/>
      <c r="L42" s="297"/>
      <c r="M42" s="298"/>
      <c r="N42" s="306"/>
      <c r="O42" s="323"/>
      <c r="P42" s="297"/>
      <c r="Q42" s="298"/>
      <c r="R42" s="299"/>
      <c r="S42" s="306">
        <v>8</v>
      </c>
      <c r="T42" s="297"/>
      <c r="U42" s="298">
        <v>8</v>
      </c>
      <c r="V42" s="326"/>
      <c r="W42" s="324">
        <f t="shared" si="3"/>
        <v>16</v>
      </c>
      <c r="X42" s="325"/>
      <c r="Y42" s="264"/>
    </row>
    <row r="43" spans="2:25" ht="17.25" customHeight="1">
      <c r="B43" s="314"/>
      <c r="C43" s="315"/>
      <c r="D43" s="140" t="s">
        <v>163</v>
      </c>
      <c r="E43" s="141" t="s">
        <v>351</v>
      </c>
      <c r="F43" s="274" t="s">
        <v>567</v>
      </c>
      <c r="G43" s="275"/>
      <c r="H43" s="142">
        <v>2</v>
      </c>
      <c r="I43" s="143" t="s">
        <v>522</v>
      </c>
      <c r="J43" s="136">
        <v>16</v>
      </c>
      <c r="K43" s="296"/>
      <c r="L43" s="297"/>
      <c r="M43" s="298"/>
      <c r="N43" s="306"/>
      <c r="O43" s="323"/>
      <c r="P43" s="297"/>
      <c r="Q43" s="298"/>
      <c r="R43" s="299"/>
      <c r="S43" s="306">
        <v>8</v>
      </c>
      <c r="T43" s="297"/>
      <c r="U43" s="298">
        <v>8</v>
      </c>
      <c r="V43" s="326"/>
      <c r="W43" s="324">
        <f t="shared" si="3"/>
        <v>16</v>
      </c>
      <c r="X43" s="325"/>
      <c r="Y43" s="264"/>
    </row>
    <row r="44" spans="2:25" ht="16.5" customHeight="1">
      <c r="B44" s="314"/>
      <c r="C44" s="315"/>
      <c r="D44" s="140" t="s">
        <v>163</v>
      </c>
      <c r="E44" s="141" t="s">
        <v>351</v>
      </c>
      <c r="F44" s="274" t="s">
        <v>568</v>
      </c>
      <c r="G44" s="275"/>
      <c r="H44" s="142">
        <v>2</v>
      </c>
      <c r="I44" s="143" t="s">
        <v>522</v>
      </c>
      <c r="J44" s="136">
        <v>9</v>
      </c>
      <c r="K44" s="318"/>
      <c r="L44" s="319"/>
      <c r="M44" s="298"/>
      <c r="N44" s="306"/>
      <c r="O44" s="323"/>
      <c r="P44" s="297"/>
      <c r="Q44" s="298"/>
      <c r="R44" s="299"/>
      <c r="S44" s="306">
        <v>4</v>
      </c>
      <c r="T44" s="297"/>
      <c r="U44" s="298">
        <v>5</v>
      </c>
      <c r="V44" s="326"/>
      <c r="W44" s="324">
        <f t="shared" si="3"/>
        <v>9</v>
      </c>
      <c r="X44" s="325"/>
      <c r="Y44" s="264"/>
    </row>
    <row r="45" spans="2:25" ht="16.5" customHeight="1" thickBot="1">
      <c r="B45" s="314"/>
      <c r="C45" s="315"/>
      <c r="D45" s="60" t="s">
        <v>163</v>
      </c>
      <c r="E45" s="141" t="s">
        <v>351</v>
      </c>
      <c r="F45" s="274" t="s">
        <v>569</v>
      </c>
      <c r="G45" s="275"/>
      <c r="H45" s="142">
        <v>2</v>
      </c>
      <c r="I45" s="143" t="s">
        <v>519</v>
      </c>
      <c r="J45" s="136">
        <v>8</v>
      </c>
      <c r="K45" s="318"/>
      <c r="L45" s="319"/>
      <c r="M45" s="298"/>
      <c r="N45" s="306"/>
      <c r="O45" s="323"/>
      <c r="P45" s="297"/>
      <c r="Q45" s="298"/>
      <c r="R45" s="299"/>
      <c r="S45" s="306"/>
      <c r="T45" s="297"/>
      <c r="U45" s="298">
        <v>8</v>
      </c>
      <c r="V45" s="326"/>
      <c r="W45" s="324">
        <f t="shared" si="3"/>
        <v>8</v>
      </c>
      <c r="X45" s="325"/>
      <c r="Y45" s="264"/>
    </row>
    <row r="46" spans="2:25" ht="16.5" customHeight="1">
      <c r="B46" s="266" t="s">
        <v>535</v>
      </c>
      <c r="C46" s="266" t="s">
        <v>572</v>
      </c>
      <c r="D46" s="145" t="s">
        <v>164</v>
      </c>
      <c r="E46" s="58" t="s">
        <v>351</v>
      </c>
      <c r="F46" s="300" t="s">
        <v>570</v>
      </c>
      <c r="G46" s="301"/>
      <c r="H46" s="148">
        <v>2</v>
      </c>
      <c r="I46" s="307" t="s">
        <v>519</v>
      </c>
      <c r="J46" s="309">
        <v>8</v>
      </c>
      <c r="K46" s="302"/>
      <c r="L46" s="303"/>
      <c r="M46" s="304"/>
      <c r="N46" s="311"/>
      <c r="O46" s="335"/>
      <c r="P46" s="303"/>
      <c r="Q46" s="304">
        <v>4</v>
      </c>
      <c r="R46" s="305"/>
      <c r="S46" s="311"/>
      <c r="T46" s="303"/>
      <c r="U46" s="352"/>
      <c r="V46" s="353"/>
      <c r="W46" s="270">
        <f>SUM(K46:V47)</f>
        <v>4</v>
      </c>
      <c r="X46" s="271"/>
      <c r="Y46" s="264"/>
    </row>
    <row r="47" spans="2:25" ht="16.5" customHeight="1" thickBot="1">
      <c r="B47" s="267"/>
      <c r="C47" s="267"/>
      <c r="D47" s="59" t="s">
        <v>544</v>
      </c>
      <c r="E47" s="146" t="s">
        <v>351</v>
      </c>
      <c r="F47" s="274" t="s">
        <v>551</v>
      </c>
      <c r="G47" s="275"/>
      <c r="H47" s="142">
        <v>2</v>
      </c>
      <c r="I47" s="308"/>
      <c r="J47" s="310"/>
      <c r="K47" s="296"/>
      <c r="L47" s="297"/>
      <c r="M47" s="298"/>
      <c r="N47" s="299"/>
      <c r="O47" s="323"/>
      <c r="P47" s="297"/>
      <c r="Q47" s="298"/>
      <c r="R47" s="299"/>
      <c r="S47" s="323"/>
      <c r="T47" s="297"/>
      <c r="U47" s="333"/>
      <c r="V47" s="334"/>
      <c r="W47" s="272"/>
      <c r="X47" s="273"/>
      <c r="Y47" s="264"/>
    </row>
    <row r="48" spans="2:25">
      <c r="B48" s="267"/>
      <c r="C48" s="266" t="s">
        <v>572</v>
      </c>
      <c r="D48" s="147" t="s">
        <v>164</v>
      </c>
      <c r="E48" s="58" t="s">
        <v>351</v>
      </c>
      <c r="F48" s="300" t="s">
        <v>571</v>
      </c>
      <c r="G48" s="301"/>
      <c r="H48" s="148">
        <v>2</v>
      </c>
      <c r="I48" s="268" t="s">
        <v>519</v>
      </c>
      <c r="J48" s="310"/>
      <c r="K48" s="302"/>
      <c r="L48" s="303"/>
      <c r="M48" s="304"/>
      <c r="N48" s="305"/>
      <c r="O48" s="335"/>
      <c r="P48" s="303"/>
      <c r="Q48" s="304"/>
      <c r="R48" s="305"/>
      <c r="S48" s="335">
        <v>4</v>
      </c>
      <c r="T48" s="303"/>
      <c r="U48" s="352"/>
      <c r="V48" s="353"/>
      <c r="W48" s="270">
        <f>SUM(K48:V49)</f>
        <v>4</v>
      </c>
      <c r="X48" s="271"/>
      <c r="Y48" s="264"/>
    </row>
    <row r="49" spans="2:29" ht="18" thickBot="1">
      <c r="B49" s="267"/>
      <c r="C49" s="267"/>
      <c r="D49" s="59" t="s">
        <v>68</v>
      </c>
      <c r="E49" s="141" t="s">
        <v>351</v>
      </c>
      <c r="F49" s="274" t="s">
        <v>587</v>
      </c>
      <c r="G49" s="275"/>
      <c r="H49" s="149">
        <v>2</v>
      </c>
      <c r="I49" s="269"/>
      <c r="J49" s="310"/>
      <c r="K49" s="296"/>
      <c r="L49" s="297"/>
      <c r="M49" s="298"/>
      <c r="N49" s="306"/>
      <c r="O49" s="323"/>
      <c r="P49" s="297"/>
      <c r="Q49" s="298"/>
      <c r="R49" s="299"/>
      <c r="S49" s="306"/>
      <c r="T49" s="297"/>
      <c r="U49" s="333"/>
      <c r="V49" s="334"/>
      <c r="W49" s="272"/>
      <c r="X49" s="273"/>
      <c r="Y49" s="264"/>
    </row>
    <row r="50" spans="2:29" ht="24.75" customHeight="1">
      <c r="B50" s="276" t="s">
        <v>355</v>
      </c>
      <c r="C50" s="277"/>
      <c r="D50" s="277"/>
      <c r="E50" s="277"/>
      <c r="F50" s="277"/>
      <c r="G50" s="278"/>
      <c r="H50" s="282">
        <f>SUM(H32:H49)</f>
        <v>36</v>
      </c>
      <c r="I50" s="284">
        <f>SUM(I32:I45)</f>
        <v>0</v>
      </c>
      <c r="J50" s="286">
        <f>SUM(J32:J49)</f>
        <v>104</v>
      </c>
      <c r="K50" s="276">
        <f>SUM(K32:L49)</f>
        <v>7</v>
      </c>
      <c r="L50" s="288"/>
      <c r="M50" s="290">
        <f>SUM(M32:N47)</f>
        <v>9</v>
      </c>
      <c r="N50" s="277"/>
      <c r="O50" s="292">
        <f>SUM(O32:P47)</f>
        <v>16</v>
      </c>
      <c r="P50" s="288"/>
      <c r="Q50" s="290">
        <f>SUM(Q32:R47)</f>
        <v>15</v>
      </c>
      <c r="R50" s="294"/>
      <c r="S50" s="277">
        <f>SUM(S32:T47)</f>
        <v>24</v>
      </c>
      <c r="T50" s="288"/>
      <c r="U50" s="290">
        <f>SUM(U32:V47)</f>
        <v>29</v>
      </c>
      <c r="V50" s="278"/>
      <c r="W50" s="276">
        <v>104</v>
      </c>
      <c r="X50" s="278"/>
      <c r="Y50" s="241">
        <f>SUM(Y32:Y48)</f>
        <v>80</v>
      </c>
      <c r="AC50" s="132"/>
    </row>
    <row r="51" spans="2:29" ht="18" thickBot="1">
      <c r="B51" s="279"/>
      <c r="C51" s="280"/>
      <c r="D51" s="280"/>
      <c r="E51" s="280"/>
      <c r="F51" s="280"/>
      <c r="G51" s="281"/>
      <c r="H51" s="283"/>
      <c r="I51" s="285"/>
      <c r="J51" s="287"/>
      <c r="K51" s="279"/>
      <c r="L51" s="289"/>
      <c r="M51" s="291"/>
      <c r="N51" s="280"/>
      <c r="O51" s="293"/>
      <c r="P51" s="289"/>
      <c r="Q51" s="291"/>
      <c r="R51" s="295"/>
      <c r="S51" s="280"/>
      <c r="T51" s="289"/>
      <c r="U51" s="291"/>
      <c r="V51" s="281"/>
      <c r="W51" s="279"/>
      <c r="X51" s="281"/>
      <c r="Y51" s="242"/>
      <c r="AC51" s="61"/>
    </row>
    <row r="52" spans="2:29" ht="17.25" customHeight="1" thickBot="1">
      <c r="B52" s="213"/>
      <c r="C52" s="214"/>
      <c r="D52" s="214"/>
      <c r="E52" s="214"/>
      <c r="F52" s="214"/>
      <c r="G52" s="215"/>
      <c r="H52" s="133">
        <f>SUM(H31,H50)</f>
        <v>81</v>
      </c>
      <c r="I52" s="129">
        <f>SUM(I31,I50)</f>
        <v>0</v>
      </c>
      <c r="J52" s="130">
        <f>SUM(J31,J50)</f>
        <v>144</v>
      </c>
      <c r="K52" s="213">
        <f>SUM(K31,K50)</f>
        <v>29</v>
      </c>
      <c r="L52" s="240"/>
      <c r="M52" s="239">
        <f>SUM(M31,M50)</f>
        <v>29</v>
      </c>
      <c r="N52" s="216"/>
      <c r="O52" s="217">
        <f>SUM(O31,O50)</f>
        <v>29</v>
      </c>
      <c r="P52" s="240"/>
      <c r="Q52" s="239">
        <f>SUM(Q31,Q50)</f>
        <v>29</v>
      </c>
      <c r="R52" s="216"/>
      <c r="S52" s="217">
        <f>SUM(S31,S50)</f>
        <v>25</v>
      </c>
      <c r="T52" s="240"/>
      <c r="U52" s="239">
        <f>SUM(U31,U50)</f>
        <v>29</v>
      </c>
      <c r="V52" s="215"/>
      <c r="W52" s="213">
        <v>174</v>
      </c>
      <c r="X52" s="215"/>
      <c r="Y52" s="11">
        <f>Y50+Y31</f>
        <v>144</v>
      </c>
      <c r="AA52" s="218" t="s">
        <v>154</v>
      </c>
      <c r="AB52" s="218"/>
    </row>
    <row r="53" spans="2:29" ht="18.75" customHeight="1" thickBot="1">
      <c r="B53" s="244" t="s">
        <v>356</v>
      </c>
      <c r="C53" s="245"/>
      <c r="D53" s="245"/>
      <c r="E53" s="246"/>
      <c r="F53" s="253" t="s">
        <v>352</v>
      </c>
      <c r="G53" s="254"/>
      <c r="H53" s="254"/>
      <c r="I53" s="254"/>
      <c r="J53" s="255"/>
      <c r="K53" s="256">
        <v>16</v>
      </c>
      <c r="L53" s="257"/>
      <c r="M53" s="258">
        <v>16</v>
      </c>
      <c r="N53" s="259"/>
      <c r="O53" s="260">
        <v>16</v>
      </c>
      <c r="P53" s="257"/>
      <c r="Q53" s="258">
        <v>16</v>
      </c>
      <c r="R53" s="259"/>
      <c r="S53" s="260">
        <v>16</v>
      </c>
      <c r="T53" s="257"/>
      <c r="U53" s="258">
        <v>16</v>
      </c>
      <c r="V53" s="261"/>
      <c r="W53" s="244">
        <f>SUM(K53:V55)</f>
        <v>288</v>
      </c>
      <c r="X53" s="246"/>
      <c r="Y53" s="241">
        <f>Y56*16</f>
        <v>288</v>
      </c>
      <c r="AA53" s="243"/>
      <c r="AB53" s="243"/>
    </row>
    <row r="54" spans="2:29" ht="17.25" customHeight="1" thickBot="1">
      <c r="B54" s="247"/>
      <c r="C54" s="248"/>
      <c r="D54" s="248"/>
      <c r="E54" s="249"/>
      <c r="F54" s="234" t="s">
        <v>63</v>
      </c>
      <c r="G54" s="235"/>
      <c r="H54" s="235"/>
      <c r="I54" s="235"/>
      <c r="J54" s="236"/>
      <c r="K54" s="237">
        <v>16</v>
      </c>
      <c r="L54" s="229"/>
      <c r="M54" s="230">
        <v>16</v>
      </c>
      <c r="N54" s="238"/>
      <c r="O54" s="228">
        <v>16</v>
      </c>
      <c r="P54" s="229"/>
      <c r="Q54" s="230">
        <v>16</v>
      </c>
      <c r="R54" s="238"/>
      <c r="S54" s="228">
        <v>16</v>
      </c>
      <c r="T54" s="229"/>
      <c r="U54" s="230">
        <v>16</v>
      </c>
      <c r="V54" s="231"/>
      <c r="W54" s="247"/>
      <c r="X54" s="249"/>
      <c r="Y54" s="264"/>
      <c r="AA54" s="232" t="b">
        <f>W52&gt;=Y52</f>
        <v>1</v>
      </c>
      <c r="AB54" s="233"/>
    </row>
    <row r="55" spans="2:29" ht="17.25" customHeight="1">
      <c r="B55" s="247"/>
      <c r="C55" s="248"/>
      <c r="D55" s="248"/>
      <c r="E55" s="249"/>
      <c r="F55" s="234" t="s">
        <v>11</v>
      </c>
      <c r="G55" s="235"/>
      <c r="H55" s="235"/>
      <c r="I55" s="235"/>
      <c r="J55" s="236"/>
      <c r="K55" s="237">
        <v>16</v>
      </c>
      <c r="L55" s="229"/>
      <c r="M55" s="230">
        <v>16</v>
      </c>
      <c r="N55" s="238"/>
      <c r="O55" s="228">
        <v>16</v>
      </c>
      <c r="P55" s="229"/>
      <c r="Q55" s="230">
        <v>16</v>
      </c>
      <c r="R55" s="238"/>
      <c r="S55" s="228">
        <v>16</v>
      </c>
      <c r="T55" s="229"/>
      <c r="U55" s="230">
        <v>16</v>
      </c>
      <c r="V55" s="231"/>
      <c r="W55" s="262"/>
      <c r="X55" s="263"/>
      <c r="Y55" s="265"/>
    </row>
    <row r="56" spans="2:29" ht="17.25" customHeight="1" thickBot="1">
      <c r="B56" s="250"/>
      <c r="C56" s="251"/>
      <c r="D56" s="251"/>
      <c r="E56" s="252"/>
      <c r="F56" s="219" t="s">
        <v>149</v>
      </c>
      <c r="G56" s="220"/>
      <c r="H56" s="220"/>
      <c r="I56" s="220"/>
      <c r="J56" s="221"/>
      <c r="K56" s="222">
        <v>3</v>
      </c>
      <c r="L56" s="223"/>
      <c r="M56" s="224">
        <v>3</v>
      </c>
      <c r="N56" s="225"/>
      <c r="O56" s="226">
        <v>3</v>
      </c>
      <c r="P56" s="223"/>
      <c r="Q56" s="224">
        <v>3</v>
      </c>
      <c r="R56" s="225"/>
      <c r="S56" s="226">
        <v>3</v>
      </c>
      <c r="T56" s="223"/>
      <c r="U56" s="224">
        <v>3</v>
      </c>
      <c r="V56" s="227"/>
      <c r="W56" s="219">
        <f>SUM(K56:V56)</f>
        <v>18</v>
      </c>
      <c r="X56" s="221"/>
      <c r="Y56" s="62">
        <v>18</v>
      </c>
      <c r="AA56" s="218" t="s">
        <v>155</v>
      </c>
      <c r="AB56" s="218"/>
    </row>
    <row r="57" spans="2:29" ht="17.25" customHeight="1" thickBot="1">
      <c r="B57" s="213"/>
      <c r="C57" s="214"/>
      <c r="D57" s="214"/>
      <c r="E57" s="214"/>
      <c r="F57" s="214"/>
      <c r="G57" s="214"/>
      <c r="H57" s="214"/>
      <c r="I57" s="214"/>
      <c r="J57" s="215"/>
      <c r="K57" s="213">
        <v>32</v>
      </c>
      <c r="L57" s="240"/>
      <c r="M57" s="239">
        <v>32</v>
      </c>
      <c r="N57" s="216"/>
      <c r="O57" s="217">
        <v>32</v>
      </c>
      <c r="P57" s="240"/>
      <c r="Q57" s="239">
        <v>32</v>
      </c>
      <c r="R57" s="216"/>
      <c r="S57" s="217">
        <v>32</v>
      </c>
      <c r="T57" s="240"/>
      <c r="U57" s="239">
        <v>32</v>
      </c>
      <c r="V57" s="215"/>
      <c r="W57" s="213">
        <f>SUM(K57:V57)</f>
        <v>192</v>
      </c>
      <c r="X57" s="215"/>
      <c r="Y57" s="37">
        <f>W57</f>
        <v>192</v>
      </c>
      <c r="AA57" s="232" t="b">
        <f>W56&gt;=Y56</f>
        <v>1</v>
      </c>
      <c r="AB57" s="233"/>
    </row>
    <row r="58" spans="2:29" ht="17.25" customHeight="1" thickBot="1">
      <c r="B58" s="213"/>
      <c r="C58" s="214"/>
      <c r="D58" s="214"/>
      <c r="E58" s="214"/>
      <c r="F58" s="214"/>
      <c r="G58" s="214"/>
      <c r="H58" s="214"/>
      <c r="I58" s="214"/>
      <c r="J58" s="215"/>
      <c r="K58" s="213">
        <f>SUM(K57:N57)</f>
        <v>64</v>
      </c>
      <c r="L58" s="214"/>
      <c r="M58" s="214"/>
      <c r="N58" s="216"/>
      <c r="O58" s="217">
        <f>SUM(O57:R57)</f>
        <v>64</v>
      </c>
      <c r="P58" s="214"/>
      <c r="Q58" s="214"/>
      <c r="R58" s="216"/>
      <c r="S58" s="217">
        <f>SUM(S57:V57)</f>
        <v>64</v>
      </c>
      <c r="T58" s="214"/>
      <c r="U58" s="214"/>
      <c r="V58" s="215"/>
      <c r="W58" s="213">
        <f>SUM(K58:V58)</f>
        <v>192</v>
      </c>
      <c r="X58" s="215"/>
      <c r="Y58" s="11"/>
      <c r="AA58" s="218" t="s">
        <v>153</v>
      </c>
      <c r="AB58" s="218"/>
    </row>
    <row r="59" spans="2:29" ht="17.25" customHeight="1" thickBot="1">
      <c r="AA59" s="232" t="b">
        <f>W57&gt;=Y57</f>
        <v>1</v>
      </c>
      <c r="AB59" s="233"/>
    </row>
    <row r="60" spans="2:29" ht="17.25" customHeight="1"/>
    <row r="61" spans="2:29" ht="17.25" customHeight="1"/>
    <row r="62" spans="2:29" ht="17.25" customHeight="1"/>
    <row r="64" spans="2:29" ht="24.9" customHeight="1"/>
    <row r="65" ht="24.9" customHeight="1"/>
    <row r="66" ht="32.25" customHeight="1"/>
    <row r="67" ht="24.9" customHeight="1"/>
    <row r="69" ht="16.5" customHeight="1"/>
    <row r="70" ht="17.2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244.5" customHeight="1"/>
  </sheetData>
  <mergeCells count="449">
    <mergeCell ref="AA59:AB59"/>
    <mergeCell ref="W57:X57"/>
    <mergeCell ref="AA57:AB57"/>
    <mergeCell ref="B58:J58"/>
    <mergeCell ref="K58:N58"/>
    <mergeCell ref="O58:R58"/>
    <mergeCell ref="S58:V58"/>
    <mergeCell ref="W58:X58"/>
    <mergeCell ref="AA58:AB58"/>
    <mergeCell ref="U56:V56"/>
    <mergeCell ref="W56:X56"/>
    <mergeCell ref="AA56:AB56"/>
    <mergeCell ref="B57:J57"/>
    <mergeCell ref="K57:L57"/>
    <mergeCell ref="M57:N57"/>
    <mergeCell ref="O57:P57"/>
    <mergeCell ref="Q57:R57"/>
    <mergeCell ref="S57:T57"/>
    <mergeCell ref="U57:V57"/>
    <mergeCell ref="F56:J56"/>
    <mergeCell ref="K56:L56"/>
    <mergeCell ref="M56:N56"/>
    <mergeCell ref="O56:P56"/>
    <mergeCell ref="Q56:R56"/>
    <mergeCell ref="S56:T56"/>
    <mergeCell ref="U53:V53"/>
    <mergeCell ref="W53:X55"/>
    <mergeCell ref="Y53:Y55"/>
    <mergeCell ref="F54:J54"/>
    <mergeCell ref="K54:L54"/>
    <mergeCell ref="M54:N54"/>
    <mergeCell ref="O54:P54"/>
    <mergeCell ref="Q54:R54"/>
    <mergeCell ref="S54:T54"/>
    <mergeCell ref="U54:V54"/>
    <mergeCell ref="U52:V52"/>
    <mergeCell ref="W52:X52"/>
    <mergeCell ref="AA52:AB53"/>
    <mergeCell ref="B53:E56"/>
    <mergeCell ref="F53:J53"/>
    <mergeCell ref="K53:L53"/>
    <mergeCell ref="M53:N53"/>
    <mergeCell ref="O53:P53"/>
    <mergeCell ref="Q53:R53"/>
    <mergeCell ref="S53:T53"/>
    <mergeCell ref="B52:G52"/>
    <mergeCell ref="K52:L52"/>
    <mergeCell ref="M52:N52"/>
    <mergeCell ref="O52:P52"/>
    <mergeCell ref="Q52:R52"/>
    <mergeCell ref="S52:T52"/>
    <mergeCell ref="AA54:AB54"/>
    <mergeCell ref="F55:J55"/>
    <mergeCell ref="K55:L55"/>
    <mergeCell ref="M55:N55"/>
    <mergeCell ref="O55:P55"/>
    <mergeCell ref="Q55:R55"/>
    <mergeCell ref="S55:T55"/>
    <mergeCell ref="U55:V55"/>
    <mergeCell ref="W48:X49"/>
    <mergeCell ref="F49:G49"/>
    <mergeCell ref="K49:L49"/>
    <mergeCell ref="M49:N49"/>
    <mergeCell ref="O49:P49"/>
    <mergeCell ref="Q49:R49"/>
    <mergeCell ref="S49:T49"/>
    <mergeCell ref="U49:V49"/>
    <mergeCell ref="Q47:R47"/>
    <mergeCell ref="S47:T47"/>
    <mergeCell ref="O50:P51"/>
    <mergeCell ref="Q50:R51"/>
    <mergeCell ref="S50:T51"/>
    <mergeCell ref="U50:V51"/>
    <mergeCell ref="W50:X51"/>
    <mergeCell ref="Y50:Y51"/>
    <mergeCell ref="B50:G51"/>
    <mergeCell ref="H50:H51"/>
    <mergeCell ref="I50:I51"/>
    <mergeCell ref="J50:J51"/>
    <mergeCell ref="K50:L51"/>
    <mergeCell ref="M50:N51"/>
    <mergeCell ref="C48:C49"/>
    <mergeCell ref="F48:G48"/>
    <mergeCell ref="I48:I49"/>
    <mergeCell ref="K48:L48"/>
    <mergeCell ref="M48:N48"/>
    <mergeCell ref="O48:P48"/>
    <mergeCell ref="Q48:R48"/>
    <mergeCell ref="S48:T48"/>
    <mergeCell ref="U45:V45"/>
    <mergeCell ref="U47:V47"/>
    <mergeCell ref="U48:V48"/>
    <mergeCell ref="W45:X45"/>
    <mergeCell ref="B46:B49"/>
    <mergeCell ref="C46:C47"/>
    <mergeCell ref="F46:G46"/>
    <mergeCell ref="I46:I47"/>
    <mergeCell ref="J46:J49"/>
    <mergeCell ref="K46:L46"/>
    <mergeCell ref="M46:N46"/>
    <mergeCell ref="O46:P46"/>
    <mergeCell ref="F45:G45"/>
    <mergeCell ref="K45:L45"/>
    <mergeCell ref="M45:N45"/>
    <mergeCell ref="O45:P45"/>
    <mergeCell ref="Q45:R45"/>
    <mergeCell ref="S45:T45"/>
    <mergeCell ref="Q46:R46"/>
    <mergeCell ref="S46:T46"/>
    <mergeCell ref="U46:V46"/>
    <mergeCell ref="W46:X47"/>
    <mergeCell ref="F47:G47"/>
    <mergeCell ref="K47:L47"/>
    <mergeCell ref="M47:N47"/>
    <mergeCell ref="O47:P47"/>
    <mergeCell ref="B32:C45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Y32:Y49"/>
    <mergeCell ref="F33:G33"/>
    <mergeCell ref="K33:L33"/>
    <mergeCell ref="M33:N33"/>
    <mergeCell ref="O33:P33"/>
    <mergeCell ref="Q33:R33"/>
    <mergeCell ref="S33:T33"/>
    <mergeCell ref="U33:V33"/>
    <mergeCell ref="W33:X33"/>
    <mergeCell ref="F34:G34"/>
    <mergeCell ref="K34:L34"/>
    <mergeCell ref="M34:N34"/>
    <mergeCell ref="O34:P34"/>
    <mergeCell ref="Q34:R34"/>
    <mergeCell ref="S34:T34"/>
    <mergeCell ref="U34:V34"/>
    <mergeCell ref="W34:X34"/>
    <mergeCell ref="U35:V35"/>
    <mergeCell ref="W35:X35"/>
    <mergeCell ref="F36:G36"/>
    <mergeCell ref="K36:L36"/>
    <mergeCell ref="M36:N36"/>
    <mergeCell ref="O36:P36"/>
    <mergeCell ref="Q36:R36"/>
    <mergeCell ref="F32:G32"/>
    <mergeCell ref="K32:L32"/>
    <mergeCell ref="M32:N32"/>
    <mergeCell ref="O32:P32"/>
    <mergeCell ref="Q32:R32"/>
    <mergeCell ref="S32:T32"/>
    <mergeCell ref="U32:V32"/>
    <mergeCell ref="W32:X32"/>
    <mergeCell ref="S36:T36"/>
    <mergeCell ref="U36:V36"/>
    <mergeCell ref="W36:X36"/>
    <mergeCell ref="F35:G35"/>
    <mergeCell ref="K35:L35"/>
    <mergeCell ref="M35:N35"/>
    <mergeCell ref="O35:P35"/>
    <mergeCell ref="Q35:R35"/>
    <mergeCell ref="S35:T35"/>
    <mergeCell ref="B31:G31"/>
    <mergeCell ref="K31:L31"/>
    <mergeCell ref="M31:N31"/>
    <mergeCell ref="O31:P31"/>
    <mergeCell ref="Q31:R31"/>
    <mergeCell ref="S31:T31"/>
    <mergeCell ref="U31:V31"/>
    <mergeCell ref="W31:X31"/>
    <mergeCell ref="AA31:AB31"/>
    <mergeCell ref="D26:D27"/>
    <mergeCell ref="W28:X30"/>
    <mergeCell ref="Y28:Y30"/>
    <mergeCell ref="F29:G29"/>
    <mergeCell ref="K29:L29"/>
    <mergeCell ref="M29:N29"/>
    <mergeCell ref="O29:P29"/>
    <mergeCell ref="Q29:R29"/>
    <mergeCell ref="S29:T29"/>
    <mergeCell ref="U29:V29"/>
    <mergeCell ref="F30:G30"/>
    <mergeCell ref="M30:N30"/>
    <mergeCell ref="O30:P30"/>
    <mergeCell ref="Q30:R30"/>
    <mergeCell ref="S30:T30"/>
    <mergeCell ref="U30:V30"/>
    <mergeCell ref="D28:D30"/>
    <mergeCell ref="F28:G28"/>
    <mergeCell ref="K28:L28"/>
    <mergeCell ref="M28:N28"/>
    <mergeCell ref="O28:P28"/>
    <mergeCell ref="Q28:R28"/>
    <mergeCell ref="S28:T28"/>
    <mergeCell ref="U28:V28"/>
    <mergeCell ref="K30:L30"/>
    <mergeCell ref="S26:T26"/>
    <mergeCell ref="U26:V26"/>
    <mergeCell ref="W26:X27"/>
    <mergeCell ref="Y26:Y27"/>
    <mergeCell ref="F27:G27"/>
    <mergeCell ref="K27:L27"/>
    <mergeCell ref="M27:N27"/>
    <mergeCell ref="O27:P27"/>
    <mergeCell ref="Q27:R27"/>
    <mergeCell ref="S27:T27"/>
    <mergeCell ref="F26:G26"/>
    <mergeCell ref="K26:L26"/>
    <mergeCell ref="M26:N26"/>
    <mergeCell ref="O26:P26"/>
    <mergeCell ref="Q26:R26"/>
    <mergeCell ref="U27:V27"/>
    <mergeCell ref="S23:T23"/>
    <mergeCell ref="U23:V23"/>
    <mergeCell ref="S21:T21"/>
    <mergeCell ref="U21:V21"/>
    <mergeCell ref="Q24:R24"/>
    <mergeCell ref="S24:T24"/>
    <mergeCell ref="U24:V24"/>
    <mergeCell ref="F25:G25"/>
    <mergeCell ref="K25:L25"/>
    <mergeCell ref="M25:N25"/>
    <mergeCell ref="O25:P25"/>
    <mergeCell ref="Q25:R25"/>
    <mergeCell ref="S25:T25"/>
    <mergeCell ref="U25:V25"/>
    <mergeCell ref="X21:X25"/>
    <mergeCell ref="Y21:Y25"/>
    <mergeCell ref="F22:G22"/>
    <mergeCell ref="K22:L22"/>
    <mergeCell ref="M22:N22"/>
    <mergeCell ref="O22:P22"/>
    <mergeCell ref="Q22:R22"/>
    <mergeCell ref="S22:T22"/>
    <mergeCell ref="D21:D25"/>
    <mergeCell ref="F21:G21"/>
    <mergeCell ref="K21:L21"/>
    <mergeCell ref="M21:N21"/>
    <mergeCell ref="O21:P21"/>
    <mergeCell ref="Q21:R21"/>
    <mergeCell ref="F24:G24"/>
    <mergeCell ref="K24:L24"/>
    <mergeCell ref="M24:N24"/>
    <mergeCell ref="O24:P24"/>
    <mergeCell ref="U22:V22"/>
    <mergeCell ref="F23:G23"/>
    <mergeCell ref="K23:L23"/>
    <mergeCell ref="M23:N23"/>
    <mergeCell ref="O23:P23"/>
    <mergeCell ref="Q23:R23"/>
    <mergeCell ref="Q20:R20"/>
    <mergeCell ref="S20:T20"/>
    <mergeCell ref="U20:V20"/>
    <mergeCell ref="D19:D20"/>
    <mergeCell ref="F19:G19"/>
    <mergeCell ref="K19:L19"/>
    <mergeCell ref="M19:N19"/>
    <mergeCell ref="O19:P19"/>
    <mergeCell ref="Q19:R19"/>
    <mergeCell ref="AA16:AB16"/>
    <mergeCell ref="F17:G17"/>
    <mergeCell ref="K17:L17"/>
    <mergeCell ref="M17:N17"/>
    <mergeCell ref="O17:P17"/>
    <mergeCell ref="Q17:R17"/>
    <mergeCell ref="S17:T17"/>
    <mergeCell ref="U17:V17"/>
    <mergeCell ref="X17:X18"/>
    <mergeCell ref="Y17:Y20"/>
    <mergeCell ref="F18:G18"/>
    <mergeCell ref="K18:L18"/>
    <mergeCell ref="M18:N18"/>
    <mergeCell ref="O18:P18"/>
    <mergeCell ref="Q18:R18"/>
    <mergeCell ref="S18:T18"/>
    <mergeCell ref="U18:V18"/>
    <mergeCell ref="S19:T19"/>
    <mergeCell ref="U19:V19"/>
    <mergeCell ref="X19:X20"/>
    <mergeCell ref="F20:G20"/>
    <mergeCell ref="K20:L20"/>
    <mergeCell ref="M20:N20"/>
    <mergeCell ref="O20:P20"/>
    <mergeCell ref="X15:X16"/>
    <mergeCell ref="Y15:Y16"/>
    <mergeCell ref="F16:G16"/>
    <mergeCell ref="K16:L16"/>
    <mergeCell ref="M16:N16"/>
    <mergeCell ref="O16:P16"/>
    <mergeCell ref="Q16:R16"/>
    <mergeCell ref="S16:T16"/>
    <mergeCell ref="U16:V16"/>
    <mergeCell ref="D15:D18"/>
    <mergeCell ref="F15:G15"/>
    <mergeCell ref="K15:L15"/>
    <mergeCell ref="M15:N15"/>
    <mergeCell ref="O15:P15"/>
    <mergeCell ref="Q15:R15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D13:D14"/>
    <mergeCell ref="F13:G13"/>
    <mergeCell ref="K13:L13"/>
    <mergeCell ref="M13:N13"/>
    <mergeCell ref="O13:P13"/>
    <mergeCell ref="Q13:R13"/>
    <mergeCell ref="S15:T15"/>
    <mergeCell ref="U15:V15"/>
    <mergeCell ref="Q11:R11"/>
    <mergeCell ref="X9:X10"/>
    <mergeCell ref="Y9:Y14"/>
    <mergeCell ref="F10:G10"/>
    <mergeCell ref="K10:L10"/>
    <mergeCell ref="M10:N10"/>
    <mergeCell ref="O10:P10"/>
    <mergeCell ref="Q10:R10"/>
    <mergeCell ref="S10:T10"/>
    <mergeCell ref="U10:V10"/>
    <mergeCell ref="S11:T11"/>
    <mergeCell ref="U11:V11"/>
    <mergeCell ref="X11:X12"/>
    <mergeCell ref="F12:G12"/>
    <mergeCell ref="K12:L12"/>
    <mergeCell ref="M12:N12"/>
    <mergeCell ref="O12:P12"/>
    <mergeCell ref="Q12:R12"/>
    <mergeCell ref="S12:T12"/>
    <mergeCell ref="U12:V12"/>
    <mergeCell ref="AA8:AD8"/>
    <mergeCell ref="B9:C30"/>
    <mergeCell ref="D9:D10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D11:D12"/>
    <mergeCell ref="F11:G11"/>
    <mergeCell ref="K11:L11"/>
    <mergeCell ref="M11:N11"/>
    <mergeCell ref="O11:P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1:AB31 AC51 AA54:AB54 AA57:AB57 AA59:AB59">
    <cfRule type="containsText" dxfId="1" priority="1" operator="containsText" text="FALSE">
      <formula>NOT(ISERROR(SEARCH("FALSE",AA31)))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701E1D1-5006-4BD2-ACAE-E73DF96FAD7F}">
          <x14:formula1>
            <xm:f>삭제금지!$H$2:$H$18</xm:f>
          </x14:formula1>
          <xm:sqref>B5</xm:sqref>
        </x14:dataValidation>
        <x14:dataValidation type="list" allowBlank="1" showInputMessage="1" showErrorMessage="1" xr:uid="{50F4E719-D86E-4C08-A360-078C12AAE41F}">
          <x14:formula1>
            <xm:f>삭제금지!$L$2:$L$4</xm:f>
          </x14:formula1>
          <xm:sqref>T5:V5</xm:sqref>
        </x14:dataValidation>
        <x14:dataValidation type="list" allowBlank="1" showInputMessage="1" showErrorMessage="1" xr:uid="{17E7D555-50B8-4265-8A58-5B745B1745AD}">
          <x14:formula1>
            <xm:f>삭제금지!$K$2:$K$59</xm:f>
          </x14:formula1>
          <xm:sqref>K5:O5</xm:sqref>
        </x14:dataValidation>
        <x14:dataValidation type="list" allowBlank="1" showInputMessage="1" showErrorMessage="1" xr:uid="{1C29EEC3-3F7F-4830-8317-1DD80A3F3675}">
          <x14:formula1>
            <xm:f>삭제금지!$I$2:$I$18</xm:f>
          </x14:formula1>
          <xm:sqref>F5:G5</xm:sqref>
        </x14:dataValidation>
        <x14:dataValidation type="list" allowBlank="1" showInputMessage="1" showErrorMessage="1" xr:uid="{8C587546-66A4-4C72-8145-B343CAEEF3C6}">
          <x14:formula1>
            <xm:f>삭제금지!$J$2:$J$59</xm:f>
          </x14:formula1>
          <xm:sqref>H5:J5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FABD-CEB9-4C18-AC22-F5052FE7A085}">
  <sheetPr>
    <pageSetUpPr fitToPage="1"/>
  </sheetPr>
  <dimension ref="B1:AD88"/>
  <sheetViews>
    <sheetView view="pageBreakPreview" zoomScaleNormal="100" zoomScaleSheetLayoutView="100" workbookViewId="0">
      <pane ySplit="8" topLeftCell="A23" activePane="bottomLeft" state="frozen"/>
      <selection pane="bottomLeft" activeCell="F42" sqref="F42:G4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7.296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412" t="s">
        <v>506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3"/>
      <c r="V2" s="414" t="s">
        <v>130</v>
      </c>
      <c r="W2" s="415"/>
      <c r="X2" s="410">
        <v>2027</v>
      </c>
      <c r="Y2" s="411"/>
      <c r="AA2" s="416" t="s">
        <v>143</v>
      </c>
      <c r="AB2" s="19" t="s">
        <v>144</v>
      </c>
      <c r="AC2" s="31" t="s">
        <v>152</v>
      </c>
      <c r="AD2" s="20" t="s">
        <v>145</v>
      </c>
    </row>
    <row r="3" spans="2:30" ht="18" thickBot="1">
      <c r="B3" s="388" t="s">
        <v>353</v>
      </c>
      <c r="C3" s="390" t="s">
        <v>53</v>
      </c>
      <c r="D3" s="391"/>
      <c r="E3" s="391"/>
      <c r="F3" s="390" t="s">
        <v>64</v>
      </c>
      <c r="G3" s="394"/>
      <c r="H3" s="390" t="s">
        <v>54</v>
      </c>
      <c r="I3" s="391"/>
      <c r="J3" s="391"/>
      <c r="K3" s="390" t="s">
        <v>55</v>
      </c>
      <c r="L3" s="391"/>
      <c r="M3" s="391"/>
      <c r="N3" s="391"/>
      <c r="O3" s="394"/>
      <c r="P3" s="396" t="s">
        <v>56</v>
      </c>
      <c r="Q3" s="397"/>
      <c r="R3" s="397"/>
      <c r="S3" s="397"/>
      <c r="T3" s="397"/>
      <c r="U3" s="397"/>
      <c r="V3" s="397"/>
      <c r="W3" s="397"/>
      <c r="X3" s="397"/>
      <c r="Y3" s="398"/>
      <c r="AA3" s="417"/>
      <c r="AB3" s="21" t="s">
        <v>146</v>
      </c>
      <c r="AC3" s="38" t="s">
        <v>512</v>
      </c>
      <c r="AD3" s="22" t="s">
        <v>514</v>
      </c>
    </row>
    <row r="4" spans="2:30" ht="18" thickBot="1">
      <c r="B4" s="389"/>
      <c r="C4" s="392"/>
      <c r="D4" s="393"/>
      <c r="E4" s="393"/>
      <c r="F4" s="392"/>
      <c r="G4" s="395"/>
      <c r="H4" s="392"/>
      <c r="I4" s="393"/>
      <c r="J4" s="393"/>
      <c r="K4" s="392"/>
      <c r="L4" s="393"/>
      <c r="M4" s="393"/>
      <c r="N4" s="393"/>
      <c r="O4" s="395"/>
      <c r="P4" s="396" t="s">
        <v>127</v>
      </c>
      <c r="Q4" s="397"/>
      <c r="R4" s="397"/>
      <c r="S4" s="397"/>
      <c r="T4" s="396" t="s">
        <v>61</v>
      </c>
      <c r="U4" s="397"/>
      <c r="V4" s="398"/>
      <c r="W4" s="397" t="s">
        <v>128</v>
      </c>
      <c r="X4" s="397"/>
      <c r="Y4" s="398"/>
      <c r="AA4" s="417"/>
      <c r="AB4" s="23" t="s">
        <v>147</v>
      </c>
      <c r="AC4" s="39" t="s">
        <v>513</v>
      </c>
      <c r="AD4" s="22" t="s">
        <v>515</v>
      </c>
    </row>
    <row r="5" spans="2:30" ht="52.8" customHeight="1" thickBot="1">
      <c r="B5" s="63" t="s">
        <v>505</v>
      </c>
      <c r="C5" s="354" t="s">
        <v>507</v>
      </c>
      <c r="D5" s="355"/>
      <c r="E5" s="356"/>
      <c r="F5" s="354" t="s">
        <v>150</v>
      </c>
      <c r="G5" s="357"/>
      <c r="H5" s="358" t="s">
        <v>573</v>
      </c>
      <c r="I5" s="355"/>
      <c r="J5" s="356"/>
      <c r="K5" s="354" t="s">
        <v>733</v>
      </c>
      <c r="L5" s="355"/>
      <c r="M5" s="355"/>
      <c r="N5" s="355"/>
      <c r="O5" s="357"/>
      <c r="P5" s="358" t="s">
        <v>574</v>
      </c>
      <c r="Q5" s="355"/>
      <c r="R5" s="355"/>
      <c r="S5" s="356"/>
      <c r="T5" s="354" t="s">
        <v>575</v>
      </c>
      <c r="U5" s="355"/>
      <c r="V5" s="356"/>
      <c r="W5" s="359" t="s">
        <v>737</v>
      </c>
      <c r="X5" s="360"/>
      <c r="Y5" s="361"/>
      <c r="AA5" s="418"/>
      <c r="AB5" s="200" t="s">
        <v>148</v>
      </c>
      <c r="AC5" s="201" t="s">
        <v>729</v>
      </c>
      <c r="AD5" s="202" t="s">
        <v>730</v>
      </c>
    </row>
    <row r="6" spans="2:30" ht="15.75" customHeight="1" thickBot="1">
      <c r="U6" s="362"/>
      <c r="V6" s="362"/>
      <c r="W6" s="362"/>
      <c r="X6" s="362"/>
      <c r="Y6" s="362"/>
    </row>
    <row r="7" spans="2:30" s="10" customFormat="1" ht="22.5" customHeight="1">
      <c r="B7" s="363" t="s">
        <v>2</v>
      </c>
      <c r="C7" s="364"/>
      <c r="D7" s="367" t="s">
        <v>120</v>
      </c>
      <c r="E7" s="369" t="s">
        <v>57</v>
      </c>
      <c r="F7" s="370"/>
      <c r="G7" s="371"/>
      <c r="H7" s="372" t="s">
        <v>133</v>
      </c>
      <c r="I7" s="375" t="s">
        <v>134</v>
      </c>
      <c r="J7" s="379" t="s">
        <v>135</v>
      </c>
      <c r="K7" s="374" t="s">
        <v>58</v>
      </c>
      <c r="L7" s="375"/>
      <c r="M7" s="375"/>
      <c r="N7" s="376"/>
      <c r="O7" s="377" t="s">
        <v>59</v>
      </c>
      <c r="P7" s="375"/>
      <c r="Q7" s="375"/>
      <c r="R7" s="376"/>
      <c r="S7" s="374" t="s">
        <v>60</v>
      </c>
      <c r="T7" s="375"/>
      <c r="U7" s="375"/>
      <c r="V7" s="378"/>
      <c r="W7" s="372" t="s">
        <v>136</v>
      </c>
      <c r="X7" s="379"/>
      <c r="Y7" s="371" t="s">
        <v>137</v>
      </c>
      <c r="Z7" s="9"/>
    </row>
    <row r="8" spans="2:30" s="10" customFormat="1" ht="22.5" customHeight="1" thickBot="1">
      <c r="B8" s="365"/>
      <c r="C8" s="366"/>
      <c r="D8" s="368"/>
      <c r="E8" s="24" t="s">
        <v>18</v>
      </c>
      <c r="F8" s="382" t="s">
        <v>19</v>
      </c>
      <c r="G8" s="383"/>
      <c r="H8" s="373"/>
      <c r="I8" s="385"/>
      <c r="J8" s="380"/>
      <c r="K8" s="384" t="s">
        <v>0</v>
      </c>
      <c r="L8" s="385"/>
      <c r="M8" s="385" t="s">
        <v>62</v>
      </c>
      <c r="N8" s="386"/>
      <c r="O8" s="387" t="s">
        <v>0</v>
      </c>
      <c r="P8" s="385"/>
      <c r="Q8" s="385" t="s">
        <v>62</v>
      </c>
      <c r="R8" s="386"/>
      <c r="S8" s="384" t="s">
        <v>0</v>
      </c>
      <c r="T8" s="385"/>
      <c r="U8" s="385" t="s">
        <v>62</v>
      </c>
      <c r="V8" s="419"/>
      <c r="W8" s="373"/>
      <c r="X8" s="380"/>
      <c r="Y8" s="381"/>
      <c r="AA8" s="212" t="s">
        <v>493</v>
      </c>
      <c r="AB8" s="212"/>
      <c r="AC8" s="212"/>
      <c r="AD8" s="212"/>
    </row>
    <row r="9" spans="2:30" ht="16.5" customHeight="1" thickBot="1">
      <c r="B9" s="399" t="s">
        <v>337</v>
      </c>
      <c r="C9" s="400"/>
      <c r="D9" s="320" t="s">
        <v>21</v>
      </c>
      <c r="E9" s="40" t="s">
        <v>12</v>
      </c>
      <c r="F9" s="302" t="s">
        <v>201</v>
      </c>
      <c r="G9" s="322"/>
      <c r="H9" s="41">
        <v>4</v>
      </c>
      <c r="I9" s="42" t="s">
        <v>338</v>
      </c>
      <c r="J9" s="135">
        <v>4</v>
      </c>
      <c r="K9" s="302"/>
      <c r="L9" s="303"/>
      <c r="M9" s="304"/>
      <c r="N9" s="305"/>
      <c r="O9" s="335">
        <v>4</v>
      </c>
      <c r="P9" s="303"/>
      <c r="Q9" s="304"/>
      <c r="R9" s="305"/>
      <c r="S9" s="335"/>
      <c r="T9" s="303"/>
      <c r="U9" s="304"/>
      <c r="V9" s="322"/>
      <c r="W9" s="43">
        <f>SUM(K9:V9)</f>
        <v>4</v>
      </c>
      <c r="X9" s="345">
        <f>SUM(W9:W10)</f>
        <v>8</v>
      </c>
      <c r="Y9" s="327">
        <v>24</v>
      </c>
      <c r="AA9" s="124" t="s">
        <v>18</v>
      </c>
      <c r="AB9" s="125" t="s">
        <v>498</v>
      </c>
      <c r="AC9" s="125" t="s">
        <v>499</v>
      </c>
      <c r="AD9" s="126" t="s">
        <v>500</v>
      </c>
    </row>
    <row r="10" spans="2:30" ht="18" thickBot="1">
      <c r="B10" s="401"/>
      <c r="C10" s="402"/>
      <c r="D10" s="321"/>
      <c r="E10" s="44" t="s">
        <v>12</v>
      </c>
      <c r="F10" s="296" t="s">
        <v>202</v>
      </c>
      <c r="G10" s="326"/>
      <c r="H10" s="45">
        <v>4</v>
      </c>
      <c r="I10" s="46" t="s">
        <v>338</v>
      </c>
      <c r="J10" s="136">
        <v>4</v>
      </c>
      <c r="K10" s="296"/>
      <c r="L10" s="297"/>
      <c r="M10" s="298"/>
      <c r="N10" s="299"/>
      <c r="O10" s="323"/>
      <c r="P10" s="297"/>
      <c r="Q10" s="298">
        <v>4</v>
      </c>
      <c r="R10" s="299"/>
      <c r="S10" s="323"/>
      <c r="T10" s="297"/>
      <c r="U10" s="298"/>
      <c r="V10" s="326"/>
      <c r="W10" s="47">
        <f t="shared" ref="W10:W20" si="0">SUM(K10:V10)</f>
        <v>4</v>
      </c>
      <c r="X10" s="351"/>
      <c r="Y10" s="327"/>
      <c r="AA10" s="127" t="s">
        <v>495</v>
      </c>
      <c r="AB10" s="128">
        <v>4</v>
      </c>
      <c r="AC10" s="128">
        <v>-1</v>
      </c>
      <c r="AD10" s="22" t="s">
        <v>338</v>
      </c>
    </row>
    <row r="11" spans="2:30" ht="18" thickBot="1">
      <c r="B11" s="401"/>
      <c r="C11" s="402"/>
      <c r="D11" s="320" t="s">
        <v>5</v>
      </c>
      <c r="E11" s="40" t="s">
        <v>12</v>
      </c>
      <c r="F11" s="302" t="s">
        <v>213</v>
      </c>
      <c r="G11" s="322"/>
      <c r="H11" s="41">
        <v>4</v>
      </c>
      <c r="I11" s="42" t="s">
        <v>338</v>
      </c>
      <c r="J11" s="135">
        <v>4</v>
      </c>
      <c r="K11" s="302">
        <v>4</v>
      </c>
      <c r="L11" s="303"/>
      <c r="M11" s="304"/>
      <c r="N11" s="305"/>
      <c r="O11" s="335"/>
      <c r="P11" s="303"/>
      <c r="Q11" s="304"/>
      <c r="R11" s="305"/>
      <c r="S11" s="335"/>
      <c r="T11" s="303"/>
      <c r="U11" s="304"/>
      <c r="V11" s="322"/>
      <c r="W11" s="43">
        <f t="shared" si="0"/>
        <v>4</v>
      </c>
      <c r="X11" s="345">
        <f>SUM(W11:W12)</f>
        <v>8</v>
      </c>
      <c r="Y11" s="327"/>
      <c r="AA11" s="127" t="s">
        <v>496</v>
      </c>
      <c r="AB11" s="128">
        <v>4</v>
      </c>
      <c r="AC11" s="128" t="s">
        <v>504</v>
      </c>
      <c r="AD11" s="22" t="s">
        <v>340</v>
      </c>
    </row>
    <row r="12" spans="2:30" ht="18" thickBot="1">
      <c r="B12" s="401"/>
      <c r="C12" s="402"/>
      <c r="D12" s="321"/>
      <c r="E12" s="44" t="s">
        <v>12</v>
      </c>
      <c r="F12" s="296" t="s">
        <v>215</v>
      </c>
      <c r="G12" s="326"/>
      <c r="H12" s="45">
        <v>4</v>
      </c>
      <c r="I12" s="46" t="s">
        <v>338</v>
      </c>
      <c r="J12" s="136">
        <v>4</v>
      </c>
      <c r="K12" s="296"/>
      <c r="L12" s="297"/>
      <c r="M12" s="298">
        <v>4</v>
      </c>
      <c r="N12" s="299"/>
      <c r="O12" s="323"/>
      <c r="P12" s="297"/>
      <c r="Q12" s="298"/>
      <c r="R12" s="299"/>
      <c r="S12" s="323"/>
      <c r="T12" s="297"/>
      <c r="U12" s="298"/>
      <c r="V12" s="326"/>
      <c r="W12" s="47">
        <f t="shared" si="0"/>
        <v>4</v>
      </c>
      <c r="X12" s="351"/>
      <c r="Y12" s="327"/>
      <c r="AA12" s="127" t="s">
        <v>497</v>
      </c>
      <c r="AB12" s="128">
        <v>3</v>
      </c>
      <c r="AC12" s="128" t="s">
        <v>504</v>
      </c>
      <c r="AD12" s="22" t="s">
        <v>345</v>
      </c>
    </row>
    <row r="13" spans="2:30" ht="18" thickBot="1">
      <c r="B13" s="401"/>
      <c r="C13" s="402"/>
      <c r="D13" s="320" t="s">
        <v>6</v>
      </c>
      <c r="E13" s="40" t="s">
        <v>12</v>
      </c>
      <c r="F13" s="302" t="s">
        <v>220</v>
      </c>
      <c r="G13" s="322"/>
      <c r="H13" s="41">
        <v>4</v>
      </c>
      <c r="I13" s="42" t="s">
        <v>338</v>
      </c>
      <c r="J13" s="135">
        <v>4</v>
      </c>
      <c r="K13" s="302"/>
      <c r="L13" s="303"/>
      <c r="M13" s="304"/>
      <c r="N13" s="305"/>
      <c r="O13" s="335">
        <v>4</v>
      </c>
      <c r="P13" s="303"/>
      <c r="Q13" s="304"/>
      <c r="R13" s="305"/>
      <c r="S13" s="335"/>
      <c r="T13" s="303"/>
      <c r="U13" s="304"/>
      <c r="V13" s="322"/>
      <c r="W13" s="43">
        <f t="shared" si="0"/>
        <v>4</v>
      </c>
      <c r="X13" s="345">
        <f>SUM(W13:W14)</f>
        <v>8</v>
      </c>
      <c r="Y13" s="327"/>
    </row>
    <row r="14" spans="2:30" ht="18" thickBot="1">
      <c r="B14" s="401"/>
      <c r="C14" s="402"/>
      <c r="D14" s="321"/>
      <c r="E14" s="44" t="s">
        <v>12</v>
      </c>
      <c r="F14" s="296" t="s">
        <v>226</v>
      </c>
      <c r="G14" s="326"/>
      <c r="H14" s="45">
        <v>4</v>
      </c>
      <c r="I14" s="46" t="s">
        <v>338</v>
      </c>
      <c r="J14" s="136">
        <v>4</v>
      </c>
      <c r="K14" s="296"/>
      <c r="L14" s="297"/>
      <c r="M14" s="298"/>
      <c r="N14" s="299"/>
      <c r="O14" s="323"/>
      <c r="P14" s="297"/>
      <c r="Q14" s="298">
        <v>4</v>
      </c>
      <c r="R14" s="299"/>
      <c r="S14" s="323"/>
      <c r="T14" s="297"/>
      <c r="U14" s="298"/>
      <c r="V14" s="326"/>
      <c r="W14" s="47">
        <f t="shared" si="0"/>
        <v>4</v>
      </c>
      <c r="X14" s="351"/>
      <c r="Y14" s="327"/>
    </row>
    <row r="15" spans="2:30" ht="18" thickBot="1">
      <c r="B15" s="401"/>
      <c r="C15" s="402"/>
      <c r="D15" s="320" t="s">
        <v>341</v>
      </c>
      <c r="E15" s="40" t="s">
        <v>12</v>
      </c>
      <c r="F15" s="302" t="s">
        <v>234</v>
      </c>
      <c r="G15" s="322"/>
      <c r="H15" s="41">
        <v>3</v>
      </c>
      <c r="I15" s="52" t="s">
        <v>342</v>
      </c>
      <c r="J15" s="135">
        <v>3</v>
      </c>
      <c r="K15" s="343">
        <v>3</v>
      </c>
      <c r="L15" s="344"/>
      <c r="M15" s="405"/>
      <c r="N15" s="406"/>
      <c r="O15" s="407"/>
      <c r="P15" s="344"/>
      <c r="Q15" s="405"/>
      <c r="R15" s="406"/>
      <c r="S15" s="407"/>
      <c r="T15" s="344"/>
      <c r="U15" s="405"/>
      <c r="V15" s="423"/>
      <c r="W15" s="43">
        <f t="shared" si="0"/>
        <v>3</v>
      </c>
      <c r="X15" s="345">
        <f>SUM(W15:W16)</f>
        <v>6</v>
      </c>
      <c r="Y15" s="327">
        <v>6</v>
      </c>
    </row>
    <row r="16" spans="2:30" ht="18" thickBot="1">
      <c r="B16" s="401"/>
      <c r="C16" s="402"/>
      <c r="D16" s="321"/>
      <c r="E16" s="53" t="s">
        <v>12</v>
      </c>
      <c r="F16" s="347" t="s">
        <v>235</v>
      </c>
      <c r="G16" s="348"/>
      <c r="H16" s="54">
        <v>3</v>
      </c>
      <c r="I16" s="55" t="s">
        <v>342</v>
      </c>
      <c r="J16" s="137">
        <v>3</v>
      </c>
      <c r="K16" s="330"/>
      <c r="L16" s="332"/>
      <c r="M16" s="340">
        <v>3</v>
      </c>
      <c r="N16" s="341"/>
      <c r="O16" s="342"/>
      <c r="P16" s="332"/>
      <c r="Q16" s="340"/>
      <c r="R16" s="341"/>
      <c r="S16" s="342"/>
      <c r="T16" s="332"/>
      <c r="U16" s="340"/>
      <c r="V16" s="331"/>
      <c r="W16" s="56">
        <f t="shared" si="0"/>
        <v>3</v>
      </c>
      <c r="X16" s="346"/>
      <c r="Y16" s="327"/>
      <c r="AA16" s="218"/>
      <c r="AB16" s="218"/>
      <c r="AC16" s="132"/>
    </row>
    <row r="17" spans="2:28" ht="18" thickBot="1">
      <c r="B17" s="401"/>
      <c r="C17" s="402"/>
      <c r="D17" s="321"/>
      <c r="E17" s="40" t="s">
        <v>12</v>
      </c>
      <c r="F17" s="302" t="s">
        <v>237</v>
      </c>
      <c r="G17" s="322"/>
      <c r="H17" s="41">
        <v>4</v>
      </c>
      <c r="I17" s="52" t="s">
        <v>338</v>
      </c>
      <c r="J17" s="135">
        <v>4</v>
      </c>
      <c r="K17" s="302"/>
      <c r="L17" s="303"/>
      <c r="M17" s="304"/>
      <c r="N17" s="305"/>
      <c r="O17" s="335">
        <v>4</v>
      </c>
      <c r="P17" s="303"/>
      <c r="Q17" s="304"/>
      <c r="R17" s="305"/>
      <c r="S17" s="335"/>
      <c r="T17" s="303"/>
      <c r="U17" s="304"/>
      <c r="V17" s="322"/>
      <c r="W17" s="43">
        <f t="shared" si="0"/>
        <v>4</v>
      </c>
      <c r="X17" s="345">
        <f>SUM(W17:W18)</f>
        <v>8</v>
      </c>
      <c r="Y17" s="327">
        <v>12</v>
      </c>
    </row>
    <row r="18" spans="2:28" ht="18" thickBot="1">
      <c r="B18" s="401"/>
      <c r="C18" s="402"/>
      <c r="D18" s="336"/>
      <c r="E18" s="51" t="s">
        <v>12</v>
      </c>
      <c r="F18" s="330" t="s">
        <v>238</v>
      </c>
      <c r="G18" s="331"/>
      <c r="H18" s="49">
        <v>4</v>
      </c>
      <c r="I18" s="50" t="s">
        <v>338</v>
      </c>
      <c r="J18" s="138">
        <v>4</v>
      </c>
      <c r="K18" s="330"/>
      <c r="L18" s="332"/>
      <c r="M18" s="340"/>
      <c r="N18" s="341"/>
      <c r="O18" s="342"/>
      <c r="P18" s="332"/>
      <c r="Q18" s="340">
        <v>4</v>
      </c>
      <c r="R18" s="341"/>
      <c r="S18" s="342"/>
      <c r="T18" s="332"/>
      <c r="U18" s="340"/>
      <c r="V18" s="331"/>
      <c r="W18" s="56">
        <f t="shared" si="0"/>
        <v>4</v>
      </c>
      <c r="X18" s="346"/>
      <c r="Y18" s="327"/>
    </row>
    <row r="19" spans="2:28" ht="18" thickBot="1">
      <c r="B19" s="401"/>
      <c r="C19" s="402"/>
      <c r="D19" s="320" t="s">
        <v>26</v>
      </c>
      <c r="E19" s="40" t="s">
        <v>12</v>
      </c>
      <c r="F19" s="302" t="s">
        <v>255</v>
      </c>
      <c r="G19" s="322"/>
      <c r="H19" s="41">
        <v>4</v>
      </c>
      <c r="I19" s="52" t="s">
        <v>338</v>
      </c>
      <c r="J19" s="135">
        <v>4</v>
      </c>
      <c r="K19" s="302">
        <v>4</v>
      </c>
      <c r="L19" s="303"/>
      <c r="M19" s="304"/>
      <c r="N19" s="305"/>
      <c r="O19" s="335"/>
      <c r="P19" s="303"/>
      <c r="Q19" s="304"/>
      <c r="R19" s="305"/>
      <c r="S19" s="335"/>
      <c r="T19" s="303"/>
      <c r="U19" s="304"/>
      <c r="V19" s="322"/>
      <c r="W19" s="43">
        <f t="shared" si="0"/>
        <v>4</v>
      </c>
      <c r="X19" s="400">
        <f>SUM(W19:W20)</f>
        <v>8</v>
      </c>
      <c r="Y19" s="327"/>
    </row>
    <row r="20" spans="2:28" ht="18" thickBot="1">
      <c r="B20" s="401"/>
      <c r="C20" s="402"/>
      <c r="D20" s="321"/>
      <c r="E20" s="44" t="s">
        <v>12</v>
      </c>
      <c r="F20" s="296" t="s">
        <v>256</v>
      </c>
      <c r="G20" s="326"/>
      <c r="H20" s="45">
        <v>4</v>
      </c>
      <c r="I20" s="46" t="s">
        <v>338</v>
      </c>
      <c r="J20" s="136">
        <v>4</v>
      </c>
      <c r="K20" s="296"/>
      <c r="L20" s="297"/>
      <c r="M20" s="298">
        <v>4</v>
      </c>
      <c r="N20" s="299"/>
      <c r="O20" s="323"/>
      <c r="P20" s="297"/>
      <c r="Q20" s="298"/>
      <c r="R20" s="299"/>
      <c r="S20" s="323"/>
      <c r="T20" s="297"/>
      <c r="U20" s="298"/>
      <c r="V20" s="326"/>
      <c r="W20" s="47">
        <f t="shared" si="0"/>
        <v>4</v>
      </c>
      <c r="X20" s="402"/>
      <c r="Y20" s="327"/>
    </row>
    <row r="21" spans="2:28" ht="16.5" customHeight="1" thickBot="1">
      <c r="B21" s="401"/>
      <c r="C21" s="402"/>
      <c r="D21" s="320" t="s">
        <v>8</v>
      </c>
      <c r="E21" s="40" t="s">
        <v>343</v>
      </c>
      <c r="F21" s="302" t="s">
        <v>344</v>
      </c>
      <c r="G21" s="322"/>
      <c r="H21" s="41">
        <v>3</v>
      </c>
      <c r="I21" s="52" t="s">
        <v>345</v>
      </c>
      <c r="J21" s="135">
        <f t="shared" ref="J21:J22" si="1">SUM(K21:V21)</f>
        <v>2</v>
      </c>
      <c r="K21" s="302">
        <v>2</v>
      </c>
      <c r="L21" s="303"/>
      <c r="M21" s="304"/>
      <c r="N21" s="305"/>
      <c r="O21" s="335"/>
      <c r="P21" s="303"/>
      <c r="Q21" s="304"/>
      <c r="R21" s="305"/>
      <c r="S21" s="335"/>
      <c r="T21" s="303"/>
      <c r="U21" s="304"/>
      <c r="V21" s="322"/>
      <c r="W21" s="43">
        <f>SUM(K21:V21)</f>
        <v>2</v>
      </c>
      <c r="X21" s="337">
        <f>SUM(W21:W25)</f>
        <v>8</v>
      </c>
      <c r="Y21" s="327">
        <v>8</v>
      </c>
    </row>
    <row r="22" spans="2:28" ht="18" thickBot="1">
      <c r="B22" s="401"/>
      <c r="C22" s="402"/>
      <c r="D22" s="321"/>
      <c r="E22" s="44" t="s">
        <v>343</v>
      </c>
      <c r="F22" s="296" t="s">
        <v>346</v>
      </c>
      <c r="G22" s="326"/>
      <c r="H22" s="45">
        <v>3</v>
      </c>
      <c r="I22" s="46" t="s">
        <v>345</v>
      </c>
      <c r="J22" s="136">
        <f t="shared" si="1"/>
        <v>2</v>
      </c>
      <c r="K22" s="296"/>
      <c r="L22" s="297"/>
      <c r="M22" s="298">
        <v>2</v>
      </c>
      <c r="N22" s="299"/>
      <c r="O22" s="323"/>
      <c r="P22" s="297"/>
      <c r="Q22" s="298"/>
      <c r="R22" s="299"/>
      <c r="S22" s="323"/>
      <c r="T22" s="297"/>
      <c r="U22" s="298"/>
      <c r="V22" s="326"/>
      <c r="W22" s="47">
        <f t="shared" ref="W22:W25" si="2">SUM(K22:V22)</f>
        <v>2</v>
      </c>
      <c r="X22" s="338"/>
      <c r="Y22" s="327"/>
    </row>
    <row r="23" spans="2:28" ht="18" thickBot="1">
      <c r="B23" s="401"/>
      <c r="C23" s="402"/>
      <c r="D23" s="321"/>
      <c r="E23" s="44" t="s">
        <v>339</v>
      </c>
      <c r="F23" s="296" t="s">
        <v>361</v>
      </c>
      <c r="G23" s="326"/>
      <c r="H23" s="45">
        <v>3</v>
      </c>
      <c r="I23" s="46" t="s">
        <v>347</v>
      </c>
      <c r="J23" s="136">
        <v>1</v>
      </c>
      <c r="K23" s="296"/>
      <c r="L23" s="297"/>
      <c r="M23" s="298"/>
      <c r="N23" s="299"/>
      <c r="O23" s="323">
        <v>1</v>
      </c>
      <c r="P23" s="297"/>
      <c r="Q23" s="298"/>
      <c r="R23" s="299"/>
      <c r="S23" s="323"/>
      <c r="T23" s="297"/>
      <c r="U23" s="298"/>
      <c r="V23" s="326"/>
      <c r="W23" s="47">
        <f t="shared" si="2"/>
        <v>1</v>
      </c>
      <c r="X23" s="338"/>
      <c r="Y23" s="327"/>
    </row>
    <row r="24" spans="2:28" ht="18" thickBot="1">
      <c r="B24" s="401"/>
      <c r="C24" s="402"/>
      <c r="D24" s="321"/>
      <c r="E24" s="44" t="s">
        <v>339</v>
      </c>
      <c r="F24" s="296" t="s">
        <v>516</v>
      </c>
      <c r="G24" s="326"/>
      <c r="H24" s="45">
        <v>3</v>
      </c>
      <c r="I24" s="46" t="s">
        <v>345</v>
      </c>
      <c r="J24" s="136">
        <v>2</v>
      </c>
      <c r="K24" s="296"/>
      <c r="L24" s="297"/>
      <c r="M24" s="298"/>
      <c r="N24" s="299"/>
      <c r="O24" s="323"/>
      <c r="P24" s="297"/>
      <c r="Q24" s="298">
        <v>2</v>
      </c>
      <c r="R24" s="299"/>
      <c r="S24" s="323"/>
      <c r="T24" s="297"/>
      <c r="U24" s="298"/>
      <c r="V24" s="326"/>
      <c r="W24" s="47">
        <f t="shared" si="2"/>
        <v>2</v>
      </c>
      <c r="X24" s="338"/>
      <c r="Y24" s="327"/>
    </row>
    <row r="25" spans="2:28" ht="18" thickBot="1">
      <c r="B25" s="401"/>
      <c r="C25" s="402"/>
      <c r="D25" s="336"/>
      <c r="E25" s="51" t="s">
        <v>339</v>
      </c>
      <c r="F25" s="330" t="s">
        <v>517</v>
      </c>
      <c r="G25" s="331"/>
      <c r="H25" s="49">
        <v>2</v>
      </c>
      <c r="I25" s="50" t="s">
        <v>347</v>
      </c>
      <c r="J25" s="138">
        <v>1</v>
      </c>
      <c r="K25" s="330"/>
      <c r="L25" s="332"/>
      <c r="M25" s="340"/>
      <c r="N25" s="341"/>
      <c r="O25" s="342"/>
      <c r="P25" s="332"/>
      <c r="Q25" s="340"/>
      <c r="R25" s="341"/>
      <c r="S25" s="342">
        <v>1</v>
      </c>
      <c r="T25" s="332"/>
      <c r="U25" s="340"/>
      <c r="V25" s="331"/>
      <c r="W25" s="56">
        <f t="shared" si="2"/>
        <v>1</v>
      </c>
      <c r="X25" s="339"/>
      <c r="Y25" s="327"/>
    </row>
    <row r="26" spans="2:28" ht="18" thickBot="1">
      <c r="B26" s="401"/>
      <c r="C26" s="402"/>
      <c r="D26" s="320" t="s">
        <v>28</v>
      </c>
      <c r="E26" s="40" t="s">
        <v>343</v>
      </c>
      <c r="F26" s="302" t="s">
        <v>47</v>
      </c>
      <c r="G26" s="322"/>
      <c r="H26" s="41">
        <v>3</v>
      </c>
      <c r="I26" s="57" t="s">
        <v>345</v>
      </c>
      <c r="J26" s="135">
        <v>4</v>
      </c>
      <c r="K26" s="302">
        <v>4</v>
      </c>
      <c r="L26" s="303"/>
      <c r="M26" s="304"/>
      <c r="N26" s="305"/>
      <c r="O26" s="335"/>
      <c r="P26" s="303"/>
      <c r="Q26" s="304"/>
      <c r="R26" s="305"/>
      <c r="S26" s="335"/>
      <c r="T26" s="303"/>
      <c r="U26" s="304"/>
      <c r="V26" s="322"/>
      <c r="W26" s="270">
        <f>SUM(K26:V27)</f>
        <v>8</v>
      </c>
      <c r="X26" s="271"/>
      <c r="Y26" s="327">
        <v>6</v>
      </c>
    </row>
    <row r="27" spans="2:28" ht="18" thickBot="1">
      <c r="B27" s="401"/>
      <c r="C27" s="402"/>
      <c r="D27" s="321"/>
      <c r="E27" s="48" t="s">
        <v>343</v>
      </c>
      <c r="F27" s="296" t="s">
        <v>283</v>
      </c>
      <c r="G27" s="326"/>
      <c r="H27" s="45">
        <v>3</v>
      </c>
      <c r="I27" s="46" t="s">
        <v>345</v>
      </c>
      <c r="J27" s="136">
        <v>4</v>
      </c>
      <c r="K27" s="296"/>
      <c r="L27" s="297"/>
      <c r="M27" s="298">
        <v>4</v>
      </c>
      <c r="N27" s="299"/>
      <c r="O27" s="323"/>
      <c r="P27" s="297"/>
      <c r="Q27" s="298"/>
      <c r="R27" s="299"/>
      <c r="S27" s="323"/>
      <c r="T27" s="297"/>
      <c r="U27" s="298"/>
      <c r="V27" s="326"/>
      <c r="W27" s="272"/>
      <c r="X27" s="273"/>
      <c r="Y27" s="327"/>
    </row>
    <row r="28" spans="2:28" ht="16.5" customHeight="1" thickBot="1">
      <c r="B28" s="401"/>
      <c r="C28" s="402"/>
      <c r="D28" s="328" t="s">
        <v>348</v>
      </c>
      <c r="E28" s="40" t="s">
        <v>339</v>
      </c>
      <c r="F28" s="302" t="s">
        <v>50</v>
      </c>
      <c r="G28" s="322"/>
      <c r="H28" s="41">
        <v>3</v>
      </c>
      <c r="I28" s="52" t="s">
        <v>345</v>
      </c>
      <c r="J28" s="135">
        <v>2</v>
      </c>
      <c r="K28" s="302">
        <v>2</v>
      </c>
      <c r="L28" s="303"/>
      <c r="M28" s="304"/>
      <c r="N28" s="305"/>
      <c r="O28" s="335"/>
      <c r="P28" s="303"/>
      <c r="Q28" s="304"/>
      <c r="R28" s="305"/>
      <c r="S28" s="335"/>
      <c r="T28" s="303"/>
      <c r="U28" s="304"/>
      <c r="V28" s="322"/>
      <c r="W28" s="270">
        <f>SUM(K28:V30)</f>
        <v>8</v>
      </c>
      <c r="X28" s="271"/>
      <c r="Y28" s="327">
        <v>8</v>
      </c>
    </row>
    <row r="29" spans="2:28" ht="16.5" customHeight="1" thickBot="1">
      <c r="B29" s="401"/>
      <c r="C29" s="402"/>
      <c r="D29" s="329"/>
      <c r="E29" s="48" t="s">
        <v>343</v>
      </c>
      <c r="F29" s="296" t="s">
        <v>748</v>
      </c>
      <c r="G29" s="326"/>
      <c r="H29" s="45">
        <v>3</v>
      </c>
      <c r="I29" s="46" t="s">
        <v>345</v>
      </c>
      <c r="J29" s="136">
        <v>3</v>
      </c>
      <c r="K29" s="296">
        <v>3</v>
      </c>
      <c r="L29" s="297"/>
      <c r="M29" s="298"/>
      <c r="N29" s="299"/>
      <c r="O29" s="323"/>
      <c r="P29" s="297"/>
      <c r="Q29" s="298"/>
      <c r="R29" s="299"/>
      <c r="S29" s="323"/>
      <c r="T29" s="297"/>
      <c r="U29" s="298"/>
      <c r="V29" s="326"/>
      <c r="W29" s="272"/>
      <c r="X29" s="273"/>
      <c r="Y29" s="327"/>
    </row>
    <row r="30" spans="2:28" ht="18" thickBot="1">
      <c r="B30" s="403"/>
      <c r="C30" s="404"/>
      <c r="D30" s="329"/>
      <c r="E30" s="48" t="s">
        <v>343</v>
      </c>
      <c r="F30" s="330" t="s">
        <v>749</v>
      </c>
      <c r="G30" s="331"/>
      <c r="H30" s="49">
        <v>3</v>
      </c>
      <c r="I30" s="50" t="s">
        <v>345</v>
      </c>
      <c r="J30" s="138">
        <v>3</v>
      </c>
      <c r="K30" s="330"/>
      <c r="L30" s="332"/>
      <c r="M30" s="340">
        <v>3</v>
      </c>
      <c r="N30" s="341"/>
      <c r="O30" s="323"/>
      <c r="P30" s="297"/>
      <c r="Q30" s="298"/>
      <c r="R30" s="299"/>
      <c r="S30" s="323"/>
      <c r="T30" s="297"/>
      <c r="U30" s="298"/>
      <c r="V30" s="326"/>
      <c r="W30" s="272"/>
      <c r="X30" s="273"/>
      <c r="Y30" s="327"/>
    </row>
    <row r="31" spans="2:28" ht="24.75" customHeight="1" thickBot="1">
      <c r="B31" s="213" t="s">
        <v>354</v>
      </c>
      <c r="C31" s="214"/>
      <c r="D31" s="214"/>
      <c r="E31" s="214"/>
      <c r="F31" s="214"/>
      <c r="G31" s="215"/>
      <c r="H31" s="131">
        <f>SUM(H17:H30)</f>
        <v>45</v>
      </c>
      <c r="I31" s="18"/>
      <c r="J31" s="130">
        <f>SUM(J17:J30)</f>
        <v>40</v>
      </c>
      <c r="K31" s="312">
        <f>SUM(K9:L30)</f>
        <v>22</v>
      </c>
      <c r="L31" s="313"/>
      <c r="M31" s="313">
        <f>SUM(M9:N30)</f>
        <v>20</v>
      </c>
      <c r="N31" s="239"/>
      <c r="O31" s="420">
        <f>SUM(O9:P30)</f>
        <v>13</v>
      </c>
      <c r="P31" s="313"/>
      <c r="Q31" s="313">
        <f>SUM(Q9:R30)</f>
        <v>14</v>
      </c>
      <c r="R31" s="422"/>
      <c r="S31" s="240">
        <f>SUM(S9:T30)</f>
        <v>1</v>
      </c>
      <c r="T31" s="313"/>
      <c r="U31" s="313">
        <f>SUM(U9:V30)</f>
        <v>0</v>
      </c>
      <c r="V31" s="421"/>
      <c r="W31" s="213">
        <f>SUM(K31:V31)</f>
        <v>70</v>
      </c>
      <c r="X31" s="240"/>
      <c r="Y31" s="130">
        <f>SUM(Y9:Y30)</f>
        <v>64</v>
      </c>
      <c r="AA31" s="232" t="b">
        <f>W31&gt;=Y31</f>
        <v>1</v>
      </c>
      <c r="AB31" s="233"/>
    </row>
    <row r="32" spans="2:28" ht="17.25" customHeight="1">
      <c r="B32" s="314" t="s">
        <v>349</v>
      </c>
      <c r="C32" s="315"/>
      <c r="D32" s="140" t="s">
        <v>68</v>
      </c>
      <c r="E32" s="141" t="s">
        <v>350</v>
      </c>
      <c r="F32" s="316" t="s">
        <v>576</v>
      </c>
      <c r="G32" s="317"/>
      <c r="H32" s="142">
        <v>2</v>
      </c>
      <c r="I32" s="143" t="s">
        <v>519</v>
      </c>
      <c r="J32" s="144">
        <v>4</v>
      </c>
      <c r="K32" s="296">
        <v>4</v>
      </c>
      <c r="L32" s="297"/>
      <c r="M32" s="298"/>
      <c r="N32" s="306"/>
      <c r="O32" s="323"/>
      <c r="P32" s="297"/>
      <c r="Q32" s="298"/>
      <c r="R32" s="299"/>
      <c r="S32" s="306"/>
      <c r="T32" s="297"/>
      <c r="U32" s="298"/>
      <c r="V32" s="326"/>
      <c r="W32" s="324">
        <f t="shared" ref="W32:W42" si="3">SUM(K32:V32)</f>
        <v>4</v>
      </c>
      <c r="X32" s="325"/>
      <c r="Y32" s="264">
        <v>80</v>
      </c>
    </row>
    <row r="33" spans="2:29" ht="17.25" customHeight="1">
      <c r="B33" s="314"/>
      <c r="C33" s="315"/>
      <c r="D33" s="140" t="s">
        <v>159</v>
      </c>
      <c r="E33" s="141" t="s">
        <v>350</v>
      </c>
      <c r="F33" s="316" t="s">
        <v>577</v>
      </c>
      <c r="G33" s="317"/>
      <c r="H33" s="142">
        <v>2</v>
      </c>
      <c r="I33" s="143" t="s">
        <v>519</v>
      </c>
      <c r="J33" s="144">
        <v>3</v>
      </c>
      <c r="K33" s="296">
        <v>3</v>
      </c>
      <c r="L33" s="297"/>
      <c r="M33" s="298"/>
      <c r="N33" s="299"/>
      <c r="O33" s="323"/>
      <c r="P33" s="297"/>
      <c r="Q33" s="298"/>
      <c r="R33" s="299"/>
      <c r="S33" s="323"/>
      <c r="T33" s="297"/>
      <c r="U33" s="298"/>
      <c r="V33" s="326"/>
      <c r="W33" s="324">
        <f t="shared" si="3"/>
        <v>3</v>
      </c>
      <c r="X33" s="325"/>
      <c r="Y33" s="264"/>
    </row>
    <row r="34" spans="2:29" ht="17.25" customHeight="1">
      <c r="B34" s="314"/>
      <c r="C34" s="315"/>
      <c r="D34" s="140" t="s">
        <v>68</v>
      </c>
      <c r="E34" s="141" t="s">
        <v>350</v>
      </c>
      <c r="F34" s="316" t="s">
        <v>578</v>
      </c>
      <c r="G34" s="317"/>
      <c r="H34" s="142">
        <v>2</v>
      </c>
      <c r="I34" s="143" t="s">
        <v>522</v>
      </c>
      <c r="J34" s="144">
        <v>4</v>
      </c>
      <c r="K34" s="296"/>
      <c r="L34" s="297"/>
      <c r="M34" s="298">
        <v>4</v>
      </c>
      <c r="N34" s="299"/>
      <c r="O34" s="323"/>
      <c r="P34" s="297"/>
      <c r="Q34" s="298"/>
      <c r="R34" s="299"/>
      <c r="S34" s="323"/>
      <c r="T34" s="297"/>
      <c r="U34" s="298"/>
      <c r="V34" s="326"/>
      <c r="W34" s="324">
        <f t="shared" si="3"/>
        <v>4</v>
      </c>
      <c r="X34" s="325"/>
      <c r="Y34" s="264"/>
    </row>
    <row r="35" spans="2:29" s="139" customFormat="1" ht="17.25" customHeight="1">
      <c r="B35" s="314"/>
      <c r="C35" s="315"/>
      <c r="D35" s="140" t="s">
        <v>68</v>
      </c>
      <c r="E35" s="141" t="s">
        <v>350</v>
      </c>
      <c r="F35" s="316" t="s">
        <v>579</v>
      </c>
      <c r="G35" s="317"/>
      <c r="H35" s="142">
        <v>2</v>
      </c>
      <c r="I35" s="143" t="s">
        <v>522</v>
      </c>
      <c r="J35" s="144">
        <v>5</v>
      </c>
      <c r="K35" s="296"/>
      <c r="L35" s="297"/>
      <c r="M35" s="298">
        <v>5</v>
      </c>
      <c r="N35" s="299"/>
      <c r="O35" s="323"/>
      <c r="P35" s="297"/>
      <c r="Q35" s="298"/>
      <c r="R35" s="299"/>
      <c r="S35" s="323"/>
      <c r="T35" s="297"/>
      <c r="U35" s="298"/>
      <c r="V35" s="326"/>
      <c r="W35" s="324">
        <f t="shared" si="3"/>
        <v>5</v>
      </c>
      <c r="X35" s="325"/>
      <c r="Y35" s="264"/>
    </row>
    <row r="36" spans="2:29" s="139" customFormat="1" ht="17.25" customHeight="1">
      <c r="B36" s="314"/>
      <c r="C36" s="315"/>
      <c r="D36" s="140" t="s">
        <v>544</v>
      </c>
      <c r="E36" s="141" t="s">
        <v>350</v>
      </c>
      <c r="F36" s="316" t="s">
        <v>580</v>
      </c>
      <c r="G36" s="317"/>
      <c r="H36" s="142">
        <v>2</v>
      </c>
      <c r="I36" s="143" t="s">
        <v>522</v>
      </c>
      <c r="J36" s="144">
        <v>3</v>
      </c>
      <c r="K36" s="296"/>
      <c r="L36" s="297"/>
      <c r="M36" s="298"/>
      <c r="N36" s="299"/>
      <c r="O36" s="323">
        <v>3</v>
      </c>
      <c r="P36" s="297"/>
      <c r="Q36" s="298"/>
      <c r="R36" s="299"/>
      <c r="S36" s="323"/>
      <c r="T36" s="297"/>
      <c r="U36" s="298"/>
      <c r="V36" s="326"/>
      <c r="W36" s="324">
        <f t="shared" si="3"/>
        <v>3</v>
      </c>
      <c r="X36" s="325"/>
      <c r="Y36" s="264"/>
    </row>
    <row r="37" spans="2:29" s="139" customFormat="1" ht="17.25" customHeight="1">
      <c r="B37" s="314"/>
      <c r="C37" s="315"/>
      <c r="D37" s="140" t="s">
        <v>68</v>
      </c>
      <c r="E37" s="141" t="s">
        <v>351</v>
      </c>
      <c r="F37" s="316" t="s">
        <v>581</v>
      </c>
      <c r="G37" s="317"/>
      <c r="H37" s="142">
        <v>2</v>
      </c>
      <c r="I37" s="143" t="s">
        <v>522</v>
      </c>
      <c r="J37" s="144">
        <v>10</v>
      </c>
      <c r="K37" s="296"/>
      <c r="L37" s="297"/>
      <c r="M37" s="298"/>
      <c r="N37" s="299"/>
      <c r="O37" s="323">
        <v>6</v>
      </c>
      <c r="P37" s="297"/>
      <c r="Q37" s="298">
        <v>4</v>
      </c>
      <c r="R37" s="299"/>
      <c r="S37" s="323"/>
      <c r="T37" s="297"/>
      <c r="U37" s="298"/>
      <c r="V37" s="326"/>
      <c r="W37" s="324">
        <f t="shared" si="3"/>
        <v>10</v>
      </c>
      <c r="X37" s="325"/>
      <c r="Y37" s="264"/>
    </row>
    <row r="38" spans="2:29" s="139" customFormat="1" ht="17.25" customHeight="1">
      <c r="B38" s="314"/>
      <c r="C38" s="315"/>
      <c r="D38" s="140" t="s">
        <v>68</v>
      </c>
      <c r="E38" s="141" t="s">
        <v>351</v>
      </c>
      <c r="F38" s="316" t="s">
        <v>582</v>
      </c>
      <c r="G38" s="317"/>
      <c r="H38" s="142">
        <v>2</v>
      </c>
      <c r="I38" s="143" t="s">
        <v>522</v>
      </c>
      <c r="J38" s="144">
        <v>14</v>
      </c>
      <c r="K38" s="296"/>
      <c r="L38" s="297"/>
      <c r="M38" s="298"/>
      <c r="N38" s="299"/>
      <c r="O38" s="323">
        <v>7</v>
      </c>
      <c r="P38" s="297"/>
      <c r="Q38" s="298">
        <v>7</v>
      </c>
      <c r="R38" s="299"/>
      <c r="S38" s="323"/>
      <c r="T38" s="297"/>
      <c r="U38" s="298"/>
      <c r="V38" s="326"/>
      <c r="W38" s="324">
        <f t="shared" si="3"/>
        <v>14</v>
      </c>
      <c r="X38" s="325"/>
      <c r="Y38" s="264"/>
    </row>
    <row r="39" spans="2:29" s="139" customFormat="1" ht="17.25" customHeight="1">
      <c r="B39" s="314"/>
      <c r="C39" s="315"/>
      <c r="D39" s="140" t="s">
        <v>68</v>
      </c>
      <c r="E39" s="141" t="s">
        <v>351</v>
      </c>
      <c r="F39" s="316" t="s">
        <v>583</v>
      </c>
      <c r="G39" s="317"/>
      <c r="H39" s="142">
        <v>2</v>
      </c>
      <c r="I39" s="143" t="s">
        <v>522</v>
      </c>
      <c r="J39" s="144">
        <v>12</v>
      </c>
      <c r="K39" s="296"/>
      <c r="L39" s="297"/>
      <c r="M39" s="298"/>
      <c r="N39" s="299"/>
      <c r="O39" s="323"/>
      <c r="P39" s="297"/>
      <c r="Q39" s="298"/>
      <c r="R39" s="299"/>
      <c r="S39" s="323">
        <v>6</v>
      </c>
      <c r="T39" s="297"/>
      <c r="U39" s="298">
        <v>6</v>
      </c>
      <c r="V39" s="326"/>
      <c r="W39" s="324">
        <f t="shared" si="3"/>
        <v>12</v>
      </c>
      <c r="X39" s="325"/>
      <c r="Y39" s="264"/>
    </row>
    <row r="40" spans="2:29" ht="17.25" customHeight="1">
      <c r="B40" s="314"/>
      <c r="C40" s="315"/>
      <c r="D40" s="140" t="s">
        <v>588</v>
      </c>
      <c r="E40" s="141" t="s">
        <v>351</v>
      </c>
      <c r="F40" s="316" t="s">
        <v>584</v>
      </c>
      <c r="G40" s="317"/>
      <c r="H40" s="142">
        <v>2</v>
      </c>
      <c r="I40" s="143" t="s">
        <v>522</v>
      </c>
      <c r="J40" s="144">
        <v>15</v>
      </c>
      <c r="K40" s="296"/>
      <c r="L40" s="297"/>
      <c r="M40" s="298"/>
      <c r="N40" s="299"/>
      <c r="O40" s="323"/>
      <c r="P40" s="297"/>
      <c r="Q40" s="298"/>
      <c r="R40" s="299"/>
      <c r="S40" s="323">
        <v>6</v>
      </c>
      <c r="T40" s="297"/>
      <c r="U40" s="298">
        <v>9</v>
      </c>
      <c r="V40" s="326"/>
      <c r="W40" s="324">
        <f t="shared" si="3"/>
        <v>15</v>
      </c>
      <c r="X40" s="325"/>
      <c r="Y40" s="264"/>
    </row>
    <row r="41" spans="2:29" ht="17.25" customHeight="1">
      <c r="B41" s="314"/>
      <c r="C41" s="315"/>
      <c r="D41" s="140" t="s">
        <v>68</v>
      </c>
      <c r="E41" s="141" t="s">
        <v>351</v>
      </c>
      <c r="F41" s="274" t="s">
        <v>585</v>
      </c>
      <c r="G41" s="275"/>
      <c r="H41" s="142">
        <v>2</v>
      </c>
      <c r="I41" s="143" t="s">
        <v>522</v>
      </c>
      <c r="J41" s="144">
        <v>12</v>
      </c>
      <c r="K41" s="296"/>
      <c r="L41" s="297"/>
      <c r="M41" s="298"/>
      <c r="N41" s="299"/>
      <c r="O41" s="323"/>
      <c r="P41" s="297"/>
      <c r="Q41" s="298"/>
      <c r="R41" s="299"/>
      <c r="S41" s="323">
        <v>6</v>
      </c>
      <c r="T41" s="297"/>
      <c r="U41" s="298">
        <v>6</v>
      </c>
      <c r="V41" s="326"/>
      <c r="W41" s="324">
        <f t="shared" si="3"/>
        <v>12</v>
      </c>
      <c r="X41" s="325"/>
      <c r="Y41" s="264"/>
    </row>
    <row r="42" spans="2:29" ht="17.25" customHeight="1" thickBot="1">
      <c r="B42" s="314"/>
      <c r="C42" s="315"/>
      <c r="D42" s="60" t="s">
        <v>68</v>
      </c>
      <c r="E42" s="141" t="s">
        <v>351</v>
      </c>
      <c r="F42" s="274" t="s">
        <v>586</v>
      </c>
      <c r="G42" s="275"/>
      <c r="H42" s="142">
        <v>2</v>
      </c>
      <c r="I42" s="143" t="s">
        <v>522</v>
      </c>
      <c r="J42" s="144">
        <v>14</v>
      </c>
      <c r="K42" s="296"/>
      <c r="L42" s="297"/>
      <c r="M42" s="298"/>
      <c r="N42" s="306"/>
      <c r="O42" s="323"/>
      <c r="P42" s="297"/>
      <c r="Q42" s="298"/>
      <c r="R42" s="299"/>
      <c r="S42" s="306">
        <v>6</v>
      </c>
      <c r="T42" s="297"/>
      <c r="U42" s="298">
        <v>8</v>
      </c>
      <c r="V42" s="326"/>
      <c r="W42" s="324">
        <f t="shared" si="3"/>
        <v>14</v>
      </c>
      <c r="X42" s="325"/>
      <c r="Y42" s="264"/>
    </row>
    <row r="43" spans="2:29" ht="16.5" customHeight="1">
      <c r="B43" s="266" t="s">
        <v>535</v>
      </c>
      <c r="C43" s="266" t="s">
        <v>572</v>
      </c>
      <c r="D43" s="145" t="s">
        <v>164</v>
      </c>
      <c r="E43" s="58" t="s">
        <v>351</v>
      </c>
      <c r="F43" s="300" t="s">
        <v>570</v>
      </c>
      <c r="G43" s="301"/>
      <c r="H43" s="148">
        <v>2</v>
      </c>
      <c r="I43" s="307" t="s">
        <v>519</v>
      </c>
      <c r="J43" s="309">
        <v>8</v>
      </c>
      <c r="K43" s="302"/>
      <c r="L43" s="303"/>
      <c r="M43" s="304"/>
      <c r="N43" s="311"/>
      <c r="O43" s="335"/>
      <c r="P43" s="303"/>
      <c r="Q43" s="304"/>
      <c r="R43" s="305"/>
      <c r="S43" s="311"/>
      <c r="T43" s="303"/>
      <c r="U43" s="352"/>
      <c r="V43" s="353"/>
      <c r="W43" s="270">
        <f>SUM(K43:V44)</f>
        <v>4</v>
      </c>
      <c r="X43" s="271"/>
      <c r="Y43" s="264"/>
    </row>
    <row r="44" spans="2:29" ht="16.5" customHeight="1" thickBot="1">
      <c r="B44" s="267"/>
      <c r="C44" s="267"/>
      <c r="D44" s="59" t="s">
        <v>544</v>
      </c>
      <c r="E44" s="146" t="s">
        <v>351</v>
      </c>
      <c r="F44" s="274" t="s">
        <v>551</v>
      </c>
      <c r="G44" s="275"/>
      <c r="H44" s="142">
        <v>2</v>
      </c>
      <c r="I44" s="308"/>
      <c r="J44" s="310"/>
      <c r="K44" s="296"/>
      <c r="L44" s="297"/>
      <c r="M44" s="298"/>
      <c r="N44" s="299"/>
      <c r="O44" s="323"/>
      <c r="P44" s="297"/>
      <c r="Q44" s="298">
        <v>4</v>
      </c>
      <c r="R44" s="299"/>
      <c r="S44" s="323"/>
      <c r="T44" s="297"/>
      <c r="U44" s="333"/>
      <c r="V44" s="334"/>
      <c r="W44" s="272"/>
      <c r="X44" s="273"/>
      <c r="Y44" s="264"/>
    </row>
    <row r="45" spans="2:29">
      <c r="B45" s="267"/>
      <c r="C45" s="266" t="s">
        <v>572</v>
      </c>
      <c r="D45" s="147" t="s">
        <v>164</v>
      </c>
      <c r="E45" s="58" t="s">
        <v>351</v>
      </c>
      <c r="F45" s="300" t="s">
        <v>571</v>
      </c>
      <c r="G45" s="301"/>
      <c r="H45" s="148">
        <v>2</v>
      </c>
      <c r="I45" s="268" t="s">
        <v>519</v>
      </c>
      <c r="J45" s="310"/>
      <c r="K45" s="302"/>
      <c r="L45" s="303"/>
      <c r="M45" s="304"/>
      <c r="N45" s="305"/>
      <c r="O45" s="335"/>
      <c r="P45" s="303"/>
      <c r="Q45" s="304"/>
      <c r="R45" s="305"/>
      <c r="S45" s="335"/>
      <c r="T45" s="303"/>
      <c r="U45" s="352"/>
      <c r="V45" s="353"/>
      <c r="W45" s="270">
        <f>SUM(K45:V46)</f>
        <v>4</v>
      </c>
      <c r="X45" s="271"/>
      <c r="Y45" s="264"/>
    </row>
    <row r="46" spans="2:29" ht="18" thickBot="1">
      <c r="B46" s="267"/>
      <c r="C46" s="267"/>
      <c r="D46" s="59" t="s">
        <v>68</v>
      </c>
      <c r="E46" s="141" t="s">
        <v>351</v>
      </c>
      <c r="F46" s="274" t="s">
        <v>587</v>
      </c>
      <c r="G46" s="275"/>
      <c r="H46" s="149">
        <v>2</v>
      </c>
      <c r="I46" s="269"/>
      <c r="J46" s="310"/>
      <c r="K46" s="296"/>
      <c r="L46" s="297"/>
      <c r="M46" s="298"/>
      <c r="N46" s="306"/>
      <c r="O46" s="323"/>
      <c r="P46" s="297"/>
      <c r="Q46" s="298"/>
      <c r="R46" s="299"/>
      <c r="S46" s="306">
        <v>4</v>
      </c>
      <c r="T46" s="297"/>
      <c r="U46" s="333"/>
      <c r="V46" s="334"/>
      <c r="W46" s="272"/>
      <c r="X46" s="273"/>
      <c r="Y46" s="264"/>
    </row>
    <row r="47" spans="2:29" ht="24.75" customHeight="1">
      <c r="B47" s="276" t="s">
        <v>355</v>
      </c>
      <c r="C47" s="277"/>
      <c r="D47" s="277"/>
      <c r="E47" s="277"/>
      <c r="F47" s="277"/>
      <c r="G47" s="278"/>
      <c r="H47" s="282">
        <f>SUM(H32:H46)</f>
        <v>30</v>
      </c>
      <c r="I47" s="284">
        <f>SUM(I32:I42)</f>
        <v>0</v>
      </c>
      <c r="J47" s="286">
        <f>SUM(J32:J46)</f>
        <v>104</v>
      </c>
      <c r="K47" s="276">
        <f>SUM(K32:L46)</f>
        <v>7</v>
      </c>
      <c r="L47" s="288"/>
      <c r="M47" s="290">
        <f>SUM(M32:N44)</f>
        <v>9</v>
      </c>
      <c r="N47" s="277"/>
      <c r="O47" s="292">
        <f>SUM(O32:P44)</f>
        <v>16</v>
      </c>
      <c r="P47" s="288"/>
      <c r="Q47" s="290">
        <f>SUM(Q32:R44)</f>
        <v>15</v>
      </c>
      <c r="R47" s="294"/>
      <c r="S47" s="277">
        <f>SUM(S32:T44)</f>
        <v>24</v>
      </c>
      <c r="T47" s="288"/>
      <c r="U47" s="290">
        <f>SUM(U32:V44)</f>
        <v>29</v>
      </c>
      <c r="V47" s="278"/>
      <c r="W47" s="276">
        <v>104</v>
      </c>
      <c r="X47" s="278"/>
      <c r="Y47" s="241">
        <f>SUM(Y32:Y45)</f>
        <v>80</v>
      </c>
      <c r="AC47" s="132"/>
    </row>
    <row r="48" spans="2:29" ht="18" thickBot="1">
      <c r="B48" s="279"/>
      <c r="C48" s="280"/>
      <c r="D48" s="280"/>
      <c r="E48" s="280"/>
      <c r="F48" s="280"/>
      <c r="G48" s="281"/>
      <c r="H48" s="283"/>
      <c r="I48" s="285"/>
      <c r="J48" s="287"/>
      <c r="K48" s="279"/>
      <c r="L48" s="289"/>
      <c r="M48" s="291"/>
      <c r="N48" s="280"/>
      <c r="O48" s="293"/>
      <c r="P48" s="289"/>
      <c r="Q48" s="291"/>
      <c r="R48" s="295"/>
      <c r="S48" s="280"/>
      <c r="T48" s="289"/>
      <c r="U48" s="291"/>
      <c r="V48" s="281"/>
      <c r="W48" s="279"/>
      <c r="X48" s="281"/>
      <c r="Y48" s="242"/>
      <c r="AC48" s="61"/>
    </row>
    <row r="49" spans="2:28" ht="17.25" customHeight="1" thickBot="1">
      <c r="B49" s="213"/>
      <c r="C49" s="214"/>
      <c r="D49" s="214"/>
      <c r="E49" s="214"/>
      <c r="F49" s="214"/>
      <c r="G49" s="215"/>
      <c r="H49" s="133">
        <f>SUM(H31,H47)</f>
        <v>75</v>
      </c>
      <c r="I49" s="129">
        <f>SUM(I31,I47)</f>
        <v>0</v>
      </c>
      <c r="J49" s="130">
        <f>SUM(J31,J47)</f>
        <v>144</v>
      </c>
      <c r="K49" s="213">
        <f>SUM(K31,K47)</f>
        <v>29</v>
      </c>
      <c r="L49" s="240"/>
      <c r="M49" s="239">
        <f>SUM(M31,M47)</f>
        <v>29</v>
      </c>
      <c r="N49" s="216"/>
      <c r="O49" s="217">
        <f>SUM(O31,O47)</f>
        <v>29</v>
      </c>
      <c r="P49" s="240"/>
      <c r="Q49" s="239">
        <f>SUM(Q31,Q47)</f>
        <v>29</v>
      </c>
      <c r="R49" s="216"/>
      <c r="S49" s="217">
        <f>SUM(S31,S47)</f>
        <v>25</v>
      </c>
      <c r="T49" s="240"/>
      <c r="U49" s="239">
        <f>SUM(U31,U47)</f>
        <v>29</v>
      </c>
      <c r="V49" s="215"/>
      <c r="W49" s="213">
        <v>174</v>
      </c>
      <c r="X49" s="215"/>
      <c r="Y49" s="11">
        <f>Y47+Y31</f>
        <v>144</v>
      </c>
      <c r="AA49" s="218" t="s">
        <v>154</v>
      </c>
      <c r="AB49" s="218"/>
    </row>
    <row r="50" spans="2:28" ht="18.75" customHeight="1" thickBot="1">
      <c r="B50" s="244" t="s">
        <v>356</v>
      </c>
      <c r="C50" s="245"/>
      <c r="D50" s="245"/>
      <c r="E50" s="246"/>
      <c r="F50" s="253" t="s">
        <v>352</v>
      </c>
      <c r="G50" s="254"/>
      <c r="H50" s="254"/>
      <c r="I50" s="254"/>
      <c r="J50" s="255"/>
      <c r="K50" s="256">
        <v>16</v>
      </c>
      <c r="L50" s="257"/>
      <c r="M50" s="258">
        <v>16</v>
      </c>
      <c r="N50" s="259"/>
      <c r="O50" s="260">
        <v>16</v>
      </c>
      <c r="P50" s="257"/>
      <c r="Q50" s="258">
        <v>16</v>
      </c>
      <c r="R50" s="259"/>
      <c r="S50" s="260">
        <v>16</v>
      </c>
      <c r="T50" s="257"/>
      <c r="U50" s="258">
        <v>16</v>
      </c>
      <c r="V50" s="261"/>
      <c r="W50" s="244">
        <f>SUM(K50:V52)</f>
        <v>288</v>
      </c>
      <c r="X50" s="246"/>
      <c r="Y50" s="241">
        <f>Y53*16</f>
        <v>288</v>
      </c>
      <c r="AA50" s="243"/>
      <c r="AB50" s="243"/>
    </row>
    <row r="51" spans="2:28" ht="17.25" customHeight="1" thickBot="1">
      <c r="B51" s="247"/>
      <c r="C51" s="248"/>
      <c r="D51" s="248"/>
      <c r="E51" s="249"/>
      <c r="F51" s="234" t="s">
        <v>63</v>
      </c>
      <c r="G51" s="235"/>
      <c r="H51" s="235"/>
      <c r="I51" s="235"/>
      <c r="J51" s="236"/>
      <c r="K51" s="237">
        <v>16</v>
      </c>
      <c r="L51" s="229"/>
      <c r="M51" s="230">
        <v>16</v>
      </c>
      <c r="N51" s="238"/>
      <c r="O51" s="228">
        <v>16</v>
      </c>
      <c r="P51" s="229"/>
      <c r="Q51" s="230">
        <v>16</v>
      </c>
      <c r="R51" s="238"/>
      <c r="S51" s="228">
        <v>16</v>
      </c>
      <c r="T51" s="229"/>
      <c r="U51" s="230">
        <v>16</v>
      </c>
      <c r="V51" s="231"/>
      <c r="W51" s="247"/>
      <c r="X51" s="249"/>
      <c r="Y51" s="264"/>
      <c r="AA51" s="232" t="b">
        <f>W49&gt;=Y49</f>
        <v>1</v>
      </c>
      <c r="AB51" s="233"/>
    </row>
    <row r="52" spans="2:28" ht="17.25" customHeight="1">
      <c r="B52" s="247"/>
      <c r="C52" s="248"/>
      <c r="D52" s="248"/>
      <c r="E52" s="249"/>
      <c r="F52" s="234" t="s">
        <v>11</v>
      </c>
      <c r="G52" s="235"/>
      <c r="H52" s="235"/>
      <c r="I52" s="235"/>
      <c r="J52" s="236"/>
      <c r="K52" s="237">
        <v>16</v>
      </c>
      <c r="L52" s="229"/>
      <c r="M52" s="230">
        <v>16</v>
      </c>
      <c r="N52" s="238"/>
      <c r="O52" s="228">
        <v>16</v>
      </c>
      <c r="P52" s="229"/>
      <c r="Q52" s="230">
        <v>16</v>
      </c>
      <c r="R52" s="238"/>
      <c r="S52" s="228">
        <v>16</v>
      </c>
      <c r="T52" s="229"/>
      <c r="U52" s="230">
        <v>16</v>
      </c>
      <c r="V52" s="231"/>
      <c r="W52" s="262"/>
      <c r="X52" s="263"/>
      <c r="Y52" s="265"/>
    </row>
    <row r="53" spans="2:28" ht="17.25" customHeight="1" thickBot="1">
      <c r="B53" s="250"/>
      <c r="C53" s="251"/>
      <c r="D53" s="251"/>
      <c r="E53" s="252"/>
      <c r="F53" s="219" t="s">
        <v>149</v>
      </c>
      <c r="G53" s="220"/>
      <c r="H53" s="220"/>
      <c r="I53" s="220"/>
      <c r="J53" s="221"/>
      <c r="K53" s="222">
        <v>3</v>
      </c>
      <c r="L53" s="223"/>
      <c r="M53" s="224">
        <v>3</v>
      </c>
      <c r="N53" s="225"/>
      <c r="O53" s="226">
        <v>3</v>
      </c>
      <c r="P53" s="223"/>
      <c r="Q53" s="224">
        <v>3</v>
      </c>
      <c r="R53" s="225"/>
      <c r="S53" s="226">
        <v>3</v>
      </c>
      <c r="T53" s="223"/>
      <c r="U53" s="224">
        <v>3</v>
      </c>
      <c r="V53" s="227"/>
      <c r="W53" s="219">
        <f>SUM(K53:V53)</f>
        <v>18</v>
      </c>
      <c r="X53" s="221"/>
      <c r="Y53" s="62">
        <v>18</v>
      </c>
      <c r="AA53" s="218" t="s">
        <v>155</v>
      </c>
      <c r="AB53" s="218"/>
    </row>
    <row r="54" spans="2:28" ht="17.25" customHeight="1" thickBot="1">
      <c r="B54" s="213"/>
      <c r="C54" s="214"/>
      <c r="D54" s="214"/>
      <c r="E54" s="214"/>
      <c r="F54" s="214"/>
      <c r="G54" s="214"/>
      <c r="H54" s="214"/>
      <c r="I54" s="214"/>
      <c r="J54" s="215"/>
      <c r="K54" s="213">
        <v>32</v>
      </c>
      <c r="L54" s="240"/>
      <c r="M54" s="239">
        <v>32</v>
      </c>
      <c r="N54" s="216"/>
      <c r="O54" s="217">
        <v>32</v>
      </c>
      <c r="P54" s="240"/>
      <c r="Q54" s="239">
        <v>32</v>
      </c>
      <c r="R54" s="216"/>
      <c r="S54" s="217">
        <v>32</v>
      </c>
      <c r="T54" s="240"/>
      <c r="U54" s="239">
        <v>32</v>
      </c>
      <c r="V54" s="215"/>
      <c r="W54" s="213">
        <f>SUM(K54:V54)</f>
        <v>192</v>
      </c>
      <c r="X54" s="215"/>
      <c r="Y54" s="37">
        <f>W54</f>
        <v>192</v>
      </c>
      <c r="AA54" s="232" t="b">
        <f>W53&gt;=Y53</f>
        <v>1</v>
      </c>
      <c r="AB54" s="233"/>
    </row>
    <row r="55" spans="2:28" ht="17.25" customHeight="1" thickBot="1">
      <c r="B55" s="213"/>
      <c r="C55" s="214"/>
      <c r="D55" s="214"/>
      <c r="E55" s="214"/>
      <c r="F55" s="214"/>
      <c r="G55" s="214"/>
      <c r="H55" s="214"/>
      <c r="I55" s="214"/>
      <c r="J55" s="215"/>
      <c r="K55" s="213">
        <f>SUM(K54:N54)</f>
        <v>64</v>
      </c>
      <c r="L55" s="214"/>
      <c r="M55" s="214"/>
      <c r="N55" s="216"/>
      <c r="O55" s="217">
        <f>SUM(O54:R54)</f>
        <v>64</v>
      </c>
      <c r="P55" s="214"/>
      <c r="Q55" s="214"/>
      <c r="R55" s="216"/>
      <c r="S55" s="217">
        <f>SUM(S54:V54)</f>
        <v>64</v>
      </c>
      <c r="T55" s="214"/>
      <c r="U55" s="214"/>
      <c r="V55" s="215"/>
      <c r="W55" s="213">
        <f>SUM(K55:V55)</f>
        <v>192</v>
      </c>
      <c r="X55" s="215"/>
      <c r="Y55" s="11"/>
      <c r="AA55" s="218" t="s">
        <v>153</v>
      </c>
      <c r="AB55" s="218"/>
    </row>
    <row r="56" spans="2:28" ht="17.25" customHeight="1" thickBot="1">
      <c r="AA56" s="232" t="b">
        <f>W54&gt;=Y54</f>
        <v>1</v>
      </c>
      <c r="AB56" s="233"/>
    </row>
    <row r="57" spans="2:28" ht="17.25" customHeight="1"/>
    <row r="58" spans="2:28" ht="17.25" customHeight="1"/>
    <row r="59" spans="2:28" ht="17.25" customHeight="1"/>
    <row r="61" spans="2:28" ht="24.9" customHeight="1"/>
    <row r="62" spans="2:28" ht="24.9" customHeight="1"/>
    <row r="63" spans="2:28" ht="32.25" customHeight="1"/>
    <row r="64" spans="2:28" ht="24.9" customHeight="1"/>
    <row r="66" ht="16.5" customHeight="1"/>
    <row r="67" ht="17.2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244.5" customHeight="1"/>
  </sheetData>
  <mergeCells count="425">
    <mergeCell ref="AA56:AB56"/>
    <mergeCell ref="W54:X54"/>
    <mergeCell ref="AA54:AB54"/>
    <mergeCell ref="B55:J55"/>
    <mergeCell ref="K55:N55"/>
    <mergeCell ref="O55:R55"/>
    <mergeCell ref="S55:V55"/>
    <mergeCell ref="W55:X55"/>
    <mergeCell ref="AA55:AB55"/>
    <mergeCell ref="U53:V53"/>
    <mergeCell ref="W53:X53"/>
    <mergeCell ref="AA53:AB53"/>
    <mergeCell ref="B54:J54"/>
    <mergeCell ref="K54:L54"/>
    <mergeCell ref="M54:N54"/>
    <mergeCell ref="O54:P54"/>
    <mergeCell ref="Q54:R54"/>
    <mergeCell ref="S54:T54"/>
    <mergeCell ref="U54:V54"/>
    <mergeCell ref="F53:J53"/>
    <mergeCell ref="K53:L53"/>
    <mergeCell ref="M53:N53"/>
    <mergeCell ref="O53:P53"/>
    <mergeCell ref="Q53:R53"/>
    <mergeCell ref="S53:T53"/>
    <mergeCell ref="U50:V50"/>
    <mergeCell ref="W50:X52"/>
    <mergeCell ref="Y50:Y52"/>
    <mergeCell ref="F51:J51"/>
    <mergeCell ref="K51:L51"/>
    <mergeCell ref="M51:N51"/>
    <mergeCell ref="O51:P51"/>
    <mergeCell ref="Q51:R51"/>
    <mergeCell ref="S51:T51"/>
    <mergeCell ref="U51:V51"/>
    <mergeCell ref="U49:V49"/>
    <mergeCell ref="W49:X49"/>
    <mergeCell ref="AA49:AB50"/>
    <mergeCell ref="B50:E53"/>
    <mergeCell ref="F50:J50"/>
    <mergeCell ref="K50:L50"/>
    <mergeCell ref="M50:N50"/>
    <mergeCell ref="O50:P50"/>
    <mergeCell ref="Q50:R50"/>
    <mergeCell ref="S50:T50"/>
    <mergeCell ref="B49:G49"/>
    <mergeCell ref="K49:L49"/>
    <mergeCell ref="M49:N49"/>
    <mergeCell ref="O49:P49"/>
    <mergeCell ref="Q49:R49"/>
    <mergeCell ref="S49:T49"/>
    <mergeCell ref="AA51:AB51"/>
    <mergeCell ref="F52:J52"/>
    <mergeCell ref="K52:L52"/>
    <mergeCell ref="M52:N52"/>
    <mergeCell ref="O52:P52"/>
    <mergeCell ref="Q52:R52"/>
    <mergeCell ref="S52:T52"/>
    <mergeCell ref="U52:V52"/>
    <mergeCell ref="O47:P48"/>
    <mergeCell ref="Q47:R48"/>
    <mergeCell ref="S47:T48"/>
    <mergeCell ref="U47:V48"/>
    <mergeCell ref="W47:X48"/>
    <mergeCell ref="Y47:Y48"/>
    <mergeCell ref="B47:G48"/>
    <mergeCell ref="H47:H48"/>
    <mergeCell ref="I47:I48"/>
    <mergeCell ref="J47:J48"/>
    <mergeCell ref="K47:L48"/>
    <mergeCell ref="M47:N48"/>
    <mergeCell ref="S45:T45"/>
    <mergeCell ref="U45:V45"/>
    <mergeCell ref="W45:X46"/>
    <mergeCell ref="F46:G46"/>
    <mergeCell ref="K46:L46"/>
    <mergeCell ref="M46:N46"/>
    <mergeCell ref="O46:P46"/>
    <mergeCell ref="Q46:R46"/>
    <mergeCell ref="S46:T46"/>
    <mergeCell ref="U46:V46"/>
    <mergeCell ref="S43:T43"/>
    <mergeCell ref="U43:V43"/>
    <mergeCell ref="W43:X44"/>
    <mergeCell ref="F44:G44"/>
    <mergeCell ref="K44:L44"/>
    <mergeCell ref="M44:N44"/>
    <mergeCell ref="O44:P44"/>
    <mergeCell ref="Q44:R44"/>
    <mergeCell ref="S44:T44"/>
    <mergeCell ref="U44:V44"/>
    <mergeCell ref="B43:B46"/>
    <mergeCell ref="C43:C44"/>
    <mergeCell ref="F43:G43"/>
    <mergeCell ref="I43:I44"/>
    <mergeCell ref="J43:J46"/>
    <mergeCell ref="K43:L43"/>
    <mergeCell ref="M43:N43"/>
    <mergeCell ref="O43:P43"/>
    <mergeCell ref="Q43:R43"/>
    <mergeCell ref="C45:C46"/>
    <mergeCell ref="F45:G45"/>
    <mergeCell ref="I45:I46"/>
    <mergeCell ref="K45:L45"/>
    <mergeCell ref="M45:N45"/>
    <mergeCell ref="O45:P45"/>
    <mergeCell ref="Q45:R45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Y32:Y46"/>
    <mergeCell ref="F33:G33"/>
    <mergeCell ref="K33:L33"/>
    <mergeCell ref="M33:N33"/>
    <mergeCell ref="O33:P33"/>
    <mergeCell ref="Q33:R33"/>
    <mergeCell ref="S33:T33"/>
    <mergeCell ref="U33:V33"/>
    <mergeCell ref="W33:X33"/>
    <mergeCell ref="F34:G34"/>
    <mergeCell ref="K34:L34"/>
    <mergeCell ref="M34:N34"/>
    <mergeCell ref="O34:P34"/>
    <mergeCell ref="Q34:R34"/>
    <mergeCell ref="S34:T34"/>
    <mergeCell ref="U34:V34"/>
    <mergeCell ref="W34:X34"/>
    <mergeCell ref="U35:V35"/>
    <mergeCell ref="W35:X35"/>
    <mergeCell ref="F36:G36"/>
    <mergeCell ref="K36:L36"/>
    <mergeCell ref="M36:N36"/>
    <mergeCell ref="O36:P36"/>
    <mergeCell ref="Q36:R36"/>
    <mergeCell ref="B32:C42"/>
    <mergeCell ref="F32:G32"/>
    <mergeCell ref="K32:L32"/>
    <mergeCell ref="M32:N32"/>
    <mergeCell ref="O32:P32"/>
    <mergeCell ref="Q32:R32"/>
    <mergeCell ref="S32:T32"/>
    <mergeCell ref="U32:V32"/>
    <mergeCell ref="W32:X32"/>
    <mergeCell ref="S36:T36"/>
    <mergeCell ref="U36:V36"/>
    <mergeCell ref="W36:X36"/>
    <mergeCell ref="F35:G35"/>
    <mergeCell ref="K35:L35"/>
    <mergeCell ref="M35:N35"/>
    <mergeCell ref="O35:P35"/>
    <mergeCell ref="Q35:R35"/>
    <mergeCell ref="S35:T35"/>
    <mergeCell ref="U37:V37"/>
    <mergeCell ref="W37:X37"/>
    <mergeCell ref="F38:G38"/>
    <mergeCell ref="K38:L38"/>
    <mergeCell ref="M38:N38"/>
    <mergeCell ref="O38:P38"/>
    <mergeCell ref="B31:G31"/>
    <mergeCell ref="K31:L31"/>
    <mergeCell ref="M31:N31"/>
    <mergeCell ref="O31:P31"/>
    <mergeCell ref="Q31:R31"/>
    <mergeCell ref="S31:T31"/>
    <mergeCell ref="U31:V31"/>
    <mergeCell ref="W31:X31"/>
    <mergeCell ref="AA31:AB31"/>
    <mergeCell ref="D26:D27"/>
    <mergeCell ref="W28:X30"/>
    <mergeCell ref="Y28:Y30"/>
    <mergeCell ref="F29:G29"/>
    <mergeCell ref="K29:L29"/>
    <mergeCell ref="M29:N29"/>
    <mergeCell ref="O29:P29"/>
    <mergeCell ref="Q29:R29"/>
    <mergeCell ref="S29:T29"/>
    <mergeCell ref="U29:V29"/>
    <mergeCell ref="F30:G30"/>
    <mergeCell ref="M30:N30"/>
    <mergeCell ref="O30:P30"/>
    <mergeCell ref="Q30:R30"/>
    <mergeCell ref="S30:T30"/>
    <mergeCell ref="U30:V30"/>
    <mergeCell ref="D28:D30"/>
    <mergeCell ref="F28:G28"/>
    <mergeCell ref="K28:L28"/>
    <mergeCell ref="M28:N28"/>
    <mergeCell ref="O28:P28"/>
    <mergeCell ref="Q28:R28"/>
    <mergeCell ref="S28:T28"/>
    <mergeCell ref="U28:V28"/>
    <mergeCell ref="K30:L30"/>
    <mergeCell ref="S26:T26"/>
    <mergeCell ref="U26:V26"/>
    <mergeCell ref="W26:X27"/>
    <mergeCell ref="Y26:Y27"/>
    <mergeCell ref="F27:G27"/>
    <mergeCell ref="K27:L27"/>
    <mergeCell ref="M27:N27"/>
    <mergeCell ref="O27:P27"/>
    <mergeCell ref="Q27:R27"/>
    <mergeCell ref="S27:T27"/>
    <mergeCell ref="F26:G26"/>
    <mergeCell ref="K26:L26"/>
    <mergeCell ref="M26:N26"/>
    <mergeCell ref="O26:P26"/>
    <mergeCell ref="Q26:R26"/>
    <mergeCell ref="U27:V27"/>
    <mergeCell ref="S23:T23"/>
    <mergeCell ref="U23:V23"/>
    <mergeCell ref="S21:T21"/>
    <mergeCell ref="U21:V21"/>
    <mergeCell ref="Q24:R24"/>
    <mergeCell ref="S24:T24"/>
    <mergeCell ref="U24:V24"/>
    <mergeCell ref="F25:G25"/>
    <mergeCell ref="K25:L25"/>
    <mergeCell ref="M25:N25"/>
    <mergeCell ref="O25:P25"/>
    <mergeCell ref="Q25:R25"/>
    <mergeCell ref="S25:T25"/>
    <mergeCell ref="U25:V25"/>
    <mergeCell ref="X21:X25"/>
    <mergeCell ref="Y21:Y25"/>
    <mergeCell ref="F22:G22"/>
    <mergeCell ref="K22:L22"/>
    <mergeCell ref="M22:N22"/>
    <mergeCell ref="O22:P22"/>
    <mergeCell ref="Q22:R22"/>
    <mergeCell ref="S22:T22"/>
    <mergeCell ref="D21:D25"/>
    <mergeCell ref="F21:G21"/>
    <mergeCell ref="K21:L21"/>
    <mergeCell ref="M21:N21"/>
    <mergeCell ref="O21:P21"/>
    <mergeCell ref="Q21:R21"/>
    <mergeCell ref="F24:G24"/>
    <mergeCell ref="K24:L24"/>
    <mergeCell ref="M24:N24"/>
    <mergeCell ref="O24:P24"/>
    <mergeCell ref="U22:V22"/>
    <mergeCell ref="F23:G23"/>
    <mergeCell ref="K23:L23"/>
    <mergeCell ref="M23:N23"/>
    <mergeCell ref="O23:P23"/>
    <mergeCell ref="Q23:R23"/>
    <mergeCell ref="Q20:R20"/>
    <mergeCell ref="S20:T20"/>
    <mergeCell ref="U20:V20"/>
    <mergeCell ref="D19:D20"/>
    <mergeCell ref="F19:G19"/>
    <mergeCell ref="K19:L19"/>
    <mergeCell ref="M19:N19"/>
    <mergeCell ref="O19:P19"/>
    <mergeCell ref="Q19:R19"/>
    <mergeCell ref="AA16:AB16"/>
    <mergeCell ref="F17:G17"/>
    <mergeCell ref="K17:L17"/>
    <mergeCell ref="M17:N17"/>
    <mergeCell ref="O17:P17"/>
    <mergeCell ref="Q17:R17"/>
    <mergeCell ref="S17:T17"/>
    <mergeCell ref="U17:V17"/>
    <mergeCell ref="X17:X18"/>
    <mergeCell ref="Y17:Y20"/>
    <mergeCell ref="F18:G18"/>
    <mergeCell ref="K18:L18"/>
    <mergeCell ref="M18:N18"/>
    <mergeCell ref="O18:P18"/>
    <mergeCell ref="Q18:R18"/>
    <mergeCell ref="S18:T18"/>
    <mergeCell ref="U18:V18"/>
    <mergeCell ref="S19:T19"/>
    <mergeCell ref="U19:V19"/>
    <mergeCell ref="X19:X20"/>
    <mergeCell ref="F20:G20"/>
    <mergeCell ref="K20:L20"/>
    <mergeCell ref="M20:N20"/>
    <mergeCell ref="O20:P20"/>
    <mergeCell ref="X15:X16"/>
    <mergeCell ref="Y15:Y16"/>
    <mergeCell ref="F16:G16"/>
    <mergeCell ref="K16:L16"/>
    <mergeCell ref="M16:N16"/>
    <mergeCell ref="O16:P16"/>
    <mergeCell ref="Q16:R16"/>
    <mergeCell ref="S16:T16"/>
    <mergeCell ref="U16:V16"/>
    <mergeCell ref="D15:D18"/>
    <mergeCell ref="F15:G15"/>
    <mergeCell ref="K15:L15"/>
    <mergeCell ref="M15:N15"/>
    <mergeCell ref="O15:P15"/>
    <mergeCell ref="Q15:R15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D13:D14"/>
    <mergeCell ref="F13:G13"/>
    <mergeCell ref="K13:L13"/>
    <mergeCell ref="M13:N13"/>
    <mergeCell ref="O13:P13"/>
    <mergeCell ref="Q13:R13"/>
    <mergeCell ref="S15:T15"/>
    <mergeCell ref="U15:V15"/>
    <mergeCell ref="Q11:R11"/>
    <mergeCell ref="X9:X10"/>
    <mergeCell ref="Y9:Y14"/>
    <mergeCell ref="F10:G10"/>
    <mergeCell ref="K10:L10"/>
    <mergeCell ref="M10:N10"/>
    <mergeCell ref="O10:P10"/>
    <mergeCell ref="Q10:R10"/>
    <mergeCell ref="S10:T10"/>
    <mergeCell ref="U10:V10"/>
    <mergeCell ref="S11:T11"/>
    <mergeCell ref="U11:V11"/>
    <mergeCell ref="X11:X12"/>
    <mergeCell ref="F12:G12"/>
    <mergeCell ref="K12:L12"/>
    <mergeCell ref="M12:N12"/>
    <mergeCell ref="O12:P12"/>
    <mergeCell ref="Q12:R12"/>
    <mergeCell ref="S12:T12"/>
    <mergeCell ref="U12:V12"/>
    <mergeCell ref="AA8:AD8"/>
    <mergeCell ref="B9:C30"/>
    <mergeCell ref="D9:D10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D11:D12"/>
    <mergeCell ref="F11:G11"/>
    <mergeCell ref="K11:L11"/>
    <mergeCell ref="M11:N11"/>
    <mergeCell ref="O11:P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1:AB31 AC48 AA51:AB51 AA54:AB54 AA56:AB56">
    <cfRule type="containsText" dxfId="0" priority="1" operator="containsText" text="FALSE">
      <formula>NOT(ISERROR(SEARCH("FALSE",AA31)))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47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2825860-3C7B-4F64-8BE0-1887E0B3F1FA}">
          <x14:formula1>
            <xm:f>삭제금지!$J$2:$J$59</xm:f>
          </x14:formula1>
          <xm:sqref>H5:J5</xm:sqref>
        </x14:dataValidation>
        <x14:dataValidation type="list" allowBlank="1" showInputMessage="1" showErrorMessage="1" xr:uid="{6665346F-A5E4-440E-8C2D-0895E551B4CF}">
          <x14:formula1>
            <xm:f>삭제금지!$I$2:$I$18</xm:f>
          </x14:formula1>
          <xm:sqref>F5:G5</xm:sqref>
        </x14:dataValidation>
        <x14:dataValidation type="list" allowBlank="1" showInputMessage="1" showErrorMessage="1" xr:uid="{301A13A8-70BF-4A7D-BE10-4EF886E98140}">
          <x14:formula1>
            <xm:f>삭제금지!$K$2:$K$59</xm:f>
          </x14:formula1>
          <xm:sqref>K5:O5</xm:sqref>
        </x14:dataValidation>
        <x14:dataValidation type="list" allowBlank="1" showInputMessage="1" showErrorMessage="1" xr:uid="{7DABD2C4-8EAF-446F-82E5-0AD77912E248}">
          <x14:formula1>
            <xm:f>삭제금지!$L$2:$L$4</xm:f>
          </x14:formula1>
          <xm:sqref>T5:V5</xm:sqref>
        </x14:dataValidation>
        <x14:dataValidation type="list" allowBlank="1" showInputMessage="1" showErrorMessage="1" xr:uid="{34909702-8906-42F9-9374-9A886BF87D6F}">
          <x14:formula1>
            <xm:f>삭제금지!$H$2:$H$18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33"/>
  <sheetViews>
    <sheetView showGridLines="0" view="pageBreakPreview" topLeftCell="A5" zoomScaleNormal="85" zoomScaleSheetLayoutView="100" workbookViewId="0">
      <selection activeCell="I20" sqref="I20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28" t="s">
        <v>151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</row>
    <row r="3" spans="2:33" ht="27" customHeight="1" thickBot="1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429" t="s">
        <v>129</v>
      </c>
      <c r="O3" s="430"/>
      <c r="P3" s="431"/>
      <c r="Q3" s="429" t="s">
        <v>127</v>
      </c>
      <c r="R3" s="430"/>
      <c r="S3" s="431"/>
      <c r="T3" s="432" t="s">
        <v>130</v>
      </c>
      <c r="U3" s="433"/>
    </row>
    <row r="4" spans="2:33" ht="27" customHeight="1" thickBot="1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434" t="s">
        <v>507</v>
      </c>
      <c r="O4" s="435"/>
      <c r="P4" s="436"/>
      <c r="Q4" s="437" t="s">
        <v>511</v>
      </c>
      <c r="R4" s="438"/>
      <c r="S4" s="439"/>
      <c r="T4" s="440">
        <v>2027</v>
      </c>
      <c r="U4" s="441"/>
    </row>
    <row r="5" spans="2:33" ht="24" customHeight="1" thickBot="1">
      <c r="B5" s="442"/>
      <c r="C5" s="442"/>
    </row>
    <row r="6" spans="2:33" ht="20.25" customHeight="1">
      <c r="B6" s="443" t="s">
        <v>13</v>
      </c>
      <c r="C6" s="446" t="s">
        <v>140</v>
      </c>
      <c r="D6" s="424" t="s">
        <v>14</v>
      </c>
      <c r="E6" s="424" t="s">
        <v>15</v>
      </c>
      <c r="F6" s="424" t="s">
        <v>141</v>
      </c>
      <c r="G6" s="424" t="s">
        <v>142</v>
      </c>
      <c r="H6" s="471" t="s">
        <v>58</v>
      </c>
      <c r="I6" s="471"/>
      <c r="J6" s="471"/>
      <c r="K6" s="471"/>
      <c r="L6" s="471" t="s">
        <v>59</v>
      </c>
      <c r="M6" s="471"/>
      <c r="N6" s="471"/>
      <c r="O6" s="471"/>
      <c r="P6" s="471" t="s">
        <v>60</v>
      </c>
      <c r="Q6" s="471"/>
      <c r="R6" s="471"/>
      <c r="S6" s="471"/>
      <c r="T6" s="478" t="s">
        <v>139</v>
      </c>
      <c r="U6" s="472" t="s">
        <v>126</v>
      </c>
      <c r="W6" s="475" t="s">
        <v>131</v>
      </c>
      <c r="X6" s="476"/>
      <c r="Y6" s="476"/>
      <c r="Z6" s="476"/>
      <c r="AA6" s="476"/>
      <c r="AB6" s="476"/>
      <c r="AC6" s="476"/>
      <c r="AD6" s="476"/>
      <c r="AE6" s="476"/>
      <c r="AF6" s="477"/>
      <c r="AG6" s="13"/>
    </row>
    <row r="7" spans="2:33" ht="16.5" customHeight="1">
      <c r="B7" s="444"/>
      <c r="C7" s="447"/>
      <c r="D7" s="425"/>
      <c r="E7" s="425"/>
      <c r="F7" s="425"/>
      <c r="G7" s="425"/>
      <c r="H7" s="427" t="s">
        <v>124</v>
      </c>
      <c r="I7" s="427"/>
      <c r="J7" s="427" t="s">
        <v>62</v>
      </c>
      <c r="K7" s="427"/>
      <c r="L7" s="427" t="s">
        <v>124</v>
      </c>
      <c r="M7" s="427"/>
      <c r="N7" s="427" t="s">
        <v>62</v>
      </c>
      <c r="O7" s="427"/>
      <c r="P7" s="427" t="s">
        <v>124</v>
      </c>
      <c r="Q7" s="427"/>
      <c r="R7" s="427" t="s">
        <v>62</v>
      </c>
      <c r="S7" s="427"/>
      <c r="T7" s="479"/>
      <c r="U7" s="473"/>
      <c r="W7" s="468" t="s">
        <v>132</v>
      </c>
      <c r="X7" s="469"/>
      <c r="Y7" s="469"/>
      <c r="Z7" s="469"/>
      <c r="AA7" s="469"/>
      <c r="AB7" s="469"/>
      <c r="AC7" s="469"/>
      <c r="AD7" s="469"/>
      <c r="AE7" s="469"/>
      <c r="AF7" s="470"/>
      <c r="AG7" s="13"/>
    </row>
    <row r="8" spans="2:33" ht="17.25" customHeight="1" thickBot="1">
      <c r="B8" s="445"/>
      <c r="C8" s="448"/>
      <c r="D8" s="426"/>
      <c r="E8" s="426"/>
      <c r="F8" s="426"/>
      <c r="G8" s="426"/>
      <c r="H8" s="150" t="s">
        <v>138</v>
      </c>
      <c r="I8" s="150" t="s">
        <v>125</v>
      </c>
      <c r="J8" s="150" t="s">
        <v>138</v>
      </c>
      <c r="K8" s="150" t="s">
        <v>125</v>
      </c>
      <c r="L8" s="150" t="s">
        <v>138</v>
      </c>
      <c r="M8" s="150" t="s">
        <v>125</v>
      </c>
      <c r="N8" s="150" t="s">
        <v>138</v>
      </c>
      <c r="O8" s="150" t="s">
        <v>125</v>
      </c>
      <c r="P8" s="150" t="s">
        <v>138</v>
      </c>
      <c r="Q8" s="150" t="s">
        <v>125</v>
      </c>
      <c r="R8" s="150" t="s">
        <v>138</v>
      </c>
      <c r="S8" s="150" t="s">
        <v>125</v>
      </c>
      <c r="T8" s="480"/>
      <c r="U8" s="4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65" t="s">
        <v>529</v>
      </c>
      <c r="C9" s="449">
        <v>9</v>
      </c>
      <c r="D9" s="151" t="s">
        <v>589</v>
      </c>
      <c r="E9" s="151" t="s">
        <v>590</v>
      </c>
      <c r="F9" s="151">
        <v>20</v>
      </c>
      <c r="G9" s="151">
        <v>4</v>
      </c>
      <c r="H9" s="152"/>
      <c r="I9" s="152">
        <f>H9*16</f>
        <v>0</v>
      </c>
      <c r="J9" s="152"/>
      <c r="K9" s="152">
        <f>J9*16</f>
        <v>0</v>
      </c>
      <c r="L9" s="152"/>
      <c r="M9" s="152"/>
      <c r="N9" s="152"/>
      <c r="O9" s="152"/>
      <c r="P9" s="152">
        <v>3</v>
      </c>
      <c r="Q9" s="152">
        <f>P9*16</f>
        <v>48</v>
      </c>
      <c r="R9" s="152"/>
      <c r="S9" s="152">
        <f>R9*16</f>
        <v>0</v>
      </c>
      <c r="T9" s="153">
        <f>SUM(H9,J9,L9,N9,P9,R9)</f>
        <v>3</v>
      </c>
      <c r="U9" s="154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66"/>
      <c r="C10" s="450"/>
      <c r="D10" s="155" t="s">
        <v>591</v>
      </c>
      <c r="E10" s="156" t="s">
        <v>592</v>
      </c>
      <c r="F10" s="155">
        <v>45</v>
      </c>
      <c r="G10" s="155">
        <v>5</v>
      </c>
      <c r="H10" s="157"/>
      <c r="I10" s="157">
        <f t="shared" ref="I10" si="0">H10*16</f>
        <v>0</v>
      </c>
      <c r="J10" s="157"/>
      <c r="K10" s="157">
        <f t="shared" ref="K10" si="1">J10*16</f>
        <v>0</v>
      </c>
      <c r="L10" s="157"/>
      <c r="M10" s="157"/>
      <c r="N10" s="157"/>
      <c r="O10" s="157"/>
      <c r="P10" s="157">
        <v>3</v>
      </c>
      <c r="Q10" s="157">
        <f t="shared" ref="Q10" si="2">P10*16</f>
        <v>48</v>
      </c>
      <c r="R10" s="157"/>
      <c r="S10" s="157">
        <f t="shared" ref="S10" si="3">R10*16</f>
        <v>0</v>
      </c>
      <c r="T10" s="158">
        <f t="shared" ref="T10:U10" si="4">SUM(H10,J10,L10,N10,P10,R10)</f>
        <v>3</v>
      </c>
      <c r="U10" s="159">
        <f t="shared" si="4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66"/>
      <c r="C11" s="450"/>
      <c r="D11" s="156" t="s">
        <v>593</v>
      </c>
      <c r="E11" s="155" t="s">
        <v>594</v>
      </c>
      <c r="F11" s="156">
        <v>20</v>
      </c>
      <c r="G11" s="156">
        <v>2</v>
      </c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>
        <v>3</v>
      </c>
      <c r="S11" s="160">
        <v>48</v>
      </c>
      <c r="T11" s="161">
        <v>3</v>
      </c>
      <c r="U11" s="162">
        <f>Q11+S11</f>
        <v>48</v>
      </c>
    </row>
    <row r="12" spans="2:33" ht="18" thickBot="1">
      <c r="B12" s="467"/>
      <c r="C12" s="451"/>
      <c r="D12" s="452" t="s">
        <v>16</v>
      </c>
      <c r="E12" s="453"/>
      <c r="F12" s="163"/>
      <c r="G12" s="163"/>
      <c r="H12" s="164">
        <f>SUM(H11:H11)</f>
        <v>0</v>
      </c>
      <c r="I12" s="164">
        <f>SUM(I11:I11)</f>
        <v>0</v>
      </c>
      <c r="J12" s="164">
        <f>SUM(J11:J11)</f>
        <v>0</v>
      </c>
      <c r="K12" s="164">
        <f>SUM(K11:K11)</f>
        <v>0</v>
      </c>
      <c r="L12" s="164">
        <f t="shared" ref="L12:U12" si="5">SUM(L9:L11)</f>
        <v>0</v>
      </c>
      <c r="M12" s="164">
        <f t="shared" si="5"/>
        <v>0</v>
      </c>
      <c r="N12" s="164">
        <f t="shared" si="5"/>
        <v>0</v>
      </c>
      <c r="O12" s="164">
        <f t="shared" si="5"/>
        <v>0</v>
      </c>
      <c r="P12" s="164">
        <f t="shared" si="5"/>
        <v>6</v>
      </c>
      <c r="Q12" s="164">
        <f t="shared" si="5"/>
        <v>96</v>
      </c>
      <c r="R12" s="164">
        <f t="shared" si="5"/>
        <v>3</v>
      </c>
      <c r="S12" s="164">
        <f t="shared" si="5"/>
        <v>48</v>
      </c>
      <c r="T12" s="165">
        <f t="shared" si="5"/>
        <v>9</v>
      </c>
      <c r="U12" s="165">
        <f t="shared" si="5"/>
        <v>144</v>
      </c>
    </row>
    <row r="13" spans="2:33" ht="17.399999999999999" customHeight="1">
      <c r="B13" s="454" t="s">
        <v>595</v>
      </c>
      <c r="C13" s="459">
        <v>16</v>
      </c>
      <c r="D13" s="151" t="s">
        <v>596</v>
      </c>
      <c r="E13" s="151" t="s">
        <v>597</v>
      </c>
      <c r="F13" s="151">
        <v>30</v>
      </c>
      <c r="G13" s="151">
        <v>3</v>
      </c>
      <c r="H13" s="152"/>
      <c r="I13" s="152"/>
      <c r="J13" s="152"/>
      <c r="K13" s="152"/>
      <c r="L13" s="152"/>
      <c r="M13" s="152"/>
      <c r="N13" s="152"/>
      <c r="O13" s="152"/>
      <c r="P13" s="152">
        <v>3</v>
      </c>
      <c r="Q13" s="152">
        <f>P13*16</f>
        <v>48</v>
      </c>
      <c r="R13" s="152"/>
      <c r="S13" s="152">
        <f>R13*16</f>
        <v>0</v>
      </c>
      <c r="T13" s="153">
        <f>SUM(H13,J13,L13,N13,P13,R13)</f>
        <v>3</v>
      </c>
      <c r="U13" s="154">
        <v>48</v>
      </c>
    </row>
    <row r="14" spans="2:33">
      <c r="B14" s="455"/>
      <c r="C14" s="460"/>
      <c r="D14" s="156" t="s">
        <v>745</v>
      </c>
      <c r="E14" s="156" t="s">
        <v>598</v>
      </c>
      <c r="F14" s="156">
        <v>60</v>
      </c>
      <c r="G14" s="156">
        <v>3</v>
      </c>
      <c r="H14" s="160"/>
      <c r="I14" s="160"/>
      <c r="J14" s="160"/>
      <c r="K14" s="160"/>
      <c r="L14" s="160"/>
      <c r="M14" s="160"/>
      <c r="N14" s="160"/>
      <c r="O14" s="160"/>
      <c r="P14" s="157">
        <v>5</v>
      </c>
      <c r="Q14" s="157">
        <f t="shared" ref="Q14" si="6">P14*16</f>
        <v>80</v>
      </c>
      <c r="R14" s="157"/>
      <c r="S14" s="157">
        <f t="shared" ref="S14" si="7">R14*16</f>
        <v>0</v>
      </c>
      <c r="T14" s="158">
        <f t="shared" ref="T14" si="8">SUM(H14,J14,L14,N14,P14,R14)</f>
        <v>5</v>
      </c>
      <c r="U14" s="159">
        <v>80</v>
      </c>
    </row>
    <row r="15" spans="2:33">
      <c r="B15" s="456"/>
      <c r="C15" s="461"/>
      <c r="D15" s="155" t="s">
        <v>601</v>
      </c>
      <c r="E15" s="155" t="s">
        <v>602</v>
      </c>
      <c r="F15" s="155">
        <v>60</v>
      </c>
      <c r="G15" s="155">
        <v>5</v>
      </c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>
        <v>5</v>
      </c>
      <c r="S15" s="157">
        <f t="shared" ref="S15" si="9">R15*16</f>
        <v>80</v>
      </c>
      <c r="T15" s="158">
        <f t="shared" ref="T15" si="10">SUM(H15,J15,L15,N15,P15,R15)</f>
        <v>5</v>
      </c>
      <c r="U15" s="159">
        <v>80</v>
      </c>
      <c r="W15" s="30"/>
    </row>
    <row r="16" spans="2:33">
      <c r="B16" s="457"/>
      <c r="C16" s="462"/>
      <c r="D16" s="156" t="s">
        <v>599</v>
      </c>
      <c r="E16" s="156" t="s">
        <v>600</v>
      </c>
      <c r="F16" s="156">
        <v>30</v>
      </c>
      <c r="G16" s="156">
        <v>4</v>
      </c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>
        <v>3</v>
      </c>
      <c r="S16" s="160">
        <f>R16*16</f>
        <v>48</v>
      </c>
      <c r="T16" s="161">
        <f>SUM(H16,J16,L16,N16,P16,R16)</f>
        <v>3</v>
      </c>
      <c r="U16" s="162">
        <v>48</v>
      </c>
    </row>
    <row r="17" spans="2:21" ht="18" thickBot="1">
      <c r="B17" s="458"/>
      <c r="C17" s="463"/>
      <c r="D17" s="464" t="s">
        <v>16</v>
      </c>
      <c r="E17" s="464"/>
      <c r="F17" s="163"/>
      <c r="G17" s="163"/>
      <c r="H17" s="164"/>
      <c r="I17" s="164"/>
      <c r="J17" s="164"/>
      <c r="K17" s="164"/>
      <c r="L17" s="164"/>
      <c r="M17" s="164"/>
      <c r="N17" s="164"/>
      <c r="O17" s="164"/>
      <c r="P17" s="164">
        <f>SUM(P13:P15)</f>
        <v>8</v>
      </c>
      <c r="Q17" s="164">
        <f>SUM(Q13:Q15)</f>
        <v>128</v>
      </c>
      <c r="R17" s="164">
        <f>SUM(R15:R16)</f>
        <v>8</v>
      </c>
      <c r="S17" s="164">
        <f>SUM(S15:S16)</f>
        <v>128</v>
      </c>
      <c r="T17" s="28">
        <f>SUM(T13:T16)</f>
        <v>16</v>
      </c>
      <c r="U17" s="29">
        <f>SUM(U13:U15)</f>
        <v>208</v>
      </c>
    </row>
    <row r="18" spans="2:21">
      <c r="B18" s="466" t="s">
        <v>531</v>
      </c>
      <c r="C18" s="483">
        <v>12</v>
      </c>
      <c r="D18" s="167" t="s">
        <v>603</v>
      </c>
      <c r="E18" s="156" t="s">
        <v>604</v>
      </c>
      <c r="F18" s="156">
        <v>20</v>
      </c>
      <c r="G18" s="156">
        <v>3</v>
      </c>
      <c r="H18" s="160"/>
      <c r="I18" s="160"/>
      <c r="J18" s="160"/>
      <c r="K18" s="160"/>
      <c r="L18" s="160"/>
      <c r="M18" s="160"/>
      <c r="N18" s="160"/>
      <c r="O18" s="160"/>
      <c r="P18" s="152">
        <v>2</v>
      </c>
      <c r="Q18" s="152">
        <f>P18*16</f>
        <v>32</v>
      </c>
      <c r="R18" s="152"/>
      <c r="S18" s="152">
        <f>R18*16</f>
        <v>0</v>
      </c>
      <c r="T18" s="153">
        <f>SUM(H18,J18,L18,N18,P18,R18)</f>
        <v>2</v>
      </c>
      <c r="U18" s="154">
        <v>32</v>
      </c>
    </row>
    <row r="19" spans="2:21">
      <c r="B19" s="466"/>
      <c r="C19" s="484"/>
      <c r="D19" s="167" t="s">
        <v>605</v>
      </c>
      <c r="E19" s="155" t="s">
        <v>606</v>
      </c>
      <c r="F19" s="156">
        <v>20</v>
      </c>
      <c r="G19" s="156">
        <v>2</v>
      </c>
      <c r="H19" s="160"/>
      <c r="I19" s="160"/>
      <c r="J19" s="160"/>
      <c r="K19" s="160"/>
      <c r="L19" s="160"/>
      <c r="M19" s="160"/>
      <c r="N19" s="160"/>
      <c r="O19" s="160"/>
      <c r="P19" s="157">
        <v>2</v>
      </c>
      <c r="Q19" s="157">
        <f t="shared" ref="Q19" si="11">P19*16</f>
        <v>32</v>
      </c>
      <c r="R19" s="157"/>
      <c r="S19" s="157">
        <f t="shared" ref="S19" si="12">R19*16</f>
        <v>0</v>
      </c>
      <c r="T19" s="158">
        <f t="shared" ref="T19" si="13">SUM(H19,J19,L19,N19,P19,R19)</f>
        <v>2</v>
      </c>
      <c r="U19" s="159">
        <v>32</v>
      </c>
    </row>
    <row r="20" spans="2:21">
      <c r="B20" s="466"/>
      <c r="C20" s="484"/>
      <c r="D20" s="167" t="s">
        <v>607</v>
      </c>
      <c r="E20" s="155" t="s">
        <v>608</v>
      </c>
      <c r="F20" s="156">
        <v>20</v>
      </c>
      <c r="G20" s="156">
        <v>2</v>
      </c>
      <c r="H20" s="160"/>
      <c r="I20" s="160"/>
      <c r="J20" s="160"/>
      <c r="K20" s="160"/>
      <c r="L20" s="160"/>
      <c r="M20" s="160"/>
      <c r="N20" s="160"/>
      <c r="O20" s="160"/>
      <c r="P20" s="160">
        <v>2</v>
      </c>
      <c r="Q20" s="160">
        <v>32</v>
      </c>
      <c r="R20" s="160"/>
      <c r="S20" s="160"/>
      <c r="T20" s="161">
        <f>SUM(H20,J20,L20,N20,P20,R20)</f>
        <v>2</v>
      </c>
      <c r="U20" s="162">
        <v>32</v>
      </c>
    </row>
    <row r="21" spans="2:21">
      <c r="B21" s="466"/>
      <c r="C21" s="484"/>
      <c r="D21" s="167" t="s">
        <v>609</v>
      </c>
      <c r="E21" s="155" t="s">
        <v>610</v>
      </c>
      <c r="F21" s="156">
        <v>20</v>
      </c>
      <c r="G21" s="156">
        <v>3</v>
      </c>
      <c r="H21" s="160"/>
      <c r="I21" s="160"/>
      <c r="J21" s="160"/>
      <c r="K21" s="160"/>
      <c r="L21" s="160"/>
      <c r="M21" s="160"/>
      <c r="N21" s="160"/>
      <c r="O21" s="160"/>
      <c r="P21" s="157"/>
      <c r="Q21" s="157"/>
      <c r="R21" s="157">
        <v>3</v>
      </c>
      <c r="S21" s="157">
        <f t="shared" ref="S21" si="14">R21*16</f>
        <v>48</v>
      </c>
      <c r="T21" s="158">
        <f t="shared" ref="T21" si="15">SUM(H21,J21,L21,N21,P21,R21)</f>
        <v>3</v>
      </c>
      <c r="U21" s="159">
        <v>48</v>
      </c>
    </row>
    <row r="22" spans="2:21">
      <c r="B22" s="466"/>
      <c r="C22" s="484"/>
      <c r="D22" s="167" t="s">
        <v>611</v>
      </c>
      <c r="E22" s="168" t="s">
        <v>612</v>
      </c>
      <c r="F22" s="156">
        <v>20</v>
      </c>
      <c r="G22" s="156">
        <v>2</v>
      </c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>
        <v>3</v>
      </c>
      <c r="S22" s="160">
        <f>R22*16</f>
        <v>48</v>
      </c>
      <c r="T22" s="161">
        <f>SUM(H22,J22,L22,N22,P22,R22)</f>
        <v>3</v>
      </c>
      <c r="U22" s="162">
        <v>48</v>
      </c>
    </row>
    <row r="23" spans="2:21" ht="18" thickBot="1">
      <c r="B23" s="467"/>
      <c r="C23" s="485"/>
      <c r="D23" s="481" t="s">
        <v>16</v>
      </c>
      <c r="E23" s="482"/>
      <c r="F23" s="169"/>
      <c r="G23" s="169"/>
      <c r="H23" s="170"/>
      <c r="I23" s="170"/>
      <c r="J23" s="170"/>
      <c r="K23" s="170"/>
      <c r="L23" s="170"/>
      <c r="M23" s="170"/>
      <c r="N23" s="170"/>
      <c r="O23" s="170"/>
      <c r="P23" s="170">
        <f t="shared" ref="P23:U23" si="16">SUM(P18:P22)</f>
        <v>6</v>
      </c>
      <c r="Q23" s="170">
        <f t="shared" si="16"/>
        <v>96</v>
      </c>
      <c r="R23" s="170">
        <f t="shared" si="16"/>
        <v>6</v>
      </c>
      <c r="S23" s="170">
        <f t="shared" si="16"/>
        <v>96</v>
      </c>
      <c r="T23" s="26">
        <f t="shared" si="16"/>
        <v>12</v>
      </c>
      <c r="U23" s="27">
        <f t="shared" si="16"/>
        <v>192</v>
      </c>
    </row>
    <row r="24" spans="2:21" ht="17.399999999999999" customHeight="1">
      <c r="B24" s="454" t="s">
        <v>613</v>
      </c>
      <c r="C24" s="459">
        <v>10</v>
      </c>
      <c r="D24" s="171" t="s">
        <v>614</v>
      </c>
      <c r="E24" s="151" t="s">
        <v>615</v>
      </c>
      <c r="F24" s="151">
        <v>60</v>
      </c>
      <c r="G24" s="172">
        <v>5</v>
      </c>
      <c r="H24" s="152"/>
      <c r="I24" s="152"/>
      <c r="J24" s="152"/>
      <c r="K24" s="152"/>
      <c r="L24" s="152"/>
      <c r="M24" s="152"/>
      <c r="N24" s="152"/>
      <c r="O24" s="152"/>
      <c r="P24" s="152">
        <v>4</v>
      </c>
      <c r="Q24" s="152">
        <f>P24*16</f>
        <v>64</v>
      </c>
      <c r="R24" s="152"/>
      <c r="S24" s="152">
        <f>R24*16</f>
        <v>0</v>
      </c>
      <c r="T24" s="153">
        <v>4</v>
      </c>
      <c r="U24" s="154">
        <v>64</v>
      </c>
    </row>
    <row r="25" spans="2:21">
      <c r="B25" s="456"/>
      <c r="C25" s="461"/>
      <c r="D25" s="173" t="s">
        <v>616</v>
      </c>
      <c r="E25" s="156" t="s">
        <v>617</v>
      </c>
      <c r="F25" s="156">
        <v>30</v>
      </c>
      <c r="G25" s="156">
        <v>3</v>
      </c>
      <c r="H25" s="160"/>
      <c r="I25" s="160"/>
      <c r="J25" s="160"/>
      <c r="K25" s="160"/>
      <c r="L25" s="160"/>
      <c r="M25" s="160"/>
      <c r="N25" s="160"/>
      <c r="O25" s="160"/>
      <c r="P25" s="157"/>
      <c r="Q25" s="157"/>
      <c r="R25" s="157">
        <v>3</v>
      </c>
      <c r="S25" s="157">
        <f t="shared" ref="S25" si="17">R25*16</f>
        <v>48</v>
      </c>
      <c r="T25" s="158">
        <v>3</v>
      </c>
      <c r="U25" s="159">
        <v>48</v>
      </c>
    </row>
    <row r="26" spans="2:21">
      <c r="B26" s="456"/>
      <c r="C26" s="461"/>
      <c r="D26" s="174" t="s">
        <v>618</v>
      </c>
      <c r="E26" s="155" t="s">
        <v>619</v>
      </c>
      <c r="F26" s="155">
        <v>30</v>
      </c>
      <c r="G26" s="155">
        <v>3</v>
      </c>
      <c r="H26" s="157"/>
      <c r="I26" s="157"/>
      <c r="J26" s="157"/>
      <c r="K26" s="157"/>
      <c r="L26" s="157"/>
      <c r="M26" s="157"/>
      <c r="N26" s="157"/>
      <c r="O26" s="157"/>
      <c r="P26" s="160"/>
      <c r="Q26" s="160"/>
      <c r="R26" s="160">
        <v>3</v>
      </c>
      <c r="S26" s="160">
        <f>R26*16</f>
        <v>48</v>
      </c>
      <c r="T26" s="161">
        <v>3</v>
      </c>
      <c r="U26" s="162">
        <v>48</v>
      </c>
    </row>
    <row r="27" spans="2:21" ht="18" thickBot="1">
      <c r="B27" s="458"/>
      <c r="C27" s="463"/>
      <c r="D27" s="453" t="s">
        <v>16</v>
      </c>
      <c r="E27" s="464"/>
      <c r="F27" s="163"/>
      <c r="G27" s="163"/>
      <c r="H27" s="164"/>
      <c r="I27" s="164"/>
      <c r="J27" s="164"/>
      <c r="K27" s="164"/>
      <c r="L27" s="164"/>
      <c r="M27" s="164"/>
      <c r="N27" s="164"/>
      <c r="O27" s="164"/>
      <c r="P27" s="164">
        <f t="shared" ref="P27:U27" si="18">SUM(P24:P26)</f>
        <v>4</v>
      </c>
      <c r="Q27" s="164">
        <f t="shared" si="18"/>
        <v>64</v>
      </c>
      <c r="R27" s="164">
        <f t="shared" si="18"/>
        <v>6</v>
      </c>
      <c r="S27" s="164">
        <f t="shared" si="18"/>
        <v>96</v>
      </c>
      <c r="T27" s="28">
        <f t="shared" si="18"/>
        <v>10</v>
      </c>
      <c r="U27" s="29">
        <f t="shared" si="18"/>
        <v>160</v>
      </c>
    </row>
    <row r="28" spans="2:21">
      <c r="B28" s="454" t="s">
        <v>533</v>
      </c>
      <c r="C28" s="459">
        <v>6</v>
      </c>
      <c r="D28" s="171" t="s">
        <v>620</v>
      </c>
      <c r="E28" s="151" t="s">
        <v>621</v>
      </c>
      <c r="F28" s="151">
        <v>45</v>
      </c>
      <c r="G28" s="172">
        <v>4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>
        <v>4</v>
      </c>
      <c r="S28" s="152">
        <f>R28*16</f>
        <v>64</v>
      </c>
      <c r="T28" s="153">
        <f>SUM(H28,J28,L28,N28,P28,R28)</f>
        <v>4</v>
      </c>
      <c r="U28" s="154">
        <f>SUM(I28,K28,M28,O28,Q28,S28)</f>
        <v>64</v>
      </c>
    </row>
    <row r="29" spans="2:21">
      <c r="B29" s="456"/>
      <c r="C29" s="461"/>
      <c r="D29" s="173" t="s">
        <v>622</v>
      </c>
      <c r="E29" s="156" t="s">
        <v>623</v>
      </c>
      <c r="F29" s="156">
        <v>30</v>
      </c>
      <c r="G29" s="156">
        <v>3</v>
      </c>
      <c r="H29" s="160"/>
      <c r="I29" s="160"/>
      <c r="J29" s="160"/>
      <c r="K29" s="160"/>
      <c r="L29" s="160"/>
      <c r="M29" s="160"/>
      <c r="N29" s="160"/>
      <c r="O29" s="160"/>
      <c r="P29" s="157"/>
      <c r="Q29" s="157"/>
      <c r="R29" s="157">
        <v>2</v>
      </c>
      <c r="S29" s="157">
        <f t="shared" ref="S29" si="19">R29*16</f>
        <v>32</v>
      </c>
      <c r="T29" s="158">
        <f t="shared" ref="T29:U29" si="20">SUM(H29,J29,L29,N29,P29,R29)</f>
        <v>2</v>
      </c>
      <c r="U29" s="159">
        <f t="shared" si="20"/>
        <v>32</v>
      </c>
    </row>
    <row r="30" spans="2:21" ht="18" thickBot="1">
      <c r="B30" s="458"/>
      <c r="C30" s="463"/>
      <c r="D30" s="452" t="s">
        <v>16</v>
      </c>
      <c r="E30" s="453"/>
      <c r="F30" s="163"/>
      <c r="G30" s="163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>
        <f>SUM(R28:R29)</f>
        <v>6</v>
      </c>
      <c r="S30" s="164">
        <f>SUM(S28:S29)</f>
        <v>96</v>
      </c>
      <c r="T30" s="28">
        <f>SUM(T28:T29)</f>
        <v>6</v>
      </c>
      <c r="U30" s="29">
        <f>SUM(U28:U29)</f>
        <v>96</v>
      </c>
    </row>
    <row r="31" spans="2:21">
      <c r="B31" s="455" t="s">
        <v>538</v>
      </c>
      <c r="C31" s="460">
        <v>4</v>
      </c>
      <c r="D31" s="174" t="s">
        <v>624</v>
      </c>
      <c r="E31" s="175" t="s">
        <v>625</v>
      </c>
      <c r="F31" s="155">
        <v>40</v>
      </c>
      <c r="G31" s="156">
        <v>2</v>
      </c>
      <c r="H31" s="160"/>
      <c r="I31" s="160"/>
      <c r="J31" s="160"/>
      <c r="K31" s="160"/>
      <c r="L31" s="152"/>
      <c r="M31" s="152"/>
      <c r="N31" s="152"/>
      <c r="O31" s="152"/>
      <c r="P31" s="152">
        <v>2</v>
      </c>
      <c r="Q31" s="152">
        <f>P31*16</f>
        <v>32</v>
      </c>
      <c r="R31" s="152"/>
      <c r="S31" s="152">
        <f>R31*16</f>
        <v>0</v>
      </c>
      <c r="T31" s="153">
        <f>SUM(H31,J31,L31,N31,P31,R31)</f>
        <v>2</v>
      </c>
      <c r="U31" s="154">
        <f>SUM(I31,K31,M31,O31,Q31,S31)</f>
        <v>32</v>
      </c>
    </row>
    <row r="32" spans="2:21">
      <c r="B32" s="455"/>
      <c r="C32" s="460"/>
      <c r="D32" s="173" t="s">
        <v>626</v>
      </c>
      <c r="E32" s="176" t="s">
        <v>627</v>
      </c>
      <c r="F32" s="156">
        <v>40</v>
      </c>
      <c r="G32" s="156">
        <v>2</v>
      </c>
      <c r="H32" s="160"/>
      <c r="I32" s="160"/>
      <c r="J32" s="160"/>
      <c r="K32" s="160"/>
      <c r="L32" s="157"/>
      <c r="M32" s="157"/>
      <c r="N32" s="157"/>
      <c r="O32" s="157"/>
      <c r="P32" s="157">
        <v>2</v>
      </c>
      <c r="Q32" s="157">
        <f t="shared" ref="Q32" si="21">P32*16</f>
        <v>32</v>
      </c>
      <c r="R32" s="157"/>
      <c r="S32" s="157">
        <f t="shared" ref="S32" si="22">R32*16</f>
        <v>0</v>
      </c>
      <c r="T32" s="158">
        <f t="shared" ref="T32:U32" si="23">SUM(H32,J32,L32,N32,P32,R32)</f>
        <v>2</v>
      </c>
      <c r="U32" s="159">
        <f t="shared" si="23"/>
        <v>32</v>
      </c>
    </row>
    <row r="33" spans="2:21" ht="18" thickBot="1">
      <c r="B33" s="458"/>
      <c r="C33" s="463"/>
      <c r="D33" s="464" t="s">
        <v>16</v>
      </c>
      <c r="E33" s="464"/>
      <c r="F33" s="163"/>
      <c r="G33" s="163"/>
      <c r="H33" s="164"/>
      <c r="I33" s="164"/>
      <c r="J33" s="164"/>
      <c r="K33" s="164"/>
      <c r="L33" s="164"/>
      <c r="M33" s="164"/>
      <c r="N33" s="164"/>
      <c r="O33" s="164"/>
      <c r="P33" s="164">
        <f>SUM(P31:P32)</f>
        <v>4</v>
      </c>
      <c r="Q33" s="164">
        <f>SUM(Q31:Q32)</f>
        <v>64</v>
      </c>
      <c r="R33" s="164"/>
      <c r="S33" s="164"/>
      <c r="T33" s="28">
        <f>SUM(T31:T32)</f>
        <v>4</v>
      </c>
      <c r="U33" s="29">
        <f>SUM(U31:U32)</f>
        <v>64</v>
      </c>
    </row>
  </sheetData>
  <mergeCells count="45">
    <mergeCell ref="D33:E33"/>
    <mergeCell ref="D23:E23"/>
    <mergeCell ref="B24:B27"/>
    <mergeCell ref="C24:C27"/>
    <mergeCell ref="D27:E27"/>
    <mergeCell ref="B28:B30"/>
    <mergeCell ref="C28:C30"/>
    <mergeCell ref="D30:E30"/>
    <mergeCell ref="B31:B33"/>
    <mergeCell ref="B18:B23"/>
    <mergeCell ref="C18:C23"/>
    <mergeCell ref="C31:C33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C9:C12"/>
    <mergeCell ref="D12:E12"/>
    <mergeCell ref="B13:B17"/>
    <mergeCell ref="C13:C17"/>
    <mergeCell ref="D17:E17"/>
    <mergeCell ref="B9:B12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F801-1240-496A-A13E-38EEFCF6671A}">
  <sheetPr>
    <pageSetUpPr fitToPage="1"/>
  </sheetPr>
  <dimension ref="B2:AG32"/>
  <sheetViews>
    <sheetView showGridLines="0" view="pageBreakPreview" topLeftCell="D1" zoomScaleNormal="85" zoomScaleSheetLayoutView="100" workbookViewId="0">
      <selection activeCell="G30" sqref="G30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28" t="s">
        <v>151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</row>
    <row r="3" spans="2:33" ht="27" customHeight="1" thickBot="1"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429" t="s">
        <v>129</v>
      </c>
      <c r="O3" s="430"/>
      <c r="P3" s="431"/>
      <c r="Q3" s="429" t="s">
        <v>127</v>
      </c>
      <c r="R3" s="430"/>
      <c r="S3" s="431"/>
      <c r="T3" s="432" t="s">
        <v>130</v>
      </c>
      <c r="U3" s="433"/>
    </row>
    <row r="4" spans="2:33" ht="27" customHeight="1" thickBot="1"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434" t="s">
        <v>507</v>
      </c>
      <c r="O4" s="435"/>
      <c r="P4" s="436"/>
      <c r="Q4" s="437" t="s">
        <v>540</v>
      </c>
      <c r="R4" s="438"/>
      <c r="S4" s="439"/>
      <c r="T4" s="440">
        <v>2027</v>
      </c>
      <c r="U4" s="441"/>
    </row>
    <row r="5" spans="2:33" ht="24" customHeight="1" thickBot="1">
      <c r="B5" s="442"/>
      <c r="C5" s="442"/>
    </row>
    <row r="6" spans="2:33" ht="20.25" customHeight="1">
      <c r="B6" s="443" t="s">
        <v>13</v>
      </c>
      <c r="C6" s="446" t="s">
        <v>140</v>
      </c>
      <c r="D6" s="424" t="s">
        <v>14</v>
      </c>
      <c r="E6" s="424" t="s">
        <v>15</v>
      </c>
      <c r="F6" s="424" t="s">
        <v>141</v>
      </c>
      <c r="G6" s="424" t="s">
        <v>142</v>
      </c>
      <c r="H6" s="471" t="s">
        <v>58</v>
      </c>
      <c r="I6" s="471"/>
      <c r="J6" s="471"/>
      <c r="K6" s="471"/>
      <c r="L6" s="471" t="s">
        <v>59</v>
      </c>
      <c r="M6" s="471"/>
      <c r="N6" s="471"/>
      <c r="O6" s="471"/>
      <c r="P6" s="471" t="s">
        <v>60</v>
      </c>
      <c r="Q6" s="471"/>
      <c r="R6" s="471"/>
      <c r="S6" s="471"/>
      <c r="T6" s="478" t="s">
        <v>139</v>
      </c>
      <c r="U6" s="472" t="s">
        <v>126</v>
      </c>
      <c r="W6" s="475" t="s">
        <v>131</v>
      </c>
      <c r="X6" s="476"/>
      <c r="Y6" s="476"/>
      <c r="Z6" s="476"/>
      <c r="AA6" s="476"/>
      <c r="AB6" s="476"/>
      <c r="AC6" s="476"/>
      <c r="AD6" s="476"/>
      <c r="AE6" s="476"/>
      <c r="AF6" s="477"/>
      <c r="AG6" s="13"/>
    </row>
    <row r="7" spans="2:33" ht="16.5" customHeight="1">
      <c r="B7" s="444"/>
      <c r="C7" s="447"/>
      <c r="D7" s="425"/>
      <c r="E7" s="425"/>
      <c r="F7" s="425"/>
      <c r="G7" s="425"/>
      <c r="H7" s="427" t="s">
        <v>124</v>
      </c>
      <c r="I7" s="427"/>
      <c r="J7" s="427" t="s">
        <v>62</v>
      </c>
      <c r="K7" s="427"/>
      <c r="L7" s="427" t="s">
        <v>124</v>
      </c>
      <c r="M7" s="427"/>
      <c r="N7" s="427" t="s">
        <v>62</v>
      </c>
      <c r="O7" s="427"/>
      <c r="P7" s="427" t="s">
        <v>124</v>
      </c>
      <c r="Q7" s="427"/>
      <c r="R7" s="427" t="s">
        <v>62</v>
      </c>
      <c r="S7" s="427"/>
      <c r="T7" s="479"/>
      <c r="U7" s="473"/>
      <c r="W7" s="468" t="s">
        <v>132</v>
      </c>
      <c r="X7" s="469"/>
      <c r="Y7" s="469"/>
      <c r="Z7" s="469"/>
      <c r="AA7" s="469"/>
      <c r="AB7" s="469"/>
      <c r="AC7" s="469"/>
      <c r="AD7" s="469"/>
      <c r="AE7" s="469"/>
      <c r="AF7" s="470"/>
      <c r="AG7" s="13"/>
    </row>
    <row r="8" spans="2:33" ht="17.25" customHeight="1" thickBot="1">
      <c r="B8" s="445"/>
      <c r="C8" s="448"/>
      <c r="D8" s="426"/>
      <c r="E8" s="426"/>
      <c r="F8" s="426"/>
      <c r="G8" s="426"/>
      <c r="H8" s="150" t="s">
        <v>138</v>
      </c>
      <c r="I8" s="150" t="s">
        <v>125</v>
      </c>
      <c r="J8" s="150" t="s">
        <v>138</v>
      </c>
      <c r="K8" s="150" t="s">
        <v>125</v>
      </c>
      <c r="L8" s="150" t="s">
        <v>138</v>
      </c>
      <c r="M8" s="150" t="s">
        <v>125</v>
      </c>
      <c r="N8" s="150" t="s">
        <v>138</v>
      </c>
      <c r="O8" s="150" t="s">
        <v>125</v>
      </c>
      <c r="P8" s="150" t="s">
        <v>138</v>
      </c>
      <c r="Q8" s="150" t="s">
        <v>125</v>
      </c>
      <c r="R8" s="150" t="s">
        <v>138</v>
      </c>
      <c r="S8" s="150" t="s">
        <v>125</v>
      </c>
      <c r="T8" s="480"/>
      <c r="U8" s="4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8" customHeight="1">
      <c r="B9" s="465" t="s">
        <v>628</v>
      </c>
      <c r="C9" s="449">
        <v>6</v>
      </c>
      <c r="D9" s="151" t="s">
        <v>629</v>
      </c>
      <c r="E9" s="151" t="s">
        <v>630</v>
      </c>
      <c r="F9" s="151">
        <v>60</v>
      </c>
      <c r="G9" s="151">
        <v>2</v>
      </c>
      <c r="H9" s="152"/>
      <c r="I9" s="152">
        <f>H9*16</f>
        <v>0</v>
      </c>
      <c r="J9" s="152"/>
      <c r="K9" s="152">
        <f>J9*16</f>
        <v>0</v>
      </c>
      <c r="L9" s="152"/>
      <c r="M9" s="152"/>
      <c r="N9" s="152">
        <v>3</v>
      </c>
      <c r="O9" s="152">
        <v>48</v>
      </c>
      <c r="P9" s="152"/>
      <c r="Q9" s="152"/>
      <c r="R9" s="152"/>
      <c r="S9" s="152">
        <f>R9*16</f>
        <v>0</v>
      </c>
      <c r="T9" s="153">
        <f>SUM(H9,J9,L9,N9,P9,R9)</f>
        <v>3</v>
      </c>
      <c r="U9" s="154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>
      <c r="B10" s="466"/>
      <c r="C10" s="450"/>
      <c r="D10" s="173" t="s">
        <v>747</v>
      </c>
      <c r="E10" s="156" t="s">
        <v>746</v>
      </c>
      <c r="F10" s="156">
        <v>60</v>
      </c>
      <c r="G10" s="156">
        <v>3</v>
      </c>
      <c r="H10" s="160"/>
      <c r="I10" s="160"/>
      <c r="J10" s="160"/>
      <c r="K10" s="160"/>
      <c r="L10" s="160"/>
      <c r="M10" s="160"/>
      <c r="N10" s="160">
        <v>3</v>
      </c>
      <c r="O10" s="160">
        <v>48</v>
      </c>
      <c r="P10" s="157"/>
      <c r="Q10" s="157"/>
      <c r="R10" s="157"/>
      <c r="S10" s="157">
        <f t="shared" ref="S10" si="0">R10*16</f>
        <v>0</v>
      </c>
      <c r="T10" s="158">
        <v>3</v>
      </c>
      <c r="U10" s="159">
        <v>48</v>
      </c>
      <c r="W10" s="30"/>
    </row>
    <row r="11" spans="2:33" ht="16.5" customHeight="1" thickBot="1">
      <c r="B11" s="467"/>
      <c r="C11" s="451"/>
      <c r="D11" s="452" t="s">
        <v>16</v>
      </c>
      <c r="E11" s="453"/>
      <c r="F11" s="204"/>
      <c r="G11" s="204"/>
      <c r="H11" s="164"/>
      <c r="I11" s="164"/>
      <c r="J11" s="164"/>
      <c r="K11" s="164"/>
      <c r="L11" s="164">
        <f>SUM(L9:L9)</f>
        <v>0</v>
      </c>
      <c r="M11" s="164">
        <f>SUM(M9:M9)</f>
        <v>0</v>
      </c>
      <c r="N11" s="164">
        <f>SUM(N9:N10)</f>
        <v>6</v>
      </c>
      <c r="O11" s="164">
        <f>SUM(O9:O10)</f>
        <v>96</v>
      </c>
      <c r="P11" s="164"/>
      <c r="Q11" s="164"/>
      <c r="R11" s="164">
        <f>SUM(R9:R9)</f>
        <v>0</v>
      </c>
      <c r="S11" s="164">
        <f>SUM(S9:S9)</f>
        <v>0</v>
      </c>
      <c r="T11" s="165">
        <f>SUM(T9:T10)</f>
        <v>6</v>
      </c>
      <c r="U11" s="165">
        <f>SUM(U9:U10)</f>
        <v>96</v>
      </c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13"/>
    </row>
    <row r="12" spans="2:33">
      <c r="B12" s="493" t="s">
        <v>539</v>
      </c>
      <c r="C12" s="494">
        <v>8</v>
      </c>
      <c r="D12" s="171" t="s">
        <v>653</v>
      </c>
      <c r="E12" s="151" t="s">
        <v>654</v>
      </c>
      <c r="F12" s="151">
        <v>70</v>
      </c>
      <c r="G12" s="172">
        <v>3</v>
      </c>
      <c r="H12" s="152"/>
      <c r="I12" s="152"/>
      <c r="J12" s="152"/>
      <c r="K12" s="152"/>
      <c r="L12" s="152"/>
      <c r="M12" s="152"/>
      <c r="N12" s="152"/>
      <c r="O12" s="152"/>
      <c r="P12" s="152">
        <v>4</v>
      </c>
      <c r="Q12" s="152">
        <v>64</v>
      </c>
      <c r="R12" s="152"/>
      <c r="S12" s="152"/>
      <c r="T12" s="153">
        <f>SUM(H12,J12,L12,N12,P12,R12)</f>
        <v>4</v>
      </c>
      <c r="U12" s="154">
        <f>SUM(I12,K12,M12,O12,Q12,S12)</f>
        <v>64</v>
      </c>
    </row>
    <row r="13" spans="2:33">
      <c r="B13" s="486"/>
      <c r="C13" s="491"/>
      <c r="D13" s="196" t="s">
        <v>751</v>
      </c>
      <c r="E13" s="174" t="s">
        <v>752</v>
      </c>
      <c r="F13" s="207">
        <v>70</v>
      </c>
      <c r="G13" s="208">
        <v>4</v>
      </c>
      <c r="H13" s="160"/>
      <c r="I13" s="160"/>
      <c r="J13" s="160"/>
      <c r="K13" s="160"/>
      <c r="L13" s="160"/>
      <c r="M13" s="160"/>
      <c r="N13" s="160"/>
      <c r="O13" s="160"/>
      <c r="P13" s="160">
        <v>4</v>
      </c>
      <c r="Q13" s="160">
        <v>64</v>
      </c>
      <c r="R13" s="160"/>
      <c r="S13" s="160"/>
      <c r="T13" s="161">
        <v>4</v>
      </c>
      <c r="U13" s="162">
        <v>64</v>
      </c>
      <c r="W13" s="30"/>
    </row>
    <row r="14" spans="2:33" ht="18" thickBot="1">
      <c r="B14" s="487"/>
      <c r="C14" s="492"/>
      <c r="D14" s="452" t="s">
        <v>16</v>
      </c>
      <c r="E14" s="453"/>
      <c r="F14" s="205"/>
      <c r="G14" s="205"/>
      <c r="H14" s="164"/>
      <c r="I14" s="164"/>
      <c r="J14" s="164"/>
      <c r="K14" s="164"/>
      <c r="L14" s="164"/>
      <c r="M14" s="164"/>
      <c r="N14" s="164"/>
      <c r="O14" s="164"/>
      <c r="P14" s="164">
        <f>SUM(P12:P13)</f>
        <v>8</v>
      </c>
      <c r="Q14" s="164">
        <f>SUM(Q12:Q13)</f>
        <v>128</v>
      </c>
      <c r="R14" s="164"/>
      <c r="S14" s="164"/>
      <c r="T14" s="28">
        <f>SUM(T12:T13)</f>
        <v>8</v>
      </c>
      <c r="U14" s="29">
        <f>SUM(U12:U13)</f>
        <v>128</v>
      </c>
    </row>
    <row r="15" spans="2:33">
      <c r="B15" s="486" t="s">
        <v>634</v>
      </c>
      <c r="C15" s="491">
        <v>25</v>
      </c>
      <c r="D15" s="173" t="s">
        <v>635</v>
      </c>
      <c r="E15" s="156" t="s">
        <v>636</v>
      </c>
      <c r="F15" s="156">
        <v>50</v>
      </c>
      <c r="G15" s="156">
        <v>4</v>
      </c>
      <c r="H15" s="160"/>
      <c r="I15" s="160"/>
      <c r="J15" s="160"/>
      <c r="K15" s="160"/>
      <c r="L15" s="160"/>
      <c r="M15" s="160"/>
      <c r="N15" s="160"/>
      <c r="O15" s="160"/>
      <c r="P15" s="160">
        <v>3</v>
      </c>
      <c r="Q15" s="160">
        <v>48</v>
      </c>
      <c r="R15" s="160"/>
      <c r="S15" s="160"/>
      <c r="T15" s="161">
        <v>3</v>
      </c>
      <c r="U15" s="162">
        <v>48</v>
      </c>
      <c r="W15" s="30"/>
    </row>
    <row r="16" spans="2:33">
      <c r="B16" s="486"/>
      <c r="C16" s="491"/>
      <c r="D16" s="173" t="s">
        <v>703</v>
      </c>
      <c r="E16" s="156" t="s">
        <v>704</v>
      </c>
      <c r="F16" s="156">
        <v>70</v>
      </c>
      <c r="G16" s="156">
        <v>5</v>
      </c>
      <c r="H16" s="160"/>
      <c r="I16" s="160"/>
      <c r="J16" s="160"/>
      <c r="K16" s="160"/>
      <c r="L16" s="160"/>
      <c r="M16" s="160"/>
      <c r="N16" s="160"/>
      <c r="O16" s="160"/>
      <c r="P16" s="160">
        <v>5</v>
      </c>
      <c r="Q16" s="160">
        <v>80</v>
      </c>
      <c r="R16" s="160"/>
      <c r="S16" s="160">
        <v>0</v>
      </c>
      <c r="T16" s="161">
        <v>5</v>
      </c>
      <c r="U16" s="162">
        <v>80</v>
      </c>
      <c r="W16" s="30"/>
    </row>
    <row r="17" spans="2:23">
      <c r="B17" s="486"/>
      <c r="C17" s="491"/>
      <c r="D17" s="173" t="s">
        <v>641</v>
      </c>
      <c r="E17" s="156" t="s">
        <v>642</v>
      </c>
      <c r="F17" s="156">
        <v>30</v>
      </c>
      <c r="G17" s="156">
        <v>4</v>
      </c>
      <c r="H17" s="160"/>
      <c r="I17" s="160"/>
      <c r="J17" s="160"/>
      <c r="K17" s="160"/>
      <c r="L17" s="160"/>
      <c r="M17" s="160"/>
      <c r="N17" s="160"/>
      <c r="O17" s="160"/>
      <c r="P17" s="157"/>
      <c r="Q17" s="157"/>
      <c r="R17" s="157">
        <v>4</v>
      </c>
      <c r="S17" s="157">
        <f t="shared" ref="S17" si="1">R17*16</f>
        <v>64</v>
      </c>
      <c r="T17" s="158">
        <v>4</v>
      </c>
      <c r="U17" s="159">
        <v>64</v>
      </c>
      <c r="W17" s="30"/>
    </row>
    <row r="18" spans="2:23">
      <c r="B18" s="486"/>
      <c r="C18" s="491"/>
      <c r="D18" s="174" t="s">
        <v>637</v>
      </c>
      <c r="E18" s="155" t="s">
        <v>638</v>
      </c>
      <c r="F18" s="155">
        <v>70</v>
      </c>
      <c r="G18" s="155">
        <v>3</v>
      </c>
      <c r="H18" s="157"/>
      <c r="I18" s="157"/>
      <c r="J18" s="157"/>
      <c r="K18" s="157"/>
      <c r="L18" s="157"/>
      <c r="M18" s="157"/>
      <c r="N18" s="157"/>
      <c r="O18" s="157"/>
      <c r="P18" s="160"/>
      <c r="Q18" s="160"/>
      <c r="R18" s="160">
        <v>4</v>
      </c>
      <c r="S18" s="160">
        <f>R18*16</f>
        <v>64</v>
      </c>
      <c r="T18" s="161">
        <v>4</v>
      </c>
      <c r="U18" s="162">
        <v>64</v>
      </c>
    </row>
    <row r="19" spans="2:23">
      <c r="B19" s="486"/>
      <c r="C19" s="491"/>
      <c r="D19" s="174" t="s">
        <v>639</v>
      </c>
      <c r="E19" s="155" t="s">
        <v>640</v>
      </c>
      <c r="F19" s="155">
        <v>70</v>
      </c>
      <c r="G19" s="155">
        <v>3</v>
      </c>
      <c r="H19" s="157"/>
      <c r="I19" s="157"/>
      <c r="J19" s="157"/>
      <c r="K19" s="157"/>
      <c r="L19" s="157"/>
      <c r="M19" s="157"/>
      <c r="N19" s="157"/>
      <c r="O19" s="157"/>
      <c r="P19" s="160"/>
      <c r="Q19" s="160"/>
      <c r="R19" s="160">
        <v>5</v>
      </c>
      <c r="S19" s="160">
        <f>R19*16</f>
        <v>80</v>
      </c>
      <c r="T19" s="161">
        <v>5</v>
      </c>
      <c r="U19" s="162">
        <v>80</v>
      </c>
    </row>
    <row r="20" spans="2:23">
      <c r="B20" s="486"/>
      <c r="C20" s="491"/>
      <c r="D20" s="174" t="s">
        <v>643</v>
      </c>
      <c r="E20" s="155" t="s">
        <v>644</v>
      </c>
      <c r="F20" s="155">
        <v>70</v>
      </c>
      <c r="G20" s="155">
        <v>3</v>
      </c>
      <c r="H20" s="157"/>
      <c r="I20" s="157"/>
      <c r="J20" s="157"/>
      <c r="K20" s="157"/>
      <c r="L20" s="157"/>
      <c r="M20" s="157"/>
      <c r="N20" s="157"/>
      <c r="O20" s="157"/>
      <c r="P20" s="160"/>
      <c r="Q20" s="160"/>
      <c r="R20" s="160">
        <v>4</v>
      </c>
      <c r="S20" s="160">
        <f>R20*16</f>
        <v>64</v>
      </c>
      <c r="T20" s="161">
        <v>4</v>
      </c>
      <c r="U20" s="162">
        <v>64</v>
      </c>
    </row>
    <row r="21" spans="2:23" ht="18" thickBot="1">
      <c r="B21" s="487"/>
      <c r="C21" s="492"/>
      <c r="D21" s="452" t="s">
        <v>16</v>
      </c>
      <c r="E21" s="453"/>
      <c r="F21" s="163"/>
      <c r="G21" s="163"/>
      <c r="H21" s="164"/>
      <c r="I21" s="164"/>
      <c r="J21" s="164"/>
      <c r="K21" s="164"/>
      <c r="L21" s="164"/>
      <c r="M21" s="164"/>
      <c r="N21" s="164"/>
      <c r="O21" s="164"/>
      <c r="P21" s="164">
        <f t="shared" ref="P21:U21" si="2">SUM(P15:P20)</f>
        <v>8</v>
      </c>
      <c r="Q21" s="164">
        <f t="shared" si="2"/>
        <v>128</v>
      </c>
      <c r="R21" s="164">
        <f t="shared" si="2"/>
        <v>17</v>
      </c>
      <c r="S21" s="164">
        <f t="shared" si="2"/>
        <v>272</v>
      </c>
      <c r="T21" s="28">
        <f t="shared" si="2"/>
        <v>25</v>
      </c>
      <c r="U21" s="29">
        <f t="shared" si="2"/>
        <v>400</v>
      </c>
    </row>
    <row r="22" spans="2:23" ht="17.399999999999999" customHeight="1">
      <c r="B22" s="493" t="s">
        <v>554</v>
      </c>
      <c r="C22" s="494">
        <v>15</v>
      </c>
      <c r="D22" s="171" t="s">
        <v>645</v>
      </c>
      <c r="E22" s="151" t="s">
        <v>646</v>
      </c>
      <c r="F22" s="151">
        <v>40</v>
      </c>
      <c r="G22" s="172">
        <v>3</v>
      </c>
      <c r="H22" s="152"/>
      <c r="I22" s="152"/>
      <c r="J22" s="152"/>
      <c r="K22" s="152"/>
      <c r="L22" s="152"/>
      <c r="M22" s="152"/>
      <c r="N22" s="152"/>
      <c r="O22" s="152"/>
      <c r="P22" s="152">
        <v>4</v>
      </c>
      <c r="Q22" s="152">
        <v>64</v>
      </c>
      <c r="R22" s="152"/>
      <c r="S22" s="152"/>
      <c r="T22" s="153">
        <f>SUM(H22,J22,L22,N22,P22,R22)</f>
        <v>4</v>
      </c>
      <c r="U22" s="154">
        <f>SUM(I22,K22,M22,O22,Q22,S22)</f>
        <v>64</v>
      </c>
    </row>
    <row r="23" spans="2:23">
      <c r="B23" s="486"/>
      <c r="C23" s="491"/>
      <c r="D23" s="173" t="s">
        <v>647</v>
      </c>
      <c r="E23" s="156" t="s">
        <v>648</v>
      </c>
      <c r="F23" s="156">
        <v>50</v>
      </c>
      <c r="G23" s="156">
        <v>3</v>
      </c>
      <c r="H23" s="160"/>
      <c r="I23" s="160"/>
      <c r="J23" s="160"/>
      <c r="K23" s="160"/>
      <c r="L23" s="160"/>
      <c r="M23" s="160"/>
      <c r="N23" s="160"/>
      <c r="O23" s="160"/>
      <c r="P23" s="157">
        <v>4</v>
      </c>
      <c r="Q23" s="157">
        <v>64</v>
      </c>
      <c r="R23" s="157"/>
      <c r="S23" s="157"/>
      <c r="T23" s="158">
        <f t="shared" ref="T23:U25" si="3">SUM(H23,J23,L23,N23,P23,R23)</f>
        <v>4</v>
      </c>
      <c r="U23" s="159">
        <f t="shared" si="3"/>
        <v>64</v>
      </c>
    </row>
    <row r="24" spans="2:23">
      <c r="B24" s="486"/>
      <c r="C24" s="491"/>
      <c r="D24" s="173" t="s">
        <v>649</v>
      </c>
      <c r="E24" s="156" t="s">
        <v>650</v>
      </c>
      <c r="F24" s="156">
        <v>40</v>
      </c>
      <c r="G24" s="156">
        <v>2</v>
      </c>
      <c r="H24" s="160"/>
      <c r="I24" s="160"/>
      <c r="J24" s="160"/>
      <c r="K24" s="160"/>
      <c r="L24" s="160"/>
      <c r="M24" s="160"/>
      <c r="N24" s="160"/>
      <c r="O24" s="160"/>
      <c r="P24" s="157"/>
      <c r="Q24" s="157"/>
      <c r="R24" s="157">
        <v>4</v>
      </c>
      <c r="S24" s="157">
        <f t="shared" ref="S24:S25" si="4">R24*16</f>
        <v>64</v>
      </c>
      <c r="T24" s="158">
        <f t="shared" si="3"/>
        <v>4</v>
      </c>
      <c r="U24" s="159">
        <f t="shared" si="3"/>
        <v>64</v>
      </c>
    </row>
    <row r="25" spans="2:23">
      <c r="B25" s="486"/>
      <c r="C25" s="491"/>
      <c r="D25" s="173" t="s">
        <v>651</v>
      </c>
      <c r="E25" s="156" t="s">
        <v>652</v>
      </c>
      <c r="F25" s="156">
        <v>50</v>
      </c>
      <c r="G25" s="156">
        <v>2</v>
      </c>
      <c r="H25" s="160"/>
      <c r="I25" s="160"/>
      <c r="J25" s="160"/>
      <c r="K25" s="160"/>
      <c r="L25" s="160"/>
      <c r="M25" s="160"/>
      <c r="N25" s="160"/>
      <c r="O25" s="160"/>
      <c r="P25" s="157"/>
      <c r="Q25" s="157"/>
      <c r="R25" s="157">
        <v>3</v>
      </c>
      <c r="S25" s="157">
        <f t="shared" si="4"/>
        <v>48</v>
      </c>
      <c r="T25" s="158">
        <f t="shared" si="3"/>
        <v>3</v>
      </c>
      <c r="U25" s="159">
        <f t="shared" si="3"/>
        <v>48</v>
      </c>
    </row>
    <row r="26" spans="2:23" ht="18" thickBot="1">
      <c r="B26" s="487"/>
      <c r="C26" s="492"/>
      <c r="D26" s="452" t="s">
        <v>16</v>
      </c>
      <c r="E26" s="453"/>
      <c r="F26" s="163"/>
      <c r="G26" s="163"/>
      <c r="H26" s="164"/>
      <c r="I26" s="164"/>
      <c r="J26" s="164"/>
      <c r="K26" s="164"/>
      <c r="L26" s="164"/>
      <c r="M26" s="164"/>
      <c r="N26" s="164"/>
      <c r="O26" s="164"/>
      <c r="P26" s="164">
        <f t="shared" ref="P26:U26" si="5">SUM(P22:P25)</f>
        <v>8</v>
      </c>
      <c r="Q26" s="164">
        <f t="shared" si="5"/>
        <v>128</v>
      </c>
      <c r="R26" s="164">
        <f t="shared" si="5"/>
        <v>7</v>
      </c>
      <c r="S26" s="164">
        <f t="shared" si="5"/>
        <v>112</v>
      </c>
      <c r="T26" s="28">
        <f t="shared" si="5"/>
        <v>15</v>
      </c>
      <c r="U26" s="29">
        <f t="shared" si="5"/>
        <v>240</v>
      </c>
    </row>
    <row r="27" spans="2:23">
      <c r="B27" s="493" t="s">
        <v>750</v>
      </c>
      <c r="C27" s="494">
        <v>5</v>
      </c>
      <c r="D27" s="167" t="s">
        <v>753</v>
      </c>
      <c r="E27" s="156" t="s">
        <v>754</v>
      </c>
      <c r="F27" s="156">
        <v>50</v>
      </c>
      <c r="G27" s="156">
        <v>3</v>
      </c>
      <c r="H27" s="160"/>
      <c r="I27" s="160"/>
      <c r="J27" s="160"/>
      <c r="K27" s="160"/>
      <c r="L27" s="160"/>
      <c r="M27" s="160"/>
      <c r="N27" s="160"/>
      <c r="O27" s="160"/>
      <c r="P27" s="152"/>
      <c r="Q27" s="152">
        <f>P27*16</f>
        <v>0</v>
      </c>
      <c r="R27" s="152">
        <v>3</v>
      </c>
      <c r="S27" s="152">
        <f>R27*16</f>
        <v>48</v>
      </c>
      <c r="T27" s="153">
        <f>SUM(H27,J27,L27,N27,P27,R27)</f>
        <v>3</v>
      </c>
      <c r="U27" s="154">
        <v>48</v>
      </c>
    </row>
    <row r="28" spans="2:23">
      <c r="B28" s="486"/>
      <c r="C28" s="491"/>
      <c r="D28" s="155" t="s">
        <v>758</v>
      </c>
      <c r="E28" s="206" t="s">
        <v>755</v>
      </c>
      <c r="F28" s="207">
        <v>30</v>
      </c>
      <c r="G28" s="207">
        <v>2</v>
      </c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>
        <v>2</v>
      </c>
      <c r="S28" s="209">
        <v>32</v>
      </c>
      <c r="T28" s="210">
        <v>2</v>
      </c>
      <c r="U28" s="211">
        <v>32</v>
      </c>
      <c r="W28" s="30"/>
    </row>
    <row r="29" spans="2:23" ht="18" thickBot="1">
      <c r="B29" s="487"/>
      <c r="C29" s="492"/>
      <c r="D29" s="452" t="s">
        <v>16</v>
      </c>
      <c r="E29" s="453"/>
      <c r="F29" s="205"/>
      <c r="G29" s="205"/>
      <c r="H29" s="164"/>
      <c r="I29" s="164"/>
      <c r="J29" s="164"/>
      <c r="K29" s="164"/>
      <c r="L29" s="164"/>
      <c r="M29" s="164"/>
      <c r="N29" s="164"/>
      <c r="O29" s="164"/>
      <c r="P29" s="164">
        <f t="shared" ref="P29:Q29" si="6">SUM(P27:P27)</f>
        <v>0</v>
      </c>
      <c r="Q29" s="164">
        <f t="shared" si="6"/>
        <v>0</v>
      </c>
      <c r="R29" s="164">
        <f>SUM(R27:R28)</f>
        <v>5</v>
      </c>
      <c r="S29" s="164">
        <f t="shared" ref="S29:U29" si="7">SUM(S27:S28)</f>
        <v>80</v>
      </c>
      <c r="T29" s="165">
        <f t="shared" si="7"/>
        <v>5</v>
      </c>
      <c r="U29" s="165">
        <f t="shared" si="7"/>
        <v>80</v>
      </c>
    </row>
    <row r="30" spans="2:23" ht="17.399999999999999" customHeight="1">
      <c r="B30" s="486" t="s">
        <v>631</v>
      </c>
      <c r="C30" s="488">
        <v>4</v>
      </c>
      <c r="D30" s="167" t="s">
        <v>632</v>
      </c>
      <c r="E30" s="156" t="s">
        <v>633</v>
      </c>
      <c r="F30" s="156">
        <v>24</v>
      </c>
      <c r="G30" s="156">
        <v>4</v>
      </c>
      <c r="H30" s="160"/>
      <c r="I30" s="160"/>
      <c r="J30" s="160"/>
      <c r="K30" s="160"/>
      <c r="L30" s="160"/>
      <c r="M30" s="160"/>
      <c r="N30" s="160"/>
      <c r="O30" s="160"/>
      <c r="P30" s="152">
        <v>2</v>
      </c>
      <c r="Q30" s="152">
        <f>P30*16</f>
        <v>32</v>
      </c>
      <c r="R30" s="152"/>
      <c r="S30" s="152">
        <f>R30*16</f>
        <v>0</v>
      </c>
      <c r="T30" s="153">
        <f>SUM(H30,J30,L30,N30,P30,R30)</f>
        <v>2</v>
      </c>
      <c r="U30" s="154">
        <v>32</v>
      </c>
    </row>
    <row r="31" spans="2:23">
      <c r="B31" s="486"/>
      <c r="C31" s="489"/>
      <c r="D31" s="196" t="s">
        <v>756</v>
      </c>
      <c r="E31" s="174" t="s">
        <v>757</v>
      </c>
      <c r="F31" s="207">
        <v>48</v>
      </c>
      <c r="G31" s="208">
        <v>5</v>
      </c>
      <c r="H31" s="209"/>
      <c r="I31" s="209"/>
      <c r="J31" s="209"/>
      <c r="K31" s="209"/>
      <c r="L31" s="209"/>
      <c r="M31" s="209"/>
      <c r="N31" s="209"/>
      <c r="O31" s="209"/>
      <c r="P31" s="209">
        <v>2</v>
      </c>
      <c r="Q31" s="209">
        <v>32</v>
      </c>
      <c r="R31" s="209"/>
      <c r="S31" s="209"/>
      <c r="T31" s="210">
        <v>2</v>
      </c>
      <c r="U31" s="211">
        <v>32</v>
      </c>
    </row>
    <row r="32" spans="2:23" ht="18" thickBot="1">
      <c r="B32" s="487"/>
      <c r="C32" s="490"/>
      <c r="D32" s="452" t="s">
        <v>16</v>
      </c>
      <c r="E32" s="453"/>
      <c r="F32" s="205"/>
      <c r="G32" s="205"/>
      <c r="H32" s="164"/>
      <c r="I32" s="164"/>
      <c r="J32" s="164"/>
      <c r="K32" s="164"/>
      <c r="L32" s="164"/>
      <c r="M32" s="164"/>
      <c r="N32" s="164"/>
      <c r="O32" s="164"/>
      <c r="P32" s="164">
        <f>SUM(P30:P31)</f>
        <v>4</v>
      </c>
      <c r="Q32" s="164">
        <f t="shared" ref="Q32:U32" si="8">SUM(Q30:Q31)</f>
        <v>64</v>
      </c>
      <c r="R32" s="164">
        <f t="shared" si="8"/>
        <v>0</v>
      </c>
      <c r="S32" s="164">
        <f t="shared" si="8"/>
        <v>0</v>
      </c>
      <c r="T32" s="165">
        <f t="shared" si="8"/>
        <v>4</v>
      </c>
      <c r="U32" s="165">
        <f t="shared" si="8"/>
        <v>64</v>
      </c>
    </row>
  </sheetData>
  <mergeCells count="45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1"/>
    <mergeCell ref="C9:C11"/>
    <mergeCell ref="D11:E11"/>
    <mergeCell ref="B12:B14"/>
    <mergeCell ref="C12:C14"/>
    <mergeCell ref="D14:E14"/>
    <mergeCell ref="B30:B32"/>
    <mergeCell ref="C30:C32"/>
    <mergeCell ref="D32:E32"/>
    <mergeCell ref="B15:B21"/>
    <mergeCell ref="C15:C21"/>
    <mergeCell ref="D21:E21"/>
    <mergeCell ref="B22:B26"/>
    <mergeCell ref="C22:C26"/>
    <mergeCell ref="D26:E26"/>
    <mergeCell ref="D29:E29"/>
    <mergeCell ref="B27:B29"/>
    <mergeCell ref="C27:C29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BFA8-B6D1-4FA5-80A2-C3872D5A4731}">
  <sheetPr>
    <pageSetUpPr fitToPage="1"/>
  </sheetPr>
  <dimension ref="B2:AG30"/>
  <sheetViews>
    <sheetView showGridLines="0" view="pageBreakPreview" topLeftCell="D1" zoomScaleNormal="85" zoomScaleSheetLayoutView="100" workbookViewId="0">
      <selection activeCell="D29" sqref="D29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28" t="s">
        <v>151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</row>
    <row r="3" spans="2:33" ht="27" customHeight="1" thickBot="1"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429" t="s">
        <v>129</v>
      </c>
      <c r="O3" s="430"/>
      <c r="P3" s="431"/>
      <c r="Q3" s="429" t="s">
        <v>127</v>
      </c>
      <c r="R3" s="430"/>
      <c r="S3" s="431"/>
      <c r="T3" s="432" t="s">
        <v>130</v>
      </c>
      <c r="U3" s="433"/>
    </row>
    <row r="4" spans="2:33" ht="27" customHeight="1" thickBot="1"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434" t="s">
        <v>507</v>
      </c>
      <c r="O4" s="435"/>
      <c r="P4" s="436"/>
      <c r="Q4" s="437" t="s">
        <v>555</v>
      </c>
      <c r="R4" s="438"/>
      <c r="S4" s="439"/>
      <c r="T4" s="440">
        <v>2027</v>
      </c>
      <c r="U4" s="441"/>
    </row>
    <row r="5" spans="2:33" ht="24" customHeight="1" thickBot="1">
      <c r="B5" s="442"/>
      <c r="C5" s="442"/>
    </row>
    <row r="6" spans="2:33" ht="20.25" customHeight="1">
      <c r="B6" s="443" t="s">
        <v>13</v>
      </c>
      <c r="C6" s="446" t="s">
        <v>140</v>
      </c>
      <c r="D6" s="424" t="s">
        <v>14</v>
      </c>
      <c r="E6" s="424" t="s">
        <v>15</v>
      </c>
      <c r="F6" s="424" t="s">
        <v>141</v>
      </c>
      <c r="G6" s="424" t="s">
        <v>142</v>
      </c>
      <c r="H6" s="471" t="s">
        <v>58</v>
      </c>
      <c r="I6" s="471"/>
      <c r="J6" s="471"/>
      <c r="K6" s="471"/>
      <c r="L6" s="471" t="s">
        <v>59</v>
      </c>
      <c r="M6" s="471"/>
      <c r="N6" s="471"/>
      <c r="O6" s="471"/>
      <c r="P6" s="471" t="s">
        <v>60</v>
      </c>
      <c r="Q6" s="471"/>
      <c r="R6" s="471"/>
      <c r="S6" s="471"/>
      <c r="T6" s="478" t="s">
        <v>139</v>
      </c>
      <c r="U6" s="472" t="s">
        <v>126</v>
      </c>
      <c r="W6" s="475" t="s">
        <v>131</v>
      </c>
      <c r="X6" s="476"/>
      <c r="Y6" s="476"/>
      <c r="Z6" s="476"/>
      <c r="AA6" s="476"/>
      <c r="AB6" s="476"/>
      <c r="AC6" s="476"/>
      <c r="AD6" s="476"/>
      <c r="AE6" s="476"/>
      <c r="AF6" s="477"/>
      <c r="AG6" s="13"/>
    </row>
    <row r="7" spans="2:33" ht="16.5" customHeight="1">
      <c r="B7" s="444"/>
      <c r="C7" s="447"/>
      <c r="D7" s="425"/>
      <c r="E7" s="425"/>
      <c r="F7" s="425"/>
      <c r="G7" s="425"/>
      <c r="H7" s="427" t="s">
        <v>124</v>
      </c>
      <c r="I7" s="427"/>
      <c r="J7" s="427" t="s">
        <v>62</v>
      </c>
      <c r="K7" s="427"/>
      <c r="L7" s="427" t="s">
        <v>124</v>
      </c>
      <c r="M7" s="427"/>
      <c r="N7" s="427" t="s">
        <v>62</v>
      </c>
      <c r="O7" s="427"/>
      <c r="P7" s="427" t="s">
        <v>124</v>
      </c>
      <c r="Q7" s="427"/>
      <c r="R7" s="427" t="s">
        <v>62</v>
      </c>
      <c r="S7" s="427"/>
      <c r="T7" s="479"/>
      <c r="U7" s="473"/>
      <c r="W7" s="468" t="s">
        <v>132</v>
      </c>
      <c r="X7" s="469"/>
      <c r="Y7" s="469"/>
      <c r="Z7" s="469"/>
      <c r="AA7" s="469"/>
      <c r="AB7" s="469"/>
      <c r="AC7" s="469"/>
      <c r="AD7" s="469"/>
      <c r="AE7" s="469"/>
      <c r="AF7" s="470"/>
      <c r="AG7" s="13"/>
    </row>
    <row r="8" spans="2:33" ht="17.25" customHeight="1" thickBot="1">
      <c r="B8" s="445"/>
      <c r="C8" s="448"/>
      <c r="D8" s="426"/>
      <c r="E8" s="426"/>
      <c r="F8" s="426"/>
      <c r="G8" s="426"/>
      <c r="H8" s="150" t="s">
        <v>138</v>
      </c>
      <c r="I8" s="150" t="s">
        <v>125</v>
      </c>
      <c r="J8" s="150" t="s">
        <v>138</v>
      </c>
      <c r="K8" s="150" t="s">
        <v>125</v>
      </c>
      <c r="L8" s="150" t="s">
        <v>138</v>
      </c>
      <c r="M8" s="150" t="s">
        <v>125</v>
      </c>
      <c r="N8" s="150" t="s">
        <v>138</v>
      </c>
      <c r="O8" s="150" t="s">
        <v>125</v>
      </c>
      <c r="P8" s="150" t="s">
        <v>138</v>
      </c>
      <c r="Q8" s="150" t="s">
        <v>125</v>
      </c>
      <c r="R8" s="150" t="s">
        <v>138</v>
      </c>
      <c r="S8" s="150" t="s">
        <v>125</v>
      </c>
      <c r="T8" s="480"/>
      <c r="U8" s="4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95" t="s">
        <v>566</v>
      </c>
      <c r="C9" s="504">
        <v>16</v>
      </c>
      <c r="D9" s="151" t="s">
        <v>742</v>
      </c>
      <c r="E9" s="151" t="s">
        <v>655</v>
      </c>
      <c r="F9" s="151">
        <v>20</v>
      </c>
      <c r="G9" s="151">
        <v>5</v>
      </c>
      <c r="H9" s="152"/>
      <c r="I9" s="152">
        <f>H9*16</f>
        <v>0</v>
      </c>
      <c r="J9" s="152"/>
      <c r="K9" s="152">
        <f>J9*16</f>
        <v>0</v>
      </c>
      <c r="L9" s="152"/>
      <c r="M9" s="152"/>
      <c r="N9" s="152"/>
      <c r="O9" s="152"/>
      <c r="P9" s="152">
        <v>4</v>
      </c>
      <c r="Q9" s="152">
        <v>64</v>
      </c>
      <c r="R9" s="152"/>
      <c r="S9" s="152"/>
      <c r="T9" s="153">
        <f>SUM(H9,J9,L9,N9,P9,R9)</f>
        <v>4</v>
      </c>
      <c r="U9" s="154">
        <f>SUM(I9,K9,M9,O9,Q9,S9)</f>
        <v>64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01"/>
      <c r="C10" s="505"/>
      <c r="D10" s="155" t="s">
        <v>743</v>
      </c>
      <c r="E10" s="156" t="s">
        <v>656</v>
      </c>
      <c r="F10" s="155">
        <v>20</v>
      </c>
      <c r="G10" s="155">
        <v>5</v>
      </c>
      <c r="H10" s="157"/>
      <c r="I10" s="157">
        <f t="shared" ref="I10:I11" si="0">H10*16</f>
        <v>0</v>
      </c>
      <c r="J10" s="157"/>
      <c r="K10" s="157">
        <f t="shared" ref="K10:K11" si="1">J10*16</f>
        <v>0</v>
      </c>
      <c r="L10" s="157"/>
      <c r="M10" s="157"/>
      <c r="N10" s="157"/>
      <c r="O10" s="157"/>
      <c r="P10" s="157">
        <v>4</v>
      </c>
      <c r="Q10" s="157">
        <v>64</v>
      </c>
      <c r="R10" s="157"/>
      <c r="S10" s="157"/>
      <c r="T10" s="158">
        <f t="shared" ref="T10:U11" si="2">SUM(H10,J10,L10,N10,P10,R10)</f>
        <v>4</v>
      </c>
      <c r="U10" s="159">
        <f t="shared" si="2"/>
        <v>64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6.5" customHeight="1">
      <c r="B11" s="501"/>
      <c r="C11" s="505"/>
      <c r="D11" s="155" t="s">
        <v>657</v>
      </c>
      <c r="E11" s="156" t="s">
        <v>658</v>
      </c>
      <c r="F11" s="155">
        <v>20</v>
      </c>
      <c r="G11" s="155">
        <v>4</v>
      </c>
      <c r="H11" s="157"/>
      <c r="I11" s="157">
        <f t="shared" si="0"/>
        <v>0</v>
      </c>
      <c r="J11" s="157"/>
      <c r="K11" s="157">
        <f t="shared" si="1"/>
        <v>0</v>
      </c>
      <c r="L11" s="157"/>
      <c r="M11" s="157"/>
      <c r="N11" s="157"/>
      <c r="O11" s="157"/>
      <c r="P11" s="157"/>
      <c r="Q11" s="157"/>
      <c r="R11" s="157">
        <v>4</v>
      </c>
      <c r="S11" s="157">
        <v>64</v>
      </c>
      <c r="T11" s="158">
        <f t="shared" si="2"/>
        <v>4</v>
      </c>
      <c r="U11" s="159">
        <f t="shared" si="2"/>
        <v>64</v>
      </c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13"/>
    </row>
    <row r="12" spans="2:33" ht="18">
      <c r="B12" s="496"/>
      <c r="C12" s="506"/>
      <c r="D12" s="156" t="s">
        <v>744</v>
      </c>
      <c r="E12" s="155" t="s">
        <v>659</v>
      </c>
      <c r="F12" s="156">
        <v>20</v>
      </c>
      <c r="G12" s="156">
        <v>3</v>
      </c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>
        <v>4</v>
      </c>
      <c r="S12" s="160">
        <v>64</v>
      </c>
      <c r="T12" s="161">
        <v>4</v>
      </c>
      <c r="U12" s="162">
        <f>Q12+S12</f>
        <v>64</v>
      </c>
    </row>
    <row r="13" spans="2:33" ht="18" thickBot="1">
      <c r="B13" s="497"/>
      <c r="C13" s="507"/>
      <c r="D13" s="452" t="s">
        <v>16</v>
      </c>
      <c r="E13" s="453"/>
      <c r="F13" s="177"/>
      <c r="G13" s="177"/>
      <c r="H13" s="178">
        <f>SUM(H12:H12)</f>
        <v>0</v>
      </c>
      <c r="I13" s="178">
        <f>SUM(I12:I12)</f>
        <v>0</v>
      </c>
      <c r="J13" s="178">
        <f>SUM(J12:J12)</f>
        <v>0</v>
      </c>
      <c r="K13" s="178">
        <f>SUM(K12:K12)</f>
        <v>0</v>
      </c>
      <c r="L13" s="178">
        <f t="shared" ref="L13:U13" si="3">SUM(L9:L12)</f>
        <v>0</v>
      </c>
      <c r="M13" s="178">
        <f t="shared" si="3"/>
        <v>0</v>
      </c>
      <c r="N13" s="178">
        <f t="shared" si="3"/>
        <v>0</v>
      </c>
      <c r="O13" s="178">
        <f t="shared" si="3"/>
        <v>0</v>
      </c>
      <c r="P13" s="164">
        <v>8</v>
      </c>
      <c r="Q13" s="164">
        <v>128</v>
      </c>
      <c r="R13" s="164">
        <v>8</v>
      </c>
      <c r="S13" s="164">
        <v>128</v>
      </c>
      <c r="T13" s="165">
        <f t="shared" si="3"/>
        <v>16</v>
      </c>
      <c r="U13" s="165">
        <f t="shared" si="3"/>
        <v>256</v>
      </c>
    </row>
    <row r="14" spans="2:33" ht="17.399999999999999" customHeight="1">
      <c r="B14" s="495" t="s">
        <v>660</v>
      </c>
      <c r="C14" s="498">
        <v>16</v>
      </c>
      <c r="D14" s="151" t="s">
        <v>661</v>
      </c>
      <c r="E14" s="151" t="s">
        <v>662</v>
      </c>
      <c r="F14" s="151">
        <v>20</v>
      </c>
      <c r="G14" s="151">
        <v>4</v>
      </c>
      <c r="H14" s="152"/>
      <c r="I14" s="152"/>
      <c r="J14" s="152"/>
      <c r="K14" s="152"/>
      <c r="L14" s="152"/>
      <c r="M14" s="152"/>
      <c r="N14" s="152"/>
      <c r="O14" s="152"/>
      <c r="P14" s="152">
        <v>4</v>
      </c>
      <c r="Q14" s="152">
        <v>64</v>
      </c>
      <c r="R14" s="152"/>
      <c r="S14" s="152"/>
      <c r="T14" s="153">
        <f>SUM(H14,J14,L14,N14,P14,R14)</f>
        <v>4</v>
      </c>
      <c r="U14" s="154">
        <v>64</v>
      </c>
    </row>
    <row r="15" spans="2:33">
      <c r="B15" s="501"/>
      <c r="C15" s="502"/>
      <c r="D15" s="156" t="s">
        <v>663</v>
      </c>
      <c r="E15" s="156" t="s">
        <v>664</v>
      </c>
      <c r="F15" s="156">
        <v>20</v>
      </c>
      <c r="G15" s="156">
        <v>5</v>
      </c>
      <c r="H15" s="160"/>
      <c r="I15" s="160"/>
      <c r="J15" s="160"/>
      <c r="K15" s="160"/>
      <c r="L15" s="160"/>
      <c r="M15" s="160"/>
      <c r="N15" s="160"/>
      <c r="O15" s="160"/>
      <c r="P15" s="157">
        <v>4</v>
      </c>
      <c r="Q15" s="157">
        <v>64</v>
      </c>
      <c r="R15" s="157"/>
      <c r="S15" s="157"/>
      <c r="T15" s="158">
        <f t="shared" ref="T15" si="4">SUM(H15,J15,L15,N15,P15,R15)</f>
        <v>4</v>
      </c>
      <c r="U15" s="159">
        <v>64</v>
      </c>
    </row>
    <row r="16" spans="2:33">
      <c r="B16" s="501"/>
      <c r="C16" s="502"/>
      <c r="D16" s="156" t="s">
        <v>665</v>
      </c>
      <c r="E16" s="156" t="s">
        <v>666</v>
      </c>
      <c r="F16" s="156">
        <v>20</v>
      </c>
      <c r="G16" s="156">
        <v>3</v>
      </c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>
        <v>4</v>
      </c>
      <c r="S16" s="160">
        <v>64</v>
      </c>
      <c r="T16" s="161">
        <f>SUM(H16,J16,L16,N16,P16,R16)</f>
        <v>4</v>
      </c>
      <c r="U16" s="162">
        <v>64</v>
      </c>
    </row>
    <row r="17" spans="2:23">
      <c r="B17" s="496"/>
      <c r="C17" s="499"/>
      <c r="D17" s="155" t="s">
        <v>667</v>
      </c>
      <c r="E17" s="155" t="s">
        <v>668</v>
      </c>
      <c r="F17" s="155">
        <v>16</v>
      </c>
      <c r="G17" s="155">
        <v>3</v>
      </c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>
        <v>4</v>
      </c>
      <c r="S17" s="157">
        <v>64</v>
      </c>
      <c r="T17" s="158">
        <f t="shared" ref="T17" si="5">SUM(H17,J17,L17,N17,P17,R17)</f>
        <v>4</v>
      </c>
      <c r="U17" s="159">
        <v>64</v>
      </c>
      <c r="W17" s="30"/>
    </row>
    <row r="18" spans="2:23" ht="18" thickBot="1">
      <c r="B18" s="497"/>
      <c r="C18" s="500"/>
      <c r="D18" s="464" t="s">
        <v>16</v>
      </c>
      <c r="E18" s="464"/>
      <c r="F18" s="163"/>
      <c r="G18" s="163"/>
      <c r="H18" s="164"/>
      <c r="I18" s="164"/>
      <c r="J18" s="164"/>
      <c r="K18" s="164"/>
      <c r="L18" s="164"/>
      <c r="M18" s="164"/>
      <c r="N18" s="164"/>
      <c r="O18" s="164"/>
      <c r="P18" s="164">
        <v>8</v>
      </c>
      <c r="Q18" s="164">
        <v>128</v>
      </c>
      <c r="R18" s="164">
        <v>8</v>
      </c>
      <c r="S18" s="164">
        <v>128</v>
      </c>
      <c r="T18" s="28">
        <f t="shared" ref="T18:U18" si="6">SUM(T14:T17)</f>
        <v>16</v>
      </c>
      <c r="U18" s="29">
        <f t="shared" si="6"/>
        <v>256</v>
      </c>
    </row>
    <row r="19" spans="2:23">
      <c r="B19" s="486" t="s">
        <v>568</v>
      </c>
      <c r="C19" s="488">
        <v>9</v>
      </c>
      <c r="D19" s="167" t="s">
        <v>669</v>
      </c>
      <c r="E19" s="156" t="s">
        <v>741</v>
      </c>
      <c r="F19" s="156">
        <v>20</v>
      </c>
      <c r="G19" s="156">
        <v>4</v>
      </c>
      <c r="H19" s="160"/>
      <c r="I19" s="160"/>
      <c r="J19" s="160"/>
      <c r="K19" s="160"/>
      <c r="L19" s="160"/>
      <c r="M19" s="160"/>
      <c r="N19" s="160"/>
      <c r="O19" s="160"/>
      <c r="P19" s="152">
        <v>4</v>
      </c>
      <c r="Q19" s="152">
        <v>64</v>
      </c>
      <c r="R19" s="152"/>
      <c r="S19" s="152"/>
      <c r="T19" s="153">
        <f>SUM(H19,J19,L19,N19,P19,R19)</f>
        <v>4</v>
      </c>
      <c r="U19" s="154">
        <v>64</v>
      </c>
    </row>
    <row r="20" spans="2:23">
      <c r="B20" s="486"/>
      <c r="C20" s="489"/>
      <c r="D20" s="167" t="s">
        <v>705</v>
      </c>
      <c r="E20" s="155" t="s">
        <v>670</v>
      </c>
      <c r="F20" s="156">
        <v>20</v>
      </c>
      <c r="G20" s="156">
        <v>4</v>
      </c>
      <c r="H20" s="160"/>
      <c r="I20" s="160"/>
      <c r="J20" s="160"/>
      <c r="K20" s="160"/>
      <c r="L20" s="160"/>
      <c r="M20" s="160"/>
      <c r="N20" s="160"/>
      <c r="O20" s="160"/>
      <c r="P20" s="157"/>
      <c r="Q20" s="157"/>
      <c r="R20" s="157">
        <v>5</v>
      </c>
      <c r="S20" s="157">
        <v>80</v>
      </c>
      <c r="T20" s="158">
        <f t="shared" ref="T20" si="7">SUM(H20,J20,L20,N20,P20,R20)</f>
        <v>5</v>
      </c>
      <c r="U20" s="159">
        <v>80</v>
      </c>
    </row>
    <row r="21" spans="2:23" ht="18" thickBot="1">
      <c r="B21" s="487"/>
      <c r="C21" s="490"/>
      <c r="D21" s="481" t="s">
        <v>16</v>
      </c>
      <c r="E21" s="482"/>
      <c r="F21" s="169"/>
      <c r="G21" s="169"/>
      <c r="H21" s="170"/>
      <c r="I21" s="170"/>
      <c r="J21" s="170"/>
      <c r="K21" s="170"/>
      <c r="L21" s="170"/>
      <c r="M21" s="170"/>
      <c r="N21" s="170"/>
      <c r="O21" s="170"/>
      <c r="P21" s="170">
        <v>4</v>
      </c>
      <c r="Q21" s="170">
        <v>64</v>
      </c>
      <c r="R21" s="170">
        <v>5</v>
      </c>
      <c r="S21" s="170">
        <v>80</v>
      </c>
      <c r="T21" s="26">
        <f t="shared" ref="T21:U21" si="8">SUM(T19:T20)</f>
        <v>9</v>
      </c>
      <c r="U21" s="27">
        <f t="shared" si="8"/>
        <v>144</v>
      </c>
    </row>
    <row r="22" spans="2:23" ht="17.399999999999999" customHeight="1">
      <c r="B22" s="495" t="s">
        <v>671</v>
      </c>
      <c r="C22" s="498">
        <v>8</v>
      </c>
      <c r="D22" s="171" t="s">
        <v>672</v>
      </c>
      <c r="E22" s="151" t="s">
        <v>673</v>
      </c>
      <c r="F22" s="151">
        <v>20</v>
      </c>
      <c r="G22" s="172">
        <v>2</v>
      </c>
      <c r="H22" s="152"/>
      <c r="I22" s="152"/>
      <c r="J22" s="152"/>
      <c r="K22" s="152"/>
      <c r="L22" s="152"/>
      <c r="M22" s="152"/>
      <c r="N22" s="152"/>
      <c r="O22" s="152"/>
      <c r="P22" s="179"/>
      <c r="Q22" s="152"/>
      <c r="R22" s="152">
        <v>4</v>
      </c>
      <c r="S22" s="152">
        <v>64</v>
      </c>
      <c r="T22" s="153">
        <v>4</v>
      </c>
      <c r="U22" s="154">
        <v>64</v>
      </c>
    </row>
    <row r="23" spans="2:23" ht="18">
      <c r="B23" s="496"/>
      <c r="C23" s="499"/>
      <c r="D23" s="173" t="s">
        <v>674</v>
      </c>
      <c r="E23" s="156" t="s">
        <v>675</v>
      </c>
      <c r="F23" s="156">
        <v>20</v>
      </c>
      <c r="G23" s="156">
        <v>4</v>
      </c>
      <c r="H23" s="160"/>
      <c r="I23" s="160"/>
      <c r="J23" s="160"/>
      <c r="K23" s="160"/>
      <c r="L23" s="160"/>
      <c r="M23" s="160"/>
      <c r="N23" s="160"/>
      <c r="O23" s="160"/>
      <c r="P23" s="180"/>
      <c r="Q23" s="157"/>
      <c r="R23" s="157">
        <v>4</v>
      </c>
      <c r="S23" s="157">
        <v>64</v>
      </c>
      <c r="T23" s="158">
        <v>4</v>
      </c>
      <c r="U23" s="159">
        <v>64</v>
      </c>
    </row>
    <row r="24" spans="2:23" ht="18" thickBot="1">
      <c r="B24" s="497"/>
      <c r="C24" s="500"/>
      <c r="D24" s="453" t="s">
        <v>16</v>
      </c>
      <c r="E24" s="464"/>
      <c r="F24" s="163"/>
      <c r="G24" s="163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>
        <v>8</v>
      </c>
      <c r="S24" s="164">
        <v>128</v>
      </c>
      <c r="T24" s="28">
        <f t="shared" ref="T24:U24" si="9">SUM(T22:T23)</f>
        <v>8</v>
      </c>
      <c r="U24" s="29">
        <f t="shared" si="9"/>
        <v>128</v>
      </c>
    </row>
    <row r="25" spans="2:23">
      <c r="B25" s="495" t="s">
        <v>570</v>
      </c>
      <c r="C25" s="498">
        <v>4</v>
      </c>
      <c r="D25" s="171" t="s">
        <v>676</v>
      </c>
      <c r="E25" s="151" t="s">
        <v>677</v>
      </c>
      <c r="F25" s="151">
        <v>30</v>
      </c>
      <c r="G25" s="172">
        <v>4</v>
      </c>
      <c r="H25" s="152"/>
      <c r="I25" s="152"/>
      <c r="J25" s="152"/>
      <c r="K25" s="152"/>
      <c r="L25" s="152"/>
      <c r="M25" s="152"/>
      <c r="N25" s="152">
        <v>2</v>
      </c>
      <c r="O25" s="152">
        <v>32</v>
      </c>
      <c r="P25" s="179"/>
      <c r="Q25" s="179"/>
      <c r="R25" s="179"/>
      <c r="S25" s="179"/>
      <c r="T25" s="181">
        <f>SUM(H25,J25,L25,N25,P25,R25)</f>
        <v>2</v>
      </c>
      <c r="U25" s="182">
        <f>SUM(I25,K25,M25,O25,Q25,S25)</f>
        <v>32</v>
      </c>
    </row>
    <row r="26" spans="2:23">
      <c r="B26" s="496"/>
      <c r="C26" s="499"/>
      <c r="D26" s="173" t="s">
        <v>678</v>
      </c>
      <c r="E26" s="156" t="s">
        <v>679</v>
      </c>
      <c r="F26" s="156">
        <v>30</v>
      </c>
      <c r="G26" s="156">
        <v>2</v>
      </c>
      <c r="H26" s="160"/>
      <c r="I26" s="160"/>
      <c r="J26" s="160"/>
      <c r="K26" s="160"/>
      <c r="L26" s="160"/>
      <c r="M26" s="160"/>
      <c r="N26" s="160">
        <v>2</v>
      </c>
      <c r="O26" s="160">
        <v>32</v>
      </c>
      <c r="P26" s="180"/>
      <c r="Q26" s="180"/>
      <c r="R26" s="180"/>
      <c r="S26" s="180"/>
      <c r="T26" s="183">
        <f t="shared" ref="T26:U26" si="10">SUM(H26,J26,L26,N26,P26,R26)</f>
        <v>2</v>
      </c>
      <c r="U26" s="184">
        <f t="shared" si="10"/>
        <v>32</v>
      </c>
    </row>
    <row r="27" spans="2:23" ht="18" thickBot="1">
      <c r="B27" s="497"/>
      <c r="C27" s="500"/>
      <c r="D27" s="452" t="s">
        <v>16</v>
      </c>
      <c r="E27" s="453"/>
      <c r="F27" s="163"/>
      <c r="G27" s="163"/>
      <c r="H27" s="164"/>
      <c r="I27" s="164"/>
      <c r="J27" s="164"/>
      <c r="K27" s="164"/>
      <c r="L27" s="164"/>
      <c r="M27" s="164"/>
      <c r="N27" s="164">
        <v>4</v>
      </c>
      <c r="O27" s="164">
        <v>64</v>
      </c>
      <c r="P27" s="164"/>
      <c r="Q27" s="164"/>
      <c r="R27" s="164"/>
      <c r="S27" s="164"/>
      <c r="T27" s="28">
        <f>SUM(T25:T26)</f>
        <v>4</v>
      </c>
      <c r="U27" s="29">
        <f>SUM(U25:U26)</f>
        <v>64</v>
      </c>
    </row>
    <row r="28" spans="2:23">
      <c r="B28" s="501" t="s">
        <v>571</v>
      </c>
      <c r="C28" s="502">
        <v>4</v>
      </c>
      <c r="D28" s="174" t="s">
        <v>680</v>
      </c>
      <c r="E28" s="175" t="s">
        <v>681</v>
      </c>
      <c r="F28" s="155">
        <v>50</v>
      </c>
      <c r="G28" s="156">
        <v>2</v>
      </c>
      <c r="H28" s="160"/>
      <c r="I28" s="160"/>
      <c r="J28" s="160"/>
      <c r="K28" s="160"/>
      <c r="L28" s="179"/>
      <c r="M28" s="179"/>
      <c r="N28" s="179"/>
      <c r="O28" s="152"/>
      <c r="P28" s="152">
        <v>2</v>
      </c>
      <c r="Q28" s="152">
        <v>32</v>
      </c>
      <c r="R28" s="152"/>
      <c r="S28" s="152"/>
      <c r="T28" s="153">
        <f>SUM(H28,J28,L28,N28,P28,R28)</f>
        <v>2</v>
      </c>
      <c r="U28" s="154">
        <f>SUM(I28,K28,M28,O28,Q28,S28)</f>
        <v>32</v>
      </c>
    </row>
    <row r="29" spans="2:23">
      <c r="B29" s="486"/>
      <c r="C29" s="491"/>
      <c r="D29" s="173" t="s">
        <v>739</v>
      </c>
      <c r="E29" s="156" t="s">
        <v>738</v>
      </c>
      <c r="F29" s="156">
        <v>45</v>
      </c>
      <c r="G29" s="156">
        <v>4</v>
      </c>
      <c r="H29" s="160"/>
      <c r="I29" s="160"/>
      <c r="J29" s="160"/>
      <c r="K29" s="160"/>
      <c r="L29" s="160"/>
      <c r="M29" s="160"/>
      <c r="N29" s="160"/>
      <c r="O29" s="160"/>
      <c r="P29" s="157">
        <v>2</v>
      </c>
      <c r="Q29" s="157">
        <v>32</v>
      </c>
      <c r="R29" s="180"/>
      <c r="S29" s="180"/>
      <c r="T29" s="183">
        <f t="shared" ref="T29" si="11">SUM(H29,J29,L29,N29,P29,R29)</f>
        <v>2</v>
      </c>
      <c r="U29" s="184">
        <f t="shared" ref="U29" si="12">SUM(I29,K29,M29,O29,Q29,S29)</f>
        <v>32</v>
      </c>
    </row>
    <row r="30" spans="2:23" ht="18" thickBot="1">
      <c r="B30" s="497"/>
      <c r="C30" s="500"/>
      <c r="D30" s="503" t="s">
        <v>16</v>
      </c>
      <c r="E30" s="503"/>
      <c r="F30" s="185"/>
      <c r="G30" s="185"/>
      <c r="H30" s="186"/>
      <c r="I30" s="186"/>
      <c r="J30" s="186"/>
      <c r="K30" s="186"/>
      <c r="L30" s="186"/>
      <c r="M30" s="186"/>
      <c r="N30" s="186"/>
      <c r="O30" s="186"/>
      <c r="P30" s="186">
        <v>4</v>
      </c>
      <c r="Q30" s="186">
        <v>64</v>
      </c>
      <c r="R30" s="186"/>
      <c r="S30" s="186"/>
      <c r="T30" s="28">
        <f>SUM(T28:T29)</f>
        <v>4</v>
      </c>
      <c r="U30" s="29">
        <f>SUM(U28:U29)</f>
        <v>64</v>
      </c>
    </row>
  </sheetData>
  <mergeCells count="45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3"/>
    <mergeCell ref="C9:C13"/>
    <mergeCell ref="D13:E13"/>
    <mergeCell ref="B14:B18"/>
    <mergeCell ref="C14:C18"/>
    <mergeCell ref="D18:E18"/>
    <mergeCell ref="B19:B21"/>
    <mergeCell ref="C19:C21"/>
    <mergeCell ref="D21:E21"/>
    <mergeCell ref="B22:B24"/>
    <mergeCell ref="C22:C24"/>
    <mergeCell ref="D24:E24"/>
    <mergeCell ref="B25:B27"/>
    <mergeCell ref="C25:C27"/>
    <mergeCell ref="D27:E27"/>
    <mergeCell ref="B28:B30"/>
    <mergeCell ref="C28:C30"/>
    <mergeCell ref="D30:E30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C2DB-AF8C-451F-853F-EF48EFDFF4F4}">
  <sheetPr>
    <pageSetUpPr fitToPage="1"/>
  </sheetPr>
  <dimension ref="B2:AG37"/>
  <sheetViews>
    <sheetView showGridLines="0" view="pageBreakPreview" topLeftCell="A3" zoomScale="70" zoomScaleNormal="85" zoomScaleSheetLayoutView="70" workbookViewId="0">
      <selection activeCell="I15" sqref="I15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28" t="s">
        <v>151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</row>
    <row r="3" spans="2:33" ht="27" customHeight="1" thickBot="1"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429" t="s">
        <v>129</v>
      </c>
      <c r="O3" s="430"/>
      <c r="P3" s="431"/>
      <c r="Q3" s="429" t="s">
        <v>127</v>
      </c>
      <c r="R3" s="430"/>
      <c r="S3" s="431"/>
      <c r="T3" s="432" t="s">
        <v>130</v>
      </c>
      <c r="U3" s="433"/>
    </row>
    <row r="4" spans="2:33" ht="27" customHeight="1" thickBot="1"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434" t="s">
        <v>507</v>
      </c>
      <c r="O4" s="435"/>
      <c r="P4" s="436"/>
      <c r="Q4" s="437" t="s">
        <v>574</v>
      </c>
      <c r="R4" s="438"/>
      <c r="S4" s="439"/>
      <c r="T4" s="440">
        <v>2027</v>
      </c>
      <c r="U4" s="441"/>
    </row>
    <row r="5" spans="2:33" ht="24" customHeight="1" thickBot="1">
      <c r="B5" s="442"/>
      <c r="C5" s="442"/>
    </row>
    <row r="6" spans="2:33" ht="20.25" customHeight="1">
      <c r="B6" s="443" t="s">
        <v>13</v>
      </c>
      <c r="C6" s="446" t="s">
        <v>140</v>
      </c>
      <c r="D6" s="424" t="s">
        <v>14</v>
      </c>
      <c r="E6" s="424" t="s">
        <v>15</v>
      </c>
      <c r="F6" s="424" t="s">
        <v>141</v>
      </c>
      <c r="G6" s="424" t="s">
        <v>142</v>
      </c>
      <c r="H6" s="471" t="s">
        <v>58</v>
      </c>
      <c r="I6" s="471"/>
      <c r="J6" s="471"/>
      <c r="K6" s="471"/>
      <c r="L6" s="471" t="s">
        <v>59</v>
      </c>
      <c r="M6" s="471"/>
      <c r="N6" s="471"/>
      <c r="O6" s="471"/>
      <c r="P6" s="471" t="s">
        <v>60</v>
      </c>
      <c r="Q6" s="471"/>
      <c r="R6" s="471"/>
      <c r="S6" s="471"/>
      <c r="T6" s="478" t="s">
        <v>139</v>
      </c>
      <c r="U6" s="472" t="s">
        <v>126</v>
      </c>
      <c r="W6" s="475" t="s">
        <v>131</v>
      </c>
      <c r="X6" s="476"/>
      <c r="Y6" s="476"/>
      <c r="Z6" s="476"/>
      <c r="AA6" s="476"/>
      <c r="AB6" s="476"/>
      <c r="AC6" s="476"/>
      <c r="AD6" s="476"/>
      <c r="AE6" s="476"/>
      <c r="AF6" s="477"/>
      <c r="AG6" s="13"/>
    </row>
    <row r="7" spans="2:33" ht="16.5" customHeight="1">
      <c r="B7" s="444"/>
      <c r="C7" s="447"/>
      <c r="D7" s="425"/>
      <c r="E7" s="425"/>
      <c r="F7" s="425"/>
      <c r="G7" s="425"/>
      <c r="H7" s="427" t="s">
        <v>124</v>
      </c>
      <c r="I7" s="427"/>
      <c r="J7" s="427" t="s">
        <v>62</v>
      </c>
      <c r="K7" s="427"/>
      <c r="L7" s="427" t="s">
        <v>124</v>
      </c>
      <c r="M7" s="427"/>
      <c r="N7" s="427" t="s">
        <v>62</v>
      </c>
      <c r="O7" s="427"/>
      <c r="P7" s="427" t="s">
        <v>124</v>
      </c>
      <c r="Q7" s="427"/>
      <c r="R7" s="427" t="s">
        <v>62</v>
      </c>
      <c r="S7" s="427"/>
      <c r="T7" s="479"/>
      <c r="U7" s="473"/>
      <c r="W7" s="468" t="s">
        <v>132</v>
      </c>
      <c r="X7" s="469"/>
      <c r="Y7" s="469"/>
      <c r="Z7" s="469"/>
      <c r="AA7" s="469"/>
      <c r="AB7" s="469"/>
      <c r="AC7" s="469"/>
      <c r="AD7" s="469"/>
      <c r="AE7" s="469"/>
      <c r="AF7" s="470"/>
      <c r="AG7" s="13"/>
    </row>
    <row r="8" spans="2:33" ht="17.25" customHeight="1" thickBot="1">
      <c r="B8" s="445"/>
      <c r="C8" s="448"/>
      <c r="D8" s="426"/>
      <c r="E8" s="426"/>
      <c r="F8" s="426"/>
      <c r="G8" s="426"/>
      <c r="H8" s="150" t="s">
        <v>138</v>
      </c>
      <c r="I8" s="150" t="s">
        <v>125</v>
      </c>
      <c r="J8" s="150" t="s">
        <v>138</v>
      </c>
      <c r="K8" s="150" t="s">
        <v>125</v>
      </c>
      <c r="L8" s="150" t="s">
        <v>138</v>
      </c>
      <c r="M8" s="150" t="s">
        <v>125</v>
      </c>
      <c r="N8" s="150" t="s">
        <v>138</v>
      </c>
      <c r="O8" s="150" t="s">
        <v>125</v>
      </c>
      <c r="P8" s="150" t="s">
        <v>138</v>
      </c>
      <c r="Q8" s="150" t="s">
        <v>125</v>
      </c>
      <c r="R8" s="150" t="s">
        <v>138</v>
      </c>
      <c r="S8" s="150" t="s">
        <v>125</v>
      </c>
      <c r="T8" s="480"/>
      <c r="U8" s="4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54" t="s">
        <v>686</v>
      </c>
      <c r="C9" s="504">
        <v>10</v>
      </c>
      <c r="D9" s="151" t="s">
        <v>740</v>
      </c>
      <c r="E9" s="151" t="s">
        <v>706</v>
      </c>
      <c r="F9" s="151">
        <v>50</v>
      </c>
      <c r="G9" s="151">
        <v>3</v>
      </c>
      <c r="H9" s="179"/>
      <c r="I9" s="179">
        <f>H9*16</f>
        <v>0</v>
      </c>
      <c r="J9" s="179"/>
      <c r="K9" s="179">
        <f>J9*16</f>
        <v>0</v>
      </c>
      <c r="L9" s="151">
        <v>3</v>
      </c>
      <c r="M9" s="151">
        <v>48</v>
      </c>
      <c r="N9" s="179"/>
      <c r="O9" s="179"/>
      <c r="P9" s="179"/>
      <c r="Q9" s="179"/>
      <c r="R9" s="179"/>
      <c r="S9" s="179">
        <f>R9*16</f>
        <v>0</v>
      </c>
      <c r="T9" s="187">
        <v>3</v>
      </c>
      <c r="U9" s="187"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>
      <c r="B10" s="466"/>
      <c r="C10" s="508"/>
      <c r="D10" s="173" t="s">
        <v>687</v>
      </c>
      <c r="E10" s="156" t="s">
        <v>707</v>
      </c>
      <c r="F10" s="156">
        <v>50</v>
      </c>
      <c r="G10" s="156">
        <v>3</v>
      </c>
      <c r="H10" s="160"/>
      <c r="I10" s="160"/>
      <c r="J10" s="160"/>
      <c r="K10" s="160"/>
      <c r="L10" s="160">
        <v>3</v>
      </c>
      <c r="M10" s="160">
        <v>48</v>
      </c>
      <c r="N10" s="160"/>
      <c r="O10" s="160"/>
      <c r="P10" s="173"/>
      <c r="Q10" s="173"/>
      <c r="R10" s="173"/>
      <c r="S10" s="173"/>
      <c r="T10" s="187">
        <v>3</v>
      </c>
      <c r="U10" s="187">
        <v>48</v>
      </c>
    </row>
    <row r="11" spans="2:33">
      <c r="B11" s="466"/>
      <c r="C11" s="508"/>
      <c r="D11" s="173" t="s">
        <v>688</v>
      </c>
      <c r="E11" s="156" t="s">
        <v>708</v>
      </c>
      <c r="F11" s="156">
        <v>50</v>
      </c>
      <c r="G11" s="156">
        <v>3</v>
      </c>
      <c r="H11" s="160"/>
      <c r="I11" s="160"/>
      <c r="J11" s="160"/>
      <c r="K11" s="160"/>
      <c r="L11" s="160"/>
      <c r="M11" s="160"/>
      <c r="N11" s="160">
        <v>4</v>
      </c>
      <c r="O11" s="160">
        <v>64</v>
      </c>
      <c r="P11" s="173"/>
      <c r="Q11" s="173"/>
      <c r="R11" s="173"/>
      <c r="S11" s="173"/>
      <c r="T11" s="187">
        <v>4</v>
      </c>
      <c r="U11" s="187">
        <v>64</v>
      </c>
    </row>
    <row r="12" spans="2:33" ht="16.5" customHeight="1" thickBot="1">
      <c r="B12" s="458"/>
      <c r="C12" s="507"/>
      <c r="D12" s="452" t="s">
        <v>16</v>
      </c>
      <c r="E12" s="453"/>
      <c r="F12" s="177"/>
      <c r="G12" s="177"/>
      <c r="H12" s="178"/>
      <c r="I12" s="178"/>
      <c r="J12" s="178"/>
      <c r="K12" s="178"/>
      <c r="L12" s="164">
        <f>SUM(L9:L11)</f>
        <v>6</v>
      </c>
      <c r="M12" s="164">
        <f>SUM(M9:M11)</f>
        <v>96</v>
      </c>
      <c r="N12" s="164">
        <f>SUM(N9:N11)</f>
        <v>4</v>
      </c>
      <c r="O12" s="164">
        <f>SUM(O9:O11)</f>
        <v>64</v>
      </c>
      <c r="P12" s="178"/>
      <c r="Q12" s="178"/>
      <c r="R12" s="178"/>
      <c r="S12" s="178">
        <f>SUM(S9:S11)</f>
        <v>0</v>
      </c>
      <c r="T12" s="165">
        <f>SUM(T9:T11)</f>
        <v>10</v>
      </c>
      <c r="U12" s="165">
        <f>SUM(U9:U11)</f>
        <v>160</v>
      </c>
      <c r="W12" s="12"/>
      <c r="X12" s="13"/>
      <c r="Y12" s="13"/>
      <c r="Z12" s="13"/>
      <c r="AA12" s="13"/>
      <c r="AB12" s="13"/>
      <c r="AC12" s="13"/>
      <c r="AD12" s="13"/>
      <c r="AE12" s="13"/>
      <c r="AF12" s="17"/>
      <c r="AG12" s="13"/>
    </row>
    <row r="13" spans="2:33" ht="17.399999999999999" customHeight="1">
      <c r="B13" s="465" t="s">
        <v>691</v>
      </c>
      <c r="C13" s="494">
        <v>14</v>
      </c>
      <c r="D13" s="171" t="s">
        <v>692</v>
      </c>
      <c r="E13" s="151" t="s">
        <v>693</v>
      </c>
      <c r="F13" s="151">
        <v>60</v>
      </c>
      <c r="G13" s="172">
        <v>3</v>
      </c>
      <c r="H13" s="152"/>
      <c r="I13" s="152"/>
      <c r="J13" s="152"/>
      <c r="K13" s="152"/>
      <c r="L13" s="152">
        <v>3</v>
      </c>
      <c r="M13" s="152">
        <v>48</v>
      </c>
      <c r="N13" s="152"/>
      <c r="O13" s="152"/>
      <c r="P13" s="179"/>
      <c r="Q13" s="179"/>
      <c r="R13" s="179"/>
      <c r="S13" s="179"/>
      <c r="T13" s="187">
        <v>3</v>
      </c>
      <c r="U13" s="198">
        <v>48</v>
      </c>
    </row>
    <row r="14" spans="2:33" ht="17.399999999999999" customHeight="1">
      <c r="B14" s="466"/>
      <c r="C14" s="491"/>
      <c r="D14" s="173" t="s">
        <v>713</v>
      </c>
      <c r="E14" s="156" t="s">
        <v>709</v>
      </c>
      <c r="F14" s="156">
        <v>60</v>
      </c>
      <c r="G14" s="188">
        <v>3</v>
      </c>
      <c r="H14" s="160"/>
      <c r="I14" s="160"/>
      <c r="J14" s="160"/>
      <c r="K14" s="160"/>
      <c r="L14" s="160"/>
      <c r="M14" s="160"/>
      <c r="N14" s="160">
        <v>3</v>
      </c>
      <c r="O14" s="160">
        <v>48</v>
      </c>
      <c r="P14" s="191"/>
      <c r="Q14" s="191"/>
      <c r="R14" s="191"/>
      <c r="S14" s="191"/>
      <c r="T14" s="187">
        <v>3</v>
      </c>
      <c r="U14" s="198">
        <v>48</v>
      </c>
    </row>
    <row r="15" spans="2:33">
      <c r="B15" s="466"/>
      <c r="C15" s="491"/>
      <c r="D15" s="173" t="s">
        <v>694</v>
      </c>
      <c r="E15" s="156" t="s">
        <v>710</v>
      </c>
      <c r="F15" s="156">
        <v>60</v>
      </c>
      <c r="G15" s="156">
        <v>3</v>
      </c>
      <c r="H15" s="160"/>
      <c r="I15" s="160"/>
      <c r="J15" s="160"/>
      <c r="K15" s="160"/>
      <c r="L15" s="160">
        <v>4</v>
      </c>
      <c r="M15" s="160">
        <v>64</v>
      </c>
      <c r="N15" s="160"/>
      <c r="O15" s="160"/>
      <c r="P15" s="173"/>
      <c r="Q15" s="173"/>
      <c r="R15" s="173"/>
      <c r="S15" s="173"/>
      <c r="T15" s="187">
        <v>4</v>
      </c>
      <c r="U15" s="198">
        <v>64</v>
      </c>
    </row>
    <row r="16" spans="2:33">
      <c r="B16" s="466"/>
      <c r="C16" s="491"/>
      <c r="D16" s="173" t="s">
        <v>695</v>
      </c>
      <c r="E16" s="156" t="s">
        <v>696</v>
      </c>
      <c r="F16" s="156">
        <v>60</v>
      </c>
      <c r="G16" s="156">
        <v>3</v>
      </c>
      <c r="H16" s="160"/>
      <c r="I16" s="160"/>
      <c r="J16" s="160"/>
      <c r="K16" s="160"/>
      <c r="L16" s="160"/>
      <c r="M16" s="160"/>
      <c r="N16" s="160">
        <v>4</v>
      </c>
      <c r="O16" s="160">
        <v>64</v>
      </c>
      <c r="P16" s="180"/>
      <c r="Q16" s="180"/>
      <c r="R16" s="180"/>
      <c r="S16" s="180"/>
      <c r="T16" s="187">
        <v>4</v>
      </c>
      <c r="U16" s="198">
        <v>64</v>
      </c>
    </row>
    <row r="17" spans="2:23" ht="18" thickBot="1">
      <c r="B17" s="467"/>
      <c r="C17" s="492"/>
      <c r="D17" s="452" t="s">
        <v>16</v>
      </c>
      <c r="E17" s="453"/>
      <c r="F17" s="163"/>
      <c r="G17" s="163"/>
      <c r="H17" s="164"/>
      <c r="I17" s="164"/>
      <c r="J17" s="164"/>
      <c r="K17" s="164"/>
      <c r="L17" s="164">
        <f>SUM(L13:L16)</f>
        <v>7</v>
      </c>
      <c r="M17" s="164">
        <f>SUM(M13:M16)</f>
        <v>112</v>
      </c>
      <c r="N17" s="164">
        <f>SUM(N13:N16)</f>
        <v>7</v>
      </c>
      <c r="O17" s="164">
        <f>SUM(O14:O16)</f>
        <v>112</v>
      </c>
      <c r="P17" s="164"/>
      <c r="Q17" s="164"/>
      <c r="R17" s="164"/>
      <c r="S17" s="164"/>
      <c r="T17" s="28">
        <f>SUM(T13:T16)</f>
        <v>14</v>
      </c>
      <c r="U17" s="29">
        <f>SUM(U13:U16)</f>
        <v>224</v>
      </c>
    </row>
    <row r="18" spans="2:23">
      <c r="B18" s="465" t="s">
        <v>697</v>
      </c>
      <c r="C18" s="494">
        <v>12</v>
      </c>
      <c r="D18" s="192" t="s">
        <v>711</v>
      </c>
      <c r="E18" s="193" t="s">
        <v>731</v>
      </c>
      <c r="F18" s="193">
        <v>50</v>
      </c>
      <c r="G18" s="194">
        <v>3</v>
      </c>
      <c r="H18" s="195"/>
      <c r="I18" s="195"/>
      <c r="J18" s="195"/>
      <c r="K18" s="195"/>
      <c r="L18" s="195"/>
      <c r="M18" s="195"/>
      <c r="N18" s="195"/>
      <c r="O18" s="195"/>
      <c r="P18" s="190">
        <v>3</v>
      </c>
      <c r="Q18" s="190">
        <v>48</v>
      </c>
      <c r="R18" s="190"/>
      <c r="S18" s="190"/>
      <c r="T18" s="189">
        <v>3</v>
      </c>
      <c r="U18" s="189">
        <v>48</v>
      </c>
      <c r="W18" s="30"/>
    </row>
    <row r="19" spans="2:23">
      <c r="B19" s="466"/>
      <c r="C19" s="491"/>
      <c r="D19" s="196" t="s">
        <v>712</v>
      </c>
      <c r="E19" s="155" t="s">
        <v>698</v>
      </c>
      <c r="F19" s="155">
        <v>50</v>
      </c>
      <c r="G19" s="196">
        <v>2</v>
      </c>
      <c r="H19" s="157"/>
      <c r="I19" s="157"/>
      <c r="J19" s="157"/>
      <c r="K19" s="157"/>
      <c r="L19" s="157"/>
      <c r="M19" s="157"/>
      <c r="N19" s="157"/>
      <c r="O19" s="157"/>
      <c r="P19" s="174">
        <v>3</v>
      </c>
      <c r="Q19" s="174">
        <v>48</v>
      </c>
      <c r="R19" s="180"/>
      <c r="S19" s="180"/>
      <c r="T19" s="197">
        <v>3</v>
      </c>
      <c r="U19" s="197">
        <v>48</v>
      </c>
    </row>
    <row r="20" spans="2:23">
      <c r="B20" s="466"/>
      <c r="C20" s="491"/>
      <c r="D20" s="173" t="s">
        <v>714</v>
      </c>
      <c r="E20" s="156" t="s">
        <v>699</v>
      </c>
      <c r="F20" s="156">
        <v>50</v>
      </c>
      <c r="G20" s="156">
        <v>2</v>
      </c>
      <c r="H20" s="160"/>
      <c r="I20" s="160"/>
      <c r="J20" s="160"/>
      <c r="K20" s="160"/>
      <c r="L20" s="160"/>
      <c r="M20" s="160"/>
      <c r="N20" s="160"/>
      <c r="O20" s="160"/>
      <c r="P20" s="173"/>
      <c r="Q20" s="173"/>
      <c r="R20" s="173">
        <v>6</v>
      </c>
      <c r="S20" s="173">
        <v>96</v>
      </c>
      <c r="T20" s="187">
        <v>6</v>
      </c>
      <c r="U20" s="187">
        <v>96</v>
      </c>
    </row>
    <row r="21" spans="2:23" ht="18" thickBot="1">
      <c r="B21" s="467"/>
      <c r="C21" s="492"/>
      <c r="D21" s="452" t="s">
        <v>16</v>
      </c>
      <c r="E21" s="453"/>
      <c r="F21" s="166"/>
      <c r="G21" s="166"/>
      <c r="H21" s="164"/>
      <c r="I21" s="164"/>
      <c r="J21" s="164"/>
      <c r="K21" s="164"/>
      <c r="L21" s="164"/>
      <c r="M21" s="164"/>
      <c r="N21" s="164"/>
      <c r="O21" s="164"/>
      <c r="P21" s="164">
        <f>SUM(P18:P20)</f>
        <v>6</v>
      </c>
      <c r="Q21" s="164">
        <f>SUM(Q18:Q20)</f>
        <v>96</v>
      </c>
      <c r="R21" s="164">
        <f>SUM(R18:R20)</f>
        <v>6</v>
      </c>
      <c r="S21" s="164">
        <f>SUM(S20)</f>
        <v>96</v>
      </c>
      <c r="T21" s="28">
        <f>SUM(T18:T20)</f>
        <v>12</v>
      </c>
      <c r="U21" s="29">
        <f>SUM(U18:U20)</f>
        <v>192</v>
      </c>
    </row>
    <row r="22" spans="2:23">
      <c r="B22" s="465" t="s">
        <v>683</v>
      </c>
      <c r="C22" s="494">
        <v>15</v>
      </c>
      <c r="D22" s="171" t="s">
        <v>684</v>
      </c>
      <c r="E22" s="151" t="s">
        <v>685</v>
      </c>
      <c r="F22" s="151">
        <v>50</v>
      </c>
      <c r="G22" s="172">
        <v>2</v>
      </c>
      <c r="H22" s="152"/>
      <c r="I22" s="152"/>
      <c r="J22" s="152"/>
      <c r="K22" s="152"/>
      <c r="L22" s="152"/>
      <c r="M22" s="152"/>
      <c r="N22" s="152"/>
      <c r="O22" s="152"/>
      <c r="P22" s="160">
        <v>6</v>
      </c>
      <c r="Q22" s="160">
        <v>96</v>
      </c>
      <c r="R22" s="160"/>
      <c r="S22" s="160"/>
      <c r="T22" s="198">
        <v>6</v>
      </c>
      <c r="U22" s="198">
        <v>96</v>
      </c>
    </row>
    <row r="23" spans="2:23">
      <c r="B23" s="466"/>
      <c r="C23" s="491"/>
      <c r="D23" s="196" t="s">
        <v>715</v>
      </c>
      <c r="E23" s="155" t="s">
        <v>716</v>
      </c>
      <c r="F23" s="155">
        <v>40</v>
      </c>
      <c r="G23" s="196">
        <v>3</v>
      </c>
      <c r="H23" s="157"/>
      <c r="I23" s="157"/>
      <c r="J23" s="157"/>
      <c r="K23" s="157"/>
      <c r="L23" s="157"/>
      <c r="M23" s="157"/>
      <c r="N23" s="157"/>
      <c r="O23" s="157"/>
      <c r="P23" s="160"/>
      <c r="Q23" s="160"/>
      <c r="R23" s="160">
        <v>3</v>
      </c>
      <c r="S23" s="160">
        <v>48</v>
      </c>
      <c r="T23" s="199">
        <v>3</v>
      </c>
      <c r="U23" s="197">
        <v>48</v>
      </c>
    </row>
    <row r="24" spans="2:23">
      <c r="B24" s="466"/>
      <c r="C24" s="491"/>
      <c r="D24" s="196" t="s">
        <v>717</v>
      </c>
      <c r="E24" s="155" t="s">
        <v>718</v>
      </c>
      <c r="F24" s="155">
        <v>50</v>
      </c>
      <c r="G24" s="196">
        <v>2</v>
      </c>
      <c r="H24" s="157"/>
      <c r="I24" s="157"/>
      <c r="J24" s="157"/>
      <c r="K24" s="157"/>
      <c r="L24" s="157"/>
      <c r="M24" s="157"/>
      <c r="N24" s="157"/>
      <c r="O24" s="157"/>
      <c r="P24" s="160"/>
      <c r="Q24" s="160"/>
      <c r="R24" s="160">
        <v>6</v>
      </c>
      <c r="S24" s="160">
        <v>96</v>
      </c>
      <c r="T24" s="199">
        <v>6</v>
      </c>
      <c r="U24" s="197">
        <v>96</v>
      </c>
    </row>
    <row r="25" spans="2:23" ht="18" thickBot="1">
      <c r="B25" s="467"/>
      <c r="C25" s="492"/>
      <c r="D25" s="452" t="s">
        <v>16</v>
      </c>
      <c r="E25" s="453"/>
      <c r="F25" s="163"/>
      <c r="G25" s="163"/>
      <c r="H25" s="164"/>
      <c r="I25" s="164"/>
      <c r="J25" s="164"/>
      <c r="K25" s="164"/>
      <c r="L25" s="164"/>
      <c r="M25" s="164"/>
      <c r="N25" s="164"/>
      <c r="O25" s="164"/>
      <c r="P25" s="164">
        <f>SUM(P22:P24)</f>
        <v>6</v>
      </c>
      <c r="Q25" s="164">
        <v>96</v>
      </c>
      <c r="R25" s="164">
        <f>SUM(R22:R24)</f>
        <v>9</v>
      </c>
      <c r="S25" s="164">
        <f>SUM(S22:S24)</f>
        <v>144</v>
      </c>
      <c r="T25" s="28">
        <f>SUM(T22:T24)</f>
        <v>15</v>
      </c>
      <c r="U25" s="29">
        <f>SUM(U22:U24)</f>
        <v>240</v>
      </c>
    </row>
    <row r="26" spans="2:23">
      <c r="B26" s="465" t="s">
        <v>728</v>
      </c>
      <c r="C26" s="494">
        <v>12</v>
      </c>
      <c r="D26" s="171" t="s">
        <v>719</v>
      </c>
      <c r="E26" s="151" t="s">
        <v>682</v>
      </c>
      <c r="F26" s="151">
        <v>70</v>
      </c>
      <c r="G26" s="172">
        <v>2</v>
      </c>
      <c r="H26" s="152"/>
      <c r="I26" s="152"/>
      <c r="J26" s="152"/>
      <c r="K26" s="152"/>
      <c r="L26" s="152"/>
      <c r="M26" s="152"/>
      <c r="N26" s="152"/>
      <c r="O26" s="152"/>
      <c r="P26" s="173">
        <v>6</v>
      </c>
      <c r="Q26" s="173">
        <v>96</v>
      </c>
      <c r="R26" s="179"/>
      <c r="S26" s="179"/>
      <c r="T26" s="187">
        <v>6</v>
      </c>
      <c r="U26" s="198">
        <v>96</v>
      </c>
    </row>
    <row r="27" spans="2:23">
      <c r="B27" s="466"/>
      <c r="C27" s="491"/>
      <c r="D27" s="173" t="s">
        <v>720</v>
      </c>
      <c r="E27" s="156" t="s">
        <v>721</v>
      </c>
      <c r="F27" s="156">
        <v>50</v>
      </c>
      <c r="G27" s="156">
        <v>2</v>
      </c>
      <c r="H27" s="160"/>
      <c r="I27" s="160"/>
      <c r="J27" s="160"/>
      <c r="K27" s="160"/>
      <c r="L27" s="160"/>
      <c r="M27" s="160"/>
      <c r="N27" s="160"/>
      <c r="O27" s="160"/>
      <c r="P27" s="180"/>
      <c r="Q27" s="180"/>
      <c r="R27" s="173">
        <v>6</v>
      </c>
      <c r="S27" s="173">
        <v>96</v>
      </c>
      <c r="T27" s="187">
        <v>6</v>
      </c>
      <c r="U27" s="198">
        <v>96</v>
      </c>
    </row>
    <row r="28" spans="2:23" ht="18" thickBot="1">
      <c r="B28" s="467"/>
      <c r="C28" s="492"/>
      <c r="D28" s="452" t="s">
        <v>16</v>
      </c>
      <c r="E28" s="453"/>
      <c r="F28" s="163"/>
      <c r="G28" s="163"/>
      <c r="H28" s="164"/>
      <c r="I28" s="164"/>
      <c r="J28" s="164"/>
      <c r="K28" s="164"/>
      <c r="L28" s="164"/>
      <c r="M28" s="164"/>
      <c r="N28" s="164"/>
      <c r="O28" s="164"/>
      <c r="P28" s="164">
        <v>6</v>
      </c>
      <c r="Q28" s="164">
        <v>96</v>
      </c>
      <c r="R28" s="164">
        <f>SUM(R26:R27)</f>
        <v>6</v>
      </c>
      <c r="S28" s="164">
        <f>SUM(S26:S27)</f>
        <v>96</v>
      </c>
      <c r="T28" s="28">
        <f>SUM(T26:T27)</f>
        <v>12</v>
      </c>
      <c r="U28" s="29">
        <f>SUM(U26:U27)</f>
        <v>192</v>
      </c>
    </row>
    <row r="29" spans="2:23" ht="17.399999999999999" customHeight="1">
      <c r="B29" s="465" t="s">
        <v>586</v>
      </c>
      <c r="C29" s="494">
        <v>14</v>
      </c>
      <c r="D29" s="171" t="s">
        <v>689</v>
      </c>
      <c r="E29" s="151" t="s">
        <v>690</v>
      </c>
      <c r="F29" s="151">
        <v>300</v>
      </c>
      <c r="G29" s="172">
        <v>3</v>
      </c>
      <c r="H29" s="152"/>
      <c r="I29" s="152"/>
      <c r="J29" s="152"/>
      <c r="K29" s="152"/>
      <c r="L29" s="152"/>
      <c r="M29" s="152"/>
      <c r="N29" s="152"/>
      <c r="O29" s="152"/>
      <c r="P29" s="173">
        <v>6</v>
      </c>
      <c r="Q29" s="173">
        <v>96</v>
      </c>
      <c r="R29" s="173"/>
      <c r="S29" s="173"/>
      <c r="T29" s="187">
        <v>6</v>
      </c>
      <c r="U29" s="187">
        <v>96</v>
      </c>
    </row>
    <row r="30" spans="2:23">
      <c r="B30" s="466"/>
      <c r="C30" s="491"/>
      <c r="D30" s="173" t="s">
        <v>722</v>
      </c>
      <c r="E30" s="156" t="s">
        <v>723</v>
      </c>
      <c r="F30" s="156">
        <v>100</v>
      </c>
      <c r="G30" s="156">
        <v>3</v>
      </c>
      <c r="H30" s="160"/>
      <c r="I30" s="160"/>
      <c r="J30" s="160"/>
      <c r="K30" s="160"/>
      <c r="L30" s="160"/>
      <c r="M30" s="160"/>
      <c r="N30" s="160"/>
      <c r="O30" s="160"/>
      <c r="P30" s="173"/>
      <c r="Q30" s="173"/>
      <c r="R30" s="173">
        <v>4</v>
      </c>
      <c r="S30" s="173">
        <v>64</v>
      </c>
      <c r="T30" s="187">
        <v>4</v>
      </c>
      <c r="U30" s="187">
        <v>64</v>
      </c>
    </row>
    <row r="31" spans="2:23">
      <c r="B31" s="466"/>
      <c r="C31" s="491"/>
      <c r="D31" s="174" t="s">
        <v>724</v>
      </c>
      <c r="E31" s="155" t="s">
        <v>725</v>
      </c>
      <c r="F31" s="155">
        <v>80</v>
      </c>
      <c r="G31" s="155">
        <v>4</v>
      </c>
      <c r="H31" s="157"/>
      <c r="I31" s="157"/>
      <c r="J31" s="157"/>
      <c r="K31" s="157"/>
      <c r="L31" s="157"/>
      <c r="M31" s="157"/>
      <c r="N31" s="157"/>
      <c r="O31" s="157"/>
      <c r="P31" s="173"/>
      <c r="Q31" s="173"/>
      <c r="R31" s="173">
        <v>4</v>
      </c>
      <c r="S31" s="173">
        <v>64</v>
      </c>
      <c r="T31" s="187">
        <v>4</v>
      </c>
      <c r="U31" s="187">
        <v>64</v>
      </c>
    </row>
    <row r="32" spans="2:23" ht="18" thickBot="1">
      <c r="B32" s="467"/>
      <c r="C32" s="492"/>
      <c r="D32" s="452" t="s">
        <v>16</v>
      </c>
      <c r="E32" s="453"/>
      <c r="F32" s="163"/>
      <c r="G32" s="163"/>
      <c r="H32" s="164"/>
      <c r="I32" s="164"/>
      <c r="J32" s="164"/>
      <c r="K32" s="164"/>
      <c r="L32" s="164"/>
      <c r="M32" s="164"/>
      <c r="N32" s="164"/>
      <c r="O32" s="164"/>
      <c r="P32" s="164">
        <f t="shared" ref="P32:U32" si="0">SUM(P29:P31)</f>
        <v>6</v>
      </c>
      <c r="Q32" s="164">
        <f t="shared" si="0"/>
        <v>96</v>
      </c>
      <c r="R32" s="164">
        <f t="shared" si="0"/>
        <v>8</v>
      </c>
      <c r="S32" s="164">
        <f t="shared" si="0"/>
        <v>128</v>
      </c>
      <c r="T32" s="28">
        <f t="shared" si="0"/>
        <v>14</v>
      </c>
      <c r="U32" s="29">
        <f t="shared" si="0"/>
        <v>224</v>
      </c>
    </row>
    <row r="33" spans="2:21">
      <c r="B33" s="465" t="s">
        <v>628</v>
      </c>
      <c r="C33" s="494">
        <v>4</v>
      </c>
      <c r="D33" s="171" t="s">
        <v>726</v>
      </c>
      <c r="E33" s="151" t="s">
        <v>727</v>
      </c>
      <c r="F33" s="151">
        <v>40</v>
      </c>
      <c r="G33" s="172">
        <v>3</v>
      </c>
      <c r="H33" s="152"/>
      <c r="I33" s="152"/>
      <c r="J33" s="152"/>
      <c r="K33" s="152"/>
      <c r="L33" s="152"/>
      <c r="M33" s="152"/>
      <c r="N33" s="152">
        <v>2</v>
      </c>
      <c r="O33" s="152">
        <v>32</v>
      </c>
      <c r="P33" s="173"/>
      <c r="Q33" s="173"/>
      <c r="R33" s="173"/>
      <c r="S33" s="173"/>
      <c r="T33" s="187">
        <v>2</v>
      </c>
      <c r="U33" s="198">
        <v>32</v>
      </c>
    </row>
    <row r="34" spans="2:21">
      <c r="B34" s="466"/>
      <c r="C34" s="491"/>
      <c r="D34" s="173" t="s">
        <v>629</v>
      </c>
      <c r="E34" s="156" t="s">
        <v>630</v>
      </c>
      <c r="F34" s="156">
        <v>60</v>
      </c>
      <c r="G34" s="156">
        <v>2</v>
      </c>
      <c r="H34" s="160"/>
      <c r="I34" s="160"/>
      <c r="J34" s="160"/>
      <c r="K34" s="160"/>
      <c r="L34" s="160"/>
      <c r="M34" s="160"/>
      <c r="N34" s="160">
        <v>2</v>
      </c>
      <c r="O34" s="160">
        <v>32</v>
      </c>
      <c r="P34" s="173"/>
      <c r="Q34" s="173"/>
      <c r="R34" s="173"/>
      <c r="S34" s="173"/>
      <c r="T34" s="187">
        <v>2</v>
      </c>
      <c r="U34" s="187">
        <v>32</v>
      </c>
    </row>
    <row r="35" spans="2:21" ht="18" thickBot="1">
      <c r="B35" s="467"/>
      <c r="C35" s="492"/>
      <c r="D35" s="452" t="s">
        <v>16</v>
      </c>
      <c r="E35" s="453"/>
      <c r="F35" s="203"/>
      <c r="G35" s="203"/>
      <c r="H35" s="164"/>
      <c r="I35" s="164"/>
      <c r="J35" s="164"/>
      <c r="K35" s="164"/>
      <c r="L35" s="164"/>
      <c r="M35" s="164"/>
      <c r="N35" s="164">
        <f>SUM(N33:N34)</f>
        <v>4</v>
      </c>
      <c r="O35" s="164">
        <f>SUM(O33:O34)</f>
        <v>64</v>
      </c>
      <c r="P35" s="164"/>
      <c r="Q35" s="164"/>
      <c r="R35" s="164"/>
      <c r="S35" s="164"/>
      <c r="T35" s="28">
        <f>SUM(T33:T34)</f>
        <v>4</v>
      </c>
      <c r="U35" s="29">
        <v>64</v>
      </c>
    </row>
    <row r="36" spans="2:21">
      <c r="B36" s="454" t="s">
        <v>700</v>
      </c>
      <c r="C36" s="498">
        <v>4</v>
      </c>
      <c r="D36" s="151" t="s">
        <v>701</v>
      </c>
      <c r="E36" s="151" t="s">
        <v>702</v>
      </c>
      <c r="F36" s="151">
        <v>60</v>
      </c>
      <c r="G36" s="151">
        <v>5</v>
      </c>
      <c r="H36" s="152"/>
      <c r="I36" s="152"/>
      <c r="J36" s="152"/>
      <c r="K36" s="152"/>
      <c r="L36" s="152"/>
      <c r="M36" s="152"/>
      <c r="N36" s="173"/>
      <c r="O36" s="173"/>
      <c r="P36" s="173">
        <v>4</v>
      </c>
      <c r="Q36" s="173">
        <v>64</v>
      </c>
      <c r="R36" s="173"/>
      <c r="S36" s="173"/>
      <c r="T36" s="187">
        <f>SUM(H36,J36,L36,N36,P36,R36)</f>
        <v>4</v>
      </c>
      <c r="U36" s="187">
        <v>64</v>
      </c>
    </row>
    <row r="37" spans="2:21" ht="18" thickBot="1">
      <c r="B37" s="458"/>
      <c r="C37" s="500"/>
      <c r="D37" s="464" t="s">
        <v>16</v>
      </c>
      <c r="E37" s="464"/>
      <c r="F37" s="163"/>
      <c r="G37" s="163"/>
      <c r="H37" s="164"/>
      <c r="I37" s="164"/>
      <c r="J37" s="164"/>
      <c r="K37" s="164"/>
      <c r="L37" s="164"/>
      <c r="M37" s="164"/>
      <c r="N37" s="164"/>
      <c r="O37" s="164"/>
      <c r="P37" s="164">
        <v>4</v>
      </c>
      <c r="Q37" s="164">
        <v>64</v>
      </c>
      <c r="R37" s="164"/>
      <c r="S37" s="164"/>
      <c r="T37" s="28">
        <f t="shared" ref="T37:U37" si="1">SUM(T36:T36)</f>
        <v>4</v>
      </c>
      <c r="U37" s="29">
        <f t="shared" si="1"/>
        <v>64</v>
      </c>
    </row>
  </sheetData>
  <mergeCells count="51">
    <mergeCell ref="U6:U8"/>
    <mergeCell ref="B5:C5"/>
    <mergeCell ref="B6:B8"/>
    <mergeCell ref="C6:C8"/>
    <mergeCell ref="D6:D8"/>
    <mergeCell ref="E6:E8"/>
    <mergeCell ref="F6:F8"/>
    <mergeCell ref="B2:U2"/>
    <mergeCell ref="N3:P3"/>
    <mergeCell ref="Q3:S3"/>
    <mergeCell ref="T3:U3"/>
    <mergeCell ref="N4:P4"/>
    <mergeCell ref="Q4:S4"/>
    <mergeCell ref="T4:U4"/>
    <mergeCell ref="B9:B12"/>
    <mergeCell ref="C9:C12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D12:E12"/>
    <mergeCell ref="T6:T8"/>
    <mergeCell ref="B13:B17"/>
    <mergeCell ref="C13:C17"/>
    <mergeCell ref="D17:E17"/>
    <mergeCell ref="B18:B21"/>
    <mergeCell ref="C18:C21"/>
    <mergeCell ref="D21:E21"/>
    <mergeCell ref="B36:B37"/>
    <mergeCell ref="C36:C37"/>
    <mergeCell ref="D37:E37"/>
    <mergeCell ref="B22:B25"/>
    <mergeCell ref="C22:C25"/>
    <mergeCell ref="D25:E25"/>
    <mergeCell ref="B26:B28"/>
    <mergeCell ref="C26:C28"/>
    <mergeCell ref="D28:E28"/>
    <mergeCell ref="B29:B32"/>
    <mergeCell ref="C29:C32"/>
    <mergeCell ref="D32:E32"/>
    <mergeCell ref="B33:B35"/>
    <mergeCell ref="C33:C35"/>
    <mergeCell ref="D35:E35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201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338</v>
      </c>
      <c r="G2" s="5"/>
      <c r="H2" s="3" t="s">
        <v>74</v>
      </c>
      <c r="I2" s="3" t="s">
        <v>66</v>
      </c>
      <c r="J2" s="3" t="s">
        <v>166</v>
      </c>
      <c r="K2" s="3" t="s">
        <v>166</v>
      </c>
      <c r="L2" s="3" t="s">
        <v>123</v>
      </c>
    </row>
    <row r="3" spans="1:12">
      <c r="A3" s="3" t="s">
        <v>202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338</v>
      </c>
      <c r="G3" s="5"/>
      <c r="H3" s="3" t="s">
        <v>75</v>
      </c>
      <c r="I3" s="3" t="s">
        <v>67</v>
      </c>
      <c r="J3" s="3" t="s">
        <v>167</v>
      </c>
      <c r="K3" s="3" t="s">
        <v>167</v>
      </c>
      <c r="L3" s="3" t="s">
        <v>118</v>
      </c>
    </row>
    <row r="4" spans="1:12">
      <c r="A4" s="3" t="s">
        <v>204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156</v>
      </c>
      <c r="J4" s="3" t="s">
        <v>93</v>
      </c>
      <c r="K4" s="3" t="s">
        <v>93</v>
      </c>
      <c r="L4" s="3" t="s">
        <v>119</v>
      </c>
    </row>
    <row r="5" spans="1:12">
      <c r="A5" s="3" t="s">
        <v>205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157</v>
      </c>
      <c r="J5" s="3" t="s">
        <v>168</v>
      </c>
      <c r="K5" s="3" t="s">
        <v>168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158</v>
      </c>
      <c r="J6" s="3" t="s">
        <v>169</v>
      </c>
      <c r="K6" s="3" t="s">
        <v>169</v>
      </c>
      <c r="L6" s="8"/>
    </row>
    <row r="7" spans="1:12">
      <c r="A7" s="3" t="s">
        <v>206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164</v>
      </c>
      <c r="J7" s="3" t="s">
        <v>94</v>
      </c>
      <c r="K7" s="3" t="s">
        <v>94</v>
      </c>
      <c r="L7" s="5"/>
    </row>
    <row r="8" spans="1:12">
      <c r="A8" s="3" t="s">
        <v>207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159</v>
      </c>
      <c r="J8" s="3" t="s">
        <v>170</v>
      </c>
      <c r="K8" s="3" t="s">
        <v>170</v>
      </c>
      <c r="L8" s="5"/>
    </row>
    <row r="9" spans="1:12">
      <c r="A9" s="3" t="s">
        <v>208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171</v>
      </c>
      <c r="K9" s="3" t="s">
        <v>171</v>
      </c>
      <c r="L9" s="5"/>
    </row>
    <row r="10" spans="1:12">
      <c r="A10" s="3" t="s">
        <v>209</v>
      </c>
      <c r="B10" s="3" t="s">
        <v>17</v>
      </c>
      <c r="C10" s="3" t="s">
        <v>21</v>
      </c>
      <c r="D10" s="3" t="s">
        <v>212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210</v>
      </c>
      <c r="B11" s="3" t="s">
        <v>17</v>
      </c>
      <c r="C11" s="3" t="s">
        <v>21</v>
      </c>
      <c r="D11" s="3" t="s">
        <v>212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211</v>
      </c>
      <c r="B12" s="3" t="s">
        <v>17</v>
      </c>
      <c r="C12" s="3" t="s">
        <v>21</v>
      </c>
      <c r="D12" s="3" t="s">
        <v>212</v>
      </c>
      <c r="E12" s="3">
        <v>4</v>
      </c>
      <c r="F12" s="7" t="s">
        <v>340</v>
      </c>
      <c r="G12" s="5"/>
      <c r="H12" s="3" t="s">
        <v>84</v>
      </c>
      <c r="I12" s="3" t="s">
        <v>160</v>
      </c>
      <c r="J12" s="3" t="s">
        <v>96</v>
      </c>
      <c r="K12" s="3" t="s">
        <v>96</v>
      </c>
      <c r="L12" s="5"/>
    </row>
    <row r="13" spans="1:12">
      <c r="A13" s="3" t="s">
        <v>213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338</v>
      </c>
      <c r="G13" s="5"/>
      <c r="H13" s="3" t="s">
        <v>85</v>
      </c>
      <c r="I13" s="3" t="s">
        <v>71</v>
      </c>
      <c r="J13" s="3" t="s">
        <v>172</v>
      </c>
      <c r="K13" s="3" t="s">
        <v>172</v>
      </c>
      <c r="L13" s="5"/>
    </row>
    <row r="14" spans="1:12">
      <c r="A14" s="3" t="s">
        <v>215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338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216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161</v>
      </c>
      <c r="J15" s="3" t="s">
        <v>173</v>
      </c>
      <c r="K15" s="3" t="s">
        <v>173</v>
      </c>
      <c r="L15" s="5"/>
    </row>
    <row r="16" spans="1:12">
      <c r="A16" s="3" t="s">
        <v>217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162</v>
      </c>
      <c r="J16" s="3" t="s">
        <v>174</v>
      </c>
      <c r="K16" s="3" t="s">
        <v>174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163</v>
      </c>
      <c r="J17" s="3" t="s">
        <v>175</v>
      </c>
      <c r="K17" s="3" t="s">
        <v>175</v>
      </c>
      <c r="L17" s="5"/>
    </row>
    <row r="18" spans="1:12">
      <c r="A18" s="3" t="s">
        <v>218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165</v>
      </c>
      <c r="J18" s="3" t="s">
        <v>176</v>
      </c>
      <c r="K18" s="3" t="s">
        <v>176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177</v>
      </c>
      <c r="K20" s="3" t="s">
        <v>177</v>
      </c>
      <c r="L20" s="5"/>
    </row>
    <row r="21" spans="1:12">
      <c r="A21" s="3" t="s">
        <v>219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221</v>
      </c>
      <c r="B22" s="3" t="s">
        <v>17</v>
      </c>
      <c r="C22" s="3" t="s">
        <v>5</v>
      </c>
      <c r="D22" s="3" t="s">
        <v>222</v>
      </c>
      <c r="E22" s="3">
        <v>4</v>
      </c>
      <c r="F22" s="7" t="s">
        <v>340</v>
      </c>
      <c r="G22" s="5"/>
      <c r="H22" s="3"/>
      <c r="I22" s="3"/>
      <c r="J22" s="3" t="s">
        <v>178</v>
      </c>
      <c r="K22" s="3" t="s">
        <v>178</v>
      </c>
      <c r="L22" s="5"/>
    </row>
    <row r="23" spans="1:12">
      <c r="A23" s="3" t="s">
        <v>223</v>
      </c>
      <c r="B23" s="3" t="s">
        <v>17</v>
      </c>
      <c r="C23" s="3" t="s">
        <v>5</v>
      </c>
      <c r="D23" s="3" t="s">
        <v>212</v>
      </c>
      <c r="E23" s="3">
        <v>4</v>
      </c>
      <c r="F23" s="7" t="s">
        <v>340</v>
      </c>
      <c r="G23" s="5"/>
      <c r="H23" s="3"/>
      <c r="I23" s="3"/>
      <c r="J23" s="3" t="s">
        <v>179</v>
      </c>
      <c r="K23" s="3" t="s">
        <v>179</v>
      </c>
      <c r="L23" s="5"/>
    </row>
    <row r="24" spans="1:12">
      <c r="A24" s="3" t="s">
        <v>224</v>
      </c>
      <c r="B24" s="3" t="s">
        <v>17</v>
      </c>
      <c r="C24" s="3" t="s">
        <v>5</v>
      </c>
      <c r="D24" s="3" t="s">
        <v>212</v>
      </c>
      <c r="E24" s="3">
        <v>4</v>
      </c>
      <c r="F24" s="7" t="s">
        <v>340</v>
      </c>
      <c r="G24" s="5"/>
      <c r="H24" s="3"/>
      <c r="I24" s="3"/>
      <c r="J24" s="3" t="s">
        <v>180</v>
      </c>
      <c r="K24" s="3" t="s">
        <v>180</v>
      </c>
      <c r="L24" s="5"/>
    </row>
    <row r="25" spans="1:12">
      <c r="A25" s="3" t="s">
        <v>225</v>
      </c>
      <c r="B25" s="3" t="s">
        <v>17</v>
      </c>
      <c r="C25" s="3" t="s">
        <v>5</v>
      </c>
      <c r="D25" s="3" t="s">
        <v>212</v>
      </c>
      <c r="E25" s="3">
        <v>4</v>
      </c>
      <c r="F25" s="7" t="s">
        <v>340</v>
      </c>
      <c r="G25" s="5"/>
      <c r="H25" s="3"/>
      <c r="I25" s="3"/>
      <c r="J25" s="3" t="s">
        <v>181</v>
      </c>
      <c r="K25" s="3" t="s">
        <v>181</v>
      </c>
      <c r="L25" s="5"/>
    </row>
    <row r="26" spans="1:12">
      <c r="A26" s="3" t="s">
        <v>220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338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226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182</v>
      </c>
      <c r="K27" s="3" t="s">
        <v>182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227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228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229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183</v>
      </c>
      <c r="K34" s="3" t="s">
        <v>183</v>
      </c>
      <c r="L34" s="5"/>
    </row>
    <row r="35" spans="1:12">
      <c r="A35" s="3" t="s">
        <v>230</v>
      </c>
      <c r="B35" s="3" t="s">
        <v>17</v>
      </c>
      <c r="C35" s="3" t="s">
        <v>6</v>
      </c>
      <c r="D35" s="3" t="s">
        <v>222</v>
      </c>
      <c r="E35" s="3">
        <v>4</v>
      </c>
      <c r="F35" s="7" t="s">
        <v>340</v>
      </c>
      <c r="G35" s="5"/>
      <c r="H35" s="5"/>
      <c r="I35" s="5"/>
      <c r="J35" s="3" t="s">
        <v>184</v>
      </c>
      <c r="K35" s="3" t="s">
        <v>184</v>
      </c>
      <c r="L35" s="5"/>
    </row>
    <row r="36" spans="1:12">
      <c r="A36" s="3" t="s">
        <v>231</v>
      </c>
      <c r="B36" s="3" t="s">
        <v>17</v>
      </c>
      <c r="C36" s="3" t="s">
        <v>6</v>
      </c>
      <c r="D36" s="3" t="s">
        <v>212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232</v>
      </c>
      <c r="B37" s="3" t="s">
        <v>17</v>
      </c>
      <c r="C37" s="3" t="s">
        <v>6</v>
      </c>
      <c r="D37" s="3" t="s">
        <v>212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233</v>
      </c>
      <c r="B38" s="3" t="s">
        <v>17</v>
      </c>
      <c r="C38" s="3" t="s">
        <v>6</v>
      </c>
      <c r="D38" s="3" t="s">
        <v>212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234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358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235</v>
      </c>
      <c r="B40" s="3" t="s">
        <v>17</v>
      </c>
      <c r="C40" s="3" t="s">
        <v>7</v>
      </c>
      <c r="D40" s="3" t="s">
        <v>236</v>
      </c>
      <c r="E40" s="3">
        <v>3</v>
      </c>
      <c r="F40" s="7" t="s">
        <v>358</v>
      </c>
      <c r="G40" s="5"/>
      <c r="H40" s="5"/>
      <c r="I40" s="5"/>
      <c r="J40" s="3" t="s">
        <v>185</v>
      </c>
      <c r="K40" s="3" t="s">
        <v>185</v>
      </c>
      <c r="L40" s="5"/>
    </row>
    <row r="41" spans="1:12" ht="17.25" customHeight="1">
      <c r="A41" s="3" t="s">
        <v>237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338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238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338</v>
      </c>
      <c r="G42" s="5"/>
      <c r="H42" s="5"/>
      <c r="I42" s="5"/>
      <c r="J42" s="3" t="s">
        <v>186</v>
      </c>
      <c r="K42" s="3" t="s">
        <v>186</v>
      </c>
      <c r="L42" s="5"/>
    </row>
    <row r="43" spans="1:12" ht="17.25" customHeight="1">
      <c r="A43" s="3" t="s">
        <v>250</v>
      </c>
      <c r="B43" s="3" t="s">
        <v>17</v>
      </c>
      <c r="C43" s="3" t="s">
        <v>25</v>
      </c>
      <c r="D43" s="3" t="s">
        <v>254</v>
      </c>
      <c r="E43" s="3">
        <v>4</v>
      </c>
      <c r="F43" s="7" t="s">
        <v>340</v>
      </c>
      <c r="G43" s="5"/>
      <c r="H43" s="5"/>
      <c r="I43" s="5"/>
      <c r="J43" s="3" t="s">
        <v>187</v>
      </c>
      <c r="K43" s="3" t="s">
        <v>187</v>
      </c>
      <c r="L43" s="5"/>
    </row>
    <row r="44" spans="1:12" ht="17.25" customHeight="1">
      <c r="A44" s="3" t="s">
        <v>251</v>
      </c>
      <c r="B44" s="3" t="s">
        <v>17</v>
      </c>
      <c r="C44" s="3" t="s">
        <v>25</v>
      </c>
      <c r="D44" s="3" t="s">
        <v>254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252</v>
      </c>
      <c r="B45" s="3" t="s">
        <v>17</v>
      </c>
      <c r="C45" s="3" t="s">
        <v>25</v>
      </c>
      <c r="D45" s="3" t="s">
        <v>254</v>
      </c>
      <c r="E45" s="3">
        <v>4</v>
      </c>
      <c r="F45" s="7" t="s">
        <v>340</v>
      </c>
      <c r="G45" s="5"/>
      <c r="H45" s="5"/>
      <c r="I45" s="5"/>
      <c r="J45" s="3" t="s">
        <v>188</v>
      </c>
      <c r="K45" s="3" t="s">
        <v>188</v>
      </c>
      <c r="L45" s="5"/>
    </row>
    <row r="46" spans="1:12" ht="17.25" customHeight="1">
      <c r="A46" s="3" t="s">
        <v>253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239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240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241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189</v>
      </c>
      <c r="K49" s="5" t="s">
        <v>189</v>
      </c>
      <c r="L49" s="5"/>
    </row>
    <row r="50" spans="1:12">
      <c r="A50" s="3" t="s">
        <v>242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190</v>
      </c>
      <c r="K50" s="5" t="s">
        <v>190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191</v>
      </c>
      <c r="K51" s="5" t="s">
        <v>191</v>
      </c>
      <c r="L51" s="5"/>
    </row>
    <row r="52" spans="1:12">
      <c r="A52" s="3" t="s">
        <v>243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192</v>
      </c>
      <c r="K52" s="5" t="s">
        <v>192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193</v>
      </c>
      <c r="K53" s="5" t="s">
        <v>193</v>
      </c>
      <c r="L53" s="5"/>
    </row>
    <row r="54" spans="1:12">
      <c r="A54" s="3" t="s">
        <v>244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194</v>
      </c>
      <c r="K54" s="5" t="s">
        <v>194</v>
      </c>
      <c r="L54" s="5"/>
    </row>
    <row r="55" spans="1:12">
      <c r="A55" s="3" t="s">
        <v>245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196</v>
      </c>
      <c r="K55" s="5" t="s">
        <v>196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212</v>
      </c>
      <c r="E56" s="3">
        <v>4</v>
      </c>
      <c r="F56" s="7" t="s">
        <v>340</v>
      </c>
      <c r="G56" s="5"/>
      <c r="H56" s="5"/>
      <c r="I56" s="5"/>
      <c r="J56" s="5" t="s">
        <v>195</v>
      </c>
      <c r="K56" s="5" t="s">
        <v>195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212</v>
      </c>
      <c r="E57" s="3">
        <v>4</v>
      </c>
      <c r="F57" s="7" t="s">
        <v>340</v>
      </c>
      <c r="G57" s="5"/>
      <c r="H57" s="5"/>
      <c r="I57" s="5"/>
      <c r="J57" s="5" t="s">
        <v>197</v>
      </c>
      <c r="K57" s="5" t="s">
        <v>197</v>
      </c>
      <c r="L57" s="5"/>
    </row>
    <row r="58" spans="1:12">
      <c r="A58" s="3" t="s">
        <v>246</v>
      </c>
      <c r="B58" s="3" t="s">
        <v>17</v>
      </c>
      <c r="C58" s="3" t="s">
        <v>25</v>
      </c>
      <c r="D58" s="3" t="s">
        <v>212</v>
      </c>
      <c r="E58" s="3">
        <v>4</v>
      </c>
      <c r="F58" s="7" t="s">
        <v>340</v>
      </c>
      <c r="G58" s="5"/>
      <c r="H58" s="5"/>
      <c r="I58" s="5"/>
      <c r="J58" s="5" t="s">
        <v>198</v>
      </c>
      <c r="K58" s="5" t="s">
        <v>198</v>
      </c>
      <c r="L58" s="5"/>
    </row>
    <row r="59" spans="1:12">
      <c r="A59" s="3" t="s">
        <v>247</v>
      </c>
      <c r="B59" s="3" t="s">
        <v>17</v>
      </c>
      <c r="C59" s="3" t="s">
        <v>25</v>
      </c>
      <c r="D59" s="3" t="s">
        <v>212</v>
      </c>
      <c r="E59" s="3">
        <v>4</v>
      </c>
      <c r="F59" s="7" t="s">
        <v>340</v>
      </c>
      <c r="G59" s="5"/>
      <c r="H59" s="5"/>
      <c r="I59" s="5"/>
      <c r="J59" s="5" t="s">
        <v>199</v>
      </c>
      <c r="K59" s="5" t="s">
        <v>199</v>
      </c>
      <c r="L59" s="5"/>
    </row>
    <row r="60" spans="1:12">
      <c r="A60" s="3" t="s">
        <v>248</v>
      </c>
      <c r="B60" s="3" t="s">
        <v>17</v>
      </c>
      <c r="C60" s="3" t="s">
        <v>25</v>
      </c>
      <c r="D60" s="3" t="s">
        <v>212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249</v>
      </c>
      <c r="B61" s="3" t="s">
        <v>17</v>
      </c>
      <c r="C61" s="3" t="s">
        <v>25</v>
      </c>
      <c r="D61" s="3" t="s">
        <v>212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255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338</v>
      </c>
      <c r="G62" s="5"/>
      <c r="H62" s="5"/>
      <c r="I62" s="5"/>
      <c r="L62" s="5"/>
    </row>
    <row r="63" spans="1:12">
      <c r="A63" s="3" t="s">
        <v>256</v>
      </c>
      <c r="B63" s="3" t="s">
        <v>17</v>
      </c>
      <c r="C63" s="3" t="s">
        <v>26</v>
      </c>
      <c r="D63" s="3" t="s">
        <v>236</v>
      </c>
      <c r="E63" s="3">
        <v>4</v>
      </c>
      <c r="F63" s="7" t="s">
        <v>338</v>
      </c>
      <c r="G63" s="5"/>
      <c r="H63" s="5"/>
      <c r="I63" s="5"/>
      <c r="J63" s="3"/>
      <c r="K63" s="3"/>
      <c r="L63" s="5"/>
    </row>
    <row r="64" spans="1:12">
      <c r="A64" s="3" t="s">
        <v>257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338</v>
      </c>
      <c r="G64" s="5"/>
      <c r="H64" s="5"/>
      <c r="I64" s="5"/>
      <c r="L64" s="5"/>
    </row>
    <row r="65" spans="1:12">
      <c r="A65" s="3" t="s">
        <v>258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338</v>
      </c>
      <c r="G65" s="5"/>
      <c r="H65" s="5"/>
      <c r="I65" s="5"/>
      <c r="J65" s="3"/>
      <c r="K65" s="3"/>
      <c r="L65" s="5"/>
    </row>
    <row r="66" spans="1:12">
      <c r="A66" s="3" t="s">
        <v>259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260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261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262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263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264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265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266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267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268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269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270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271</v>
      </c>
      <c r="B78" s="3" t="s">
        <v>17</v>
      </c>
      <c r="C78" s="3" t="s">
        <v>26</v>
      </c>
      <c r="D78" s="3" t="s">
        <v>274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272</v>
      </c>
      <c r="B79" s="3" t="s">
        <v>17</v>
      </c>
      <c r="C79" s="3" t="s">
        <v>26</v>
      </c>
      <c r="D79" s="3" t="s">
        <v>212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273</v>
      </c>
      <c r="B80" s="3" t="s">
        <v>17</v>
      </c>
      <c r="C80" s="3" t="s">
        <v>26</v>
      </c>
      <c r="D80" s="3" t="s">
        <v>212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275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345</v>
      </c>
      <c r="G81" s="5"/>
      <c r="H81" s="5"/>
      <c r="I81" s="5"/>
      <c r="L81" s="5"/>
    </row>
    <row r="82" spans="1:12">
      <c r="A82" s="3" t="s">
        <v>276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345</v>
      </c>
      <c r="G82" s="5"/>
      <c r="H82" s="5"/>
      <c r="I82" s="5"/>
      <c r="L82" s="5"/>
    </row>
    <row r="83" spans="1:12">
      <c r="A83" s="3" t="s">
        <v>277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345</v>
      </c>
      <c r="G83" s="5"/>
      <c r="H83" s="5"/>
      <c r="I83" s="5"/>
      <c r="L83" s="5"/>
    </row>
    <row r="84" spans="1:12">
      <c r="A84" s="3" t="s">
        <v>278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345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347</v>
      </c>
      <c r="G85" s="5"/>
      <c r="H85" s="5"/>
      <c r="I85" s="5"/>
      <c r="J85" s="5"/>
      <c r="K85" s="5"/>
      <c r="L85" s="5"/>
    </row>
    <row r="86" spans="1:12">
      <c r="A86" s="3" t="s">
        <v>279</v>
      </c>
      <c r="B86" s="3" t="s">
        <v>17</v>
      </c>
      <c r="C86" s="3" t="s">
        <v>8</v>
      </c>
      <c r="D86" s="3" t="s">
        <v>212</v>
      </c>
      <c r="E86" s="3">
        <v>3</v>
      </c>
      <c r="F86" s="7" t="s">
        <v>345</v>
      </c>
      <c r="G86" s="5"/>
      <c r="H86" s="5"/>
      <c r="I86" s="5"/>
      <c r="J86" s="5"/>
      <c r="K86" s="5"/>
      <c r="L86" s="5"/>
    </row>
    <row r="87" spans="1:12">
      <c r="A87" s="3" t="s">
        <v>280</v>
      </c>
      <c r="B87" s="3" t="s">
        <v>17</v>
      </c>
      <c r="C87" s="3" t="s">
        <v>8</v>
      </c>
      <c r="D87" s="3" t="s">
        <v>212</v>
      </c>
      <c r="E87" s="3">
        <v>2</v>
      </c>
      <c r="F87" s="7" t="s">
        <v>347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345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345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345</v>
      </c>
      <c r="G90" s="5"/>
      <c r="H90" s="5"/>
      <c r="I90" s="5"/>
      <c r="J90" s="5"/>
      <c r="K90" s="5"/>
      <c r="L90" s="5"/>
    </row>
    <row r="91" spans="1:12">
      <c r="A91" s="3" t="s">
        <v>281</v>
      </c>
      <c r="B91" s="3" t="s">
        <v>17</v>
      </c>
      <c r="C91" s="3" t="s">
        <v>28</v>
      </c>
      <c r="D91" s="3" t="s">
        <v>222</v>
      </c>
      <c r="E91" s="3">
        <v>3</v>
      </c>
      <c r="F91" s="7" t="s">
        <v>345</v>
      </c>
      <c r="G91" s="5"/>
      <c r="H91" s="5"/>
      <c r="I91" s="5"/>
      <c r="J91" s="5"/>
      <c r="K91" s="5"/>
      <c r="L91" s="5"/>
    </row>
    <row r="92" spans="1:12">
      <c r="A92" s="3" t="s">
        <v>282</v>
      </c>
      <c r="B92" s="3" t="s">
        <v>17</v>
      </c>
      <c r="C92" s="3" t="s">
        <v>28</v>
      </c>
      <c r="D92" s="3" t="s">
        <v>222</v>
      </c>
      <c r="E92" s="3">
        <v>3</v>
      </c>
      <c r="F92" s="7" t="s">
        <v>345</v>
      </c>
      <c r="G92" s="5"/>
      <c r="H92" s="5"/>
      <c r="I92" s="5"/>
      <c r="J92" s="5"/>
      <c r="K92" s="5"/>
      <c r="L92" s="5"/>
    </row>
    <row r="93" spans="1:12">
      <c r="A93" s="3" t="s">
        <v>283</v>
      </c>
      <c r="B93" s="3" t="s">
        <v>17</v>
      </c>
      <c r="C93" s="3" t="s">
        <v>28</v>
      </c>
      <c r="D93" s="3" t="s">
        <v>222</v>
      </c>
      <c r="E93" s="3">
        <v>3</v>
      </c>
      <c r="F93" s="7" t="s">
        <v>345</v>
      </c>
      <c r="G93" s="5"/>
      <c r="H93" s="5"/>
      <c r="I93" s="5"/>
      <c r="J93" s="5"/>
      <c r="K93" s="5"/>
      <c r="L93" s="5"/>
    </row>
    <row r="94" spans="1:12">
      <c r="A94" s="3" t="s">
        <v>284</v>
      </c>
      <c r="B94" s="3" t="s">
        <v>17</v>
      </c>
      <c r="C94" s="3" t="s">
        <v>28</v>
      </c>
      <c r="D94" s="3" t="s">
        <v>222</v>
      </c>
      <c r="E94" s="3">
        <v>3</v>
      </c>
      <c r="F94" s="7" t="s">
        <v>345</v>
      </c>
      <c r="G94" s="5"/>
      <c r="H94" s="5"/>
      <c r="I94" s="5"/>
      <c r="J94" s="5"/>
      <c r="K94" s="5"/>
      <c r="L94" s="5"/>
    </row>
    <row r="95" spans="1:12">
      <c r="A95" s="3" t="s">
        <v>285</v>
      </c>
      <c r="B95" s="3" t="s">
        <v>17</v>
      </c>
      <c r="C95" s="3" t="s">
        <v>28</v>
      </c>
      <c r="D95" s="3" t="s">
        <v>212</v>
      </c>
      <c r="E95" s="3">
        <v>3</v>
      </c>
      <c r="F95" s="7" t="s">
        <v>345</v>
      </c>
      <c r="G95" s="5"/>
      <c r="H95" s="5"/>
      <c r="I95" s="5"/>
      <c r="J95" s="5"/>
      <c r="K95" s="5"/>
      <c r="L95" s="5"/>
    </row>
    <row r="96" spans="1:12">
      <c r="A96" s="3" t="s">
        <v>286</v>
      </c>
      <c r="B96" s="3" t="s">
        <v>17</v>
      </c>
      <c r="C96" s="3" t="s">
        <v>28</v>
      </c>
      <c r="D96" s="3" t="s">
        <v>212</v>
      </c>
      <c r="E96" s="3">
        <v>3</v>
      </c>
      <c r="F96" s="7" t="s">
        <v>345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287</v>
      </c>
      <c r="B99" s="3" t="s">
        <v>17</v>
      </c>
      <c r="C99" s="3" t="s">
        <v>10</v>
      </c>
      <c r="D99" s="3" t="s">
        <v>222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288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289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290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291</v>
      </c>
      <c r="B103" s="3" t="s">
        <v>17</v>
      </c>
      <c r="C103" s="3" t="s">
        <v>10</v>
      </c>
      <c r="D103" s="3" t="s">
        <v>212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292</v>
      </c>
      <c r="B104" s="3" t="s">
        <v>17</v>
      </c>
      <c r="C104" s="3" t="s">
        <v>10</v>
      </c>
      <c r="D104" s="3" t="s">
        <v>212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293</v>
      </c>
      <c r="B105" s="3" t="s">
        <v>17</v>
      </c>
      <c r="C105" s="3" t="s">
        <v>10</v>
      </c>
      <c r="D105" s="3" t="s">
        <v>212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294</v>
      </c>
      <c r="B106" s="3" t="s">
        <v>17</v>
      </c>
      <c r="C106" s="3" t="s">
        <v>10</v>
      </c>
      <c r="D106" s="3" t="s">
        <v>212</v>
      </c>
      <c r="E106" s="3">
        <v>2</v>
      </c>
      <c r="F106" s="7" t="s">
        <v>347</v>
      </c>
      <c r="G106" s="5"/>
      <c r="H106" s="5"/>
      <c r="I106" s="5"/>
      <c r="J106" s="5"/>
      <c r="K106" s="5"/>
      <c r="L106" s="5"/>
    </row>
    <row r="107" spans="1:12">
      <c r="A107" s="3" t="s">
        <v>295</v>
      </c>
      <c r="B107" s="3" t="s">
        <v>17</v>
      </c>
      <c r="C107" s="3" t="s">
        <v>10</v>
      </c>
      <c r="D107" s="3" t="s">
        <v>212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296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297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298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299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300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301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302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303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304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305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306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307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308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309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310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311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312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313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315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314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316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317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318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322</v>
      </c>
      <c r="B131" s="3" t="s">
        <v>17</v>
      </c>
      <c r="C131" s="3" t="s">
        <v>30</v>
      </c>
      <c r="D131" s="3" t="s">
        <v>212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323</v>
      </c>
      <c r="B132" s="3" t="s">
        <v>17</v>
      </c>
      <c r="C132" s="3" t="s">
        <v>30</v>
      </c>
      <c r="D132" s="3" t="s">
        <v>212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324</v>
      </c>
      <c r="B133" s="3" t="s">
        <v>17</v>
      </c>
      <c r="C133" s="3" t="s">
        <v>30</v>
      </c>
      <c r="D133" s="3" t="s">
        <v>212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325</v>
      </c>
      <c r="B134" s="3" t="s">
        <v>17</v>
      </c>
      <c r="C134" s="3" t="s">
        <v>30</v>
      </c>
      <c r="D134" s="3" t="s">
        <v>212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326</v>
      </c>
      <c r="B135" s="3" t="s">
        <v>17</v>
      </c>
      <c r="C135" s="3" t="s">
        <v>30</v>
      </c>
      <c r="D135" s="3" t="s">
        <v>212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327</v>
      </c>
      <c r="B136" s="3" t="s">
        <v>17</v>
      </c>
      <c r="C136" s="3" t="s">
        <v>30</v>
      </c>
      <c r="D136" s="3" t="s">
        <v>212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328</v>
      </c>
      <c r="B137" s="3" t="s">
        <v>17</v>
      </c>
      <c r="C137" s="3" t="s">
        <v>30</v>
      </c>
      <c r="D137" s="3" t="s">
        <v>212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329</v>
      </c>
      <c r="B138" s="3" t="s">
        <v>17</v>
      </c>
      <c r="C138" s="3" t="s">
        <v>30</v>
      </c>
      <c r="D138" s="3" t="s">
        <v>212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320</v>
      </c>
      <c r="B139" s="3" t="s">
        <v>17</v>
      </c>
      <c r="C139" s="3" t="s">
        <v>320</v>
      </c>
      <c r="D139" s="3" t="s">
        <v>254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319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345</v>
      </c>
      <c r="G141" s="5"/>
      <c r="H141" s="5"/>
      <c r="I141" s="5"/>
      <c r="J141" s="5"/>
      <c r="K141" s="5"/>
      <c r="L141" s="5"/>
    </row>
    <row r="142" spans="1:12">
      <c r="A142" s="3" t="s">
        <v>330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345</v>
      </c>
      <c r="G142" s="5"/>
      <c r="H142" s="5"/>
      <c r="I142" s="5"/>
      <c r="J142" s="5"/>
      <c r="K142" s="5"/>
      <c r="L142" s="5"/>
    </row>
    <row r="143" spans="1:12">
      <c r="A143" s="3" t="s">
        <v>331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345</v>
      </c>
      <c r="G143" s="5"/>
      <c r="H143" s="5"/>
      <c r="I143" s="5"/>
      <c r="J143" s="5"/>
      <c r="K143" s="5"/>
      <c r="L143" s="5"/>
    </row>
    <row r="144" spans="1:12">
      <c r="A144" s="3" t="s">
        <v>332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345</v>
      </c>
      <c r="G144" s="5"/>
      <c r="H144" s="5"/>
      <c r="I144" s="5"/>
      <c r="J144" s="5"/>
      <c r="K144" s="5"/>
      <c r="L144" s="5"/>
    </row>
    <row r="145" spans="1:12">
      <c r="A145" s="3" t="s">
        <v>333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345</v>
      </c>
      <c r="G145" s="5"/>
      <c r="H145" s="5"/>
      <c r="I145" s="5"/>
      <c r="J145" s="5"/>
      <c r="K145" s="5"/>
      <c r="L145" s="5"/>
    </row>
    <row r="146" spans="1:12">
      <c r="A146" s="3" t="s">
        <v>334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345</v>
      </c>
      <c r="G146" s="5"/>
      <c r="H146" s="5"/>
      <c r="I146" s="5"/>
      <c r="J146" s="5"/>
      <c r="K146" s="5"/>
      <c r="L146" s="5"/>
    </row>
    <row r="147" spans="1:12">
      <c r="A147" s="3" t="s">
        <v>335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345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345</v>
      </c>
      <c r="G148" s="5"/>
      <c r="H148" s="5"/>
      <c r="I148" s="5"/>
      <c r="J148" s="5"/>
      <c r="K148" s="5"/>
      <c r="L148" s="5"/>
    </row>
    <row r="149" spans="1:12">
      <c r="A149" s="3" t="s">
        <v>336</v>
      </c>
      <c r="B149" s="3" t="s">
        <v>17</v>
      </c>
      <c r="C149" s="3" t="s">
        <v>32</v>
      </c>
      <c r="D149" s="3" t="s">
        <v>274</v>
      </c>
      <c r="E149" s="3">
        <v>3</v>
      </c>
      <c r="F149" s="7" t="s">
        <v>345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212</v>
      </c>
      <c r="E150" s="3">
        <v>3</v>
      </c>
      <c r="F150" s="7" t="s">
        <v>345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65" customWidth="1"/>
    <col min="2" max="2" width="7.5" style="65" customWidth="1"/>
    <col min="3" max="3" width="0.8984375" style="65" customWidth="1"/>
    <col min="4" max="4" width="4" style="65" customWidth="1"/>
    <col min="5" max="5" width="5.8984375" style="65" customWidth="1"/>
    <col min="6" max="6" width="5.59765625" style="65" customWidth="1"/>
    <col min="7" max="7" width="11.19921875" style="65" customWidth="1"/>
    <col min="8" max="8" width="9.09765625" style="65" customWidth="1"/>
    <col min="9" max="9" width="12.69921875" style="65" customWidth="1"/>
    <col min="10" max="10" width="1.3984375" style="65" customWidth="1"/>
    <col min="11" max="11" width="1" style="65" customWidth="1"/>
    <col min="12" max="12" width="10.69921875" style="65" customWidth="1"/>
    <col min="13" max="13" width="10.09765625" style="65" customWidth="1"/>
    <col min="14" max="14" width="16.59765625" style="65" customWidth="1"/>
    <col min="15" max="15" width="8.3984375" style="65" customWidth="1"/>
    <col min="16" max="16" width="9.5" style="65" customWidth="1"/>
    <col min="17" max="17" width="1.19921875" style="65" customWidth="1"/>
    <col min="18" max="18" width="0.5" style="65" customWidth="1"/>
    <col min="19" max="26" width="0" style="65" hidden="1" customWidth="1"/>
    <col min="27" max="16384" width="11" style="65" hidden="1"/>
  </cols>
  <sheetData>
    <row r="1" spans="2:26" ht="15.6"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2:26" ht="36.6" thickBot="1">
      <c r="B2" s="562" t="s">
        <v>362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  <c r="R2" s="64"/>
      <c r="S2" s="64"/>
      <c r="T2" s="64"/>
      <c r="U2" s="64"/>
      <c r="V2" s="64"/>
      <c r="W2" s="64"/>
      <c r="X2" s="64"/>
      <c r="Y2" s="64"/>
      <c r="Z2" s="64"/>
    </row>
    <row r="3" spans="2:26" ht="24" customHeight="1" thickBot="1">
      <c r="B3" s="66" t="s">
        <v>363</v>
      </c>
      <c r="C3" s="564" t="s">
        <v>364</v>
      </c>
      <c r="D3" s="565"/>
      <c r="E3" s="565"/>
      <c r="F3" s="565"/>
      <c r="G3" s="565"/>
      <c r="H3" s="565"/>
      <c r="I3" s="565"/>
      <c r="J3" s="566"/>
      <c r="K3" s="567" t="s">
        <v>365</v>
      </c>
      <c r="L3" s="568"/>
      <c r="M3" s="568"/>
      <c r="N3" s="568"/>
      <c r="O3" s="568"/>
      <c r="P3" s="568"/>
      <c r="Q3" s="569"/>
      <c r="R3" s="64"/>
      <c r="S3" s="64"/>
      <c r="T3" s="64"/>
      <c r="U3" s="64"/>
      <c r="V3" s="64"/>
      <c r="W3" s="64"/>
      <c r="X3" s="64"/>
      <c r="Y3" s="64"/>
      <c r="Z3" s="64"/>
    </row>
    <row r="4" spans="2:26" ht="15.6">
      <c r="B4" s="527" t="s">
        <v>366</v>
      </c>
      <c r="C4" s="67" t="s">
        <v>367</v>
      </c>
      <c r="D4" s="68"/>
      <c r="E4" s="68"/>
      <c r="F4" s="68"/>
      <c r="G4" s="68"/>
      <c r="H4" s="68"/>
      <c r="I4" s="68"/>
      <c r="J4" s="69"/>
      <c r="K4" s="70" t="s">
        <v>367</v>
      </c>
      <c r="L4" s="68"/>
      <c r="M4" s="68"/>
      <c r="N4" s="68"/>
      <c r="O4" s="68"/>
      <c r="P4" s="68"/>
      <c r="Q4" s="69"/>
      <c r="R4" s="64"/>
      <c r="S4" s="64"/>
      <c r="T4" s="64"/>
      <c r="U4" s="64"/>
      <c r="V4" s="64"/>
      <c r="W4" s="64"/>
      <c r="X4" s="64"/>
      <c r="Y4" s="64"/>
      <c r="Z4" s="64"/>
    </row>
    <row r="5" spans="2:26" ht="18.75" customHeight="1">
      <c r="B5" s="514"/>
      <c r="C5" s="71"/>
      <c r="D5" s="533" t="s">
        <v>368</v>
      </c>
      <c r="E5" s="522"/>
      <c r="F5" s="522"/>
      <c r="G5" s="521"/>
      <c r="H5" s="537" t="s">
        <v>369</v>
      </c>
      <c r="I5" s="522"/>
      <c r="J5" s="72"/>
      <c r="K5" s="73"/>
      <c r="L5" s="533" t="s">
        <v>368</v>
      </c>
      <c r="M5" s="522"/>
      <c r="N5" s="521"/>
      <c r="O5" s="537" t="s">
        <v>370</v>
      </c>
      <c r="P5" s="522"/>
      <c r="Q5" s="72"/>
      <c r="R5" s="64"/>
      <c r="S5" s="64"/>
      <c r="T5" s="64"/>
      <c r="U5" s="64"/>
      <c r="V5" s="64"/>
      <c r="W5" s="64"/>
      <c r="X5" s="64"/>
      <c r="Y5" s="64"/>
      <c r="Z5" s="64"/>
    </row>
    <row r="6" spans="2:26" ht="18.75" customHeight="1">
      <c r="B6" s="514"/>
      <c r="C6" s="71"/>
      <c r="D6" s="533" t="s">
        <v>371</v>
      </c>
      <c r="E6" s="522"/>
      <c r="F6" s="522"/>
      <c r="G6" s="521"/>
      <c r="H6" s="537" t="s">
        <v>372</v>
      </c>
      <c r="I6" s="522"/>
      <c r="J6" s="72"/>
      <c r="K6" s="73"/>
      <c r="L6" s="533" t="s">
        <v>371</v>
      </c>
      <c r="M6" s="522"/>
      <c r="N6" s="521"/>
      <c r="O6" s="537" t="s">
        <v>373</v>
      </c>
      <c r="P6" s="522"/>
      <c r="Q6" s="72"/>
      <c r="R6" s="64"/>
      <c r="S6" s="64"/>
      <c r="T6" s="64"/>
      <c r="U6" s="64"/>
      <c r="V6" s="64"/>
      <c r="W6" s="64"/>
      <c r="X6" s="64"/>
      <c r="Y6" s="64"/>
      <c r="Z6" s="64"/>
    </row>
    <row r="7" spans="2:26" ht="18.75" customHeight="1">
      <c r="B7" s="514"/>
      <c r="C7" s="71"/>
      <c r="D7" s="533" t="s">
        <v>374</v>
      </c>
      <c r="E7" s="522"/>
      <c r="F7" s="522"/>
      <c r="G7" s="521"/>
      <c r="H7" s="537" t="s">
        <v>375</v>
      </c>
      <c r="I7" s="522"/>
      <c r="J7" s="72"/>
      <c r="K7" s="73"/>
      <c r="L7" s="533" t="s">
        <v>374</v>
      </c>
      <c r="M7" s="522"/>
      <c r="N7" s="521"/>
      <c r="O7" s="537" t="s">
        <v>376</v>
      </c>
      <c r="P7" s="522"/>
      <c r="Q7" s="72"/>
      <c r="R7" s="64"/>
      <c r="S7" s="64"/>
      <c r="T7" s="64"/>
      <c r="U7" s="64"/>
      <c r="V7" s="64"/>
      <c r="W7" s="64"/>
      <c r="X7" s="64"/>
      <c r="Y7" s="64"/>
      <c r="Z7" s="64"/>
    </row>
    <row r="8" spans="2:26" ht="18.75" customHeight="1">
      <c r="B8" s="514"/>
      <c r="C8" s="71"/>
      <c r="D8" s="533" t="s">
        <v>377</v>
      </c>
      <c r="E8" s="522"/>
      <c r="F8" s="522"/>
      <c r="G8" s="521"/>
      <c r="H8" s="537" t="s">
        <v>378</v>
      </c>
      <c r="I8" s="522"/>
      <c r="J8" s="72"/>
      <c r="K8" s="73"/>
      <c r="L8" s="533" t="s">
        <v>377</v>
      </c>
      <c r="M8" s="522"/>
      <c r="N8" s="521"/>
      <c r="O8" s="537" t="s">
        <v>378</v>
      </c>
      <c r="P8" s="522"/>
      <c r="Q8" s="72"/>
      <c r="R8" s="64"/>
      <c r="S8" s="64"/>
      <c r="T8" s="64"/>
      <c r="U8" s="64"/>
      <c r="V8" s="64"/>
      <c r="W8" s="64"/>
      <c r="X8" s="64"/>
      <c r="Y8" s="64"/>
      <c r="Z8" s="64"/>
    </row>
    <row r="9" spans="2:26" ht="8.25" customHeight="1" thickBot="1">
      <c r="B9" s="515"/>
      <c r="C9" s="74"/>
      <c r="D9" s="75"/>
      <c r="E9" s="75"/>
      <c r="F9" s="75"/>
      <c r="G9" s="75"/>
      <c r="H9" s="75"/>
      <c r="I9" s="75"/>
      <c r="J9" s="76"/>
      <c r="K9" s="77"/>
      <c r="L9" s="75"/>
      <c r="M9" s="75"/>
      <c r="N9" s="75"/>
      <c r="O9" s="75"/>
      <c r="P9" s="75"/>
      <c r="Q9" s="76"/>
      <c r="R9" s="64"/>
      <c r="S9" s="64"/>
      <c r="T9" s="64"/>
      <c r="U9" s="64"/>
      <c r="V9" s="64"/>
      <c r="W9" s="64"/>
      <c r="X9" s="64"/>
      <c r="Y9" s="64"/>
      <c r="Z9" s="64"/>
    </row>
    <row r="10" spans="2:26" ht="6.75" customHeight="1">
      <c r="B10" s="527" t="s">
        <v>379</v>
      </c>
      <c r="C10" s="67"/>
      <c r="D10" s="68"/>
      <c r="E10" s="68"/>
      <c r="F10" s="68"/>
      <c r="G10" s="68"/>
      <c r="H10" s="68"/>
      <c r="I10" s="68"/>
      <c r="J10" s="69"/>
      <c r="K10" s="70"/>
      <c r="L10" s="68"/>
      <c r="M10" s="68"/>
      <c r="N10" s="68"/>
      <c r="O10" s="68"/>
      <c r="P10" s="68"/>
      <c r="Q10" s="69"/>
      <c r="R10" s="64"/>
      <c r="S10" s="64"/>
      <c r="T10" s="64"/>
      <c r="U10" s="64"/>
      <c r="V10" s="64"/>
      <c r="W10" s="64"/>
      <c r="X10" s="64"/>
      <c r="Y10" s="64"/>
      <c r="Z10" s="64"/>
    </row>
    <row r="11" spans="2:26" ht="16.5" customHeight="1">
      <c r="B11" s="514"/>
      <c r="C11" s="71"/>
      <c r="D11" s="533" t="s">
        <v>321</v>
      </c>
      <c r="E11" s="522"/>
      <c r="F11" s="522"/>
      <c r="G11" s="537" t="s">
        <v>380</v>
      </c>
      <c r="H11" s="522"/>
      <c r="I11" s="522"/>
      <c r="J11" s="72"/>
      <c r="K11" s="73"/>
      <c r="L11" s="558" t="s">
        <v>321</v>
      </c>
      <c r="M11" s="559"/>
      <c r="N11" s="560" t="s">
        <v>381</v>
      </c>
      <c r="O11" s="561"/>
      <c r="P11" s="561"/>
      <c r="Q11" s="72"/>
      <c r="R11" s="64"/>
      <c r="S11" s="64"/>
      <c r="T11" s="64"/>
      <c r="U11" s="64"/>
      <c r="V11" s="64"/>
      <c r="W11" s="64"/>
      <c r="X11" s="64"/>
      <c r="Y11" s="64"/>
      <c r="Z11" s="64"/>
    </row>
    <row r="12" spans="2:26" ht="16.5" customHeight="1">
      <c r="B12" s="514"/>
      <c r="C12" s="71"/>
      <c r="D12" s="533" t="s">
        <v>382</v>
      </c>
      <c r="E12" s="522"/>
      <c r="F12" s="522"/>
      <c r="G12" s="537" t="s">
        <v>383</v>
      </c>
      <c r="H12" s="522"/>
      <c r="I12" s="522"/>
      <c r="J12" s="72"/>
      <c r="K12" s="73"/>
      <c r="L12" s="542"/>
      <c r="M12" s="519"/>
      <c r="N12" s="536"/>
      <c r="O12" s="542"/>
      <c r="P12" s="542"/>
      <c r="Q12" s="72"/>
      <c r="R12" s="64"/>
      <c r="S12" s="64"/>
      <c r="T12" s="64"/>
      <c r="U12" s="64"/>
      <c r="V12" s="64"/>
      <c r="W12" s="64"/>
      <c r="X12" s="64"/>
      <c r="Y12" s="64"/>
      <c r="Z12" s="64"/>
    </row>
    <row r="13" spans="2:26" ht="16.5" customHeight="1">
      <c r="B13" s="514"/>
      <c r="C13" s="71"/>
      <c r="D13" s="533" t="s">
        <v>384</v>
      </c>
      <c r="E13" s="522"/>
      <c r="F13" s="522"/>
      <c r="G13" s="537" t="s">
        <v>385</v>
      </c>
      <c r="H13" s="522"/>
      <c r="I13" s="522"/>
      <c r="J13" s="72"/>
      <c r="K13" s="73"/>
      <c r="L13" s="533" t="s">
        <v>386</v>
      </c>
      <c r="M13" s="521"/>
      <c r="N13" s="537" t="s">
        <v>385</v>
      </c>
      <c r="O13" s="522"/>
      <c r="P13" s="522"/>
      <c r="Q13" s="72"/>
      <c r="R13" s="64"/>
      <c r="S13" s="64"/>
      <c r="T13" s="64"/>
      <c r="U13" s="64"/>
      <c r="V13" s="64"/>
      <c r="W13" s="64"/>
      <c r="X13" s="64"/>
      <c r="Y13" s="64"/>
      <c r="Z13" s="64"/>
    </row>
    <row r="14" spans="2:26" ht="6.75" customHeight="1" thickBot="1">
      <c r="B14" s="515"/>
      <c r="C14" s="74"/>
      <c r="D14" s="75"/>
      <c r="E14" s="75"/>
      <c r="F14" s="75"/>
      <c r="G14" s="75"/>
      <c r="H14" s="75"/>
      <c r="I14" s="75"/>
      <c r="J14" s="76"/>
      <c r="K14" s="77"/>
      <c r="L14" s="75"/>
      <c r="M14" s="75"/>
      <c r="N14" s="75"/>
      <c r="O14" s="75"/>
      <c r="P14" s="75"/>
      <c r="Q14" s="76"/>
      <c r="R14" s="64"/>
      <c r="S14" s="64"/>
      <c r="T14" s="64"/>
      <c r="U14" s="64"/>
      <c r="V14" s="64"/>
      <c r="W14" s="64"/>
      <c r="X14" s="64"/>
      <c r="Y14" s="64"/>
      <c r="Z14" s="64"/>
    </row>
    <row r="15" spans="2:26" ht="6.75" customHeight="1">
      <c r="B15" s="527" t="s">
        <v>387</v>
      </c>
      <c r="C15" s="67"/>
      <c r="D15" s="68"/>
      <c r="E15" s="68"/>
      <c r="F15" s="68"/>
      <c r="G15" s="68"/>
      <c r="H15" s="68"/>
      <c r="I15" s="68"/>
      <c r="J15" s="69"/>
      <c r="K15" s="70"/>
      <c r="L15" s="68"/>
      <c r="M15" s="68"/>
      <c r="N15" s="68"/>
      <c r="O15" s="68"/>
      <c r="P15" s="68"/>
      <c r="Q15" s="69"/>
      <c r="R15" s="64"/>
      <c r="S15" s="64"/>
      <c r="T15" s="64"/>
      <c r="U15" s="64"/>
      <c r="V15" s="64"/>
      <c r="W15" s="64"/>
      <c r="X15" s="64"/>
      <c r="Y15" s="64"/>
      <c r="Z15" s="64"/>
    </row>
    <row r="16" spans="2:26" ht="20.25" customHeight="1">
      <c r="B16" s="514"/>
      <c r="C16" s="71"/>
      <c r="D16" s="533" t="s">
        <v>388</v>
      </c>
      <c r="E16" s="522"/>
      <c r="F16" s="522"/>
      <c r="G16" s="521"/>
      <c r="H16" s="537">
        <v>1</v>
      </c>
      <c r="I16" s="522"/>
      <c r="J16" s="72"/>
      <c r="K16" s="73"/>
      <c r="L16" s="533" t="s">
        <v>388</v>
      </c>
      <c r="M16" s="522"/>
      <c r="N16" s="521"/>
      <c r="O16" s="537" t="s">
        <v>389</v>
      </c>
      <c r="P16" s="522"/>
      <c r="Q16" s="72"/>
      <c r="R16" s="64"/>
      <c r="S16" s="64"/>
      <c r="T16" s="64"/>
      <c r="U16" s="64"/>
      <c r="V16" s="64"/>
      <c r="W16" s="64"/>
      <c r="X16" s="64"/>
      <c r="Y16" s="64"/>
      <c r="Z16" s="64"/>
    </row>
    <row r="17" spans="2:26" ht="20.25" customHeight="1">
      <c r="B17" s="514"/>
      <c r="C17" s="71"/>
      <c r="D17" s="533" t="s">
        <v>390</v>
      </c>
      <c r="E17" s="522"/>
      <c r="F17" s="522"/>
      <c r="G17" s="521"/>
      <c r="H17" s="537">
        <v>179</v>
      </c>
      <c r="I17" s="522"/>
      <c r="J17" s="72"/>
      <c r="K17" s="73"/>
      <c r="L17" s="533" t="s">
        <v>391</v>
      </c>
      <c r="M17" s="522"/>
      <c r="N17" s="521"/>
      <c r="O17" s="537" t="s">
        <v>392</v>
      </c>
      <c r="P17" s="522"/>
      <c r="Q17" s="72"/>
      <c r="R17" s="64"/>
      <c r="S17" s="64"/>
      <c r="T17" s="64"/>
      <c r="U17" s="64"/>
      <c r="V17" s="64"/>
      <c r="W17" s="64"/>
      <c r="X17" s="64"/>
      <c r="Y17" s="64"/>
      <c r="Z17" s="64"/>
    </row>
    <row r="18" spans="2:26" ht="20.25" customHeight="1">
      <c r="B18" s="514"/>
      <c r="C18" s="71"/>
      <c r="D18" s="533" t="s">
        <v>393</v>
      </c>
      <c r="E18" s="522"/>
      <c r="F18" s="522"/>
      <c r="G18" s="521"/>
      <c r="H18" s="537">
        <v>368</v>
      </c>
      <c r="I18" s="522"/>
      <c r="J18" s="72"/>
      <c r="K18" s="73"/>
      <c r="L18" s="533" t="s">
        <v>394</v>
      </c>
      <c r="M18" s="522"/>
      <c r="N18" s="521"/>
      <c r="O18" s="537" t="s">
        <v>395</v>
      </c>
      <c r="P18" s="522"/>
      <c r="Q18" s="72"/>
      <c r="R18" s="64"/>
      <c r="S18" s="64"/>
      <c r="T18" s="64"/>
      <c r="U18" s="64"/>
      <c r="V18" s="64"/>
      <c r="W18" s="64"/>
      <c r="X18" s="64"/>
      <c r="Y18" s="64"/>
      <c r="Z18" s="64"/>
    </row>
    <row r="19" spans="2:26" ht="20.25" customHeight="1">
      <c r="B19" s="514"/>
      <c r="C19" s="71"/>
      <c r="D19" s="533" t="s">
        <v>396</v>
      </c>
      <c r="E19" s="522"/>
      <c r="F19" s="522"/>
      <c r="G19" s="521"/>
      <c r="H19" s="537">
        <v>548</v>
      </c>
      <c r="I19" s="522"/>
      <c r="J19" s="72"/>
      <c r="K19" s="73"/>
      <c r="L19" s="533" t="s">
        <v>396</v>
      </c>
      <c r="M19" s="522"/>
      <c r="N19" s="521"/>
      <c r="O19" s="537" t="s">
        <v>397</v>
      </c>
      <c r="P19" s="522"/>
      <c r="Q19" s="72"/>
      <c r="R19" s="64"/>
      <c r="S19" s="64"/>
      <c r="T19" s="64"/>
      <c r="U19" s="64"/>
      <c r="V19" s="64"/>
      <c r="W19" s="64"/>
      <c r="X19" s="64"/>
      <c r="Y19" s="64"/>
      <c r="Z19" s="64"/>
    </row>
    <row r="20" spans="2:26" ht="5.25" customHeight="1" thickBot="1">
      <c r="B20" s="515"/>
      <c r="C20" s="74"/>
      <c r="D20" s="75"/>
      <c r="E20" s="75"/>
      <c r="F20" s="75"/>
      <c r="G20" s="75"/>
      <c r="H20" s="75"/>
      <c r="I20" s="75"/>
      <c r="J20" s="76"/>
      <c r="K20" s="77"/>
      <c r="L20" s="75"/>
      <c r="M20" s="75"/>
      <c r="N20" s="75"/>
      <c r="O20" s="75"/>
      <c r="P20" s="75"/>
      <c r="Q20" s="76"/>
      <c r="R20" s="64"/>
      <c r="S20" s="64"/>
      <c r="T20" s="64"/>
      <c r="U20" s="64"/>
      <c r="V20" s="64"/>
      <c r="W20" s="64"/>
      <c r="X20" s="64"/>
      <c r="Y20" s="64"/>
      <c r="Z20" s="64"/>
    </row>
    <row r="21" spans="2:26" ht="5.25" customHeight="1">
      <c r="B21" s="527" t="s">
        <v>398</v>
      </c>
      <c r="C21" s="67"/>
      <c r="D21" s="68"/>
      <c r="E21" s="68"/>
      <c r="F21" s="68"/>
      <c r="G21" s="68"/>
      <c r="H21" s="68"/>
      <c r="I21" s="68"/>
      <c r="J21" s="69"/>
      <c r="K21" s="70"/>
      <c r="L21" s="68"/>
      <c r="M21" s="68"/>
      <c r="N21" s="68"/>
      <c r="O21" s="68"/>
      <c r="P21" s="68"/>
      <c r="Q21" s="69"/>
      <c r="R21" s="64"/>
      <c r="S21" s="64"/>
      <c r="T21" s="64"/>
      <c r="U21" s="64"/>
      <c r="V21" s="64"/>
      <c r="W21" s="64"/>
      <c r="X21" s="64"/>
      <c r="Y21" s="64"/>
      <c r="Z21" s="64"/>
    </row>
    <row r="22" spans="2:26" ht="31.8" thickBot="1">
      <c r="B22" s="514"/>
      <c r="C22" s="71"/>
      <c r="D22" s="78"/>
      <c r="E22" s="79"/>
      <c r="F22" s="80" t="s">
        <v>399</v>
      </c>
      <c r="G22" s="80" t="s">
        <v>400</v>
      </c>
      <c r="H22" s="80" t="s">
        <v>401</v>
      </c>
      <c r="I22" s="81" t="s">
        <v>402</v>
      </c>
      <c r="J22" s="82"/>
      <c r="K22" s="83"/>
      <c r="L22" s="78"/>
      <c r="M22" s="80" t="s">
        <v>400</v>
      </c>
      <c r="N22" s="80" t="s">
        <v>403</v>
      </c>
      <c r="O22" s="550" t="s">
        <v>402</v>
      </c>
      <c r="P22" s="551"/>
      <c r="Q22" s="72"/>
      <c r="R22" s="64"/>
      <c r="S22" s="64"/>
      <c r="T22" s="64"/>
      <c r="U22" s="64"/>
      <c r="V22" s="64"/>
      <c r="W22" s="64"/>
      <c r="X22" s="64"/>
      <c r="Y22" s="64"/>
      <c r="Z22" s="64"/>
    </row>
    <row r="23" spans="2:26" ht="16.2" thickTop="1">
      <c r="B23" s="514"/>
      <c r="C23" s="71"/>
      <c r="D23" s="538" t="s">
        <v>400</v>
      </c>
      <c r="E23" s="552" t="s">
        <v>404</v>
      </c>
      <c r="F23" s="552" t="s">
        <v>405</v>
      </c>
      <c r="G23" s="84" t="s">
        <v>406</v>
      </c>
      <c r="H23" s="84" t="s">
        <v>407</v>
      </c>
      <c r="I23" s="540">
        <v>24</v>
      </c>
      <c r="J23" s="82"/>
      <c r="K23" s="83"/>
      <c r="L23" s="538" t="s">
        <v>408</v>
      </c>
      <c r="M23" s="85" t="s">
        <v>406</v>
      </c>
      <c r="N23" s="85" t="s">
        <v>409</v>
      </c>
      <c r="O23" s="540">
        <v>24</v>
      </c>
      <c r="P23" s="541"/>
      <c r="Q23" s="72"/>
      <c r="R23" s="64"/>
      <c r="S23" s="64"/>
      <c r="T23" s="64"/>
      <c r="U23" s="64"/>
      <c r="V23" s="64"/>
      <c r="W23" s="64"/>
      <c r="X23" s="64"/>
      <c r="Y23" s="64"/>
      <c r="Z23" s="64"/>
    </row>
    <row r="24" spans="2:26" ht="15.6">
      <c r="B24" s="514"/>
      <c r="C24" s="71"/>
      <c r="D24" s="539"/>
      <c r="E24" s="553"/>
      <c r="F24" s="553"/>
      <c r="G24" s="86" t="s">
        <v>410</v>
      </c>
      <c r="H24" s="86" t="s">
        <v>411</v>
      </c>
      <c r="I24" s="535"/>
      <c r="J24" s="82"/>
      <c r="K24" s="83"/>
      <c r="L24" s="539"/>
      <c r="M24" s="87" t="s">
        <v>410</v>
      </c>
      <c r="N24" s="87" t="s">
        <v>412</v>
      </c>
      <c r="O24" s="535"/>
      <c r="P24" s="512"/>
      <c r="Q24" s="72"/>
      <c r="R24" s="64"/>
      <c r="S24" s="64"/>
      <c r="T24" s="64"/>
      <c r="U24" s="64"/>
      <c r="V24" s="64"/>
      <c r="W24" s="64"/>
      <c r="X24" s="64"/>
      <c r="Y24" s="64"/>
      <c r="Z24" s="64"/>
    </row>
    <row r="25" spans="2:26" ht="15.6">
      <c r="B25" s="514"/>
      <c r="C25" s="71"/>
      <c r="D25" s="539"/>
      <c r="E25" s="553"/>
      <c r="F25" s="553"/>
      <c r="G25" s="86" t="s">
        <v>413</v>
      </c>
      <c r="H25" s="86" t="s">
        <v>414</v>
      </c>
      <c r="I25" s="554"/>
      <c r="J25" s="82"/>
      <c r="K25" s="83"/>
      <c r="L25" s="539"/>
      <c r="M25" s="87" t="s">
        <v>413</v>
      </c>
      <c r="N25" s="87" t="s">
        <v>415</v>
      </c>
      <c r="O25" s="536"/>
      <c r="P25" s="542"/>
      <c r="Q25" s="72"/>
      <c r="R25" s="64"/>
      <c r="S25" s="64"/>
      <c r="T25" s="64"/>
      <c r="U25" s="64"/>
      <c r="V25" s="64"/>
      <c r="W25" s="64"/>
      <c r="X25" s="64"/>
      <c r="Y25" s="64"/>
      <c r="Z25" s="64"/>
    </row>
    <row r="26" spans="2:26" ht="15.6">
      <c r="B26" s="514"/>
      <c r="C26" s="71"/>
      <c r="D26" s="539"/>
      <c r="E26" s="553"/>
      <c r="F26" s="510"/>
      <c r="G26" s="88" t="s">
        <v>416</v>
      </c>
      <c r="H26" s="88" t="s">
        <v>417</v>
      </c>
      <c r="I26" s="89">
        <v>6</v>
      </c>
      <c r="J26" s="82"/>
      <c r="K26" s="83"/>
      <c r="L26" s="539"/>
      <c r="M26" s="543" t="s">
        <v>418</v>
      </c>
      <c r="N26" s="90" t="s">
        <v>419</v>
      </c>
      <c r="O26" s="544">
        <v>6</v>
      </c>
      <c r="P26" s="545"/>
      <c r="Q26" s="72"/>
      <c r="R26" s="64"/>
      <c r="S26" s="64"/>
      <c r="T26" s="64"/>
      <c r="U26" s="64"/>
      <c r="V26" s="64"/>
      <c r="W26" s="64"/>
      <c r="X26" s="64"/>
      <c r="Y26" s="64"/>
      <c r="Z26" s="64"/>
    </row>
    <row r="27" spans="2:26" ht="46.8">
      <c r="B27" s="514"/>
      <c r="C27" s="71"/>
      <c r="D27" s="539"/>
      <c r="E27" s="553"/>
      <c r="F27" s="543" t="s">
        <v>420</v>
      </c>
      <c r="G27" s="90" t="s">
        <v>418</v>
      </c>
      <c r="H27" s="90" t="s">
        <v>421</v>
      </c>
      <c r="I27" s="546">
        <v>12</v>
      </c>
      <c r="J27" s="82"/>
      <c r="K27" s="83"/>
      <c r="L27" s="539"/>
      <c r="M27" s="510"/>
      <c r="N27" s="88" t="s">
        <v>422</v>
      </c>
      <c r="O27" s="547">
        <v>12</v>
      </c>
      <c r="P27" s="548"/>
      <c r="Q27" s="72"/>
      <c r="R27" s="64"/>
      <c r="S27" s="64"/>
      <c r="T27" s="64"/>
      <c r="U27" s="64"/>
      <c r="V27" s="64"/>
      <c r="W27" s="64"/>
      <c r="X27" s="64"/>
      <c r="Y27" s="64"/>
      <c r="Z27" s="64"/>
    </row>
    <row r="28" spans="2:26" ht="31.2">
      <c r="B28" s="514"/>
      <c r="C28" s="71"/>
      <c r="D28" s="539"/>
      <c r="E28" s="553"/>
      <c r="F28" s="510"/>
      <c r="G28" s="88" t="s">
        <v>423</v>
      </c>
      <c r="H28" s="88" t="s">
        <v>424</v>
      </c>
      <c r="I28" s="536"/>
      <c r="J28" s="82"/>
      <c r="K28" s="83"/>
      <c r="L28" s="539"/>
      <c r="M28" s="87" t="s">
        <v>423</v>
      </c>
      <c r="N28" s="87" t="s">
        <v>425</v>
      </c>
      <c r="O28" s="536"/>
      <c r="P28" s="542"/>
      <c r="Q28" s="72"/>
      <c r="R28" s="64"/>
      <c r="S28" s="64"/>
      <c r="T28" s="64"/>
      <c r="U28" s="64"/>
      <c r="V28" s="64"/>
      <c r="W28" s="64"/>
      <c r="X28" s="64"/>
      <c r="Y28" s="64"/>
      <c r="Z28" s="64"/>
    </row>
    <row r="29" spans="2:26" ht="15.6">
      <c r="B29" s="514"/>
      <c r="C29" s="71"/>
      <c r="D29" s="539"/>
      <c r="E29" s="553"/>
      <c r="F29" s="543" t="s">
        <v>426</v>
      </c>
      <c r="G29" s="90" t="s">
        <v>427</v>
      </c>
      <c r="H29" s="91"/>
      <c r="I29" s="92">
        <v>8</v>
      </c>
      <c r="J29" s="82"/>
      <c r="K29" s="83"/>
      <c r="L29" s="539"/>
      <c r="M29" s="87" t="s">
        <v>427</v>
      </c>
      <c r="N29" s="93"/>
      <c r="O29" s="549">
        <v>8</v>
      </c>
      <c r="P29" s="522"/>
      <c r="Q29" s="72"/>
      <c r="R29" s="64"/>
      <c r="S29" s="64"/>
      <c r="T29" s="64"/>
      <c r="U29" s="64"/>
      <c r="V29" s="64"/>
      <c r="W29" s="64"/>
      <c r="X29" s="64"/>
      <c r="Y29" s="64"/>
      <c r="Z29" s="64"/>
    </row>
    <row r="30" spans="2:26" ht="15.6">
      <c r="B30" s="514"/>
      <c r="C30" s="71"/>
      <c r="D30" s="539"/>
      <c r="E30" s="553"/>
      <c r="F30" s="510"/>
      <c r="G30" s="88" t="s">
        <v>428</v>
      </c>
      <c r="H30" s="94"/>
      <c r="I30" s="89">
        <v>6</v>
      </c>
      <c r="J30" s="82"/>
      <c r="K30" s="83"/>
      <c r="L30" s="539"/>
      <c r="M30" s="87" t="s">
        <v>428</v>
      </c>
      <c r="N30" s="93"/>
      <c r="O30" s="549">
        <v>6</v>
      </c>
      <c r="P30" s="522"/>
      <c r="Q30" s="72"/>
      <c r="R30" s="64"/>
      <c r="S30" s="64"/>
      <c r="T30" s="64"/>
      <c r="U30" s="64"/>
      <c r="V30" s="64"/>
      <c r="W30" s="64"/>
      <c r="X30" s="64"/>
      <c r="Y30" s="64"/>
      <c r="Z30" s="64"/>
    </row>
    <row r="31" spans="2:26" ht="62.4">
      <c r="B31" s="514"/>
      <c r="C31" s="71"/>
      <c r="D31" s="539"/>
      <c r="E31" s="553"/>
      <c r="F31" s="87" t="s">
        <v>429</v>
      </c>
      <c r="G31" s="87" t="s">
        <v>430</v>
      </c>
      <c r="H31" s="93"/>
      <c r="I31" s="95">
        <v>10</v>
      </c>
      <c r="J31" s="82"/>
      <c r="K31" s="83"/>
      <c r="L31" s="539"/>
      <c r="M31" s="87" t="s">
        <v>431</v>
      </c>
      <c r="N31" s="93"/>
      <c r="O31" s="549">
        <v>8</v>
      </c>
      <c r="P31" s="522"/>
      <c r="Q31" s="72"/>
      <c r="R31" s="64"/>
      <c r="S31" s="64"/>
      <c r="T31" s="64"/>
      <c r="U31" s="64"/>
      <c r="V31" s="64"/>
      <c r="W31" s="64"/>
      <c r="X31" s="64"/>
      <c r="Y31" s="64"/>
      <c r="Z31" s="64"/>
    </row>
    <row r="32" spans="2:26" ht="18.75" customHeight="1">
      <c r="B32" s="514"/>
      <c r="C32" s="71"/>
      <c r="D32" s="539"/>
      <c r="E32" s="510"/>
      <c r="F32" s="557" t="s">
        <v>396</v>
      </c>
      <c r="G32" s="522"/>
      <c r="H32" s="521"/>
      <c r="I32" s="96">
        <v>66</v>
      </c>
      <c r="J32" s="82"/>
      <c r="K32" s="83"/>
      <c r="L32" s="519"/>
      <c r="M32" s="557" t="s">
        <v>396</v>
      </c>
      <c r="N32" s="521"/>
      <c r="O32" s="530">
        <v>64</v>
      </c>
      <c r="P32" s="522"/>
      <c r="Q32" s="72"/>
      <c r="R32" s="64"/>
      <c r="S32" s="64"/>
      <c r="T32" s="64"/>
      <c r="U32" s="64"/>
      <c r="V32" s="64"/>
      <c r="W32" s="64"/>
      <c r="X32" s="64"/>
      <c r="Y32" s="64"/>
      <c r="Z32" s="64"/>
    </row>
    <row r="33" spans="2:26" ht="35.25" customHeight="1">
      <c r="B33" s="514"/>
      <c r="C33" s="71"/>
      <c r="D33" s="519"/>
      <c r="E33" s="97" t="s">
        <v>432</v>
      </c>
      <c r="F33" s="557" t="s">
        <v>433</v>
      </c>
      <c r="G33" s="522"/>
      <c r="H33" s="521"/>
      <c r="I33" s="96">
        <v>86</v>
      </c>
      <c r="J33" s="82"/>
      <c r="K33" s="83"/>
      <c r="L33" s="98" t="s">
        <v>434</v>
      </c>
      <c r="M33" s="557" t="s">
        <v>435</v>
      </c>
      <c r="N33" s="521"/>
      <c r="O33" s="530">
        <v>80</v>
      </c>
      <c r="P33" s="522"/>
      <c r="Q33" s="72"/>
      <c r="R33" s="64"/>
      <c r="S33" s="64"/>
      <c r="T33" s="64"/>
      <c r="U33" s="64"/>
      <c r="V33" s="64"/>
      <c r="W33" s="64"/>
      <c r="X33" s="64"/>
      <c r="Y33" s="64"/>
      <c r="Z33" s="64"/>
    </row>
    <row r="34" spans="2:26" ht="21.75" customHeight="1">
      <c r="B34" s="514"/>
      <c r="C34" s="71"/>
      <c r="D34" s="555" t="s">
        <v>374</v>
      </c>
      <c r="E34" s="522"/>
      <c r="F34" s="522"/>
      <c r="G34" s="522"/>
      <c r="H34" s="521"/>
      <c r="I34" s="99">
        <v>22</v>
      </c>
      <c r="J34" s="82"/>
      <c r="K34" s="83"/>
      <c r="L34" s="555" t="s">
        <v>374</v>
      </c>
      <c r="M34" s="522"/>
      <c r="N34" s="521"/>
      <c r="O34" s="556">
        <v>30</v>
      </c>
      <c r="P34" s="522"/>
      <c r="Q34" s="72"/>
      <c r="R34" s="64"/>
      <c r="S34" s="64"/>
      <c r="T34" s="64"/>
      <c r="U34" s="64"/>
      <c r="V34" s="64"/>
      <c r="W34" s="64"/>
      <c r="X34" s="64"/>
      <c r="Y34" s="64"/>
      <c r="Z34" s="64"/>
    </row>
    <row r="35" spans="2:26" ht="24" customHeight="1">
      <c r="B35" s="514"/>
      <c r="C35" s="71"/>
      <c r="D35" s="555" t="s">
        <v>377</v>
      </c>
      <c r="E35" s="522"/>
      <c r="F35" s="522"/>
      <c r="G35" s="522"/>
      <c r="H35" s="521"/>
      <c r="I35" s="99">
        <v>18</v>
      </c>
      <c r="J35" s="82"/>
      <c r="K35" s="83"/>
      <c r="L35" s="555" t="s">
        <v>377</v>
      </c>
      <c r="M35" s="522"/>
      <c r="N35" s="521"/>
      <c r="O35" s="556">
        <v>18</v>
      </c>
      <c r="P35" s="522"/>
      <c r="Q35" s="72"/>
      <c r="R35" s="64"/>
      <c r="S35" s="64"/>
      <c r="T35" s="64"/>
      <c r="U35" s="64"/>
      <c r="V35" s="64"/>
      <c r="W35" s="64"/>
      <c r="X35" s="64"/>
      <c r="Y35" s="64"/>
      <c r="Z35" s="64"/>
    </row>
    <row r="36" spans="2:26" ht="15.6">
      <c r="B36" s="514"/>
      <c r="C36" s="71"/>
      <c r="D36" s="529" t="s">
        <v>436</v>
      </c>
      <c r="E36" s="522"/>
      <c r="F36" s="522"/>
      <c r="G36" s="522"/>
      <c r="H36" s="521"/>
      <c r="I36" s="96">
        <v>192</v>
      </c>
      <c r="J36" s="82"/>
      <c r="K36" s="83"/>
      <c r="L36" s="529" t="s">
        <v>436</v>
      </c>
      <c r="M36" s="522"/>
      <c r="N36" s="521"/>
      <c r="O36" s="530">
        <v>192</v>
      </c>
      <c r="P36" s="522"/>
      <c r="Q36" s="72"/>
      <c r="R36" s="64"/>
      <c r="S36" s="64"/>
      <c r="T36" s="64"/>
      <c r="U36" s="64"/>
      <c r="V36" s="64"/>
      <c r="W36" s="64"/>
      <c r="X36" s="64"/>
      <c r="Y36" s="64"/>
      <c r="Z36" s="64"/>
    </row>
    <row r="37" spans="2:26" ht="5.25" customHeight="1" thickBot="1">
      <c r="B37" s="515"/>
      <c r="C37" s="74"/>
      <c r="D37" s="75"/>
      <c r="E37" s="75"/>
      <c r="F37" s="75"/>
      <c r="G37" s="75"/>
      <c r="H37" s="75"/>
      <c r="I37" s="75"/>
      <c r="J37" s="76"/>
      <c r="K37" s="77"/>
      <c r="L37" s="75"/>
      <c r="M37" s="75"/>
      <c r="N37" s="75"/>
      <c r="O37" s="75"/>
      <c r="P37" s="75"/>
      <c r="Q37" s="76"/>
      <c r="R37" s="64"/>
      <c r="S37" s="64"/>
      <c r="T37" s="64"/>
      <c r="U37" s="64"/>
      <c r="V37" s="64"/>
      <c r="W37" s="64"/>
      <c r="X37" s="64"/>
      <c r="Y37" s="64"/>
      <c r="Z37" s="64"/>
    </row>
    <row r="38" spans="2:26" ht="5.25" customHeight="1">
      <c r="B38" s="527" t="s">
        <v>437</v>
      </c>
      <c r="C38" s="67"/>
      <c r="D38" s="68"/>
      <c r="E38" s="68"/>
      <c r="F38" s="68"/>
      <c r="G38" s="68"/>
      <c r="H38" s="68"/>
      <c r="I38" s="68"/>
      <c r="J38" s="69"/>
      <c r="K38" s="70"/>
      <c r="L38" s="68"/>
      <c r="M38" s="68"/>
      <c r="N38" s="68"/>
      <c r="O38" s="68"/>
      <c r="P38" s="68"/>
      <c r="Q38" s="69"/>
      <c r="R38" s="64"/>
      <c r="S38" s="64"/>
      <c r="T38" s="64"/>
      <c r="U38" s="64"/>
      <c r="V38" s="64"/>
      <c r="W38" s="64"/>
      <c r="X38" s="64"/>
      <c r="Y38" s="64"/>
      <c r="Z38" s="64"/>
    </row>
    <row r="39" spans="2:26" ht="15.6">
      <c r="B39" s="514"/>
      <c r="C39" s="71" t="s">
        <v>438</v>
      </c>
      <c r="D39" s="100"/>
      <c r="E39" s="100"/>
      <c r="F39" s="100"/>
      <c r="G39" s="100"/>
      <c r="H39" s="100"/>
      <c r="I39" s="100"/>
      <c r="J39" s="72"/>
      <c r="K39" s="73"/>
      <c r="L39" s="100" t="s">
        <v>439</v>
      </c>
      <c r="M39" s="100"/>
      <c r="N39" s="100"/>
      <c r="O39" s="100"/>
      <c r="P39" s="100"/>
      <c r="Q39" s="72"/>
      <c r="R39" s="64"/>
      <c r="S39" s="64"/>
      <c r="T39" s="64"/>
      <c r="U39" s="64"/>
      <c r="V39" s="64"/>
      <c r="W39" s="64"/>
      <c r="X39" s="64"/>
      <c r="Y39" s="64"/>
      <c r="Z39" s="64"/>
    </row>
    <row r="40" spans="2:26" ht="15.6">
      <c r="B40" s="514"/>
      <c r="C40" s="71" t="s">
        <v>440</v>
      </c>
      <c r="D40" s="100"/>
      <c r="E40" s="100"/>
      <c r="F40" s="100"/>
      <c r="G40" s="100"/>
      <c r="H40" s="100"/>
      <c r="I40" s="100"/>
      <c r="J40" s="72"/>
      <c r="K40" s="73"/>
      <c r="L40" s="100" t="s">
        <v>441</v>
      </c>
      <c r="M40" s="100"/>
      <c r="N40" s="100"/>
      <c r="O40" s="100"/>
      <c r="P40" s="100"/>
      <c r="Q40" s="72"/>
      <c r="R40" s="64"/>
      <c r="S40" s="64"/>
      <c r="T40" s="64"/>
      <c r="U40" s="64"/>
      <c r="V40" s="64"/>
      <c r="W40" s="64"/>
      <c r="X40" s="64"/>
      <c r="Y40" s="64"/>
      <c r="Z40" s="64"/>
    </row>
    <row r="41" spans="2:26" ht="5.25" customHeight="1" thickBot="1">
      <c r="B41" s="515"/>
      <c r="C41" s="74"/>
      <c r="D41" s="75"/>
      <c r="E41" s="75"/>
      <c r="F41" s="75"/>
      <c r="G41" s="75"/>
      <c r="H41" s="75"/>
      <c r="I41" s="75"/>
      <c r="J41" s="76"/>
      <c r="K41" s="77"/>
      <c r="L41" s="75"/>
      <c r="M41" s="75"/>
      <c r="N41" s="75"/>
      <c r="O41" s="75"/>
      <c r="P41" s="75"/>
      <c r="Q41" s="76"/>
      <c r="R41" s="64"/>
      <c r="S41" s="64"/>
      <c r="T41" s="64"/>
      <c r="U41" s="64"/>
      <c r="V41" s="64"/>
      <c r="W41" s="64"/>
      <c r="X41" s="64"/>
      <c r="Y41" s="64"/>
      <c r="Z41" s="64"/>
    </row>
    <row r="42" spans="2:26" ht="5.25" customHeight="1">
      <c r="B42" s="527" t="s">
        <v>442</v>
      </c>
      <c r="C42" s="67"/>
      <c r="D42" s="68"/>
      <c r="E42" s="68"/>
      <c r="F42" s="68"/>
      <c r="G42" s="68"/>
      <c r="H42" s="68"/>
      <c r="I42" s="68"/>
      <c r="J42" s="69"/>
      <c r="K42" s="70"/>
      <c r="L42" s="68"/>
      <c r="M42" s="68"/>
      <c r="N42" s="68"/>
      <c r="O42" s="68"/>
      <c r="P42" s="68"/>
      <c r="Q42" s="69"/>
      <c r="R42" s="64"/>
      <c r="S42" s="64"/>
      <c r="T42" s="64"/>
      <c r="U42" s="64"/>
      <c r="V42" s="64"/>
      <c r="W42" s="64"/>
      <c r="X42" s="64"/>
      <c r="Y42" s="64"/>
      <c r="Z42" s="64"/>
    </row>
    <row r="43" spans="2:26" ht="15.6">
      <c r="B43" s="514"/>
      <c r="C43" s="71"/>
      <c r="D43" s="100" t="s">
        <v>443</v>
      </c>
      <c r="E43" s="100"/>
      <c r="F43" s="100"/>
      <c r="G43" s="100"/>
      <c r="H43" s="100"/>
      <c r="I43" s="100"/>
      <c r="J43" s="72"/>
      <c r="K43" s="73"/>
      <c r="L43" s="100" t="s">
        <v>444</v>
      </c>
      <c r="M43" s="100"/>
      <c r="N43" s="100"/>
      <c r="O43" s="100"/>
      <c r="P43" s="100"/>
      <c r="Q43" s="72"/>
      <c r="R43" s="64"/>
      <c r="S43" s="64"/>
      <c r="T43" s="64"/>
      <c r="U43" s="64"/>
      <c r="V43" s="64"/>
      <c r="W43" s="64"/>
      <c r="X43" s="64"/>
      <c r="Y43" s="64"/>
      <c r="Z43" s="64"/>
    </row>
    <row r="44" spans="2:26" ht="15.6">
      <c r="B44" s="514"/>
      <c r="C44" s="71"/>
      <c r="D44" s="100" t="s">
        <v>445</v>
      </c>
      <c r="E44" s="101"/>
      <c r="F44" s="101"/>
      <c r="G44" s="101"/>
      <c r="H44" s="101"/>
      <c r="I44" s="101"/>
      <c r="J44" s="72"/>
      <c r="K44" s="73"/>
      <c r="L44" s="100"/>
      <c r="M44" s="100"/>
      <c r="N44" s="100"/>
      <c r="O44" s="100"/>
      <c r="P44" s="100"/>
      <c r="Q44" s="72"/>
      <c r="R44" s="64"/>
      <c r="S44" s="64"/>
      <c r="T44" s="64"/>
      <c r="U44" s="64"/>
      <c r="V44" s="64"/>
      <c r="W44" s="64"/>
      <c r="X44" s="64"/>
      <c r="Y44" s="64"/>
      <c r="Z44" s="64"/>
    </row>
    <row r="45" spans="2:26" ht="15.6">
      <c r="B45" s="514"/>
      <c r="C45" s="71"/>
      <c r="D45" s="531" t="s">
        <v>363</v>
      </c>
      <c r="E45" s="522"/>
      <c r="F45" s="521"/>
      <c r="G45" s="532" t="s">
        <v>446</v>
      </c>
      <c r="H45" s="521"/>
      <c r="I45" s="102" t="s">
        <v>447</v>
      </c>
      <c r="J45" s="72"/>
      <c r="K45" s="73"/>
      <c r="L45" s="531" t="s">
        <v>363</v>
      </c>
      <c r="M45" s="521"/>
      <c r="N45" s="532" t="s">
        <v>446</v>
      </c>
      <c r="O45" s="521"/>
      <c r="P45" s="102" t="s">
        <v>448</v>
      </c>
      <c r="Q45" s="72"/>
      <c r="R45" s="64"/>
      <c r="S45" s="64"/>
      <c r="T45" s="64"/>
      <c r="U45" s="64"/>
      <c r="V45" s="64"/>
      <c r="W45" s="64"/>
      <c r="X45" s="64"/>
      <c r="Y45" s="64"/>
      <c r="Z45" s="64"/>
    </row>
    <row r="46" spans="2:26" ht="38.25" customHeight="1">
      <c r="B46" s="514"/>
      <c r="C46" s="71"/>
      <c r="D46" s="533" t="s">
        <v>449</v>
      </c>
      <c r="E46" s="521"/>
      <c r="F46" s="103">
        <v>1</v>
      </c>
      <c r="G46" s="526" t="s">
        <v>450</v>
      </c>
      <c r="H46" s="521"/>
      <c r="I46" s="534">
        <v>86</v>
      </c>
      <c r="J46" s="72"/>
      <c r="K46" s="73"/>
      <c r="L46" s="104" t="s">
        <v>449</v>
      </c>
      <c r="M46" s="103">
        <v>3</v>
      </c>
      <c r="N46" s="526" t="s">
        <v>451</v>
      </c>
      <c r="O46" s="521"/>
      <c r="P46" s="534">
        <v>80</v>
      </c>
      <c r="Q46" s="72"/>
      <c r="R46" s="64"/>
      <c r="S46" s="64"/>
      <c r="T46" s="64"/>
      <c r="U46" s="64"/>
      <c r="V46" s="64"/>
      <c r="W46" s="64"/>
      <c r="X46" s="64"/>
      <c r="Y46" s="64"/>
      <c r="Z46" s="64"/>
    </row>
    <row r="47" spans="2:26" ht="16.5" customHeight="1">
      <c r="B47" s="514"/>
      <c r="C47" s="71"/>
      <c r="D47" s="533" t="s">
        <v>452</v>
      </c>
      <c r="E47" s="521"/>
      <c r="F47" s="103">
        <v>179</v>
      </c>
      <c r="G47" s="537" t="s">
        <v>435</v>
      </c>
      <c r="H47" s="521"/>
      <c r="I47" s="535"/>
      <c r="J47" s="72"/>
      <c r="K47" s="73"/>
      <c r="L47" s="104" t="s">
        <v>453</v>
      </c>
      <c r="M47" s="103">
        <v>216</v>
      </c>
      <c r="N47" s="537" t="s">
        <v>435</v>
      </c>
      <c r="O47" s="521"/>
      <c r="P47" s="535"/>
      <c r="Q47" s="72"/>
      <c r="R47" s="64"/>
      <c r="S47" s="64"/>
      <c r="T47" s="64"/>
      <c r="U47" s="64"/>
      <c r="V47" s="64"/>
      <c r="W47" s="64"/>
      <c r="X47" s="64"/>
      <c r="Y47" s="64"/>
      <c r="Z47" s="64"/>
    </row>
    <row r="48" spans="2:26" ht="16.5" customHeight="1">
      <c r="B48" s="514"/>
      <c r="C48" s="71"/>
      <c r="D48" s="533" t="s">
        <v>454</v>
      </c>
      <c r="E48" s="521"/>
      <c r="F48" s="103">
        <v>368</v>
      </c>
      <c r="G48" s="537" t="s">
        <v>435</v>
      </c>
      <c r="H48" s="521"/>
      <c r="I48" s="536"/>
      <c r="J48" s="72"/>
      <c r="K48" s="73"/>
      <c r="L48" s="104" t="s">
        <v>455</v>
      </c>
      <c r="M48" s="103">
        <v>309</v>
      </c>
      <c r="N48" s="537" t="s">
        <v>435</v>
      </c>
      <c r="O48" s="521"/>
      <c r="P48" s="536"/>
      <c r="Q48" s="72"/>
      <c r="R48" s="64"/>
      <c r="S48" s="64"/>
      <c r="T48" s="64"/>
      <c r="U48" s="64"/>
      <c r="V48" s="64"/>
      <c r="W48" s="64"/>
      <c r="X48" s="64"/>
      <c r="Y48" s="64"/>
      <c r="Z48" s="64"/>
    </row>
    <row r="49" spans="2:26" ht="5.25" customHeight="1" thickBot="1">
      <c r="B49" s="515"/>
      <c r="C49" s="74"/>
      <c r="D49" s="75"/>
      <c r="E49" s="75"/>
      <c r="F49" s="75"/>
      <c r="G49" s="75"/>
      <c r="H49" s="75"/>
      <c r="I49" s="75"/>
      <c r="J49" s="76"/>
      <c r="K49" s="77"/>
      <c r="L49" s="75"/>
      <c r="M49" s="75"/>
      <c r="N49" s="75"/>
      <c r="O49" s="75"/>
      <c r="P49" s="75"/>
      <c r="Q49" s="76"/>
      <c r="R49" s="64"/>
      <c r="S49" s="64"/>
      <c r="T49" s="64"/>
      <c r="U49" s="64"/>
      <c r="V49" s="64"/>
      <c r="W49" s="64"/>
      <c r="X49" s="64"/>
      <c r="Y49" s="64"/>
      <c r="Z49" s="64"/>
    </row>
    <row r="50" spans="2:26" ht="5.25" customHeight="1">
      <c r="B50" s="527" t="s">
        <v>456</v>
      </c>
      <c r="C50" s="67"/>
      <c r="D50" s="68"/>
      <c r="E50" s="68"/>
      <c r="F50" s="68"/>
      <c r="G50" s="68"/>
      <c r="H50" s="68"/>
      <c r="I50" s="68"/>
      <c r="J50" s="69"/>
      <c r="K50" s="70"/>
      <c r="L50" s="68"/>
      <c r="M50" s="68"/>
      <c r="N50" s="68"/>
      <c r="O50" s="68"/>
      <c r="P50" s="68"/>
      <c r="Q50" s="69"/>
      <c r="R50" s="64"/>
      <c r="S50" s="64"/>
      <c r="T50" s="64"/>
      <c r="U50" s="64"/>
      <c r="V50" s="64"/>
      <c r="W50" s="64"/>
      <c r="X50" s="64"/>
      <c r="Y50" s="64"/>
      <c r="Z50" s="64"/>
    </row>
    <row r="51" spans="2:26" ht="26.4">
      <c r="B51" s="514"/>
      <c r="C51" s="71"/>
      <c r="D51" s="528" t="s">
        <v>363</v>
      </c>
      <c r="E51" s="522"/>
      <c r="F51" s="521"/>
      <c r="G51" s="105" t="s">
        <v>457</v>
      </c>
      <c r="H51" s="105" t="s">
        <v>458</v>
      </c>
      <c r="I51" s="106" t="s">
        <v>459</v>
      </c>
      <c r="J51" s="82"/>
      <c r="K51" s="83"/>
      <c r="L51" s="528" t="s">
        <v>363</v>
      </c>
      <c r="M51" s="521"/>
      <c r="N51" s="105" t="s">
        <v>457</v>
      </c>
      <c r="O51" s="105" t="s">
        <v>458</v>
      </c>
      <c r="P51" s="106" t="s">
        <v>460</v>
      </c>
      <c r="Q51" s="72"/>
      <c r="R51" s="64"/>
      <c r="S51" s="64"/>
      <c r="T51" s="64"/>
      <c r="U51" s="64"/>
      <c r="V51" s="64"/>
      <c r="W51" s="64"/>
      <c r="X51" s="64"/>
      <c r="Y51" s="64"/>
      <c r="Z51" s="64"/>
    </row>
    <row r="52" spans="2:26" ht="15.6">
      <c r="B52" s="514"/>
      <c r="C52" s="71"/>
      <c r="D52" s="525" t="s">
        <v>461</v>
      </c>
      <c r="E52" s="522"/>
      <c r="F52" s="521"/>
      <c r="G52" s="107">
        <v>8</v>
      </c>
      <c r="H52" s="107">
        <v>-2</v>
      </c>
      <c r="I52" s="108" t="s">
        <v>462</v>
      </c>
      <c r="J52" s="82"/>
      <c r="K52" s="83"/>
      <c r="L52" s="525" t="s">
        <v>461</v>
      </c>
      <c r="M52" s="521"/>
      <c r="N52" s="107">
        <v>4</v>
      </c>
      <c r="O52" s="107">
        <v>-1</v>
      </c>
      <c r="P52" s="108" t="s">
        <v>357</v>
      </c>
      <c r="Q52" s="72"/>
      <c r="R52" s="64"/>
      <c r="S52" s="64"/>
      <c r="T52" s="64"/>
      <c r="U52" s="64"/>
      <c r="V52" s="64"/>
      <c r="W52" s="64"/>
      <c r="X52" s="64"/>
      <c r="Y52" s="64"/>
      <c r="Z52" s="64"/>
    </row>
    <row r="53" spans="2:26" ht="27.75" customHeight="1">
      <c r="B53" s="514"/>
      <c r="C53" s="71"/>
      <c r="D53" s="525" t="s">
        <v>463</v>
      </c>
      <c r="E53" s="522"/>
      <c r="F53" s="521"/>
      <c r="G53" s="107">
        <v>6</v>
      </c>
      <c r="H53" s="109"/>
      <c r="I53" s="108" t="s">
        <v>464</v>
      </c>
      <c r="J53" s="82"/>
      <c r="K53" s="83"/>
      <c r="L53" s="525" t="s">
        <v>465</v>
      </c>
      <c r="M53" s="521"/>
      <c r="N53" s="107">
        <v>3</v>
      </c>
      <c r="O53" s="109"/>
      <c r="P53" s="108">
        <v>3</v>
      </c>
      <c r="Q53" s="72"/>
      <c r="R53" s="64"/>
      <c r="S53" s="64"/>
      <c r="T53" s="64"/>
      <c r="U53" s="64"/>
      <c r="V53" s="64"/>
      <c r="W53" s="64"/>
      <c r="X53" s="64"/>
      <c r="Y53" s="64"/>
      <c r="Z53" s="64"/>
    </row>
    <row r="54" spans="2:26" ht="15.6">
      <c r="B54" s="514"/>
      <c r="C54" s="71"/>
      <c r="D54" s="525" t="s">
        <v>466</v>
      </c>
      <c r="E54" s="522"/>
      <c r="F54" s="521"/>
      <c r="G54" s="107">
        <v>5</v>
      </c>
      <c r="H54" s="107" t="s">
        <v>467</v>
      </c>
      <c r="I54" s="108" t="s">
        <v>468</v>
      </c>
      <c r="J54" s="82"/>
      <c r="K54" s="83"/>
      <c r="L54" s="525" t="s">
        <v>469</v>
      </c>
      <c r="M54" s="521"/>
      <c r="N54" s="107">
        <v>4</v>
      </c>
      <c r="O54" s="107" t="s">
        <v>470</v>
      </c>
      <c r="P54" s="108" t="s">
        <v>359</v>
      </c>
      <c r="Q54" s="72"/>
      <c r="R54" s="64"/>
      <c r="S54" s="64"/>
      <c r="T54" s="64"/>
      <c r="U54" s="64"/>
      <c r="V54" s="64"/>
      <c r="W54" s="64"/>
      <c r="X54" s="64"/>
      <c r="Y54" s="64"/>
      <c r="Z54" s="64"/>
    </row>
    <row r="55" spans="2:26" ht="15.6">
      <c r="B55" s="514"/>
      <c r="C55" s="71"/>
      <c r="D55" s="525" t="s">
        <v>471</v>
      </c>
      <c r="E55" s="522"/>
      <c r="F55" s="521"/>
      <c r="G55" s="107">
        <v>5</v>
      </c>
      <c r="H55" s="107" t="s">
        <v>472</v>
      </c>
      <c r="I55" s="108" t="s">
        <v>473</v>
      </c>
      <c r="J55" s="82"/>
      <c r="K55" s="83"/>
      <c r="L55" s="525" t="s">
        <v>474</v>
      </c>
      <c r="M55" s="521"/>
      <c r="N55" s="107">
        <v>3</v>
      </c>
      <c r="O55" s="107" t="s">
        <v>470</v>
      </c>
      <c r="P55" s="108" t="s">
        <v>360</v>
      </c>
      <c r="Q55" s="72"/>
      <c r="R55" s="64"/>
      <c r="S55" s="64"/>
      <c r="T55" s="64"/>
      <c r="U55" s="64"/>
      <c r="V55" s="64"/>
      <c r="W55" s="64"/>
      <c r="X55" s="64"/>
      <c r="Y55" s="64"/>
      <c r="Z55" s="64"/>
    </row>
    <row r="56" spans="2:26" ht="15.6">
      <c r="B56" s="514"/>
      <c r="C56" s="71"/>
      <c r="D56" s="525" t="s">
        <v>475</v>
      </c>
      <c r="E56" s="522"/>
      <c r="F56" s="521"/>
      <c r="G56" s="107">
        <v>5</v>
      </c>
      <c r="H56" s="107" t="s">
        <v>472</v>
      </c>
      <c r="I56" s="108" t="s">
        <v>473</v>
      </c>
      <c r="J56" s="82"/>
      <c r="K56" s="83"/>
      <c r="L56" s="525" t="s">
        <v>386</v>
      </c>
      <c r="M56" s="521"/>
      <c r="N56" s="526" t="s">
        <v>476</v>
      </c>
      <c r="O56" s="522"/>
      <c r="P56" s="522"/>
      <c r="Q56" s="72"/>
      <c r="R56" s="64"/>
      <c r="S56" s="64"/>
      <c r="T56" s="64"/>
      <c r="U56" s="64"/>
      <c r="V56" s="64"/>
      <c r="W56" s="64"/>
      <c r="X56" s="64"/>
      <c r="Y56" s="64"/>
      <c r="Z56" s="64"/>
    </row>
    <row r="57" spans="2:26" ht="15.6">
      <c r="B57" s="514"/>
      <c r="C57" s="71"/>
      <c r="D57" s="525" t="s">
        <v>384</v>
      </c>
      <c r="E57" s="522"/>
      <c r="F57" s="521"/>
      <c r="G57" s="526" t="s">
        <v>476</v>
      </c>
      <c r="H57" s="522"/>
      <c r="I57" s="522"/>
      <c r="J57" s="82"/>
      <c r="K57" s="83"/>
      <c r="L57" s="110"/>
      <c r="M57" s="100"/>
      <c r="N57" s="100"/>
      <c r="O57" s="100"/>
      <c r="P57" s="100"/>
      <c r="Q57" s="72"/>
      <c r="R57" s="64"/>
      <c r="S57" s="64"/>
      <c r="T57" s="64"/>
      <c r="U57" s="64"/>
      <c r="V57" s="64"/>
      <c r="W57" s="64"/>
      <c r="X57" s="64"/>
      <c r="Y57" s="64"/>
      <c r="Z57" s="64"/>
    </row>
    <row r="58" spans="2:26" ht="15.6">
      <c r="B58" s="514"/>
      <c r="C58" s="71"/>
      <c r="D58" s="100"/>
      <c r="E58" s="100"/>
      <c r="F58" s="100"/>
      <c r="G58" s="100"/>
      <c r="H58" s="100"/>
      <c r="I58" s="100"/>
      <c r="J58" s="72"/>
      <c r="K58" s="73"/>
      <c r="L58" s="100"/>
      <c r="M58" s="100"/>
      <c r="N58" s="100"/>
      <c r="O58" s="100"/>
      <c r="P58" s="100"/>
      <c r="Q58" s="72"/>
      <c r="R58" s="64"/>
      <c r="S58" s="64"/>
      <c r="T58" s="64"/>
      <c r="U58" s="64"/>
      <c r="V58" s="64"/>
      <c r="W58" s="64"/>
      <c r="X58" s="64"/>
      <c r="Y58" s="64"/>
      <c r="Z58" s="64"/>
    </row>
    <row r="59" spans="2:26" ht="33.75" customHeight="1">
      <c r="B59" s="514"/>
      <c r="C59" s="71"/>
      <c r="D59" s="511" t="s">
        <v>477</v>
      </c>
      <c r="E59" s="512"/>
      <c r="F59" s="512"/>
      <c r="G59" s="512"/>
      <c r="H59" s="512"/>
      <c r="I59" s="512"/>
      <c r="J59" s="72"/>
      <c r="K59" s="73"/>
      <c r="L59" s="511" t="s">
        <v>478</v>
      </c>
      <c r="M59" s="511"/>
      <c r="N59" s="511"/>
      <c r="O59" s="511"/>
      <c r="P59" s="511"/>
      <c r="Q59" s="72"/>
      <c r="R59" s="64"/>
      <c r="S59" s="64"/>
      <c r="T59" s="64"/>
      <c r="U59" s="64"/>
      <c r="V59" s="64"/>
      <c r="W59" s="64"/>
      <c r="X59" s="64"/>
      <c r="Y59" s="64"/>
      <c r="Z59" s="64"/>
    </row>
    <row r="60" spans="2:26" ht="5.25" customHeight="1" thickBot="1">
      <c r="B60" s="515"/>
      <c r="C60" s="74"/>
      <c r="D60" s="75"/>
      <c r="E60" s="75"/>
      <c r="F60" s="75"/>
      <c r="G60" s="75"/>
      <c r="H60" s="75"/>
      <c r="I60" s="75"/>
      <c r="J60" s="76"/>
      <c r="K60" s="77"/>
      <c r="L60" s="75"/>
      <c r="M60" s="75"/>
      <c r="N60" s="75"/>
      <c r="O60" s="75"/>
      <c r="P60" s="75"/>
      <c r="Q60" s="76"/>
      <c r="R60" s="64"/>
      <c r="S60" s="64"/>
      <c r="T60" s="64"/>
      <c r="U60" s="64"/>
      <c r="V60" s="64"/>
      <c r="W60" s="64"/>
      <c r="X60" s="64"/>
      <c r="Y60" s="64"/>
      <c r="Z60" s="64"/>
    </row>
    <row r="61" spans="2:26" ht="5.25" customHeight="1">
      <c r="B61" s="516" t="s">
        <v>479</v>
      </c>
      <c r="C61" s="71"/>
      <c r="D61" s="100"/>
      <c r="E61" s="100"/>
      <c r="F61" s="100"/>
      <c r="G61" s="100"/>
      <c r="H61" s="100"/>
      <c r="I61" s="100"/>
      <c r="J61" s="100"/>
      <c r="K61" s="70"/>
      <c r="L61" s="68"/>
      <c r="M61" s="68"/>
      <c r="N61" s="68"/>
      <c r="O61" s="68"/>
      <c r="P61" s="68"/>
      <c r="Q61" s="69"/>
      <c r="R61" s="64"/>
      <c r="S61" s="64"/>
      <c r="T61" s="64"/>
      <c r="U61" s="64"/>
      <c r="V61" s="64"/>
      <c r="W61" s="64"/>
      <c r="X61" s="64"/>
      <c r="Y61" s="64"/>
      <c r="Z61" s="64"/>
    </row>
    <row r="62" spans="2:26" ht="15.6">
      <c r="B62" s="517"/>
      <c r="C62" s="71"/>
      <c r="D62" s="100"/>
      <c r="E62" s="100"/>
      <c r="F62" s="100"/>
      <c r="G62" s="100"/>
      <c r="H62" s="100"/>
      <c r="I62" s="100"/>
      <c r="J62" s="100"/>
      <c r="K62" s="73"/>
      <c r="L62" s="100" t="s">
        <v>480</v>
      </c>
      <c r="M62" s="100"/>
      <c r="N62" s="100"/>
      <c r="O62" s="100"/>
      <c r="P62" s="100"/>
      <c r="Q62" s="72"/>
      <c r="R62" s="64"/>
      <c r="S62" s="64"/>
      <c r="T62" s="64"/>
      <c r="U62" s="64"/>
      <c r="V62" s="64"/>
      <c r="W62" s="64"/>
      <c r="X62" s="64"/>
      <c r="Y62" s="64"/>
      <c r="Z62" s="64"/>
    </row>
    <row r="63" spans="2:26" ht="15.6">
      <c r="B63" s="517"/>
      <c r="C63" s="71"/>
      <c r="D63" s="100"/>
      <c r="E63" s="100"/>
      <c r="F63" s="100"/>
      <c r="G63" s="100"/>
      <c r="H63" s="100"/>
      <c r="I63" s="100"/>
      <c r="J63" s="100"/>
      <c r="K63" s="73"/>
      <c r="L63" s="100" t="s">
        <v>481</v>
      </c>
      <c r="M63" s="100"/>
      <c r="N63" s="100"/>
      <c r="O63" s="100"/>
      <c r="P63" s="100"/>
      <c r="Q63" s="72"/>
      <c r="R63" s="64"/>
      <c r="S63" s="64"/>
      <c r="T63" s="64"/>
      <c r="U63" s="64"/>
      <c r="V63" s="64"/>
      <c r="W63" s="64"/>
      <c r="X63" s="64"/>
      <c r="Y63" s="64"/>
      <c r="Z63" s="64"/>
    </row>
    <row r="64" spans="2:26" ht="15.6">
      <c r="B64" s="517"/>
      <c r="C64" s="71"/>
      <c r="D64" s="100"/>
      <c r="E64" s="100"/>
      <c r="F64" s="100"/>
      <c r="G64" s="100"/>
      <c r="H64" s="100"/>
      <c r="I64" s="100"/>
      <c r="J64" s="100"/>
      <c r="K64" s="73"/>
      <c r="L64" s="518" t="s">
        <v>363</v>
      </c>
      <c r="M64" s="520" t="s">
        <v>482</v>
      </c>
      <c r="N64" s="521"/>
      <c r="O64" s="520" t="s">
        <v>483</v>
      </c>
      <c r="P64" s="522"/>
      <c r="Q64" s="72"/>
      <c r="R64" s="64"/>
      <c r="S64" s="64"/>
      <c r="T64" s="64"/>
      <c r="U64" s="64"/>
      <c r="V64" s="64"/>
      <c r="W64" s="64"/>
      <c r="X64" s="64"/>
      <c r="Y64" s="64"/>
      <c r="Z64" s="64"/>
    </row>
    <row r="65" spans="2:26" ht="15.6">
      <c r="B65" s="517"/>
      <c r="C65" s="71"/>
      <c r="D65" s="100"/>
      <c r="E65" s="100"/>
      <c r="F65" s="100"/>
      <c r="G65" s="100"/>
      <c r="H65" s="100"/>
      <c r="I65" s="100"/>
      <c r="J65" s="100"/>
      <c r="K65" s="73"/>
      <c r="L65" s="519"/>
      <c r="M65" s="103" t="s">
        <v>0</v>
      </c>
      <c r="N65" s="103" t="s">
        <v>484</v>
      </c>
      <c r="O65" s="103" t="s">
        <v>0</v>
      </c>
      <c r="P65" s="111" t="s">
        <v>484</v>
      </c>
      <c r="Q65" s="72"/>
      <c r="R65" s="64"/>
      <c r="S65" s="64"/>
      <c r="T65" s="64"/>
      <c r="U65" s="64"/>
      <c r="V65" s="64"/>
      <c r="W65" s="64"/>
      <c r="X65" s="64"/>
      <c r="Y65" s="64"/>
      <c r="Z65" s="64"/>
    </row>
    <row r="66" spans="2:26" ht="15.6">
      <c r="B66" s="517"/>
      <c r="C66" s="71"/>
      <c r="D66" s="100"/>
      <c r="E66" s="100"/>
      <c r="F66" s="100"/>
      <c r="G66" s="100"/>
      <c r="H66" s="100"/>
      <c r="I66" s="100"/>
      <c r="J66" s="100"/>
      <c r="K66" s="73"/>
      <c r="L66" s="112" t="s">
        <v>200</v>
      </c>
      <c r="M66" s="113">
        <v>2</v>
      </c>
      <c r="N66" s="113">
        <v>2</v>
      </c>
      <c r="O66" s="113">
        <v>4</v>
      </c>
      <c r="P66" s="102">
        <v>0</v>
      </c>
      <c r="Q66" s="72"/>
      <c r="R66" s="64"/>
      <c r="S66" s="64"/>
      <c r="T66" s="64"/>
      <c r="U66" s="64"/>
      <c r="V66" s="64"/>
      <c r="W66" s="64"/>
      <c r="X66" s="64"/>
      <c r="Y66" s="64"/>
      <c r="Z66" s="64"/>
    </row>
    <row r="67" spans="2:26" ht="15.6">
      <c r="B67" s="517"/>
      <c r="C67" s="71"/>
      <c r="D67" s="100"/>
      <c r="E67" s="100"/>
      <c r="F67" s="100"/>
      <c r="G67" s="100"/>
      <c r="H67" s="100"/>
      <c r="I67" s="100"/>
      <c r="J67" s="100"/>
      <c r="K67" s="73"/>
      <c r="L67" s="112" t="s">
        <v>214</v>
      </c>
      <c r="M67" s="113">
        <v>2</v>
      </c>
      <c r="N67" s="113">
        <v>2</v>
      </c>
      <c r="O67" s="113">
        <v>0</v>
      </c>
      <c r="P67" s="102">
        <v>4</v>
      </c>
      <c r="Q67" s="72"/>
      <c r="R67" s="64"/>
      <c r="S67" s="64"/>
      <c r="T67" s="64"/>
      <c r="U67" s="64"/>
      <c r="V67" s="64"/>
      <c r="W67" s="64"/>
      <c r="X67" s="64"/>
      <c r="Y67" s="64"/>
      <c r="Z67" s="64"/>
    </row>
    <row r="68" spans="2:26" ht="15.6">
      <c r="B68" s="517"/>
      <c r="C68" s="71"/>
      <c r="D68" s="100"/>
      <c r="E68" s="100"/>
      <c r="F68" s="100"/>
      <c r="G68" s="100"/>
      <c r="H68" s="100"/>
      <c r="I68" s="100"/>
      <c r="J68" s="100"/>
      <c r="K68" s="73"/>
      <c r="L68" s="112" t="s">
        <v>203</v>
      </c>
      <c r="M68" s="113">
        <v>2</v>
      </c>
      <c r="N68" s="113">
        <v>2</v>
      </c>
      <c r="O68" s="113">
        <v>4</v>
      </c>
      <c r="P68" s="102">
        <v>0</v>
      </c>
      <c r="Q68" s="72"/>
      <c r="R68" s="64"/>
      <c r="S68" s="64"/>
      <c r="T68" s="64"/>
      <c r="U68" s="64"/>
      <c r="V68" s="64"/>
      <c r="W68" s="64"/>
      <c r="X68" s="64"/>
      <c r="Y68" s="64"/>
      <c r="Z68" s="64"/>
    </row>
    <row r="69" spans="2:26" ht="15.6">
      <c r="B69" s="517"/>
      <c r="C69" s="71"/>
      <c r="D69" s="100"/>
      <c r="E69" s="100"/>
      <c r="F69" s="100"/>
      <c r="G69" s="100"/>
      <c r="H69" s="100"/>
      <c r="I69" s="100"/>
      <c r="J69" s="100"/>
      <c r="K69" s="73"/>
      <c r="L69" s="100" t="s">
        <v>485</v>
      </c>
      <c r="M69" s="100"/>
      <c r="N69" s="100"/>
      <c r="O69" s="100"/>
      <c r="P69" s="100"/>
      <c r="Q69" s="72"/>
      <c r="R69" s="64"/>
      <c r="S69" s="64"/>
      <c r="T69" s="64"/>
      <c r="U69" s="64"/>
      <c r="V69" s="64"/>
      <c r="W69" s="64"/>
      <c r="X69" s="64"/>
      <c r="Y69" s="64"/>
      <c r="Z69" s="64"/>
    </row>
    <row r="70" spans="2:26" ht="15.6">
      <c r="B70" s="517"/>
      <c r="C70" s="71"/>
      <c r="D70" s="100"/>
      <c r="E70" s="100"/>
      <c r="F70" s="100"/>
      <c r="G70" s="100"/>
      <c r="H70" s="100"/>
      <c r="I70" s="100"/>
      <c r="J70" s="100"/>
      <c r="K70" s="73"/>
      <c r="L70" s="518" t="s">
        <v>363</v>
      </c>
      <c r="M70" s="520" t="s">
        <v>482</v>
      </c>
      <c r="N70" s="521"/>
      <c r="O70" s="520" t="s">
        <v>483</v>
      </c>
      <c r="P70" s="522"/>
      <c r="Q70" s="72"/>
      <c r="R70" s="64"/>
      <c r="S70" s="64"/>
      <c r="T70" s="64"/>
      <c r="U70" s="64"/>
      <c r="V70" s="64"/>
      <c r="W70" s="64"/>
      <c r="X70" s="64"/>
      <c r="Y70" s="64"/>
      <c r="Z70" s="64"/>
    </row>
    <row r="71" spans="2:26" ht="15.6">
      <c r="B71" s="517"/>
      <c r="C71" s="71"/>
      <c r="D71" s="100"/>
      <c r="E71" s="100"/>
      <c r="F71" s="100"/>
      <c r="G71" s="100"/>
      <c r="H71" s="100"/>
      <c r="I71" s="100"/>
      <c r="J71" s="100"/>
      <c r="K71" s="73"/>
      <c r="L71" s="519"/>
      <c r="M71" s="103" t="s">
        <v>0</v>
      </c>
      <c r="N71" s="103" t="s">
        <v>484</v>
      </c>
      <c r="O71" s="103" t="s">
        <v>0</v>
      </c>
      <c r="P71" s="111" t="s">
        <v>484</v>
      </c>
      <c r="Q71" s="72"/>
      <c r="R71" s="64"/>
      <c r="S71" s="64"/>
      <c r="T71" s="64"/>
      <c r="U71" s="64"/>
      <c r="V71" s="64"/>
      <c r="W71" s="64"/>
      <c r="X71" s="64"/>
      <c r="Y71" s="64"/>
      <c r="Z71" s="64"/>
    </row>
    <row r="72" spans="2:26" ht="15.6">
      <c r="B72" s="517"/>
      <c r="C72" s="71"/>
      <c r="D72" s="100"/>
      <c r="E72" s="100"/>
      <c r="F72" s="100"/>
      <c r="G72" s="100"/>
      <c r="H72" s="100"/>
      <c r="I72" s="100"/>
      <c r="J72" s="100"/>
      <c r="K72" s="73"/>
      <c r="L72" s="112" t="s">
        <v>449</v>
      </c>
      <c r="M72" s="113">
        <v>1</v>
      </c>
      <c r="N72" s="113">
        <v>1</v>
      </c>
      <c r="O72" s="113">
        <v>2</v>
      </c>
      <c r="P72" s="102">
        <v>0</v>
      </c>
      <c r="Q72" s="72"/>
      <c r="R72" s="64"/>
      <c r="S72" s="64"/>
      <c r="T72" s="64"/>
      <c r="U72" s="64"/>
      <c r="V72" s="64"/>
      <c r="W72" s="64"/>
      <c r="X72" s="64"/>
      <c r="Y72" s="64"/>
      <c r="Z72" s="64"/>
    </row>
    <row r="73" spans="2:26" ht="15.6">
      <c r="B73" s="517"/>
      <c r="C73" s="71"/>
      <c r="D73" s="100"/>
      <c r="E73" s="100"/>
      <c r="F73" s="100"/>
      <c r="G73" s="100"/>
      <c r="H73" s="100"/>
      <c r="I73" s="100"/>
      <c r="J73" s="100"/>
      <c r="K73" s="73"/>
      <c r="L73" s="112" t="s">
        <v>453</v>
      </c>
      <c r="M73" s="113">
        <v>2</v>
      </c>
      <c r="N73" s="113">
        <v>2</v>
      </c>
      <c r="O73" s="113">
        <v>0</v>
      </c>
      <c r="P73" s="102">
        <v>4</v>
      </c>
      <c r="Q73" s="72"/>
      <c r="R73" s="64"/>
      <c r="S73" s="64"/>
      <c r="T73" s="64"/>
      <c r="U73" s="64"/>
      <c r="V73" s="64"/>
      <c r="W73" s="64"/>
      <c r="X73" s="64"/>
      <c r="Y73" s="64"/>
      <c r="Z73" s="64"/>
    </row>
    <row r="74" spans="2:26" ht="15.6">
      <c r="B74" s="517"/>
      <c r="C74" s="71"/>
      <c r="D74" s="100"/>
      <c r="E74" s="100"/>
      <c r="F74" s="100"/>
      <c r="G74" s="100"/>
      <c r="H74" s="100"/>
      <c r="I74" s="100"/>
      <c r="J74" s="100"/>
      <c r="K74" s="73"/>
      <c r="L74" s="523" t="s">
        <v>486</v>
      </c>
      <c r="M74" s="509" t="s">
        <v>487</v>
      </c>
      <c r="N74" s="509" t="s">
        <v>487</v>
      </c>
      <c r="O74" s="114">
        <v>8</v>
      </c>
      <c r="P74" s="115">
        <v>0</v>
      </c>
      <c r="Q74" s="72"/>
      <c r="R74" s="64"/>
      <c r="S74" s="64"/>
      <c r="T74" s="64"/>
      <c r="U74" s="64"/>
      <c r="V74" s="64"/>
      <c r="W74" s="64"/>
      <c r="X74" s="64"/>
      <c r="Y74" s="64"/>
      <c r="Z74" s="64"/>
    </row>
    <row r="75" spans="2:26" ht="15.6">
      <c r="B75" s="517"/>
      <c r="C75" s="71"/>
      <c r="D75" s="100"/>
      <c r="E75" s="100"/>
      <c r="F75" s="100"/>
      <c r="G75" s="100"/>
      <c r="H75" s="100"/>
      <c r="I75" s="100"/>
      <c r="J75" s="100"/>
      <c r="K75" s="73"/>
      <c r="L75" s="524"/>
      <c r="M75" s="510"/>
      <c r="N75" s="510"/>
      <c r="O75" s="114">
        <v>4</v>
      </c>
      <c r="P75" s="115">
        <v>4</v>
      </c>
      <c r="Q75" s="72"/>
      <c r="R75" s="64"/>
      <c r="S75" s="64"/>
      <c r="T75" s="64"/>
      <c r="U75" s="64"/>
      <c r="V75" s="64"/>
      <c r="W75" s="64"/>
      <c r="X75" s="64"/>
      <c r="Y75" s="64"/>
      <c r="Z75" s="64"/>
    </row>
    <row r="76" spans="2:26" ht="33.75" customHeight="1">
      <c r="B76" s="517"/>
      <c r="C76" s="71"/>
      <c r="D76" s="100"/>
      <c r="E76" s="100"/>
      <c r="F76" s="100"/>
      <c r="G76" s="100"/>
      <c r="H76" s="100"/>
      <c r="I76" s="100"/>
      <c r="J76" s="100"/>
      <c r="K76" s="73"/>
      <c r="L76" s="511" t="s">
        <v>488</v>
      </c>
      <c r="M76" s="512"/>
      <c r="N76" s="512"/>
      <c r="O76" s="512"/>
      <c r="P76" s="512"/>
      <c r="Q76" s="72"/>
      <c r="R76" s="64"/>
      <c r="S76" s="64"/>
      <c r="T76" s="64"/>
      <c r="U76" s="64"/>
      <c r="V76" s="64"/>
      <c r="W76" s="64"/>
      <c r="X76" s="64"/>
      <c r="Y76" s="64"/>
      <c r="Z76" s="64"/>
    </row>
    <row r="77" spans="2:26" ht="5.25" customHeight="1">
      <c r="B77" s="517"/>
      <c r="C77" s="116"/>
      <c r="D77" s="117"/>
      <c r="E77" s="117"/>
      <c r="F77" s="117"/>
      <c r="G77" s="117"/>
      <c r="H77" s="117"/>
      <c r="I77" s="117"/>
      <c r="J77" s="117"/>
      <c r="K77" s="118"/>
      <c r="L77" s="117"/>
      <c r="M77" s="117"/>
      <c r="N77" s="117"/>
      <c r="O77" s="117"/>
      <c r="P77" s="117"/>
      <c r="Q77" s="119"/>
      <c r="R77" s="64"/>
      <c r="S77" s="64"/>
      <c r="T77" s="64"/>
      <c r="U77" s="64"/>
      <c r="V77" s="64"/>
      <c r="W77" s="64"/>
      <c r="X77" s="64"/>
      <c r="Y77" s="64"/>
      <c r="Z77" s="64"/>
    </row>
    <row r="78" spans="2:26" ht="5.25" customHeight="1">
      <c r="B78" s="513" t="s">
        <v>489</v>
      </c>
      <c r="C78" s="120"/>
      <c r="D78" s="121"/>
      <c r="E78" s="121"/>
      <c r="F78" s="121"/>
      <c r="G78" s="121"/>
      <c r="H78" s="121"/>
      <c r="I78" s="121"/>
      <c r="J78" s="121"/>
      <c r="K78" s="122"/>
      <c r="L78" s="121"/>
      <c r="M78" s="121"/>
      <c r="N78" s="121"/>
      <c r="O78" s="121"/>
      <c r="P78" s="121"/>
      <c r="Q78" s="123"/>
      <c r="R78" s="64"/>
      <c r="S78" s="64"/>
      <c r="T78" s="64"/>
      <c r="U78" s="64"/>
      <c r="V78" s="64"/>
      <c r="W78" s="64"/>
      <c r="X78" s="64"/>
      <c r="Y78" s="64"/>
      <c r="Z78" s="64"/>
    </row>
    <row r="79" spans="2:26" ht="15.6">
      <c r="B79" s="514"/>
      <c r="C79" s="71"/>
      <c r="D79" s="100" t="s">
        <v>490</v>
      </c>
      <c r="E79" s="100"/>
      <c r="F79" s="100"/>
      <c r="G79" s="100"/>
      <c r="H79" s="100"/>
      <c r="I79" s="100"/>
      <c r="J79" s="100"/>
      <c r="K79" s="73"/>
      <c r="L79" s="100" t="s">
        <v>491</v>
      </c>
      <c r="M79" s="100"/>
      <c r="N79" s="100"/>
      <c r="O79" s="100"/>
      <c r="P79" s="100"/>
      <c r="Q79" s="72"/>
      <c r="R79" s="64"/>
      <c r="S79" s="64"/>
      <c r="T79" s="64"/>
      <c r="U79" s="64"/>
      <c r="V79" s="64"/>
      <c r="W79" s="64"/>
      <c r="X79" s="64"/>
      <c r="Y79" s="64"/>
      <c r="Z79" s="64"/>
    </row>
    <row r="80" spans="2:26" ht="15.6">
      <c r="B80" s="514"/>
      <c r="C80" s="71"/>
      <c r="D80" s="100"/>
      <c r="E80" s="100"/>
      <c r="F80" s="100"/>
      <c r="G80" s="100"/>
      <c r="H80" s="100"/>
      <c r="I80" s="100"/>
      <c r="J80" s="100"/>
      <c r="K80" s="73"/>
      <c r="L80" s="100" t="s">
        <v>492</v>
      </c>
      <c r="M80" s="100"/>
      <c r="N80" s="100"/>
      <c r="O80" s="100"/>
      <c r="P80" s="100"/>
      <c r="Q80" s="72"/>
      <c r="R80" s="64"/>
      <c r="S80" s="64"/>
      <c r="T80" s="64"/>
      <c r="U80" s="64"/>
      <c r="V80" s="64"/>
      <c r="W80" s="64"/>
      <c r="X80" s="64"/>
      <c r="Y80" s="64"/>
      <c r="Z80" s="64"/>
    </row>
    <row r="81" spans="2:26" ht="5.25" customHeight="1" thickBot="1">
      <c r="B81" s="515"/>
      <c r="C81" s="74"/>
      <c r="D81" s="75"/>
      <c r="E81" s="75"/>
      <c r="F81" s="75"/>
      <c r="G81" s="75"/>
      <c r="H81" s="75"/>
      <c r="I81" s="75"/>
      <c r="J81" s="75"/>
      <c r="K81" s="77"/>
      <c r="L81" s="75"/>
      <c r="M81" s="75"/>
      <c r="N81" s="75"/>
      <c r="O81" s="75"/>
      <c r="P81" s="75"/>
      <c r="Q81" s="76"/>
      <c r="R81" s="64"/>
      <c r="S81" s="64"/>
      <c r="T81" s="64"/>
      <c r="U81" s="64"/>
      <c r="V81" s="64"/>
      <c r="W81" s="64"/>
      <c r="X81" s="64"/>
      <c r="Y81" s="64"/>
      <c r="Z81" s="64"/>
    </row>
    <row r="82" spans="2:26" ht="4.5" customHeight="1"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2:26" ht="15.6" hidden="1"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2:26" ht="15.6" hidden="1"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2:26" ht="15.6" hidden="1"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2:26" ht="15.6" hidden="1"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2:26" ht="15.6" hidden="1"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2:26" ht="15.6" hidden="1"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2:26" ht="15.6" hidden="1"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2:26" ht="15.6" hidden="1"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2:26" ht="15.6" hidden="1"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2:26" ht="15.6" hidden="1"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2:26" ht="15.6" hidden="1"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2:26" ht="15.6" hidden="1"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2:26" ht="15.6" hidden="1"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2:26" ht="15.6" hidden="1"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2:26" ht="15.6" hidden="1"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2:26" ht="15.6" hidden="1"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2:26" ht="15.6" hidden="1"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2:26" ht="15.6" hidden="1"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2:26" ht="15.6" hidden="1"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2:26" ht="15.6" hidden="1"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2:26" ht="15.6" hidden="1"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2:26" ht="15.6" hidden="1"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2:26" ht="15.6" hidden="1"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2:26" ht="15.6" hidden="1"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2:26" ht="15.6" hidden="1"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2:26" ht="15.6" hidden="1"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2:26" ht="15.6" hidden="1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2:26" ht="15.6" hidden="1"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2:26" ht="15.6" hidden="1"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2:26" ht="15.6" hidden="1"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2:26" ht="15.6" hidden="1"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2:26" ht="15.6" hidden="1"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2:26" ht="15.6" hidden="1"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2:26" ht="15.6" hidden="1"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2:26" ht="15.6" hidden="1"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2:26" ht="15.6" hidden="1"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2:26" ht="15.6" hidden="1"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2:26" ht="15.6" hidden="1"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2:26" ht="15.6" hidden="1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2:26" ht="15.6" hidden="1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2:26" ht="15.6" hidden="1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2:26" ht="15.6" hidden="1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2:26" ht="15.6" hidden="1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2:26" ht="15.6" hidden="1"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2:26" ht="15.6" hidden="1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2:26" ht="15.6" hidden="1"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2:26" ht="15.6" hidden="1"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2:26" ht="15.6" hidden="1"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2:26" ht="15.6" hidden="1"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2:26" ht="15.6" hidden="1"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2:26" ht="15.6" hidden="1"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2:26" ht="15.6" hidden="1"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2:26" ht="15.6" hidden="1"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2:26" ht="15.6" hidden="1"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2:26" ht="15.6" hidden="1"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2:26" ht="15.6" hidden="1"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2:26" ht="15.6" hidden="1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2:26" ht="15.6" hidden="1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2:26" ht="15.6" hidden="1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2:26" ht="15.6" hidden="1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2:26" ht="15.6" hidden="1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2:26" ht="15.6" hidden="1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2:26" ht="15.6" hidden="1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2:26" ht="15.6" hidden="1"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2:26" ht="15.6" hidden="1"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2:26" ht="15.6" hidden="1"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2:26" ht="15.6" hidden="1"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2:26" ht="15.6" hidden="1"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2:26" ht="15.6" hidden="1"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2:26" ht="15.6" hidden="1"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2:26" ht="15.6" hidden="1"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2:26" ht="15.6" hidden="1"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2:26" ht="15.6" hidden="1"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2:26" ht="15.6" hidden="1"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2:26" ht="15.6" hidden="1"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2:26" ht="15.6" hidden="1"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2:26" ht="15.6" hidden="1"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2:26" ht="15.6" hidden="1"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2:26" ht="15.6" hidden="1"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2:26" ht="15.6" hidden="1"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2:26" ht="15.6" hidden="1"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2:26" ht="15.6" hidden="1"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2:26" ht="15.6" hidden="1"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2:26" ht="15.6" hidden="1"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2:26" ht="15.6" hidden="1"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2:26" ht="15.6" hidden="1"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2:26" ht="15.6" hidden="1"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2:26" ht="15.6" hidden="1"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2:26" ht="15.6" hidden="1"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2:26" ht="15.6" hidden="1"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2:26" ht="15.6" hidden="1"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2:26" ht="15.6" hidden="1"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2:26" ht="15.6" hidden="1"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2:26" ht="15.6" hidden="1"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2:26" ht="15.6" hidden="1"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2:26" ht="15.6" hidden="1"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2:26" ht="15.6" hidden="1"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2:26" ht="15.6" hidden="1"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2:26" ht="15.6" hidden="1"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2:26" ht="15.6" hidden="1"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2:26" ht="15.6" hidden="1"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2:26" ht="15.6" hidden="1"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2:26" ht="15.6" hidden="1"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2:26" ht="15.6" hidden="1"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2:26" ht="15.6" hidden="1"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2:26" ht="15.6" hidden="1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2:26" ht="15.6" hidden="1"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2:26" ht="15.6" hidden="1"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2:26" ht="15.6" hidden="1"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2:26" ht="15.6" hidden="1"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2:26" ht="15.6" hidden="1"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2:26" ht="15.6" hidden="1"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2:26" ht="15.6" hidden="1"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2:26" ht="15.6" hidden="1"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2:26" ht="15.6" hidden="1"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2:26" ht="15.6" hidden="1"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2:26" ht="15.6" hidden="1"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2:26" ht="15.6" hidden="1"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2:26" ht="15.6" hidden="1"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2:26" ht="15.6" hidden="1"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2:26" ht="15.6" hidden="1"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2:26" ht="15.6" hidden="1"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2:26" ht="15.6" hidden="1"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2:26" ht="15.6" hidden="1"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2:26" ht="15.6" hidden="1"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2:26" ht="15.6" hidden="1"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2:26" ht="15.6" hidden="1"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2:26" ht="15.6" hidden="1"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2:26" ht="15.6" hidden="1"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2:26" ht="15.6" hidden="1"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2:26" ht="15.6" hidden="1"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2:26" ht="15.6" hidden="1"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2:26" ht="15.6" hidden="1"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2:26" ht="15.6" hidden="1"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2:26" ht="15.6" hidden="1"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2:26" ht="15.6" hidden="1"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2:26" ht="15.6" hidden="1"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2:26" ht="15.6" hidden="1"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2:26" ht="15.6" hidden="1"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2:26" ht="15.6" hidden="1"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2:26" ht="15.6" hidden="1"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2:26" ht="15.6" hidden="1"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2:26" ht="15.6" hidden="1"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2:26" ht="15.6" hidden="1"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2:26" ht="15.6" hidden="1"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2:26" ht="15.6" hidden="1"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2:26" ht="15.6" hidden="1"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2:26" ht="15.6" hidden="1"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2:26" ht="15.6" hidden="1"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2:26" ht="15.6" hidden="1"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2:26" ht="15.6" hidden="1"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2:26" ht="15.6" hidden="1"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2:26" ht="15.6" hidden="1"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2:26" ht="15.6" hidden="1"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2:26" ht="15.6" hidden="1"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2:26" ht="15.6" hidden="1"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2:26" ht="15.6" hidden="1"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2:26" ht="15.6" hidden="1"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2:26" ht="15.6" hidden="1"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2:26" ht="15.6" hidden="1"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2:26" ht="15.6" hidden="1"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2:26" ht="15.6" hidden="1"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2:26" ht="15.6" hidden="1"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2:26" ht="15.6" hidden="1"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2:26" ht="15.6" hidden="1"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2:26" ht="15.6" hidden="1"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2:26" ht="15.6" hidden="1"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2:26" ht="15.6" hidden="1"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2:26" ht="15.6" hidden="1"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2:26" ht="15.6" hidden="1"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2:26" ht="15.6" hidden="1"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2:26" ht="15.6" hidden="1"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2:26" ht="15.6" hidden="1"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2:26" ht="15.6" hidden="1"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2:26" ht="15.6" hidden="1"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2:26" ht="15.6" hidden="1"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2:26" ht="15.6" hidden="1"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2:26" ht="15.6" hidden="1"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2:26" ht="15.6" hidden="1"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2:26" ht="15.6" hidden="1"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2:26" ht="15.6" hidden="1"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2:26" ht="15.6" hidden="1"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2:26" ht="15.6" hidden="1"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2:26" ht="15.6" hidden="1"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2:26" ht="15.6" hidden="1"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2:26" ht="15.6" hidden="1"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2:26" ht="15.6" hidden="1"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2:26" ht="15.6" hidden="1"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2:26" ht="15.6" hidden="1"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2:26" ht="15.6" hidden="1"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2:26" ht="15.6" hidden="1"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2:26" ht="15.6" hidden="1"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2:26" ht="15.6" hidden="1"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2:26" ht="15.6" hidden="1"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2:26" ht="15.6" hidden="1"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2:26" ht="15.6" hidden="1"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2:26" ht="15.6" hidden="1"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2:26" ht="15.6" hidden="1"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2:26" ht="15.6" hidden="1"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2:26" ht="15.6" hidden="1"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2:26" ht="15.6" hidden="1"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2:26" ht="15.6" hidden="1"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2:26" ht="15.6" hidden="1"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2:26" ht="15.6" hidden="1"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2:26" ht="15.6" hidden="1"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2:26" ht="15.6" hidden="1"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2:26" ht="15.6" hidden="1"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2:26" ht="15.6" hidden="1"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2:26" ht="15.6" hidden="1"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2:26" ht="15.6" hidden="1"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2:26" ht="15.6" hidden="1"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2:26" ht="15.6" hidden="1"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2:26" ht="15.6" hidden="1"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2:26" ht="15.6" hidden="1"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2:26" ht="15.6" hidden="1"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2:26" ht="15.6" hidden="1"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2:26" ht="15.6" hidden="1"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2:26" ht="15.6" hidden="1"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2:26" ht="15.6" hidden="1"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2:26" ht="15.6" hidden="1"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2:26" ht="15.6" hidden="1"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2:26" ht="15.6" hidden="1"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2:26" ht="15.6" hidden="1"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2:26" ht="15.6" hidden="1"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2:26" ht="15.6" hidden="1"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2:26" ht="15.6" hidden="1"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2:26" ht="15.6" hidden="1"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2:26" ht="15.6" hidden="1"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2:26" ht="15.6" hidden="1"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2:26" ht="15.6" hidden="1"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2:26" ht="15.6" hidden="1"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2:26" ht="15.6" hidden="1"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2:26" ht="15.6" hidden="1"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2:26" ht="15.6" hidden="1"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2:26" ht="15.6" hidden="1"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2:26" ht="15.6" hidden="1"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2:26" ht="15.6" hidden="1"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2:26" ht="15.6" hidden="1"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2:26" ht="15.6" hidden="1"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2:26" ht="15.6" hidden="1"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2:26" ht="15.6" hidden="1"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2:26" ht="15.6" hidden="1"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2:26" ht="15.6" hidden="1"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2:26" ht="15.6" hidden="1"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2:26" ht="15.6" hidden="1"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2:26" ht="15.6" hidden="1"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2:26" ht="15.6" hidden="1"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2:26" ht="15.6" hidden="1"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2:26" ht="15.6" hidden="1"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2:26" ht="15.6" hidden="1"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2:26" ht="15.6" hidden="1"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2:26" ht="15.6" hidden="1"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2:26" ht="15.6" hidden="1"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2:26" ht="15.6" hidden="1"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2:26" ht="15.6" hidden="1"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2:26" ht="15.6" hidden="1"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2:26" ht="15.6" hidden="1"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2:26" ht="15.6" hidden="1"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2:26" ht="15.6" hidden="1"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2:26" ht="15.6" hidden="1"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2:26" ht="15.6" hidden="1"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2:26" ht="15.6" hidden="1"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2:26" ht="15.6" hidden="1"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2:26" ht="15.6" hidden="1"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2:26" ht="15.6" hidden="1"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2:26" ht="15.6" hidden="1"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2:26" ht="15.6" hidden="1"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2:26" ht="15.6" hidden="1"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2:26" ht="15.6" hidden="1"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2:26" ht="15.6" hidden="1"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2:26" ht="15.6" hidden="1"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2:26" ht="15.6" hidden="1"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2:26" ht="15.6" hidden="1"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2:26" ht="15.6" hidden="1"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2:26" ht="15.6" hidden="1"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2:26" ht="15.6" hidden="1"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2:26" ht="15.6" hidden="1"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2:26" ht="15.6" hidden="1"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2:26" ht="15.6" hidden="1"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2:26" ht="15.6" hidden="1"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2:26" ht="15.6" hidden="1"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2:26" ht="15.6" hidden="1"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2:26" ht="15.6" hidden="1"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2:26" ht="15.6" hidden="1"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2:26" ht="15.6" hidden="1"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2:26" ht="15.6" hidden="1"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2:26" ht="15.6" hidden="1"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2:26" ht="15.6" hidden="1"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2:26" ht="15.6" hidden="1"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2:26" ht="15.6" hidden="1"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2:26" ht="15.6" hidden="1"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2:26" ht="15.6" hidden="1"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2:26" ht="15.6" hidden="1"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2:26" ht="15.6" hidden="1"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2:26" ht="15.6" hidden="1"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2:26" ht="15.6" hidden="1"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2:26" ht="15.6" hidden="1"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2:26" ht="15.6" hidden="1"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2:26" ht="15.6" hidden="1"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2:26" ht="15.6" hidden="1"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2:26" ht="15.6" hidden="1"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2:26" ht="15.6" hidden="1"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2:26" ht="15.6" hidden="1"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2:26" ht="15.6" hidden="1"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2:26" ht="15.6" hidden="1"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2:26" ht="15.6" hidden="1"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2:26" ht="15.6" hidden="1"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2:26" ht="15.6" hidden="1"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2:26" ht="15.6" hidden="1"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2:26" ht="15.6" hidden="1"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2:26" ht="15.6" hidden="1"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2:26" ht="15.6" hidden="1"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2:26" ht="15.6" hidden="1"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2:26" ht="15.6" hidden="1"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2:26" ht="15.6" hidden="1"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2:26" ht="15.6" hidden="1"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2:26" ht="15.6" hidden="1"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2:26" ht="15.6" hidden="1"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2:26" ht="15.6" hidden="1"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2:26" ht="15.6" hidden="1"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2:26" ht="15.6" hidden="1"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2:26" ht="15.6" hidden="1"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2:26" ht="15.6" hidden="1"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2:26" ht="15.6" hidden="1"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2:26" ht="15.6" hidden="1"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2:26" ht="15.6" hidden="1"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2:26" ht="15.6" hidden="1"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2:26" ht="15.6" hidden="1"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2:26" ht="15.6" hidden="1"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2:26" ht="15.6" hidden="1"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2:26" ht="15.6" hidden="1"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2:26" ht="15.6" hidden="1"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2:26" ht="15.6" hidden="1"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2:26" ht="15.6" hidden="1"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2:26" ht="15.6" hidden="1"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2:26" ht="15.6" hidden="1"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2:26" ht="15.6" hidden="1"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2:26" ht="15.6" hidden="1"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2:26" ht="15.6" hidden="1"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2:26" ht="15.6" hidden="1"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2:26" ht="15.6" hidden="1"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2:26" ht="15.6" hidden="1"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2:26" ht="15.6" hidden="1"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2:26" ht="15.6" hidden="1"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2:26" ht="15.6" hidden="1"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2:26" ht="15.6" hidden="1"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2:26" ht="15.6" hidden="1"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2:26" ht="15.6" hidden="1"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2:26" ht="15.6" hidden="1"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2:26" ht="15.6" hidden="1"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2:26" ht="15.6" hidden="1"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2:26" ht="15.6" hidden="1"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2:26" ht="15.6" hidden="1"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2:26" ht="15.6" hidden="1"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2:26" ht="15.6" hidden="1"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2:26" ht="15.6" hidden="1"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2:26" ht="15.6" hidden="1"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2:26" ht="15.6" hidden="1"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2:26" ht="15.6" hidden="1"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2:26" ht="15.6" hidden="1"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2:26" ht="15.6" hidden="1"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2:26" ht="15.6" hidden="1"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2:26" ht="15.6" hidden="1"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2:26" ht="15.6" hidden="1"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2:26" ht="15.6" hidden="1"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2:26" ht="15.6" hidden="1"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2:26" ht="15.6" hidden="1"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2:26" ht="15.6" hidden="1"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2:26" ht="15.6" hidden="1"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2:26" ht="15.6" hidden="1"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2:26" ht="15.6" hidden="1"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2:26" ht="15.6" hidden="1"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2:26" ht="15.6" hidden="1"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2:26" ht="15.6" hidden="1"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2:26" ht="15.6" hidden="1"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2:26" ht="15.6" hidden="1"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2:26" ht="15.6" hidden="1"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2:26" ht="15.6" hidden="1"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2:26" ht="15.6" hidden="1"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2:26" ht="15.6" hidden="1"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2:26" ht="15.6" hidden="1"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2:26" ht="15.6" hidden="1"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2:26" ht="15.6" hidden="1"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2:26" ht="15.6" hidden="1"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2:26" ht="15.6" hidden="1"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2:26" ht="15.6" hidden="1"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2:26" ht="15.6" hidden="1"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2:26" ht="15.6" hidden="1"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2:26" ht="15.6" hidden="1"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2:26" ht="15.6" hidden="1"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2:26" ht="15.6" hidden="1"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2:26" ht="15.6" hidden="1"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2:26" ht="15.6" hidden="1"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2:26" ht="15.6" hidden="1"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2:26" ht="15.6" hidden="1"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2:26" ht="15.6" hidden="1"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2:26" ht="15.6" hidden="1"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2:26" ht="15.6" hidden="1"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2:26" ht="15.6" hidden="1"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2:26" ht="15.6" hidden="1"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2:26" ht="15.6" hidden="1"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2:26" ht="15.6" hidden="1"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2:26" ht="15.6" hidden="1"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2:26" ht="15.6" hidden="1"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2:26" ht="15.6" hidden="1"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2:26" ht="15.6" hidden="1"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2:26" ht="15.6" hidden="1"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2:26" ht="15.6" hidden="1"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2:26" ht="15.6" hidden="1"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2:26" ht="15.6" hidden="1"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2:26" ht="15.6" hidden="1"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2:26" ht="15.6" hidden="1"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2:26" ht="15.6" hidden="1"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2:26" ht="15.6" hidden="1"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2:26" ht="15.6" hidden="1"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2:26" ht="15.6" hidden="1"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2:26" ht="15.6" hidden="1"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2:26" ht="15.6" hidden="1"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2:26" ht="15.6" hidden="1"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2:26" ht="15.6" hidden="1"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2:26" ht="15.6" hidden="1"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2:26" ht="15.6" hidden="1"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2:26" ht="15.6" hidden="1"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2:26" ht="15.6" hidden="1"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2:26" ht="15.6" hidden="1"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2:26" ht="15.6" hidden="1"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2:26" ht="15.6" hidden="1"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2:26" ht="15.6" hidden="1"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2:26" ht="15.6" hidden="1"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2:26" ht="15.6" hidden="1"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2:26" ht="15.6" hidden="1"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2:26" ht="15.6" hidden="1"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2:26" ht="15.6" hidden="1"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2:26" ht="15.6" hidden="1"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2:26" ht="15.6" hidden="1"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2:26" ht="15.6" hidden="1"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2:26" ht="15.6" hidden="1"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2:26" ht="15.6" hidden="1"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2:26" ht="15.6" hidden="1"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2:26" ht="15.6" hidden="1"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2:26" ht="15.6" hidden="1"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2:26" ht="15.6" hidden="1"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2:26" ht="15.6" hidden="1"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2:26" ht="15.6" hidden="1"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2:26" ht="15.6" hidden="1"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2:26" ht="15.6" hidden="1"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2:26" ht="15.6" hidden="1"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2:26" ht="15.6" hidden="1"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2:26" ht="15.6" hidden="1"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2:26" ht="15.6" hidden="1"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2:26" ht="15.6" hidden="1"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2:26" ht="15.6" hidden="1"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2:26" ht="15.6" hidden="1"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2:26" ht="15.6" hidden="1"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2:26" ht="15.6" hidden="1"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2:26" ht="15.6" hidden="1"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2:26" ht="15.6" hidden="1"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2:26" ht="15.6" hidden="1"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2:26" ht="15.6" hidden="1"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2:26" ht="15.6" hidden="1"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2:26" ht="15.6" hidden="1"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2:26" ht="15.6" hidden="1"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2:26" ht="15.6" hidden="1"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2:26" ht="15.6" hidden="1"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2:26" ht="15.6" hidden="1"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2:26" ht="15.6" hidden="1"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2:26" ht="15.6" hidden="1"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2:26" ht="15.6" hidden="1"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2:26" ht="15.6" hidden="1"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2:26" ht="15.6" hidden="1"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2:26" ht="15.6" hidden="1"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2:26" ht="15.6" hidden="1"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2:26" ht="15.6" hidden="1"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2:26" ht="15.6" hidden="1"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2:26" ht="15.6" hidden="1"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2:26" ht="15.6" hidden="1"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2:26" ht="15.6" hidden="1"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2:26" ht="15.6" hidden="1"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2:26" ht="15.6" hidden="1"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2:26" ht="15.6" hidden="1"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2:26" ht="15.6" hidden="1"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2:26" ht="15.6" hidden="1"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2:26" ht="15.6" hidden="1"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2:26" ht="15.6" hidden="1"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2:26" ht="15.6" hidden="1"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2:26" ht="15.6" hidden="1"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2:26" ht="15.6" hidden="1"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2:26" ht="15.6" hidden="1"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2:26" ht="15.6" hidden="1"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2:26" ht="15.6" hidden="1"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2:26" ht="15.6" hidden="1"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2:26" ht="15.6" hidden="1"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2:26" ht="15.6" hidden="1"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2:26" ht="15.6" hidden="1"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2:26" ht="15.6" hidden="1"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2:26" ht="15.6" hidden="1"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2:26" ht="15.6" hidden="1"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2:26" ht="15.6" hidden="1"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2:26" ht="15.6" hidden="1"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2:26" ht="15.6" hidden="1"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2:26" ht="15.6" hidden="1"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2:26" ht="15.6" hidden="1"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2:26" ht="15.6" hidden="1"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2:26" ht="15.6" hidden="1"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2:26" ht="15.6" hidden="1"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2:26" ht="15.6" hidden="1"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2:26" ht="15.6" hidden="1"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2:26" ht="15.6" hidden="1"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2:26" ht="15.6" hidden="1"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2:26" ht="15.6" hidden="1"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2:26" ht="15.6" hidden="1"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2:26" ht="15.6" hidden="1"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2:26" ht="15.6" hidden="1"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2:26" ht="15.6" hidden="1"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2:26" ht="15.6" hidden="1"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2:26" ht="15.6" hidden="1"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2:26" ht="15.6" hidden="1"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2:26" ht="15.6" hidden="1"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2:26" ht="15.6" hidden="1"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2:26" ht="15.6" hidden="1"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2:26" ht="15.6" hidden="1"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2:26" ht="15.6" hidden="1"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2:26" ht="15.6" hidden="1"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2:26" ht="15.6" hidden="1"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2:26" ht="15.6" hidden="1"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2:26" ht="15.6" hidden="1"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2:26" ht="15.6" hidden="1"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2:26" ht="15.6" hidden="1"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2:26" ht="15.6" hidden="1"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2:26" ht="15.6" hidden="1"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2:26" ht="15.6" hidden="1"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2:26" ht="15.6" hidden="1"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2:26" ht="15.6" hidden="1"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2:26" ht="15.6" hidden="1"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2:26" ht="15.6" hidden="1"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2:26" ht="15.6" hidden="1"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2:26" ht="15.6" hidden="1"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2:26" ht="15.6" hidden="1"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2:26" ht="15.6" hidden="1"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2:26" ht="15.6" hidden="1"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2:26" ht="15.6" hidden="1"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2:26" ht="15.6" hidden="1"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2:26" ht="15.6" hidden="1"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2:26" ht="15.6" hidden="1"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2:26" ht="15.6" hidden="1"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2:26" ht="15.6" hidden="1"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2:26" ht="15.6" hidden="1"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2:26" ht="15.6" hidden="1"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2:26" ht="15.6" hidden="1"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2:26" ht="15.6" hidden="1"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2:26" ht="15.6" hidden="1"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2:26" ht="15.6" hidden="1"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2:26" ht="15.6" hidden="1"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2:26" ht="15.6" hidden="1"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2:26" ht="15.6" hidden="1"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2:26" ht="15.6" hidden="1"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2:26" ht="15.6" hidden="1"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2:26" ht="15.6" hidden="1"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2:26" ht="15.6" hidden="1"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2:26" ht="15.6" hidden="1"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2:26" ht="15.6" hidden="1"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2:26" ht="15.6" hidden="1"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2:26" ht="15.6" hidden="1"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2:26" ht="15.6" hidden="1"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2:26" ht="15.6" hidden="1"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2:26" ht="15.6" hidden="1"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2:26" ht="15.6" hidden="1"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2:26" ht="15.6" hidden="1"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2:26" ht="15.6" hidden="1"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2:26" ht="15.6" hidden="1"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2:26" ht="15.6" hidden="1"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2:26" ht="15.6" hidden="1"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2:26" ht="15.6" hidden="1"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2:26" ht="15.6" hidden="1"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2:26" ht="15.6" hidden="1"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2:26" ht="15.6" hidden="1"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2:26" ht="15.6" hidden="1"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2:26" ht="15.6" hidden="1"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2:26" ht="15.6" hidden="1"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2:26" ht="15.6" hidden="1"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2:26" ht="15.6" hidden="1"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2:26" ht="15.6" hidden="1"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2:26" ht="15.6" hidden="1"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2:26" ht="15.6" hidden="1"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2:26" ht="15.6" hidden="1"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2:26" ht="15.6" hidden="1"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2:26" ht="15.6" hidden="1"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2:26" ht="15.6" hidden="1"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2:26" ht="15.6" hidden="1"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2:26" ht="15.6" hidden="1"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2:26" ht="15.6" hidden="1"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2:26" ht="15.6" hidden="1"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2:26" ht="15.6" hidden="1"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2:26" ht="15.6" hidden="1"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2:26" ht="15.6" hidden="1"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2:26" ht="15.6" hidden="1"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2:26" ht="15.6" hidden="1"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2:26" ht="15.6" hidden="1"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2:26" ht="15.6" hidden="1"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2:26" ht="15.6" hidden="1"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2:26" ht="15.6" hidden="1"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2:26" ht="15.6" hidden="1"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2:26" ht="15.6" hidden="1"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2:26" ht="15.6" hidden="1"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2:26" ht="15.6" hidden="1"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2:26" ht="15.6" hidden="1"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2:26" ht="15.6" hidden="1"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2:26" ht="15.6" hidden="1"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2:26" ht="15.6" hidden="1"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2:26" ht="15.6" hidden="1"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2:26" ht="15.6" hidden="1"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2:26" ht="15.6" hidden="1"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2:26" ht="15.6" hidden="1"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2:26" ht="15.6" hidden="1"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2:26" ht="15.6" hidden="1"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2:26" ht="15.6" hidden="1"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2:26" ht="15.6" hidden="1"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2:26" ht="15.6" hidden="1"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2:26" ht="15.6" hidden="1"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2:26" ht="15.6" hidden="1"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2:26" ht="15.6" hidden="1"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2:26" ht="15.6" hidden="1"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2:26" ht="15.6" hidden="1"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2:26" ht="15.6" hidden="1"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2:26" ht="15.6" hidden="1"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2:26" ht="15.6" hidden="1"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2:26" ht="15.6" hidden="1"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2:26" ht="15.6" hidden="1"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2:26" ht="15.6" hidden="1"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2:26" ht="15.6" hidden="1"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2:26" ht="15.6" hidden="1"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2:26" ht="15.6" hidden="1"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2:26" ht="15.6" hidden="1"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2:26" ht="15.6" hidden="1"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2:26" ht="15.6" hidden="1"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2:26" ht="15.6" hidden="1"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2:26" ht="15.6" hidden="1"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2:26" ht="15.6" hidden="1"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2:26" ht="15.6" hidden="1"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2:26" ht="15.6" hidden="1"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2:26" ht="15.6" hidden="1"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2:26" ht="15.6" hidden="1"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2:26" ht="15.6" hidden="1"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2:26" ht="15.6" hidden="1"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2:26" ht="15.6" hidden="1"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2:26" ht="15.6" hidden="1"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2:26" ht="15.6" hidden="1"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2:26" ht="15.6" hidden="1"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2:26" ht="15.6" hidden="1"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2:26" ht="15.6" hidden="1"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2:26" ht="15.6" hidden="1"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2:26" ht="15.6" hidden="1"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2:26" ht="15.6" hidden="1"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2:26" ht="15.6" hidden="1"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2:26" ht="15.6" hidden="1"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2:26" ht="15.6" hidden="1"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2:26" ht="15.6" hidden="1"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2:26" ht="15.6" hidden="1"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2:26" ht="15.6" hidden="1"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2:26" ht="15.6" hidden="1"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2:26" ht="15.6" hidden="1"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2:26" ht="15.6" hidden="1"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2:26" ht="15.6" hidden="1"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2:26" ht="15.6" hidden="1"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2:26" ht="15.6" hidden="1"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2:26" ht="15.6" hidden="1"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2:26" ht="15.6" hidden="1"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2:26" ht="15.6" hidden="1"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2:26" ht="15.6" hidden="1"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2:26" ht="15.6" hidden="1"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2:26" ht="15.6" hidden="1"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2:26" ht="15.6" hidden="1"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2:26" ht="15.6" hidden="1"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2:26" ht="15.6" hidden="1"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2:26" ht="15.6" hidden="1"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2:26" ht="15.6" hidden="1"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2:26" ht="15.6" hidden="1"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2:26" ht="15.6" hidden="1"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2:26" ht="15.6" hidden="1"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2:26" ht="15.6" hidden="1"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2:26" ht="15.6" hidden="1"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2:26" ht="15.6" hidden="1"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2:26" ht="15.6" hidden="1"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2:26" ht="15.6" hidden="1"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2:26" ht="15.6" hidden="1"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2:26" ht="15.6" hidden="1"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2:26" ht="15.6" hidden="1"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2:26" ht="15.6" hidden="1"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2:26" ht="15.6" hidden="1"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2:26" ht="15.6" hidden="1"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2:26" ht="15.6" hidden="1"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2:26" ht="15.6" hidden="1"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2:26" ht="15.6" hidden="1"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2:26" ht="15.6" hidden="1"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2:26" ht="15.6" hidden="1"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2:26" ht="15.6" hidden="1"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2:26" ht="15.6" hidden="1"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2:26" ht="15.6" hidden="1"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2:26" ht="15.6" hidden="1"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2:26" ht="15.6" hidden="1"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2:26" ht="15.6" hidden="1"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2:26" ht="15.6" hidden="1"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2:26" ht="15.6" hidden="1"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2:26" ht="15.6" hidden="1"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2:26" ht="15.6" hidden="1"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2:26" ht="15.6" hidden="1"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2:26" ht="15.6" hidden="1"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2:26" ht="15.6" hidden="1"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2:26" ht="15.6" hidden="1"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2:26" ht="15.6" hidden="1"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2:26" ht="15.6" hidden="1"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2:26" ht="15.6" hidden="1"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2:26" ht="15.6" hidden="1"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2:26" ht="15.6" hidden="1"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2:26" ht="15.6" hidden="1"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2:26" ht="15.6" hidden="1"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2:26" ht="15.6" hidden="1"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2:26" ht="15.6" hidden="1"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2:26" ht="15.6" hidden="1"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2:26" ht="15.6" hidden="1"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2:26" ht="15.6" hidden="1"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2:26" ht="15.6" hidden="1"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2:26" ht="15.6" hidden="1"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2:26" ht="15.6" hidden="1"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2:26" ht="15.6" hidden="1"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2:26" ht="15.6" hidden="1"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2:26" ht="15.6" hidden="1"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2:26" ht="15.6" hidden="1"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2:26" ht="15.6" hidden="1"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2:26" ht="15.6" hidden="1"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2:26" ht="15.6" hidden="1"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2:26" ht="15.6" hidden="1"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2:26" ht="15.6" hidden="1"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2:26" ht="15.6" hidden="1"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2:26" ht="15.6" hidden="1"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2:26" ht="15.6" hidden="1"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2:26" ht="15.6" hidden="1"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2:26" ht="15.6" hidden="1"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2:26" ht="15.6" hidden="1"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2:26" ht="15.6" hidden="1"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2:26" ht="15.6" hidden="1"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2:26" ht="15.6" hidden="1"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2:26" ht="15.6" hidden="1"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2:26" ht="15.6" hidden="1"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2:26" ht="15.6" hidden="1"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2:26" ht="15.6" hidden="1"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2:26" ht="15.6" hidden="1"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2:26" ht="15.6" hidden="1"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2:26" ht="15.6" hidden="1"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2:26" ht="15.6" hidden="1"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2:26" ht="15.6" hidden="1"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2:26" ht="15.6" hidden="1"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2:26" ht="15.6" hidden="1"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2:26" ht="15.6" hidden="1"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2:26" ht="15.6" hidden="1"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2:26" ht="15.6" hidden="1"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2:26" ht="15.6" hidden="1"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2:26" ht="15.6" hidden="1"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2:26" ht="15.6" hidden="1"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2:26" ht="15.6" hidden="1"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2:26" ht="15.6" hidden="1"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2:26" ht="15.6" hidden="1"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2:26" ht="15.6" hidden="1"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2:26" ht="15.6" hidden="1"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2:26" ht="15.6" hidden="1"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2:26" ht="15.6" hidden="1"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2:26" ht="15.6" hidden="1"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2:26" ht="15.6" hidden="1"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2:26" ht="15.6" hidden="1"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2:26" ht="15.6" hidden="1"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2:26" ht="15.6" hidden="1"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2:26" ht="15.6" hidden="1"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2:26" ht="15.6" hidden="1"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2:26" ht="15.6" hidden="1"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2:26" ht="15.6" hidden="1"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2:26" ht="15.6" hidden="1"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2:26" ht="15.6" hidden="1"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2:26" ht="15.6" hidden="1"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2:26" ht="15.6" hidden="1"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2:26" ht="15.6" hidden="1"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2:26" ht="15.6" hidden="1"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2:26" ht="15.6" hidden="1"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2:26" ht="15.6" hidden="1"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2:26" ht="15.6" hidden="1"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2:26" ht="15.6" hidden="1"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2:26" ht="15.6" hidden="1"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2:26" ht="15.6" hidden="1"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2:26" ht="15.6" hidden="1"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2:26" ht="15.6" hidden="1"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2:26" ht="15.6" hidden="1"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2:26" ht="15.6" hidden="1"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2:26" ht="15.6" hidden="1"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2:26" ht="15.6" hidden="1"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2:26" ht="15.6" hidden="1"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2:26" ht="15.6" hidden="1"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2:26" ht="15.6" hidden="1"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2:26" ht="15.6" hidden="1"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2:26" ht="15.6" hidden="1"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2:26" ht="15.6" hidden="1"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2:26" ht="15.6" hidden="1"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2:26" ht="15.6" hidden="1"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2:26" ht="15.6" hidden="1"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2:26" ht="15.6" hidden="1"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2:26" ht="15.6" hidden="1"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2:26" ht="15.6" hidden="1"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2:26" ht="15.6" hidden="1"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2:26" ht="15.6" hidden="1"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2:26" ht="15.6" hidden="1"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2:26" ht="15.6" hidden="1"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2:26" ht="15.6" hidden="1"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2:26" ht="15.6" hidden="1"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2:26" ht="15.6" hidden="1"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2:26" ht="15.6" hidden="1"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2:26" ht="15.6" hidden="1"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2:26" ht="15.6" hidden="1"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2:26" ht="15.6" hidden="1"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2:26" ht="15.6" hidden="1"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2:26" ht="15.6" hidden="1"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2:26" ht="15.6" hidden="1"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2:26" ht="15.6" hidden="1"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2:26" ht="15.6" hidden="1"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2:26" ht="15.6" hidden="1"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2:26" ht="15.6" hidden="1"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2:26" ht="15.6" hidden="1"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2:26" ht="15.6" hidden="1"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2:26" ht="15.6" hidden="1"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2:26" ht="15.6" hidden="1"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2:26" ht="15.6" hidden="1"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2:26" ht="15.6" hidden="1"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2:26" ht="15.6" hidden="1"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2:26" ht="15.6" hidden="1"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2:26" ht="15.6" hidden="1"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2:26" ht="15.6" hidden="1"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2:26" ht="15.6" hidden="1"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2:26" ht="15.6" hidden="1"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2:26" ht="15.6" hidden="1"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2:26" ht="15.6" hidden="1"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2:26" ht="15.6" hidden="1"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2:26" ht="15.6" hidden="1"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2:26" ht="15.6" hidden="1"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2:26" ht="15.6" hidden="1"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2:26" ht="15.6" hidden="1"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2:26" ht="15.6" hidden="1"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2:26" ht="15.6" hidden="1"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2:26" ht="15.6" hidden="1"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2:26" ht="15.6" hidden="1"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2:26" ht="15.6" hidden="1"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2:26" ht="15.6" hidden="1"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2:26" ht="15.6" hidden="1"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2:26" ht="15.6" hidden="1"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2:26" ht="15.6" hidden="1"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2:26" ht="15.6" hidden="1"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2:26" ht="15.6" hidden="1"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2:26" ht="15.6" hidden="1"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2:26" ht="15.6" hidden="1"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2:26" ht="15.6" hidden="1"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2:26" ht="15.6" hidden="1"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2:26" ht="15.6" hidden="1"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2:26" ht="15.6" hidden="1"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2:26" ht="15.6" hidden="1"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2:26" ht="15.6" hidden="1"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2:26" ht="15.6" hidden="1"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2:26" ht="15.6" hidden="1"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2:26" ht="15.6" hidden="1"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2:26" ht="15.6" hidden="1"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2:26" ht="15.6" hidden="1"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2:26" ht="15.6" hidden="1"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2:26" ht="15.6" hidden="1"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2:26" ht="15.6" hidden="1"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2:26" ht="15.6" hidden="1"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2:26" ht="15.6" hidden="1"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2:26" ht="15.6" hidden="1"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2:26" ht="15.6" hidden="1"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2:26" ht="15.6" hidden="1"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2:26" ht="15.6" hidden="1"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2:26" ht="15.6" hidden="1"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2:26" ht="15.6" hidden="1"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2:26" ht="15.6" hidden="1"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2:26" ht="15.6" hidden="1"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2:26" ht="15.6" hidden="1"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2:26" ht="15.6" hidden="1"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2:26" ht="15.6" hidden="1"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2:26" ht="15.6" hidden="1"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2:26" ht="15.6" hidden="1"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2:26" ht="15.6" hidden="1"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2:26" ht="15.6" hidden="1"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2:26" ht="15.6" hidden="1"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2:26" ht="15.6" hidden="1"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2:26" ht="15.6" hidden="1"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2:26" ht="15.6" hidden="1"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2:26" ht="15.6" hidden="1"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2:26" ht="15.6" hidden="1"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2:26" ht="15.6" hidden="1"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2:26" ht="15.6" hidden="1"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2:26" ht="15.6" hidden="1"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2:26" ht="15.6" hidden="1"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2:26" ht="15.6" hidden="1"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2:26" ht="15.6" hidden="1"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2:26" ht="15.6" hidden="1"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2:26" ht="15.6" hidden="1"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2:26" ht="15.6" hidden="1"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2:26" ht="15.6" hidden="1"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2:26" ht="15.6" hidden="1"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2:26" ht="15.6" hidden="1"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2:26" ht="15.6" hidden="1"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2:26" ht="15.6" hidden="1"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2:26" ht="15.6" hidden="1"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2:26" ht="15.6" hidden="1"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2:26" ht="15.6" hidden="1"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2:26" ht="15.6" hidden="1"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2:26" ht="15.6" hidden="1"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2:26" ht="15.6" hidden="1"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2:26" ht="15.6" hidden="1"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2:26" ht="15.6" hidden="1"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2:26" ht="15.6" hidden="1"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2:26" ht="15.6" hidden="1"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2:26" ht="15.6" hidden="1"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교육과정편제표(해양산업운항과)</vt:lpstr>
      <vt:lpstr>교육과정편제표(동력제어시스템과)</vt:lpstr>
      <vt:lpstr>교육과정편제표(자영수산과)</vt:lpstr>
      <vt:lpstr>교육과정편제표(냉동공조과)</vt:lpstr>
      <vt:lpstr>실무과목 능력단위(해양산업운항과)</vt:lpstr>
      <vt:lpstr>실무과목 능력단위(동력제어시스템과)</vt:lpstr>
      <vt:lpstr>실무과목 능력단위(자영수산과)</vt:lpstr>
      <vt:lpstr>실무과목 능력단위(냉동공조과)</vt:lpstr>
      <vt:lpstr>삭제금지</vt:lpstr>
      <vt:lpstr>(참고1) 편성 기준🔐</vt:lpstr>
      <vt:lpstr>'교육과정편제표(냉동공조과)'!Print_Area</vt:lpstr>
      <vt:lpstr>'교육과정편제표(동력제어시스템과)'!Print_Area</vt:lpstr>
      <vt:lpstr>'교육과정편제표(자영수산과)'!Print_Area</vt:lpstr>
      <vt:lpstr>'교육과정편제표(해양산업운항과)'!Print_Area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2026-10-14T07:33:02Z</cp:lastPrinted>
  <dcterms:created xsi:type="dcterms:W3CDTF">2020-03-04T02:26:59Z</dcterms:created>
  <dcterms:modified xsi:type="dcterms:W3CDTF">2026-10-20T01:40:11Z</dcterms:modified>
</cp:coreProperties>
</file>