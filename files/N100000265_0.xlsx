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2027 교육과정 편제\"/>
    </mc:Choice>
  </mc:AlternateContent>
  <xr:revisionPtr revIDLastSave="0" documentId="13_ncr:1_{2ADE18D0-E433-40C9-86BE-27EDDBF315CA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교육과정편제표(로봇융합과)" sheetId="8" r:id="rId1"/>
    <sheet name="실무과목 능력단위(로봇융합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'교육과정편제표(로봇융합과)'!$M$3:$P$4</definedName>
    <definedName name="_xlnm._FilterDatabase" localSheetId="2" hidden="1">삭제금지!$A$1:$F$151</definedName>
    <definedName name="_xlnm._FilterDatabase" localSheetId="1" hidden="1">'실무과목 능력단위(로봇융합과)'!#REF!</definedName>
    <definedName name="_xlnm.Print_Area" localSheetId="0">'교육과정편제표(로봇융합과)'!$B$7:$Y$99</definedName>
    <definedName name="_xlnm.Print_Area" localSheetId="1">'실무과목 능력단위(로봇융합과)'!$A$1:$AG$172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0" i="8" l="1"/>
  <c r="W9" i="8"/>
  <c r="W48" i="8"/>
  <c r="V124" i="14"/>
  <c r="U124" i="14"/>
  <c r="V123" i="14"/>
  <c r="U123" i="14"/>
  <c r="N62" i="14"/>
  <c r="V61" i="14"/>
  <c r="M62" i="14"/>
  <c r="U61" i="14"/>
  <c r="V39" i="14"/>
  <c r="U39" i="14"/>
  <c r="T39" i="14"/>
  <c r="S39" i="14"/>
  <c r="W76" i="8"/>
  <c r="T140" i="14"/>
  <c r="T136" i="14"/>
  <c r="T133" i="14"/>
  <c r="T129" i="14"/>
  <c r="T125" i="14"/>
  <c r="S125" i="14"/>
  <c r="R125" i="14"/>
  <c r="T121" i="14"/>
  <c r="S121" i="14"/>
  <c r="R121" i="14"/>
  <c r="T114" i="14"/>
  <c r="S114" i="14"/>
  <c r="R114" i="14"/>
  <c r="T110" i="14"/>
  <c r="S110" i="14"/>
  <c r="R110" i="14"/>
  <c r="T107" i="14"/>
  <c r="S107" i="14"/>
  <c r="R107" i="14"/>
  <c r="Q107" i="14"/>
  <c r="P107" i="14"/>
  <c r="O107" i="14"/>
  <c r="N107" i="14"/>
  <c r="T102" i="14"/>
  <c r="S102" i="14"/>
  <c r="R102" i="14"/>
  <c r="Q102" i="14"/>
  <c r="P102" i="14"/>
  <c r="O102" i="14"/>
  <c r="N102" i="14"/>
  <c r="T98" i="14"/>
  <c r="S98" i="14"/>
  <c r="R98" i="14"/>
  <c r="Q98" i="14"/>
  <c r="P98" i="14"/>
  <c r="O98" i="14"/>
  <c r="N98" i="14"/>
  <c r="T93" i="14"/>
  <c r="S93" i="14"/>
  <c r="R93" i="14"/>
  <c r="Q93" i="14"/>
  <c r="P93" i="14"/>
  <c r="O93" i="14"/>
  <c r="N93" i="14"/>
  <c r="T90" i="14"/>
  <c r="S90" i="14"/>
  <c r="R90" i="14"/>
  <c r="Q90" i="14"/>
  <c r="P90" i="14"/>
  <c r="O90" i="14"/>
  <c r="N90" i="14"/>
  <c r="T85" i="14"/>
  <c r="S85" i="14"/>
  <c r="R85" i="14"/>
  <c r="Q85" i="14"/>
  <c r="P85" i="14"/>
  <c r="O85" i="14"/>
  <c r="N85" i="14"/>
  <c r="T81" i="14"/>
  <c r="S81" i="14"/>
  <c r="R81" i="14"/>
  <c r="T78" i="14"/>
  <c r="S78" i="14"/>
  <c r="R78" i="14"/>
  <c r="Q78" i="14"/>
  <c r="P78" i="14"/>
  <c r="T75" i="14"/>
  <c r="S75" i="14"/>
  <c r="R75" i="14"/>
  <c r="Q75" i="14"/>
  <c r="P75" i="14"/>
  <c r="O75" i="14"/>
  <c r="N75" i="14"/>
  <c r="T71" i="14"/>
  <c r="S71" i="14"/>
  <c r="R71" i="14"/>
  <c r="T68" i="14"/>
  <c r="T65" i="14"/>
  <c r="S65" i="14"/>
  <c r="R65" i="14"/>
  <c r="Q65" i="14"/>
  <c r="P65" i="14"/>
  <c r="T62" i="14"/>
  <c r="S62" i="14"/>
  <c r="R62" i="14"/>
  <c r="Q62" i="14"/>
  <c r="P62" i="14"/>
  <c r="O62" i="14"/>
  <c r="T57" i="14"/>
  <c r="T54" i="14"/>
  <c r="S54" i="14"/>
  <c r="R54" i="14"/>
  <c r="T50" i="14"/>
  <c r="S50" i="14"/>
  <c r="R50" i="14"/>
  <c r="Q50" i="14"/>
  <c r="P50" i="14"/>
  <c r="T47" i="14"/>
  <c r="S47" i="14"/>
  <c r="R47" i="14"/>
  <c r="Q47" i="14"/>
  <c r="P47" i="14"/>
  <c r="T44" i="14"/>
  <c r="S44" i="14"/>
  <c r="R44" i="14"/>
  <c r="Q44" i="14"/>
  <c r="P44" i="14"/>
  <c r="O44" i="14"/>
  <c r="N44" i="14"/>
  <c r="T36" i="14"/>
  <c r="T33" i="14"/>
  <c r="S33" i="14"/>
  <c r="R33" i="14"/>
  <c r="Q33" i="14"/>
  <c r="T30" i="14"/>
  <c r="S30" i="14"/>
  <c r="R30" i="14"/>
  <c r="Q30" i="14"/>
  <c r="P30" i="14"/>
  <c r="T25" i="14"/>
  <c r="S25" i="14"/>
  <c r="R25" i="14"/>
  <c r="Q25" i="14"/>
  <c r="P25" i="14"/>
  <c r="O25" i="14"/>
  <c r="N25" i="14"/>
  <c r="T22" i="14"/>
  <c r="S22" i="14"/>
  <c r="R22" i="14"/>
  <c r="T19" i="14"/>
  <c r="S19" i="14"/>
  <c r="R19" i="14"/>
  <c r="V139" i="14"/>
  <c r="U139" i="14"/>
  <c r="V138" i="14"/>
  <c r="U138" i="14"/>
  <c r="V137" i="14"/>
  <c r="U137" i="14"/>
  <c r="V135" i="14"/>
  <c r="U135" i="14"/>
  <c r="V134" i="14"/>
  <c r="U134" i="14"/>
  <c r="V132" i="14"/>
  <c r="U132" i="14"/>
  <c r="V131" i="14"/>
  <c r="U131" i="14"/>
  <c r="V130" i="14"/>
  <c r="U130" i="14"/>
  <c r="V128" i="14"/>
  <c r="U128" i="14"/>
  <c r="V127" i="14"/>
  <c r="U127" i="14"/>
  <c r="V126" i="14"/>
  <c r="U126" i="14"/>
  <c r="V122" i="14"/>
  <c r="U122" i="14"/>
  <c r="V120" i="14"/>
  <c r="U120" i="14"/>
  <c r="V119" i="14"/>
  <c r="U119" i="14"/>
  <c r="V118" i="14"/>
  <c r="U118" i="14"/>
  <c r="V116" i="14"/>
  <c r="U116" i="14"/>
  <c r="V115" i="14"/>
  <c r="U115" i="14"/>
  <c r="V113" i="14"/>
  <c r="U113" i="14"/>
  <c r="V112" i="14"/>
  <c r="U112" i="14"/>
  <c r="V111" i="14"/>
  <c r="U111" i="14"/>
  <c r="V109" i="14"/>
  <c r="U109" i="14"/>
  <c r="V108" i="14"/>
  <c r="U108" i="14"/>
  <c r="V106" i="14"/>
  <c r="U106" i="14"/>
  <c r="V105" i="14"/>
  <c r="U105" i="14"/>
  <c r="V104" i="14"/>
  <c r="U104" i="14"/>
  <c r="V103" i="14"/>
  <c r="U103" i="14"/>
  <c r="V101" i="14"/>
  <c r="U101" i="14"/>
  <c r="V100" i="14"/>
  <c r="U100" i="14"/>
  <c r="V99" i="14"/>
  <c r="U99" i="14"/>
  <c r="V97" i="14"/>
  <c r="U97" i="14"/>
  <c r="V96" i="14"/>
  <c r="U96" i="14"/>
  <c r="V95" i="14"/>
  <c r="U95" i="14"/>
  <c r="V94" i="14"/>
  <c r="U94" i="14"/>
  <c r="V92" i="14"/>
  <c r="U92" i="14"/>
  <c r="V91" i="14"/>
  <c r="U91" i="14"/>
  <c r="V89" i="14"/>
  <c r="U89" i="14"/>
  <c r="V88" i="14"/>
  <c r="U88" i="14"/>
  <c r="V87" i="14"/>
  <c r="U87" i="14"/>
  <c r="V86" i="14"/>
  <c r="U86" i="14"/>
  <c r="V84" i="14"/>
  <c r="U84" i="14"/>
  <c r="V83" i="14"/>
  <c r="U83" i="14"/>
  <c r="V82" i="14"/>
  <c r="U82" i="14"/>
  <c r="V80" i="14"/>
  <c r="U80" i="14"/>
  <c r="V79" i="14"/>
  <c r="U79" i="14"/>
  <c r="V77" i="14"/>
  <c r="U77" i="14"/>
  <c r="V76" i="14"/>
  <c r="U76" i="14"/>
  <c r="V74" i="14"/>
  <c r="U74" i="14"/>
  <c r="V73" i="14"/>
  <c r="U73" i="14"/>
  <c r="V72" i="14"/>
  <c r="U72" i="14"/>
  <c r="V70" i="14"/>
  <c r="U70" i="14"/>
  <c r="V69" i="14"/>
  <c r="U69" i="14"/>
  <c r="V67" i="14"/>
  <c r="U67" i="14"/>
  <c r="V66" i="14"/>
  <c r="U66" i="14"/>
  <c r="V64" i="14"/>
  <c r="U64" i="14"/>
  <c r="V63" i="14"/>
  <c r="U63" i="14"/>
  <c r="V60" i="14"/>
  <c r="U60" i="14"/>
  <c r="V59" i="14"/>
  <c r="U59" i="14"/>
  <c r="V58" i="14"/>
  <c r="U58" i="14"/>
  <c r="V56" i="14"/>
  <c r="U56" i="14"/>
  <c r="V55" i="14"/>
  <c r="U55" i="14"/>
  <c r="V53" i="14"/>
  <c r="U53" i="14"/>
  <c r="V52" i="14"/>
  <c r="U52" i="14"/>
  <c r="V51" i="14"/>
  <c r="U51" i="14"/>
  <c r="V49" i="14"/>
  <c r="U49" i="14"/>
  <c r="V48" i="14"/>
  <c r="U48" i="14"/>
  <c r="V46" i="14"/>
  <c r="U46" i="14"/>
  <c r="V45" i="14"/>
  <c r="U45" i="14"/>
  <c r="V43" i="14"/>
  <c r="U43" i="14"/>
  <c r="V42" i="14"/>
  <c r="U42" i="14"/>
  <c r="V41" i="14"/>
  <c r="U41" i="14"/>
  <c r="V40" i="14"/>
  <c r="U40" i="14"/>
  <c r="V35" i="14"/>
  <c r="U35" i="14"/>
  <c r="V34" i="14"/>
  <c r="U34" i="14"/>
  <c r="V32" i="14"/>
  <c r="U32" i="14"/>
  <c r="V31" i="14"/>
  <c r="U31" i="14"/>
  <c r="V29" i="14"/>
  <c r="V26" i="14"/>
  <c r="V24" i="14"/>
  <c r="U24" i="14"/>
  <c r="V23" i="14"/>
  <c r="U23" i="14"/>
  <c r="V21" i="14"/>
  <c r="U21" i="14"/>
  <c r="V20" i="14"/>
  <c r="U20" i="14"/>
  <c r="V18" i="14"/>
  <c r="U18" i="14"/>
  <c r="V17" i="14"/>
  <c r="U17" i="14"/>
  <c r="S11" i="14"/>
  <c r="Q11" i="14"/>
  <c r="O11" i="14"/>
  <c r="T16" i="14"/>
  <c r="S16" i="14"/>
  <c r="V15" i="14"/>
  <c r="U15" i="14"/>
  <c r="V14" i="14"/>
  <c r="U14" i="14"/>
  <c r="V13" i="14"/>
  <c r="U13" i="14"/>
  <c r="V12" i="14"/>
  <c r="U12" i="14"/>
  <c r="K11" i="14"/>
  <c r="M11" i="14"/>
  <c r="I11" i="14"/>
  <c r="U10" i="14"/>
  <c r="J140" i="14"/>
  <c r="K140" i="14"/>
  <c r="L140" i="14"/>
  <c r="M140" i="14"/>
  <c r="N140" i="14"/>
  <c r="O140" i="14"/>
  <c r="P140" i="14"/>
  <c r="Q140" i="14"/>
  <c r="R140" i="14"/>
  <c r="S140" i="14"/>
  <c r="I140" i="14"/>
  <c r="J136" i="14"/>
  <c r="K136" i="14"/>
  <c r="L136" i="14"/>
  <c r="M136" i="14"/>
  <c r="N136" i="14"/>
  <c r="O136" i="14"/>
  <c r="P136" i="14"/>
  <c r="Q136" i="14"/>
  <c r="R136" i="14"/>
  <c r="S136" i="14"/>
  <c r="I136" i="14"/>
  <c r="J133" i="14"/>
  <c r="K133" i="14"/>
  <c r="L133" i="14"/>
  <c r="M133" i="14"/>
  <c r="N133" i="14"/>
  <c r="O133" i="14"/>
  <c r="P133" i="14"/>
  <c r="Q133" i="14"/>
  <c r="R133" i="14"/>
  <c r="S133" i="14"/>
  <c r="I133" i="14"/>
  <c r="J129" i="14"/>
  <c r="K129" i="14"/>
  <c r="L129" i="14"/>
  <c r="M129" i="14"/>
  <c r="N129" i="14"/>
  <c r="O129" i="14"/>
  <c r="P129" i="14"/>
  <c r="Q129" i="14"/>
  <c r="R129" i="14"/>
  <c r="S129" i="14"/>
  <c r="I129" i="14"/>
  <c r="J125" i="14"/>
  <c r="K125" i="14"/>
  <c r="L125" i="14"/>
  <c r="M125" i="14"/>
  <c r="N125" i="14"/>
  <c r="O125" i="14"/>
  <c r="P125" i="14"/>
  <c r="Q125" i="14"/>
  <c r="I125" i="14"/>
  <c r="J121" i="14"/>
  <c r="K121" i="14"/>
  <c r="L121" i="14"/>
  <c r="M121" i="14"/>
  <c r="N121" i="14"/>
  <c r="O121" i="14"/>
  <c r="P121" i="14"/>
  <c r="Q121" i="14"/>
  <c r="I121" i="14"/>
  <c r="J117" i="14"/>
  <c r="K117" i="14"/>
  <c r="L117" i="14"/>
  <c r="M117" i="14"/>
  <c r="N117" i="14"/>
  <c r="O117" i="14"/>
  <c r="P117" i="14"/>
  <c r="Q117" i="14"/>
  <c r="R117" i="14"/>
  <c r="S117" i="14"/>
  <c r="T117" i="14"/>
  <c r="I117" i="14"/>
  <c r="J114" i="14"/>
  <c r="K114" i="14"/>
  <c r="L114" i="14"/>
  <c r="M114" i="14"/>
  <c r="N114" i="14"/>
  <c r="O114" i="14"/>
  <c r="P114" i="14"/>
  <c r="Q114" i="14"/>
  <c r="I114" i="14"/>
  <c r="J110" i="14"/>
  <c r="K110" i="14"/>
  <c r="L110" i="14"/>
  <c r="M110" i="14"/>
  <c r="N110" i="14"/>
  <c r="O110" i="14"/>
  <c r="P110" i="14"/>
  <c r="Q110" i="14"/>
  <c r="I110" i="14"/>
  <c r="J107" i="14"/>
  <c r="K107" i="14"/>
  <c r="L107" i="14"/>
  <c r="M107" i="14"/>
  <c r="I107" i="14"/>
  <c r="J102" i="14"/>
  <c r="K102" i="14"/>
  <c r="L102" i="14"/>
  <c r="M102" i="14"/>
  <c r="I102" i="14"/>
  <c r="J98" i="14"/>
  <c r="K98" i="14"/>
  <c r="L98" i="14"/>
  <c r="M98" i="14"/>
  <c r="I98" i="14"/>
  <c r="J93" i="14"/>
  <c r="K93" i="14"/>
  <c r="L93" i="14"/>
  <c r="M93" i="14"/>
  <c r="I93" i="14"/>
  <c r="J90" i="14"/>
  <c r="K90" i="14"/>
  <c r="L90" i="14"/>
  <c r="M90" i="14"/>
  <c r="I90" i="14"/>
  <c r="J85" i="14"/>
  <c r="K85" i="14"/>
  <c r="L85" i="14"/>
  <c r="M85" i="14"/>
  <c r="I85" i="14"/>
  <c r="J81" i="14"/>
  <c r="K81" i="14"/>
  <c r="L81" i="14"/>
  <c r="M81" i="14"/>
  <c r="N81" i="14"/>
  <c r="O81" i="14"/>
  <c r="P81" i="14"/>
  <c r="Q81" i="14"/>
  <c r="I81" i="14"/>
  <c r="J78" i="14"/>
  <c r="K78" i="14"/>
  <c r="L78" i="14"/>
  <c r="M78" i="14"/>
  <c r="N78" i="14"/>
  <c r="O78" i="14"/>
  <c r="I78" i="14"/>
  <c r="J75" i="14"/>
  <c r="K75" i="14"/>
  <c r="L75" i="14"/>
  <c r="M75" i="14"/>
  <c r="I75" i="14"/>
  <c r="J71" i="14"/>
  <c r="K71" i="14"/>
  <c r="L71" i="14"/>
  <c r="M71" i="14"/>
  <c r="N71" i="14"/>
  <c r="O71" i="14"/>
  <c r="P71" i="14"/>
  <c r="Q71" i="14"/>
  <c r="I71" i="14"/>
  <c r="J68" i="14"/>
  <c r="K68" i="14"/>
  <c r="L68" i="14"/>
  <c r="M68" i="14"/>
  <c r="N68" i="14"/>
  <c r="O68" i="14"/>
  <c r="P68" i="14"/>
  <c r="Q68" i="14"/>
  <c r="R68" i="14"/>
  <c r="S68" i="14"/>
  <c r="I68" i="14"/>
  <c r="J65" i="14"/>
  <c r="K65" i="14"/>
  <c r="L65" i="14"/>
  <c r="M65" i="14"/>
  <c r="N65" i="14"/>
  <c r="O65" i="14"/>
  <c r="I65" i="14"/>
  <c r="J62" i="14"/>
  <c r="K62" i="14"/>
  <c r="L62" i="14"/>
  <c r="I62" i="14"/>
  <c r="J57" i="14"/>
  <c r="K57" i="14"/>
  <c r="L57" i="14"/>
  <c r="M57" i="14"/>
  <c r="N57" i="14"/>
  <c r="O57" i="14"/>
  <c r="P57" i="14"/>
  <c r="Q57" i="14"/>
  <c r="R57" i="14"/>
  <c r="S57" i="14"/>
  <c r="I57" i="14"/>
  <c r="J54" i="14"/>
  <c r="K54" i="14"/>
  <c r="L54" i="14"/>
  <c r="M54" i="14"/>
  <c r="N54" i="14"/>
  <c r="O54" i="14"/>
  <c r="P54" i="14"/>
  <c r="Q54" i="14"/>
  <c r="I54" i="14"/>
  <c r="J50" i="14"/>
  <c r="K50" i="14"/>
  <c r="L50" i="14"/>
  <c r="M50" i="14"/>
  <c r="N50" i="14"/>
  <c r="O50" i="14"/>
  <c r="I50" i="14"/>
  <c r="J47" i="14"/>
  <c r="K47" i="14"/>
  <c r="L47" i="14"/>
  <c r="M47" i="14"/>
  <c r="N47" i="14"/>
  <c r="O47" i="14"/>
  <c r="I47" i="14"/>
  <c r="J44" i="14"/>
  <c r="K44" i="14"/>
  <c r="L44" i="14"/>
  <c r="M44" i="14"/>
  <c r="I44" i="14"/>
  <c r="J36" i="14"/>
  <c r="K36" i="14"/>
  <c r="L36" i="14"/>
  <c r="M36" i="14"/>
  <c r="N36" i="14"/>
  <c r="O36" i="14"/>
  <c r="P36" i="14"/>
  <c r="Q36" i="14"/>
  <c r="R36" i="14"/>
  <c r="S36" i="14"/>
  <c r="I36" i="14"/>
  <c r="J30" i="14"/>
  <c r="K30" i="14"/>
  <c r="L30" i="14"/>
  <c r="M30" i="14"/>
  <c r="N30" i="14"/>
  <c r="O30" i="14"/>
  <c r="I30" i="14"/>
  <c r="J25" i="14"/>
  <c r="K25" i="14"/>
  <c r="L25" i="14"/>
  <c r="M25" i="14"/>
  <c r="I25" i="14"/>
  <c r="J22" i="14"/>
  <c r="K22" i="14"/>
  <c r="L22" i="14"/>
  <c r="M22" i="14"/>
  <c r="N22" i="14"/>
  <c r="O22" i="14"/>
  <c r="P22" i="14"/>
  <c r="Q22" i="14"/>
  <c r="I22" i="14"/>
  <c r="J19" i="14"/>
  <c r="K19" i="14"/>
  <c r="L19" i="14"/>
  <c r="M19" i="14"/>
  <c r="N19" i="14"/>
  <c r="O19" i="14"/>
  <c r="P19" i="14"/>
  <c r="Q19" i="14"/>
  <c r="I19" i="14"/>
  <c r="J16" i="14"/>
  <c r="K16" i="14"/>
  <c r="L16" i="14"/>
  <c r="M16" i="14"/>
  <c r="N16" i="14"/>
  <c r="O16" i="14"/>
  <c r="P16" i="14"/>
  <c r="Q16" i="14"/>
  <c r="R16" i="14"/>
  <c r="I16" i="14"/>
  <c r="V136" i="14" l="1"/>
  <c r="U62" i="14"/>
  <c r="D58" i="14" s="1"/>
  <c r="V81" i="14"/>
  <c r="V62" i="14"/>
  <c r="V117" i="14"/>
  <c r="U85" i="14"/>
  <c r="D82" i="14" s="1"/>
  <c r="V54" i="14"/>
  <c r="V114" i="14"/>
  <c r="U133" i="14"/>
  <c r="V133" i="14"/>
  <c r="U16" i="14"/>
  <c r="V19" i="14"/>
  <c r="U25" i="14"/>
  <c r="D23" i="14" s="1"/>
  <c r="V30" i="14"/>
  <c r="V16" i="14"/>
  <c r="U93" i="14"/>
  <c r="U36" i="14"/>
  <c r="D34" i="14" s="1"/>
  <c r="U68" i="14"/>
  <c r="D66" i="14" s="1"/>
  <c r="U30" i="14"/>
  <c r="D26" i="14" s="1"/>
  <c r="U54" i="14"/>
  <c r="U81" i="14"/>
  <c r="D79" i="14" s="1"/>
  <c r="U114" i="14"/>
  <c r="V47" i="14"/>
  <c r="V68" i="14"/>
  <c r="U22" i="14"/>
  <c r="V22" i="14"/>
  <c r="V33" i="14"/>
  <c r="V85" i="14"/>
  <c r="V93" i="14"/>
  <c r="U47" i="14"/>
  <c r="D45" i="14" s="1"/>
  <c r="U57" i="14"/>
  <c r="D55" i="14" s="1"/>
  <c r="U102" i="14"/>
  <c r="V57" i="14"/>
  <c r="V102" i="14"/>
  <c r="U110" i="14"/>
  <c r="U136" i="14"/>
  <c r="V25" i="14"/>
  <c r="V36" i="14"/>
  <c r="V110" i="14"/>
  <c r="V50" i="14"/>
  <c r="V129" i="14"/>
  <c r="U121" i="14"/>
  <c r="U140" i="14"/>
  <c r="V98" i="14"/>
  <c r="V140" i="14"/>
  <c r="U50" i="14"/>
  <c r="D48" i="14" s="1"/>
  <c r="U90" i="14"/>
  <c r="U129" i="14"/>
  <c r="V90" i="14"/>
  <c r="U19" i="14"/>
  <c r="U44" i="14"/>
  <c r="D40" i="14" s="1"/>
  <c r="U71" i="14"/>
  <c r="D69" i="14" s="1"/>
  <c r="U78" i="14"/>
  <c r="D76" i="14" s="1"/>
  <c r="U98" i="14"/>
  <c r="U117" i="14"/>
  <c r="V44" i="14"/>
  <c r="V71" i="14"/>
  <c r="V78" i="14"/>
  <c r="V121" i="14"/>
  <c r="U107" i="14"/>
  <c r="V107" i="14"/>
  <c r="U65" i="14"/>
  <c r="D63" i="14" s="1"/>
  <c r="U75" i="14"/>
  <c r="D72" i="14" s="1"/>
  <c r="U125" i="14"/>
  <c r="V65" i="14"/>
  <c r="V75" i="14"/>
  <c r="V125" i="14"/>
  <c r="U33" i="14"/>
  <c r="D31" i="14" s="1"/>
  <c r="O98" i="8"/>
  <c r="Q33" i="8"/>
  <c r="W44" i="8"/>
  <c r="W36" i="8"/>
  <c r="W34" i="8"/>
  <c r="J91" i="8"/>
  <c r="W54" i="8"/>
  <c r="W91" i="8" l="1"/>
  <c r="W15" i="8"/>
  <c r="W97" i="8" l="1"/>
  <c r="AA104" i="8" s="1"/>
  <c r="Y94" i="8"/>
  <c r="W94" i="8"/>
  <c r="Y91" i="8"/>
  <c r="M91" i="8"/>
  <c r="K91" i="8"/>
  <c r="I91" i="8"/>
  <c r="I93" i="8" s="1"/>
  <c r="H91" i="8"/>
  <c r="Y33" i="8"/>
  <c r="U33" i="8"/>
  <c r="S33" i="8"/>
  <c r="O33" i="8"/>
  <c r="M33" i="8"/>
  <c r="K33" i="8"/>
  <c r="H33" i="8"/>
  <c r="W30" i="8"/>
  <c r="W28" i="8"/>
  <c r="W27" i="8"/>
  <c r="W26" i="8"/>
  <c r="W25" i="8"/>
  <c r="W24" i="8"/>
  <c r="J24" i="8"/>
  <c r="W23" i="8"/>
  <c r="J23" i="8"/>
  <c r="J33" i="8" s="1"/>
  <c r="W22" i="8"/>
  <c r="W21" i="8"/>
  <c r="W20" i="8"/>
  <c r="W19" i="8"/>
  <c r="W18" i="8"/>
  <c r="W17" i="8"/>
  <c r="W16" i="8"/>
  <c r="W14" i="8"/>
  <c r="W13" i="8"/>
  <c r="W11" i="8"/>
  <c r="X23" i="8" l="1"/>
  <c r="X19" i="8"/>
  <c r="X13" i="8"/>
  <c r="M93" i="8"/>
  <c r="M98" i="8" s="1"/>
  <c r="Q93" i="8"/>
  <c r="Q98" i="8" s="1"/>
  <c r="O99" i="8" s="1"/>
  <c r="U93" i="8"/>
  <c r="U98" i="8" s="1"/>
  <c r="X21" i="8"/>
  <c r="S93" i="8"/>
  <c r="S98" i="8" s="1"/>
  <c r="X11" i="8"/>
  <c r="J93" i="8"/>
  <c r="X9" i="8"/>
  <c r="Y93" i="8"/>
  <c r="H93" i="8"/>
  <c r="W33" i="8"/>
  <c r="X17" i="8"/>
  <c r="K93" i="8"/>
  <c r="K98" i="8" s="1"/>
  <c r="T10" i="14"/>
  <c r="R10" i="14"/>
  <c r="N10" i="14"/>
  <c r="N11" i="14" s="1"/>
  <c r="L10" i="14"/>
  <c r="J10" i="14"/>
  <c r="S99" i="8" l="1"/>
  <c r="AA36" i="8"/>
  <c r="W93" i="8"/>
  <c r="AA101" i="8" s="1"/>
  <c r="V10" i="14"/>
  <c r="J9" i="14"/>
  <c r="J11" i="14" s="1"/>
  <c r="L9" i="14"/>
  <c r="L11" i="14" s="1"/>
  <c r="P9" i="14"/>
  <c r="P11" i="14" s="1"/>
  <c r="R9" i="14"/>
  <c r="R11" i="14" s="1"/>
  <c r="T9" i="14"/>
  <c r="T11" i="14" s="1"/>
  <c r="U9" i="14"/>
  <c r="U11" i="14" s="1"/>
  <c r="V9" i="14" l="1"/>
  <c r="V11" i="14" s="1"/>
  <c r="W98" i="8"/>
  <c r="Y98" i="8" s="1"/>
  <c r="K99" i="8"/>
  <c r="W99" i="8" s="1"/>
  <c r="AA106" i="8" l="1"/>
  <c r="I3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4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6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91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<sst xmlns="http://schemas.openxmlformats.org/spreadsheetml/2006/main" count="1744" uniqueCount="782">
  <si>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</si>
  <si>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</si>
  <si>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</si>
  <si>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</si>
  <si>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</si>
  <si>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</si>
  <si>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</si>
  <si>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</si>
  <si>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</si>
  <si>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</si>
  <si>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</si>
  <si>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</si>
  <si>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</si>
  <si>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</si>
  <si>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</si>
  <si>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</si>
  <si>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</si>
  <si>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</si>
  <si>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</si>
  <si>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</si>
  <si>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</si>
  <si>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</si>
  <si>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</si>
  <si>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</si>
  <si>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</si>
  <si>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</si>
  <si>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</si>
  <si>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</si>
  <si>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</si>
  <si>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</si>
  <si>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</si>
  <si>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</si>
  <si>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</si>
  <si>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</si>
  <si>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</si>
  <si>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</si>
  <si>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</si>
  <si>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</si>
  <si>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</si>
  <si>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</si>
  <si>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</si>
  <si>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</si>
  <si>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</si>
  <si>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</si>
  <si>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</si>
  <si>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</si>
  <si>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</si>
  <si>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</si>
  <si>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</si>
  <si>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</si>
  <si>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</si>
  <si>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</si>
  <si>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</si>
  <si>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</si>
  <si>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</si>
  <si>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</si>
  <si>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</si>
  <si>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</si>
  <si>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</si>
  <si>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</si>
  <si>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</si>
  <si>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</si>
  <si>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</si>
  <si>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</si>
  <si>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</si>
  <si>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</si>
  <si>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</si>
  <si>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</si>
  <si>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</si>
  <si>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</si>
  <si>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</si>
  <si>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</si>
  <si>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</si>
  <si>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</si>
  <si>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</si>
  <si>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</si>
  <si>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</si>
  <si>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</si>
  <si>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</si>
  <si>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</si>
  <si>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</si>
  <si>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</si>
  <si>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</si>
  <si>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</si>
  <si>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</si>
  <si>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</si>
  <si>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</si>
  <si>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</si>
  <si>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</si>
  <si>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</si>
  <si>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</si>
  <si>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</si>
  <si>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</si>
  <si>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</si>
  <si>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</si>
  <si>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</si>
  <si>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</si>
  <si>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</si>
  <si>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</si>
  <si>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</si>
  <si>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</si>
  <si>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</si>
  <si>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</si>
  <si>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</si>
  <si>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</si>
  <si>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</si>
  <si>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</si>
  <si>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</si>
  <si>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</si>
  <si>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</si>
  <si>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</si>
  <si>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</si>
  <si>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</si>
  <si>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</si>
  <si>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</si>
  <si>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</si>
  <si>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</si>
  <si>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</si>
  <si>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</si>
  <si>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</si>
  <si>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</si>
  <si>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</si>
  <si>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</si>
  <si>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</si>
  <si>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</si>
  <si>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</si>
  <si>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</si>
  <si>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</si>
  <si>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</si>
  <si>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</si>
  <si>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</si>
  <si>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</si>
  <si>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</si>
  <si>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정보·통신</t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</si>
  <si>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</si>
  <si>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</si>
  <si>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</si>
  <si>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</si>
  <si>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</si>
  <si>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</si>
  <si>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</si>
  <si>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</si>
  <si>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</si>
  <si>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</si>
  <si>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</si>
  <si>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</si>
  <si>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</si>
  <si>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</si>
  <si>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</si>
  <si>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</si>
  <si>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</si>
  <si>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</si>
  <si>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</si>
  <si>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</si>
  <si>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</si>
  <si>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</si>
  <si>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</si>
  <si>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</si>
  <si>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</si>
  <si>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</si>
  <si>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</si>
  <si>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</si>
  <si>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</si>
  <si>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</si>
  <si>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</si>
  <si>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</si>
  <si>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</si>
  <si>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</si>
  <si>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</si>
  <si>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</si>
  <si>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</si>
  <si>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</si>
  <si>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</si>
  <si>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</si>
  <si>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</si>
  <si>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</si>
  <si>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</si>
  <si>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</si>
  <si>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</si>
  <si>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</si>
  <si>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</si>
  <si>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</si>
  <si>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</si>
  <si>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</si>
  <si>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</si>
  <si>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</si>
  <si>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</si>
  <si>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</si>
  <si>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</si>
  <si>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</si>
  <si>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</si>
  <si>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</si>
  <si>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</si>
  <si>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</si>
  <si>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</si>
  <si>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</si>
  <si>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</si>
  <si>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</si>
  <si>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</si>
  <si>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</si>
  <si>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</si>
  <si>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</si>
  <si>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</si>
  <si>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</si>
  <si>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</si>
  <si>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</si>
  <si>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</si>
  <si>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</si>
  <si>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</si>
  <si>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</si>
  <si>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</si>
  <si>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</si>
  <si>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</si>
  <si>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</si>
  <si>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</si>
  <si>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</si>
  <si>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</si>
  <si>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</si>
  <si>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</si>
  <si>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</si>
  <si>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</si>
  <si>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</si>
  <si>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</si>
  <si>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</si>
  <si>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</si>
  <si>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</si>
  <si>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</si>
  <si>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</si>
  <si>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</si>
  <si>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</si>
  <si>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</si>
  <si>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</si>
  <si>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</si>
  <si>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</si>
  <si>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</si>
  <si>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</si>
  <si>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</si>
  <si>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</si>
  <si>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</si>
  <si>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</si>
  <si>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</si>
  <si>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</si>
  <si>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</si>
  <si>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</si>
  <si>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</si>
  <si>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</si>
  <si>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</si>
  <si>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</si>
  <si>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</si>
  <si>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</si>
  <si>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</si>
  <si>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</si>
  <si>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</si>
  <si>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</si>
  <si>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</si>
  <si>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</si>
  <si>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</si>
  <si>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</si>
  <si>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</si>
  <si>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</si>
  <si>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</si>
  <si>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</si>
  <si>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</si>
  <si>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</si>
  <si>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</si>
  <si>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</si>
  <si>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</si>
  <si>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</si>
  <si>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</si>
  <si>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</si>
  <si>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</si>
  <si>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</si>
  <si>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</si>
  <si>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</si>
  <si>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</si>
  <si>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</si>
  <si>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</si>
  <si>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</si>
  <si>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</si>
  <si>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</si>
  <si>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</si>
  <si>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</si>
  <si>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</si>
  <si>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</si>
  <si>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</si>
  <si>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</si>
  <si>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</si>
  <si>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</si>
  <si>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</si>
  <si>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</si>
  <si>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</si>
  <si>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</si>
  <si>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</si>
  <si>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</si>
  <si>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</si>
  <si>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</si>
  <si>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</si>
  <si>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</si>
  <si>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</si>
  <si>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</si>
  <si>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</si>
  <si>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</si>
  <si>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</si>
  <si>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</si>
  <si>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</si>
  <si>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</si>
  <si>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</si>
  <si>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</si>
  <si>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</si>
  <si>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</si>
  <si>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</si>
  <si>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</si>
  <si>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</si>
  <si>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</si>
  <si>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</si>
  <si>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</si>
  <si>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</si>
  <si>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</si>
  <si>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</si>
  <si>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</si>
  <si>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</si>
  <si>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</si>
  <si>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</si>
  <si>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</si>
  <si>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</si>
  <si>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</si>
  <si>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</si>
  <si>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</si>
  <si>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</si>
  <si>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</si>
  <si>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</si>
  <si>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</si>
  <si>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</si>
  <si>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</si>
  <si>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</si>
  <si>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</si>
  <si>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</si>
  <si>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</si>
  <si>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</si>
  <si>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</si>
  <si>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</si>
  <si>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</si>
  <si>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</si>
  <si>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</si>
  <si>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</si>
  <si>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</si>
  <si>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</si>
  <si>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</si>
  <si>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</si>
  <si>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</si>
  <si>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</si>
  <si>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</si>
  <si>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</si>
  <si>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</si>
  <si>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</si>
  <si>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</si>
  <si>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</si>
  <si>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</si>
  <si>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</si>
  <si>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</si>
  <si>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</si>
  <si>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</si>
  <si>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</si>
  <si>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</si>
  <si>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</si>
  <si>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</si>
  <si>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</si>
  <si>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</si>
  <si>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</si>
  <si>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</si>
  <si>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</si>
  <si>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</si>
  <si>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</si>
  <si>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</si>
  <si>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</si>
  <si>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</si>
  <si>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</si>
  <si>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</si>
  <si>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</si>
  <si>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</si>
  <si>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</si>
  <si>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</si>
  <si>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</si>
  <si>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</si>
  <si>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</si>
  <si>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</si>
  <si>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</si>
  <si>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</si>
  <si>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</si>
  <si>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</si>
  <si>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</si>
  <si>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</si>
  <si>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</si>
  <si>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</si>
  <si>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</si>
  <si>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</si>
  <si>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</si>
  <si>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</si>
  <si>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</si>
  <si>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</si>
  <si>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</si>
  <si>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</si>
  <si>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</si>
  <si>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</si>
  <si>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</si>
  <si>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</si>
  <si>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</si>
  <si>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</si>
  <si>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</si>
  <si>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</si>
  <si>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</si>
  <si>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</si>
  <si>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</si>
  <si>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</si>
  <si>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</si>
  <si>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</si>
  <si>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</si>
  <si>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</si>
  <si>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</si>
  <si>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</si>
  <si>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</si>
  <si>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</si>
  <si>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</si>
  <si>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</si>
  <si>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</si>
  <si>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</si>
  <si>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</si>
  <si>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</si>
  <si>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</si>
  <si>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</si>
  <si>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</si>
  <si>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</si>
  <si>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</si>
  <si>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</si>
  <si>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</si>
  <si>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</si>
  <si>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</si>
  <si>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</si>
  <si>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</si>
  <si>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</si>
  <si>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</si>
  <si>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</si>
  <si>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</si>
  <si>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</si>
  <si>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</si>
  <si>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</si>
  <si>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</si>
  <si>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</si>
  <si>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</si>
  <si>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</si>
  <si>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</si>
  <si>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</si>
  <si>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</si>
  <si>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</si>
  <si>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</si>
  <si>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</si>
  <si>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</si>
  <si>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</si>
  <si>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</si>
  <si>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</si>
  <si>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</si>
  <si>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</si>
  <si>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</si>
  <si>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</si>
  <si>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</si>
  <si>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</si>
  <si>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</si>
  <si>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</si>
  <si>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</si>
  <si>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</si>
  <si>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</si>
  <si>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</si>
  <si>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</si>
  <si>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</si>
  <si>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</si>
  <si>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</si>
  <si>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</si>
  <si>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</si>
  <si>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</si>
  <si>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</si>
  <si>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</si>
  <si>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</si>
  <si>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</si>
  <si>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</si>
  <si>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</si>
  <si>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</si>
  <si>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</si>
  <si>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</si>
  <si>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</si>
  <si>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</si>
  <si>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</si>
  <si>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</si>
  <si>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</si>
  <si>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</si>
  <si>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</si>
  <si>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</si>
  <si>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</si>
  <si>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</si>
  <si>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</si>
  <si>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</si>
  <si>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</si>
  <si>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</si>
  <si>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</si>
  <si>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</si>
  <si>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</si>
  <si>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</si>
  <si>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</si>
  <si>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</si>
  <si>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</si>
  <si>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</si>
  <si>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</si>
  <si>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</si>
  <si>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</si>
  <si>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</si>
  <si>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</si>
  <si>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합덕제철고등학교</t>
    <phoneticPr fontId="9" type="noConversion"/>
  </si>
  <si>
    <t>철강로봇융합과</t>
    <phoneticPr fontId="9" type="noConversion"/>
  </si>
  <si>
    <t>산업안전원, 자동 조립라인.산업용 로봇 조작원, 냉난방 관련 설비조작원, 자동화 장비 유지보수원, 전기계측 제어 기술자 및 연구원</t>
    <phoneticPr fontId="9" type="noConversion"/>
  </si>
  <si>
    <t>과정평가형</t>
  </si>
  <si>
    <t>김준영</t>
    <phoneticPr fontId="9" type="noConversion"/>
  </si>
  <si>
    <t>변효진</t>
    <phoneticPr fontId="9" type="noConversion"/>
  </si>
  <si>
    <t>스포츠 문화</t>
    <phoneticPr fontId="9" type="noConversion"/>
  </si>
  <si>
    <t>운동과 건강</t>
    <phoneticPr fontId="9" type="noConversion"/>
  </si>
  <si>
    <t>스포츠 과학</t>
    <phoneticPr fontId="9" type="noConversion"/>
  </si>
  <si>
    <t>성공적인 직업생활</t>
    <phoneticPr fontId="9" type="noConversion"/>
  </si>
  <si>
    <t>노동 인권과 산업 안전 보건</t>
    <phoneticPr fontId="9" type="noConversion"/>
  </si>
  <si>
    <t>기계 제도</t>
    <phoneticPr fontId="5" type="noConversion"/>
  </si>
  <si>
    <t>전자 기계 이론</t>
    <phoneticPr fontId="9" type="noConversion"/>
  </si>
  <si>
    <t>자동화 설비</t>
    <phoneticPr fontId="9" type="noConversion"/>
  </si>
  <si>
    <t>전기 회로</t>
    <phoneticPr fontId="9" type="noConversion"/>
  </si>
  <si>
    <t>기계 기초 공작</t>
    <phoneticPr fontId="5" type="noConversion"/>
  </si>
  <si>
    <t>재료 일반</t>
    <phoneticPr fontId="9" type="noConversion"/>
  </si>
  <si>
    <t>기계요소 설계</t>
    <phoneticPr fontId="9" type="noConversion"/>
  </si>
  <si>
    <t>금속 재료 신뢰성 시험</t>
    <phoneticPr fontId="9" type="noConversion"/>
  </si>
  <si>
    <t>컴퓨터 활용 생산</t>
    <phoneticPr fontId="9" type="noConversion"/>
  </si>
  <si>
    <t>기계 소프트웨어 개발</t>
    <phoneticPr fontId="9" type="noConversion"/>
  </si>
  <si>
    <t>세부전공코스형(택1)</t>
    <phoneticPr fontId="9" type="noConversion"/>
  </si>
  <si>
    <t>로봇용접설비</t>
    <phoneticPr fontId="9" type="noConversion"/>
  </si>
  <si>
    <t>냉동설비</t>
    <phoneticPr fontId="9" type="noConversion"/>
  </si>
  <si>
    <t>자동화제어</t>
    <phoneticPr fontId="9" type="noConversion"/>
  </si>
  <si>
    <t>전기에너지</t>
    <phoneticPr fontId="9" type="noConversion"/>
  </si>
  <si>
    <t>스마트 공장 일반</t>
    <phoneticPr fontId="9" type="noConversion"/>
  </si>
  <si>
    <t>전공 실무</t>
    <phoneticPr fontId="9" type="noConversion"/>
  </si>
  <si>
    <t>로봇 용접</t>
  </si>
  <si>
    <t>이산화탄소⋅가스 메탈 아크 용접</t>
  </si>
  <si>
    <t>기계/ 전기·전자</t>
    <phoneticPr fontId="9" type="noConversion"/>
  </si>
  <si>
    <t>보일러 설치⋅정비</t>
  </si>
  <si>
    <t>로봇 유지 보수</t>
  </si>
  <si>
    <t>송⋅변전 배전 설비 운영</t>
  </si>
  <si>
    <t>3D 프린터용 제품 제작</t>
  </si>
  <si>
    <t>선택3</t>
    <phoneticPr fontId="9" type="noConversion"/>
  </si>
  <si>
    <t>선택1</t>
    <phoneticPr fontId="9" type="noConversion"/>
  </si>
  <si>
    <t>선택2</t>
    <phoneticPr fontId="9" type="noConversion"/>
  </si>
  <si>
    <t>전기 ·전자 일반</t>
    <phoneticPr fontId="9" type="noConversion"/>
  </si>
  <si>
    <t>스마트 철강 제조Ⅰ</t>
    <phoneticPr fontId="9" type="noConversion"/>
  </si>
  <si>
    <t>스마트 철강 제조Ⅱ</t>
    <phoneticPr fontId="9" type="noConversion"/>
  </si>
  <si>
    <t>인공지능 압연 관리Ⅰ</t>
    <phoneticPr fontId="9" type="noConversion"/>
  </si>
  <si>
    <t>인공지능 압연 관리Ⅱ</t>
    <phoneticPr fontId="9" type="noConversion"/>
  </si>
  <si>
    <t>뿌리 산업(주조 열처리)</t>
    <phoneticPr fontId="9" type="noConversion"/>
  </si>
  <si>
    <t>고시외 전공일반</t>
    <phoneticPr fontId="9" type="noConversion"/>
  </si>
  <si>
    <t>재료시험편 준비</t>
  </si>
  <si>
    <t>1601010202_19v4</t>
  </si>
  <si>
    <t>인장시험</t>
  </si>
  <si>
    <t>1601010217_19v5</t>
  </si>
  <si>
    <t>불꽃시험</t>
  </si>
  <si>
    <t>1601010221_19v1</t>
  </si>
  <si>
    <t>재료시험 결과정리</t>
  </si>
  <si>
    <t>1601010207_19v4</t>
  </si>
  <si>
    <t>CNC선반 가공 CAM 프로그래밍</t>
  </si>
  <si>
    <t>1601050619_21v3</t>
  </si>
  <si>
    <t>피복아크용접</t>
    <phoneticPr fontId="9" type="noConversion"/>
  </si>
  <si>
    <t>용접절차사양서 해독</t>
  </si>
  <si>
    <t>피복아크용접 장비설치</t>
  </si>
  <si>
    <t>피복아크용접 맞대기용접</t>
  </si>
  <si>
    <t>1601050001_21v1</t>
  </si>
  <si>
    <t>1601050003_21v1</t>
  </si>
  <si>
    <t>1601050104_21v2</t>
  </si>
  <si>
    <t>1601050111_21v3</t>
  </si>
  <si>
    <t>이산화탄소·가스 메탈 아크용접</t>
    <phoneticPr fontId="9" type="noConversion"/>
  </si>
  <si>
    <t>CO₂용접 재료준비</t>
  </si>
  <si>
    <t>1601050203_21v2</t>
  </si>
  <si>
    <t>1601050216_21v4</t>
  </si>
  <si>
    <t>가스텅스텐아크용접</t>
    <phoneticPr fontId="9" type="noConversion"/>
  </si>
  <si>
    <t>가스텅스텐아크용접 도면해독</t>
  </si>
  <si>
    <t>가스텅스텐아크용접 맞대기용접</t>
  </si>
  <si>
    <t>1601050302_21v4</t>
  </si>
  <si>
    <t>1601050311_21v4</t>
  </si>
  <si>
    <t>보일러 설치·정비</t>
    <phoneticPr fontId="9" type="noConversion"/>
  </si>
  <si>
    <t>냉동공조유지보수관리</t>
    <phoneticPr fontId="9" type="noConversion"/>
  </si>
  <si>
    <t>기본용접작업</t>
  </si>
  <si>
    <t>로봇용접 준비</t>
  </si>
  <si>
    <t>로봇용접장비 세팅</t>
  </si>
  <si>
    <t>1601050601_21v3</t>
  </si>
  <si>
    <t>1601050603_21v2</t>
  </si>
  <si>
    <t>1601050604_21v2</t>
  </si>
  <si>
    <t>관류 보일러 설치</t>
  </si>
  <si>
    <t>보일러 배관설비 정비</t>
  </si>
  <si>
    <t>1505020414_18v1</t>
  </si>
  <si>
    <t>1505020425_18v1</t>
  </si>
  <si>
    <t>냉난방 부하계산</t>
  </si>
  <si>
    <t>공조프로세스 분석</t>
  </si>
  <si>
    <t>냉동사이클 분석</t>
  </si>
  <si>
    <t>1505020112_16v2</t>
  </si>
  <si>
    <t>1505020114_16v2</t>
  </si>
  <si>
    <t>1505020115_16v2</t>
  </si>
  <si>
    <t>공조설비 운영관리</t>
  </si>
  <si>
    <t>공조설비 점검관리</t>
  </si>
  <si>
    <t>1505020319_16v2</t>
  </si>
  <si>
    <t>1505020320_16v2</t>
  </si>
  <si>
    <t>로봇 유지 보수</t>
    <phoneticPr fontId="9" type="noConversion"/>
  </si>
  <si>
    <t>로봇설치</t>
  </si>
  <si>
    <t>로봇유지관리</t>
  </si>
  <si>
    <t>1903080502_16v1</t>
  </si>
  <si>
    <t>1903080503_16v1</t>
  </si>
  <si>
    <t>모터 제어</t>
  </si>
  <si>
    <t>센서 활용 기술</t>
    <phoneticPr fontId="9" type="noConversion"/>
  </si>
  <si>
    <t>1503010205_14v3</t>
  </si>
  <si>
    <t>1503010204_14v3</t>
  </si>
  <si>
    <t>작업안전보건관리</t>
    <phoneticPr fontId="9" type="noConversion"/>
  </si>
  <si>
    <t>송·변전 배전 설비 운영</t>
    <phoneticPr fontId="9" type="noConversion"/>
  </si>
  <si>
    <t>송전설비 유지보수</t>
  </si>
  <si>
    <t>배전설비 유지보수</t>
  </si>
  <si>
    <t>1901030207_14v2</t>
  </si>
  <si>
    <t>1901030209_14v2</t>
  </si>
  <si>
    <t>내선공사</t>
    <phoneticPr fontId="9" type="noConversion"/>
  </si>
  <si>
    <t>배관공사</t>
  </si>
  <si>
    <t>배선공사</t>
  </si>
  <si>
    <t>1901070116_22v4</t>
  </si>
  <si>
    <t>1901070117_22v4</t>
  </si>
  <si>
    <t>1901070118_22v4</t>
  </si>
  <si>
    <t>피복아크용접 도면해독</t>
  </si>
  <si>
    <t>피복아크용접 재료준비</t>
  </si>
  <si>
    <t>피복아크용접 가용접 작업</t>
  </si>
  <si>
    <t>피복아크용접 비드쌓기</t>
  </si>
  <si>
    <t>1601050102_21v3</t>
  </si>
  <si>
    <t>1601050103_21v3</t>
  </si>
  <si>
    <t>1601050105_21v3</t>
  </si>
  <si>
    <t>1601050110_21v3</t>
  </si>
  <si>
    <t>자동제어시스템운영</t>
    <phoneticPr fontId="9" type="noConversion"/>
  </si>
  <si>
    <t>동력제어반공사</t>
  </si>
  <si>
    <t>동력설비공사</t>
  </si>
  <si>
    <t>1901070121_22v4</t>
  </si>
  <si>
    <t>1901070122_22v4</t>
  </si>
  <si>
    <t>자재관리</t>
  </si>
  <si>
    <t>보일러 설비운영</t>
  </si>
  <si>
    <t>덕트설비 유지보수공사</t>
  </si>
  <si>
    <t>1505020308_13v1</t>
  </si>
  <si>
    <t>1505020322_16v2</t>
  </si>
  <si>
    <t>1505020314_16v2</t>
  </si>
  <si>
    <t>피복아크용접 필릿용접</t>
  </si>
  <si>
    <t xml:space="preserve">피복아크용접 파이프용접	</t>
  </si>
  <si>
    <t>1601050112_21v3</t>
  </si>
  <si>
    <t>1601050113_21v3</t>
  </si>
  <si>
    <t>제어원리 응용</t>
  </si>
  <si>
    <t>프로그램로직제어(PLC) 확장모듈 운영</t>
  </si>
  <si>
    <t>1901080401_14v2</t>
  </si>
  <si>
    <t>1901080413_20v3</t>
  </si>
  <si>
    <t>시퀀스 회로 제어 운영</t>
  </si>
  <si>
    <t>1901080411_20v3</t>
  </si>
  <si>
    <t>3D 프린터용 제품 제작</t>
    <phoneticPr fontId="9" type="noConversion"/>
  </si>
  <si>
    <t>동력전달장치설계</t>
  </si>
  <si>
    <t>제품출력</t>
  </si>
  <si>
    <t>후가공</t>
  </si>
  <si>
    <t>1501020208_19v3</t>
  </si>
  <si>
    <t>1903110209_23v3</t>
  </si>
  <si>
    <t>1903110210_23v4</t>
  </si>
  <si>
    <t>가스텅스텐아크용접 필릿용접</t>
  </si>
  <si>
    <t xml:space="preserve">가스텅스텐아크용접 파이프용접	</t>
  </si>
  <si>
    <t>1601050312_21v4</t>
  </si>
  <si>
    <t>1601050313_21v4</t>
  </si>
  <si>
    <t>플럭스코어드와이어 맞대기 용접</t>
    <phoneticPr fontId="9" type="noConversion"/>
  </si>
  <si>
    <t>배관배선검사</t>
    <phoneticPr fontId="9" type="noConversion"/>
  </si>
  <si>
    <t>동력설비 시운전</t>
    <phoneticPr fontId="9" type="noConversion"/>
  </si>
  <si>
    <t>전기과</t>
  </si>
  <si>
    <t>기계과</t>
  </si>
  <si>
    <t>사물인터넷과 센서 제어</t>
    <phoneticPr fontId="9" type="noConversion"/>
  </si>
  <si>
    <t>전기 설비</t>
    <phoneticPr fontId="9" type="noConversion"/>
  </si>
  <si>
    <t>전기 기기</t>
    <phoneticPr fontId="9" type="noConversion"/>
  </si>
  <si>
    <t>냉동 공조 설계</t>
    <phoneticPr fontId="9" type="noConversion"/>
  </si>
  <si>
    <t xml:space="preserve">기계요소 설계 </t>
    <phoneticPr fontId="9" type="noConversion"/>
  </si>
  <si>
    <t>기계 수동 조립</t>
    <phoneticPr fontId="9" type="noConversion"/>
  </si>
  <si>
    <t>내선 공사</t>
    <phoneticPr fontId="9" type="noConversion"/>
  </si>
  <si>
    <t>자동 제어 시스템 운영</t>
    <phoneticPr fontId="9" type="noConversion"/>
  </si>
  <si>
    <t>피복 아크 용접</t>
    <phoneticPr fontId="9" type="noConversion"/>
  </si>
  <si>
    <t>가스 텅스텐 아크 용접</t>
    <phoneticPr fontId="9" type="noConversion"/>
  </si>
  <si>
    <t>냉동 공조 유지 보수 관리</t>
    <phoneticPr fontId="9" type="noConversion"/>
  </si>
  <si>
    <t>융합선택</t>
    <phoneticPr fontId="9" type="noConversion"/>
  </si>
  <si>
    <r>
      <t>CNC밀링(머시닝센터) 가공 CAM 프로그래밍</t>
    </r>
    <r>
      <rPr>
        <sz val="10"/>
        <rFont val="맑은 고딕"/>
        <family val="3"/>
        <charset val="129"/>
        <scheme val="minor"/>
      </rPr>
      <t xml:space="preserve"> </t>
    </r>
  </si>
  <si>
    <t>로봇 용접</t>
    <phoneticPr fontId="9" type="noConversion"/>
  </si>
  <si>
    <t>냉동설비코스</t>
    <phoneticPr fontId="9" type="noConversion"/>
  </si>
  <si>
    <t>자동화제어코스</t>
    <phoneticPr fontId="9" type="noConversion"/>
  </si>
  <si>
    <t>전기에너지코스</t>
    <phoneticPr fontId="9" type="noConversion"/>
  </si>
  <si>
    <t>융복합·지식재산</t>
    <phoneticPr fontId="9" type="noConversion"/>
  </si>
  <si>
    <t>2027학년도 교육과정 편제 및 학점배당표(마이스터고/특성화고)</t>
    <phoneticPr fontId="9" type="noConversion"/>
  </si>
  <si>
    <t>빅데이터분석</t>
    <phoneticPr fontId="9" type="noConversion"/>
  </si>
  <si>
    <t>인공지능 융합 프로젝트</t>
    <phoneticPr fontId="9" type="noConversion"/>
  </si>
  <si>
    <t>스마트공장</t>
    <phoneticPr fontId="9" type="noConversion"/>
  </si>
  <si>
    <t>스마트공장기계설비유지관리</t>
    <phoneticPr fontId="9" type="noConversion"/>
  </si>
  <si>
    <t>스마트설비설계</t>
    <phoneticPr fontId="9" type="noConversion"/>
  </si>
  <si>
    <t>스마트공장시스템설치</t>
    <phoneticPr fontId="9" type="noConversion"/>
  </si>
  <si>
    <t xml:space="preserve">기계시스템 설계 </t>
    <phoneticPr fontId="9" type="noConversion"/>
  </si>
  <si>
    <t>스마트공장시스템관리</t>
    <phoneticPr fontId="9" type="noConversion"/>
  </si>
  <si>
    <t>2001010510_21v4</t>
  </si>
  <si>
    <t>2001010516_21v1</t>
  </si>
  <si>
    <t>1502010408_24v6</t>
    <phoneticPr fontId="9" type="noConversion"/>
  </si>
  <si>
    <t>1502010407_24v6</t>
    <phoneticPr fontId="9" type="noConversion"/>
  </si>
  <si>
    <t>기계 제어 설계</t>
    <phoneticPr fontId="9" type="noConversion"/>
  </si>
  <si>
    <t>1501020411_20v3</t>
    <phoneticPr fontId="9" type="noConversion"/>
  </si>
  <si>
    <t>1501020405_20v3</t>
    <phoneticPr fontId="9" type="noConversion"/>
  </si>
  <si>
    <t>제어인터페이스설계</t>
    <phoneticPr fontId="9" type="noConversion"/>
  </si>
  <si>
    <t>제어로직설계</t>
    <phoneticPr fontId="9" type="noConversion"/>
  </si>
  <si>
    <t>스마트공장코스</t>
    <phoneticPr fontId="9" type="noConversion"/>
  </si>
  <si>
    <t>스마트센서활용설계</t>
    <phoneticPr fontId="9" type="noConversion"/>
  </si>
  <si>
    <t>스마트설비 제어 유지관리</t>
    <phoneticPr fontId="9" type="noConversion"/>
  </si>
  <si>
    <t>1511030105_21v1</t>
    <phoneticPr fontId="9" type="noConversion"/>
  </si>
  <si>
    <t>1511030206_22v1</t>
    <phoneticPr fontId="9" type="noConversion"/>
  </si>
  <si>
    <t>스마트설비 기구설계</t>
    <phoneticPr fontId="9" type="noConversion"/>
  </si>
  <si>
    <t>공정개선</t>
    <phoneticPr fontId="9" type="noConversion"/>
  </si>
  <si>
    <t>1511010106_24v2</t>
    <phoneticPr fontId="9" type="noConversion"/>
  </si>
  <si>
    <t>1511010103_24v2</t>
    <phoneticPr fontId="9" type="noConversion"/>
  </si>
  <si>
    <t>0204010310_23v3</t>
    <phoneticPr fontId="9" type="noConversion"/>
  </si>
  <si>
    <t>0204010407_24v3</t>
    <phoneticPr fontId="9" type="noConversion"/>
  </si>
  <si>
    <t>스마트공장 시스템 장치관리</t>
    <phoneticPr fontId="9" type="noConversion"/>
  </si>
  <si>
    <t>1511030102_21v1</t>
    <phoneticPr fontId="9" type="noConversion"/>
  </si>
  <si>
    <t>로봇 시스템 유지관리</t>
    <phoneticPr fontId="9" type="noConversion"/>
  </si>
  <si>
    <t>1511030205_22v1</t>
    <phoneticPr fontId="9" type="noConversion"/>
  </si>
  <si>
    <t>제조 정보 시스템 설치</t>
    <phoneticPr fontId="9" type="noConversion"/>
  </si>
  <si>
    <t>1511020106_19v1</t>
    <phoneticPr fontId="9" type="noConversion"/>
  </si>
  <si>
    <t>응용SW 기초 기술 활용</t>
  </si>
  <si>
    <t>2001020232_23v5</t>
  </si>
  <si>
    <t>1601050616_21v3</t>
    <phoneticPr fontId="9" type="noConversion"/>
  </si>
  <si>
    <t>로봇용접 작업</t>
    <phoneticPr fontId="9" type="noConversion"/>
  </si>
  <si>
    <t>설비적산</t>
    <phoneticPr fontId="9" type="noConversion"/>
  </si>
  <si>
    <t>1505020217_16v1</t>
    <phoneticPr fontId="9" type="noConversion"/>
  </si>
  <si>
    <t>제어로직적용</t>
    <phoneticPr fontId="9" type="noConversion"/>
  </si>
  <si>
    <t>1501020414_20v1</t>
    <phoneticPr fontId="9" type="noConversion"/>
  </si>
  <si>
    <t>1501020106_16v3</t>
    <phoneticPr fontId="9" type="noConversion"/>
  </si>
  <si>
    <t>조립도면작성</t>
    <phoneticPr fontId="9" type="noConversion"/>
  </si>
  <si>
    <t>체결요소설계</t>
    <phoneticPr fontId="9" type="noConversion"/>
  </si>
  <si>
    <t>1503010112_25v5</t>
    <phoneticPr fontId="9" type="noConversion"/>
  </si>
  <si>
    <t>전기전자장치조립</t>
    <phoneticPr fontId="9" type="noConversion"/>
  </si>
  <si>
    <t>1503010119_25v5</t>
    <phoneticPr fontId="9" type="noConversion"/>
  </si>
  <si>
    <t>HMI 프로그램 개발</t>
    <phoneticPr fontId="9" type="noConversion"/>
  </si>
  <si>
    <t>1503010213_14v3</t>
    <phoneticPr fontId="9" type="noConversion"/>
  </si>
  <si>
    <t>로봇협업설계</t>
    <phoneticPr fontId="9" type="noConversion"/>
  </si>
  <si>
    <t>1511010107_24v2</t>
  </si>
  <si>
    <t>스마트설비제어설계</t>
    <phoneticPr fontId="9" type="noConversion"/>
  </si>
  <si>
    <t xml:space="preserve">1511010105_24v2 </t>
    <phoneticPr fontId="9" type="noConversion"/>
  </si>
  <si>
    <t>냉동설비 운영</t>
    <phoneticPr fontId="9" type="noConversion"/>
  </si>
  <si>
    <t>1505020321_16v2</t>
    <phoneticPr fontId="9" type="noConversion"/>
  </si>
  <si>
    <t>1505020301_13v1</t>
    <phoneticPr fontId="9" type="noConversion"/>
  </si>
  <si>
    <t>PLC제어특수모듈
프로그램개발</t>
    <phoneticPr fontId="9" type="noConversion"/>
  </si>
  <si>
    <t>1503010211_14v3</t>
    <phoneticPr fontId="9" type="noConversion"/>
  </si>
  <si>
    <t>1503010215_16v4</t>
    <phoneticPr fontId="9" type="noConversion"/>
  </si>
  <si>
    <t>유압제어</t>
    <phoneticPr fontId="9" type="noConversion"/>
  </si>
  <si>
    <t>1503010216_16v4</t>
    <phoneticPr fontId="9" type="noConversion"/>
  </si>
  <si>
    <t>배전반설비공사</t>
    <phoneticPr fontId="9" type="noConversion"/>
  </si>
  <si>
    <t>1901070123_22v4</t>
    <phoneticPr fontId="9" type="noConversion"/>
  </si>
  <si>
    <t>1901070115_22v4</t>
    <phoneticPr fontId="9" type="noConversion"/>
  </si>
  <si>
    <t>1901070131_22v4</t>
    <phoneticPr fontId="9" type="noConversion"/>
  </si>
  <si>
    <t>1901070132_22v4</t>
    <phoneticPr fontId="9" type="noConversion"/>
  </si>
  <si>
    <t>기계시스템설계</t>
    <phoneticPr fontId="9" type="noConversion"/>
  </si>
  <si>
    <t>형상모델링 작업</t>
    <phoneticPr fontId="9" type="noConversion"/>
  </si>
  <si>
    <t>1501020212_25v4</t>
    <phoneticPr fontId="9" type="noConversion"/>
  </si>
  <si>
    <t>형상모델링 검토</t>
    <phoneticPr fontId="9" type="noConversion"/>
  </si>
  <si>
    <t>1501020213_25v4</t>
    <phoneticPr fontId="9" type="noConversion"/>
  </si>
  <si>
    <t>1901070125_22v4</t>
    <phoneticPr fontId="9" type="noConversion"/>
  </si>
  <si>
    <t>분석 데이터 전처리</t>
    <phoneticPr fontId="9" type="noConversion"/>
  </si>
  <si>
    <t>데이터 분석 기초 기술 활용</t>
    <phoneticPr fontId="9" type="noConversion"/>
  </si>
  <si>
    <t>공급망 재고 운영</t>
    <phoneticPr fontId="9" type="noConversion"/>
  </si>
  <si>
    <t>보일러 설비운영</t>
    <phoneticPr fontId="9" type="noConversion"/>
  </si>
  <si>
    <t>공기압 제어</t>
    <phoneticPr fontId="9" type="noConversion"/>
  </si>
  <si>
    <t>내선공사검사</t>
    <phoneticPr fontId="9" type="noConversion"/>
  </si>
  <si>
    <t>경보설비공사</t>
    <phoneticPr fontId="9" type="noConversion"/>
  </si>
  <si>
    <t>피난설비공사</t>
    <phoneticPr fontId="9" type="noConversion"/>
  </si>
  <si>
    <t>스마트공장 시스템 안전관리</t>
    <phoneticPr fontId="9" type="noConversion"/>
  </si>
  <si>
    <t>로봇용접설비코스</t>
    <phoneticPr fontId="9" type="noConversion"/>
  </si>
  <si>
    <r>
      <t>정보</t>
    </r>
    <r>
      <rPr>
        <sz val="10"/>
        <rFont val="맑은 고딕"/>
        <family val="3"/>
        <charset val="129"/>
      </rPr>
      <t>∙통신</t>
    </r>
    <phoneticPr fontId="9" type="noConversion"/>
  </si>
  <si>
    <t>로봇용접 후처리 검사</t>
    <phoneticPr fontId="9" type="noConversion"/>
  </si>
  <si>
    <t>창의공학 설계</t>
    <phoneticPr fontId="9" type="noConversion"/>
  </si>
  <si>
    <t>빅 데이터분석</t>
    <phoneticPr fontId="9" type="noConversion"/>
  </si>
  <si>
    <t>사물 인터넷과 센서 제어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</si>
</sst>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0"/>
      <color rgb="FF000000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Malgun Gothic"/>
      <family val="3"/>
      <charset val="129"/>
    </font>
    <font>
      <sz val="8"/>
      <name val="함초롬돋움"/>
      <family val="3"/>
      <charset val="129"/>
    </font>
    <font>
      <sz val="1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함초롬돋움"/>
      <family val="3"/>
      <charset val="129"/>
    </font>
    <font>
      <sz val="11"/>
      <color rgb="FF000000"/>
      <name val="함초롬돋움"/>
      <family val="3"/>
      <charset val="129"/>
    </font>
    <font>
      <sz val="11"/>
      <name val="함초롬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9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8" fillId="0" borderId="0"/>
  </cellStyleXfs>
  <cellXfs count="6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0" fillId="0" borderId="21" xfId="0" applyFont="1" applyBorder="1" applyAlignment="1">
      <alignment vertical="center"/>
    </xf>
    <xf numFmtId="0" fontId="13" fillId="10" borderId="95" xfId="6" applyFont="1" applyFill="1" applyBorder="1" applyAlignment="1" applyProtection="1">
      <alignment horizontal="center" vertical="center" wrapText="1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1" fillId="12" borderId="97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4" fillId="3" borderId="56" xfId="3" applyFont="1" applyBorder="1" applyAlignment="1" applyProtection="1">
      <alignment horizontal="center" vertical="center"/>
      <protection locked="0"/>
    </xf>
    <xf numFmtId="0" fontId="27" fillId="11" borderId="97" xfId="7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4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7" xfId="0" applyFont="1" applyBorder="1" applyAlignment="1" applyProtection="1">
      <alignment horizontal="center" vertical="center"/>
      <protection locked="0"/>
    </xf>
    <xf numFmtId="0" fontId="12" fillId="0" borderId="107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99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4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shrinkToFit="1"/>
    </xf>
    <xf numFmtId="0" fontId="13" fillId="15" borderId="99" xfId="4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21" fillId="0" borderId="124" xfId="0" applyFont="1" applyBorder="1" applyAlignment="1" applyProtection="1">
      <alignment horizontal="center" vertical="center"/>
      <protection locked="0"/>
    </xf>
    <xf numFmtId="0" fontId="34" fillId="0" borderId="0" xfId="16" applyFont="1" applyAlignment="1">
      <alignment vertical="center"/>
    </xf>
    <xf numFmtId="0" fontId="16" fillId="0" borderId="0" xfId="16" applyFont="1" applyAlignment="1"/>
    <xf numFmtId="0" fontId="34" fillId="19" borderId="125" xfId="16" applyFont="1" applyFill="1" applyBorder="1" applyAlignment="1">
      <alignment horizontal="center" vertical="center"/>
    </xf>
    <xf numFmtId="0" fontId="34" fillId="0" borderId="126" xfId="16" applyFont="1" applyBorder="1" applyAlignment="1">
      <alignment vertical="center"/>
    </xf>
    <xf numFmtId="0" fontId="34" fillId="0" borderId="28" xfId="16" applyFont="1" applyBorder="1" applyAlignment="1">
      <alignment vertical="center"/>
    </xf>
    <xf numFmtId="0" fontId="34" fillId="0" borderId="25" xfId="16" applyFont="1" applyBorder="1" applyAlignment="1">
      <alignment vertical="center"/>
    </xf>
    <xf numFmtId="0" fontId="34" fillId="0" borderId="4" xfId="16" applyFont="1" applyBorder="1" applyAlignment="1">
      <alignment vertical="center"/>
    </xf>
    <xf numFmtId="0" fontId="34" fillId="0" borderId="128" xfId="16" applyFont="1" applyBorder="1" applyAlignment="1">
      <alignment vertical="center"/>
    </xf>
    <xf numFmtId="0" fontId="34" fillId="0" borderId="21" xfId="16" applyFont="1" applyBorder="1" applyAlignment="1">
      <alignment vertical="center"/>
    </xf>
    <xf numFmtId="0" fontId="34" fillId="0" borderId="6" xfId="16" applyFont="1" applyBorder="1" applyAlignment="1">
      <alignment vertical="center"/>
    </xf>
    <xf numFmtId="0" fontId="34" fillId="0" borderId="133" xfId="16" applyFont="1" applyBorder="1" applyAlignment="1">
      <alignment vertical="center"/>
    </xf>
    <xf numFmtId="0" fontId="34" fillId="0" borderId="3" xfId="16" applyFont="1" applyBorder="1" applyAlignment="1">
      <alignment vertical="center"/>
    </xf>
    <xf numFmtId="0" fontId="34" fillId="0" borderId="22" xfId="16" applyFont="1" applyBorder="1" applyAlignment="1">
      <alignment vertical="center"/>
    </xf>
    <xf numFmtId="0" fontId="34" fillId="0" borderId="19" xfId="16" applyFont="1" applyBorder="1" applyAlignment="1">
      <alignment vertical="center"/>
    </xf>
    <xf numFmtId="0" fontId="34" fillId="21" borderId="139" xfId="16" applyFont="1" applyFill="1" applyBorder="1" applyAlignment="1">
      <alignment horizontal="center" vertical="center" wrapText="1"/>
    </xf>
    <xf numFmtId="0" fontId="34" fillId="21" borderId="140" xfId="16" applyFont="1" applyFill="1" applyBorder="1" applyAlignment="1">
      <alignment horizontal="center" vertical="center" wrapText="1"/>
    </xf>
    <xf numFmtId="0" fontId="44" fillId="21" borderId="140" xfId="16" applyFont="1" applyFill="1" applyBorder="1" applyAlignment="1">
      <alignment horizontal="center" vertical="center" wrapText="1"/>
    </xf>
    <xf numFmtId="0" fontId="44" fillId="21" borderId="141" xfId="16" applyFont="1" applyFill="1" applyBorder="1" applyAlignment="1">
      <alignment horizontal="center" vertical="center" wrapText="1"/>
    </xf>
    <xf numFmtId="0" fontId="34" fillId="0" borderId="21" xfId="16" applyFont="1" applyBorder="1" applyAlignment="1">
      <alignment vertical="center" wrapText="1"/>
    </xf>
    <xf numFmtId="0" fontId="34" fillId="0" borderId="6" xfId="16" applyFont="1" applyBorder="1" applyAlignment="1">
      <alignment vertical="center" wrapText="1"/>
    </xf>
    <xf numFmtId="0" fontId="45" fillId="0" borderId="145" xfId="16" applyFont="1" applyBorder="1" applyAlignment="1">
      <alignment horizontal="center" vertical="center" wrapText="1"/>
    </xf>
    <xf numFmtId="0" fontId="45" fillId="0" borderId="147" xfId="16" applyFont="1" applyBorder="1" applyAlignment="1">
      <alignment horizontal="center" vertical="center" wrapText="1"/>
    </xf>
    <xf numFmtId="0" fontId="45" fillId="0" borderId="151" xfId="16" applyFont="1" applyBorder="1" applyAlignment="1">
      <alignment horizontal="center" vertical="center" wrapText="1"/>
    </xf>
    <xf numFmtId="0" fontId="45" fillId="0" borderId="152" xfId="16" applyFont="1" applyBorder="1" applyAlignment="1">
      <alignment horizontal="center" vertical="center" wrapText="1"/>
    </xf>
    <xf numFmtId="0" fontId="45" fillId="0" borderId="155" xfId="16" applyFont="1" applyBorder="1" applyAlignment="1">
      <alignment horizontal="center" vertical="center" wrapText="1"/>
    </xf>
    <xf numFmtId="0" fontId="45" fillId="0" borderId="156" xfId="16" applyFont="1" applyBorder="1" applyAlignment="1">
      <alignment horizontal="center" vertical="center" wrapText="1"/>
    </xf>
    <xf numFmtId="0" fontId="45" fillId="0" borderId="158" xfId="16" applyFont="1" applyBorder="1" applyAlignment="1">
      <alignment horizontal="center" vertical="center" wrapText="1"/>
    </xf>
    <xf numFmtId="0" fontId="34" fillId="0" borderId="158" xfId="16" applyFont="1" applyBorder="1" applyAlignment="1">
      <alignment horizontal="center" vertical="center" wrapText="1"/>
    </xf>
    <xf numFmtId="0" fontId="45" fillId="0" borderId="159" xfId="16" applyFont="1" applyBorder="1" applyAlignment="1">
      <alignment horizontal="center" vertical="center" wrapText="1"/>
    </xf>
    <xf numFmtId="0" fontId="34" fillId="0" borderId="152" xfId="16" applyFont="1" applyBorder="1" applyAlignment="1">
      <alignment horizontal="center" vertical="center" wrapText="1"/>
    </xf>
    <xf numFmtId="0" fontId="34" fillId="0" borderId="155" xfId="16" applyFont="1" applyBorder="1" applyAlignment="1">
      <alignment horizontal="center" vertical="center" wrapText="1"/>
    </xf>
    <xf numFmtId="0" fontId="45" fillId="0" borderId="131" xfId="16" applyFont="1" applyBorder="1" applyAlignment="1">
      <alignment horizontal="center" vertical="center" wrapText="1"/>
    </xf>
    <xf numFmtId="0" fontId="47" fillId="21" borderId="131" xfId="16" applyFont="1" applyFill="1" applyBorder="1" applyAlignment="1">
      <alignment horizontal="center" vertical="center" wrapText="1"/>
    </xf>
    <xf numFmtId="0" fontId="48" fillId="0" borderId="152" xfId="16" applyFont="1" applyBorder="1" applyAlignment="1">
      <alignment horizontal="center" vertical="center" wrapText="1"/>
    </xf>
    <xf numFmtId="0" fontId="48" fillId="0" borderId="130" xfId="16" applyFont="1" applyBorder="1" applyAlignment="1">
      <alignment horizontal="center" vertical="center" wrapText="1"/>
    </xf>
    <xf numFmtId="0" fontId="47" fillId="0" borderId="131" xfId="16" applyFont="1" applyBorder="1" applyAlignment="1">
      <alignment horizontal="center" vertical="center" wrapText="1"/>
    </xf>
    <xf numFmtId="0" fontId="34" fillId="0" borderId="0" xfId="16" applyFont="1" applyBorder="1" applyAlignment="1">
      <alignment vertical="center"/>
    </xf>
    <xf numFmtId="0" fontId="49" fillId="0" borderId="0" xfId="16" applyFont="1" applyBorder="1" applyAlignment="1">
      <alignment horizontal="center" vertical="center"/>
    </xf>
    <xf numFmtId="0" fontId="43" fillId="0" borderId="131" xfId="16" applyFont="1" applyBorder="1" applyAlignment="1">
      <alignment horizontal="center" vertical="center"/>
    </xf>
    <xf numFmtId="0" fontId="43" fillId="20" borderId="152" xfId="16" applyFont="1" applyFill="1" applyBorder="1" applyAlignment="1">
      <alignment horizontal="center" vertical="center"/>
    </xf>
    <xf numFmtId="0" fontId="43" fillId="20" borderId="130" xfId="16" applyFont="1" applyFill="1" applyBorder="1" applyAlignment="1">
      <alignment horizontal="center" vertical="center" wrapText="1"/>
    </xf>
    <xf numFmtId="0" fontId="49" fillId="0" borderId="152" xfId="16" applyFont="1" applyBorder="1" applyAlignment="1">
      <alignment horizontal="center" vertical="center" wrapText="1"/>
    </xf>
    <xf numFmtId="0" fontId="49" fillId="0" borderId="131" xfId="16" applyFont="1" applyBorder="1" applyAlignment="1">
      <alignment horizontal="center" vertical="center" wrapText="1"/>
    </xf>
    <xf numFmtId="0" fontId="43" fillId="0" borderId="152" xfId="16" applyFont="1" applyBorder="1" applyAlignment="1">
      <alignment horizontal="center" vertical="center" wrapText="1"/>
    </xf>
    <xf numFmtId="0" fontId="43" fillId="0" borderId="131" xfId="16" applyFont="1" applyBorder="1" applyAlignment="1">
      <alignment horizontal="center" vertical="center" wrapText="1"/>
    </xf>
    <xf numFmtId="0" fontId="34" fillId="0" borderId="152" xfId="16" applyFont="1" applyBorder="1" applyAlignment="1">
      <alignment vertical="center" wrapText="1"/>
    </xf>
    <xf numFmtId="0" fontId="34" fillId="0" borderId="0" xfId="16" applyFont="1" applyBorder="1" applyAlignment="1">
      <alignment vertical="center" wrapText="1"/>
    </xf>
    <xf numFmtId="0" fontId="43" fillId="20" borderId="131" xfId="16" applyFont="1" applyFill="1" applyBorder="1" applyAlignment="1">
      <alignment horizontal="center" vertical="center"/>
    </xf>
    <xf numFmtId="0" fontId="43" fillId="0" borderId="130" xfId="16" applyFont="1" applyBorder="1" applyAlignment="1">
      <alignment horizontal="center" vertical="center"/>
    </xf>
    <xf numFmtId="0" fontId="43" fillId="0" borderId="152" xfId="16" applyFont="1" applyBorder="1" applyAlignment="1">
      <alignment horizontal="center" vertical="center"/>
    </xf>
    <xf numFmtId="0" fontId="50" fillId="0" borderId="152" xfId="16" applyFont="1" applyBorder="1" applyAlignment="1">
      <alignment horizontal="center" vertical="center"/>
    </xf>
    <xf numFmtId="0" fontId="50" fillId="0" borderId="131" xfId="16" applyFont="1" applyBorder="1" applyAlignment="1">
      <alignment horizontal="center" vertical="center"/>
    </xf>
    <xf numFmtId="0" fontId="34" fillId="0" borderId="138" xfId="16" applyFont="1" applyBorder="1" applyAlignment="1">
      <alignment vertical="center"/>
    </xf>
    <xf numFmtId="0" fontId="34" fillId="0" borderId="136" xfId="16" applyFont="1" applyBorder="1" applyAlignment="1">
      <alignment vertical="center"/>
    </xf>
    <xf numFmtId="0" fontId="34" fillId="0" borderId="163" xfId="16" applyFont="1" applyBorder="1" applyAlignment="1">
      <alignment vertical="center"/>
    </xf>
    <xf numFmtId="0" fontId="34" fillId="0" borderId="164" xfId="16" applyFont="1" applyBorder="1" applyAlignment="1">
      <alignment vertical="center"/>
    </xf>
    <xf numFmtId="0" fontId="34" fillId="0" borderId="110" xfId="16" applyFont="1" applyBorder="1" applyAlignment="1">
      <alignment vertical="center"/>
    </xf>
    <xf numFmtId="0" fontId="34" fillId="0" borderId="134" xfId="16" applyFont="1" applyBorder="1" applyAlignment="1">
      <alignment vertical="center"/>
    </xf>
    <xf numFmtId="0" fontId="34" fillId="0" borderId="166" xfId="16" applyFont="1" applyBorder="1" applyAlignment="1">
      <alignment vertical="center"/>
    </xf>
    <xf numFmtId="0" fontId="34" fillId="0" borderId="167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vertical="center" wrapText="1"/>
    </xf>
    <xf numFmtId="0" fontId="13" fillId="15" borderId="25" xfId="4" applyFont="1" applyFill="1" applyBorder="1" applyAlignment="1" applyProtection="1">
      <alignment vertical="center" wrapText="1"/>
    </xf>
    <xf numFmtId="0" fontId="13" fillId="15" borderId="6" xfId="4" applyFont="1" applyFill="1" applyBorder="1" applyAlignment="1" applyProtection="1">
      <alignment vertical="center" wrapText="1"/>
    </xf>
    <xf numFmtId="0" fontId="13" fillId="15" borderId="21" xfId="4" applyFont="1" applyFill="1" applyBorder="1" applyAlignment="1" applyProtection="1">
      <alignment vertical="center" wrapText="1"/>
    </xf>
    <xf numFmtId="0" fontId="13" fillId="15" borderId="19" xfId="4" applyFont="1" applyFill="1" applyBorder="1" applyAlignment="1" applyProtection="1">
      <alignment vertical="center" wrapText="1"/>
    </xf>
    <xf numFmtId="0" fontId="13" fillId="15" borderId="22" xfId="4" applyFont="1" applyFill="1" applyBorder="1" applyAlignment="1" applyProtection="1">
      <alignment vertical="center" wrapText="1"/>
    </xf>
    <xf numFmtId="0" fontId="13" fillId="15" borderId="79" xfId="4" applyFont="1" applyFill="1" applyBorder="1" applyAlignment="1" applyProtection="1">
      <alignment horizontal="center" vertical="center" shrinkToFit="1"/>
    </xf>
    <xf numFmtId="0" fontId="13" fillId="15" borderId="14" xfId="4" applyFont="1" applyFill="1" applyBorder="1" applyAlignment="1" applyProtection="1">
      <alignment horizontal="center" vertical="center" shrinkToFit="1"/>
    </xf>
    <xf numFmtId="0" fontId="21" fillId="15" borderId="17" xfId="0" applyFont="1" applyFill="1" applyBorder="1" applyAlignment="1">
      <alignment horizontal="center" vertical="center"/>
    </xf>
    <xf numFmtId="0" fontId="0" fillId="15" borderId="40" xfId="0" applyFill="1" applyBorder="1" applyAlignment="1" applyProtection="1">
      <alignment horizontal="center" vertical="center"/>
      <protection locked="0"/>
    </xf>
    <xf numFmtId="0" fontId="21" fillId="15" borderId="38" xfId="0" applyFont="1" applyFill="1" applyBorder="1" applyAlignment="1">
      <alignment horizontal="center" vertical="center"/>
    </xf>
    <xf numFmtId="0" fontId="0" fillId="15" borderId="39" xfId="0" applyFill="1" applyBorder="1" applyProtection="1">
      <alignment vertical="center"/>
      <protection locked="0"/>
    </xf>
    <xf numFmtId="0" fontId="0" fillId="15" borderId="40" xfId="0" applyFill="1" applyBorder="1" applyProtection="1">
      <alignment vertical="center"/>
      <protection locked="0"/>
    </xf>
    <xf numFmtId="0" fontId="54" fillId="15" borderId="38" xfId="0" applyFont="1" applyFill="1" applyBorder="1" applyAlignment="1">
      <alignment horizontal="center" vertical="center" shrinkToFit="1"/>
    </xf>
    <xf numFmtId="0" fontId="54" fillId="15" borderId="39" xfId="0" applyFont="1" applyFill="1" applyBorder="1" applyAlignment="1">
      <alignment horizontal="center" vertical="center" shrinkToFit="1"/>
    </xf>
    <xf numFmtId="0" fontId="54" fillId="15" borderId="40" xfId="0" applyFont="1" applyFill="1" applyBorder="1" applyAlignment="1">
      <alignment horizontal="center" vertical="center" shrinkToFit="1"/>
    </xf>
    <xf numFmtId="0" fontId="0" fillId="15" borderId="38" xfId="0" applyFill="1" applyBorder="1" applyProtection="1">
      <alignment vertical="center"/>
      <protection locked="0"/>
    </xf>
    <xf numFmtId="0" fontId="21" fillId="15" borderId="39" xfId="0" applyFont="1" applyFill="1" applyBorder="1" applyAlignment="1">
      <alignment horizontal="center" vertical="center"/>
    </xf>
    <xf numFmtId="0" fontId="21" fillId="15" borderId="4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9" fillId="9" borderId="96" xfId="7" applyNumberFormat="1" applyFont="1" applyFill="1" applyBorder="1" applyAlignment="1" applyProtection="1">
      <alignment horizontal="center" vertical="center" shrinkToFit="1"/>
    </xf>
    <xf numFmtId="176" fontId="19" fillId="9" borderId="96" xfId="7" applyNumberFormat="1" applyFont="1" applyFill="1" applyBorder="1" applyAlignment="1" applyProtection="1">
      <alignment horizontal="center" vertical="center" shrinkToFit="1"/>
    </xf>
    <xf numFmtId="176" fontId="55" fillId="0" borderId="96" xfId="0" applyNumberFormat="1" applyFont="1" applyBorder="1">
      <alignment vertical="center"/>
    </xf>
    <xf numFmtId="176" fontId="55" fillId="0" borderId="30" xfId="0" applyNumberFormat="1" applyFont="1" applyBorder="1">
      <alignment vertical="center"/>
    </xf>
    <xf numFmtId="0" fontId="19" fillId="9" borderId="15" xfId="7" applyNumberFormat="1" applyFont="1" applyFill="1" applyBorder="1" applyAlignment="1" applyProtection="1">
      <alignment horizontal="center" vertical="center" shrinkToFit="1"/>
    </xf>
    <xf numFmtId="176" fontId="19" fillId="9" borderId="15" xfId="7" applyNumberFormat="1" applyFont="1" applyFill="1" applyBorder="1" applyAlignment="1" applyProtection="1">
      <alignment horizontal="center" vertical="center" shrinkToFit="1"/>
    </xf>
    <xf numFmtId="176" fontId="55" fillId="0" borderId="15" xfId="0" applyNumberFormat="1" applyFont="1" applyBorder="1">
      <alignment vertical="center"/>
    </xf>
    <xf numFmtId="176" fontId="55" fillId="0" borderId="11" xfId="0" applyNumberFormat="1" applyFont="1" applyBorder="1">
      <alignment vertical="center"/>
    </xf>
    <xf numFmtId="176" fontId="55" fillId="0" borderId="30" xfId="0" applyNumberFormat="1" applyFont="1" applyBorder="1" applyAlignment="1">
      <alignment horizontal="right" vertical="center"/>
    </xf>
    <xf numFmtId="0" fontId="19" fillId="9" borderId="12" xfId="7" applyNumberFormat="1" applyFont="1" applyFill="1" applyBorder="1" applyAlignment="1" applyProtection="1">
      <alignment horizontal="center" vertical="center" shrinkToFit="1"/>
    </xf>
    <xf numFmtId="176" fontId="19" fillId="9" borderId="12" xfId="7" applyNumberFormat="1" applyFont="1" applyFill="1" applyBorder="1" applyAlignment="1" applyProtection="1">
      <alignment horizontal="center" vertical="center" shrinkToFit="1"/>
    </xf>
    <xf numFmtId="176" fontId="55" fillId="0" borderId="105" xfId="0" applyNumberFormat="1" applyFont="1" applyBorder="1" applyAlignment="1">
      <alignment horizontal="right" vertical="center"/>
    </xf>
    <xf numFmtId="176" fontId="55" fillId="0" borderId="11" xfId="0" applyNumberFormat="1" applyFont="1" applyBorder="1" applyAlignment="1">
      <alignment horizontal="right" vertical="center"/>
    </xf>
    <xf numFmtId="176" fontId="55" fillId="0" borderId="108" xfId="0" applyNumberFormat="1" applyFont="1" applyBorder="1">
      <alignment vertical="center"/>
    </xf>
    <xf numFmtId="176" fontId="55" fillId="0" borderId="32" xfId="0" applyNumberFormat="1" applyFont="1" applyBorder="1">
      <alignment vertical="center"/>
    </xf>
    <xf numFmtId="176" fontId="55" fillId="0" borderId="12" xfId="0" applyNumberFormat="1" applyFont="1" applyBorder="1">
      <alignment vertical="center"/>
    </xf>
    <xf numFmtId="0" fontId="56" fillId="16" borderId="97" xfId="7" applyNumberFormat="1" applyFont="1" applyFill="1" applyBorder="1" applyAlignment="1" applyProtection="1">
      <alignment horizontal="center" vertical="center" shrinkToFit="1"/>
    </xf>
    <xf numFmtId="176" fontId="56" fillId="16" borderId="97" xfId="7" applyNumberFormat="1" applyFont="1" applyFill="1" applyBorder="1" applyAlignment="1" applyProtection="1">
      <alignment horizontal="center" vertical="center" shrinkToFit="1"/>
    </xf>
    <xf numFmtId="0" fontId="56" fillId="16" borderId="32" xfId="7" applyNumberFormat="1" applyFont="1" applyFill="1" applyBorder="1" applyAlignment="1" applyProtection="1">
      <alignment horizontal="center" vertical="center" shrinkToFit="1"/>
    </xf>
    <xf numFmtId="176" fontId="56" fillId="16" borderId="32" xfId="7" applyNumberFormat="1" applyFont="1" applyFill="1" applyBorder="1" applyAlignment="1" applyProtection="1">
      <alignment horizontal="center" vertical="center" shrinkToFit="1"/>
    </xf>
    <xf numFmtId="0" fontId="19" fillId="0" borderId="96" xfId="7" applyNumberFormat="1" applyFont="1" applyFill="1" applyBorder="1" applyAlignment="1" applyProtection="1">
      <alignment horizontal="center" vertical="center" shrinkToFit="1"/>
    </xf>
    <xf numFmtId="176" fontId="56" fillId="16" borderId="97" xfId="7" applyNumberFormat="1" applyFont="1" applyFill="1" applyBorder="1" applyAlignment="1" applyProtection="1">
      <alignment horizontal="right" vertical="center" shrinkToFit="1"/>
    </xf>
    <xf numFmtId="176" fontId="56" fillId="16" borderId="31" xfId="7" applyNumberFormat="1" applyFont="1" applyFill="1" applyBorder="1" applyAlignment="1" applyProtection="1">
      <alignment horizontal="center" vertical="center" shrinkToFit="1"/>
    </xf>
    <xf numFmtId="0" fontId="13" fillId="0" borderId="42" xfId="4" applyFont="1" applyFill="1" applyBorder="1" applyAlignment="1" applyProtection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</xf>
    <xf numFmtId="0" fontId="13" fillId="0" borderId="101" xfId="4" applyFont="1" applyFill="1" applyBorder="1" applyAlignment="1" applyProtection="1">
      <alignment horizontal="center" vertical="center" wrapText="1"/>
    </xf>
    <xf numFmtId="0" fontId="13" fillId="15" borderId="102" xfId="4" applyFont="1" applyFill="1" applyBorder="1" applyAlignment="1" applyProtection="1">
      <alignment horizontal="center" vertical="center" wrapText="1"/>
    </xf>
    <xf numFmtId="0" fontId="13" fillId="0" borderId="34" xfId="4" applyFont="1" applyFill="1" applyBorder="1" applyAlignment="1" applyProtection="1">
      <alignment horizontal="center" vertical="center" wrapTex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171" xfId="4" applyFont="1" applyFill="1" applyBorder="1" applyAlignment="1" applyProtection="1">
      <alignment horizontal="center" vertical="center" wrapText="1"/>
    </xf>
    <xf numFmtId="0" fontId="13" fillId="0" borderId="66" xfId="4" applyFont="1" applyFill="1" applyBorder="1" applyAlignment="1" applyProtection="1">
      <alignment horizontal="center" vertical="center" wrapText="1"/>
    </xf>
    <xf numFmtId="0" fontId="13" fillId="0" borderId="94" xfId="4" applyFont="1" applyFill="1" applyBorder="1" applyAlignment="1" applyProtection="1">
      <alignment horizontal="center" vertical="center" wrapText="1"/>
    </xf>
    <xf numFmtId="0" fontId="13" fillId="0" borderId="55" xfId="4" applyFont="1" applyFill="1" applyBorder="1" applyAlignment="1" applyProtection="1">
      <alignment horizontal="center" vertical="center" wrapText="1"/>
    </xf>
    <xf numFmtId="0" fontId="13" fillId="15" borderId="171" xfId="4" applyFont="1" applyFill="1" applyBorder="1" applyAlignment="1" applyProtection="1">
      <alignment horizontal="center" vertical="center" wrapText="1"/>
    </xf>
    <xf numFmtId="0" fontId="0" fillId="15" borderId="189" xfId="0" applyFill="1" applyBorder="1" applyAlignment="1" applyProtection="1">
      <alignment horizontal="center" vertical="center"/>
      <protection locked="0"/>
    </xf>
    <xf numFmtId="0" fontId="0" fillId="15" borderId="190" xfId="0" applyFill="1" applyBorder="1" applyAlignment="1" applyProtection="1">
      <alignment horizontal="center" vertical="center"/>
      <protection locked="0"/>
    </xf>
    <xf numFmtId="0" fontId="0" fillId="15" borderId="191" xfId="0" applyFill="1" applyBorder="1" applyAlignment="1" applyProtection="1">
      <alignment horizontal="center" vertical="center"/>
      <protection locked="0"/>
    </xf>
    <xf numFmtId="0" fontId="55" fillId="15" borderId="46" xfId="0" applyFont="1" applyFill="1" applyBorder="1" applyAlignment="1" applyProtection="1">
      <alignment horizontal="center" vertical="center"/>
      <protection locked="0"/>
    </xf>
    <xf numFmtId="0" fontId="55" fillId="15" borderId="47" xfId="0" applyFont="1" applyFill="1" applyBorder="1" applyAlignment="1" applyProtection="1">
      <alignment horizontal="center" vertical="center"/>
      <protection locked="0"/>
    </xf>
    <xf numFmtId="0" fontId="55" fillId="15" borderId="48" xfId="0" applyFont="1" applyFill="1" applyBorder="1" applyAlignment="1" applyProtection="1">
      <alignment horizontal="center" vertical="center"/>
      <protection locked="0"/>
    </xf>
    <xf numFmtId="0" fontId="19" fillId="0" borderId="113" xfId="7" applyNumberFormat="1" applyFont="1" applyFill="1" applyBorder="1" applyAlignment="1" applyProtection="1">
      <alignment horizontal="center" vertical="center" shrinkToFit="1"/>
    </xf>
    <xf numFmtId="0" fontId="58" fillId="0" borderId="152" xfId="0" applyFont="1" applyBorder="1" applyAlignment="1">
      <alignment horizontal="center" vertical="center" wrapText="1"/>
    </xf>
    <xf numFmtId="0" fontId="59" fillId="18" borderId="110" xfId="0" applyFont="1" applyFill="1" applyBorder="1" applyAlignment="1">
      <alignment horizontal="center" vertical="center" shrinkToFit="1"/>
    </xf>
    <xf numFmtId="0" fontId="19" fillId="0" borderId="112" xfId="7" applyNumberFormat="1" applyFont="1" applyFill="1" applyBorder="1" applyAlignment="1" applyProtection="1">
      <alignment horizontal="center" vertical="center" shrinkToFit="1"/>
    </xf>
    <xf numFmtId="0" fontId="19" fillId="0" borderId="111" xfId="7" applyNumberFormat="1" applyFont="1" applyFill="1" applyBorder="1" applyAlignment="1" applyProtection="1">
      <alignment horizontal="center" vertical="center" shrinkToFit="1"/>
    </xf>
    <xf numFmtId="0" fontId="19" fillId="0" borderId="112" xfId="7" applyNumberFormat="1" applyFont="1" applyFill="1" applyBorder="1" applyAlignment="1" applyProtection="1">
      <alignment horizontal="center" vertical="center" wrapText="1" shrinkToFit="1"/>
    </xf>
    <xf numFmtId="0" fontId="36" fillId="0" borderId="112" xfId="7" applyNumberFormat="1" applyFont="1" applyFill="1" applyBorder="1" applyAlignment="1" applyProtection="1">
      <alignment horizontal="center" vertical="center" wrapText="1" shrinkToFit="1"/>
    </xf>
    <xf numFmtId="0" fontId="36" fillId="9" borderId="96" xfId="7" applyNumberFormat="1" applyFont="1" applyFill="1" applyBorder="1" applyAlignment="1" applyProtection="1">
      <alignment horizontal="center" vertical="center" shrinkToFit="1"/>
    </xf>
    <xf numFmtId="0" fontId="36" fillId="0" borderId="111" xfId="7" applyNumberFormat="1" applyFont="1" applyFill="1" applyBorder="1" applyAlignment="1" applyProtection="1">
      <alignment horizontal="center" vertical="center" wrapText="1" shrinkToFit="1"/>
    </xf>
    <xf numFmtId="0" fontId="36" fillId="9" borderId="12" xfId="7" applyNumberFormat="1" applyFont="1" applyFill="1" applyBorder="1" applyAlignment="1" applyProtection="1">
      <alignment horizontal="center" vertical="center" shrinkToFit="1"/>
    </xf>
    <xf numFmtId="0" fontId="19" fillId="0" borderId="12" xfId="7" applyNumberFormat="1" applyFont="1" applyFill="1" applyBorder="1" applyAlignment="1" applyProtection="1">
      <alignment horizontal="center" vertical="center" shrinkToFit="1"/>
    </xf>
    <xf numFmtId="0" fontId="60" fillId="0" borderId="112" xfId="7" applyNumberFormat="1" applyFont="1" applyFill="1" applyBorder="1" applyAlignment="1" applyProtection="1">
      <alignment horizontal="center" vertical="center" shrinkToFit="1"/>
    </xf>
    <xf numFmtId="0" fontId="61" fillId="0" borderId="0" xfId="0" applyFont="1" applyAlignment="1">
      <alignment horizontal="center" vertical="center"/>
    </xf>
    <xf numFmtId="0" fontId="56" fillId="16" borderId="10" xfId="7" applyNumberFormat="1" applyFont="1" applyFill="1" applyBorder="1" applyAlignment="1" applyProtection="1">
      <alignment horizontal="center" vertical="center" shrinkToFit="1"/>
    </xf>
    <xf numFmtId="176" fontId="56" fillId="16" borderId="10" xfId="7" applyNumberFormat="1" applyFont="1" applyFill="1" applyBorder="1" applyAlignment="1" applyProtection="1">
      <alignment horizontal="center" vertical="center" shrinkToFit="1"/>
    </xf>
    <xf numFmtId="176" fontId="56" fillId="16" borderId="195" xfId="7" applyNumberFormat="1" applyFont="1" applyFill="1" applyBorder="1" applyAlignment="1" applyProtection="1">
      <alignment horizontal="center" vertical="center" shrinkToFit="1"/>
    </xf>
    <xf numFmtId="0" fontId="62" fillId="0" borderId="96" xfId="0" applyFont="1" applyBorder="1" applyAlignment="1">
      <alignment horizontal="center" vertical="center"/>
    </xf>
    <xf numFmtId="176" fontId="56" fillId="0" borderId="96" xfId="7" applyNumberFormat="1" applyFont="1" applyFill="1" applyBorder="1" applyAlignment="1" applyProtection="1">
      <alignment horizontal="center" vertical="center" shrinkToFit="1"/>
    </xf>
    <xf numFmtId="0" fontId="62" fillId="0" borderId="32" xfId="0" applyFont="1" applyBorder="1" applyAlignment="1">
      <alignment horizontal="center" vertical="center"/>
    </xf>
    <xf numFmtId="176" fontId="56" fillId="0" borderId="32" xfId="7" applyNumberFormat="1" applyFont="1" applyFill="1" applyBorder="1" applyAlignment="1" applyProtection="1">
      <alignment horizontal="center" vertical="center" shrinkToFit="1"/>
    </xf>
    <xf numFmtId="176" fontId="19" fillId="0" borderId="96" xfId="7" applyNumberFormat="1" applyFont="1" applyFill="1" applyBorder="1" applyAlignment="1" applyProtection="1">
      <alignment horizontal="center" vertical="center" shrinkToFit="1"/>
    </xf>
    <xf numFmtId="176" fontId="19" fillId="0" borderId="30" xfId="7" applyNumberFormat="1" applyFont="1" applyFill="1" applyBorder="1" applyAlignment="1" applyProtection="1">
      <alignment horizontal="center" vertical="center" shrinkToFit="1"/>
    </xf>
    <xf numFmtId="176" fontId="19" fillId="0" borderId="32" xfId="7" applyNumberFormat="1" applyFont="1" applyFill="1" applyBorder="1" applyAlignment="1" applyProtection="1">
      <alignment horizontal="center" vertical="center" shrinkToFit="1"/>
    </xf>
    <xf numFmtId="176" fontId="19" fillId="0" borderId="196" xfId="7" applyNumberFormat="1" applyFont="1" applyFill="1" applyBorder="1" applyAlignment="1" applyProtection="1">
      <alignment horizontal="center" vertical="center" shrinkToFit="1"/>
    </xf>
    <xf numFmtId="0" fontId="19" fillId="0" borderId="197" xfId="7" applyNumberFormat="1" applyFont="1" applyFill="1" applyBorder="1" applyAlignment="1" applyProtection="1">
      <alignment horizontal="center" vertical="center" shrinkToFit="1"/>
    </xf>
    <xf numFmtId="0" fontId="19" fillId="9" borderId="32" xfId="7" applyNumberFormat="1" applyFont="1" applyFill="1" applyBorder="1" applyAlignment="1" applyProtection="1">
      <alignment horizontal="center" vertical="center" shrinkToFit="1"/>
    </xf>
    <xf numFmtId="176" fontId="19" fillId="9" borderId="32" xfId="7" applyNumberFormat="1" applyFont="1" applyFill="1" applyBorder="1" applyAlignment="1" applyProtection="1">
      <alignment horizontal="center" vertical="center" shrinkToFit="1"/>
    </xf>
    <xf numFmtId="176" fontId="55" fillId="0" borderId="198" xfId="0" applyNumberFormat="1" applyFont="1" applyBorder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62" fillId="0" borderId="152" xfId="0" applyFont="1" applyBorder="1" applyAlignment="1">
      <alignment horizontal="center" vertical="center" wrapText="1"/>
    </xf>
    <xf numFmtId="0" fontId="62" fillId="0" borderId="152" xfId="0" applyFont="1" applyBorder="1" applyAlignment="1">
      <alignment horizontal="center" vertical="center" shrinkToFit="1"/>
    </xf>
    <xf numFmtId="0" fontId="19" fillId="0" borderId="32" xfId="7" applyNumberFormat="1" applyFont="1" applyFill="1" applyBorder="1" applyAlignment="1" applyProtection="1">
      <alignment horizontal="center" vertical="center" shrinkToFit="1"/>
    </xf>
    <xf numFmtId="176" fontId="55" fillId="0" borderId="96" xfId="0" applyNumberFormat="1" applyFont="1" applyBorder="1" applyAlignment="1">
      <alignment vertical="center"/>
    </xf>
    <xf numFmtId="176" fontId="55" fillId="0" borderId="15" xfId="0" applyNumberFormat="1" applyFont="1" applyBorder="1" applyAlignment="1">
      <alignment vertical="center"/>
    </xf>
    <xf numFmtId="176" fontId="19" fillId="0" borderId="96" xfId="7" applyNumberFormat="1" applyFont="1" applyFill="1" applyBorder="1" applyAlignment="1" applyProtection="1">
      <alignment horizontal="right" vertical="center" shrinkToFit="1"/>
    </xf>
    <xf numFmtId="176" fontId="19" fillId="0" borderId="32" xfId="7" applyNumberFormat="1" applyFont="1" applyFill="1" applyBorder="1" applyAlignment="1" applyProtection="1">
      <alignment horizontal="right" vertical="center" shrinkToFit="1"/>
    </xf>
    <xf numFmtId="0" fontId="63" fillId="0" borderId="152" xfId="0" applyFont="1" applyBorder="1" applyAlignment="1">
      <alignment horizontal="center" vertical="center" wrapText="1"/>
    </xf>
    <xf numFmtId="0" fontId="21" fillId="15" borderId="38" xfId="0" applyFont="1" applyFill="1" applyBorder="1" applyAlignment="1">
      <alignment horizontal="center" vertical="center" shrinkToFi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5" xfId="0" applyNumberFormat="1" applyFont="1" applyFill="1" applyBorder="1" applyAlignment="1">
      <alignment horizontal="center" vertical="center" wrapText="1"/>
    </xf>
    <xf numFmtId="176" fontId="13" fillId="15" borderId="19" xfId="0" applyNumberFormat="1" applyFont="1" applyFill="1" applyBorder="1" applyAlignment="1">
      <alignment horizontal="center" vertical="center" wrapText="1"/>
    </xf>
    <xf numFmtId="176" fontId="13" fillId="15" borderId="22" xfId="0" applyNumberFormat="1" applyFont="1" applyFill="1" applyBorder="1" applyAlignment="1">
      <alignment horizontal="center" vertical="center" wrapText="1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50" xfId="2" applyFont="1" applyBorder="1" applyAlignment="1" applyProtection="1">
      <alignment horizontal="center" vertical="center" wrapText="1"/>
      <protection locked="0"/>
    </xf>
    <xf numFmtId="0" fontId="13" fillId="0" borderId="54" xfId="2" applyFont="1" applyBorder="1" applyAlignment="1" applyProtection="1">
      <alignment horizontal="center" vertical="center" wrapText="1"/>
      <protection locked="0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54" xfId="0" applyFont="1" applyBorder="1" applyAlignment="1" applyProtection="1">
      <alignment horizontal="center" vertical="center" shrinkToFit="1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5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1" fillId="15" borderId="19" xfId="4" applyFont="1" applyFill="1" applyBorder="1" applyAlignment="1" applyProtection="1">
      <alignment horizontal="center" vertical="center" wrapText="1"/>
    </xf>
    <xf numFmtId="0" fontId="21" fillId="15" borderId="22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79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57" fillId="0" borderId="49" xfId="0" applyFont="1" applyBorder="1" applyAlignment="1">
      <alignment horizontal="center" vertical="center" shrinkToFit="1"/>
    </xf>
    <xf numFmtId="0" fontId="57" fillId="0" borderId="60" xfId="0" applyFont="1" applyBorder="1" applyAlignment="1">
      <alignment horizontal="center" vertical="center" shrinkToFit="1"/>
    </xf>
    <xf numFmtId="0" fontId="57" fillId="0" borderId="56" xfId="0" applyFont="1" applyBorder="1" applyAlignment="1">
      <alignment horizontal="center" vertical="center" shrinkToFit="1"/>
    </xf>
    <xf numFmtId="0" fontId="57" fillId="0" borderId="53" xfId="0" applyFont="1" applyBorder="1" applyAlignment="1">
      <alignment horizontal="center" vertical="center" shrinkToFit="1"/>
    </xf>
    <xf numFmtId="0" fontId="55" fillId="0" borderId="56" xfId="0" applyFont="1" applyBorder="1" applyAlignment="1" applyProtection="1">
      <alignment horizontal="center" vertical="center"/>
      <protection locked="0"/>
    </xf>
    <xf numFmtId="0" fontId="55" fillId="0" borderId="53" xfId="0" applyFont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 shrinkToFit="1"/>
      <protection locked="0"/>
    </xf>
    <xf numFmtId="0" fontId="13" fillId="0" borderId="54" xfId="0" applyFont="1" applyFill="1" applyBorder="1" applyAlignment="1" applyProtection="1">
      <alignment horizontal="center" vertical="center" shrinkToFi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9" borderId="50" xfId="4" applyFont="1" applyFill="1" applyBorder="1" applyAlignment="1" applyProtection="1">
      <alignment horizontal="center" vertical="center" wrapText="1"/>
      <protection locked="0"/>
    </xf>
    <xf numFmtId="0" fontId="13" fillId="9" borderId="36" xfId="4" applyFont="1" applyFill="1" applyBorder="1" applyAlignment="1" applyProtection="1">
      <alignment horizontal="center" vertical="center" wrapText="1"/>
      <protection locked="0"/>
    </xf>
    <xf numFmtId="0" fontId="21" fillId="15" borderId="14" xfId="4" applyFont="1" applyFill="1" applyBorder="1" applyAlignment="1" applyProtection="1">
      <alignment horizontal="center" vertical="center" wrapText="1"/>
    </xf>
    <xf numFmtId="0" fontId="21" fillId="15" borderId="17" xfId="4" applyFont="1" applyFill="1" applyBorder="1" applyAlignment="1" applyProtection="1">
      <alignment horizontal="center" vertical="center" wrapText="1"/>
    </xf>
    <xf numFmtId="0" fontId="21" fillId="15" borderId="79" xfId="4" applyFont="1" applyFill="1" applyBorder="1" applyAlignment="1" applyProtection="1">
      <alignment horizontal="center" vertical="center" wrapText="1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0" borderId="176" xfId="4" applyFont="1" applyFill="1" applyBorder="1" applyAlignment="1" applyProtection="1">
      <alignment horizontal="center" vertical="center" wrapText="1"/>
      <protection locked="0"/>
    </xf>
    <xf numFmtId="0" fontId="13" fillId="10" borderId="86" xfId="6" applyFont="1" applyFill="1" applyBorder="1" applyAlignment="1" applyProtection="1">
      <alignment horizontal="center" vertical="center" wrapText="1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04" xfId="4" applyFont="1" applyFill="1" applyBorder="1" applyAlignment="1" applyProtection="1">
      <alignment horizontal="center" vertical="center" wrapText="1"/>
      <protection locked="0"/>
    </xf>
    <xf numFmtId="0" fontId="13" fillId="6" borderId="33" xfId="4" applyFont="1" applyFill="1" applyBorder="1" applyAlignment="1" applyProtection="1">
      <alignment horizontal="center" vertical="center" wrapText="1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82" xfId="6" applyFont="1" applyFill="1" applyBorder="1" applyAlignment="1" applyProtection="1">
      <alignment horizontal="center" vertical="center" wrapText="1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06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25" xfId="4" applyFont="1" applyFill="1" applyBorder="1" applyAlignment="1" applyProtection="1">
      <alignment horizontal="center" vertical="center" wrapText="1"/>
      <protection locked="0"/>
    </xf>
    <xf numFmtId="0" fontId="13" fillId="0" borderId="170" xfId="4" applyFont="1" applyFill="1" applyBorder="1" applyAlignment="1" applyProtection="1">
      <alignment horizontal="center" vertical="center" wrapText="1"/>
      <protection locked="0"/>
    </xf>
    <xf numFmtId="0" fontId="13" fillId="0" borderId="169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0" borderId="90" xfId="4" applyFont="1" applyFill="1" applyBorder="1" applyAlignment="1" applyProtection="1">
      <alignment horizontal="center" vertical="center" wrapText="1"/>
      <protection locked="0"/>
    </xf>
    <xf numFmtId="0" fontId="13" fillId="0" borderId="80" xfId="4" applyFont="1" applyFill="1" applyBorder="1" applyAlignment="1" applyProtection="1">
      <alignment horizontal="center" vertical="center" wrapText="1"/>
      <protection locked="0"/>
    </xf>
    <xf numFmtId="0" fontId="13" fillId="0" borderId="61" xfId="4" applyFont="1" applyFill="1" applyBorder="1" applyAlignment="1" applyProtection="1">
      <alignment horizontal="center" vertical="center" wrapText="1"/>
      <protection locked="0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75" xfId="4" applyFont="1" applyFill="1" applyBorder="1" applyAlignment="1" applyProtection="1">
      <alignment horizontal="center" vertical="center" wrapText="1"/>
      <protection locked="0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4" fillId="3" borderId="37" xfId="3" applyFont="1" applyBorder="1" applyAlignment="1" applyProtection="1">
      <alignment horizontal="center" vertical="center"/>
      <protection locked="0"/>
    </xf>
    <xf numFmtId="0" fontId="24" fillId="3" borderId="72" xfId="3" applyFont="1" applyBorder="1" applyAlignment="1" applyProtection="1">
      <alignment horizontal="center" vertical="center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55" fillId="0" borderId="71" xfId="0" applyFont="1" applyBorder="1" applyAlignment="1" applyProtection="1">
      <alignment horizontal="center" vertical="center"/>
      <protection locked="0"/>
    </xf>
    <xf numFmtId="0" fontId="55" fillId="0" borderId="120" xfId="0" applyFont="1" applyBorder="1" applyAlignment="1" applyProtection="1">
      <alignment horizontal="center" vertical="center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22" xfId="4" applyFont="1" applyFill="1" applyBorder="1" applyAlignment="1" applyProtection="1">
      <alignment horizontal="center" vertical="center" wrapText="1"/>
      <protection locked="0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35" fillId="15" borderId="14" xfId="0" applyFont="1" applyFill="1" applyBorder="1" applyAlignment="1">
      <alignment horizontal="center" vertical="center" wrapText="1"/>
    </xf>
    <xf numFmtId="0" fontId="35" fillId="15" borderId="17" xfId="0" applyFont="1" applyFill="1" applyBorder="1" applyAlignment="1">
      <alignment horizontal="center" vertical="center" wrapText="1"/>
    </xf>
    <xf numFmtId="0" fontId="13" fillId="0" borderId="7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60" xfId="0" applyFont="1" applyBorder="1" applyAlignment="1" applyProtection="1">
      <alignment horizontal="center" vertical="center" shrinkToFit="1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0" fontId="13" fillId="0" borderId="49" xfId="0" applyFont="1" applyBorder="1" applyAlignment="1" applyProtection="1">
      <alignment horizontal="center" vertical="center" wrapText="1"/>
      <protection locked="0"/>
    </xf>
    <xf numFmtId="0" fontId="13" fillId="0" borderId="60" xfId="0" applyFont="1" applyBorder="1" applyAlignment="1" applyProtection="1">
      <alignment horizontal="center" vertical="center" wrapText="1"/>
      <protection locked="0"/>
    </xf>
    <xf numFmtId="0" fontId="13" fillId="0" borderId="103" xfId="2" applyFont="1" applyBorder="1" applyAlignment="1" applyProtection="1">
      <alignment horizontal="center" vertical="center" wrapText="1"/>
      <protection locked="0"/>
    </xf>
    <xf numFmtId="0" fontId="13" fillId="0" borderId="104" xfId="2" applyFont="1" applyBorder="1" applyAlignment="1" applyProtection="1">
      <alignment horizontal="center" vertical="center" wrapText="1"/>
      <protection locked="0"/>
    </xf>
    <xf numFmtId="0" fontId="13" fillId="0" borderId="103" xfId="4" applyFont="1" applyFill="1" applyBorder="1" applyAlignment="1" applyProtection="1">
      <alignment horizontal="center" vertical="center" wrapText="1"/>
      <protection locked="0"/>
    </xf>
    <xf numFmtId="0" fontId="13" fillId="0" borderId="37" xfId="4" applyFont="1" applyFill="1" applyBorder="1" applyAlignment="1" applyProtection="1">
      <alignment horizontal="center" vertical="center" wrapText="1"/>
      <protection locked="0"/>
    </xf>
    <xf numFmtId="0" fontId="13" fillId="0" borderId="177" xfId="4" applyFont="1" applyFill="1" applyBorder="1" applyAlignment="1" applyProtection="1">
      <alignment horizontal="center" vertical="center" wrapText="1"/>
      <protection locked="0"/>
    </xf>
    <xf numFmtId="0" fontId="13" fillId="0" borderId="6" xfId="4" applyFont="1" applyFill="1" applyBorder="1" applyAlignment="1" applyProtection="1">
      <alignment horizontal="center" vertical="center" wrapText="1"/>
      <protection locked="0"/>
    </xf>
    <xf numFmtId="0" fontId="57" fillId="0" borderId="50" xfId="0" applyFont="1" applyBorder="1" applyAlignment="1">
      <alignment horizontal="center" vertical="center" shrinkToFit="1"/>
    </xf>
    <xf numFmtId="0" fontId="57" fillId="0" borderId="54" xfId="0" applyFont="1" applyBorder="1" applyAlignment="1">
      <alignment horizontal="center" vertical="center" shrinkToFi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171" xfId="4" applyFont="1" applyFill="1" applyBorder="1" applyAlignment="1" applyProtection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57" fillId="0" borderId="178" xfId="0" applyFont="1" applyBorder="1" applyAlignment="1">
      <alignment horizontal="center" vertical="center" shrinkToFit="1"/>
    </xf>
    <xf numFmtId="0" fontId="57" fillId="0" borderId="179" xfId="0" applyFont="1" applyBorder="1" applyAlignment="1">
      <alignment horizontal="center" vertical="center" shrinkToFi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123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22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106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60" xfId="0" applyFont="1" applyFill="1" applyBorder="1" applyAlignment="1" applyProtection="1">
      <alignment horizontal="center" vertical="center" shrinkToFit="1"/>
      <protection locked="0"/>
    </xf>
    <xf numFmtId="0" fontId="13" fillId="0" borderId="56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13" fillId="0" borderId="168" xfId="0" applyFont="1" applyBorder="1" applyAlignment="1" applyProtection="1">
      <alignment horizontal="center" vertical="center" shrinkToFit="1"/>
      <protection locked="0"/>
    </xf>
    <xf numFmtId="0" fontId="13" fillId="0" borderId="72" xfId="0" applyFont="1" applyBorder="1" applyAlignment="1" applyProtection="1">
      <alignment horizontal="center" vertical="center" shrinkToFit="1"/>
      <protection locked="0"/>
    </xf>
    <xf numFmtId="0" fontId="13" fillId="0" borderId="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55" fillId="0" borderId="3" xfId="0" applyFont="1" applyBorder="1" applyAlignment="1" applyProtection="1">
      <alignment horizontal="center" vertical="center"/>
      <protection locked="0"/>
    </xf>
    <xf numFmtId="0" fontId="55" fillId="0" borderId="22" xfId="0" applyFont="1" applyBorder="1" applyAlignment="1" applyProtection="1">
      <alignment horizontal="center" vertical="center"/>
      <protection locked="0"/>
    </xf>
    <xf numFmtId="0" fontId="13" fillId="0" borderId="89" xfId="4" applyFont="1" applyFill="1" applyBorder="1" applyAlignment="1" applyProtection="1">
      <alignment horizontal="center" vertical="center" wrapText="1"/>
      <protection locked="0"/>
    </xf>
    <xf numFmtId="0" fontId="13" fillId="0" borderId="80" xfId="4" quotePrefix="1" applyFont="1" applyFill="1" applyBorder="1" applyAlignment="1" applyProtection="1">
      <alignment horizontal="center" vertical="center" wrapText="1"/>
      <protection locked="0"/>
    </xf>
    <xf numFmtId="0" fontId="13" fillId="0" borderId="3" xfId="4" quotePrefix="1" applyFont="1" applyFill="1" applyBorder="1" applyAlignment="1" applyProtection="1">
      <alignment horizontal="center" vertical="center" wrapText="1"/>
      <protection locked="0"/>
    </xf>
    <xf numFmtId="0" fontId="13" fillId="0" borderId="89" xfId="4" quotePrefix="1" applyFont="1" applyFill="1" applyBorder="1" applyAlignment="1" applyProtection="1">
      <alignment horizontal="center" vertical="center" wrapText="1"/>
      <protection locked="0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13" fillId="0" borderId="180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82" xfId="4" applyFont="1" applyFill="1" applyBorder="1" applyAlignment="1" applyProtection="1">
      <alignment horizontal="center" vertical="center" wrapText="1"/>
      <protection locked="0"/>
    </xf>
    <xf numFmtId="0" fontId="13" fillId="0" borderId="94" xfId="4" applyFont="1" applyFill="1" applyBorder="1" applyAlignment="1" applyProtection="1">
      <alignment horizontal="center" vertical="center" wrapText="1"/>
      <protection locked="0"/>
    </xf>
    <xf numFmtId="0" fontId="13" fillId="0" borderId="184" xfId="4" applyFont="1" applyFill="1" applyBorder="1" applyAlignment="1" applyProtection="1">
      <alignment horizontal="center" vertical="center" wrapTex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181" xfId="4" applyFont="1" applyFill="1" applyBorder="1" applyAlignment="1" applyProtection="1">
      <alignment horizontal="center" vertical="center" wrapText="1"/>
      <protection locked="0"/>
    </xf>
    <xf numFmtId="0" fontId="13" fillId="0" borderId="183" xfId="4" applyFont="1" applyFill="1" applyBorder="1" applyAlignment="1" applyProtection="1">
      <alignment horizontal="center" vertical="center" wrapText="1"/>
      <protection locked="0"/>
    </xf>
    <xf numFmtId="0" fontId="13" fillId="0" borderId="185" xfId="4" applyFont="1" applyFill="1" applyBorder="1" applyAlignment="1" applyProtection="1">
      <alignment horizontal="center" vertical="center" wrapText="1"/>
      <protection locked="0"/>
    </xf>
    <xf numFmtId="0" fontId="12" fillId="0" borderId="192" xfId="0" applyFont="1" applyBorder="1" applyAlignment="1">
      <alignment horizontal="center" vertical="center"/>
    </xf>
    <xf numFmtId="0" fontId="12" fillId="0" borderId="193" xfId="0" applyFont="1" applyBorder="1" applyAlignment="1">
      <alignment horizontal="center" vertical="center"/>
    </xf>
    <xf numFmtId="0" fontId="12" fillId="0" borderId="194" xfId="0" applyFont="1" applyBorder="1" applyAlignment="1">
      <alignment horizontal="center" vertical="center"/>
    </xf>
    <xf numFmtId="0" fontId="12" fillId="0" borderId="192" xfId="0" applyFont="1" applyBorder="1" applyAlignment="1">
      <alignment horizontal="center" vertical="center" wrapText="1"/>
    </xf>
    <xf numFmtId="0" fontId="12" fillId="0" borderId="193" xfId="0" applyFont="1" applyBorder="1" applyAlignment="1">
      <alignment horizontal="center" vertical="center" wrapText="1"/>
    </xf>
    <xf numFmtId="0" fontId="12" fillId="0" borderId="194" xfId="0" applyFont="1" applyBorder="1" applyAlignment="1">
      <alignment horizontal="center" vertical="center" wrapText="1"/>
    </xf>
    <xf numFmtId="176" fontId="17" fillId="9" borderId="108" xfId="7" applyNumberFormat="1" applyFont="1" applyFill="1" applyBorder="1" applyAlignment="1" applyProtection="1">
      <alignment horizontal="center" vertical="center" wrapText="1"/>
    </xf>
    <xf numFmtId="176" fontId="17" fillId="9" borderId="10" xfId="7" applyNumberFormat="1" applyFont="1" applyFill="1" applyBorder="1" applyAlignment="1" applyProtection="1">
      <alignment horizontal="center" vertical="center" wrapText="1"/>
    </xf>
    <xf numFmtId="176" fontId="17" fillId="9" borderId="109" xfId="7" applyNumberFormat="1" applyFont="1" applyFill="1" applyBorder="1" applyAlignment="1" applyProtection="1">
      <alignment horizontal="center" vertical="center" wrapText="1"/>
    </xf>
    <xf numFmtId="0" fontId="56" fillId="16" borderId="97" xfId="7" applyNumberFormat="1" applyFont="1" applyFill="1" applyBorder="1" applyAlignment="1" applyProtection="1">
      <alignment horizontal="center" vertical="center" shrinkToFit="1"/>
    </xf>
    <xf numFmtId="0" fontId="17" fillId="9" borderId="7" xfId="7" applyFont="1" applyFill="1" applyBorder="1" applyAlignment="1" applyProtection="1">
      <alignment horizontal="center" vertical="center" wrapText="1"/>
    </xf>
    <xf numFmtId="0" fontId="17" fillId="9" borderId="89" xfId="7" applyFont="1" applyFill="1" applyBorder="1" applyAlignment="1" applyProtection="1">
      <alignment horizontal="center" vertical="center" wrapText="1"/>
    </xf>
    <xf numFmtId="0" fontId="17" fillId="9" borderId="108" xfId="7" applyFont="1" applyFill="1" applyBorder="1" applyAlignment="1" applyProtection="1">
      <alignment horizontal="center" vertical="center" wrapText="1"/>
    </xf>
    <xf numFmtId="0" fontId="17" fillId="9" borderId="10" xfId="7" applyFont="1" applyFill="1" applyBorder="1" applyAlignment="1" applyProtection="1">
      <alignment horizontal="center" vertical="center" wrapText="1"/>
    </xf>
    <xf numFmtId="0" fontId="17" fillId="9" borderId="109" xfId="7" applyFont="1" applyFill="1" applyBorder="1" applyAlignment="1" applyProtection="1">
      <alignment horizontal="center" vertical="center" wrapText="1"/>
    </xf>
    <xf numFmtId="0" fontId="17" fillId="9" borderId="112" xfId="7" applyFont="1" applyFill="1" applyBorder="1" applyAlignment="1" applyProtection="1">
      <alignment horizontal="center" vertical="center" wrapText="1"/>
    </xf>
    <xf numFmtId="0" fontId="17" fillId="9" borderId="113" xfId="7" applyFont="1" applyFill="1" applyBorder="1" applyAlignment="1" applyProtection="1">
      <alignment horizontal="center" vertical="center" wrapText="1"/>
    </xf>
    <xf numFmtId="0" fontId="17" fillId="9" borderId="18" xfId="7" applyFont="1" applyFill="1" applyBorder="1" applyAlignment="1" applyProtection="1">
      <alignment horizontal="center" vertical="center" wrapText="1"/>
    </xf>
    <xf numFmtId="176" fontId="17" fillId="9" borderId="96" xfId="7" applyNumberFormat="1" applyFont="1" applyFill="1" applyBorder="1" applyAlignment="1" applyProtection="1">
      <alignment horizontal="center" vertical="center" wrapText="1"/>
    </xf>
    <xf numFmtId="0" fontId="17" fillId="9" borderId="15" xfId="7" applyFont="1" applyFill="1" applyBorder="1" applyAlignment="1" applyProtection="1">
      <alignment horizontal="center" vertical="center" wrapText="1"/>
    </xf>
    <xf numFmtId="0" fontId="17" fillId="9" borderId="97" xfId="7" applyFont="1" applyFill="1" applyBorder="1" applyAlignment="1" applyProtection="1">
      <alignment horizontal="center" vertical="center" wrapText="1"/>
    </xf>
    <xf numFmtId="0" fontId="56" fillId="9" borderId="186" xfId="7" applyFont="1" applyFill="1" applyBorder="1" applyAlignment="1" applyProtection="1">
      <alignment horizontal="center" vertical="center" wrapText="1"/>
    </xf>
    <xf numFmtId="0" fontId="56" fillId="9" borderId="187" xfId="7" applyFont="1" applyFill="1" applyBorder="1" applyAlignment="1" applyProtection="1">
      <alignment horizontal="center" vertical="center" wrapText="1"/>
    </xf>
    <xf numFmtId="0" fontId="56" fillId="9" borderId="188" xfId="7" applyFont="1" applyFill="1" applyBorder="1" applyAlignment="1" applyProtection="1">
      <alignment horizontal="center" vertical="center" wrapText="1"/>
    </xf>
    <xf numFmtId="176" fontId="56" fillId="9" borderId="123" xfId="7" applyNumberFormat="1" applyFont="1" applyFill="1" applyBorder="1" applyAlignment="1" applyProtection="1">
      <alignment horizontal="center" vertical="center" wrapText="1"/>
    </xf>
    <xf numFmtId="176" fontId="56" fillId="9" borderId="20" xfId="7" applyNumberFormat="1" applyFont="1" applyFill="1" applyBorder="1" applyAlignment="1" applyProtection="1">
      <alignment horizontal="center" vertical="center" wrapText="1"/>
    </xf>
    <xf numFmtId="176" fontId="56" fillId="9" borderId="80" xfId="7" applyNumberFormat="1" applyFont="1" applyFill="1" applyBorder="1" applyAlignment="1" applyProtection="1">
      <alignment horizontal="center" vertical="center" wrapText="1"/>
    </xf>
    <xf numFmtId="0" fontId="17" fillId="9" borderId="122" xfId="7" applyFont="1" applyFill="1" applyBorder="1" applyAlignment="1" applyProtection="1">
      <alignment horizontal="center" vertical="center" wrapText="1"/>
    </xf>
    <xf numFmtId="0" fontId="17" fillId="9" borderId="186" xfId="7" applyFont="1" applyFill="1" applyBorder="1" applyAlignment="1" applyProtection="1">
      <alignment horizontal="center" vertical="center" wrapText="1"/>
    </xf>
    <xf numFmtId="0" fontId="17" fillId="9" borderId="187" xfId="7" applyFont="1" applyFill="1" applyBorder="1" applyAlignment="1" applyProtection="1">
      <alignment horizontal="center" vertical="center" wrapText="1"/>
    </xf>
    <xf numFmtId="0" fontId="17" fillId="9" borderId="188" xfId="7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96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26" fillId="11" borderId="96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/>
    </xf>
    <xf numFmtId="0" fontId="17" fillId="9" borderId="111" xfId="7" applyFont="1" applyFill="1" applyBorder="1" applyAlignment="1" applyProtection="1">
      <alignment horizontal="center" vertical="center" wrapText="1"/>
    </xf>
    <xf numFmtId="176" fontId="17" fillId="9" borderId="12" xfId="7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5" fillId="8" borderId="83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8" borderId="59" xfId="0" applyFont="1" applyFill="1" applyBorder="1" applyAlignment="1">
      <alignment horizontal="center" vertical="center"/>
    </xf>
    <xf numFmtId="0" fontId="0" fillId="0" borderId="93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112" xfId="7" applyFont="1" applyFill="1" applyBorder="1" applyAlignment="1" applyProtection="1">
      <alignment horizontal="center" vertical="center" wrapText="1"/>
    </xf>
    <xf numFmtId="0" fontId="17" fillId="11" borderId="113" xfId="7" applyFont="1" applyFill="1" applyBorder="1" applyAlignment="1" applyProtection="1">
      <alignment horizontal="center" vertical="center" wrapText="1"/>
    </xf>
    <xf numFmtId="0" fontId="17" fillId="11" borderId="18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56" fillId="16" borderId="80" xfId="7" applyNumberFormat="1" applyFont="1" applyFill="1" applyBorder="1" applyAlignment="1" applyProtection="1">
      <alignment horizontal="center" vertical="center" shrinkToFit="1"/>
    </xf>
    <xf numFmtId="0" fontId="56" fillId="16" borderId="89" xfId="7" applyNumberFormat="1" applyFont="1" applyFill="1" applyBorder="1" applyAlignment="1" applyProtection="1">
      <alignment horizontal="center" vertical="center" shrinkToFit="1"/>
    </xf>
    <xf numFmtId="0" fontId="43" fillId="20" borderId="129" xfId="16" applyFont="1" applyFill="1" applyBorder="1" applyAlignment="1">
      <alignment horizontal="center" vertical="center"/>
    </xf>
    <xf numFmtId="0" fontId="36" fillId="0" borderId="129" xfId="16" applyFont="1" applyBorder="1"/>
    <xf numFmtId="0" fontId="36" fillId="0" borderId="130" xfId="16" applyFont="1" applyBorder="1"/>
    <xf numFmtId="0" fontId="43" fillId="0" borderId="131" xfId="16" applyFont="1" applyBorder="1" applyAlignment="1">
      <alignment horizontal="center" vertical="center"/>
    </xf>
    <xf numFmtId="0" fontId="39" fillId="0" borderId="0" xfId="16" applyFont="1" applyAlignment="1">
      <alignment horizontal="center" vertical="center"/>
    </xf>
    <xf numFmtId="0" fontId="41" fillId="0" borderId="0" xfId="16" applyFont="1" applyAlignment="1"/>
    <xf numFmtId="0" fontId="42" fillId="0" borderId="126" xfId="16" applyFont="1" applyBorder="1" applyAlignment="1">
      <alignment horizontal="center" vertical="center"/>
    </xf>
    <xf numFmtId="0" fontId="36" fillId="0" borderId="28" xfId="16" applyFont="1" applyBorder="1"/>
    <xf numFmtId="0" fontId="36" fillId="0" borderId="25" xfId="16" applyFont="1" applyBorder="1"/>
    <xf numFmtId="0" fontId="42" fillId="8" borderId="4" xfId="16" applyFont="1" applyFill="1" applyBorder="1" applyAlignment="1">
      <alignment horizontal="center" vertical="center"/>
    </xf>
    <xf numFmtId="0" fontId="36" fillId="8" borderId="28" xfId="16" applyFont="1" applyFill="1" applyBorder="1"/>
    <xf numFmtId="0" fontId="36" fillId="8" borderId="25" xfId="16" applyFont="1" applyFill="1" applyBorder="1"/>
    <xf numFmtId="0" fontId="34" fillId="19" borderId="125" xfId="16" applyFont="1" applyFill="1" applyBorder="1" applyAlignment="1">
      <alignment horizontal="center" vertical="center" wrapText="1"/>
    </xf>
    <xf numFmtId="0" fontId="36" fillId="0" borderId="127" xfId="16" applyFont="1" applyBorder="1"/>
    <xf numFmtId="0" fontId="36" fillId="0" borderId="132" xfId="16" applyFont="1" applyBorder="1"/>
    <xf numFmtId="0" fontId="43" fillId="20" borderId="134" xfId="16" applyFont="1" applyFill="1" applyBorder="1" applyAlignment="1">
      <alignment horizontal="center" vertical="center"/>
    </xf>
    <xf numFmtId="0" fontId="36" fillId="0" borderId="135" xfId="16" applyFont="1" applyBorder="1"/>
    <xf numFmtId="0" fontId="36" fillId="0" borderId="136" xfId="16" applyFont="1" applyBorder="1"/>
    <xf numFmtId="0" fontId="36" fillId="0" borderId="137" xfId="16" applyFont="1" applyBorder="1"/>
    <xf numFmtId="0" fontId="43" fillId="0" borderId="110" xfId="16" applyFont="1" applyBorder="1" applyAlignment="1">
      <alignment horizontal="center" vertical="center" wrapText="1"/>
    </xf>
    <xf numFmtId="0" fontId="36" fillId="0" borderId="134" xfId="16" applyFont="1" applyBorder="1"/>
    <xf numFmtId="0" fontId="36" fillId="0" borderId="138" xfId="16" applyFont="1" applyBorder="1"/>
    <xf numFmtId="0" fontId="44" fillId="21" borderId="141" xfId="16" applyFont="1" applyFill="1" applyBorder="1" applyAlignment="1">
      <alignment horizontal="center" vertical="center" wrapText="1"/>
    </xf>
    <xf numFmtId="0" fontId="36" fillId="0" borderId="142" xfId="16" applyFont="1" applyBorder="1"/>
    <xf numFmtId="0" fontId="45" fillId="0" borderId="143" xfId="16" applyFont="1" applyBorder="1" applyAlignment="1">
      <alignment horizontal="center" vertical="center" wrapText="1"/>
    </xf>
    <xf numFmtId="0" fontId="36" fillId="0" borderId="149" xfId="16" applyFont="1" applyBorder="1"/>
    <xf numFmtId="0" fontId="45" fillId="0" borderId="144" xfId="16" applyFont="1" applyBorder="1" applyAlignment="1">
      <alignment horizontal="center" vertical="center" wrapText="1"/>
    </xf>
    <xf numFmtId="0" fontId="36" fillId="0" borderId="150" xfId="16" applyFont="1" applyBorder="1"/>
    <xf numFmtId="0" fontId="36" fillId="0" borderId="154" xfId="16" applyFont="1" applyBorder="1"/>
    <xf numFmtId="0" fontId="45" fillId="0" borderId="146" xfId="16" applyFont="1" applyBorder="1" applyAlignment="1">
      <alignment horizontal="center" vertical="center" wrapText="1"/>
    </xf>
    <xf numFmtId="0" fontId="36" fillId="0" borderId="128" xfId="16" applyFont="1" applyBorder="1"/>
    <xf numFmtId="0" fontId="36" fillId="0" borderId="153" xfId="16" applyFont="1" applyBorder="1"/>
    <xf numFmtId="0" fontId="45" fillId="0" borderId="129" xfId="16" applyFont="1" applyBorder="1" applyAlignment="1">
      <alignment horizontal="center" vertical="center" wrapText="1"/>
    </xf>
    <xf numFmtId="0" fontId="47" fillId="0" borderId="131" xfId="16" applyFont="1" applyBorder="1" applyAlignment="1">
      <alignment horizontal="center" vertical="center" wrapText="1"/>
    </xf>
    <xf numFmtId="0" fontId="45" fillId="0" borderId="131" xfId="16" applyFont="1" applyBorder="1" applyAlignment="1">
      <alignment horizontal="center" vertical="center" wrapText="1"/>
    </xf>
    <xf numFmtId="0" fontId="45" fillId="21" borderId="131" xfId="16" applyFont="1" applyFill="1" applyBorder="1" applyAlignment="1">
      <alignment horizontal="center" vertical="center" wrapText="1"/>
    </xf>
    <xf numFmtId="0" fontId="47" fillId="21" borderId="131" xfId="16" applyFont="1" applyFill="1" applyBorder="1" applyAlignment="1">
      <alignment horizontal="center" vertical="center" wrapText="1"/>
    </xf>
    <xf numFmtId="0" fontId="36" fillId="0" borderId="148" xfId="16" applyFont="1" applyBorder="1"/>
    <xf numFmtId="0" fontId="16" fillId="0" borderId="0" xfId="16" applyFont="1" applyBorder="1" applyAlignment="1"/>
    <xf numFmtId="0" fontId="45" fillId="0" borderId="157" xfId="16" applyFont="1" applyBorder="1" applyAlignment="1">
      <alignment horizontal="center" vertical="center" wrapText="1"/>
    </xf>
    <xf numFmtId="0" fontId="45" fillId="0" borderId="159" xfId="16" applyFont="1" applyBorder="1" applyAlignment="1">
      <alignment horizontal="center" vertical="center" wrapText="1"/>
    </xf>
    <xf numFmtId="0" fontId="36" fillId="0" borderId="160" xfId="16" applyFont="1" applyBorder="1"/>
    <xf numFmtId="0" fontId="45" fillId="0" borderId="110" xfId="16" applyFont="1" applyBorder="1" applyAlignment="1">
      <alignment horizontal="center" vertical="center" wrapText="1"/>
    </xf>
    <xf numFmtId="0" fontId="45" fillId="0" borderId="161" xfId="16" applyFont="1" applyBorder="1" applyAlignment="1">
      <alignment horizontal="center" vertical="center" wrapText="1"/>
    </xf>
    <xf numFmtId="0" fontId="36" fillId="0" borderId="162" xfId="16" applyFont="1" applyBorder="1"/>
    <xf numFmtId="0" fontId="45" fillId="21" borderId="129" xfId="16" applyFont="1" applyFill="1" applyBorder="1" applyAlignment="1">
      <alignment horizontal="center" vertical="center" wrapText="1"/>
    </xf>
    <xf numFmtId="0" fontId="49" fillId="20" borderId="129" xfId="16" applyFont="1" applyFill="1" applyBorder="1" applyAlignment="1">
      <alignment horizontal="center" vertical="center"/>
    </xf>
    <xf numFmtId="0" fontId="49" fillId="0" borderId="131" xfId="16" applyFont="1" applyBorder="1" applyAlignment="1">
      <alignment horizontal="center" vertical="center"/>
    </xf>
    <xf numFmtId="0" fontId="43" fillId="0" borderId="131" xfId="16" applyFont="1" applyBorder="1" applyAlignment="1">
      <alignment horizontal="center" vertical="center" wrapText="1"/>
    </xf>
    <xf numFmtId="0" fontId="43" fillId="0" borderId="110" xfId="16" applyFont="1" applyBorder="1" applyAlignment="1">
      <alignment horizontal="center" vertical="center"/>
    </xf>
    <xf numFmtId="0" fontId="43" fillId="20" borderId="129" xfId="16" applyFont="1" applyFill="1" applyBorder="1" applyAlignment="1">
      <alignment horizontal="center" vertical="center" wrapText="1"/>
    </xf>
    <xf numFmtId="0" fontId="49" fillId="20" borderId="129" xfId="16" applyFont="1" applyFill="1" applyBorder="1" applyAlignment="1">
      <alignment horizontal="center" vertical="center" wrapText="1"/>
    </xf>
    <xf numFmtId="0" fontId="51" fillId="0" borderId="157" xfId="16" applyFont="1" applyBorder="1" applyAlignment="1">
      <alignment horizontal="center" vertical="center"/>
    </xf>
    <xf numFmtId="0" fontId="34" fillId="0" borderId="0" xfId="16" applyFont="1" applyBorder="1" applyAlignment="1">
      <alignment vertical="center" wrapText="1"/>
    </xf>
    <xf numFmtId="0" fontId="34" fillId="19" borderId="165" xfId="16" applyFont="1" applyFill="1" applyBorder="1" applyAlignment="1">
      <alignment horizontal="center" vertical="center" wrapText="1"/>
    </xf>
    <xf numFmtId="0" fontId="34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9" fillId="20" borderId="135" xfId="16" applyFont="1" applyFill="1" applyBorder="1" applyAlignment="1">
      <alignment horizontal="center" vertical="center"/>
    </xf>
    <xf numFmtId="0" fontId="49" fillId="20" borderId="131" xfId="16" applyFont="1" applyFill="1" applyBorder="1" applyAlignment="1">
      <alignment horizontal="center" vertical="center"/>
    </xf>
    <xf numFmtId="0" fontId="50" fillId="0" borderId="135" xfId="16" applyFont="1" applyBorder="1" applyAlignment="1">
      <alignment horizontal="center" vertical="center"/>
    </xf>
    <xf numFmtId="0" fontId="52" fillId="0" borderId="137" xfId="16" applyFont="1" applyBorder="1"/>
    <xf numFmtId="0" fontId="0" fillId="0" borderId="11" xfId="0" applyNumberFormat="1" applyBorder="1" applyAlignment="1" applyProtection="1">
      <alignment horizontal="center" vertical="center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38"/>
  <sheetViews>
    <sheetView tabSelected="1" view="pageBreakPreview" topLeftCell="D1" zoomScaleNormal="100" zoomScaleSheetLayoutView="100" workbookViewId="0">
      <pane ySplit="8" topLeftCell="A17" activePane="bottomLeft" state="frozen"/>
      <selection pane="bottomLeft" activeCell="W15" sqref="W1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22" t="s">
        <v>693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3"/>
      <c r="V2" s="324" t="s">
        <v>130</v>
      </c>
      <c r="W2" s="325"/>
      <c r="X2" s="320">
        <v>2027</v>
      </c>
      <c r="Y2" s="321"/>
      <c r="AA2" s="314" t="s">
        <v>144</v>
      </c>
      <c r="AB2" s="19" t="s">
        <v>145</v>
      </c>
      <c r="AC2" s="30" t="s">
        <v>153</v>
      </c>
      <c r="AD2" s="20" t="s">
        <v>146</v>
      </c>
    </row>
    <row r="3" spans="2:30" ht="18" thickBot="1">
      <c r="B3" s="326" t="s">
        <v>360</v>
      </c>
      <c r="C3" s="328" t="s">
        <v>53</v>
      </c>
      <c r="D3" s="329"/>
      <c r="E3" s="329"/>
      <c r="F3" s="328" t="s">
        <v>64</v>
      </c>
      <c r="G3" s="332"/>
      <c r="H3" s="328" t="s">
        <v>54</v>
      </c>
      <c r="I3" s="329"/>
      <c r="J3" s="329"/>
      <c r="K3" s="328" t="s">
        <v>55</v>
      </c>
      <c r="L3" s="329"/>
      <c r="M3" s="329"/>
      <c r="N3" s="329"/>
      <c r="O3" s="332"/>
      <c r="P3" s="334" t="s">
        <v>56</v>
      </c>
      <c r="Q3" s="335"/>
      <c r="R3" s="335"/>
      <c r="S3" s="335"/>
      <c r="T3" s="335"/>
      <c r="U3" s="335"/>
      <c r="V3" s="335"/>
      <c r="W3" s="335"/>
      <c r="X3" s="335"/>
      <c r="Y3" s="336"/>
      <c r="AA3" s="315"/>
      <c r="AB3" s="21" t="s">
        <v>147</v>
      </c>
      <c r="AC3" s="36" t="s">
        <v>519</v>
      </c>
      <c r="AD3" s="647">
        <v>7040402900</v>
      </c>
    </row>
    <row r="4" spans="2:30" ht="18" thickBot="1">
      <c r="B4" s="327"/>
      <c r="C4" s="330"/>
      <c r="D4" s="331"/>
      <c r="E4" s="331"/>
      <c r="F4" s="330"/>
      <c r="G4" s="333"/>
      <c r="H4" s="330"/>
      <c r="I4" s="331"/>
      <c r="J4" s="331"/>
      <c r="K4" s="330"/>
      <c r="L4" s="331"/>
      <c r="M4" s="331"/>
      <c r="N4" s="331"/>
      <c r="O4" s="333"/>
      <c r="P4" s="334" t="s">
        <v>127</v>
      </c>
      <c r="Q4" s="335"/>
      <c r="R4" s="335"/>
      <c r="S4" s="335"/>
      <c r="T4" s="334" t="s">
        <v>61</v>
      </c>
      <c r="U4" s="335"/>
      <c r="V4" s="336"/>
      <c r="W4" s="335" t="s">
        <v>128</v>
      </c>
      <c r="X4" s="335"/>
      <c r="Y4" s="336"/>
      <c r="AA4" s="315"/>
      <c r="AB4" s="23" t="s">
        <v>148</v>
      </c>
      <c r="AC4" s="37" t="s">
        <v>520</v>
      </c>
      <c r="AD4" s="647">
        <v>7040402905</v>
      </c>
    </row>
    <row r="5" spans="2:30" ht="26.25" customHeight="1" thickBot="1">
      <c r="B5" s="72" t="s">
        <v>513</v>
      </c>
      <c r="C5" s="337" t="s">
        <v>515</v>
      </c>
      <c r="D5" s="338"/>
      <c r="E5" s="339"/>
      <c r="F5" s="337" t="s">
        <v>545</v>
      </c>
      <c r="G5" s="340"/>
      <c r="H5" s="341" t="s">
        <v>674</v>
      </c>
      <c r="I5" s="338"/>
      <c r="J5" s="339"/>
      <c r="K5" s="337" t="s">
        <v>673</v>
      </c>
      <c r="L5" s="338"/>
      <c r="M5" s="338"/>
      <c r="N5" s="338"/>
      <c r="O5" s="340"/>
      <c r="P5" s="341" t="s">
        <v>516</v>
      </c>
      <c r="Q5" s="338"/>
      <c r="R5" s="338"/>
      <c r="S5" s="339"/>
      <c r="T5" s="337" t="s">
        <v>518</v>
      </c>
      <c r="U5" s="338"/>
      <c r="V5" s="339"/>
      <c r="W5" s="365" t="s">
        <v>517</v>
      </c>
      <c r="X5" s="366"/>
      <c r="Y5" s="367"/>
      <c r="AA5" s="316"/>
      <c r="AB5" s="24" t="s">
        <v>149</v>
      </c>
      <c r="AC5" s="38"/>
      <c r="AD5" s="25"/>
    </row>
    <row r="6" spans="2:30" ht="15.75" customHeight="1" thickBot="1">
      <c r="U6" s="368"/>
      <c r="V6" s="368"/>
      <c r="W6" s="368"/>
      <c r="X6" s="368"/>
      <c r="Y6" s="368"/>
    </row>
    <row r="7" spans="2:30" s="10" customFormat="1" ht="22.5" customHeight="1">
      <c r="B7" s="369" t="s">
        <v>2</v>
      </c>
      <c r="C7" s="370"/>
      <c r="D7" s="373" t="s">
        <v>120</v>
      </c>
      <c r="E7" s="375" t="s">
        <v>57</v>
      </c>
      <c r="F7" s="376"/>
      <c r="G7" s="377"/>
      <c r="H7" s="378" t="s">
        <v>134</v>
      </c>
      <c r="I7" s="381" t="s">
        <v>135</v>
      </c>
      <c r="J7" s="385" t="s">
        <v>136</v>
      </c>
      <c r="K7" s="380" t="s">
        <v>58</v>
      </c>
      <c r="L7" s="381"/>
      <c r="M7" s="381"/>
      <c r="N7" s="382"/>
      <c r="O7" s="383" t="s">
        <v>59</v>
      </c>
      <c r="P7" s="381"/>
      <c r="Q7" s="381"/>
      <c r="R7" s="382"/>
      <c r="S7" s="380" t="s">
        <v>60</v>
      </c>
      <c r="T7" s="381"/>
      <c r="U7" s="381"/>
      <c r="V7" s="384"/>
      <c r="W7" s="378" t="s">
        <v>137</v>
      </c>
      <c r="X7" s="385"/>
      <c r="Y7" s="377" t="s">
        <v>138</v>
      </c>
      <c r="Z7" s="9"/>
    </row>
    <row r="8" spans="2:30" s="10" customFormat="1" ht="22.5" customHeight="1" thickBot="1">
      <c r="B8" s="371"/>
      <c r="C8" s="372"/>
      <c r="D8" s="374"/>
      <c r="E8" s="26" t="s">
        <v>18</v>
      </c>
      <c r="F8" s="388" t="s">
        <v>19</v>
      </c>
      <c r="G8" s="389"/>
      <c r="H8" s="379"/>
      <c r="I8" s="318"/>
      <c r="J8" s="386"/>
      <c r="K8" s="317" t="s">
        <v>0</v>
      </c>
      <c r="L8" s="318"/>
      <c r="M8" s="318" t="s">
        <v>62</v>
      </c>
      <c r="N8" s="390"/>
      <c r="O8" s="391" t="s">
        <v>0</v>
      </c>
      <c r="P8" s="318"/>
      <c r="Q8" s="318" t="s">
        <v>62</v>
      </c>
      <c r="R8" s="390"/>
      <c r="S8" s="317" t="s">
        <v>0</v>
      </c>
      <c r="T8" s="318"/>
      <c r="U8" s="318" t="s">
        <v>62</v>
      </c>
      <c r="V8" s="319"/>
      <c r="W8" s="379"/>
      <c r="X8" s="386"/>
      <c r="Y8" s="387"/>
      <c r="AA8" s="476" t="s">
        <v>499</v>
      </c>
      <c r="AB8" s="476"/>
      <c r="AC8" s="476"/>
      <c r="AD8" s="476"/>
    </row>
    <row r="9" spans="2:30" ht="16.5" customHeight="1">
      <c r="B9" s="152" t="s">
        <v>339</v>
      </c>
      <c r="C9" s="153"/>
      <c r="D9" s="342" t="s">
        <v>21</v>
      </c>
      <c r="E9" s="39" t="s">
        <v>12</v>
      </c>
      <c r="F9" s="345" t="s">
        <v>203</v>
      </c>
      <c r="G9" s="313"/>
      <c r="H9" s="40">
        <v>4</v>
      </c>
      <c r="I9" s="41" t="s">
        <v>340</v>
      </c>
      <c r="J9" s="42">
        <v>3</v>
      </c>
      <c r="K9" s="345">
        <v>3</v>
      </c>
      <c r="L9" s="312"/>
      <c r="M9" s="307"/>
      <c r="N9" s="308"/>
      <c r="O9" s="311"/>
      <c r="P9" s="312"/>
      <c r="Q9" s="307"/>
      <c r="R9" s="308"/>
      <c r="S9" s="311"/>
      <c r="T9" s="312"/>
      <c r="U9" s="307"/>
      <c r="V9" s="313"/>
      <c r="W9" s="43">
        <f>SUM(K9:V9)</f>
        <v>3</v>
      </c>
      <c r="X9" s="392">
        <f>SUM(W9:W10)</f>
        <v>6</v>
      </c>
      <c r="Y9" s="450">
        <v>24</v>
      </c>
      <c r="AA9" s="133" t="s">
        <v>500</v>
      </c>
      <c r="AB9" s="134" t="s">
        <v>506</v>
      </c>
      <c r="AC9" s="134" t="s">
        <v>507</v>
      </c>
      <c r="AD9" s="135" t="s">
        <v>508</v>
      </c>
    </row>
    <row r="10" spans="2:30" ht="18" thickBot="1">
      <c r="B10" s="154"/>
      <c r="C10" s="155"/>
      <c r="D10" s="344"/>
      <c r="E10" s="44" t="s">
        <v>12</v>
      </c>
      <c r="F10" s="287" t="s">
        <v>204</v>
      </c>
      <c r="G10" s="293"/>
      <c r="H10" s="45">
        <v>4</v>
      </c>
      <c r="I10" s="46" t="s">
        <v>340</v>
      </c>
      <c r="J10" s="47">
        <v>3</v>
      </c>
      <c r="K10" s="287"/>
      <c r="L10" s="284"/>
      <c r="M10" s="259">
        <v>3</v>
      </c>
      <c r="N10" s="260"/>
      <c r="O10" s="283"/>
      <c r="P10" s="284"/>
      <c r="Q10" s="259"/>
      <c r="R10" s="260"/>
      <c r="S10" s="283"/>
      <c r="T10" s="284"/>
      <c r="U10" s="259"/>
      <c r="V10" s="293"/>
      <c r="W10" s="48">
        <f>SUM(K10:V10)</f>
        <v>3</v>
      </c>
      <c r="X10" s="399"/>
      <c r="Y10" s="463"/>
      <c r="AA10" s="136" t="s">
        <v>501</v>
      </c>
      <c r="AB10" s="137">
        <v>4</v>
      </c>
      <c r="AC10" s="137">
        <v>-1</v>
      </c>
      <c r="AD10" s="22" t="s">
        <v>509</v>
      </c>
    </row>
    <row r="11" spans="2:30">
      <c r="B11" s="154"/>
      <c r="C11" s="155"/>
      <c r="D11" s="342" t="s">
        <v>5</v>
      </c>
      <c r="E11" s="39" t="s">
        <v>12</v>
      </c>
      <c r="F11" s="345" t="s">
        <v>215</v>
      </c>
      <c r="G11" s="313"/>
      <c r="H11" s="40">
        <v>4</v>
      </c>
      <c r="I11" s="41" t="s">
        <v>340</v>
      </c>
      <c r="J11" s="42">
        <v>3</v>
      </c>
      <c r="K11" s="345">
        <v>3</v>
      </c>
      <c r="L11" s="312"/>
      <c r="M11" s="307"/>
      <c r="N11" s="308"/>
      <c r="O11" s="311"/>
      <c r="P11" s="312"/>
      <c r="Q11" s="307"/>
      <c r="R11" s="308"/>
      <c r="S11" s="311"/>
      <c r="T11" s="312"/>
      <c r="U11" s="307"/>
      <c r="V11" s="313"/>
      <c r="W11" s="43">
        <f t="shared" ref="W10:W22" si="0">SUM(K11:V11)</f>
        <v>3</v>
      </c>
      <c r="X11" s="392">
        <f>SUM(W11:W12)</f>
        <v>6</v>
      </c>
      <c r="Y11" s="463"/>
      <c r="AA11" s="136" t="s">
        <v>502</v>
      </c>
      <c r="AB11" s="137">
        <v>3</v>
      </c>
      <c r="AC11" s="137"/>
      <c r="AD11" s="22">
        <v>3</v>
      </c>
    </row>
    <row r="12" spans="2:30" ht="18" thickBot="1">
      <c r="B12" s="154"/>
      <c r="C12" s="155"/>
      <c r="D12" s="344"/>
      <c r="E12" s="44" t="s">
        <v>12</v>
      </c>
      <c r="F12" s="287" t="s">
        <v>217</v>
      </c>
      <c r="G12" s="293"/>
      <c r="H12" s="45">
        <v>4</v>
      </c>
      <c r="I12" s="46" t="s">
        <v>340</v>
      </c>
      <c r="J12" s="47">
        <v>3</v>
      </c>
      <c r="K12" s="287"/>
      <c r="L12" s="284"/>
      <c r="M12" s="259">
        <v>3</v>
      </c>
      <c r="N12" s="260"/>
      <c r="O12" s="283"/>
      <c r="P12" s="284"/>
      <c r="Q12" s="259"/>
      <c r="R12" s="260"/>
      <c r="S12" s="283"/>
      <c r="T12" s="284"/>
      <c r="U12" s="259"/>
      <c r="V12" s="293"/>
      <c r="W12" s="48">
        <v>3</v>
      </c>
      <c r="X12" s="399"/>
      <c r="Y12" s="463"/>
      <c r="AA12" s="136" t="s">
        <v>503</v>
      </c>
      <c r="AB12" s="137">
        <v>4</v>
      </c>
      <c r="AC12" s="137" t="s">
        <v>512</v>
      </c>
      <c r="AD12" s="22" t="s">
        <v>510</v>
      </c>
    </row>
    <row r="13" spans="2:30">
      <c r="B13" s="154"/>
      <c r="C13" s="155"/>
      <c r="D13" s="342" t="s">
        <v>6</v>
      </c>
      <c r="E13" s="39" t="s">
        <v>12</v>
      </c>
      <c r="F13" s="345" t="s">
        <v>343</v>
      </c>
      <c r="G13" s="313"/>
      <c r="H13" s="40">
        <v>4</v>
      </c>
      <c r="I13" s="41" t="s">
        <v>340</v>
      </c>
      <c r="J13" s="42">
        <v>3</v>
      </c>
      <c r="K13" s="345">
        <v>3</v>
      </c>
      <c r="L13" s="312"/>
      <c r="M13" s="307"/>
      <c r="N13" s="308"/>
      <c r="O13" s="311"/>
      <c r="P13" s="312"/>
      <c r="Q13" s="307"/>
      <c r="R13" s="308"/>
      <c r="S13" s="311"/>
      <c r="T13" s="312"/>
      <c r="U13" s="307"/>
      <c r="V13" s="313"/>
      <c r="W13" s="43">
        <f t="shared" si="0"/>
        <v>3</v>
      </c>
      <c r="X13" s="392">
        <f t="shared" ref="X13" si="1">SUM(W13:W16)</f>
        <v>12</v>
      </c>
      <c r="Y13" s="463"/>
      <c r="AA13" s="136" t="s">
        <v>504</v>
      </c>
      <c r="AB13" s="137">
        <v>3</v>
      </c>
      <c r="AC13" s="137" t="s">
        <v>512</v>
      </c>
      <c r="AD13" s="22" t="s">
        <v>511</v>
      </c>
    </row>
    <row r="14" spans="2:30" ht="18" thickBot="1">
      <c r="B14" s="154"/>
      <c r="C14" s="155"/>
      <c r="D14" s="343"/>
      <c r="E14" s="44" t="s">
        <v>12</v>
      </c>
      <c r="F14" s="287" t="s">
        <v>228</v>
      </c>
      <c r="G14" s="293"/>
      <c r="H14" s="45">
        <v>4</v>
      </c>
      <c r="I14" s="46" t="s">
        <v>340</v>
      </c>
      <c r="J14" s="47">
        <v>3</v>
      </c>
      <c r="K14" s="287"/>
      <c r="L14" s="284"/>
      <c r="M14" s="259">
        <v>3</v>
      </c>
      <c r="N14" s="260"/>
      <c r="O14" s="283"/>
      <c r="P14" s="284"/>
      <c r="Q14" s="259"/>
      <c r="R14" s="260"/>
      <c r="S14" s="283"/>
      <c r="T14" s="284"/>
      <c r="U14" s="259"/>
      <c r="V14" s="293"/>
      <c r="W14" s="48">
        <f t="shared" si="0"/>
        <v>3</v>
      </c>
      <c r="X14" s="393"/>
      <c r="Y14" s="463"/>
      <c r="AA14" s="138" t="s">
        <v>505</v>
      </c>
      <c r="AB14" s="474" t="s">
        <v>514</v>
      </c>
      <c r="AC14" s="474"/>
      <c r="AD14" s="475"/>
    </row>
    <row r="15" spans="2:30">
      <c r="B15" s="154"/>
      <c r="C15" s="155"/>
      <c r="D15" s="343"/>
      <c r="E15" s="44" t="s">
        <v>341</v>
      </c>
      <c r="F15" s="287" t="s">
        <v>344</v>
      </c>
      <c r="G15" s="293"/>
      <c r="H15" s="45">
        <v>4</v>
      </c>
      <c r="I15" s="46" t="s">
        <v>342</v>
      </c>
      <c r="J15" s="47">
        <v>3</v>
      </c>
      <c r="K15" s="287"/>
      <c r="L15" s="284"/>
      <c r="M15" s="259"/>
      <c r="N15" s="260"/>
      <c r="O15" s="283">
        <v>3</v>
      </c>
      <c r="P15" s="284"/>
      <c r="Q15" s="259"/>
      <c r="R15" s="260"/>
      <c r="S15" s="283"/>
      <c r="T15" s="284"/>
      <c r="U15" s="259"/>
      <c r="V15" s="293"/>
      <c r="W15" s="48">
        <f>SUM(K15:V15)</f>
        <v>3</v>
      </c>
      <c r="X15" s="393"/>
      <c r="Y15" s="463"/>
    </row>
    <row r="16" spans="2:30" ht="18" thickBot="1">
      <c r="B16" s="154"/>
      <c r="C16" s="155"/>
      <c r="D16" s="344"/>
      <c r="E16" s="53" t="s">
        <v>686</v>
      </c>
      <c r="F16" s="394" t="s">
        <v>233</v>
      </c>
      <c r="G16" s="394"/>
      <c r="H16" s="214">
        <v>4</v>
      </c>
      <c r="I16" s="215" t="s">
        <v>342</v>
      </c>
      <c r="J16" s="216">
        <v>3</v>
      </c>
      <c r="K16" s="394"/>
      <c r="L16" s="394"/>
      <c r="M16" s="394"/>
      <c r="N16" s="395"/>
      <c r="O16" s="394"/>
      <c r="P16" s="394"/>
      <c r="Q16" s="394">
        <v>3</v>
      </c>
      <c r="R16" s="395"/>
      <c r="S16" s="300"/>
      <c r="T16" s="301"/>
      <c r="U16" s="302"/>
      <c r="V16" s="303"/>
      <c r="W16" s="48">
        <f t="shared" si="0"/>
        <v>3</v>
      </c>
      <c r="X16" s="393"/>
      <c r="Y16" s="451"/>
    </row>
    <row r="17" spans="2:29" ht="18" thickBot="1">
      <c r="B17" s="154"/>
      <c r="C17" s="155"/>
      <c r="D17" s="342" t="s">
        <v>345</v>
      </c>
      <c r="E17" s="39" t="s">
        <v>12</v>
      </c>
      <c r="F17" s="345" t="s">
        <v>236</v>
      </c>
      <c r="G17" s="313"/>
      <c r="H17" s="40">
        <v>3</v>
      </c>
      <c r="I17" s="54">
        <v>3</v>
      </c>
      <c r="J17" s="42">
        <v>3</v>
      </c>
      <c r="K17" s="346">
        <v>3</v>
      </c>
      <c r="L17" s="347"/>
      <c r="M17" s="349"/>
      <c r="N17" s="350"/>
      <c r="O17" s="351"/>
      <c r="P17" s="347"/>
      <c r="Q17" s="349"/>
      <c r="R17" s="350"/>
      <c r="S17" s="351"/>
      <c r="T17" s="347"/>
      <c r="U17" s="349"/>
      <c r="V17" s="352"/>
      <c r="W17" s="43">
        <f t="shared" si="0"/>
        <v>3</v>
      </c>
      <c r="X17" s="392">
        <f>SUM(W17:W18)</f>
        <v>6</v>
      </c>
      <c r="Y17" s="306">
        <v>6</v>
      </c>
    </row>
    <row r="18" spans="2:29" ht="18" thickBot="1">
      <c r="B18" s="154"/>
      <c r="C18" s="155"/>
      <c r="D18" s="343"/>
      <c r="E18" s="55" t="s">
        <v>12</v>
      </c>
      <c r="F18" s="396" t="s">
        <v>346</v>
      </c>
      <c r="G18" s="397"/>
      <c r="H18" s="56">
        <v>3</v>
      </c>
      <c r="I18" s="57">
        <v>3</v>
      </c>
      <c r="J18" s="174">
        <v>3</v>
      </c>
      <c r="K18" s="398"/>
      <c r="L18" s="301"/>
      <c r="M18" s="302">
        <v>3</v>
      </c>
      <c r="N18" s="304"/>
      <c r="O18" s="300"/>
      <c r="P18" s="301"/>
      <c r="Q18" s="302"/>
      <c r="R18" s="304"/>
      <c r="S18" s="300"/>
      <c r="T18" s="301"/>
      <c r="U18" s="302"/>
      <c r="V18" s="303"/>
      <c r="W18" s="58">
        <f t="shared" si="0"/>
        <v>3</v>
      </c>
      <c r="X18" s="399"/>
      <c r="Y18" s="306"/>
    </row>
    <row r="19" spans="2:29">
      <c r="B19" s="154"/>
      <c r="C19" s="155"/>
      <c r="D19" s="343"/>
      <c r="E19" s="39" t="s">
        <v>12</v>
      </c>
      <c r="F19" s="345" t="s">
        <v>239</v>
      </c>
      <c r="G19" s="313"/>
      <c r="H19" s="40">
        <v>4</v>
      </c>
      <c r="I19" s="54" t="s">
        <v>340</v>
      </c>
      <c r="J19" s="42">
        <v>3</v>
      </c>
      <c r="K19" s="345">
        <v>3</v>
      </c>
      <c r="L19" s="312"/>
      <c r="M19" s="307"/>
      <c r="N19" s="308"/>
      <c r="O19" s="311"/>
      <c r="P19" s="312"/>
      <c r="Q19" s="307"/>
      <c r="R19" s="308"/>
      <c r="S19" s="311"/>
      <c r="T19" s="312"/>
      <c r="U19" s="307"/>
      <c r="V19" s="313"/>
      <c r="W19" s="43">
        <f t="shared" si="0"/>
        <v>3</v>
      </c>
      <c r="X19" s="392">
        <f>SUM(W19:W20)</f>
        <v>6</v>
      </c>
      <c r="Y19" s="450">
        <v>12</v>
      </c>
    </row>
    <row r="20" spans="2:29" ht="18" thickBot="1">
      <c r="B20" s="154"/>
      <c r="C20" s="155"/>
      <c r="D20" s="344"/>
      <c r="E20" s="53" t="s">
        <v>12</v>
      </c>
      <c r="F20" s="398" t="s">
        <v>347</v>
      </c>
      <c r="G20" s="303"/>
      <c r="H20" s="50">
        <v>4</v>
      </c>
      <c r="I20" s="51" t="s">
        <v>340</v>
      </c>
      <c r="J20" s="52">
        <v>3</v>
      </c>
      <c r="K20" s="398"/>
      <c r="L20" s="301"/>
      <c r="M20" s="302">
        <v>3</v>
      </c>
      <c r="N20" s="304"/>
      <c r="O20" s="300"/>
      <c r="P20" s="301"/>
      <c r="Q20" s="302"/>
      <c r="R20" s="304"/>
      <c r="S20" s="300"/>
      <c r="T20" s="301"/>
      <c r="U20" s="302"/>
      <c r="V20" s="303"/>
      <c r="W20" s="58">
        <f t="shared" si="0"/>
        <v>3</v>
      </c>
      <c r="X20" s="399"/>
      <c r="Y20" s="463"/>
      <c r="AA20" s="348"/>
      <c r="AB20" s="348"/>
      <c r="AC20" s="31"/>
    </row>
    <row r="21" spans="2:29">
      <c r="B21" s="154"/>
      <c r="C21" s="155"/>
      <c r="D21" s="342" t="s">
        <v>26</v>
      </c>
      <c r="E21" s="39" t="s">
        <v>12</v>
      </c>
      <c r="F21" s="345" t="s">
        <v>257</v>
      </c>
      <c r="G21" s="313"/>
      <c r="H21" s="40">
        <v>4</v>
      </c>
      <c r="I21" s="54" t="s">
        <v>340</v>
      </c>
      <c r="J21" s="42">
        <v>3</v>
      </c>
      <c r="K21" s="345"/>
      <c r="L21" s="312"/>
      <c r="M21" s="307"/>
      <c r="N21" s="308"/>
      <c r="O21" s="311">
        <v>3</v>
      </c>
      <c r="P21" s="312"/>
      <c r="Q21" s="307"/>
      <c r="R21" s="308"/>
      <c r="S21" s="311"/>
      <c r="T21" s="312"/>
      <c r="U21" s="307"/>
      <c r="V21" s="313"/>
      <c r="W21" s="43">
        <f t="shared" si="0"/>
        <v>3</v>
      </c>
      <c r="X21" s="392">
        <f>SUM(W21:W22)</f>
        <v>6</v>
      </c>
      <c r="Y21" s="463"/>
    </row>
    <row r="22" spans="2:29" ht="18" thickBot="1">
      <c r="B22" s="154"/>
      <c r="C22" s="155"/>
      <c r="D22" s="344"/>
      <c r="E22" s="44" t="s">
        <v>12</v>
      </c>
      <c r="F22" s="287" t="s">
        <v>348</v>
      </c>
      <c r="G22" s="293"/>
      <c r="H22" s="45">
        <v>4</v>
      </c>
      <c r="I22" s="46" t="s">
        <v>340</v>
      </c>
      <c r="J22" s="47">
        <v>3</v>
      </c>
      <c r="K22" s="287"/>
      <c r="L22" s="284"/>
      <c r="M22" s="259"/>
      <c r="N22" s="260"/>
      <c r="O22" s="283"/>
      <c r="P22" s="284"/>
      <c r="Q22" s="259">
        <v>3</v>
      </c>
      <c r="R22" s="260"/>
      <c r="S22" s="283"/>
      <c r="T22" s="284"/>
      <c r="U22" s="259"/>
      <c r="V22" s="293"/>
      <c r="W22" s="48">
        <f t="shared" si="0"/>
        <v>3</v>
      </c>
      <c r="X22" s="399"/>
      <c r="Y22" s="451"/>
    </row>
    <row r="23" spans="2:29" ht="18" thickBot="1">
      <c r="B23" s="154"/>
      <c r="C23" s="155"/>
      <c r="D23" s="342" t="s">
        <v>8</v>
      </c>
      <c r="E23" s="39" t="s">
        <v>349</v>
      </c>
      <c r="F23" s="345" t="s">
        <v>350</v>
      </c>
      <c r="G23" s="313"/>
      <c r="H23" s="40">
        <v>3</v>
      </c>
      <c r="I23" s="54" t="s">
        <v>351</v>
      </c>
      <c r="J23" s="42">
        <f t="shared" ref="J23:J24" si="2">SUM(K23:V23)</f>
        <v>2</v>
      </c>
      <c r="K23" s="345">
        <v>2</v>
      </c>
      <c r="L23" s="312"/>
      <c r="M23" s="307"/>
      <c r="N23" s="308"/>
      <c r="O23" s="311"/>
      <c r="P23" s="312"/>
      <c r="Q23" s="307"/>
      <c r="R23" s="308"/>
      <c r="S23" s="311"/>
      <c r="T23" s="312"/>
      <c r="U23" s="307"/>
      <c r="V23" s="313"/>
      <c r="W23" s="43">
        <f>SUM(K23:V23)</f>
        <v>2</v>
      </c>
      <c r="X23" s="400">
        <f>SUM(W23:W27)</f>
        <v>8</v>
      </c>
      <c r="Y23" s="306">
        <v>8</v>
      </c>
    </row>
    <row r="24" spans="2:29" ht="18" thickBot="1">
      <c r="B24" s="154"/>
      <c r="C24" s="155"/>
      <c r="D24" s="343"/>
      <c r="E24" s="44" t="s">
        <v>349</v>
      </c>
      <c r="F24" s="287" t="s">
        <v>352</v>
      </c>
      <c r="G24" s="293"/>
      <c r="H24" s="45">
        <v>3</v>
      </c>
      <c r="I24" s="46" t="s">
        <v>351</v>
      </c>
      <c r="J24" s="47">
        <f t="shared" si="2"/>
        <v>2</v>
      </c>
      <c r="K24" s="287"/>
      <c r="L24" s="284"/>
      <c r="M24" s="259">
        <v>2</v>
      </c>
      <c r="N24" s="260"/>
      <c r="O24" s="283"/>
      <c r="P24" s="284"/>
      <c r="Q24" s="259"/>
      <c r="R24" s="260"/>
      <c r="S24" s="283"/>
      <c r="T24" s="284"/>
      <c r="U24" s="259"/>
      <c r="V24" s="293"/>
      <c r="W24" s="48">
        <f t="shared" ref="W24:W27" si="3">SUM(K24:V24)</f>
        <v>2</v>
      </c>
      <c r="X24" s="401"/>
      <c r="Y24" s="306"/>
    </row>
    <row r="25" spans="2:29" ht="18" thickBot="1">
      <c r="B25" s="154"/>
      <c r="C25" s="155"/>
      <c r="D25" s="343"/>
      <c r="E25" s="44" t="s">
        <v>341</v>
      </c>
      <c r="F25" s="287" t="s">
        <v>521</v>
      </c>
      <c r="G25" s="293"/>
      <c r="H25" s="45">
        <v>2</v>
      </c>
      <c r="I25" s="46" t="s">
        <v>353</v>
      </c>
      <c r="J25" s="47">
        <v>1</v>
      </c>
      <c r="K25" s="287"/>
      <c r="L25" s="284"/>
      <c r="M25" s="259"/>
      <c r="N25" s="260"/>
      <c r="O25" s="283">
        <v>1</v>
      </c>
      <c r="P25" s="284"/>
      <c r="Q25" s="259"/>
      <c r="R25" s="260"/>
      <c r="S25" s="283"/>
      <c r="T25" s="284"/>
      <c r="U25" s="259"/>
      <c r="V25" s="293"/>
      <c r="W25" s="48">
        <f t="shared" si="3"/>
        <v>1</v>
      </c>
      <c r="X25" s="401"/>
      <c r="Y25" s="306"/>
    </row>
    <row r="26" spans="2:29" ht="16.5" customHeight="1" thickBot="1">
      <c r="B26" s="154"/>
      <c r="C26" s="155"/>
      <c r="D26" s="343"/>
      <c r="E26" s="44" t="s">
        <v>341</v>
      </c>
      <c r="F26" s="287" t="s">
        <v>523</v>
      </c>
      <c r="G26" s="293"/>
      <c r="H26" s="45">
        <v>2</v>
      </c>
      <c r="I26" s="46" t="s">
        <v>353</v>
      </c>
      <c r="J26" s="47">
        <v>1</v>
      </c>
      <c r="K26" s="287"/>
      <c r="L26" s="284"/>
      <c r="M26" s="259"/>
      <c r="N26" s="260"/>
      <c r="O26" s="283"/>
      <c r="P26" s="284"/>
      <c r="Q26" s="259">
        <v>1</v>
      </c>
      <c r="R26" s="260"/>
      <c r="S26" s="283"/>
      <c r="T26" s="284"/>
      <c r="U26" s="259"/>
      <c r="V26" s="293"/>
      <c r="W26" s="48">
        <f t="shared" si="3"/>
        <v>1</v>
      </c>
      <c r="X26" s="401"/>
      <c r="Y26" s="306"/>
    </row>
    <row r="27" spans="2:29" ht="18" thickBot="1">
      <c r="B27" s="154"/>
      <c r="C27" s="155"/>
      <c r="D27" s="344"/>
      <c r="E27" s="53" t="s">
        <v>341</v>
      </c>
      <c r="F27" s="398" t="s">
        <v>522</v>
      </c>
      <c r="G27" s="303"/>
      <c r="H27" s="50">
        <v>3</v>
      </c>
      <c r="I27" s="51" t="s">
        <v>351</v>
      </c>
      <c r="J27" s="52">
        <v>2</v>
      </c>
      <c r="K27" s="398"/>
      <c r="L27" s="301"/>
      <c r="M27" s="302"/>
      <c r="N27" s="304"/>
      <c r="O27" s="300"/>
      <c r="P27" s="301"/>
      <c r="Q27" s="302"/>
      <c r="R27" s="304"/>
      <c r="S27" s="300">
        <v>2</v>
      </c>
      <c r="T27" s="301"/>
      <c r="U27" s="302"/>
      <c r="V27" s="303"/>
      <c r="W27" s="58">
        <f t="shared" si="3"/>
        <v>2</v>
      </c>
      <c r="X27" s="402"/>
      <c r="Y27" s="306"/>
    </row>
    <row r="28" spans="2:29" ht="18" thickBot="1">
      <c r="B28" s="154"/>
      <c r="C28" s="155"/>
      <c r="D28" s="342" t="s">
        <v>28</v>
      </c>
      <c r="E28" s="39" t="s">
        <v>349</v>
      </c>
      <c r="F28" s="345" t="s">
        <v>9</v>
      </c>
      <c r="G28" s="313"/>
      <c r="H28" s="40">
        <v>3</v>
      </c>
      <c r="I28" s="59" t="s">
        <v>351</v>
      </c>
      <c r="J28" s="42">
        <v>3</v>
      </c>
      <c r="K28" s="345"/>
      <c r="L28" s="312"/>
      <c r="M28" s="307"/>
      <c r="N28" s="308"/>
      <c r="O28" s="311">
        <v>3</v>
      </c>
      <c r="P28" s="312"/>
      <c r="Q28" s="307"/>
      <c r="R28" s="308"/>
      <c r="S28" s="311"/>
      <c r="T28" s="312"/>
      <c r="U28" s="307"/>
      <c r="V28" s="313"/>
      <c r="W28" s="403">
        <f>SUM(K28:V29)</f>
        <v>6</v>
      </c>
      <c r="X28" s="404"/>
      <c r="Y28" s="306">
        <v>6</v>
      </c>
    </row>
    <row r="29" spans="2:29" ht="18" thickBot="1">
      <c r="B29" s="154"/>
      <c r="C29" s="155"/>
      <c r="D29" s="343"/>
      <c r="E29" s="49" t="s">
        <v>341</v>
      </c>
      <c r="F29" s="287" t="s">
        <v>284</v>
      </c>
      <c r="G29" s="293"/>
      <c r="H29" s="45">
        <v>3</v>
      </c>
      <c r="I29" s="46" t="s">
        <v>351</v>
      </c>
      <c r="J29" s="47">
        <v>3</v>
      </c>
      <c r="K29" s="287"/>
      <c r="L29" s="284"/>
      <c r="M29" s="259"/>
      <c r="N29" s="260"/>
      <c r="O29" s="283"/>
      <c r="P29" s="284"/>
      <c r="Q29" s="259">
        <v>3</v>
      </c>
      <c r="R29" s="260"/>
      <c r="S29" s="283"/>
      <c r="T29" s="284"/>
      <c r="U29" s="259"/>
      <c r="V29" s="293"/>
      <c r="W29" s="405"/>
      <c r="X29" s="406"/>
      <c r="Y29" s="306"/>
    </row>
    <row r="30" spans="2:29" ht="18" thickBot="1">
      <c r="B30" s="154"/>
      <c r="C30" s="155"/>
      <c r="D30" s="407" t="s">
        <v>354</v>
      </c>
      <c r="E30" s="39" t="s">
        <v>349</v>
      </c>
      <c r="F30" s="345" t="s">
        <v>301</v>
      </c>
      <c r="G30" s="313"/>
      <c r="H30" s="40">
        <v>4</v>
      </c>
      <c r="I30" s="54" t="s">
        <v>342</v>
      </c>
      <c r="J30" s="42">
        <v>3</v>
      </c>
      <c r="K30" s="345"/>
      <c r="L30" s="312"/>
      <c r="M30" s="307"/>
      <c r="N30" s="308"/>
      <c r="O30" s="311">
        <v>3</v>
      </c>
      <c r="P30" s="312"/>
      <c r="Q30" s="307"/>
      <c r="R30" s="308"/>
      <c r="S30" s="311"/>
      <c r="T30" s="312"/>
      <c r="U30" s="307"/>
      <c r="V30" s="313"/>
      <c r="W30" s="403">
        <f>SUM(K30:V32)</f>
        <v>9</v>
      </c>
      <c r="X30" s="404"/>
      <c r="Y30" s="306">
        <v>8</v>
      </c>
    </row>
    <row r="31" spans="2:29" ht="18" thickBot="1">
      <c r="B31" s="154"/>
      <c r="C31" s="155"/>
      <c r="D31" s="408"/>
      <c r="E31" s="49" t="s">
        <v>341</v>
      </c>
      <c r="F31" s="287" t="s">
        <v>309</v>
      </c>
      <c r="G31" s="293"/>
      <c r="H31" s="45">
        <v>4</v>
      </c>
      <c r="I31" s="46" t="s">
        <v>342</v>
      </c>
      <c r="J31" s="47">
        <v>3</v>
      </c>
      <c r="K31" s="287"/>
      <c r="L31" s="284"/>
      <c r="M31" s="259"/>
      <c r="N31" s="260"/>
      <c r="O31" s="283"/>
      <c r="P31" s="284"/>
      <c r="Q31" s="259">
        <v>3</v>
      </c>
      <c r="R31" s="260"/>
      <c r="S31" s="283"/>
      <c r="T31" s="284"/>
      <c r="U31" s="259"/>
      <c r="V31" s="293"/>
      <c r="W31" s="405"/>
      <c r="X31" s="406"/>
      <c r="Y31" s="306"/>
    </row>
    <row r="32" spans="2:29" ht="18" thickBot="1">
      <c r="B32" s="156"/>
      <c r="C32" s="157"/>
      <c r="D32" s="408"/>
      <c r="E32" s="49" t="s">
        <v>686</v>
      </c>
      <c r="F32" s="398" t="s">
        <v>779</v>
      </c>
      <c r="G32" s="303"/>
      <c r="H32" s="50">
        <v>4</v>
      </c>
      <c r="I32" s="51" t="s">
        <v>342</v>
      </c>
      <c r="J32" s="52">
        <v>3</v>
      </c>
      <c r="K32" s="398"/>
      <c r="L32" s="301"/>
      <c r="M32" s="302"/>
      <c r="N32" s="304"/>
      <c r="O32" s="283"/>
      <c r="P32" s="284"/>
      <c r="Q32" s="259">
        <v>3</v>
      </c>
      <c r="R32" s="260"/>
      <c r="S32" s="283"/>
      <c r="T32" s="284"/>
      <c r="U32" s="259"/>
      <c r="V32" s="293"/>
      <c r="W32" s="405"/>
      <c r="X32" s="406"/>
      <c r="Y32" s="306"/>
    </row>
    <row r="33" spans="2:28" ht="16.5" customHeight="1" thickBot="1">
      <c r="B33" s="139" t="s">
        <v>361</v>
      </c>
      <c r="C33" s="140"/>
      <c r="D33" s="140"/>
      <c r="E33" s="140"/>
      <c r="F33" s="176"/>
      <c r="G33" s="175"/>
      <c r="H33" s="173">
        <f>SUM(H19:H32)</f>
        <v>47</v>
      </c>
      <c r="I33" s="18"/>
      <c r="J33" s="172">
        <f>SUM(J9:J32)</f>
        <v>65</v>
      </c>
      <c r="K33" s="412">
        <f>SUM(K9:L32)</f>
        <v>17</v>
      </c>
      <c r="L33" s="294"/>
      <c r="M33" s="294">
        <f>SUM(M9:N32)</f>
        <v>17</v>
      </c>
      <c r="N33" s="309"/>
      <c r="O33" s="310">
        <f>SUM(O9:P32)</f>
        <v>13</v>
      </c>
      <c r="P33" s="294"/>
      <c r="Q33" s="294">
        <f>SUM(Q9:R32)</f>
        <v>16</v>
      </c>
      <c r="R33" s="299"/>
      <c r="S33" s="297">
        <f>SUM(S9:T32)</f>
        <v>2</v>
      </c>
      <c r="T33" s="294"/>
      <c r="U33" s="294">
        <f>SUM(U9:V32)</f>
        <v>0</v>
      </c>
      <c r="V33" s="295"/>
      <c r="W33" s="296">
        <f>SUM(K33:V33)</f>
        <v>65</v>
      </c>
      <c r="X33" s="297"/>
      <c r="Y33" s="172">
        <f>SUM(Y9:Y32)</f>
        <v>64</v>
      </c>
    </row>
    <row r="34" spans="2:28" ht="16.5" customHeight="1">
      <c r="B34" s="265" t="s">
        <v>355</v>
      </c>
      <c r="C34" s="266"/>
      <c r="D34" s="255" t="s">
        <v>356</v>
      </c>
      <c r="E34" s="256"/>
      <c r="F34" s="415" t="s">
        <v>524</v>
      </c>
      <c r="G34" s="416"/>
      <c r="H34" s="40"/>
      <c r="I34" s="200"/>
      <c r="J34" s="42">
        <v>2</v>
      </c>
      <c r="K34" s="345"/>
      <c r="L34" s="312"/>
      <c r="M34" s="307"/>
      <c r="N34" s="308"/>
      <c r="O34" s="311"/>
      <c r="P34" s="312"/>
      <c r="Q34" s="307"/>
      <c r="R34" s="308"/>
      <c r="S34" s="311">
        <v>2</v>
      </c>
      <c r="T34" s="312"/>
      <c r="U34" s="307"/>
      <c r="V34" s="313"/>
      <c r="W34" s="403">
        <f>SUM(K34:V35)</f>
        <v>4</v>
      </c>
      <c r="X34" s="404"/>
      <c r="Y34" s="450">
        <v>80</v>
      </c>
    </row>
    <row r="35" spans="2:28" ht="18" thickBot="1">
      <c r="B35" s="267"/>
      <c r="C35" s="268"/>
      <c r="D35" s="257"/>
      <c r="E35" s="258"/>
      <c r="F35" s="278" t="s">
        <v>525</v>
      </c>
      <c r="G35" s="279"/>
      <c r="H35" s="50"/>
      <c r="I35" s="201"/>
      <c r="J35" s="52">
        <v>2</v>
      </c>
      <c r="K35" s="398"/>
      <c r="L35" s="301"/>
      <c r="M35" s="302"/>
      <c r="N35" s="304"/>
      <c r="O35" s="300"/>
      <c r="P35" s="301"/>
      <c r="Q35" s="302"/>
      <c r="R35" s="304"/>
      <c r="S35" s="300">
        <v>2</v>
      </c>
      <c r="T35" s="301"/>
      <c r="U35" s="302"/>
      <c r="V35" s="303"/>
      <c r="W35" s="502"/>
      <c r="X35" s="503"/>
      <c r="Y35" s="463"/>
    </row>
    <row r="36" spans="2:28" ht="16.8" customHeight="1" thickBot="1">
      <c r="B36" s="267"/>
      <c r="C36" s="268"/>
      <c r="D36" s="63" t="s">
        <v>68</v>
      </c>
      <c r="E36" s="68" t="s">
        <v>357</v>
      </c>
      <c r="F36" s="417" t="s">
        <v>530</v>
      </c>
      <c r="G36" s="418"/>
      <c r="H36" s="206"/>
      <c r="I36" s="202"/>
      <c r="J36" s="203">
        <v>4</v>
      </c>
      <c r="K36" s="419">
        <v>4</v>
      </c>
      <c r="L36" s="362"/>
      <c r="M36" s="285"/>
      <c r="N36" s="286"/>
      <c r="O36" s="361"/>
      <c r="P36" s="362"/>
      <c r="Q36" s="285"/>
      <c r="R36" s="298"/>
      <c r="S36" s="286"/>
      <c r="T36" s="362"/>
      <c r="U36" s="285"/>
      <c r="V36" s="305"/>
      <c r="W36" s="403">
        <f>SUM(K36:V43)</f>
        <v>23</v>
      </c>
      <c r="X36" s="404"/>
      <c r="Y36" s="463"/>
      <c r="AA36" s="413" t="b">
        <f>W33&gt;=Y33</f>
        <v>1</v>
      </c>
      <c r="AB36" s="414"/>
    </row>
    <row r="37" spans="2:28" ht="17.25" customHeight="1">
      <c r="B37" s="267"/>
      <c r="C37" s="268"/>
      <c r="D37" s="60" t="s">
        <v>68</v>
      </c>
      <c r="E37" s="61" t="s">
        <v>357</v>
      </c>
      <c r="F37" s="261" t="s">
        <v>526</v>
      </c>
      <c r="G37" s="262"/>
      <c r="H37" s="206"/>
      <c r="I37" s="202"/>
      <c r="J37" s="203">
        <v>4</v>
      </c>
      <c r="K37" s="287"/>
      <c r="L37" s="284"/>
      <c r="M37" s="259">
        <v>4</v>
      </c>
      <c r="N37" s="260"/>
      <c r="O37" s="283"/>
      <c r="P37" s="284"/>
      <c r="Q37" s="259"/>
      <c r="R37" s="260"/>
      <c r="S37" s="283"/>
      <c r="T37" s="284"/>
      <c r="U37" s="259"/>
      <c r="V37" s="293"/>
      <c r="W37" s="405"/>
      <c r="X37" s="406"/>
      <c r="Y37" s="463"/>
    </row>
    <row r="38" spans="2:28" ht="17.25" customHeight="1">
      <c r="B38" s="267"/>
      <c r="C38" s="268"/>
      <c r="D38" s="60" t="s">
        <v>68</v>
      </c>
      <c r="E38" s="61" t="s">
        <v>357</v>
      </c>
      <c r="F38" s="261" t="s">
        <v>527</v>
      </c>
      <c r="G38" s="262"/>
      <c r="H38" s="206"/>
      <c r="I38" s="202"/>
      <c r="J38" s="203">
        <v>2</v>
      </c>
      <c r="K38" s="287">
        <v>2</v>
      </c>
      <c r="L38" s="284"/>
      <c r="M38" s="259"/>
      <c r="N38" s="260"/>
      <c r="O38" s="283"/>
      <c r="P38" s="284"/>
      <c r="Q38" s="259"/>
      <c r="R38" s="260"/>
      <c r="S38" s="283"/>
      <c r="T38" s="284"/>
      <c r="U38" s="259"/>
      <c r="V38" s="293"/>
      <c r="W38" s="405"/>
      <c r="X38" s="406"/>
      <c r="Y38" s="463"/>
    </row>
    <row r="39" spans="2:28" ht="17.25" customHeight="1">
      <c r="B39" s="267"/>
      <c r="C39" s="268"/>
      <c r="D39" s="60" t="s">
        <v>69</v>
      </c>
      <c r="E39" s="61" t="s">
        <v>357</v>
      </c>
      <c r="F39" s="261" t="s">
        <v>531</v>
      </c>
      <c r="G39" s="262"/>
      <c r="H39" s="206"/>
      <c r="I39" s="202"/>
      <c r="J39" s="203">
        <v>2</v>
      </c>
      <c r="K39" s="287">
        <v>2</v>
      </c>
      <c r="L39" s="284"/>
      <c r="M39" s="259"/>
      <c r="N39" s="260"/>
      <c r="O39" s="283"/>
      <c r="P39" s="284"/>
      <c r="Q39" s="259"/>
      <c r="R39" s="260"/>
      <c r="S39" s="283"/>
      <c r="T39" s="284"/>
      <c r="U39" s="259"/>
      <c r="V39" s="293"/>
      <c r="W39" s="405"/>
      <c r="X39" s="406"/>
      <c r="Y39" s="463"/>
    </row>
    <row r="40" spans="2:28" ht="17.25" customHeight="1">
      <c r="B40" s="267"/>
      <c r="C40" s="268"/>
      <c r="D40" s="60" t="s">
        <v>71</v>
      </c>
      <c r="E40" s="61" t="s">
        <v>357</v>
      </c>
      <c r="F40" s="280" t="s">
        <v>528</v>
      </c>
      <c r="G40" s="281"/>
      <c r="H40" s="206"/>
      <c r="I40" s="202"/>
      <c r="J40" s="203">
        <v>4</v>
      </c>
      <c r="K40" s="287"/>
      <c r="L40" s="284"/>
      <c r="M40" s="259">
        <v>4</v>
      </c>
      <c r="N40" s="282"/>
      <c r="O40" s="283"/>
      <c r="P40" s="284"/>
      <c r="Q40" s="259"/>
      <c r="R40" s="260"/>
      <c r="S40" s="282"/>
      <c r="T40" s="284"/>
      <c r="U40" s="259"/>
      <c r="V40" s="293"/>
      <c r="W40" s="405"/>
      <c r="X40" s="406"/>
      <c r="Y40" s="463"/>
    </row>
    <row r="41" spans="2:28" ht="17.25" customHeight="1">
      <c r="B41" s="267"/>
      <c r="C41" s="268"/>
      <c r="D41" s="60" t="s">
        <v>71</v>
      </c>
      <c r="E41" s="61" t="s">
        <v>357</v>
      </c>
      <c r="F41" s="280" t="s">
        <v>553</v>
      </c>
      <c r="G41" s="281"/>
      <c r="H41" s="206"/>
      <c r="I41" s="202"/>
      <c r="J41" s="203">
        <v>2</v>
      </c>
      <c r="K41" s="287">
        <v>2</v>
      </c>
      <c r="L41" s="284"/>
      <c r="M41" s="259"/>
      <c r="N41" s="282"/>
      <c r="O41" s="283"/>
      <c r="P41" s="284"/>
      <c r="Q41" s="259"/>
      <c r="R41" s="260"/>
      <c r="S41" s="282"/>
      <c r="T41" s="284"/>
      <c r="U41" s="259"/>
      <c r="V41" s="293"/>
      <c r="W41" s="405"/>
      <c r="X41" s="406"/>
      <c r="Y41" s="463"/>
    </row>
    <row r="42" spans="2:28" ht="17.25" customHeight="1">
      <c r="B42" s="267"/>
      <c r="C42" s="268"/>
      <c r="D42" s="62" t="s">
        <v>155</v>
      </c>
      <c r="E42" s="61" t="s">
        <v>357</v>
      </c>
      <c r="F42" s="280" t="s">
        <v>677</v>
      </c>
      <c r="G42" s="281"/>
      <c r="H42" s="206"/>
      <c r="I42" s="204"/>
      <c r="J42" s="47">
        <v>2</v>
      </c>
      <c r="K42" s="288"/>
      <c r="L42" s="289"/>
      <c r="M42" s="259">
        <v>2</v>
      </c>
      <c r="N42" s="282"/>
      <c r="O42" s="283"/>
      <c r="P42" s="284"/>
      <c r="Q42" s="259"/>
      <c r="R42" s="260"/>
      <c r="S42" s="282"/>
      <c r="T42" s="284"/>
      <c r="U42" s="259"/>
      <c r="V42" s="293"/>
      <c r="W42" s="405"/>
      <c r="X42" s="406"/>
      <c r="Y42" s="463"/>
    </row>
    <row r="43" spans="2:28" ht="17.25" customHeight="1" thickBot="1">
      <c r="B43" s="267"/>
      <c r="C43" s="268"/>
      <c r="D43" s="62" t="s">
        <v>155</v>
      </c>
      <c r="E43" s="61" t="s">
        <v>357</v>
      </c>
      <c r="F43" s="490" t="s">
        <v>529</v>
      </c>
      <c r="G43" s="491"/>
      <c r="H43" s="56"/>
      <c r="I43" s="204"/>
      <c r="J43" s="47">
        <v>3</v>
      </c>
      <c r="K43" s="288"/>
      <c r="L43" s="289"/>
      <c r="M43" s="259"/>
      <c r="N43" s="282"/>
      <c r="O43" s="283">
        <v>3</v>
      </c>
      <c r="P43" s="284"/>
      <c r="Q43" s="259"/>
      <c r="R43" s="260"/>
      <c r="S43" s="282"/>
      <c r="T43" s="284"/>
      <c r="U43" s="259"/>
      <c r="V43" s="293"/>
      <c r="W43" s="502"/>
      <c r="X43" s="503"/>
      <c r="Y43" s="463"/>
    </row>
    <row r="44" spans="2:28" ht="17.25" customHeight="1">
      <c r="B44" s="267"/>
      <c r="C44" s="268"/>
      <c r="D44" s="64" t="s">
        <v>777</v>
      </c>
      <c r="E44" s="65" t="s">
        <v>358</v>
      </c>
      <c r="F44" s="410" t="s">
        <v>780</v>
      </c>
      <c r="G44" s="411"/>
      <c r="H44" s="205"/>
      <c r="I44" s="207"/>
      <c r="J44" s="42">
        <v>4</v>
      </c>
      <c r="K44" s="345"/>
      <c r="L44" s="312"/>
      <c r="M44" s="307"/>
      <c r="N44" s="359"/>
      <c r="O44" s="311">
        <v>2</v>
      </c>
      <c r="P44" s="312"/>
      <c r="Q44" s="307">
        <v>2</v>
      </c>
      <c r="R44" s="308"/>
      <c r="S44" s="359"/>
      <c r="T44" s="312"/>
      <c r="U44" s="349"/>
      <c r="V44" s="352"/>
      <c r="W44" s="403">
        <f>SUM(O44:V47)</f>
        <v>20</v>
      </c>
      <c r="X44" s="404"/>
      <c r="Y44" s="463"/>
    </row>
    <row r="45" spans="2:28" ht="16.5" customHeight="1">
      <c r="B45" s="267"/>
      <c r="C45" s="268"/>
      <c r="D45" s="62" t="s">
        <v>69</v>
      </c>
      <c r="E45" s="61" t="s">
        <v>358</v>
      </c>
      <c r="F45" s="263" t="s">
        <v>533</v>
      </c>
      <c r="G45" s="264"/>
      <c r="H45" s="206"/>
      <c r="I45" s="208"/>
      <c r="J45" s="47">
        <v>4</v>
      </c>
      <c r="K45" s="449"/>
      <c r="L45" s="354"/>
      <c r="M45" s="420"/>
      <c r="N45" s="421"/>
      <c r="O45" s="353"/>
      <c r="P45" s="354"/>
      <c r="Q45" s="420"/>
      <c r="R45" s="421"/>
      <c r="S45" s="353">
        <v>2</v>
      </c>
      <c r="T45" s="354"/>
      <c r="U45" s="363">
        <v>2</v>
      </c>
      <c r="V45" s="364"/>
      <c r="W45" s="405"/>
      <c r="X45" s="406"/>
      <c r="Y45" s="463"/>
    </row>
    <row r="46" spans="2:28" ht="16.5" customHeight="1">
      <c r="B46" s="267"/>
      <c r="C46" s="268"/>
      <c r="D46" s="62" t="s">
        <v>68</v>
      </c>
      <c r="E46" s="61" t="s">
        <v>358</v>
      </c>
      <c r="F46" s="263" t="s">
        <v>534</v>
      </c>
      <c r="G46" s="264"/>
      <c r="H46" s="206"/>
      <c r="I46" s="208"/>
      <c r="J46" s="47">
        <v>8</v>
      </c>
      <c r="K46" s="419"/>
      <c r="L46" s="362"/>
      <c r="M46" s="285"/>
      <c r="N46" s="298"/>
      <c r="O46" s="361"/>
      <c r="P46" s="362"/>
      <c r="Q46" s="285"/>
      <c r="R46" s="298"/>
      <c r="S46" s="361">
        <v>4</v>
      </c>
      <c r="T46" s="362"/>
      <c r="U46" s="363">
        <v>4</v>
      </c>
      <c r="V46" s="364"/>
      <c r="W46" s="405"/>
      <c r="X46" s="406"/>
      <c r="Y46" s="463"/>
    </row>
    <row r="47" spans="2:28" ht="20.25" customHeight="1" thickBot="1">
      <c r="B47" s="267"/>
      <c r="C47" s="268"/>
      <c r="D47" s="67" t="s">
        <v>68</v>
      </c>
      <c r="E47" s="66" t="s">
        <v>358</v>
      </c>
      <c r="F47" s="490" t="s">
        <v>706</v>
      </c>
      <c r="G47" s="491"/>
      <c r="H47" s="56"/>
      <c r="I47" s="209"/>
      <c r="J47" s="52">
        <v>4</v>
      </c>
      <c r="K47" s="398"/>
      <c r="L47" s="301"/>
      <c r="M47" s="302"/>
      <c r="N47" s="304"/>
      <c r="O47" s="300"/>
      <c r="P47" s="301"/>
      <c r="Q47" s="302"/>
      <c r="R47" s="304"/>
      <c r="S47" s="300">
        <v>4</v>
      </c>
      <c r="T47" s="301"/>
      <c r="U47" s="487"/>
      <c r="V47" s="397"/>
      <c r="W47" s="405"/>
      <c r="X47" s="406"/>
      <c r="Y47" s="463"/>
    </row>
    <row r="48" spans="2:28" ht="20.25" customHeight="1">
      <c r="B48" s="267"/>
      <c r="C48" s="268"/>
      <c r="D48" s="64" t="s">
        <v>49</v>
      </c>
      <c r="E48" s="273" t="s">
        <v>559</v>
      </c>
      <c r="F48" s="410" t="s">
        <v>695</v>
      </c>
      <c r="G48" s="411"/>
      <c r="H48" s="210"/>
      <c r="I48" s="208"/>
      <c r="J48" s="42">
        <v>4</v>
      </c>
      <c r="K48" s="346"/>
      <c r="L48" s="347"/>
      <c r="M48" s="349"/>
      <c r="N48" s="350"/>
      <c r="O48" s="351"/>
      <c r="P48" s="347"/>
      <c r="Q48" s="349"/>
      <c r="R48" s="350"/>
      <c r="S48" s="351">
        <v>4</v>
      </c>
      <c r="T48" s="347"/>
      <c r="U48" s="349"/>
      <c r="V48" s="352"/>
      <c r="W48" s="403">
        <f>SUM(K48:V53)</f>
        <v>20</v>
      </c>
      <c r="X48" s="404"/>
      <c r="Y48" s="463"/>
    </row>
    <row r="49" spans="2:25" ht="20.25" customHeight="1">
      <c r="B49" s="267"/>
      <c r="C49" s="268"/>
      <c r="D49" s="62" t="s">
        <v>69</v>
      </c>
      <c r="E49" s="271"/>
      <c r="F49" s="263" t="s">
        <v>554</v>
      </c>
      <c r="G49" s="264"/>
      <c r="H49" s="206"/>
      <c r="I49" s="208"/>
      <c r="J49" s="47">
        <v>3</v>
      </c>
      <c r="K49" s="422">
        <v>3</v>
      </c>
      <c r="L49" s="356"/>
      <c r="M49" s="363"/>
      <c r="N49" s="409"/>
      <c r="O49" s="355"/>
      <c r="P49" s="356"/>
      <c r="Q49" s="363"/>
      <c r="R49" s="409"/>
      <c r="S49" s="355"/>
      <c r="T49" s="356"/>
      <c r="U49" s="363"/>
      <c r="V49" s="364"/>
      <c r="W49" s="405"/>
      <c r="X49" s="406"/>
      <c r="Y49" s="463"/>
    </row>
    <row r="50" spans="2:25" ht="20.25" customHeight="1">
      <c r="B50" s="267"/>
      <c r="C50" s="268"/>
      <c r="D50" s="62" t="s">
        <v>69</v>
      </c>
      <c r="E50" s="271"/>
      <c r="F50" s="492" t="s">
        <v>555</v>
      </c>
      <c r="G50" s="493"/>
      <c r="H50" s="206"/>
      <c r="I50" s="208"/>
      <c r="J50" s="47">
        <v>3</v>
      </c>
      <c r="K50" s="422"/>
      <c r="L50" s="356"/>
      <c r="M50" s="363">
        <v>3</v>
      </c>
      <c r="N50" s="409"/>
      <c r="O50" s="355"/>
      <c r="P50" s="356"/>
      <c r="Q50" s="363"/>
      <c r="R50" s="409"/>
      <c r="S50" s="355"/>
      <c r="T50" s="356"/>
      <c r="U50" s="363"/>
      <c r="V50" s="364"/>
      <c r="W50" s="405"/>
      <c r="X50" s="406"/>
      <c r="Y50" s="463"/>
    </row>
    <row r="51" spans="2:25" ht="20.25" customHeight="1">
      <c r="B51" s="267"/>
      <c r="C51" s="268"/>
      <c r="D51" s="62" t="s">
        <v>69</v>
      </c>
      <c r="E51" s="271"/>
      <c r="F51" s="494" t="s">
        <v>556</v>
      </c>
      <c r="G51" s="495"/>
      <c r="H51" s="206"/>
      <c r="I51" s="208"/>
      <c r="J51" s="47">
        <v>2</v>
      </c>
      <c r="K51" s="422"/>
      <c r="L51" s="356"/>
      <c r="M51" s="363"/>
      <c r="N51" s="409"/>
      <c r="O51" s="355"/>
      <c r="P51" s="356"/>
      <c r="Q51" s="363"/>
      <c r="R51" s="409"/>
      <c r="S51" s="355">
        <v>2</v>
      </c>
      <c r="T51" s="356"/>
      <c r="U51" s="363"/>
      <c r="V51" s="364"/>
      <c r="W51" s="405"/>
      <c r="X51" s="406"/>
      <c r="Y51" s="463"/>
    </row>
    <row r="52" spans="2:25" ht="20.25" customHeight="1">
      <c r="B52" s="267"/>
      <c r="C52" s="268"/>
      <c r="D52" s="62" t="s">
        <v>69</v>
      </c>
      <c r="E52" s="271"/>
      <c r="F52" s="494" t="s">
        <v>557</v>
      </c>
      <c r="G52" s="495"/>
      <c r="H52" s="206"/>
      <c r="I52" s="208"/>
      <c r="J52" s="47">
        <v>2</v>
      </c>
      <c r="K52" s="419"/>
      <c r="L52" s="362"/>
      <c r="M52" s="285"/>
      <c r="N52" s="298"/>
      <c r="O52" s="361"/>
      <c r="P52" s="362"/>
      <c r="Q52" s="285"/>
      <c r="R52" s="298"/>
      <c r="S52" s="361"/>
      <c r="T52" s="362"/>
      <c r="U52" s="363">
        <v>2</v>
      </c>
      <c r="V52" s="364"/>
      <c r="W52" s="405"/>
      <c r="X52" s="406"/>
      <c r="Y52" s="463"/>
    </row>
    <row r="53" spans="2:25" ht="20.25" customHeight="1" thickBot="1">
      <c r="B53" s="269"/>
      <c r="C53" s="270"/>
      <c r="D53" s="161" t="s">
        <v>69</v>
      </c>
      <c r="E53" s="272"/>
      <c r="F53" s="496" t="s">
        <v>558</v>
      </c>
      <c r="G53" s="497"/>
      <c r="H53" s="56"/>
      <c r="I53" s="209"/>
      <c r="J53" s="52">
        <v>6</v>
      </c>
      <c r="K53" s="398"/>
      <c r="L53" s="301"/>
      <c r="M53" s="302"/>
      <c r="N53" s="360"/>
      <c r="O53" s="300"/>
      <c r="P53" s="301"/>
      <c r="Q53" s="302"/>
      <c r="R53" s="304"/>
      <c r="S53" s="360"/>
      <c r="T53" s="301"/>
      <c r="U53" s="487">
        <v>6</v>
      </c>
      <c r="V53" s="397"/>
      <c r="W53" s="502"/>
      <c r="X53" s="503"/>
      <c r="Y53" s="463"/>
    </row>
    <row r="54" spans="2:25" ht="20.25" customHeight="1">
      <c r="B54" s="290" t="s">
        <v>536</v>
      </c>
      <c r="C54" s="273" t="s">
        <v>696</v>
      </c>
      <c r="D54" s="159" t="s">
        <v>692</v>
      </c>
      <c r="E54" s="65" t="s">
        <v>357</v>
      </c>
      <c r="F54" s="410" t="s">
        <v>541</v>
      </c>
      <c r="G54" s="411"/>
      <c r="H54" s="425"/>
      <c r="I54" s="207"/>
      <c r="J54" s="42">
        <v>4</v>
      </c>
      <c r="K54" s="345"/>
      <c r="L54" s="312"/>
      <c r="M54" s="307"/>
      <c r="N54" s="359"/>
      <c r="O54" s="311">
        <v>4</v>
      </c>
      <c r="P54" s="312"/>
      <c r="Q54" s="307"/>
      <c r="R54" s="308"/>
      <c r="S54" s="311"/>
      <c r="T54" s="312"/>
      <c r="U54" s="307"/>
      <c r="V54" s="313"/>
      <c r="W54" s="403">
        <f>SUM(O54:V58)</f>
        <v>24</v>
      </c>
      <c r="X54" s="404"/>
      <c r="Y54" s="463"/>
    </row>
    <row r="55" spans="2:25" ht="20.25" customHeight="1">
      <c r="B55" s="291"/>
      <c r="C55" s="271"/>
      <c r="D55" s="160" t="s">
        <v>68</v>
      </c>
      <c r="E55" s="68" t="s">
        <v>358</v>
      </c>
      <c r="F55" s="280" t="s">
        <v>697</v>
      </c>
      <c r="G55" s="281"/>
      <c r="H55" s="426"/>
      <c r="I55" s="208"/>
      <c r="J55" s="47">
        <v>4</v>
      </c>
      <c r="K55" s="287"/>
      <c r="L55" s="284"/>
      <c r="M55" s="259"/>
      <c r="N55" s="260"/>
      <c r="O55" s="283">
        <v>4</v>
      </c>
      <c r="P55" s="284"/>
      <c r="Q55" s="259"/>
      <c r="R55" s="260"/>
      <c r="S55" s="283"/>
      <c r="T55" s="284"/>
      <c r="U55" s="259"/>
      <c r="V55" s="293"/>
      <c r="W55" s="405"/>
      <c r="X55" s="406"/>
      <c r="Y55" s="463"/>
    </row>
    <row r="56" spans="2:25" ht="20.25" customHeight="1">
      <c r="B56" s="291"/>
      <c r="C56" s="271"/>
      <c r="D56" s="160" t="s">
        <v>68</v>
      </c>
      <c r="E56" s="68" t="s">
        <v>358</v>
      </c>
      <c r="F56" s="280" t="s">
        <v>698</v>
      </c>
      <c r="G56" s="281"/>
      <c r="H56" s="426"/>
      <c r="I56" s="208"/>
      <c r="J56" s="47">
        <v>8</v>
      </c>
      <c r="K56" s="287"/>
      <c r="L56" s="284"/>
      <c r="M56" s="259"/>
      <c r="N56" s="282"/>
      <c r="O56" s="283"/>
      <c r="P56" s="284"/>
      <c r="Q56" s="259">
        <v>8</v>
      </c>
      <c r="R56" s="260"/>
      <c r="S56" s="283"/>
      <c r="T56" s="284"/>
      <c r="U56" s="259"/>
      <c r="V56" s="293"/>
      <c r="W56" s="405"/>
      <c r="X56" s="406"/>
      <c r="Y56" s="463"/>
    </row>
    <row r="57" spans="2:25" ht="20.25" customHeight="1">
      <c r="B57" s="291"/>
      <c r="C57" s="271"/>
      <c r="D57" s="160" t="s">
        <v>68</v>
      </c>
      <c r="E57" s="68" t="s">
        <v>358</v>
      </c>
      <c r="F57" s="280" t="s">
        <v>701</v>
      </c>
      <c r="G57" s="281"/>
      <c r="H57" s="426"/>
      <c r="I57" s="208"/>
      <c r="J57" s="47">
        <v>4</v>
      </c>
      <c r="K57" s="287"/>
      <c r="L57" s="284"/>
      <c r="M57" s="259"/>
      <c r="N57" s="260"/>
      <c r="O57" s="283"/>
      <c r="P57" s="284"/>
      <c r="Q57" s="259"/>
      <c r="R57" s="260"/>
      <c r="S57" s="283">
        <v>4</v>
      </c>
      <c r="T57" s="284"/>
      <c r="U57" s="259"/>
      <c r="V57" s="293"/>
      <c r="W57" s="405"/>
      <c r="X57" s="406"/>
      <c r="Y57" s="463"/>
    </row>
    <row r="58" spans="2:25" ht="16.5" customHeight="1" thickBot="1">
      <c r="B58" s="291"/>
      <c r="C58" s="272"/>
      <c r="D58" s="160" t="s">
        <v>68</v>
      </c>
      <c r="E58" s="68" t="s">
        <v>358</v>
      </c>
      <c r="F58" s="280" t="s">
        <v>699</v>
      </c>
      <c r="G58" s="281"/>
      <c r="H58" s="426"/>
      <c r="I58" s="208"/>
      <c r="J58" s="47">
        <v>4</v>
      </c>
      <c r="K58" s="287"/>
      <c r="L58" s="284"/>
      <c r="M58" s="259"/>
      <c r="N58" s="260"/>
      <c r="O58" s="283"/>
      <c r="P58" s="284"/>
      <c r="Q58" s="259"/>
      <c r="R58" s="260"/>
      <c r="S58" s="283"/>
      <c r="T58" s="284"/>
      <c r="U58" s="259">
        <v>4</v>
      </c>
      <c r="V58" s="293"/>
      <c r="W58" s="405"/>
      <c r="X58" s="406"/>
      <c r="Y58" s="463"/>
    </row>
    <row r="59" spans="2:25">
      <c r="B59" s="291"/>
      <c r="C59" s="271" t="s">
        <v>537</v>
      </c>
      <c r="D59" s="254" t="s">
        <v>692</v>
      </c>
      <c r="E59" s="65" t="s">
        <v>357</v>
      </c>
      <c r="F59" s="488" t="s">
        <v>541</v>
      </c>
      <c r="G59" s="489"/>
      <c r="H59" s="425"/>
      <c r="I59" s="207"/>
      <c r="J59" s="42">
        <v>4</v>
      </c>
      <c r="K59" s="345"/>
      <c r="L59" s="312"/>
      <c r="M59" s="307"/>
      <c r="N59" s="308"/>
      <c r="O59" s="311"/>
      <c r="P59" s="312"/>
      <c r="Q59" s="307"/>
      <c r="R59" s="308"/>
      <c r="S59" s="311">
        <v>4</v>
      </c>
      <c r="T59" s="312"/>
      <c r="U59" s="307"/>
      <c r="V59" s="313"/>
      <c r="W59" s="405"/>
      <c r="X59" s="406"/>
      <c r="Y59" s="463"/>
    </row>
    <row r="60" spans="2:25">
      <c r="B60" s="291"/>
      <c r="C60" s="271"/>
      <c r="D60" s="169" t="s">
        <v>68</v>
      </c>
      <c r="E60" s="163" t="s">
        <v>542</v>
      </c>
      <c r="F60" s="423" t="s">
        <v>543</v>
      </c>
      <c r="G60" s="424"/>
      <c r="H60" s="426"/>
      <c r="I60" s="208"/>
      <c r="J60" s="47">
        <v>4</v>
      </c>
      <c r="K60" s="287"/>
      <c r="L60" s="284"/>
      <c r="M60" s="259"/>
      <c r="N60" s="260"/>
      <c r="O60" s="283"/>
      <c r="P60" s="284"/>
      <c r="Q60" s="259"/>
      <c r="R60" s="260"/>
      <c r="S60" s="283"/>
      <c r="T60" s="284"/>
      <c r="U60" s="259">
        <v>4</v>
      </c>
      <c r="V60" s="293"/>
      <c r="W60" s="405"/>
      <c r="X60" s="406"/>
      <c r="Y60" s="463"/>
    </row>
    <row r="61" spans="2:25">
      <c r="B61" s="291"/>
      <c r="C61" s="271"/>
      <c r="D61" s="169" t="s">
        <v>68</v>
      </c>
      <c r="E61" s="163" t="s">
        <v>542</v>
      </c>
      <c r="F61" s="423" t="s">
        <v>683</v>
      </c>
      <c r="G61" s="424"/>
      <c r="H61" s="426"/>
      <c r="I61" s="208"/>
      <c r="J61" s="47">
        <v>8</v>
      </c>
      <c r="K61" s="287"/>
      <c r="L61" s="284"/>
      <c r="M61" s="259"/>
      <c r="N61" s="260"/>
      <c r="O61" s="283">
        <v>8</v>
      </c>
      <c r="P61" s="284"/>
      <c r="Q61" s="259"/>
      <c r="R61" s="260"/>
      <c r="S61" s="283"/>
      <c r="T61" s="284"/>
      <c r="U61" s="259"/>
      <c r="V61" s="293"/>
      <c r="W61" s="405"/>
      <c r="X61" s="406"/>
      <c r="Y61" s="463"/>
    </row>
    <row r="62" spans="2:25" ht="18" customHeight="1">
      <c r="B62" s="291"/>
      <c r="C62" s="271"/>
      <c r="D62" s="169" t="s">
        <v>68</v>
      </c>
      <c r="E62" s="163" t="s">
        <v>542</v>
      </c>
      <c r="F62" s="423" t="s">
        <v>544</v>
      </c>
      <c r="G62" s="424"/>
      <c r="H62" s="426"/>
      <c r="I62" s="208"/>
      <c r="J62" s="47">
        <v>4</v>
      </c>
      <c r="K62" s="287"/>
      <c r="L62" s="284"/>
      <c r="M62" s="259"/>
      <c r="N62" s="260"/>
      <c r="O62" s="283"/>
      <c r="P62" s="284"/>
      <c r="Q62" s="259">
        <v>4</v>
      </c>
      <c r="R62" s="260"/>
      <c r="S62" s="283"/>
      <c r="T62" s="284"/>
      <c r="U62" s="259"/>
      <c r="V62" s="293"/>
      <c r="W62" s="405"/>
      <c r="X62" s="406"/>
      <c r="Y62" s="463"/>
    </row>
    <row r="63" spans="2:25" ht="17.399999999999999" customHeight="1" thickBot="1">
      <c r="B63" s="291"/>
      <c r="C63" s="272"/>
      <c r="D63" s="170" t="s">
        <v>68</v>
      </c>
      <c r="E63" s="164" t="s">
        <v>542</v>
      </c>
      <c r="F63" s="276" t="s">
        <v>684</v>
      </c>
      <c r="G63" s="277"/>
      <c r="H63" s="427"/>
      <c r="I63" s="209"/>
      <c r="J63" s="52">
        <v>4</v>
      </c>
      <c r="K63" s="398"/>
      <c r="L63" s="301"/>
      <c r="M63" s="302"/>
      <c r="N63" s="304"/>
      <c r="O63" s="300"/>
      <c r="P63" s="301"/>
      <c r="Q63" s="302">
        <v>4</v>
      </c>
      <c r="R63" s="304"/>
      <c r="S63" s="300"/>
      <c r="T63" s="301"/>
      <c r="U63" s="302"/>
      <c r="V63" s="303"/>
      <c r="W63" s="405"/>
      <c r="X63" s="406"/>
      <c r="Y63" s="463"/>
    </row>
    <row r="64" spans="2:25">
      <c r="B64" s="291"/>
      <c r="C64" s="273" t="s">
        <v>538</v>
      </c>
      <c r="D64" s="162" t="s">
        <v>68</v>
      </c>
      <c r="E64" s="168" t="s">
        <v>542</v>
      </c>
      <c r="F64" s="274" t="s">
        <v>543</v>
      </c>
      <c r="G64" s="275"/>
      <c r="H64" s="425"/>
      <c r="I64" s="207"/>
      <c r="J64" s="42">
        <v>4</v>
      </c>
      <c r="K64" s="345"/>
      <c r="L64" s="312"/>
      <c r="M64" s="307"/>
      <c r="N64" s="308"/>
      <c r="O64" s="311"/>
      <c r="P64" s="312"/>
      <c r="Q64" s="307"/>
      <c r="R64" s="308"/>
      <c r="S64" s="311">
        <v>4</v>
      </c>
      <c r="T64" s="312"/>
      <c r="U64" s="307"/>
      <c r="V64" s="313"/>
      <c r="W64" s="405"/>
      <c r="X64" s="406"/>
      <c r="Y64" s="463"/>
    </row>
    <row r="65" spans="2:29">
      <c r="B65" s="291"/>
      <c r="C65" s="271"/>
      <c r="D65" s="169" t="s">
        <v>68</v>
      </c>
      <c r="E65" s="163" t="s">
        <v>542</v>
      </c>
      <c r="F65" s="423" t="s">
        <v>546</v>
      </c>
      <c r="G65" s="424"/>
      <c r="H65" s="426"/>
      <c r="I65" s="208"/>
      <c r="J65" s="47">
        <v>4</v>
      </c>
      <c r="K65" s="287"/>
      <c r="L65" s="284"/>
      <c r="M65" s="259"/>
      <c r="N65" s="260"/>
      <c r="O65" s="283"/>
      <c r="P65" s="284"/>
      <c r="Q65" s="259"/>
      <c r="R65" s="260"/>
      <c r="S65" s="283"/>
      <c r="T65" s="284"/>
      <c r="U65" s="259">
        <v>4</v>
      </c>
      <c r="V65" s="293"/>
      <c r="W65" s="405"/>
      <c r="X65" s="406"/>
      <c r="Y65" s="463"/>
    </row>
    <row r="66" spans="2:29">
      <c r="B66" s="291"/>
      <c r="C66" s="271"/>
      <c r="D66" s="169" t="s">
        <v>68</v>
      </c>
      <c r="E66" s="163" t="s">
        <v>542</v>
      </c>
      <c r="F66" s="423" t="s">
        <v>678</v>
      </c>
      <c r="G66" s="424"/>
      <c r="H66" s="426"/>
      <c r="I66" s="208"/>
      <c r="J66" s="47">
        <v>8</v>
      </c>
      <c r="K66" s="287"/>
      <c r="L66" s="284"/>
      <c r="M66" s="259"/>
      <c r="N66" s="260"/>
      <c r="O66" s="283">
        <v>8</v>
      </c>
      <c r="P66" s="284"/>
      <c r="Q66" s="259"/>
      <c r="R66" s="260"/>
      <c r="S66" s="283"/>
      <c r="T66" s="284"/>
      <c r="U66" s="259"/>
      <c r="V66" s="293"/>
      <c r="W66" s="405"/>
      <c r="X66" s="406"/>
      <c r="Y66" s="463"/>
    </row>
    <row r="67" spans="2:29" ht="18" thickBot="1">
      <c r="B67" s="291"/>
      <c r="C67" s="272"/>
      <c r="D67" s="170" t="s">
        <v>68</v>
      </c>
      <c r="E67" s="164" t="s">
        <v>542</v>
      </c>
      <c r="F67" s="276" t="s">
        <v>685</v>
      </c>
      <c r="G67" s="277"/>
      <c r="H67" s="427"/>
      <c r="I67" s="209"/>
      <c r="J67" s="52">
        <v>8</v>
      </c>
      <c r="K67" s="398"/>
      <c r="L67" s="301"/>
      <c r="M67" s="302"/>
      <c r="N67" s="304"/>
      <c r="O67" s="300"/>
      <c r="P67" s="301"/>
      <c r="Q67" s="302">
        <v>8</v>
      </c>
      <c r="R67" s="304"/>
      <c r="S67" s="300"/>
      <c r="T67" s="301"/>
      <c r="U67" s="302"/>
      <c r="V67" s="303"/>
      <c r="W67" s="405"/>
      <c r="X67" s="406"/>
      <c r="Y67" s="463"/>
    </row>
    <row r="68" spans="2:29">
      <c r="B68" s="291"/>
      <c r="C68" s="271" t="s">
        <v>539</v>
      </c>
      <c r="D68" s="165" t="s">
        <v>71</v>
      </c>
      <c r="E68" s="211" t="s">
        <v>358</v>
      </c>
      <c r="F68" s="428" t="s">
        <v>547</v>
      </c>
      <c r="G68" s="275"/>
      <c r="H68" s="205"/>
      <c r="I68" s="207"/>
      <c r="J68" s="42">
        <v>4</v>
      </c>
      <c r="K68" s="346"/>
      <c r="L68" s="347"/>
      <c r="M68" s="349"/>
      <c r="N68" s="350"/>
      <c r="O68" s="351"/>
      <c r="P68" s="347"/>
      <c r="Q68" s="349"/>
      <c r="R68" s="350"/>
      <c r="S68" s="351"/>
      <c r="T68" s="347"/>
      <c r="U68" s="349">
        <v>4</v>
      </c>
      <c r="V68" s="352"/>
      <c r="W68" s="405"/>
      <c r="X68" s="406"/>
      <c r="Y68" s="463"/>
    </row>
    <row r="69" spans="2:29">
      <c r="B69" s="291"/>
      <c r="C69" s="271"/>
      <c r="D69" s="166" t="s">
        <v>151</v>
      </c>
      <c r="E69" s="212" t="s">
        <v>358</v>
      </c>
      <c r="F69" s="429" t="s">
        <v>679</v>
      </c>
      <c r="G69" s="424"/>
      <c r="H69" s="206"/>
      <c r="I69" s="208"/>
      <c r="J69" s="47">
        <v>4</v>
      </c>
      <c r="K69" s="422"/>
      <c r="L69" s="356"/>
      <c r="M69" s="363"/>
      <c r="N69" s="409"/>
      <c r="O69" s="355"/>
      <c r="P69" s="356"/>
      <c r="Q69" s="363"/>
      <c r="R69" s="409"/>
      <c r="S69" s="355">
        <v>4</v>
      </c>
      <c r="T69" s="356"/>
      <c r="U69" s="363"/>
      <c r="V69" s="364"/>
      <c r="W69" s="405"/>
      <c r="X69" s="406"/>
      <c r="Y69" s="463"/>
    </row>
    <row r="70" spans="2:29">
      <c r="B70" s="291"/>
      <c r="C70" s="271"/>
      <c r="D70" s="166" t="s">
        <v>151</v>
      </c>
      <c r="E70" s="212" t="s">
        <v>358</v>
      </c>
      <c r="F70" s="423" t="s">
        <v>680</v>
      </c>
      <c r="G70" s="424"/>
      <c r="H70" s="206"/>
      <c r="I70" s="208"/>
      <c r="J70" s="47">
        <v>8</v>
      </c>
      <c r="K70" s="422"/>
      <c r="L70" s="356"/>
      <c r="M70" s="363"/>
      <c r="N70" s="409"/>
      <c r="O70" s="355">
        <v>8</v>
      </c>
      <c r="P70" s="356"/>
      <c r="Q70" s="363"/>
      <c r="R70" s="409"/>
      <c r="S70" s="355"/>
      <c r="T70" s="356"/>
      <c r="U70" s="363"/>
      <c r="V70" s="364"/>
      <c r="W70" s="405"/>
      <c r="X70" s="406"/>
      <c r="Y70" s="463"/>
    </row>
    <row r="71" spans="2:29" ht="18" thickBot="1">
      <c r="B71" s="291"/>
      <c r="C71" s="272"/>
      <c r="D71" s="167" t="s">
        <v>151</v>
      </c>
      <c r="E71" s="213" t="s">
        <v>358</v>
      </c>
      <c r="F71" s="276" t="s">
        <v>535</v>
      </c>
      <c r="G71" s="277"/>
      <c r="H71" s="56"/>
      <c r="I71" s="209"/>
      <c r="J71" s="52">
        <v>8</v>
      </c>
      <c r="K71" s="396"/>
      <c r="L71" s="358"/>
      <c r="M71" s="487"/>
      <c r="N71" s="498"/>
      <c r="O71" s="357"/>
      <c r="P71" s="358"/>
      <c r="Q71" s="487">
        <v>8</v>
      </c>
      <c r="R71" s="498"/>
      <c r="S71" s="357"/>
      <c r="T71" s="358"/>
      <c r="U71" s="487"/>
      <c r="V71" s="397"/>
      <c r="W71" s="405"/>
      <c r="X71" s="406"/>
      <c r="Y71" s="463"/>
    </row>
    <row r="72" spans="2:29">
      <c r="B72" s="291"/>
      <c r="C72" s="273" t="s">
        <v>540</v>
      </c>
      <c r="D72" s="165" t="s">
        <v>155</v>
      </c>
      <c r="E72" s="65" t="s">
        <v>357</v>
      </c>
      <c r="F72" s="274" t="s">
        <v>676</v>
      </c>
      <c r="G72" s="275"/>
      <c r="H72" s="205"/>
      <c r="I72" s="207"/>
      <c r="J72" s="42">
        <v>4</v>
      </c>
      <c r="K72" s="346"/>
      <c r="L72" s="347"/>
      <c r="M72" s="349"/>
      <c r="N72" s="350"/>
      <c r="O72" s="351"/>
      <c r="P72" s="347"/>
      <c r="Q72" s="349"/>
      <c r="R72" s="350"/>
      <c r="S72" s="351">
        <v>4</v>
      </c>
      <c r="T72" s="347"/>
      <c r="U72" s="349"/>
      <c r="V72" s="352"/>
      <c r="W72" s="405"/>
      <c r="X72" s="406"/>
      <c r="Y72" s="463"/>
    </row>
    <row r="73" spans="2:29">
      <c r="B73" s="291"/>
      <c r="C73" s="271"/>
      <c r="D73" s="166" t="s">
        <v>72</v>
      </c>
      <c r="E73" s="61" t="s">
        <v>357</v>
      </c>
      <c r="F73" s="423" t="s">
        <v>675</v>
      </c>
      <c r="G73" s="424"/>
      <c r="H73" s="206"/>
      <c r="I73" s="208"/>
      <c r="J73" s="47">
        <v>4</v>
      </c>
      <c r="K73" s="422"/>
      <c r="L73" s="356"/>
      <c r="M73" s="363"/>
      <c r="N73" s="409"/>
      <c r="O73" s="355"/>
      <c r="P73" s="356"/>
      <c r="Q73" s="363"/>
      <c r="R73" s="409"/>
      <c r="S73" s="355"/>
      <c r="T73" s="356"/>
      <c r="U73" s="363">
        <v>4</v>
      </c>
      <c r="V73" s="364"/>
      <c r="W73" s="405"/>
      <c r="X73" s="406"/>
      <c r="Y73" s="463"/>
    </row>
    <row r="74" spans="2:29">
      <c r="B74" s="291"/>
      <c r="C74" s="271"/>
      <c r="D74" s="166" t="s">
        <v>155</v>
      </c>
      <c r="E74" s="61" t="s">
        <v>358</v>
      </c>
      <c r="F74" s="423" t="s">
        <v>548</v>
      </c>
      <c r="G74" s="424"/>
      <c r="H74" s="206"/>
      <c r="I74" s="208"/>
      <c r="J74" s="47">
        <v>8</v>
      </c>
      <c r="K74" s="422"/>
      <c r="L74" s="356"/>
      <c r="M74" s="363"/>
      <c r="N74" s="409"/>
      <c r="O74" s="355"/>
      <c r="P74" s="356"/>
      <c r="Q74" s="363">
        <v>8</v>
      </c>
      <c r="R74" s="409"/>
      <c r="S74" s="355"/>
      <c r="T74" s="356"/>
      <c r="U74" s="363"/>
      <c r="V74" s="364"/>
      <c r="W74" s="405"/>
      <c r="X74" s="406"/>
      <c r="Y74" s="463"/>
    </row>
    <row r="75" spans="2:29" ht="18" thickBot="1">
      <c r="B75" s="292"/>
      <c r="C75" s="272"/>
      <c r="D75" s="167" t="s">
        <v>155</v>
      </c>
      <c r="E75" s="66" t="s">
        <v>358</v>
      </c>
      <c r="F75" s="276" t="s">
        <v>681</v>
      </c>
      <c r="G75" s="277"/>
      <c r="H75" s="56"/>
      <c r="I75" s="209"/>
      <c r="J75" s="52">
        <v>8</v>
      </c>
      <c r="K75" s="396"/>
      <c r="L75" s="358"/>
      <c r="M75" s="487"/>
      <c r="N75" s="498"/>
      <c r="O75" s="357">
        <v>8</v>
      </c>
      <c r="P75" s="358"/>
      <c r="Q75" s="487"/>
      <c r="R75" s="498"/>
      <c r="S75" s="357"/>
      <c r="T75" s="358"/>
      <c r="U75" s="487"/>
      <c r="V75" s="397"/>
      <c r="W75" s="502"/>
      <c r="X75" s="503"/>
      <c r="Y75" s="463"/>
    </row>
    <row r="76" spans="2:29">
      <c r="B76" s="290" t="s">
        <v>551</v>
      </c>
      <c r="C76" s="446" t="s">
        <v>505</v>
      </c>
      <c r="D76" s="64" t="s">
        <v>68</v>
      </c>
      <c r="E76" s="65" t="s">
        <v>358</v>
      </c>
      <c r="F76" s="274" t="s">
        <v>698</v>
      </c>
      <c r="G76" s="275"/>
      <c r="H76" s="205"/>
      <c r="I76" s="207"/>
      <c r="J76" s="392">
        <v>8</v>
      </c>
      <c r="K76" s="345"/>
      <c r="L76" s="312"/>
      <c r="M76" s="307"/>
      <c r="N76" s="308"/>
      <c r="O76" s="504">
        <v>4</v>
      </c>
      <c r="P76" s="505"/>
      <c r="Q76" s="505">
        <v>4</v>
      </c>
      <c r="R76" s="510"/>
      <c r="S76" s="311"/>
      <c r="T76" s="312"/>
      <c r="U76" s="307"/>
      <c r="V76" s="313"/>
      <c r="W76" s="403">
        <f>SUM(O76:V90)</f>
        <v>24</v>
      </c>
      <c r="X76" s="404"/>
      <c r="Y76" s="463"/>
    </row>
    <row r="77" spans="2:29">
      <c r="B77" s="291"/>
      <c r="C77" s="447"/>
      <c r="D77" s="62" t="s">
        <v>68</v>
      </c>
      <c r="E77" s="61" t="s">
        <v>358</v>
      </c>
      <c r="F77" s="423" t="s">
        <v>685</v>
      </c>
      <c r="G77" s="424"/>
      <c r="H77" s="206"/>
      <c r="I77" s="208"/>
      <c r="J77" s="393"/>
      <c r="K77" s="287"/>
      <c r="L77" s="284"/>
      <c r="M77" s="259"/>
      <c r="N77" s="260"/>
      <c r="O77" s="506"/>
      <c r="P77" s="507"/>
      <c r="Q77" s="507"/>
      <c r="R77" s="511"/>
      <c r="S77" s="283"/>
      <c r="T77" s="284"/>
      <c r="U77" s="259"/>
      <c r="V77" s="293"/>
      <c r="W77" s="405"/>
      <c r="X77" s="406"/>
      <c r="Y77" s="463"/>
    </row>
    <row r="78" spans="2:29">
      <c r="B78" s="291"/>
      <c r="C78" s="447"/>
      <c r="D78" s="62" t="s">
        <v>68</v>
      </c>
      <c r="E78" s="61" t="s">
        <v>358</v>
      </c>
      <c r="F78" s="423" t="s">
        <v>683</v>
      </c>
      <c r="G78" s="424"/>
      <c r="H78" s="206"/>
      <c r="I78" s="208"/>
      <c r="J78" s="393"/>
      <c r="K78" s="287"/>
      <c r="L78" s="284"/>
      <c r="M78" s="259"/>
      <c r="N78" s="260"/>
      <c r="O78" s="506"/>
      <c r="P78" s="507"/>
      <c r="Q78" s="507"/>
      <c r="R78" s="511"/>
      <c r="S78" s="283"/>
      <c r="T78" s="284"/>
      <c r="U78" s="259"/>
      <c r="V78" s="293"/>
      <c r="W78" s="405"/>
      <c r="X78" s="406"/>
      <c r="Y78" s="463"/>
    </row>
    <row r="79" spans="2:29">
      <c r="B79" s="291"/>
      <c r="C79" s="447"/>
      <c r="D79" s="62" t="s">
        <v>71</v>
      </c>
      <c r="E79" s="61" t="s">
        <v>358</v>
      </c>
      <c r="F79" s="423" t="s">
        <v>682</v>
      </c>
      <c r="G79" s="424"/>
      <c r="H79" s="206"/>
      <c r="I79" s="208"/>
      <c r="J79" s="393"/>
      <c r="K79" s="287"/>
      <c r="L79" s="284"/>
      <c r="M79" s="259"/>
      <c r="N79" s="260"/>
      <c r="O79" s="506"/>
      <c r="P79" s="507"/>
      <c r="Q79" s="507"/>
      <c r="R79" s="511"/>
      <c r="S79" s="283"/>
      <c r="T79" s="284"/>
      <c r="U79" s="259"/>
      <c r="V79" s="293"/>
      <c r="W79" s="405"/>
      <c r="X79" s="406"/>
      <c r="Y79" s="463"/>
      <c r="AC79" s="31"/>
    </row>
    <row r="80" spans="2:29" ht="18" thickBot="1">
      <c r="B80" s="292"/>
      <c r="C80" s="447"/>
      <c r="D80" s="67" t="s">
        <v>71</v>
      </c>
      <c r="E80" s="66" t="s">
        <v>358</v>
      </c>
      <c r="F80" s="276" t="s">
        <v>681</v>
      </c>
      <c r="G80" s="277"/>
      <c r="H80" s="56"/>
      <c r="I80" s="209"/>
      <c r="J80" s="399"/>
      <c r="K80" s="398"/>
      <c r="L80" s="301"/>
      <c r="M80" s="302"/>
      <c r="N80" s="304"/>
      <c r="O80" s="508"/>
      <c r="P80" s="509"/>
      <c r="Q80" s="509"/>
      <c r="R80" s="512"/>
      <c r="S80" s="300"/>
      <c r="T80" s="301"/>
      <c r="U80" s="302"/>
      <c r="V80" s="303"/>
      <c r="W80" s="405"/>
      <c r="X80" s="406"/>
      <c r="Y80" s="463"/>
      <c r="AC80" s="142"/>
    </row>
    <row r="81" spans="2:29">
      <c r="B81" s="291" t="s">
        <v>552</v>
      </c>
      <c r="C81" s="447"/>
      <c r="D81" s="64" t="s">
        <v>68</v>
      </c>
      <c r="E81" s="65" t="s">
        <v>358</v>
      </c>
      <c r="F81" s="274" t="s">
        <v>700</v>
      </c>
      <c r="G81" s="275"/>
      <c r="H81" s="205"/>
      <c r="I81" s="207"/>
      <c r="J81" s="392">
        <v>8</v>
      </c>
      <c r="K81" s="345"/>
      <c r="L81" s="312"/>
      <c r="M81" s="307"/>
      <c r="N81" s="308"/>
      <c r="O81" s="311"/>
      <c r="P81" s="312"/>
      <c r="Q81" s="307"/>
      <c r="R81" s="308"/>
      <c r="S81" s="351">
        <v>8</v>
      </c>
      <c r="T81" s="347"/>
      <c r="U81" s="307"/>
      <c r="V81" s="313"/>
      <c r="W81" s="405"/>
      <c r="X81" s="406"/>
      <c r="Y81" s="463"/>
      <c r="AC81" s="142"/>
    </row>
    <row r="82" spans="2:29">
      <c r="B82" s="291"/>
      <c r="C82" s="447"/>
      <c r="D82" s="70" t="s">
        <v>68</v>
      </c>
      <c r="E82" s="61" t="s">
        <v>358</v>
      </c>
      <c r="F82" s="423" t="s">
        <v>685</v>
      </c>
      <c r="G82" s="424"/>
      <c r="H82" s="206"/>
      <c r="I82" s="208"/>
      <c r="J82" s="393"/>
      <c r="K82" s="287"/>
      <c r="L82" s="284"/>
      <c r="M82" s="259"/>
      <c r="N82" s="260"/>
      <c r="O82" s="283"/>
      <c r="P82" s="284"/>
      <c r="Q82" s="259"/>
      <c r="R82" s="260"/>
      <c r="S82" s="355"/>
      <c r="T82" s="356"/>
      <c r="U82" s="259"/>
      <c r="V82" s="293"/>
      <c r="W82" s="405"/>
      <c r="X82" s="406"/>
      <c r="Y82" s="463"/>
      <c r="AC82" s="142"/>
    </row>
    <row r="83" spans="2:29">
      <c r="B83" s="291"/>
      <c r="C83" s="447"/>
      <c r="D83" s="70" t="s">
        <v>68</v>
      </c>
      <c r="E83" s="61" t="s">
        <v>358</v>
      </c>
      <c r="F83" s="423" t="s">
        <v>683</v>
      </c>
      <c r="G83" s="424"/>
      <c r="H83" s="206"/>
      <c r="I83" s="208"/>
      <c r="J83" s="393"/>
      <c r="K83" s="287"/>
      <c r="L83" s="284"/>
      <c r="M83" s="259"/>
      <c r="N83" s="260"/>
      <c r="O83" s="283"/>
      <c r="P83" s="284"/>
      <c r="Q83" s="259"/>
      <c r="R83" s="260"/>
      <c r="S83" s="355"/>
      <c r="T83" s="356"/>
      <c r="U83" s="259"/>
      <c r="V83" s="293"/>
      <c r="W83" s="405"/>
      <c r="X83" s="406"/>
      <c r="Y83" s="463"/>
      <c r="AC83" s="142"/>
    </row>
    <row r="84" spans="2:29">
      <c r="B84" s="291"/>
      <c r="C84" s="447"/>
      <c r="D84" s="70" t="s">
        <v>71</v>
      </c>
      <c r="E84" s="61" t="s">
        <v>358</v>
      </c>
      <c r="F84" s="423" t="s">
        <v>682</v>
      </c>
      <c r="G84" s="424"/>
      <c r="H84" s="206"/>
      <c r="I84" s="208"/>
      <c r="J84" s="393"/>
      <c r="K84" s="287"/>
      <c r="L84" s="284"/>
      <c r="M84" s="259"/>
      <c r="N84" s="260"/>
      <c r="O84" s="283"/>
      <c r="P84" s="284"/>
      <c r="Q84" s="259"/>
      <c r="R84" s="260"/>
      <c r="S84" s="355"/>
      <c r="T84" s="356"/>
      <c r="U84" s="259"/>
      <c r="V84" s="293"/>
      <c r="W84" s="405"/>
      <c r="X84" s="406"/>
      <c r="Y84" s="463"/>
      <c r="AC84" s="142"/>
    </row>
    <row r="85" spans="2:29" ht="18" thickBot="1">
      <c r="B85" s="291"/>
      <c r="C85" s="447"/>
      <c r="D85" s="158" t="s">
        <v>71</v>
      </c>
      <c r="E85" s="66" t="s">
        <v>358</v>
      </c>
      <c r="F85" s="276" t="s">
        <v>681</v>
      </c>
      <c r="G85" s="277"/>
      <c r="H85" s="56"/>
      <c r="I85" s="209"/>
      <c r="J85" s="399"/>
      <c r="K85" s="398"/>
      <c r="L85" s="301"/>
      <c r="M85" s="302"/>
      <c r="N85" s="304"/>
      <c r="O85" s="300"/>
      <c r="P85" s="301"/>
      <c r="Q85" s="302"/>
      <c r="R85" s="304"/>
      <c r="S85" s="357"/>
      <c r="T85" s="358"/>
      <c r="U85" s="302"/>
      <c r="V85" s="303"/>
      <c r="W85" s="405"/>
      <c r="X85" s="406"/>
      <c r="Y85" s="463"/>
      <c r="AC85" s="142"/>
    </row>
    <row r="86" spans="2:29">
      <c r="B86" s="290" t="s">
        <v>550</v>
      </c>
      <c r="C86" s="447"/>
      <c r="D86" s="64" t="s">
        <v>71</v>
      </c>
      <c r="E86" s="65" t="s">
        <v>358</v>
      </c>
      <c r="F86" s="274" t="s">
        <v>549</v>
      </c>
      <c r="G86" s="275"/>
      <c r="H86" s="205"/>
      <c r="I86" s="207"/>
      <c r="J86" s="392">
        <v>8</v>
      </c>
      <c r="K86" s="345"/>
      <c r="L86" s="312"/>
      <c r="M86" s="307"/>
      <c r="N86" s="308"/>
      <c r="O86" s="311"/>
      <c r="P86" s="312"/>
      <c r="Q86" s="307"/>
      <c r="R86" s="308"/>
      <c r="S86" s="311"/>
      <c r="T86" s="312"/>
      <c r="U86" s="349">
        <v>8</v>
      </c>
      <c r="V86" s="352"/>
      <c r="W86" s="405"/>
      <c r="X86" s="406"/>
      <c r="Y86" s="463"/>
      <c r="AC86" s="142"/>
    </row>
    <row r="87" spans="2:29">
      <c r="B87" s="291"/>
      <c r="C87" s="447"/>
      <c r="D87" s="62" t="s">
        <v>68</v>
      </c>
      <c r="E87" s="61" t="s">
        <v>358</v>
      </c>
      <c r="F87" s="423" t="s">
        <v>685</v>
      </c>
      <c r="G87" s="424"/>
      <c r="H87" s="206"/>
      <c r="I87" s="208"/>
      <c r="J87" s="393"/>
      <c r="K87" s="287"/>
      <c r="L87" s="284"/>
      <c r="M87" s="259"/>
      <c r="N87" s="260"/>
      <c r="O87" s="283"/>
      <c r="P87" s="284"/>
      <c r="Q87" s="259"/>
      <c r="R87" s="260"/>
      <c r="S87" s="283"/>
      <c r="T87" s="284"/>
      <c r="U87" s="363"/>
      <c r="V87" s="364"/>
      <c r="W87" s="405"/>
      <c r="X87" s="406"/>
      <c r="Y87" s="463"/>
      <c r="AC87" s="142"/>
    </row>
    <row r="88" spans="2:29">
      <c r="B88" s="291"/>
      <c r="C88" s="447"/>
      <c r="D88" s="62" t="s">
        <v>68</v>
      </c>
      <c r="E88" s="61" t="s">
        <v>358</v>
      </c>
      <c r="F88" s="423" t="s">
        <v>684</v>
      </c>
      <c r="G88" s="424"/>
      <c r="H88" s="206"/>
      <c r="I88" s="208"/>
      <c r="J88" s="393"/>
      <c r="K88" s="287"/>
      <c r="L88" s="284"/>
      <c r="M88" s="259"/>
      <c r="N88" s="260"/>
      <c r="O88" s="283"/>
      <c r="P88" s="284"/>
      <c r="Q88" s="259"/>
      <c r="R88" s="260"/>
      <c r="S88" s="353"/>
      <c r="T88" s="354"/>
      <c r="U88" s="363"/>
      <c r="V88" s="364"/>
      <c r="W88" s="405"/>
      <c r="X88" s="406"/>
      <c r="Y88" s="463"/>
      <c r="AC88" s="142"/>
    </row>
    <row r="89" spans="2:29">
      <c r="B89" s="291"/>
      <c r="C89" s="447"/>
      <c r="D89" s="62" t="s">
        <v>71</v>
      </c>
      <c r="E89" s="61" t="s">
        <v>358</v>
      </c>
      <c r="F89" s="423" t="s">
        <v>682</v>
      </c>
      <c r="G89" s="424"/>
      <c r="H89" s="206"/>
      <c r="I89" s="208"/>
      <c r="J89" s="393"/>
      <c r="K89" s="449"/>
      <c r="L89" s="354"/>
      <c r="M89" s="420"/>
      <c r="N89" s="421"/>
      <c r="O89" s="353"/>
      <c r="P89" s="354"/>
      <c r="Q89" s="420"/>
      <c r="R89" s="421"/>
      <c r="S89" s="355"/>
      <c r="T89" s="356"/>
      <c r="U89" s="363"/>
      <c r="V89" s="364"/>
      <c r="W89" s="405"/>
      <c r="X89" s="406"/>
      <c r="Y89" s="463"/>
      <c r="AC89" s="142"/>
    </row>
    <row r="90" spans="2:29" ht="18" thickBot="1">
      <c r="B90" s="292"/>
      <c r="C90" s="448"/>
      <c r="D90" s="67" t="s">
        <v>133</v>
      </c>
      <c r="E90" s="66" t="s">
        <v>357</v>
      </c>
      <c r="F90" s="276" t="s">
        <v>781</v>
      </c>
      <c r="G90" s="277"/>
      <c r="H90" s="56"/>
      <c r="I90" s="209"/>
      <c r="J90" s="399"/>
      <c r="K90" s="396"/>
      <c r="L90" s="358"/>
      <c r="M90" s="487"/>
      <c r="N90" s="498"/>
      <c r="O90" s="499"/>
      <c r="P90" s="500"/>
      <c r="Q90" s="500"/>
      <c r="R90" s="501"/>
      <c r="S90" s="357"/>
      <c r="T90" s="358"/>
      <c r="U90" s="487"/>
      <c r="V90" s="397"/>
      <c r="W90" s="502"/>
      <c r="X90" s="503"/>
      <c r="Y90" s="451"/>
      <c r="AC90" s="142"/>
    </row>
    <row r="91" spans="2:29" ht="18" customHeight="1">
      <c r="B91" s="432" t="s">
        <v>362</v>
      </c>
      <c r="C91" s="437"/>
      <c r="D91" s="437"/>
      <c r="E91" s="437"/>
      <c r="F91" s="437"/>
      <c r="G91" s="444"/>
      <c r="H91" s="468">
        <f>SUM(H34:H43)</f>
        <v>0</v>
      </c>
      <c r="I91" s="470">
        <f>SUM(I34:I43)</f>
        <v>0</v>
      </c>
      <c r="J91" s="430">
        <f>115</f>
        <v>115</v>
      </c>
      <c r="K91" s="432">
        <f>SUM(K34:L90)</f>
        <v>13</v>
      </c>
      <c r="L91" s="433"/>
      <c r="M91" s="436">
        <f>SUM(M34:N56)</f>
        <v>13</v>
      </c>
      <c r="N91" s="437"/>
      <c r="O91" s="440">
        <v>17</v>
      </c>
      <c r="P91" s="433"/>
      <c r="Q91" s="436">
        <v>14</v>
      </c>
      <c r="R91" s="442"/>
      <c r="S91" s="437">
        <v>28</v>
      </c>
      <c r="T91" s="433"/>
      <c r="U91" s="436">
        <v>30</v>
      </c>
      <c r="V91" s="444"/>
      <c r="W91" s="432">
        <f>SUM(W34:X90)</f>
        <v>115</v>
      </c>
      <c r="X91" s="444"/>
      <c r="Y91" s="450">
        <f>SUM(Y34:Y64)</f>
        <v>80</v>
      </c>
      <c r="AC91" s="31"/>
    </row>
    <row r="92" spans="2:29" ht="18" thickBot="1">
      <c r="B92" s="434"/>
      <c r="C92" s="439"/>
      <c r="D92" s="439"/>
      <c r="E92" s="439"/>
      <c r="F92" s="439"/>
      <c r="G92" s="445"/>
      <c r="H92" s="469"/>
      <c r="I92" s="471"/>
      <c r="J92" s="431"/>
      <c r="K92" s="434"/>
      <c r="L92" s="435"/>
      <c r="M92" s="438"/>
      <c r="N92" s="439"/>
      <c r="O92" s="441"/>
      <c r="P92" s="435"/>
      <c r="Q92" s="438"/>
      <c r="R92" s="443"/>
      <c r="S92" s="439"/>
      <c r="T92" s="435"/>
      <c r="U92" s="438"/>
      <c r="V92" s="445"/>
      <c r="W92" s="434"/>
      <c r="X92" s="445"/>
      <c r="Y92" s="451"/>
      <c r="AC92" s="69"/>
    </row>
    <row r="93" spans="2:29" ht="16.5" customHeight="1" thickBot="1">
      <c r="B93" s="139"/>
      <c r="C93" s="140"/>
      <c r="D93" s="140"/>
      <c r="E93" s="140"/>
      <c r="F93" s="140"/>
      <c r="G93" s="141"/>
      <c r="H93" s="32">
        <f>SUM(H33,H91)</f>
        <v>47</v>
      </c>
      <c r="I93" s="33">
        <f>SUM(I33,I91)</f>
        <v>0</v>
      </c>
      <c r="J93" s="34">
        <f>SUM(J33,J91)</f>
        <v>180</v>
      </c>
      <c r="K93" s="296">
        <f>SUM(K33,K91)</f>
        <v>30</v>
      </c>
      <c r="L93" s="297"/>
      <c r="M93" s="309">
        <f>SUM(M33,M91)</f>
        <v>30</v>
      </c>
      <c r="N93" s="472"/>
      <c r="O93" s="473">
        <v>30</v>
      </c>
      <c r="P93" s="297"/>
      <c r="Q93" s="309">
        <f>SUM(Q33,Q91)</f>
        <v>30</v>
      </c>
      <c r="R93" s="472"/>
      <c r="S93" s="473">
        <f>SUM(S33,S91)</f>
        <v>30</v>
      </c>
      <c r="T93" s="297"/>
      <c r="U93" s="309">
        <f>SUM(U33,U91)</f>
        <v>30</v>
      </c>
      <c r="V93" s="452"/>
      <c r="W93" s="296">
        <f>SUM(W33,W91)</f>
        <v>180</v>
      </c>
      <c r="X93" s="452"/>
      <c r="Y93" s="11">
        <f>Y91+Y33</f>
        <v>144</v>
      </c>
    </row>
    <row r="94" spans="2:29" ht="16.5" customHeight="1">
      <c r="B94" s="143" t="s">
        <v>363</v>
      </c>
      <c r="C94" s="144"/>
      <c r="D94" s="144"/>
      <c r="E94" s="145"/>
      <c r="F94" s="454" t="s">
        <v>359</v>
      </c>
      <c r="G94" s="455"/>
      <c r="H94" s="455"/>
      <c r="I94" s="455"/>
      <c r="J94" s="456"/>
      <c r="K94" s="345">
        <v>16</v>
      </c>
      <c r="L94" s="312"/>
      <c r="M94" s="307">
        <v>16</v>
      </c>
      <c r="N94" s="308"/>
      <c r="O94" s="311">
        <v>16</v>
      </c>
      <c r="P94" s="312"/>
      <c r="Q94" s="307">
        <v>16</v>
      </c>
      <c r="R94" s="308"/>
      <c r="S94" s="311">
        <v>16</v>
      </c>
      <c r="T94" s="312"/>
      <c r="U94" s="307">
        <v>16</v>
      </c>
      <c r="V94" s="313"/>
      <c r="W94" s="457">
        <f>SUM(K94:V96)</f>
        <v>288</v>
      </c>
      <c r="X94" s="458"/>
      <c r="Y94" s="450">
        <f>Y97*16</f>
        <v>288</v>
      </c>
    </row>
    <row r="95" spans="2:29" ht="16.5" customHeight="1">
      <c r="B95" s="146"/>
      <c r="C95" s="147"/>
      <c r="D95" s="147"/>
      <c r="E95" s="148"/>
      <c r="F95" s="465" t="s">
        <v>63</v>
      </c>
      <c r="G95" s="466"/>
      <c r="H95" s="466"/>
      <c r="I95" s="466"/>
      <c r="J95" s="467"/>
      <c r="K95" s="287">
        <v>16</v>
      </c>
      <c r="L95" s="284"/>
      <c r="M95" s="259">
        <v>16</v>
      </c>
      <c r="N95" s="260"/>
      <c r="O95" s="283">
        <v>16</v>
      </c>
      <c r="P95" s="284"/>
      <c r="Q95" s="259">
        <v>16</v>
      </c>
      <c r="R95" s="260"/>
      <c r="S95" s="283">
        <v>16</v>
      </c>
      <c r="T95" s="284"/>
      <c r="U95" s="259">
        <v>16</v>
      </c>
      <c r="V95" s="293"/>
      <c r="W95" s="459"/>
      <c r="X95" s="460"/>
      <c r="Y95" s="463"/>
      <c r="AC95" s="31"/>
    </row>
    <row r="96" spans="2:29" ht="16.5" customHeight="1">
      <c r="B96" s="146"/>
      <c r="C96" s="147"/>
      <c r="D96" s="147"/>
      <c r="E96" s="148"/>
      <c r="F96" s="465" t="s">
        <v>11</v>
      </c>
      <c r="G96" s="466"/>
      <c r="H96" s="466"/>
      <c r="I96" s="466"/>
      <c r="J96" s="467"/>
      <c r="K96" s="287">
        <v>16</v>
      </c>
      <c r="L96" s="284"/>
      <c r="M96" s="259">
        <v>16</v>
      </c>
      <c r="N96" s="260"/>
      <c r="O96" s="283">
        <v>16</v>
      </c>
      <c r="P96" s="284"/>
      <c r="Q96" s="259">
        <v>16</v>
      </c>
      <c r="R96" s="260"/>
      <c r="S96" s="283">
        <v>16</v>
      </c>
      <c r="T96" s="284"/>
      <c r="U96" s="259">
        <v>16</v>
      </c>
      <c r="V96" s="293"/>
      <c r="W96" s="461"/>
      <c r="X96" s="462"/>
      <c r="Y96" s="464"/>
      <c r="AC96" s="69"/>
    </row>
    <row r="97" spans="2:29" ht="24.75" customHeight="1" thickBot="1">
      <c r="B97" s="149"/>
      <c r="C97" s="150"/>
      <c r="D97" s="150"/>
      <c r="E97" s="151"/>
      <c r="F97" s="478" t="s">
        <v>150</v>
      </c>
      <c r="G97" s="479"/>
      <c r="H97" s="479"/>
      <c r="I97" s="479"/>
      <c r="J97" s="480"/>
      <c r="K97" s="481">
        <v>3</v>
      </c>
      <c r="L97" s="482"/>
      <c r="M97" s="483">
        <v>3</v>
      </c>
      <c r="N97" s="484"/>
      <c r="O97" s="485">
        <v>3</v>
      </c>
      <c r="P97" s="482"/>
      <c r="Q97" s="483">
        <v>3</v>
      </c>
      <c r="R97" s="484"/>
      <c r="S97" s="485">
        <v>3</v>
      </c>
      <c r="T97" s="482"/>
      <c r="U97" s="483">
        <v>3</v>
      </c>
      <c r="V97" s="486"/>
      <c r="W97" s="478">
        <f>SUM(K97:V97)</f>
        <v>18</v>
      </c>
      <c r="X97" s="480"/>
      <c r="Y97" s="71">
        <v>18</v>
      </c>
      <c r="AC97" s="31"/>
    </row>
    <row r="98" spans="2:29" ht="18" thickBot="1">
      <c r="B98" s="139"/>
      <c r="C98" s="140"/>
      <c r="D98" s="140"/>
      <c r="E98" s="140"/>
      <c r="F98" s="140"/>
      <c r="G98" s="140"/>
      <c r="H98" s="140"/>
      <c r="I98" s="140"/>
      <c r="J98" s="141"/>
      <c r="K98" s="296">
        <f>SUM(K93,K97)</f>
        <v>33</v>
      </c>
      <c r="L98" s="297"/>
      <c r="M98" s="309">
        <f>SUM(M93,M97)</f>
        <v>33</v>
      </c>
      <c r="N98" s="472"/>
      <c r="O98" s="473">
        <f>SUM(O93,O97)</f>
        <v>33</v>
      </c>
      <c r="P98" s="297"/>
      <c r="Q98" s="309">
        <f>SUM(Q93,Q97)</f>
        <v>33</v>
      </c>
      <c r="R98" s="472"/>
      <c r="S98" s="473">
        <f>SUM(S93,S97)</f>
        <v>33</v>
      </c>
      <c r="T98" s="297"/>
      <c r="U98" s="309">
        <f>SUM(U93,U97)</f>
        <v>33</v>
      </c>
      <c r="V98" s="452"/>
      <c r="W98" s="296">
        <f>SUM(K98:V98)</f>
        <v>198</v>
      </c>
      <c r="X98" s="452"/>
      <c r="Y98" s="35">
        <f>W98</f>
        <v>198</v>
      </c>
      <c r="AC98" s="69"/>
    </row>
    <row r="99" spans="2:29" ht="17.25" customHeight="1" thickBot="1">
      <c r="B99" s="139"/>
      <c r="C99" s="140"/>
      <c r="D99" s="140"/>
      <c r="E99" s="140"/>
      <c r="F99" s="140"/>
      <c r="G99" s="140"/>
      <c r="H99" s="140"/>
      <c r="I99" s="140"/>
      <c r="J99" s="141"/>
      <c r="K99" s="296">
        <f>SUM(K98:N98)</f>
        <v>66</v>
      </c>
      <c r="L99" s="477"/>
      <c r="M99" s="477"/>
      <c r="N99" s="472"/>
      <c r="O99" s="473">
        <f>SUM(O98:R98)</f>
        <v>66</v>
      </c>
      <c r="P99" s="477"/>
      <c r="Q99" s="477"/>
      <c r="R99" s="472"/>
      <c r="S99" s="473">
        <f>SUM(S98:V98)</f>
        <v>66</v>
      </c>
      <c r="T99" s="477"/>
      <c r="U99" s="477"/>
      <c r="V99" s="452"/>
      <c r="W99" s="296">
        <f>SUM(K99:V99)</f>
        <v>198</v>
      </c>
      <c r="X99" s="452"/>
      <c r="Y99" s="11"/>
      <c r="AA99" s="348" t="s">
        <v>156</v>
      </c>
      <c r="AB99" s="348"/>
    </row>
    <row r="100" spans="2:29" ht="18.75" customHeight="1" thickBot="1">
      <c r="AA100" s="453"/>
      <c r="AB100" s="453"/>
    </row>
    <row r="101" spans="2:29" ht="17.25" customHeight="1" thickBot="1">
      <c r="AA101" s="413" t="b">
        <f>W93&gt;=Y93</f>
        <v>1</v>
      </c>
      <c r="AB101" s="414"/>
    </row>
    <row r="102" spans="2:29" ht="17.25" customHeight="1"/>
    <row r="103" spans="2:29" ht="17.25" customHeight="1" thickBot="1">
      <c r="AA103" s="348" t="s">
        <v>157</v>
      </c>
      <c r="AB103" s="348"/>
    </row>
    <row r="104" spans="2:29" ht="17.25" customHeight="1" thickBot="1">
      <c r="AA104" s="413" t="b">
        <f>W97&gt;=Y97</f>
        <v>1</v>
      </c>
      <c r="AB104" s="414"/>
    </row>
    <row r="105" spans="2:29" ht="17.25" customHeight="1" thickBot="1">
      <c r="AA105" s="348" t="s">
        <v>154</v>
      </c>
      <c r="AB105" s="348"/>
    </row>
    <row r="106" spans="2:29" ht="17.25" customHeight="1" thickBot="1">
      <c r="AA106" s="413" t="b">
        <f>W98&gt;=Y98</f>
        <v>1</v>
      </c>
      <c r="AB106" s="414"/>
    </row>
    <row r="107" spans="2:29" ht="17.25" customHeight="1"/>
    <row r="108" spans="2:29" ht="17.25" customHeight="1"/>
    <row r="109" spans="2:29" ht="17.25" customHeight="1"/>
    <row r="111" spans="2:29" ht="24.9" customHeight="1"/>
    <row r="112" spans="2:29" ht="24.9" customHeight="1"/>
    <row r="113" ht="32.25" customHeight="1"/>
    <row r="114" ht="24.9" customHeight="1"/>
    <row r="116" ht="16.5" customHeight="1"/>
    <row r="117" ht="17.2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244.5" customHeight="1"/>
  </sheetData>
  <mergeCells count="717">
    <mergeCell ref="W48:X53"/>
    <mergeCell ref="F57:G57"/>
    <mergeCell ref="K57:L57"/>
    <mergeCell ref="M57:N57"/>
    <mergeCell ref="O57:P57"/>
    <mergeCell ref="Q57:R57"/>
    <mergeCell ref="S57:T57"/>
    <mergeCell ref="U57:V57"/>
    <mergeCell ref="S48:T48"/>
    <mergeCell ref="U48:V48"/>
    <mergeCell ref="Q48:R48"/>
    <mergeCell ref="O48:P48"/>
    <mergeCell ref="M48:N48"/>
    <mergeCell ref="K48:L48"/>
    <mergeCell ref="F48:G48"/>
    <mergeCell ref="O54:P54"/>
    <mergeCell ref="Q54:R54"/>
    <mergeCell ref="M54:N54"/>
    <mergeCell ref="O56:P56"/>
    <mergeCell ref="Q56:R56"/>
    <mergeCell ref="M53:N53"/>
    <mergeCell ref="M50:N50"/>
    <mergeCell ref="M51:N51"/>
    <mergeCell ref="M52:N52"/>
    <mergeCell ref="C54:C58"/>
    <mergeCell ref="C72:C75"/>
    <mergeCell ref="F43:G43"/>
    <mergeCell ref="W76:X90"/>
    <mergeCell ref="Y34:Y90"/>
    <mergeCell ref="D9:D10"/>
    <mergeCell ref="X9:X10"/>
    <mergeCell ref="W54:X75"/>
    <mergeCell ref="Y9:Y16"/>
    <mergeCell ref="Y19:Y22"/>
    <mergeCell ref="W34:X35"/>
    <mergeCell ref="W36:X43"/>
    <mergeCell ref="J76:J80"/>
    <mergeCell ref="O76:P80"/>
    <mergeCell ref="Q76:R80"/>
    <mergeCell ref="J81:J85"/>
    <mergeCell ref="S81:T85"/>
    <mergeCell ref="J86:J90"/>
    <mergeCell ref="U86:V90"/>
    <mergeCell ref="X11:X12"/>
    <mergeCell ref="K58:L58"/>
    <mergeCell ref="K59:L59"/>
    <mergeCell ref="M58:N58"/>
    <mergeCell ref="F41:G41"/>
    <mergeCell ref="F42:G42"/>
    <mergeCell ref="U77:V77"/>
    <mergeCell ref="U78:V78"/>
    <mergeCell ref="U79:V79"/>
    <mergeCell ref="U80:V80"/>
    <mergeCell ref="U75:V75"/>
    <mergeCell ref="Q58:R58"/>
    <mergeCell ref="Q59:R59"/>
    <mergeCell ref="Q60:R60"/>
    <mergeCell ref="Q61:R61"/>
    <mergeCell ref="Q62:R62"/>
    <mergeCell ref="Q63:R63"/>
    <mergeCell ref="Q67:R67"/>
    <mergeCell ref="Q68:R68"/>
    <mergeCell ref="O47:P47"/>
    <mergeCell ref="O49:P49"/>
    <mergeCell ref="K79:L79"/>
    <mergeCell ref="K80:L80"/>
    <mergeCell ref="O68:P68"/>
    <mergeCell ref="O69:P69"/>
    <mergeCell ref="O70:P70"/>
    <mergeCell ref="O71:P71"/>
    <mergeCell ref="K69:L69"/>
    <mergeCell ref="K70:L70"/>
    <mergeCell ref="U81:V81"/>
    <mergeCell ref="U82:V82"/>
    <mergeCell ref="U83:V83"/>
    <mergeCell ref="U84:V84"/>
    <mergeCell ref="U85:V85"/>
    <mergeCell ref="S86:T86"/>
    <mergeCell ref="S87:T87"/>
    <mergeCell ref="S90:T90"/>
    <mergeCell ref="U58:V58"/>
    <mergeCell ref="U59:V59"/>
    <mergeCell ref="U60:V60"/>
    <mergeCell ref="U61:V61"/>
    <mergeCell ref="U62:V62"/>
    <mergeCell ref="U63:V63"/>
    <mergeCell ref="U67:V67"/>
    <mergeCell ref="U68:V68"/>
    <mergeCell ref="U69:V69"/>
    <mergeCell ref="U70:V70"/>
    <mergeCell ref="U71:V71"/>
    <mergeCell ref="U72:V72"/>
    <mergeCell ref="U73:V73"/>
    <mergeCell ref="U74:V74"/>
    <mergeCell ref="Q87:R87"/>
    <mergeCell ref="Q90:R90"/>
    <mergeCell ref="S58:T58"/>
    <mergeCell ref="S59:T59"/>
    <mergeCell ref="S60:T60"/>
    <mergeCell ref="S61:T61"/>
    <mergeCell ref="S62:T62"/>
    <mergeCell ref="S63:T63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7:T77"/>
    <mergeCell ref="S78:T78"/>
    <mergeCell ref="S79:T79"/>
    <mergeCell ref="S80:T80"/>
    <mergeCell ref="Q81:R81"/>
    <mergeCell ref="Q82:R82"/>
    <mergeCell ref="Q83:R83"/>
    <mergeCell ref="Q84:R84"/>
    <mergeCell ref="Q85:R85"/>
    <mergeCell ref="Q86:R86"/>
    <mergeCell ref="Q69:R69"/>
    <mergeCell ref="Q70:R70"/>
    <mergeCell ref="Q71:R71"/>
    <mergeCell ref="Q72:R72"/>
    <mergeCell ref="Q73:R73"/>
    <mergeCell ref="Q74:R74"/>
    <mergeCell ref="Q75:R75"/>
    <mergeCell ref="O90:P90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90:N90"/>
    <mergeCell ref="K90:L90"/>
    <mergeCell ref="K60:L60"/>
    <mergeCell ref="K61:L61"/>
    <mergeCell ref="K62:L62"/>
    <mergeCell ref="K63:L63"/>
    <mergeCell ref="M60:N60"/>
    <mergeCell ref="M61:N61"/>
    <mergeCell ref="M62:N62"/>
    <mergeCell ref="M63:N63"/>
    <mergeCell ref="M68:N68"/>
    <mergeCell ref="M69:N69"/>
    <mergeCell ref="M70:N70"/>
    <mergeCell ref="M71:N71"/>
    <mergeCell ref="M72:N72"/>
    <mergeCell ref="M73:N73"/>
    <mergeCell ref="M74:N74"/>
    <mergeCell ref="M75:N75"/>
    <mergeCell ref="K83:L83"/>
    <mergeCell ref="K84:L84"/>
    <mergeCell ref="K85:L85"/>
    <mergeCell ref="K86:L86"/>
    <mergeCell ref="K77:L77"/>
    <mergeCell ref="K78:L78"/>
    <mergeCell ref="K68:L68"/>
    <mergeCell ref="F60:G60"/>
    <mergeCell ref="F61:G61"/>
    <mergeCell ref="F58:G58"/>
    <mergeCell ref="F59:G59"/>
    <mergeCell ref="K47:L47"/>
    <mergeCell ref="K49:L49"/>
    <mergeCell ref="K50:L50"/>
    <mergeCell ref="K51:L51"/>
    <mergeCell ref="K52:L52"/>
    <mergeCell ref="H59:H63"/>
    <mergeCell ref="F47:G47"/>
    <mergeCell ref="K53:L53"/>
    <mergeCell ref="F54:G54"/>
    <mergeCell ref="K54:L54"/>
    <mergeCell ref="F49:G49"/>
    <mergeCell ref="F50:G50"/>
    <mergeCell ref="F51:G51"/>
    <mergeCell ref="F52:G52"/>
    <mergeCell ref="F53:G53"/>
    <mergeCell ref="B86:B90"/>
    <mergeCell ref="S45:T45"/>
    <mergeCell ref="U45:V45"/>
    <mergeCell ref="U46:V46"/>
    <mergeCell ref="U53:V53"/>
    <mergeCell ref="S46:T46"/>
    <mergeCell ref="Q45:R45"/>
    <mergeCell ref="Q46:R46"/>
    <mergeCell ref="O45:P45"/>
    <mergeCell ref="O46:P46"/>
    <mergeCell ref="M45:N45"/>
    <mergeCell ref="M46:N46"/>
    <mergeCell ref="K45:L45"/>
    <mergeCell ref="K46:L46"/>
    <mergeCell ref="S47:T47"/>
    <mergeCell ref="U47:V47"/>
    <mergeCell ref="F62:G62"/>
    <mergeCell ref="F63:G63"/>
    <mergeCell ref="O50:P50"/>
    <mergeCell ref="O51:P51"/>
    <mergeCell ref="O52:P52"/>
    <mergeCell ref="Q47:R47"/>
    <mergeCell ref="F65:G65"/>
    <mergeCell ref="C68:C71"/>
    <mergeCell ref="AB14:AD14"/>
    <mergeCell ref="AA8:AD8"/>
    <mergeCell ref="K99:N99"/>
    <mergeCell ref="O99:R99"/>
    <mergeCell ref="S99:V99"/>
    <mergeCell ref="W99:X99"/>
    <mergeCell ref="AA105:AB105"/>
    <mergeCell ref="F97:J97"/>
    <mergeCell ref="K97:L97"/>
    <mergeCell ref="M97:N97"/>
    <mergeCell ref="O97:P97"/>
    <mergeCell ref="Q97:R97"/>
    <mergeCell ref="S97:T97"/>
    <mergeCell ref="U97:V97"/>
    <mergeCell ref="W97:X97"/>
    <mergeCell ref="AA103:AB103"/>
    <mergeCell ref="S95:T95"/>
    <mergeCell ref="U95:V95"/>
    <mergeCell ref="AA101:AB101"/>
    <mergeCell ref="F96:J96"/>
    <mergeCell ref="K96:L96"/>
    <mergeCell ref="M96:N96"/>
    <mergeCell ref="K16:L16"/>
    <mergeCell ref="K93:L93"/>
    <mergeCell ref="M93:N93"/>
    <mergeCell ref="O93:P93"/>
    <mergeCell ref="Q93:R93"/>
    <mergeCell ref="S93:T93"/>
    <mergeCell ref="U93:V93"/>
    <mergeCell ref="AA106:AB106"/>
    <mergeCell ref="K98:L98"/>
    <mergeCell ref="M98:N98"/>
    <mergeCell ref="O98:P98"/>
    <mergeCell ref="Q98:R98"/>
    <mergeCell ref="S98:T98"/>
    <mergeCell ref="U98:V98"/>
    <mergeCell ref="W98:X98"/>
    <mergeCell ref="AA104:AB104"/>
    <mergeCell ref="W91:X92"/>
    <mergeCell ref="Y91:Y92"/>
    <mergeCell ref="W93:X93"/>
    <mergeCell ref="AA99:AB100"/>
    <mergeCell ref="F94:J94"/>
    <mergeCell ref="K94:L94"/>
    <mergeCell ref="M94:N94"/>
    <mergeCell ref="O94:P94"/>
    <mergeCell ref="Q94:R94"/>
    <mergeCell ref="S94:T94"/>
    <mergeCell ref="U94:V94"/>
    <mergeCell ref="W94:X96"/>
    <mergeCell ref="Y94:Y96"/>
    <mergeCell ref="F95:J95"/>
    <mergeCell ref="K95:L95"/>
    <mergeCell ref="M95:N95"/>
    <mergeCell ref="O95:P95"/>
    <mergeCell ref="Q95:R95"/>
    <mergeCell ref="O96:P96"/>
    <mergeCell ref="Q96:R96"/>
    <mergeCell ref="S96:T96"/>
    <mergeCell ref="U96:V96"/>
    <mergeCell ref="H91:H92"/>
    <mergeCell ref="I91:I92"/>
    <mergeCell ref="J91:J92"/>
    <mergeCell ref="K91:L92"/>
    <mergeCell ref="M91:N92"/>
    <mergeCell ref="O91:P92"/>
    <mergeCell ref="Q91:R92"/>
    <mergeCell ref="S91:T92"/>
    <mergeCell ref="U91:V92"/>
    <mergeCell ref="B91:G92"/>
    <mergeCell ref="U76:V76"/>
    <mergeCell ref="S89:T89"/>
    <mergeCell ref="F90:G90"/>
    <mergeCell ref="F79:G79"/>
    <mergeCell ref="F80:G80"/>
    <mergeCell ref="C76:C90"/>
    <mergeCell ref="F88:G88"/>
    <mergeCell ref="K88:L88"/>
    <mergeCell ref="F89:G89"/>
    <mergeCell ref="K89:L89"/>
    <mergeCell ref="F86:G86"/>
    <mergeCell ref="F87:G87"/>
    <mergeCell ref="B76:B80"/>
    <mergeCell ref="B81:B85"/>
    <mergeCell ref="F77:G77"/>
    <mergeCell ref="F78:G78"/>
    <mergeCell ref="K71:L71"/>
    <mergeCell ref="K55:L55"/>
    <mergeCell ref="M55:N55"/>
    <mergeCell ref="F56:G56"/>
    <mergeCell ref="K56:L56"/>
    <mergeCell ref="M56:N56"/>
    <mergeCell ref="K75:L75"/>
    <mergeCell ref="F68:G68"/>
    <mergeCell ref="F69:G69"/>
    <mergeCell ref="F70:G70"/>
    <mergeCell ref="F71:G71"/>
    <mergeCell ref="F72:G72"/>
    <mergeCell ref="F73:G73"/>
    <mergeCell ref="F74:G74"/>
    <mergeCell ref="F75:G75"/>
    <mergeCell ref="K64:L64"/>
    <mergeCell ref="M64:N64"/>
    <mergeCell ref="K65:L65"/>
    <mergeCell ref="F66:G66"/>
    <mergeCell ref="K72:L72"/>
    <mergeCell ref="H54:H58"/>
    <mergeCell ref="M67:N67"/>
    <mergeCell ref="K66:L66"/>
    <mergeCell ref="M59:N59"/>
    <mergeCell ref="F76:G76"/>
    <mergeCell ref="K76:L76"/>
    <mergeCell ref="M65:N65"/>
    <mergeCell ref="Q65:R65"/>
    <mergeCell ref="M89:N89"/>
    <mergeCell ref="O89:P89"/>
    <mergeCell ref="Q89:R89"/>
    <mergeCell ref="M66:N66"/>
    <mergeCell ref="O66:P66"/>
    <mergeCell ref="Q66:R66"/>
    <mergeCell ref="K73:L73"/>
    <mergeCell ref="K74:L74"/>
    <mergeCell ref="F81:G81"/>
    <mergeCell ref="F82:G82"/>
    <mergeCell ref="F83:G83"/>
    <mergeCell ref="F84:G84"/>
    <mergeCell ref="F85:G85"/>
    <mergeCell ref="K81:L81"/>
    <mergeCell ref="K82:L82"/>
    <mergeCell ref="K87:L87"/>
    <mergeCell ref="O86:P86"/>
    <mergeCell ref="O87:P87"/>
    <mergeCell ref="H64:H67"/>
    <mergeCell ref="K67:L67"/>
    <mergeCell ref="O58:P58"/>
    <mergeCell ref="O59:P59"/>
    <mergeCell ref="O60:P60"/>
    <mergeCell ref="O61:P61"/>
    <mergeCell ref="O62:P62"/>
    <mergeCell ref="O63:P63"/>
    <mergeCell ref="O67:P67"/>
    <mergeCell ref="Q49:R49"/>
    <mergeCell ref="Q50:R50"/>
    <mergeCell ref="Q51:R51"/>
    <mergeCell ref="Q52:R52"/>
    <mergeCell ref="O53:P53"/>
    <mergeCell ref="Q53:R53"/>
    <mergeCell ref="M47:N47"/>
    <mergeCell ref="M49:N49"/>
    <mergeCell ref="K43:L43"/>
    <mergeCell ref="M43:N43"/>
    <mergeCell ref="F44:G44"/>
    <mergeCell ref="K44:L44"/>
    <mergeCell ref="M44:N44"/>
    <mergeCell ref="K33:L33"/>
    <mergeCell ref="AA36:AB36"/>
    <mergeCell ref="F34:G34"/>
    <mergeCell ref="K34:L34"/>
    <mergeCell ref="F36:G36"/>
    <mergeCell ref="K36:L36"/>
    <mergeCell ref="F37:G37"/>
    <mergeCell ref="K37:L37"/>
    <mergeCell ref="F38:G38"/>
    <mergeCell ref="K38:L38"/>
    <mergeCell ref="O36:P36"/>
    <mergeCell ref="S36:T36"/>
    <mergeCell ref="O35:P35"/>
    <mergeCell ref="M35:N35"/>
    <mergeCell ref="K35:L35"/>
    <mergeCell ref="O44:P44"/>
    <mergeCell ref="Q44:R44"/>
    <mergeCell ref="U44:V44"/>
    <mergeCell ref="W44:X47"/>
    <mergeCell ref="D28:D29"/>
    <mergeCell ref="F28:G28"/>
    <mergeCell ref="K28:L28"/>
    <mergeCell ref="W28:X29"/>
    <mergeCell ref="Y28:Y29"/>
    <mergeCell ref="F29:G29"/>
    <mergeCell ref="K29:L29"/>
    <mergeCell ref="D30:D32"/>
    <mergeCell ref="F30:G30"/>
    <mergeCell ref="K30:L30"/>
    <mergeCell ref="W30:X32"/>
    <mergeCell ref="Y30:Y32"/>
    <mergeCell ref="F31:G31"/>
    <mergeCell ref="K31:L31"/>
    <mergeCell ref="F32:G32"/>
    <mergeCell ref="K32:L32"/>
    <mergeCell ref="O29:P29"/>
    <mergeCell ref="Q29:R29"/>
    <mergeCell ref="S29:T29"/>
    <mergeCell ref="U29:V29"/>
    <mergeCell ref="M28:N28"/>
    <mergeCell ref="O28:P28"/>
    <mergeCell ref="Q28:R28"/>
    <mergeCell ref="S28:T28"/>
    <mergeCell ref="F22:G22"/>
    <mergeCell ref="K22:L22"/>
    <mergeCell ref="D23:D27"/>
    <mergeCell ref="F23:G23"/>
    <mergeCell ref="K23:L23"/>
    <mergeCell ref="X23:X27"/>
    <mergeCell ref="F24:G24"/>
    <mergeCell ref="K24:L24"/>
    <mergeCell ref="F25:G25"/>
    <mergeCell ref="K25:L25"/>
    <mergeCell ref="F26:G26"/>
    <mergeCell ref="K26:L26"/>
    <mergeCell ref="F27:G27"/>
    <mergeCell ref="K27:L27"/>
    <mergeCell ref="O25:P25"/>
    <mergeCell ref="Q25:R25"/>
    <mergeCell ref="S25:T25"/>
    <mergeCell ref="U25:V25"/>
    <mergeCell ref="M22:N22"/>
    <mergeCell ref="O22:P22"/>
    <mergeCell ref="Q22:R22"/>
    <mergeCell ref="S22:T22"/>
    <mergeCell ref="U22:V22"/>
    <mergeCell ref="F18:G18"/>
    <mergeCell ref="K18:L18"/>
    <mergeCell ref="F19:G19"/>
    <mergeCell ref="K19:L19"/>
    <mergeCell ref="X19:X20"/>
    <mergeCell ref="F20:G20"/>
    <mergeCell ref="K20:L20"/>
    <mergeCell ref="U18:V18"/>
    <mergeCell ref="M18:N18"/>
    <mergeCell ref="O18:P18"/>
    <mergeCell ref="S18:T18"/>
    <mergeCell ref="S21:T21"/>
    <mergeCell ref="U21:V21"/>
    <mergeCell ref="M21:N21"/>
    <mergeCell ref="O21:P21"/>
    <mergeCell ref="Q21:R21"/>
    <mergeCell ref="Q18:R18"/>
    <mergeCell ref="Q20:R20"/>
    <mergeCell ref="U19:V19"/>
    <mergeCell ref="X17:X18"/>
    <mergeCell ref="X21:X22"/>
    <mergeCell ref="K9:L9"/>
    <mergeCell ref="F10:G10"/>
    <mergeCell ref="K10:L10"/>
    <mergeCell ref="X13:X16"/>
    <mergeCell ref="F14:G14"/>
    <mergeCell ref="K14:L14"/>
    <mergeCell ref="F15:G15"/>
    <mergeCell ref="K15:L15"/>
    <mergeCell ref="F16:G16"/>
    <mergeCell ref="M16:N16"/>
    <mergeCell ref="O16:P16"/>
    <mergeCell ref="Q16:R16"/>
    <mergeCell ref="S15:T15"/>
    <mergeCell ref="U15:V15"/>
    <mergeCell ref="O9:P9"/>
    <mergeCell ref="Q9:R9"/>
    <mergeCell ref="S9:T9"/>
    <mergeCell ref="U9:V9"/>
    <mergeCell ref="M12:N12"/>
    <mergeCell ref="O12:P12"/>
    <mergeCell ref="Q12:R12"/>
    <mergeCell ref="S12:T12"/>
    <mergeCell ref="M11:N11"/>
    <mergeCell ref="Q11:R11"/>
    <mergeCell ref="S11:T11"/>
    <mergeCell ref="U11:V11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F9:G9"/>
    <mergeCell ref="F11:G11"/>
    <mergeCell ref="U43:V43"/>
    <mergeCell ref="S44:T44"/>
    <mergeCell ref="S53:T53"/>
    <mergeCell ref="S54:T54"/>
    <mergeCell ref="U54:V54"/>
    <mergeCell ref="S55:T55"/>
    <mergeCell ref="U55:V55"/>
    <mergeCell ref="O65:P65"/>
    <mergeCell ref="O64:P64"/>
    <mergeCell ref="Q64:R64"/>
    <mergeCell ref="S64:T64"/>
    <mergeCell ref="U64:V64"/>
    <mergeCell ref="O55:P55"/>
    <mergeCell ref="Q55:R55"/>
    <mergeCell ref="S56:T56"/>
    <mergeCell ref="S49:T49"/>
    <mergeCell ref="S50:T50"/>
    <mergeCell ref="S51:T51"/>
    <mergeCell ref="S52:T52"/>
    <mergeCell ref="U49:V49"/>
    <mergeCell ref="U50:V50"/>
    <mergeCell ref="U51:V51"/>
    <mergeCell ref="U52:V52"/>
    <mergeCell ref="U56:V56"/>
    <mergeCell ref="U28:V28"/>
    <mergeCell ref="S66:T66"/>
    <mergeCell ref="U66:V66"/>
    <mergeCell ref="M76:N76"/>
    <mergeCell ref="M88:N88"/>
    <mergeCell ref="O88:P88"/>
    <mergeCell ref="Q88:R88"/>
    <mergeCell ref="S88:T88"/>
    <mergeCell ref="S76:T76"/>
    <mergeCell ref="O72:P72"/>
    <mergeCell ref="O73:P73"/>
    <mergeCell ref="O74:P74"/>
    <mergeCell ref="O75:P75"/>
    <mergeCell ref="O81:P81"/>
    <mergeCell ref="O82:P82"/>
    <mergeCell ref="O83:P83"/>
    <mergeCell ref="O84:P84"/>
    <mergeCell ref="O85:P85"/>
    <mergeCell ref="S65:T65"/>
    <mergeCell ref="U65:V65"/>
    <mergeCell ref="O43:P43"/>
    <mergeCell ref="Q43:R43"/>
    <mergeCell ref="S43:T43"/>
    <mergeCell ref="U39:V39"/>
    <mergeCell ref="U24:V24"/>
    <mergeCell ref="M27:N27"/>
    <mergeCell ref="O27:P27"/>
    <mergeCell ref="Q27:R27"/>
    <mergeCell ref="S27:T27"/>
    <mergeCell ref="U27:V27"/>
    <mergeCell ref="M26:N26"/>
    <mergeCell ref="O26:P26"/>
    <mergeCell ref="Q26:R26"/>
    <mergeCell ref="S26:T26"/>
    <mergeCell ref="U26:V26"/>
    <mergeCell ref="M25:N25"/>
    <mergeCell ref="K11:L11"/>
    <mergeCell ref="D13:D16"/>
    <mergeCell ref="F13:G13"/>
    <mergeCell ref="K13:L13"/>
    <mergeCell ref="F21:G21"/>
    <mergeCell ref="K21:L21"/>
    <mergeCell ref="M20:N20"/>
    <mergeCell ref="O20:P20"/>
    <mergeCell ref="M14:N14"/>
    <mergeCell ref="O14:P14"/>
    <mergeCell ref="O11:P11"/>
    <mergeCell ref="D11:D12"/>
    <mergeCell ref="D21:D22"/>
    <mergeCell ref="Q14:R14"/>
    <mergeCell ref="F12:G12"/>
    <mergeCell ref="K12:L12"/>
    <mergeCell ref="D17:D20"/>
    <mergeCell ref="F17:G17"/>
    <mergeCell ref="K17:L17"/>
    <mergeCell ref="Y17:Y18"/>
    <mergeCell ref="AA20:AB20"/>
    <mergeCell ref="M17:N17"/>
    <mergeCell ref="O17:P17"/>
    <mergeCell ref="Q17:R17"/>
    <mergeCell ref="S17:T17"/>
    <mergeCell ref="U17:V17"/>
    <mergeCell ref="M15:N15"/>
    <mergeCell ref="O15:P15"/>
    <mergeCell ref="Q15:R15"/>
    <mergeCell ref="S16:T16"/>
    <mergeCell ref="U16:V16"/>
    <mergeCell ref="S20:T20"/>
    <mergeCell ref="U20:V20"/>
    <mergeCell ref="M19:N19"/>
    <mergeCell ref="O19:P19"/>
    <mergeCell ref="Q19:R19"/>
    <mergeCell ref="S19:T19"/>
    <mergeCell ref="S14:T14"/>
    <mergeCell ref="U14:V14"/>
    <mergeCell ref="M13:N13"/>
    <mergeCell ref="O13:P13"/>
    <mergeCell ref="Q13:R13"/>
    <mergeCell ref="S13:T13"/>
    <mergeCell ref="U13:V13"/>
    <mergeCell ref="M9:N9"/>
    <mergeCell ref="X2:Y2"/>
    <mergeCell ref="B2:U2"/>
    <mergeCell ref="V2:W2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AA2:AA5"/>
    <mergeCell ref="S42:T42"/>
    <mergeCell ref="U41:V41"/>
    <mergeCell ref="U42:V42"/>
    <mergeCell ref="M39:N39"/>
    <mergeCell ref="O39:P39"/>
    <mergeCell ref="M40:N40"/>
    <mergeCell ref="O40:P40"/>
    <mergeCell ref="Q39:R39"/>
    <mergeCell ref="S39:T39"/>
    <mergeCell ref="Q30:R30"/>
    <mergeCell ref="Q31:R31"/>
    <mergeCell ref="S30:T30"/>
    <mergeCell ref="S31:T31"/>
    <mergeCell ref="U30:V30"/>
    <mergeCell ref="U31:V31"/>
    <mergeCell ref="U12:V12"/>
    <mergeCell ref="M10:N10"/>
    <mergeCell ref="O10:P10"/>
    <mergeCell ref="S8:T8"/>
    <mergeCell ref="U8:V8"/>
    <mergeCell ref="Q10:R10"/>
    <mergeCell ref="S10:T10"/>
    <mergeCell ref="U10:V10"/>
    <mergeCell ref="Q38:R38"/>
    <mergeCell ref="S41:T41"/>
    <mergeCell ref="M41:N41"/>
    <mergeCell ref="O41:P41"/>
    <mergeCell ref="U40:V40"/>
    <mergeCell ref="M37:N37"/>
    <mergeCell ref="M38:N38"/>
    <mergeCell ref="O37:P37"/>
    <mergeCell ref="O38:P38"/>
    <mergeCell ref="S37:T37"/>
    <mergeCell ref="U37:V37"/>
    <mergeCell ref="S38:T38"/>
    <mergeCell ref="U38:V38"/>
    <mergeCell ref="Q40:R40"/>
    <mergeCell ref="S40:T40"/>
    <mergeCell ref="Y23:Y27"/>
    <mergeCell ref="M30:N30"/>
    <mergeCell ref="M31:N31"/>
    <mergeCell ref="O32:P32"/>
    <mergeCell ref="M33:N33"/>
    <mergeCell ref="O33:P33"/>
    <mergeCell ref="O31:P31"/>
    <mergeCell ref="M32:N32"/>
    <mergeCell ref="M34:N34"/>
    <mergeCell ref="O34:P34"/>
    <mergeCell ref="Q34:R34"/>
    <mergeCell ref="S34:T34"/>
    <mergeCell ref="U34:V34"/>
    <mergeCell ref="O30:P30"/>
    <mergeCell ref="M29:N29"/>
    <mergeCell ref="M23:N23"/>
    <mergeCell ref="O23:P23"/>
    <mergeCell ref="Q23:R23"/>
    <mergeCell ref="S23:T23"/>
    <mergeCell ref="U23:V23"/>
    <mergeCell ref="M24:N24"/>
    <mergeCell ref="O24:P24"/>
    <mergeCell ref="Q24:R24"/>
    <mergeCell ref="S24:T24"/>
    <mergeCell ref="U32:V32"/>
    <mergeCell ref="U33:V33"/>
    <mergeCell ref="W33:X33"/>
    <mergeCell ref="Q36:R36"/>
    <mergeCell ref="Q33:R33"/>
    <mergeCell ref="S33:T33"/>
    <mergeCell ref="S35:T35"/>
    <mergeCell ref="U35:V35"/>
    <mergeCell ref="Q35:R35"/>
    <mergeCell ref="Q32:R32"/>
    <mergeCell ref="S32:T32"/>
    <mergeCell ref="U36:V36"/>
    <mergeCell ref="D34:E35"/>
    <mergeCell ref="Q37:R37"/>
    <mergeCell ref="F39:G39"/>
    <mergeCell ref="F45:G45"/>
    <mergeCell ref="F46:G46"/>
    <mergeCell ref="B34:C53"/>
    <mergeCell ref="C59:C63"/>
    <mergeCell ref="C64:C67"/>
    <mergeCell ref="F64:G64"/>
    <mergeCell ref="F67:G67"/>
    <mergeCell ref="F35:G35"/>
    <mergeCell ref="F55:G55"/>
    <mergeCell ref="M42:N42"/>
    <mergeCell ref="O42:P42"/>
    <mergeCell ref="Q41:R41"/>
    <mergeCell ref="Q42:R42"/>
    <mergeCell ref="M36:N36"/>
    <mergeCell ref="F40:G40"/>
    <mergeCell ref="K39:L39"/>
    <mergeCell ref="K40:L40"/>
    <mergeCell ref="K41:L41"/>
    <mergeCell ref="K42:L42"/>
    <mergeCell ref="E48:E53"/>
    <mergeCell ref="B54:B75"/>
  </mergeCells>
  <phoneticPr fontId="9" type="noConversion"/>
  <conditionalFormatting sqref="AA36:AB36 AC92 AC96 AC98 AA101:AB101 AA104:AB104 AA106:AB106">
    <cfRule type="containsText" dxfId="0" priority="1" operator="containsText" text="FALSE">
      <formula>NOT(ISERROR(SEARCH("FALSE",AA36)))</formula>
    </cfRule>
  </conditionalFormatting>
  <dataValidations count="2">
    <dataValidation allowBlank="1" showDropDown="1" showInputMessage="1" showErrorMessage="1" sqref="F5:G5" xr:uid="{19439246-B3F5-4180-9CDB-41A19D34EA1E}"/>
    <dataValidation allowBlank="1" showErrorMessage="1" sqref="F60:F90 D68:D75" xr:uid="{A7F13F84-89FB-42CE-ACC8-16161BFA1D44}"/>
  </dataValidations>
  <printOptions horizontalCentered="1" verticalCentered="1"/>
  <pageMargins left="0.25" right="0.25" top="0.75" bottom="0.75" header="0.3" footer="0.3"/>
  <pageSetup paperSize="12" scale="57" orientation="portrait" cellComments="asDisplayed" r:id="rId1"/>
  <rowBreaks count="1" manualBreakCount="1">
    <brk id="97" max="16383" man="1"/>
  </rowBreaks>
  <ignoredErrors>
    <ignoredError sqref="AA101 AA104 AA106" unlockedFormula="1"/>
    <ignoredError sqref="W11" formulaRange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53"/>
  <sheetViews>
    <sheetView showGridLines="0" zoomScaleNormal="100" zoomScaleSheetLayoutView="85" workbookViewId="0">
      <pane ySplit="8" topLeftCell="A9" activePane="bottomLeft" state="frozen"/>
      <selection pane="bottomLeft" activeCell="C20" sqref="C20:C22"/>
    </sheetView>
  </sheetViews>
  <sheetFormatPr defaultRowHeight="17.399999999999999"/>
  <cols>
    <col min="1" max="1" width="3" customWidth="1"/>
    <col min="2" max="2" width="6.59765625" customWidth="1"/>
    <col min="3" max="3" width="11.69921875" customWidth="1"/>
    <col min="4" max="4" width="5.59765625" customWidth="1"/>
    <col min="5" max="5" width="18.8984375" bestFit="1" customWidth="1"/>
    <col min="6" max="6" width="19" style="1" bestFit="1" customWidth="1"/>
    <col min="7" max="7" width="9.09765625" style="1" customWidth="1"/>
    <col min="8" max="8" width="10.69921875" customWidth="1"/>
    <col min="9" max="20" width="7.69921875" bestFit="1" customWidth="1"/>
    <col min="21" max="21" width="6.59765625" bestFit="1" customWidth="1"/>
    <col min="22" max="22" width="7.09765625" customWidth="1"/>
  </cols>
  <sheetData>
    <row r="2" spans="1:34" ht="39.75" customHeight="1" thickBot="1">
      <c r="C2" s="563" t="s">
        <v>152</v>
      </c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  <c r="R2" s="563"/>
      <c r="S2" s="563"/>
      <c r="T2" s="563"/>
      <c r="U2" s="563"/>
      <c r="V2" s="563"/>
    </row>
    <row r="3" spans="1:34" ht="27" customHeight="1" thickBot="1"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564" t="s">
        <v>129</v>
      </c>
      <c r="P3" s="565"/>
      <c r="Q3" s="566"/>
      <c r="R3" s="564" t="s">
        <v>127</v>
      </c>
      <c r="S3" s="565"/>
      <c r="T3" s="566"/>
      <c r="U3" s="567" t="s">
        <v>130</v>
      </c>
      <c r="V3" s="568"/>
    </row>
    <row r="4" spans="1:34" ht="27" customHeight="1" thickBot="1"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569" t="s">
        <v>515</v>
      </c>
      <c r="P4" s="570"/>
      <c r="Q4" s="571"/>
      <c r="R4" s="572" t="s">
        <v>516</v>
      </c>
      <c r="S4" s="573"/>
      <c r="T4" s="574"/>
      <c r="U4" s="575">
        <v>2027</v>
      </c>
      <c r="V4" s="576"/>
    </row>
    <row r="5" spans="1:34" ht="24" customHeight="1" thickBot="1">
      <c r="C5" s="577"/>
      <c r="D5" s="577"/>
    </row>
    <row r="6" spans="1:34" ht="20.25" customHeight="1" thickTop="1">
      <c r="B6" s="513" t="s">
        <v>18</v>
      </c>
      <c r="C6" s="578" t="s">
        <v>13</v>
      </c>
      <c r="D6" s="581" t="s">
        <v>141</v>
      </c>
      <c r="E6" s="547" t="s">
        <v>14</v>
      </c>
      <c r="F6" s="547" t="s">
        <v>15</v>
      </c>
      <c r="G6" s="547" t="s">
        <v>142</v>
      </c>
      <c r="H6" s="547" t="s">
        <v>143</v>
      </c>
      <c r="I6" s="550" t="s">
        <v>58</v>
      </c>
      <c r="J6" s="550"/>
      <c r="K6" s="550"/>
      <c r="L6" s="550"/>
      <c r="M6" s="550" t="s">
        <v>59</v>
      </c>
      <c r="N6" s="550"/>
      <c r="O6" s="550"/>
      <c r="P6" s="550"/>
      <c r="Q6" s="550" t="s">
        <v>60</v>
      </c>
      <c r="R6" s="550"/>
      <c r="S6" s="550"/>
      <c r="T6" s="550"/>
      <c r="U6" s="558" t="s">
        <v>140</v>
      </c>
      <c r="V6" s="551" t="s">
        <v>126</v>
      </c>
      <c r="X6" s="554" t="s">
        <v>131</v>
      </c>
      <c r="Y6" s="555"/>
      <c r="Z6" s="555"/>
      <c r="AA6" s="555"/>
      <c r="AB6" s="555"/>
      <c r="AC6" s="555"/>
      <c r="AD6" s="555"/>
      <c r="AE6" s="555"/>
      <c r="AF6" s="555"/>
      <c r="AG6" s="556"/>
      <c r="AH6" s="13"/>
    </row>
    <row r="7" spans="1:34" ht="16.5" customHeight="1">
      <c r="B7" s="514"/>
      <c r="C7" s="579"/>
      <c r="D7" s="582"/>
      <c r="E7" s="548"/>
      <c r="F7" s="548"/>
      <c r="G7" s="548"/>
      <c r="H7" s="548"/>
      <c r="I7" s="557" t="s">
        <v>124</v>
      </c>
      <c r="J7" s="557"/>
      <c r="K7" s="557" t="s">
        <v>62</v>
      </c>
      <c r="L7" s="557"/>
      <c r="M7" s="557" t="s">
        <v>124</v>
      </c>
      <c r="N7" s="557"/>
      <c r="O7" s="557" t="s">
        <v>62</v>
      </c>
      <c r="P7" s="557"/>
      <c r="Q7" s="557" t="s">
        <v>124</v>
      </c>
      <c r="R7" s="557"/>
      <c r="S7" s="557" t="s">
        <v>62</v>
      </c>
      <c r="T7" s="557"/>
      <c r="U7" s="559"/>
      <c r="V7" s="552"/>
      <c r="X7" s="544" t="s">
        <v>132</v>
      </c>
      <c r="Y7" s="545"/>
      <c r="Z7" s="545"/>
      <c r="AA7" s="545"/>
      <c r="AB7" s="545"/>
      <c r="AC7" s="545"/>
      <c r="AD7" s="545"/>
      <c r="AE7" s="545"/>
      <c r="AF7" s="545"/>
      <c r="AG7" s="546"/>
      <c r="AH7" s="13"/>
    </row>
    <row r="8" spans="1:34" ht="17.25" customHeight="1" thickBot="1">
      <c r="A8" s="171"/>
      <c r="B8" s="515"/>
      <c r="C8" s="580"/>
      <c r="D8" s="583"/>
      <c r="E8" s="549"/>
      <c r="F8" s="549"/>
      <c r="G8" s="549"/>
      <c r="H8" s="549"/>
      <c r="I8" s="27" t="s">
        <v>139</v>
      </c>
      <c r="J8" s="27" t="s">
        <v>125</v>
      </c>
      <c r="K8" s="27" t="s">
        <v>139</v>
      </c>
      <c r="L8" s="27" t="s">
        <v>125</v>
      </c>
      <c r="M8" s="27" t="s">
        <v>139</v>
      </c>
      <c r="N8" s="27" t="s">
        <v>125</v>
      </c>
      <c r="O8" s="27" t="s">
        <v>139</v>
      </c>
      <c r="P8" s="27" t="s">
        <v>125</v>
      </c>
      <c r="Q8" s="27" t="s">
        <v>139</v>
      </c>
      <c r="R8" s="27" t="s">
        <v>125</v>
      </c>
      <c r="S8" s="27" t="s">
        <v>139</v>
      </c>
      <c r="T8" s="27" t="s">
        <v>125</v>
      </c>
      <c r="U8" s="560"/>
      <c r="V8" s="553"/>
      <c r="X8" s="14"/>
      <c r="Y8" s="15"/>
      <c r="Z8" s="15"/>
      <c r="AA8" s="15"/>
      <c r="AB8" s="15"/>
      <c r="AC8" s="15"/>
      <c r="AD8" s="15"/>
      <c r="AE8" s="15"/>
      <c r="AF8" s="15"/>
      <c r="AG8" s="16"/>
      <c r="AH8" s="13"/>
    </row>
    <row r="9" spans="1:34" ht="16.5" customHeight="1" thickTop="1">
      <c r="A9" s="171"/>
      <c r="B9" s="516" t="s">
        <v>12</v>
      </c>
      <c r="C9" s="534" t="s">
        <v>694</v>
      </c>
      <c r="D9" s="537">
        <v>4</v>
      </c>
      <c r="E9" s="246" t="s">
        <v>767</v>
      </c>
      <c r="F9" s="246" t="s">
        <v>702</v>
      </c>
      <c r="G9" s="177">
        <v>20</v>
      </c>
      <c r="H9" s="177">
        <v>5</v>
      </c>
      <c r="I9" s="178"/>
      <c r="J9" s="178">
        <f>I9*16</f>
        <v>0</v>
      </c>
      <c r="K9" s="178"/>
      <c r="L9" s="178">
        <f>K9*16</f>
        <v>0</v>
      </c>
      <c r="M9" s="178">
        <v>2</v>
      </c>
      <c r="N9" s="178">
        <v>32</v>
      </c>
      <c r="O9" s="178"/>
      <c r="P9" s="178">
        <f>O9*16</f>
        <v>0</v>
      </c>
      <c r="Q9" s="178"/>
      <c r="R9" s="178">
        <f>Q9*16</f>
        <v>0</v>
      </c>
      <c r="S9" s="178"/>
      <c r="T9" s="178">
        <f>S9*16</f>
        <v>0</v>
      </c>
      <c r="U9" s="179">
        <f>SUM(I9,K9,M9,O9,Q9,S9)</f>
        <v>2</v>
      </c>
      <c r="V9" s="180">
        <f>SUM(J9,L9,N9,P9,R9,T9)</f>
        <v>32</v>
      </c>
      <c r="X9" s="12"/>
      <c r="Y9" s="13"/>
      <c r="Z9" s="13"/>
      <c r="AA9" s="13"/>
      <c r="AB9" s="13"/>
      <c r="AC9" s="13"/>
      <c r="AD9" s="13"/>
      <c r="AE9" s="13"/>
      <c r="AF9" s="13"/>
      <c r="AG9" s="17"/>
      <c r="AH9" s="13"/>
    </row>
    <row r="10" spans="1:34" ht="16.5" customHeight="1">
      <c r="A10" s="171"/>
      <c r="B10" s="517"/>
      <c r="C10" s="535"/>
      <c r="D10" s="538"/>
      <c r="E10" s="247" t="s">
        <v>768</v>
      </c>
      <c r="F10" s="246" t="s">
        <v>703</v>
      </c>
      <c r="G10" s="181">
        <v>80</v>
      </c>
      <c r="H10" s="181">
        <v>5</v>
      </c>
      <c r="I10" s="182"/>
      <c r="J10" s="182">
        <f t="shared" ref="J10" si="0">I10*16</f>
        <v>0</v>
      </c>
      <c r="K10" s="182"/>
      <c r="L10" s="182">
        <f t="shared" ref="L10" si="1">K10*16</f>
        <v>0</v>
      </c>
      <c r="M10" s="182"/>
      <c r="N10" s="182">
        <f t="shared" ref="N10" si="2">M10*16</f>
        <v>0</v>
      </c>
      <c r="O10" s="182">
        <v>2</v>
      </c>
      <c r="P10" s="182">
        <v>32</v>
      </c>
      <c r="Q10" s="182"/>
      <c r="R10" s="182">
        <f t="shared" ref="R10" si="3">Q10*16</f>
        <v>0</v>
      </c>
      <c r="S10" s="182"/>
      <c r="T10" s="182">
        <f t="shared" ref="T10" si="4">S10*16</f>
        <v>0</v>
      </c>
      <c r="U10" s="183">
        <f t="shared" ref="U10" si="5">SUM(I10,K10,M10,O10,Q10,S10)</f>
        <v>2</v>
      </c>
      <c r="V10" s="184">
        <f t="shared" ref="V10" si="6">SUM(J10,L10,N10,P10,R10,T10)</f>
        <v>32</v>
      </c>
      <c r="X10" s="12"/>
      <c r="Y10" s="13"/>
      <c r="Z10" s="13"/>
      <c r="AA10" s="13"/>
      <c r="AB10" s="13"/>
      <c r="AC10" s="13"/>
      <c r="AD10" s="13"/>
      <c r="AE10" s="13"/>
      <c r="AF10" s="13"/>
      <c r="AG10" s="17"/>
      <c r="AH10" s="13"/>
    </row>
    <row r="11" spans="1:34" ht="18" thickBot="1">
      <c r="A11" s="171"/>
      <c r="B11" s="517"/>
      <c r="C11" s="536"/>
      <c r="D11" s="539"/>
      <c r="E11" s="522" t="s">
        <v>16</v>
      </c>
      <c r="F11" s="522"/>
      <c r="G11" s="193"/>
      <c r="H11" s="193"/>
      <c r="I11" s="194">
        <f>SUM(I9:I10)</f>
        <v>0</v>
      </c>
      <c r="J11" s="194">
        <f t="shared" ref="J11:V11" si="7">SUM(J9:J10)</f>
        <v>0</v>
      </c>
      <c r="K11" s="194">
        <f t="shared" si="7"/>
        <v>0</v>
      </c>
      <c r="L11" s="194">
        <f t="shared" si="7"/>
        <v>0</v>
      </c>
      <c r="M11" s="194">
        <f t="shared" si="7"/>
        <v>2</v>
      </c>
      <c r="N11" s="194">
        <f t="shared" si="7"/>
        <v>32</v>
      </c>
      <c r="O11" s="194">
        <f t="shared" si="7"/>
        <v>2</v>
      </c>
      <c r="P11" s="194">
        <f t="shared" si="7"/>
        <v>32</v>
      </c>
      <c r="Q11" s="194">
        <f t="shared" si="7"/>
        <v>0</v>
      </c>
      <c r="R11" s="194">
        <f t="shared" si="7"/>
        <v>0</v>
      </c>
      <c r="S11" s="194">
        <f t="shared" si="7"/>
        <v>0</v>
      </c>
      <c r="T11" s="194">
        <f t="shared" si="7"/>
        <v>0</v>
      </c>
      <c r="U11" s="194">
        <f t="shared" si="7"/>
        <v>4</v>
      </c>
      <c r="V11" s="194">
        <f t="shared" si="7"/>
        <v>64</v>
      </c>
    </row>
    <row r="12" spans="1:34">
      <c r="A12" s="171"/>
      <c r="B12" s="517"/>
      <c r="C12" s="528" t="s">
        <v>533</v>
      </c>
      <c r="D12" s="531">
        <v>4</v>
      </c>
      <c r="E12" s="253" t="s">
        <v>560</v>
      </c>
      <c r="F12" s="253" t="s">
        <v>561</v>
      </c>
      <c r="G12" s="177">
        <v>28</v>
      </c>
      <c r="H12" s="177">
        <v>2</v>
      </c>
      <c r="I12" s="178"/>
      <c r="J12" s="178"/>
      <c r="K12" s="178"/>
      <c r="L12" s="178"/>
      <c r="M12" s="178"/>
      <c r="N12" s="178"/>
      <c r="O12" s="178"/>
      <c r="P12" s="178"/>
      <c r="Q12" s="178">
        <v>1</v>
      </c>
      <c r="R12" s="178">
        <v>16</v>
      </c>
      <c r="S12" s="178"/>
      <c r="T12" s="178"/>
      <c r="U12" s="190">
        <f t="shared" ref="U12:U15" si="8">SUM(I12,K12,M12,O12,Q12,S12)</f>
        <v>1</v>
      </c>
      <c r="V12" s="185">
        <f t="shared" ref="V12:V15" si="9">SUM(J12,L12,N12,P12,R12,T12)</f>
        <v>16</v>
      </c>
    </row>
    <row r="13" spans="1:34">
      <c r="A13" s="171"/>
      <c r="B13" s="517"/>
      <c r="C13" s="561"/>
      <c r="D13" s="562"/>
      <c r="E13" s="253" t="s">
        <v>562</v>
      </c>
      <c r="F13" s="253" t="s">
        <v>563</v>
      </c>
      <c r="G13" s="186">
        <v>20</v>
      </c>
      <c r="H13" s="186">
        <v>2</v>
      </c>
      <c r="I13" s="187"/>
      <c r="J13" s="187"/>
      <c r="K13" s="187"/>
      <c r="L13" s="187"/>
      <c r="M13" s="187"/>
      <c r="N13" s="187"/>
      <c r="O13" s="187"/>
      <c r="P13" s="187"/>
      <c r="Q13" s="187">
        <v>1</v>
      </c>
      <c r="R13" s="187">
        <v>16</v>
      </c>
      <c r="S13" s="187"/>
      <c r="T13" s="182"/>
      <c r="U13" s="191">
        <f t="shared" si="8"/>
        <v>1</v>
      </c>
      <c r="V13" s="188">
        <f t="shared" si="9"/>
        <v>16</v>
      </c>
    </row>
    <row r="14" spans="1:34">
      <c r="A14" s="171"/>
      <c r="B14" s="517"/>
      <c r="C14" s="561"/>
      <c r="D14" s="562"/>
      <c r="E14" s="253" t="s">
        <v>564</v>
      </c>
      <c r="F14" s="253" t="s">
        <v>565</v>
      </c>
      <c r="G14" s="186">
        <v>28</v>
      </c>
      <c r="H14" s="186">
        <v>2</v>
      </c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>
        <v>1</v>
      </c>
      <c r="T14" s="182">
        <v>16</v>
      </c>
      <c r="U14" s="183">
        <f t="shared" si="8"/>
        <v>1</v>
      </c>
      <c r="V14" s="188">
        <f t="shared" si="9"/>
        <v>16</v>
      </c>
    </row>
    <row r="15" spans="1:34">
      <c r="A15" s="171"/>
      <c r="B15" s="517"/>
      <c r="C15" s="529"/>
      <c r="D15" s="532"/>
      <c r="E15" s="253" t="s">
        <v>566</v>
      </c>
      <c r="F15" s="253" t="s">
        <v>567</v>
      </c>
      <c r="G15" s="181">
        <v>24</v>
      </c>
      <c r="H15" s="181">
        <v>4</v>
      </c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>
        <v>1</v>
      </c>
      <c r="T15" s="182">
        <v>16</v>
      </c>
      <c r="U15" s="192">
        <f t="shared" si="8"/>
        <v>1</v>
      </c>
      <c r="V15" s="189">
        <f t="shared" si="9"/>
        <v>16</v>
      </c>
    </row>
    <row r="16" spans="1:34" ht="18" thickBot="1">
      <c r="A16" s="171"/>
      <c r="B16" s="517"/>
      <c r="C16" s="530"/>
      <c r="D16" s="533"/>
      <c r="E16" s="522" t="s">
        <v>16</v>
      </c>
      <c r="F16" s="522"/>
      <c r="G16" s="193"/>
      <c r="H16" s="193"/>
      <c r="I16" s="194">
        <f>SUM(I12:I15)</f>
        <v>0</v>
      </c>
      <c r="J16" s="194">
        <f t="shared" ref="J16:V16" si="10">SUM(J12:J15)</f>
        <v>0</v>
      </c>
      <c r="K16" s="194">
        <f t="shared" si="10"/>
        <v>0</v>
      </c>
      <c r="L16" s="194">
        <f t="shared" si="10"/>
        <v>0</v>
      </c>
      <c r="M16" s="194">
        <f t="shared" si="10"/>
        <v>0</v>
      </c>
      <c r="N16" s="194">
        <f t="shared" si="10"/>
        <v>0</v>
      </c>
      <c r="O16" s="194">
        <f t="shared" si="10"/>
        <v>0</v>
      </c>
      <c r="P16" s="194">
        <f t="shared" si="10"/>
        <v>0</v>
      </c>
      <c r="Q16" s="194">
        <f t="shared" si="10"/>
        <v>2</v>
      </c>
      <c r="R16" s="194">
        <f t="shared" si="10"/>
        <v>32</v>
      </c>
      <c r="S16" s="194">
        <f t="shared" si="10"/>
        <v>2</v>
      </c>
      <c r="T16" s="194">
        <f t="shared" si="10"/>
        <v>32</v>
      </c>
      <c r="U16" s="194">
        <f t="shared" si="10"/>
        <v>4</v>
      </c>
      <c r="V16" s="194">
        <f t="shared" si="10"/>
        <v>64</v>
      </c>
      <c r="X16" s="29"/>
    </row>
    <row r="17" spans="1:22" ht="22.8">
      <c r="A17" s="171"/>
      <c r="B17" s="517"/>
      <c r="C17" s="523" t="s">
        <v>534</v>
      </c>
      <c r="D17" s="525">
        <v>8</v>
      </c>
      <c r="E17" s="218" t="s">
        <v>687</v>
      </c>
      <c r="F17" s="186" t="s">
        <v>704</v>
      </c>
      <c r="G17" s="186">
        <v>60</v>
      </c>
      <c r="H17" s="186">
        <v>3</v>
      </c>
      <c r="I17" s="187"/>
      <c r="J17" s="187"/>
      <c r="K17" s="187"/>
      <c r="L17" s="187"/>
      <c r="M17" s="187"/>
      <c r="N17" s="187"/>
      <c r="O17" s="187"/>
      <c r="P17" s="187"/>
      <c r="Q17" s="187">
        <v>4</v>
      </c>
      <c r="R17" s="187">
        <v>64</v>
      </c>
      <c r="S17" s="187"/>
      <c r="T17" s="187"/>
      <c r="U17" s="190">
        <f t="shared" ref="U17:U18" si="11">SUM(I17,K17,M17,O17,Q17,S17)</f>
        <v>4</v>
      </c>
      <c r="V17" s="188">
        <f t="shared" ref="V17:V18" si="12">SUM(J17,L17,N17,P17,R17,T17)</f>
        <v>64</v>
      </c>
    </row>
    <row r="18" spans="1:22">
      <c r="A18" s="171"/>
      <c r="B18" s="517"/>
      <c r="C18" s="523"/>
      <c r="D18" s="526"/>
      <c r="E18" s="218" t="s">
        <v>568</v>
      </c>
      <c r="F18" s="219" t="s">
        <v>705</v>
      </c>
      <c r="G18" s="186">
        <v>30</v>
      </c>
      <c r="H18" s="186">
        <v>3</v>
      </c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>
        <v>4</v>
      </c>
      <c r="T18" s="182">
        <v>64</v>
      </c>
      <c r="U18" s="183">
        <f t="shared" si="11"/>
        <v>4</v>
      </c>
      <c r="V18" s="188">
        <f t="shared" si="12"/>
        <v>64</v>
      </c>
    </row>
    <row r="19" spans="1:22" ht="18" thickBot="1">
      <c r="A19" s="171"/>
      <c r="B19" s="517"/>
      <c r="C19" s="524"/>
      <c r="D19" s="527"/>
      <c r="E19" s="522" t="s">
        <v>16</v>
      </c>
      <c r="F19" s="522"/>
      <c r="G19" s="195"/>
      <c r="H19" s="195"/>
      <c r="I19" s="196">
        <f>SUM(I17:I18)</f>
        <v>0</v>
      </c>
      <c r="J19" s="196">
        <f t="shared" ref="J19:V19" si="13">SUM(J17:J18)</f>
        <v>0</v>
      </c>
      <c r="K19" s="196">
        <f t="shared" si="13"/>
        <v>0</v>
      </c>
      <c r="L19" s="196">
        <f t="shared" si="13"/>
        <v>0</v>
      </c>
      <c r="M19" s="196">
        <f t="shared" si="13"/>
        <v>0</v>
      </c>
      <c r="N19" s="196">
        <f t="shared" si="13"/>
        <v>0</v>
      </c>
      <c r="O19" s="196">
        <f t="shared" si="13"/>
        <v>0</v>
      </c>
      <c r="P19" s="196">
        <f t="shared" si="13"/>
        <v>0</v>
      </c>
      <c r="Q19" s="196">
        <f t="shared" si="13"/>
        <v>4</v>
      </c>
      <c r="R19" s="196">
        <f t="shared" si="13"/>
        <v>64</v>
      </c>
      <c r="S19" s="196">
        <f t="shared" si="13"/>
        <v>4</v>
      </c>
      <c r="T19" s="196">
        <f t="shared" si="13"/>
        <v>64</v>
      </c>
      <c r="U19" s="196">
        <f t="shared" si="13"/>
        <v>8</v>
      </c>
      <c r="V19" s="196">
        <f t="shared" si="13"/>
        <v>128</v>
      </c>
    </row>
    <row r="20" spans="1:22">
      <c r="A20" s="171"/>
      <c r="B20" s="517"/>
      <c r="C20" s="528" t="s">
        <v>706</v>
      </c>
      <c r="D20" s="531">
        <v>8</v>
      </c>
      <c r="E20" s="223" t="s">
        <v>709</v>
      </c>
      <c r="F20" s="224" t="s">
        <v>707</v>
      </c>
      <c r="G20" s="177">
        <v>60</v>
      </c>
      <c r="H20" s="197">
        <v>2</v>
      </c>
      <c r="I20" s="178"/>
      <c r="J20" s="178"/>
      <c r="K20" s="178"/>
      <c r="L20" s="178"/>
      <c r="M20" s="178"/>
      <c r="N20" s="178"/>
      <c r="O20" s="178"/>
      <c r="P20" s="178"/>
      <c r="Q20" s="178">
        <v>2</v>
      </c>
      <c r="R20" s="178">
        <v>32</v>
      </c>
      <c r="S20" s="178"/>
      <c r="T20" s="178"/>
      <c r="U20" s="190">
        <f t="shared" ref="U20:U21" si="14">SUM(I20,K20,M20,O20,Q20,S20)</f>
        <v>2</v>
      </c>
      <c r="V20" s="185">
        <f t="shared" ref="V20:V21" si="15">SUM(J20,L20,N20,P20,R20,T20)</f>
        <v>32</v>
      </c>
    </row>
    <row r="21" spans="1:22">
      <c r="A21" s="171"/>
      <c r="B21" s="517"/>
      <c r="C21" s="529"/>
      <c r="D21" s="532"/>
      <c r="E21" s="225" t="s">
        <v>710</v>
      </c>
      <c r="F21" s="226" t="s">
        <v>708</v>
      </c>
      <c r="G21" s="186">
        <v>50</v>
      </c>
      <c r="H21" s="186">
        <v>2</v>
      </c>
      <c r="I21" s="187"/>
      <c r="J21" s="187"/>
      <c r="K21" s="187"/>
      <c r="L21" s="187"/>
      <c r="M21" s="187"/>
      <c r="N21" s="187"/>
      <c r="O21" s="187"/>
      <c r="P21" s="187"/>
      <c r="Q21" s="187">
        <v>2</v>
      </c>
      <c r="R21" s="187">
        <v>32</v>
      </c>
      <c r="S21" s="187"/>
      <c r="T21" s="187"/>
      <c r="U21" s="183">
        <f t="shared" si="14"/>
        <v>2</v>
      </c>
      <c r="V21" s="188">
        <f t="shared" si="15"/>
        <v>32</v>
      </c>
    </row>
    <row r="22" spans="1:22" ht="18" thickBot="1">
      <c r="A22" s="171"/>
      <c r="B22" s="518"/>
      <c r="C22" s="530"/>
      <c r="D22" s="533"/>
      <c r="E22" s="522" t="s">
        <v>16</v>
      </c>
      <c r="F22" s="522"/>
      <c r="G22" s="193"/>
      <c r="H22" s="193"/>
      <c r="I22" s="194">
        <f t="shared" ref="I22:V22" si="16">SUM(I20:I21)</f>
        <v>0</v>
      </c>
      <c r="J22" s="194">
        <f t="shared" si="16"/>
        <v>0</v>
      </c>
      <c r="K22" s="194">
        <f t="shared" si="16"/>
        <v>0</v>
      </c>
      <c r="L22" s="194">
        <f t="shared" si="16"/>
        <v>0</v>
      </c>
      <c r="M22" s="194">
        <f t="shared" si="16"/>
        <v>0</v>
      </c>
      <c r="N22" s="194">
        <f t="shared" si="16"/>
        <v>0</v>
      </c>
      <c r="O22" s="194">
        <f t="shared" si="16"/>
        <v>0</v>
      </c>
      <c r="P22" s="194">
        <f t="shared" si="16"/>
        <v>0</v>
      </c>
      <c r="Q22" s="194">
        <f t="shared" si="16"/>
        <v>4</v>
      </c>
      <c r="R22" s="194">
        <f t="shared" si="16"/>
        <v>64</v>
      </c>
      <c r="S22" s="194">
        <f t="shared" si="16"/>
        <v>0</v>
      </c>
      <c r="T22" s="194">
        <f t="shared" si="16"/>
        <v>0</v>
      </c>
      <c r="U22" s="194">
        <f t="shared" si="16"/>
        <v>4</v>
      </c>
      <c r="V22" s="194">
        <f t="shared" si="16"/>
        <v>64</v>
      </c>
    </row>
    <row r="23" spans="1:22" ht="18" customHeight="1" thickTop="1">
      <c r="A23" s="171"/>
      <c r="B23" s="516" t="s">
        <v>711</v>
      </c>
      <c r="C23" s="540" t="s">
        <v>697</v>
      </c>
      <c r="D23" s="519">
        <f>U25</f>
        <v>4</v>
      </c>
      <c r="E23" s="220" t="s">
        <v>775</v>
      </c>
      <c r="F23" s="177" t="s">
        <v>714</v>
      </c>
      <c r="G23" s="177">
        <v>40</v>
      </c>
      <c r="H23" s="197">
        <v>4</v>
      </c>
      <c r="I23" s="178"/>
      <c r="J23" s="178"/>
      <c r="K23" s="178"/>
      <c r="L23" s="178"/>
      <c r="M23" s="178">
        <v>2</v>
      </c>
      <c r="N23" s="178">
        <v>32</v>
      </c>
      <c r="O23" s="178"/>
      <c r="P23" s="178"/>
      <c r="Q23" s="178"/>
      <c r="R23" s="178"/>
      <c r="S23" s="178"/>
      <c r="T23" s="178"/>
      <c r="U23" s="190">
        <f t="shared" ref="U23:U24" si="17">SUM(I23,K23,M23,O23,Q23,S23)</f>
        <v>2</v>
      </c>
      <c r="V23" s="185">
        <f t="shared" ref="V23:V24" si="18">SUM(J23,L23,N23,P23,R23,T23)</f>
        <v>32</v>
      </c>
    </row>
    <row r="24" spans="1:22">
      <c r="A24" s="171"/>
      <c r="B24" s="517"/>
      <c r="C24" s="523"/>
      <c r="D24" s="520"/>
      <c r="E24" s="221" t="s">
        <v>713</v>
      </c>
      <c r="F24" s="186" t="s">
        <v>715</v>
      </c>
      <c r="G24" s="186">
        <v>60</v>
      </c>
      <c r="H24" s="186">
        <v>5</v>
      </c>
      <c r="I24" s="187"/>
      <c r="J24" s="187"/>
      <c r="K24" s="187"/>
      <c r="L24" s="187"/>
      <c r="M24" s="187">
        <v>2</v>
      </c>
      <c r="N24" s="187">
        <v>32</v>
      </c>
      <c r="O24" s="187"/>
      <c r="P24" s="187"/>
      <c r="Q24" s="187"/>
      <c r="R24" s="187"/>
      <c r="S24" s="187"/>
      <c r="T24" s="187"/>
      <c r="U24" s="183">
        <f t="shared" si="17"/>
        <v>2</v>
      </c>
      <c r="V24" s="188">
        <f t="shared" si="18"/>
        <v>32</v>
      </c>
    </row>
    <row r="25" spans="1:22" ht="18" thickBot="1">
      <c r="A25" s="171"/>
      <c r="B25" s="517"/>
      <c r="C25" s="524"/>
      <c r="D25" s="521"/>
      <c r="E25" s="522" t="s">
        <v>16</v>
      </c>
      <c r="F25" s="522"/>
      <c r="G25" s="193"/>
      <c r="H25" s="193"/>
      <c r="I25" s="194">
        <f t="shared" ref="I25:V25" si="19">SUM(I23:I24)</f>
        <v>0</v>
      </c>
      <c r="J25" s="194">
        <f t="shared" si="19"/>
        <v>0</v>
      </c>
      <c r="K25" s="194">
        <f t="shared" si="19"/>
        <v>0</v>
      </c>
      <c r="L25" s="194">
        <f t="shared" si="19"/>
        <v>0</v>
      </c>
      <c r="M25" s="194">
        <f t="shared" si="19"/>
        <v>4</v>
      </c>
      <c r="N25" s="194">
        <f t="shared" si="19"/>
        <v>64</v>
      </c>
      <c r="O25" s="194">
        <f t="shared" si="19"/>
        <v>0</v>
      </c>
      <c r="P25" s="194">
        <f t="shared" si="19"/>
        <v>0</v>
      </c>
      <c r="Q25" s="194">
        <f t="shared" si="19"/>
        <v>0</v>
      </c>
      <c r="R25" s="194">
        <f t="shared" si="19"/>
        <v>0</v>
      </c>
      <c r="S25" s="194">
        <f t="shared" si="19"/>
        <v>0</v>
      </c>
      <c r="T25" s="194">
        <f t="shared" si="19"/>
        <v>0</v>
      </c>
      <c r="U25" s="194">
        <f t="shared" si="19"/>
        <v>4</v>
      </c>
      <c r="V25" s="194">
        <f t="shared" si="19"/>
        <v>64</v>
      </c>
    </row>
    <row r="26" spans="1:22" ht="17.399999999999999" customHeight="1">
      <c r="A26" s="171"/>
      <c r="B26" s="517"/>
      <c r="C26" s="541" t="s">
        <v>698</v>
      </c>
      <c r="D26" s="519">
        <f>U30</f>
        <v>8</v>
      </c>
      <c r="E26" s="220" t="s">
        <v>712</v>
      </c>
      <c r="F26" s="177" t="s">
        <v>718</v>
      </c>
      <c r="G26" s="177">
        <v>40</v>
      </c>
      <c r="H26" s="197">
        <v>4</v>
      </c>
      <c r="I26" s="178"/>
      <c r="J26" s="178"/>
      <c r="K26" s="178"/>
      <c r="L26" s="178"/>
      <c r="M26" s="178"/>
      <c r="N26" s="178"/>
      <c r="O26" s="178">
        <v>3</v>
      </c>
      <c r="P26" s="178">
        <v>48</v>
      </c>
      <c r="Q26" s="178"/>
      <c r="R26" s="178"/>
      <c r="S26" s="178"/>
      <c r="T26" s="178"/>
      <c r="U26" s="249">
        <v>3</v>
      </c>
      <c r="V26" s="185">
        <f t="shared" ref="V26:V29" si="20">SUM(J26,L26,N26,P26,R26,T26)</f>
        <v>48</v>
      </c>
    </row>
    <row r="27" spans="1:22" ht="17.399999999999999" customHeight="1">
      <c r="A27" s="171"/>
      <c r="B27" s="517"/>
      <c r="C27" s="542"/>
      <c r="D27" s="520"/>
      <c r="E27" s="221" t="s">
        <v>716</v>
      </c>
      <c r="F27" s="186" t="s">
        <v>719</v>
      </c>
      <c r="G27" s="186">
        <v>60</v>
      </c>
      <c r="H27" s="227">
        <v>4</v>
      </c>
      <c r="I27" s="187"/>
      <c r="J27" s="187"/>
      <c r="K27" s="187"/>
      <c r="L27" s="187"/>
      <c r="M27" s="187"/>
      <c r="N27" s="187"/>
      <c r="O27" s="187">
        <v>3</v>
      </c>
      <c r="P27" s="187">
        <v>48</v>
      </c>
      <c r="Q27" s="187"/>
      <c r="R27" s="187"/>
      <c r="S27" s="187"/>
      <c r="T27" s="187"/>
      <c r="U27" s="250">
        <v>3</v>
      </c>
      <c r="V27" s="188">
        <v>48</v>
      </c>
    </row>
    <row r="28" spans="1:22" ht="17.399999999999999" customHeight="1">
      <c r="A28" s="171"/>
      <c r="B28" s="517"/>
      <c r="C28" s="542"/>
      <c r="D28" s="520"/>
      <c r="E28" s="221" t="s">
        <v>717</v>
      </c>
      <c r="F28" s="186" t="s">
        <v>720</v>
      </c>
      <c r="G28" s="186">
        <v>16</v>
      </c>
      <c r="H28" s="227">
        <v>4</v>
      </c>
      <c r="I28" s="187"/>
      <c r="J28" s="187"/>
      <c r="K28" s="187"/>
      <c r="L28" s="187"/>
      <c r="M28" s="187"/>
      <c r="N28" s="187"/>
      <c r="O28" s="187">
        <v>1</v>
      </c>
      <c r="P28" s="187">
        <v>16</v>
      </c>
      <c r="Q28" s="187"/>
      <c r="R28" s="187"/>
      <c r="S28" s="187"/>
      <c r="T28" s="187"/>
      <c r="U28" s="250">
        <v>1</v>
      </c>
      <c r="V28" s="188">
        <v>16</v>
      </c>
    </row>
    <row r="29" spans="1:22">
      <c r="A29" s="171"/>
      <c r="B29" s="517"/>
      <c r="C29" s="542"/>
      <c r="D29" s="520"/>
      <c r="E29" s="221" t="s">
        <v>769</v>
      </c>
      <c r="F29" s="186" t="s">
        <v>721</v>
      </c>
      <c r="G29" s="186">
        <v>16</v>
      </c>
      <c r="H29" s="186">
        <v>3</v>
      </c>
      <c r="I29" s="187"/>
      <c r="J29" s="187"/>
      <c r="K29" s="187"/>
      <c r="L29" s="187"/>
      <c r="M29" s="187"/>
      <c r="N29" s="187"/>
      <c r="O29" s="187">
        <v>1</v>
      </c>
      <c r="P29" s="187">
        <v>16</v>
      </c>
      <c r="Q29" s="187"/>
      <c r="R29" s="187"/>
      <c r="S29" s="187"/>
      <c r="T29" s="187"/>
      <c r="U29" s="250">
        <v>1</v>
      </c>
      <c r="V29" s="188">
        <f t="shared" si="20"/>
        <v>16</v>
      </c>
    </row>
    <row r="30" spans="1:22" ht="18" thickBot="1">
      <c r="A30" s="171"/>
      <c r="B30" s="517"/>
      <c r="C30" s="543"/>
      <c r="D30" s="521"/>
      <c r="E30" s="522" t="s">
        <v>16</v>
      </c>
      <c r="F30" s="522"/>
      <c r="G30" s="193"/>
      <c r="H30" s="193"/>
      <c r="I30" s="194">
        <f>SUM(I26:I29)</f>
        <v>0</v>
      </c>
      <c r="J30" s="194">
        <f t="shared" ref="J30:V30" si="21">SUM(J26:J29)</f>
        <v>0</v>
      </c>
      <c r="K30" s="194">
        <f t="shared" si="21"/>
        <v>0</v>
      </c>
      <c r="L30" s="194">
        <f t="shared" si="21"/>
        <v>0</v>
      </c>
      <c r="M30" s="194">
        <f t="shared" si="21"/>
        <v>0</v>
      </c>
      <c r="N30" s="194">
        <f t="shared" si="21"/>
        <v>0</v>
      </c>
      <c r="O30" s="194">
        <f t="shared" si="21"/>
        <v>8</v>
      </c>
      <c r="P30" s="194">
        <f t="shared" si="21"/>
        <v>128</v>
      </c>
      <c r="Q30" s="194">
        <f t="shared" si="21"/>
        <v>0</v>
      </c>
      <c r="R30" s="194">
        <f t="shared" si="21"/>
        <v>0</v>
      </c>
      <c r="S30" s="194">
        <f t="shared" si="21"/>
        <v>0</v>
      </c>
      <c r="T30" s="194">
        <f t="shared" si="21"/>
        <v>0</v>
      </c>
      <c r="U30" s="194">
        <f t="shared" si="21"/>
        <v>8</v>
      </c>
      <c r="V30" s="194">
        <f t="shared" si="21"/>
        <v>128</v>
      </c>
    </row>
    <row r="31" spans="1:22" ht="17.399999999999999" customHeight="1">
      <c r="A31" s="171"/>
      <c r="B31" s="517"/>
      <c r="C31" s="541" t="s">
        <v>701</v>
      </c>
      <c r="D31" s="519">
        <f>U33</f>
        <v>4</v>
      </c>
      <c r="E31" s="220" t="s">
        <v>722</v>
      </c>
      <c r="F31" s="177" t="s">
        <v>723</v>
      </c>
      <c r="G31" s="177">
        <v>30</v>
      </c>
      <c r="H31" s="197">
        <v>3</v>
      </c>
      <c r="I31" s="178"/>
      <c r="J31" s="178"/>
      <c r="K31" s="178"/>
      <c r="L31" s="178"/>
      <c r="M31" s="178"/>
      <c r="N31" s="178"/>
      <c r="O31" s="178"/>
      <c r="P31" s="178"/>
      <c r="Q31" s="178">
        <v>2</v>
      </c>
      <c r="R31" s="178">
        <v>32</v>
      </c>
      <c r="S31" s="178"/>
      <c r="T31" s="178"/>
      <c r="U31" s="190">
        <f t="shared" ref="U31:U32" si="22">SUM(I31,K31,M31,O31,Q31,S31)</f>
        <v>2</v>
      </c>
      <c r="V31" s="185">
        <f t="shared" ref="V31:V32" si="23">SUM(J31,L31,N31,P31,R31,T31)</f>
        <v>32</v>
      </c>
    </row>
    <row r="32" spans="1:22">
      <c r="A32" s="171"/>
      <c r="B32" s="517"/>
      <c r="C32" s="542"/>
      <c r="D32" s="520"/>
      <c r="E32" s="221" t="s">
        <v>724</v>
      </c>
      <c r="F32" s="186" t="s">
        <v>725</v>
      </c>
      <c r="G32" s="186">
        <v>40</v>
      </c>
      <c r="H32" s="186">
        <v>4</v>
      </c>
      <c r="I32" s="187"/>
      <c r="J32" s="187"/>
      <c r="K32" s="187"/>
      <c r="L32" s="187"/>
      <c r="M32" s="187"/>
      <c r="N32" s="187"/>
      <c r="O32" s="187"/>
      <c r="P32" s="187"/>
      <c r="Q32" s="187">
        <v>2</v>
      </c>
      <c r="R32" s="187">
        <v>32</v>
      </c>
      <c r="S32" s="187"/>
      <c r="T32" s="187"/>
      <c r="U32" s="183">
        <f t="shared" si="22"/>
        <v>2</v>
      </c>
      <c r="V32" s="188">
        <f t="shared" si="23"/>
        <v>32</v>
      </c>
    </row>
    <row r="33" spans="1:22" ht="18" thickBot="1">
      <c r="A33" s="171"/>
      <c r="B33" s="517"/>
      <c r="C33" s="543"/>
      <c r="D33" s="521"/>
      <c r="E33" s="522" t="s">
        <v>16</v>
      </c>
      <c r="F33" s="522"/>
      <c r="G33" s="193"/>
      <c r="H33" s="193"/>
      <c r="I33" s="194">
        <f ca="1">SUM(I33:T33)</f>
        <v>0</v>
      </c>
      <c r="J33" s="194"/>
      <c r="K33" s="194"/>
      <c r="L33" s="194"/>
      <c r="M33" s="194"/>
      <c r="N33" s="194"/>
      <c r="O33" s="194"/>
      <c r="P33" s="194"/>
      <c r="Q33" s="194">
        <f t="shared" ref="Q33:V33" si="24">SUM(Q31:Q32)</f>
        <v>4</v>
      </c>
      <c r="R33" s="194">
        <f t="shared" si="24"/>
        <v>64</v>
      </c>
      <c r="S33" s="194">
        <f t="shared" si="24"/>
        <v>0</v>
      </c>
      <c r="T33" s="194">
        <f t="shared" si="24"/>
        <v>0</v>
      </c>
      <c r="U33" s="194">
        <f t="shared" si="24"/>
        <v>4</v>
      </c>
      <c r="V33" s="194">
        <f t="shared" si="24"/>
        <v>64</v>
      </c>
    </row>
    <row r="34" spans="1:22" ht="17.399999999999999" customHeight="1">
      <c r="A34" s="171"/>
      <c r="B34" s="517"/>
      <c r="C34" s="541" t="s">
        <v>699</v>
      </c>
      <c r="D34" s="519">
        <f>U36</f>
        <v>4</v>
      </c>
      <c r="E34" s="228" t="s">
        <v>726</v>
      </c>
      <c r="F34" s="229" t="s">
        <v>727</v>
      </c>
      <c r="G34" s="177">
        <v>40</v>
      </c>
      <c r="H34" s="197">
        <v>4</v>
      </c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>
        <v>2</v>
      </c>
      <c r="T34" s="178">
        <v>32</v>
      </c>
      <c r="U34" s="190">
        <f t="shared" ref="U34:U35" si="25">SUM(I34,K34,M34,O34,Q34,S34)</f>
        <v>2</v>
      </c>
      <c r="V34" s="185">
        <f t="shared" ref="V34:V35" si="26">SUM(J34,L34,N34,P34,R34,T34)</f>
        <v>32</v>
      </c>
    </row>
    <row r="35" spans="1:22">
      <c r="A35" s="171"/>
      <c r="B35" s="517"/>
      <c r="C35" s="542"/>
      <c r="D35" s="520"/>
      <c r="E35" s="229" t="s">
        <v>728</v>
      </c>
      <c r="F35" s="229" t="s">
        <v>729</v>
      </c>
      <c r="G35" s="186">
        <v>40</v>
      </c>
      <c r="H35" s="186">
        <v>3</v>
      </c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>
        <v>2</v>
      </c>
      <c r="T35" s="187">
        <v>32</v>
      </c>
      <c r="U35" s="183">
        <f t="shared" si="25"/>
        <v>2</v>
      </c>
      <c r="V35" s="188">
        <f t="shared" si="26"/>
        <v>32</v>
      </c>
    </row>
    <row r="36" spans="1:22" ht="18" thickBot="1">
      <c r="A36" s="171"/>
      <c r="B36" s="518"/>
      <c r="C36" s="543"/>
      <c r="D36" s="521"/>
      <c r="E36" s="522" t="s">
        <v>16</v>
      </c>
      <c r="F36" s="522"/>
      <c r="G36" s="193"/>
      <c r="H36" s="193"/>
      <c r="I36" s="194">
        <f>SUM(I34:I35)</f>
        <v>0</v>
      </c>
      <c r="J36" s="194">
        <f t="shared" ref="J36:V36" si="27">SUM(J34:J35)</f>
        <v>0</v>
      </c>
      <c r="K36" s="194">
        <f t="shared" si="27"/>
        <v>0</v>
      </c>
      <c r="L36" s="194">
        <f t="shared" si="27"/>
        <v>0</v>
      </c>
      <c r="M36" s="194">
        <f t="shared" si="27"/>
        <v>0</v>
      </c>
      <c r="N36" s="194">
        <f t="shared" si="27"/>
        <v>0</v>
      </c>
      <c r="O36" s="194">
        <f t="shared" si="27"/>
        <v>0</v>
      </c>
      <c r="P36" s="194">
        <f t="shared" si="27"/>
        <v>0</v>
      </c>
      <c r="Q36" s="194">
        <f t="shared" si="27"/>
        <v>0</v>
      </c>
      <c r="R36" s="194">
        <f t="shared" si="27"/>
        <v>0</v>
      </c>
      <c r="S36" s="194">
        <f t="shared" si="27"/>
        <v>4</v>
      </c>
      <c r="T36" s="194">
        <f t="shared" si="27"/>
        <v>64</v>
      </c>
      <c r="U36" s="194">
        <f t="shared" si="27"/>
        <v>4</v>
      </c>
      <c r="V36" s="194">
        <f t="shared" si="27"/>
        <v>64</v>
      </c>
    </row>
    <row r="37" spans="1:22" ht="18" thickTop="1">
      <c r="A37" s="171"/>
      <c r="B37" s="516" t="s">
        <v>776</v>
      </c>
      <c r="C37" s="541" t="s">
        <v>688</v>
      </c>
      <c r="D37" s="519">
        <v>4</v>
      </c>
      <c r="E37" s="197" t="s">
        <v>778</v>
      </c>
      <c r="F37" s="233" t="s">
        <v>730</v>
      </c>
      <c r="G37" s="197">
        <v>48</v>
      </c>
      <c r="H37" s="197">
        <v>4</v>
      </c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7">
        <v>2</v>
      </c>
      <c r="T37" s="237">
        <v>32</v>
      </c>
      <c r="U37" s="251">
        <v>2</v>
      </c>
      <c r="V37" s="238">
        <v>32</v>
      </c>
    </row>
    <row r="38" spans="1:22">
      <c r="A38" s="171"/>
      <c r="B38" s="517"/>
      <c r="C38" s="542"/>
      <c r="D38" s="520"/>
      <c r="E38" s="235" t="s">
        <v>731</v>
      </c>
      <c r="F38" s="235" t="s">
        <v>569</v>
      </c>
      <c r="G38" s="248">
        <v>48</v>
      </c>
      <c r="H38" s="248">
        <v>4</v>
      </c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9">
        <v>2</v>
      </c>
      <c r="T38" s="239">
        <v>32</v>
      </c>
      <c r="U38" s="252">
        <v>2</v>
      </c>
      <c r="V38" s="240">
        <v>32</v>
      </c>
    </row>
    <row r="39" spans="1:22" ht="18" thickBot="1">
      <c r="A39" s="171"/>
      <c r="B39" s="517"/>
      <c r="C39" s="543"/>
      <c r="D39" s="521"/>
      <c r="E39" s="584" t="s">
        <v>16</v>
      </c>
      <c r="F39" s="585"/>
      <c r="G39" s="230"/>
      <c r="H39" s="230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>
        <f>SUM(S37:S38)</f>
        <v>4</v>
      </c>
      <c r="T39" s="231">
        <f>SUM(T37:T38)</f>
        <v>64</v>
      </c>
      <c r="U39" s="231">
        <f>SUM(U37:U38)</f>
        <v>4</v>
      </c>
      <c r="V39" s="232">
        <f>SUM(V37:V38)</f>
        <v>64</v>
      </c>
    </row>
    <row r="40" spans="1:22">
      <c r="A40" s="171"/>
      <c r="B40" s="517"/>
      <c r="C40" s="540" t="s">
        <v>683</v>
      </c>
      <c r="D40" s="519">
        <f>U44</f>
        <v>8</v>
      </c>
      <c r="E40" s="220" t="s">
        <v>618</v>
      </c>
      <c r="F40" s="177" t="s">
        <v>574</v>
      </c>
      <c r="G40" s="177">
        <v>20</v>
      </c>
      <c r="H40" s="197">
        <v>2</v>
      </c>
      <c r="I40" s="178"/>
      <c r="J40" s="178"/>
      <c r="K40" s="178"/>
      <c r="L40" s="178"/>
      <c r="M40" s="178">
        <v>1</v>
      </c>
      <c r="N40" s="178">
        <v>16</v>
      </c>
      <c r="O40" s="178"/>
      <c r="P40" s="178"/>
      <c r="Q40" s="178"/>
      <c r="R40" s="178"/>
      <c r="S40" s="178"/>
      <c r="T40" s="178"/>
      <c r="U40" s="190">
        <f t="shared" ref="U40:U43" si="28">SUM(I40,K40,M40,O40,Q40,S40)</f>
        <v>1</v>
      </c>
      <c r="V40" s="185">
        <f t="shared" ref="V40:V43" si="29">SUM(J40,L40,N40,P40,R40,T40)</f>
        <v>16</v>
      </c>
    </row>
    <row r="41" spans="1:22">
      <c r="A41" s="171"/>
      <c r="B41" s="517"/>
      <c r="C41" s="523"/>
      <c r="D41" s="520"/>
      <c r="E41" s="221" t="s">
        <v>571</v>
      </c>
      <c r="F41" s="186" t="s">
        <v>575</v>
      </c>
      <c r="G41" s="186">
        <v>48</v>
      </c>
      <c r="H41" s="186">
        <v>3</v>
      </c>
      <c r="I41" s="187"/>
      <c r="J41" s="187"/>
      <c r="K41" s="187"/>
      <c r="L41" s="187"/>
      <c r="M41" s="187">
        <v>2</v>
      </c>
      <c r="N41" s="187">
        <v>32</v>
      </c>
      <c r="O41" s="187"/>
      <c r="P41" s="187"/>
      <c r="Q41" s="187"/>
      <c r="R41" s="187"/>
      <c r="S41" s="187"/>
      <c r="T41" s="187"/>
      <c r="U41" s="183">
        <f t="shared" si="28"/>
        <v>2</v>
      </c>
      <c r="V41" s="188">
        <f t="shared" si="29"/>
        <v>32</v>
      </c>
    </row>
    <row r="42" spans="1:22">
      <c r="A42" s="171"/>
      <c r="B42" s="517"/>
      <c r="C42" s="523"/>
      <c r="D42" s="520"/>
      <c r="E42" s="217" t="s">
        <v>572</v>
      </c>
      <c r="F42" s="181" t="s">
        <v>576</v>
      </c>
      <c r="G42" s="181">
        <v>20</v>
      </c>
      <c r="H42" s="181">
        <v>3</v>
      </c>
      <c r="I42" s="182"/>
      <c r="J42" s="182"/>
      <c r="K42" s="182"/>
      <c r="L42" s="182"/>
      <c r="M42" s="182">
        <v>1</v>
      </c>
      <c r="N42" s="182">
        <v>16</v>
      </c>
      <c r="O42" s="182"/>
      <c r="P42" s="182"/>
      <c r="Q42" s="182"/>
      <c r="R42" s="182"/>
      <c r="S42" s="182"/>
      <c r="T42" s="182"/>
      <c r="U42" s="183">
        <f t="shared" si="28"/>
        <v>1</v>
      </c>
      <c r="V42" s="189">
        <f t="shared" si="29"/>
        <v>16</v>
      </c>
    </row>
    <row r="43" spans="1:22">
      <c r="A43" s="171"/>
      <c r="B43" s="517"/>
      <c r="C43" s="523"/>
      <c r="D43" s="520"/>
      <c r="E43" s="217" t="s">
        <v>573</v>
      </c>
      <c r="F43" s="181" t="s">
        <v>577</v>
      </c>
      <c r="G43" s="181">
        <v>70</v>
      </c>
      <c r="H43" s="181">
        <v>4</v>
      </c>
      <c r="I43" s="182"/>
      <c r="J43" s="182"/>
      <c r="K43" s="182"/>
      <c r="L43" s="182"/>
      <c r="M43" s="182">
        <v>4</v>
      </c>
      <c r="N43" s="182">
        <v>64</v>
      </c>
      <c r="O43" s="182"/>
      <c r="P43" s="182"/>
      <c r="Q43" s="182"/>
      <c r="R43" s="182"/>
      <c r="S43" s="182"/>
      <c r="T43" s="182"/>
      <c r="U43" s="192">
        <f t="shared" si="28"/>
        <v>4</v>
      </c>
      <c r="V43" s="189">
        <f t="shared" si="29"/>
        <v>64</v>
      </c>
    </row>
    <row r="44" spans="1:22" ht="18" thickBot="1">
      <c r="A44" s="171"/>
      <c r="B44" s="517"/>
      <c r="C44" s="524"/>
      <c r="D44" s="521"/>
      <c r="E44" s="522" t="s">
        <v>16</v>
      </c>
      <c r="F44" s="522"/>
      <c r="G44" s="193"/>
      <c r="H44" s="193"/>
      <c r="I44" s="194">
        <f>SUM(I40:I43)</f>
        <v>0</v>
      </c>
      <c r="J44" s="194">
        <f t="shared" ref="J44:V44" si="30">SUM(J40:J43)</f>
        <v>0</v>
      </c>
      <c r="K44" s="194">
        <f t="shared" si="30"/>
        <v>0</v>
      </c>
      <c r="L44" s="194">
        <f t="shared" si="30"/>
        <v>0</v>
      </c>
      <c r="M44" s="194">
        <f t="shared" si="30"/>
        <v>8</v>
      </c>
      <c r="N44" s="194">
        <f t="shared" si="30"/>
        <v>128</v>
      </c>
      <c r="O44" s="194">
        <f t="shared" si="30"/>
        <v>0</v>
      </c>
      <c r="P44" s="194">
        <f t="shared" si="30"/>
        <v>0</v>
      </c>
      <c r="Q44" s="194">
        <f t="shared" si="30"/>
        <v>0</v>
      </c>
      <c r="R44" s="194">
        <f t="shared" si="30"/>
        <v>0</v>
      </c>
      <c r="S44" s="194">
        <f t="shared" si="30"/>
        <v>0</v>
      </c>
      <c r="T44" s="194">
        <f t="shared" si="30"/>
        <v>0</v>
      </c>
      <c r="U44" s="194">
        <f t="shared" si="30"/>
        <v>8</v>
      </c>
      <c r="V44" s="194">
        <f t="shared" si="30"/>
        <v>128</v>
      </c>
    </row>
    <row r="45" spans="1:22" ht="17.399999999999999" customHeight="1">
      <c r="A45" s="171"/>
      <c r="B45" s="517"/>
      <c r="C45" s="541" t="s">
        <v>578</v>
      </c>
      <c r="D45" s="519">
        <f>U47</f>
        <v>4</v>
      </c>
      <c r="E45" s="220" t="s">
        <v>579</v>
      </c>
      <c r="F45" s="177" t="s">
        <v>580</v>
      </c>
      <c r="G45" s="177">
        <v>12</v>
      </c>
      <c r="H45" s="197">
        <v>3</v>
      </c>
      <c r="I45" s="178"/>
      <c r="J45" s="178"/>
      <c r="K45" s="178"/>
      <c r="L45" s="178"/>
      <c r="M45" s="178"/>
      <c r="N45" s="178"/>
      <c r="O45" s="178">
        <v>1</v>
      </c>
      <c r="P45" s="178">
        <v>16</v>
      </c>
      <c r="Q45" s="178"/>
      <c r="R45" s="178"/>
      <c r="S45" s="178"/>
      <c r="T45" s="178"/>
      <c r="U45" s="183">
        <f t="shared" ref="U45:U46" si="31">SUM(I45,K45,M45,O45,Q45,S45)</f>
        <v>1</v>
      </c>
      <c r="V45" s="185">
        <f t="shared" ref="V45:V46" si="32">SUM(J45,L45,N45,P45,R45,T45)</f>
        <v>16</v>
      </c>
    </row>
    <row r="46" spans="1:22">
      <c r="A46" s="171"/>
      <c r="B46" s="517"/>
      <c r="C46" s="542"/>
      <c r="D46" s="520"/>
      <c r="E46" s="221" t="s">
        <v>670</v>
      </c>
      <c r="F46" s="186" t="s">
        <v>581</v>
      </c>
      <c r="G46" s="186">
        <v>70</v>
      </c>
      <c r="H46" s="186">
        <v>4</v>
      </c>
      <c r="I46" s="187"/>
      <c r="J46" s="187"/>
      <c r="K46" s="187"/>
      <c r="L46" s="187"/>
      <c r="M46" s="187"/>
      <c r="N46" s="187"/>
      <c r="O46" s="187">
        <v>3</v>
      </c>
      <c r="P46" s="187">
        <v>48</v>
      </c>
      <c r="Q46" s="187"/>
      <c r="R46" s="187"/>
      <c r="S46" s="187"/>
      <c r="T46" s="187"/>
      <c r="U46" s="183">
        <f t="shared" si="31"/>
        <v>3</v>
      </c>
      <c r="V46" s="188">
        <f t="shared" si="32"/>
        <v>48</v>
      </c>
    </row>
    <row r="47" spans="1:22" ht="18" thickBot="1">
      <c r="A47" s="171"/>
      <c r="B47" s="517"/>
      <c r="C47" s="543"/>
      <c r="D47" s="521"/>
      <c r="E47" s="522" t="s">
        <v>16</v>
      </c>
      <c r="F47" s="522"/>
      <c r="G47" s="193"/>
      <c r="H47" s="193"/>
      <c r="I47" s="194">
        <f>SUM(I45:I46)</f>
        <v>0</v>
      </c>
      <c r="J47" s="194">
        <f t="shared" ref="J47:V47" si="33">SUM(J45:J46)</f>
        <v>0</v>
      </c>
      <c r="K47" s="194">
        <f t="shared" si="33"/>
        <v>0</v>
      </c>
      <c r="L47" s="194">
        <f t="shared" si="33"/>
        <v>0</v>
      </c>
      <c r="M47" s="194">
        <f t="shared" si="33"/>
        <v>0</v>
      </c>
      <c r="N47" s="194">
        <f t="shared" si="33"/>
        <v>0</v>
      </c>
      <c r="O47" s="194">
        <f t="shared" si="33"/>
        <v>4</v>
      </c>
      <c r="P47" s="194">
        <f t="shared" si="33"/>
        <v>64</v>
      </c>
      <c r="Q47" s="194">
        <f t="shared" si="33"/>
        <v>0</v>
      </c>
      <c r="R47" s="194">
        <f t="shared" si="33"/>
        <v>0</v>
      </c>
      <c r="S47" s="194">
        <f t="shared" si="33"/>
        <v>0</v>
      </c>
      <c r="T47" s="194">
        <f t="shared" si="33"/>
        <v>0</v>
      </c>
      <c r="U47" s="194">
        <f t="shared" si="33"/>
        <v>4</v>
      </c>
      <c r="V47" s="194">
        <f t="shared" si="33"/>
        <v>64</v>
      </c>
    </row>
    <row r="48" spans="1:22" ht="17.399999999999999" customHeight="1">
      <c r="A48" s="171"/>
      <c r="B48" s="517"/>
      <c r="C48" s="541" t="s">
        <v>684</v>
      </c>
      <c r="D48" s="519">
        <f>U50</f>
        <v>4</v>
      </c>
      <c r="E48" s="220" t="s">
        <v>583</v>
      </c>
      <c r="F48" s="177" t="s">
        <v>585</v>
      </c>
      <c r="G48" s="177">
        <v>30</v>
      </c>
      <c r="H48" s="197">
        <v>4</v>
      </c>
      <c r="I48" s="178"/>
      <c r="J48" s="178"/>
      <c r="K48" s="178"/>
      <c r="L48" s="178"/>
      <c r="M48" s="178"/>
      <c r="N48" s="178"/>
      <c r="O48" s="178">
        <v>1</v>
      </c>
      <c r="P48" s="178">
        <v>16</v>
      </c>
      <c r="Q48" s="178"/>
      <c r="R48" s="178"/>
      <c r="S48" s="178"/>
      <c r="T48" s="178"/>
      <c r="U48" s="183">
        <f t="shared" ref="U48:U49" si="34">SUM(I48,K48,M48,O48,Q48,S48)</f>
        <v>1</v>
      </c>
      <c r="V48" s="185">
        <f t="shared" ref="V48:V49" si="35">SUM(J48,L48,N48,P48,R48,T48)</f>
        <v>16</v>
      </c>
    </row>
    <row r="49" spans="1:22">
      <c r="A49" s="171"/>
      <c r="B49" s="517"/>
      <c r="C49" s="542"/>
      <c r="D49" s="520"/>
      <c r="E49" s="221" t="s">
        <v>584</v>
      </c>
      <c r="F49" s="186" t="s">
        <v>586</v>
      </c>
      <c r="G49" s="186">
        <v>70</v>
      </c>
      <c r="H49" s="186">
        <v>4</v>
      </c>
      <c r="I49" s="187"/>
      <c r="J49" s="187"/>
      <c r="K49" s="187"/>
      <c r="L49" s="187"/>
      <c r="M49" s="187"/>
      <c r="N49" s="187"/>
      <c r="O49" s="187">
        <v>3</v>
      </c>
      <c r="P49" s="187">
        <v>48</v>
      </c>
      <c r="Q49" s="187"/>
      <c r="R49" s="187"/>
      <c r="S49" s="187"/>
      <c r="T49" s="187"/>
      <c r="U49" s="183">
        <f t="shared" si="34"/>
        <v>3</v>
      </c>
      <c r="V49" s="188">
        <f t="shared" si="35"/>
        <v>48</v>
      </c>
    </row>
    <row r="50" spans="1:22" ht="18" thickBot="1">
      <c r="A50" s="171"/>
      <c r="B50" s="518"/>
      <c r="C50" s="543"/>
      <c r="D50" s="521"/>
      <c r="E50" s="522" t="s">
        <v>16</v>
      </c>
      <c r="F50" s="522"/>
      <c r="G50" s="193"/>
      <c r="H50" s="193"/>
      <c r="I50" s="194">
        <f>SUM(I48:I49)</f>
        <v>0</v>
      </c>
      <c r="J50" s="194">
        <f t="shared" ref="J50:V50" si="36">SUM(J48:J49)</f>
        <v>0</v>
      </c>
      <c r="K50" s="194">
        <f t="shared" si="36"/>
        <v>0</v>
      </c>
      <c r="L50" s="194">
        <f t="shared" si="36"/>
        <v>0</v>
      </c>
      <c r="M50" s="194">
        <f t="shared" si="36"/>
        <v>0</v>
      </c>
      <c r="N50" s="194">
        <f t="shared" si="36"/>
        <v>0</v>
      </c>
      <c r="O50" s="194">
        <f t="shared" si="36"/>
        <v>4</v>
      </c>
      <c r="P50" s="194">
        <f t="shared" si="36"/>
        <v>64</v>
      </c>
      <c r="Q50" s="194">
        <f t="shared" si="36"/>
        <v>0</v>
      </c>
      <c r="R50" s="194">
        <f t="shared" si="36"/>
        <v>0</v>
      </c>
      <c r="S50" s="194">
        <f t="shared" si="36"/>
        <v>0</v>
      </c>
      <c r="T50" s="194">
        <f t="shared" si="36"/>
        <v>0</v>
      </c>
      <c r="U50" s="194">
        <f t="shared" si="36"/>
        <v>4</v>
      </c>
      <c r="V50" s="194">
        <f t="shared" si="36"/>
        <v>64</v>
      </c>
    </row>
    <row r="51" spans="1:22" ht="18" thickTop="1">
      <c r="A51" s="171"/>
      <c r="B51" s="516" t="s">
        <v>689</v>
      </c>
      <c r="C51" s="541" t="s">
        <v>688</v>
      </c>
      <c r="D51" s="519">
        <v>4</v>
      </c>
      <c r="E51" s="220" t="s">
        <v>589</v>
      </c>
      <c r="F51" s="177" t="s">
        <v>592</v>
      </c>
      <c r="G51" s="177">
        <v>40</v>
      </c>
      <c r="H51" s="197">
        <v>3</v>
      </c>
      <c r="I51" s="178"/>
      <c r="J51" s="178"/>
      <c r="K51" s="178"/>
      <c r="L51" s="178"/>
      <c r="M51" s="178"/>
      <c r="N51" s="178"/>
      <c r="O51" s="178"/>
      <c r="P51" s="178"/>
      <c r="Q51" s="178">
        <v>2</v>
      </c>
      <c r="R51" s="178">
        <v>32</v>
      </c>
      <c r="S51" s="178"/>
      <c r="T51" s="178"/>
      <c r="U51" s="183">
        <f t="shared" ref="U51:U77" si="37">SUM(I51,K51,M51,O51,Q51,S51)</f>
        <v>2</v>
      </c>
      <c r="V51" s="185">
        <f t="shared" ref="V51:V53" si="38">SUM(J51,L51,N51,P51,R51,T51)</f>
        <v>32</v>
      </c>
    </row>
    <row r="52" spans="1:22">
      <c r="A52" s="171"/>
      <c r="B52" s="517"/>
      <c r="C52" s="542"/>
      <c r="D52" s="520"/>
      <c r="E52" s="221" t="s">
        <v>590</v>
      </c>
      <c r="F52" s="186" t="s">
        <v>593</v>
      </c>
      <c r="G52" s="186">
        <v>20</v>
      </c>
      <c r="H52" s="186">
        <v>3</v>
      </c>
      <c r="I52" s="187"/>
      <c r="J52" s="187"/>
      <c r="K52" s="187"/>
      <c r="L52" s="187"/>
      <c r="M52" s="187"/>
      <c r="N52" s="187"/>
      <c r="O52" s="187"/>
      <c r="P52" s="187"/>
      <c r="Q52" s="187">
        <v>1</v>
      </c>
      <c r="R52" s="187">
        <v>16</v>
      </c>
      <c r="S52" s="187"/>
      <c r="T52" s="187"/>
      <c r="U52" s="183">
        <f t="shared" si="37"/>
        <v>1</v>
      </c>
      <c r="V52" s="188">
        <f t="shared" si="38"/>
        <v>16</v>
      </c>
    </row>
    <row r="53" spans="1:22">
      <c r="A53" s="171"/>
      <c r="B53" s="517"/>
      <c r="C53" s="542"/>
      <c r="D53" s="520"/>
      <c r="E53" s="217" t="s">
        <v>591</v>
      </c>
      <c r="F53" s="181" t="s">
        <v>594</v>
      </c>
      <c r="G53" s="181">
        <v>20</v>
      </c>
      <c r="H53" s="181">
        <v>3</v>
      </c>
      <c r="I53" s="182"/>
      <c r="J53" s="182"/>
      <c r="K53" s="182"/>
      <c r="L53" s="182"/>
      <c r="M53" s="182"/>
      <c r="N53" s="182"/>
      <c r="O53" s="182"/>
      <c r="P53" s="182"/>
      <c r="Q53" s="182">
        <v>1</v>
      </c>
      <c r="R53" s="182">
        <v>16</v>
      </c>
      <c r="S53" s="182"/>
      <c r="T53" s="182"/>
      <c r="U53" s="183">
        <f t="shared" si="37"/>
        <v>1</v>
      </c>
      <c r="V53" s="189">
        <f t="shared" si="38"/>
        <v>16</v>
      </c>
    </row>
    <row r="54" spans="1:22" ht="18" thickBot="1">
      <c r="A54" s="171"/>
      <c r="B54" s="517"/>
      <c r="C54" s="543"/>
      <c r="D54" s="521"/>
      <c r="E54" s="522" t="s">
        <v>16</v>
      </c>
      <c r="F54" s="522"/>
      <c r="G54" s="193"/>
      <c r="H54" s="193"/>
      <c r="I54" s="194">
        <f>SUM(I51:I53)</f>
        <v>0</v>
      </c>
      <c r="J54" s="194">
        <f t="shared" ref="J54:V54" si="39">SUM(J51:J53)</f>
        <v>0</v>
      </c>
      <c r="K54" s="194">
        <f t="shared" si="39"/>
        <v>0</v>
      </c>
      <c r="L54" s="194">
        <f t="shared" si="39"/>
        <v>0</v>
      </c>
      <c r="M54" s="194">
        <f t="shared" si="39"/>
        <v>0</v>
      </c>
      <c r="N54" s="194">
        <f t="shared" si="39"/>
        <v>0</v>
      </c>
      <c r="O54" s="194">
        <f t="shared" si="39"/>
        <v>0</v>
      </c>
      <c r="P54" s="194">
        <f t="shared" si="39"/>
        <v>0</v>
      </c>
      <c r="Q54" s="194">
        <f t="shared" si="39"/>
        <v>4</v>
      </c>
      <c r="R54" s="194">
        <f t="shared" si="39"/>
        <v>64</v>
      </c>
      <c r="S54" s="194">
        <f t="shared" si="39"/>
        <v>0</v>
      </c>
      <c r="T54" s="194">
        <f t="shared" si="39"/>
        <v>0</v>
      </c>
      <c r="U54" s="194">
        <f t="shared" si="39"/>
        <v>4</v>
      </c>
      <c r="V54" s="194">
        <f t="shared" si="39"/>
        <v>64</v>
      </c>
    </row>
    <row r="55" spans="1:22" ht="17.399999999999999" customHeight="1">
      <c r="A55" s="171"/>
      <c r="B55" s="517"/>
      <c r="C55" s="541" t="s">
        <v>587</v>
      </c>
      <c r="D55" s="519">
        <f>U57</f>
        <v>4</v>
      </c>
      <c r="E55" s="220" t="s">
        <v>595</v>
      </c>
      <c r="F55" s="177" t="s">
        <v>597</v>
      </c>
      <c r="G55" s="177">
        <v>50</v>
      </c>
      <c r="H55" s="197">
        <v>3</v>
      </c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>
        <v>2</v>
      </c>
      <c r="T55" s="178">
        <v>32</v>
      </c>
      <c r="U55" s="183">
        <f t="shared" si="37"/>
        <v>2</v>
      </c>
      <c r="V55" s="185">
        <f t="shared" ref="V55:V56" si="40">SUM(J55,L55,N55,P55,R55,T55)</f>
        <v>32</v>
      </c>
    </row>
    <row r="56" spans="1:22">
      <c r="A56" s="171"/>
      <c r="B56" s="517"/>
      <c r="C56" s="542"/>
      <c r="D56" s="520"/>
      <c r="E56" s="221" t="s">
        <v>596</v>
      </c>
      <c r="F56" s="186" t="s">
        <v>598</v>
      </c>
      <c r="G56" s="186">
        <v>50</v>
      </c>
      <c r="H56" s="186">
        <v>2</v>
      </c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>
        <v>2</v>
      </c>
      <c r="T56" s="187">
        <v>32</v>
      </c>
      <c r="U56" s="183">
        <f t="shared" si="37"/>
        <v>2</v>
      </c>
      <c r="V56" s="188">
        <f t="shared" si="40"/>
        <v>32</v>
      </c>
    </row>
    <row r="57" spans="1:22" ht="18" thickBot="1">
      <c r="A57" s="171"/>
      <c r="B57" s="517"/>
      <c r="C57" s="543"/>
      <c r="D57" s="521"/>
      <c r="E57" s="522" t="s">
        <v>16</v>
      </c>
      <c r="F57" s="522"/>
      <c r="G57" s="193"/>
      <c r="H57" s="193"/>
      <c r="I57" s="194">
        <f>SUM(I55:I56)</f>
        <v>0</v>
      </c>
      <c r="J57" s="194">
        <f t="shared" ref="J57:V57" si="41">SUM(J55:J56)</f>
        <v>0</v>
      </c>
      <c r="K57" s="194">
        <f t="shared" si="41"/>
        <v>0</v>
      </c>
      <c r="L57" s="194">
        <f t="shared" si="41"/>
        <v>0</v>
      </c>
      <c r="M57" s="194">
        <f t="shared" si="41"/>
        <v>0</v>
      </c>
      <c r="N57" s="194">
        <f t="shared" si="41"/>
        <v>0</v>
      </c>
      <c r="O57" s="194">
        <f t="shared" si="41"/>
        <v>0</v>
      </c>
      <c r="P57" s="194">
        <f t="shared" si="41"/>
        <v>0</v>
      </c>
      <c r="Q57" s="194">
        <f t="shared" si="41"/>
        <v>0</v>
      </c>
      <c r="R57" s="194">
        <f t="shared" si="41"/>
        <v>0</v>
      </c>
      <c r="S57" s="194">
        <f t="shared" si="41"/>
        <v>4</v>
      </c>
      <c r="T57" s="194">
        <f t="shared" si="41"/>
        <v>64</v>
      </c>
      <c r="U57" s="194">
        <f t="shared" si="41"/>
        <v>4</v>
      </c>
      <c r="V57" s="194">
        <f t="shared" si="41"/>
        <v>64</v>
      </c>
    </row>
    <row r="58" spans="1:22">
      <c r="A58" s="171"/>
      <c r="B58" s="517"/>
      <c r="C58" s="541" t="s">
        <v>678</v>
      </c>
      <c r="D58" s="519">
        <f>U62</f>
        <v>8</v>
      </c>
      <c r="E58" s="220" t="s">
        <v>599</v>
      </c>
      <c r="F58" s="177" t="s">
        <v>602</v>
      </c>
      <c r="G58" s="177">
        <v>50</v>
      </c>
      <c r="H58" s="197">
        <v>3</v>
      </c>
      <c r="I58" s="178"/>
      <c r="J58" s="178"/>
      <c r="K58" s="178"/>
      <c r="L58" s="178"/>
      <c r="M58" s="178">
        <v>2</v>
      </c>
      <c r="N58" s="178">
        <v>32</v>
      </c>
      <c r="O58" s="178"/>
      <c r="P58" s="178"/>
      <c r="Q58" s="178"/>
      <c r="R58" s="178"/>
      <c r="S58" s="178"/>
      <c r="T58" s="178"/>
      <c r="U58" s="183">
        <f t="shared" si="37"/>
        <v>2</v>
      </c>
      <c r="V58" s="185">
        <f t="shared" ref="V58:V61" si="42">SUM(J58,L58,N58,P58,R58,T58)</f>
        <v>32</v>
      </c>
    </row>
    <row r="59" spans="1:22">
      <c r="A59" s="171"/>
      <c r="B59" s="517"/>
      <c r="C59" s="542"/>
      <c r="D59" s="520"/>
      <c r="E59" s="221" t="s">
        <v>600</v>
      </c>
      <c r="F59" s="186" t="s">
        <v>603</v>
      </c>
      <c r="G59" s="186">
        <v>50</v>
      </c>
      <c r="H59" s="186">
        <v>3</v>
      </c>
      <c r="I59" s="187"/>
      <c r="J59" s="187"/>
      <c r="K59" s="187"/>
      <c r="L59" s="187"/>
      <c r="M59" s="187">
        <v>2</v>
      </c>
      <c r="N59" s="187">
        <v>32</v>
      </c>
      <c r="O59" s="187"/>
      <c r="P59" s="187"/>
      <c r="Q59" s="187"/>
      <c r="R59" s="187"/>
      <c r="S59" s="187"/>
      <c r="T59" s="187"/>
      <c r="U59" s="183">
        <f t="shared" si="37"/>
        <v>2</v>
      </c>
      <c r="V59" s="188">
        <f t="shared" si="42"/>
        <v>32</v>
      </c>
    </row>
    <row r="60" spans="1:22">
      <c r="A60" s="171"/>
      <c r="B60" s="517"/>
      <c r="C60" s="542"/>
      <c r="D60" s="520"/>
      <c r="E60" s="217" t="s">
        <v>601</v>
      </c>
      <c r="F60" s="181" t="s">
        <v>604</v>
      </c>
      <c r="G60" s="181">
        <v>50</v>
      </c>
      <c r="H60" s="181">
        <v>3</v>
      </c>
      <c r="I60" s="182"/>
      <c r="J60" s="182"/>
      <c r="K60" s="182"/>
      <c r="L60" s="182"/>
      <c r="M60" s="182">
        <v>2</v>
      </c>
      <c r="N60" s="182">
        <v>32</v>
      </c>
      <c r="O60" s="182"/>
      <c r="P60" s="182"/>
      <c r="Q60" s="182"/>
      <c r="R60" s="182"/>
      <c r="S60" s="182"/>
      <c r="T60" s="182"/>
      <c r="U60" s="183">
        <f t="shared" si="37"/>
        <v>2</v>
      </c>
      <c r="V60" s="189">
        <f t="shared" si="42"/>
        <v>32</v>
      </c>
    </row>
    <row r="61" spans="1:22">
      <c r="A61" s="171"/>
      <c r="B61" s="517"/>
      <c r="C61" s="542"/>
      <c r="D61" s="520"/>
      <c r="E61" s="241" t="s">
        <v>732</v>
      </c>
      <c r="F61" s="242" t="s">
        <v>733</v>
      </c>
      <c r="G61" s="242">
        <v>50</v>
      </c>
      <c r="H61" s="242">
        <v>3</v>
      </c>
      <c r="I61" s="243"/>
      <c r="J61" s="243"/>
      <c r="K61" s="243"/>
      <c r="L61" s="243"/>
      <c r="M61" s="243">
        <v>2</v>
      </c>
      <c r="N61" s="243">
        <v>32</v>
      </c>
      <c r="O61" s="243"/>
      <c r="P61" s="243"/>
      <c r="Q61" s="243"/>
      <c r="R61" s="243"/>
      <c r="S61" s="243"/>
      <c r="T61" s="243"/>
      <c r="U61" s="191">
        <f t="shared" si="37"/>
        <v>2</v>
      </c>
      <c r="V61" s="244">
        <f t="shared" si="42"/>
        <v>32</v>
      </c>
    </row>
    <row r="62" spans="1:22" ht="18" thickBot="1">
      <c r="A62" s="171"/>
      <c r="B62" s="517"/>
      <c r="C62" s="543"/>
      <c r="D62" s="521"/>
      <c r="E62" s="522" t="s">
        <v>16</v>
      </c>
      <c r="F62" s="522"/>
      <c r="G62" s="193"/>
      <c r="H62" s="193"/>
      <c r="I62" s="194">
        <f>SUM(I58:I60)</f>
        <v>0</v>
      </c>
      <c r="J62" s="194">
        <f t="shared" ref="J62:T62" si="43">SUM(J58:J60)</f>
        <v>0</v>
      </c>
      <c r="K62" s="194">
        <f t="shared" si="43"/>
        <v>0</v>
      </c>
      <c r="L62" s="194">
        <f t="shared" si="43"/>
        <v>0</v>
      </c>
      <c r="M62" s="194">
        <f>SUM(M58:M61)</f>
        <v>8</v>
      </c>
      <c r="N62" s="194">
        <f>SUM(N58:N61)</f>
        <v>128</v>
      </c>
      <c r="O62" s="194">
        <f t="shared" si="43"/>
        <v>0</v>
      </c>
      <c r="P62" s="194">
        <f t="shared" si="43"/>
        <v>0</v>
      </c>
      <c r="Q62" s="194">
        <f t="shared" si="43"/>
        <v>0</v>
      </c>
      <c r="R62" s="194">
        <f t="shared" si="43"/>
        <v>0</v>
      </c>
      <c r="S62" s="194">
        <f t="shared" si="43"/>
        <v>0</v>
      </c>
      <c r="T62" s="194">
        <f t="shared" si="43"/>
        <v>0</v>
      </c>
      <c r="U62" s="194">
        <f>SUM(U58:U61)</f>
        <v>8</v>
      </c>
      <c r="V62" s="194">
        <f>SUM(V58:V61)</f>
        <v>128</v>
      </c>
    </row>
    <row r="63" spans="1:22" ht="17.399999999999999" customHeight="1">
      <c r="A63" s="171"/>
      <c r="B63" s="517"/>
      <c r="C63" s="541" t="s">
        <v>685</v>
      </c>
      <c r="D63" s="519">
        <f>U65</f>
        <v>8</v>
      </c>
      <c r="E63" s="220" t="s">
        <v>605</v>
      </c>
      <c r="F63" s="177" t="s">
        <v>607</v>
      </c>
      <c r="G63" s="177">
        <v>60</v>
      </c>
      <c r="H63" s="197">
        <v>3</v>
      </c>
      <c r="I63" s="178"/>
      <c r="J63" s="178"/>
      <c r="K63" s="178"/>
      <c r="L63" s="178"/>
      <c r="M63" s="178"/>
      <c r="N63" s="178"/>
      <c r="O63" s="178">
        <v>4</v>
      </c>
      <c r="P63" s="178">
        <v>68</v>
      </c>
      <c r="Q63" s="178"/>
      <c r="R63" s="178"/>
      <c r="S63" s="178"/>
      <c r="T63" s="178"/>
      <c r="U63" s="183">
        <f t="shared" si="37"/>
        <v>4</v>
      </c>
      <c r="V63" s="185">
        <f t="shared" ref="V63:V64" si="44">SUM(J63,L63,N63,P63,R63,T63)</f>
        <v>68</v>
      </c>
    </row>
    <row r="64" spans="1:22">
      <c r="A64" s="171"/>
      <c r="B64" s="517"/>
      <c r="C64" s="542"/>
      <c r="D64" s="520"/>
      <c r="E64" s="221" t="s">
        <v>606</v>
      </c>
      <c r="F64" s="186" t="s">
        <v>608</v>
      </c>
      <c r="G64" s="186">
        <v>60</v>
      </c>
      <c r="H64" s="186">
        <v>3</v>
      </c>
      <c r="I64" s="187"/>
      <c r="J64" s="187"/>
      <c r="K64" s="187"/>
      <c r="L64" s="187"/>
      <c r="M64" s="187"/>
      <c r="N64" s="187"/>
      <c r="O64" s="187">
        <v>4</v>
      </c>
      <c r="P64" s="187">
        <v>68</v>
      </c>
      <c r="Q64" s="187"/>
      <c r="R64" s="187"/>
      <c r="S64" s="187"/>
      <c r="T64" s="187"/>
      <c r="U64" s="183">
        <f t="shared" si="37"/>
        <v>4</v>
      </c>
      <c r="V64" s="188">
        <f t="shared" si="44"/>
        <v>68</v>
      </c>
    </row>
    <row r="65" spans="1:22" ht="18" thickBot="1">
      <c r="A65" s="171"/>
      <c r="B65" s="518"/>
      <c r="C65" s="543"/>
      <c r="D65" s="521"/>
      <c r="E65" s="522" t="s">
        <v>16</v>
      </c>
      <c r="F65" s="522"/>
      <c r="G65" s="193"/>
      <c r="H65" s="193"/>
      <c r="I65" s="194">
        <f t="shared" ref="I65:V65" si="45">SUM(I63:I64)</f>
        <v>0</v>
      </c>
      <c r="J65" s="194">
        <f t="shared" si="45"/>
        <v>0</v>
      </c>
      <c r="K65" s="194">
        <f t="shared" si="45"/>
        <v>0</v>
      </c>
      <c r="L65" s="194">
        <f t="shared" si="45"/>
        <v>0</v>
      </c>
      <c r="M65" s="194">
        <f t="shared" si="45"/>
        <v>0</v>
      </c>
      <c r="N65" s="194">
        <f t="shared" si="45"/>
        <v>0</v>
      </c>
      <c r="O65" s="194">
        <f t="shared" si="45"/>
        <v>8</v>
      </c>
      <c r="P65" s="194">
        <f t="shared" si="45"/>
        <v>136</v>
      </c>
      <c r="Q65" s="194">
        <f t="shared" si="45"/>
        <v>0</v>
      </c>
      <c r="R65" s="194">
        <f t="shared" si="45"/>
        <v>0</v>
      </c>
      <c r="S65" s="194">
        <f t="shared" si="45"/>
        <v>0</v>
      </c>
      <c r="T65" s="194">
        <f t="shared" si="45"/>
        <v>0</v>
      </c>
      <c r="U65" s="194">
        <f t="shared" si="45"/>
        <v>8</v>
      </c>
      <c r="V65" s="194">
        <f t="shared" si="45"/>
        <v>136</v>
      </c>
    </row>
    <row r="66" spans="1:22" ht="17.399999999999999" customHeight="1" thickTop="1">
      <c r="A66" s="171"/>
      <c r="B66" s="516" t="s">
        <v>690</v>
      </c>
      <c r="C66" s="541" t="s">
        <v>609</v>
      </c>
      <c r="D66" s="519">
        <f>U68</f>
        <v>4</v>
      </c>
      <c r="E66" s="220" t="s">
        <v>610</v>
      </c>
      <c r="F66" s="177" t="s">
        <v>612</v>
      </c>
      <c r="G66" s="177">
        <v>50</v>
      </c>
      <c r="H66" s="197">
        <v>3</v>
      </c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>
        <v>3</v>
      </c>
      <c r="T66" s="178">
        <v>48</v>
      </c>
      <c r="U66" s="183">
        <f t="shared" si="37"/>
        <v>3</v>
      </c>
      <c r="V66" s="185">
        <f t="shared" ref="V66:V67" si="46">SUM(J66,L66,N66,P66,R66,T66)</f>
        <v>48</v>
      </c>
    </row>
    <row r="67" spans="1:22">
      <c r="A67" s="171"/>
      <c r="B67" s="517"/>
      <c r="C67" s="542"/>
      <c r="D67" s="520"/>
      <c r="E67" s="221" t="s">
        <v>611</v>
      </c>
      <c r="F67" s="186" t="s">
        <v>613</v>
      </c>
      <c r="G67" s="186">
        <v>30</v>
      </c>
      <c r="H67" s="186">
        <v>2</v>
      </c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>
        <v>1</v>
      </c>
      <c r="T67" s="187">
        <v>16</v>
      </c>
      <c r="U67" s="183">
        <f t="shared" si="37"/>
        <v>1</v>
      </c>
      <c r="V67" s="188">
        <f t="shared" si="46"/>
        <v>16</v>
      </c>
    </row>
    <row r="68" spans="1:22" ht="18" thickBot="1">
      <c r="A68" s="171"/>
      <c r="B68" s="517"/>
      <c r="C68" s="543"/>
      <c r="D68" s="521"/>
      <c r="E68" s="522" t="s">
        <v>16</v>
      </c>
      <c r="F68" s="522"/>
      <c r="G68" s="193"/>
      <c r="H68" s="193"/>
      <c r="I68" s="194">
        <f>SUM(I66:I67)</f>
        <v>0</v>
      </c>
      <c r="J68" s="194">
        <f t="shared" ref="J68:V68" si="47">SUM(J66:J67)</f>
        <v>0</v>
      </c>
      <c r="K68" s="194">
        <f t="shared" si="47"/>
        <v>0</v>
      </c>
      <c r="L68" s="194">
        <f t="shared" si="47"/>
        <v>0</v>
      </c>
      <c r="M68" s="194">
        <f t="shared" si="47"/>
        <v>0</v>
      </c>
      <c r="N68" s="194">
        <f t="shared" si="47"/>
        <v>0</v>
      </c>
      <c r="O68" s="194">
        <f t="shared" si="47"/>
        <v>0</v>
      </c>
      <c r="P68" s="194">
        <f t="shared" si="47"/>
        <v>0</v>
      </c>
      <c r="Q68" s="194">
        <f t="shared" si="47"/>
        <v>0</v>
      </c>
      <c r="R68" s="194">
        <f t="shared" si="47"/>
        <v>0</v>
      </c>
      <c r="S68" s="194">
        <f t="shared" si="47"/>
        <v>4</v>
      </c>
      <c r="T68" s="194">
        <f t="shared" si="47"/>
        <v>64</v>
      </c>
      <c r="U68" s="194">
        <f t="shared" si="47"/>
        <v>4</v>
      </c>
      <c r="V68" s="194">
        <f t="shared" si="47"/>
        <v>64</v>
      </c>
    </row>
    <row r="69" spans="1:22">
      <c r="A69" s="171"/>
      <c r="B69" s="517"/>
      <c r="C69" s="541" t="s">
        <v>532</v>
      </c>
      <c r="D69" s="519">
        <f>U71</f>
        <v>4</v>
      </c>
      <c r="E69" s="220" t="s">
        <v>709</v>
      </c>
      <c r="F69" s="177" t="s">
        <v>707</v>
      </c>
      <c r="G69" s="177">
        <v>40</v>
      </c>
      <c r="H69" s="197">
        <v>4</v>
      </c>
      <c r="I69" s="178"/>
      <c r="J69" s="178"/>
      <c r="K69" s="178"/>
      <c r="L69" s="178"/>
      <c r="M69" s="178"/>
      <c r="N69" s="178"/>
      <c r="O69" s="178"/>
      <c r="P69" s="178"/>
      <c r="Q69" s="178">
        <v>2</v>
      </c>
      <c r="R69" s="178">
        <v>32</v>
      </c>
      <c r="S69" s="178"/>
      <c r="T69" s="178"/>
      <c r="U69" s="183">
        <f t="shared" si="37"/>
        <v>2</v>
      </c>
      <c r="V69" s="185">
        <f t="shared" ref="V69:V70" si="48">SUM(J69,L69,N69,P69,R69,T69)</f>
        <v>32</v>
      </c>
    </row>
    <row r="70" spans="1:22">
      <c r="A70" s="171"/>
      <c r="B70" s="517"/>
      <c r="C70" s="542"/>
      <c r="D70" s="520"/>
      <c r="E70" s="221" t="s">
        <v>734</v>
      </c>
      <c r="F70" s="186" t="s">
        <v>735</v>
      </c>
      <c r="G70" s="186">
        <v>40</v>
      </c>
      <c r="H70" s="186">
        <v>3</v>
      </c>
      <c r="I70" s="187"/>
      <c r="J70" s="187"/>
      <c r="K70" s="187"/>
      <c r="L70" s="187"/>
      <c r="M70" s="187"/>
      <c r="N70" s="187"/>
      <c r="O70" s="187"/>
      <c r="P70" s="187"/>
      <c r="Q70" s="187">
        <v>2</v>
      </c>
      <c r="R70" s="187">
        <v>32</v>
      </c>
      <c r="S70" s="187"/>
      <c r="T70" s="187"/>
      <c r="U70" s="183">
        <f t="shared" si="37"/>
        <v>2</v>
      </c>
      <c r="V70" s="188">
        <f t="shared" si="48"/>
        <v>32</v>
      </c>
    </row>
    <row r="71" spans="1:22" ht="18" thickBot="1">
      <c r="A71" s="171"/>
      <c r="B71" s="517"/>
      <c r="C71" s="543"/>
      <c r="D71" s="521"/>
      <c r="E71" s="522" t="s">
        <v>16</v>
      </c>
      <c r="F71" s="522"/>
      <c r="G71" s="193"/>
      <c r="H71" s="193"/>
      <c r="I71" s="194">
        <f>SUM(I69:I70)</f>
        <v>0</v>
      </c>
      <c r="J71" s="194">
        <f t="shared" ref="J71:V71" si="49">SUM(J69:J70)</f>
        <v>0</v>
      </c>
      <c r="K71" s="194">
        <f t="shared" si="49"/>
        <v>0</v>
      </c>
      <c r="L71" s="194">
        <f t="shared" si="49"/>
        <v>0</v>
      </c>
      <c r="M71" s="194">
        <f t="shared" si="49"/>
        <v>0</v>
      </c>
      <c r="N71" s="194">
        <f t="shared" si="49"/>
        <v>0</v>
      </c>
      <c r="O71" s="194">
        <f t="shared" si="49"/>
        <v>0</v>
      </c>
      <c r="P71" s="194">
        <f t="shared" si="49"/>
        <v>0</v>
      </c>
      <c r="Q71" s="194">
        <f t="shared" si="49"/>
        <v>4</v>
      </c>
      <c r="R71" s="194">
        <f t="shared" si="49"/>
        <v>64</v>
      </c>
      <c r="S71" s="194">
        <f t="shared" si="49"/>
        <v>0</v>
      </c>
      <c r="T71" s="194">
        <f t="shared" si="49"/>
        <v>0</v>
      </c>
      <c r="U71" s="194">
        <f t="shared" si="49"/>
        <v>4</v>
      </c>
      <c r="V71" s="194">
        <f t="shared" si="49"/>
        <v>64</v>
      </c>
    </row>
    <row r="72" spans="1:22">
      <c r="A72" s="171"/>
      <c r="B72" s="517"/>
      <c r="C72" s="541" t="s">
        <v>680</v>
      </c>
      <c r="D72" s="519">
        <f>U75</f>
        <v>8</v>
      </c>
      <c r="E72" s="220" t="s">
        <v>738</v>
      </c>
      <c r="F72" s="177" t="s">
        <v>736</v>
      </c>
      <c r="G72" s="177">
        <v>30</v>
      </c>
      <c r="H72" s="197">
        <v>3</v>
      </c>
      <c r="I72" s="178"/>
      <c r="J72" s="178"/>
      <c r="K72" s="178"/>
      <c r="L72" s="178"/>
      <c r="M72" s="178">
        <v>2</v>
      </c>
      <c r="N72" s="178">
        <v>32</v>
      </c>
      <c r="O72" s="178"/>
      <c r="P72" s="178"/>
      <c r="Q72" s="178"/>
      <c r="R72" s="178"/>
      <c r="S72" s="178"/>
      <c r="T72" s="178"/>
      <c r="U72" s="183">
        <f t="shared" si="37"/>
        <v>2</v>
      </c>
      <c r="V72" s="185">
        <f t="shared" ref="V72:V74" si="50">SUM(J72,L72,N72,P72,R72,T72)</f>
        <v>32</v>
      </c>
    </row>
    <row r="73" spans="1:22">
      <c r="A73" s="171"/>
      <c r="B73" s="517"/>
      <c r="C73" s="542"/>
      <c r="D73" s="520"/>
      <c r="E73" s="221" t="s">
        <v>737</v>
      </c>
      <c r="F73" s="186" t="s">
        <v>739</v>
      </c>
      <c r="G73" s="186">
        <v>60</v>
      </c>
      <c r="H73" s="186">
        <v>2</v>
      </c>
      <c r="I73" s="187"/>
      <c r="J73" s="187"/>
      <c r="K73" s="187"/>
      <c r="L73" s="187"/>
      <c r="M73" s="187">
        <v>3</v>
      </c>
      <c r="N73" s="187">
        <v>48</v>
      </c>
      <c r="O73" s="187"/>
      <c r="P73" s="187"/>
      <c r="Q73" s="187"/>
      <c r="R73" s="187"/>
      <c r="S73" s="187"/>
      <c r="T73" s="187"/>
      <c r="U73" s="183">
        <f t="shared" si="37"/>
        <v>3</v>
      </c>
      <c r="V73" s="188">
        <f t="shared" si="50"/>
        <v>48</v>
      </c>
    </row>
    <row r="74" spans="1:22">
      <c r="A74" s="171"/>
      <c r="B74" s="517"/>
      <c r="C74" s="542"/>
      <c r="D74" s="520"/>
      <c r="E74" s="217" t="s">
        <v>740</v>
      </c>
      <c r="F74" s="181" t="s">
        <v>741</v>
      </c>
      <c r="G74" s="181">
        <v>50</v>
      </c>
      <c r="H74" s="181">
        <v>3</v>
      </c>
      <c r="I74" s="182"/>
      <c r="J74" s="182"/>
      <c r="K74" s="182"/>
      <c r="L74" s="182"/>
      <c r="M74" s="182">
        <v>3</v>
      </c>
      <c r="N74" s="182">
        <v>48</v>
      </c>
      <c r="O74" s="182"/>
      <c r="P74" s="182"/>
      <c r="Q74" s="182"/>
      <c r="R74" s="182"/>
      <c r="S74" s="182"/>
      <c r="T74" s="182"/>
      <c r="U74" s="183">
        <f t="shared" si="37"/>
        <v>3</v>
      </c>
      <c r="V74" s="189">
        <f t="shared" si="50"/>
        <v>48</v>
      </c>
    </row>
    <row r="75" spans="1:22" ht="18" thickBot="1">
      <c r="A75" s="171"/>
      <c r="B75" s="517"/>
      <c r="C75" s="543"/>
      <c r="D75" s="521"/>
      <c r="E75" s="522" t="s">
        <v>16</v>
      </c>
      <c r="F75" s="522"/>
      <c r="G75" s="193"/>
      <c r="H75" s="193"/>
      <c r="I75" s="194">
        <f>SUM(I72:I74)</f>
        <v>0</v>
      </c>
      <c r="J75" s="194">
        <f t="shared" ref="J75:V75" si="51">SUM(J72:J74)</f>
        <v>0</v>
      </c>
      <c r="K75" s="194">
        <f t="shared" si="51"/>
        <v>0</v>
      </c>
      <c r="L75" s="194">
        <f t="shared" si="51"/>
        <v>0</v>
      </c>
      <c r="M75" s="194">
        <f t="shared" si="51"/>
        <v>8</v>
      </c>
      <c r="N75" s="194">
        <f t="shared" si="51"/>
        <v>128</v>
      </c>
      <c r="O75" s="194">
        <f t="shared" si="51"/>
        <v>0</v>
      </c>
      <c r="P75" s="194">
        <f t="shared" si="51"/>
        <v>0</v>
      </c>
      <c r="Q75" s="194">
        <f t="shared" si="51"/>
        <v>0</v>
      </c>
      <c r="R75" s="194">
        <f t="shared" si="51"/>
        <v>0</v>
      </c>
      <c r="S75" s="194">
        <f t="shared" si="51"/>
        <v>0</v>
      </c>
      <c r="T75" s="194">
        <f t="shared" si="51"/>
        <v>0</v>
      </c>
      <c r="U75" s="194">
        <f t="shared" si="51"/>
        <v>8</v>
      </c>
      <c r="V75" s="194">
        <f t="shared" si="51"/>
        <v>128</v>
      </c>
    </row>
    <row r="76" spans="1:22" ht="17.399999999999999" customHeight="1">
      <c r="A76" s="171"/>
      <c r="B76" s="517"/>
      <c r="C76" s="541" t="s">
        <v>535</v>
      </c>
      <c r="D76" s="519">
        <f>U78</f>
        <v>8</v>
      </c>
      <c r="E76" s="220" t="s">
        <v>614</v>
      </c>
      <c r="F76" s="177" t="s">
        <v>616</v>
      </c>
      <c r="G76" s="177">
        <v>90</v>
      </c>
      <c r="H76" s="197">
        <v>3</v>
      </c>
      <c r="I76" s="178"/>
      <c r="J76" s="178"/>
      <c r="K76" s="178"/>
      <c r="L76" s="178"/>
      <c r="M76" s="178"/>
      <c r="N76" s="178"/>
      <c r="O76" s="178">
        <v>4</v>
      </c>
      <c r="P76" s="178">
        <v>64</v>
      </c>
      <c r="Q76" s="178"/>
      <c r="R76" s="178"/>
      <c r="S76" s="178"/>
      <c r="T76" s="178"/>
      <c r="U76" s="183">
        <f t="shared" si="37"/>
        <v>4</v>
      </c>
      <c r="V76" s="185">
        <f t="shared" ref="V76:V77" si="52">SUM(J76,L76,N76,P76,R76,T76)</f>
        <v>64</v>
      </c>
    </row>
    <row r="77" spans="1:22">
      <c r="A77" s="171"/>
      <c r="B77" s="517"/>
      <c r="C77" s="542"/>
      <c r="D77" s="520"/>
      <c r="E77" s="221" t="s">
        <v>615</v>
      </c>
      <c r="F77" s="186" t="s">
        <v>617</v>
      </c>
      <c r="G77" s="186">
        <v>45</v>
      </c>
      <c r="H77" s="186">
        <v>3</v>
      </c>
      <c r="I77" s="187"/>
      <c r="J77" s="187"/>
      <c r="K77" s="187"/>
      <c r="L77" s="187"/>
      <c r="M77" s="187"/>
      <c r="N77" s="187"/>
      <c r="O77" s="187">
        <v>4</v>
      </c>
      <c r="P77" s="187">
        <v>64</v>
      </c>
      <c r="Q77" s="187"/>
      <c r="R77" s="187"/>
      <c r="S77" s="187"/>
      <c r="T77" s="187"/>
      <c r="U77" s="183">
        <f t="shared" si="37"/>
        <v>4</v>
      </c>
      <c r="V77" s="188">
        <f t="shared" si="52"/>
        <v>64</v>
      </c>
    </row>
    <row r="78" spans="1:22" ht="18" thickBot="1">
      <c r="A78" s="171"/>
      <c r="B78" s="518"/>
      <c r="C78" s="543"/>
      <c r="D78" s="521"/>
      <c r="E78" s="522" t="s">
        <v>16</v>
      </c>
      <c r="F78" s="522"/>
      <c r="G78" s="193"/>
      <c r="H78" s="193"/>
      <c r="I78" s="194">
        <f t="shared" ref="I78:V78" si="53">SUM(I76:I77)</f>
        <v>0</v>
      </c>
      <c r="J78" s="194">
        <f t="shared" si="53"/>
        <v>0</v>
      </c>
      <c r="K78" s="194">
        <f t="shared" si="53"/>
        <v>0</v>
      </c>
      <c r="L78" s="194">
        <f t="shared" si="53"/>
        <v>0</v>
      </c>
      <c r="M78" s="194">
        <f t="shared" si="53"/>
        <v>0</v>
      </c>
      <c r="N78" s="194">
        <f t="shared" si="53"/>
        <v>0</v>
      </c>
      <c r="O78" s="194">
        <f t="shared" si="53"/>
        <v>8</v>
      </c>
      <c r="P78" s="194">
        <f t="shared" si="53"/>
        <v>128</v>
      </c>
      <c r="Q78" s="194">
        <f t="shared" si="53"/>
        <v>0</v>
      </c>
      <c r="R78" s="194">
        <f t="shared" si="53"/>
        <v>0</v>
      </c>
      <c r="S78" s="194">
        <f t="shared" si="53"/>
        <v>0</v>
      </c>
      <c r="T78" s="194">
        <f t="shared" si="53"/>
        <v>0</v>
      </c>
      <c r="U78" s="194">
        <f t="shared" si="53"/>
        <v>8</v>
      </c>
      <c r="V78" s="194">
        <f t="shared" si="53"/>
        <v>128</v>
      </c>
    </row>
    <row r="79" spans="1:22" ht="17.399999999999999" customHeight="1" thickTop="1">
      <c r="A79" s="171"/>
      <c r="B79" s="516" t="s">
        <v>691</v>
      </c>
      <c r="C79" s="541" t="s">
        <v>619</v>
      </c>
      <c r="D79" s="519">
        <f>U81</f>
        <v>8</v>
      </c>
      <c r="E79" s="220" t="s">
        <v>620</v>
      </c>
      <c r="F79" s="177" t="s">
        <v>622</v>
      </c>
      <c r="G79" s="177">
        <v>40</v>
      </c>
      <c r="H79" s="197">
        <v>3</v>
      </c>
      <c r="I79" s="178"/>
      <c r="J79" s="178"/>
      <c r="K79" s="178"/>
      <c r="L79" s="178"/>
      <c r="M79" s="178"/>
      <c r="N79" s="178"/>
      <c r="O79" s="178"/>
      <c r="P79" s="178"/>
      <c r="Q79" s="178">
        <v>4</v>
      </c>
      <c r="R79" s="178">
        <v>68</v>
      </c>
      <c r="S79" s="178"/>
      <c r="T79" s="178"/>
      <c r="U79" s="183">
        <f t="shared" ref="U79:U135" si="54">SUM(I79,K79,M79,O79,Q79,S79)</f>
        <v>4</v>
      </c>
      <c r="V79" s="185">
        <f t="shared" ref="V79:V80" si="55">SUM(J79,L79,N79,P79,R79,T79)</f>
        <v>68</v>
      </c>
    </row>
    <row r="80" spans="1:22">
      <c r="A80" s="171"/>
      <c r="B80" s="517"/>
      <c r="C80" s="542"/>
      <c r="D80" s="520"/>
      <c r="E80" s="221" t="s">
        <v>621</v>
      </c>
      <c r="F80" s="186" t="s">
        <v>623</v>
      </c>
      <c r="G80" s="186">
        <v>40</v>
      </c>
      <c r="H80" s="186">
        <v>2</v>
      </c>
      <c r="I80" s="187"/>
      <c r="J80" s="187"/>
      <c r="K80" s="187"/>
      <c r="L80" s="187"/>
      <c r="M80" s="187"/>
      <c r="N80" s="187"/>
      <c r="O80" s="187"/>
      <c r="P80" s="187"/>
      <c r="Q80" s="187">
        <v>4</v>
      </c>
      <c r="R80" s="187">
        <v>68</v>
      </c>
      <c r="S80" s="187"/>
      <c r="T80" s="187"/>
      <c r="U80" s="183">
        <f t="shared" si="54"/>
        <v>4</v>
      </c>
      <c r="V80" s="188">
        <f t="shared" si="55"/>
        <v>68</v>
      </c>
    </row>
    <row r="81" spans="1:22" ht="18" thickBot="1">
      <c r="A81" s="171"/>
      <c r="B81" s="517"/>
      <c r="C81" s="543"/>
      <c r="D81" s="521"/>
      <c r="E81" s="522" t="s">
        <v>16</v>
      </c>
      <c r="F81" s="522"/>
      <c r="G81" s="193"/>
      <c r="H81" s="193"/>
      <c r="I81" s="194">
        <f>SUM(I79:I80)</f>
        <v>0</v>
      </c>
      <c r="J81" s="194">
        <f t="shared" ref="J81:V81" si="56">SUM(J79:J80)</f>
        <v>0</v>
      </c>
      <c r="K81" s="194">
        <f t="shared" si="56"/>
        <v>0</v>
      </c>
      <c r="L81" s="194">
        <f t="shared" si="56"/>
        <v>0</v>
      </c>
      <c r="M81" s="194">
        <f t="shared" si="56"/>
        <v>0</v>
      </c>
      <c r="N81" s="194">
        <f t="shared" si="56"/>
        <v>0</v>
      </c>
      <c r="O81" s="194">
        <f t="shared" si="56"/>
        <v>0</v>
      </c>
      <c r="P81" s="194">
        <f t="shared" si="56"/>
        <v>0</v>
      </c>
      <c r="Q81" s="194">
        <f t="shared" si="56"/>
        <v>8</v>
      </c>
      <c r="R81" s="194">
        <f t="shared" si="56"/>
        <v>136</v>
      </c>
      <c r="S81" s="194">
        <f t="shared" si="56"/>
        <v>0</v>
      </c>
      <c r="T81" s="194">
        <f t="shared" si="56"/>
        <v>0</v>
      </c>
      <c r="U81" s="194">
        <f t="shared" si="56"/>
        <v>8</v>
      </c>
      <c r="V81" s="194">
        <f t="shared" si="56"/>
        <v>136</v>
      </c>
    </row>
    <row r="82" spans="1:22">
      <c r="A82" s="171"/>
      <c r="B82" s="517"/>
      <c r="C82" s="541" t="s">
        <v>624</v>
      </c>
      <c r="D82" s="519">
        <f>U85</f>
        <v>8</v>
      </c>
      <c r="E82" s="220" t="s">
        <v>625</v>
      </c>
      <c r="F82" s="177" t="s">
        <v>627</v>
      </c>
      <c r="G82" s="177">
        <v>50</v>
      </c>
      <c r="H82" s="197">
        <v>2</v>
      </c>
      <c r="I82" s="178"/>
      <c r="J82" s="178"/>
      <c r="K82" s="178"/>
      <c r="L82" s="178"/>
      <c r="M82" s="178">
        <v>3</v>
      </c>
      <c r="N82" s="178">
        <v>48</v>
      </c>
      <c r="O82" s="178"/>
      <c r="P82" s="178"/>
      <c r="Q82" s="178"/>
      <c r="R82" s="178"/>
      <c r="S82" s="178"/>
      <c r="T82" s="178"/>
      <c r="U82" s="183">
        <f t="shared" si="54"/>
        <v>3</v>
      </c>
      <c r="V82" s="185">
        <f t="shared" ref="V82:V84" si="57">SUM(J82,L82,N82,P82,R82,T82)</f>
        <v>48</v>
      </c>
    </row>
    <row r="83" spans="1:22">
      <c r="A83" s="171"/>
      <c r="B83" s="517"/>
      <c r="C83" s="542"/>
      <c r="D83" s="520"/>
      <c r="E83" s="221" t="s">
        <v>626</v>
      </c>
      <c r="F83" s="186" t="s">
        <v>628</v>
      </c>
      <c r="G83" s="186">
        <v>50</v>
      </c>
      <c r="H83" s="186">
        <v>2</v>
      </c>
      <c r="I83" s="187"/>
      <c r="J83" s="187"/>
      <c r="K83" s="187"/>
      <c r="L83" s="187"/>
      <c r="M83" s="187">
        <v>3</v>
      </c>
      <c r="N83" s="187">
        <v>48</v>
      </c>
      <c r="O83" s="187"/>
      <c r="P83" s="187"/>
      <c r="Q83" s="187"/>
      <c r="R83" s="187"/>
      <c r="S83" s="187"/>
      <c r="T83" s="187"/>
      <c r="U83" s="183">
        <f t="shared" si="54"/>
        <v>3</v>
      </c>
      <c r="V83" s="188">
        <f t="shared" si="57"/>
        <v>48</v>
      </c>
    </row>
    <row r="84" spans="1:22">
      <c r="A84" s="171"/>
      <c r="B84" s="517"/>
      <c r="C84" s="542"/>
      <c r="D84" s="520"/>
      <c r="E84" s="217" t="s">
        <v>671</v>
      </c>
      <c r="F84" s="181" t="s">
        <v>629</v>
      </c>
      <c r="G84" s="181">
        <v>30</v>
      </c>
      <c r="H84" s="181">
        <v>2</v>
      </c>
      <c r="I84" s="182"/>
      <c r="J84" s="182"/>
      <c r="K84" s="182"/>
      <c r="L84" s="182"/>
      <c r="M84" s="182">
        <v>2</v>
      </c>
      <c r="N84" s="182">
        <v>32</v>
      </c>
      <c r="O84" s="182"/>
      <c r="P84" s="182"/>
      <c r="Q84" s="182"/>
      <c r="R84" s="182"/>
      <c r="S84" s="182"/>
      <c r="T84" s="182"/>
      <c r="U84" s="183">
        <f t="shared" si="54"/>
        <v>2</v>
      </c>
      <c r="V84" s="189">
        <f t="shared" si="57"/>
        <v>32</v>
      </c>
    </row>
    <row r="85" spans="1:22" ht="18" thickBot="1">
      <c r="A85" s="171"/>
      <c r="B85" s="518"/>
      <c r="C85" s="543"/>
      <c r="D85" s="521"/>
      <c r="E85" s="522" t="s">
        <v>16</v>
      </c>
      <c r="F85" s="522"/>
      <c r="G85" s="193"/>
      <c r="H85" s="193"/>
      <c r="I85" s="194">
        <f>SUM(I82:I84)</f>
        <v>0</v>
      </c>
      <c r="J85" s="194">
        <f t="shared" ref="J85:V85" si="58">SUM(J82:J84)</f>
        <v>0</v>
      </c>
      <c r="K85" s="194">
        <f t="shared" si="58"/>
        <v>0</v>
      </c>
      <c r="L85" s="194">
        <f t="shared" si="58"/>
        <v>0</v>
      </c>
      <c r="M85" s="194">
        <f t="shared" si="58"/>
        <v>8</v>
      </c>
      <c r="N85" s="194">
        <f t="shared" si="58"/>
        <v>128</v>
      </c>
      <c r="O85" s="194">
        <f t="shared" si="58"/>
        <v>0</v>
      </c>
      <c r="P85" s="194">
        <f t="shared" si="58"/>
        <v>0</v>
      </c>
      <c r="Q85" s="194">
        <f t="shared" si="58"/>
        <v>0</v>
      </c>
      <c r="R85" s="194">
        <f t="shared" si="58"/>
        <v>0</v>
      </c>
      <c r="S85" s="194">
        <f t="shared" si="58"/>
        <v>0</v>
      </c>
      <c r="T85" s="194">
        <f t="shared" si="58"/>
        <v>0</v>
      </c>
      <c r="U85" s="194">
        <f t="shared" si="58"/>
        <v>8</v>
      </c>
      <c r="V85" s="194">
        <f t="shared" si="58"/>
        <v>128</v>
      </c>
    </row>
    <row r="86" spans="1:22" ht="18" thickTop="1">
      <c r="A86" s="171"/>
      <c r="B86" s="516" t="s">
        <v>551</v>
      </c>
      <c r="C86" s="540" t="s">
        <v>698</v>
      </c>
      <c r="D86" s="519">
        <v>8</v>
      </c>
      <c r="E86" s="220" t="s">
        <v>742</v>
      </c>
      <c r="F86" s="177" t="s">
        <v>743</v>
      </c>
      <c r="G86" s="177">
        <v>45</v>
      </c>
      <c r="H86" s="197">
        <v>3</v>
      </c>
      <c r="I86" s="178"/>
      <c r="J86" s="178"/>
      <c r="K86" s="178"/>
      <c r="L86" s="178"/>
      <c r="M86" s="178">
        <v>2</v>
      </c>
      <c r="N86" s="178">
        <v>32</v>
      </c>
      <c r="O86" s="178"/>
      <c r="P86" s="178"/>
      <c r="Q86" s="178"/>
      <c r="R86" s="178"/>
      <c r="S86" s="178"/>
      <c r="T86" s="178"/>
      <c r="U86" s="183">
        <f t="shared" si="54"/>
        <v>2</v>
      </c>
      <c r="V86" s="185">
        <f t="shared" ref="V86:V89" si="59">SUM(J86,L86,N86,P86,R86,T86)</f>
        <v>32</v>
      </c>
    </row>
    <row r="87" spans="1:22">
      <c r="A87" s="171"/>
      <c r="B87" s="517"/>
      <c r="C87" s="523"/>
      <c r="D87" s="520"/>
      <c r="E87" s="221" t="s">
        <v>744</v>
      </c>
      <c r="F87" s="229" t="s">
        <v>745</v>
      </c>
      <c r="G87" s="186">
        <v>40</v>
      </c>
      <c r="H87" s="186">
        <v>5</v>
      </c>
      <c r="I87" s="187"/>
      <c r="J87" s="187"/>
      <c r="K87" s="187"/>
      <c r="L87" s="187"/>
      <c r="M87" s="187">
        <v>2</v>
      </c>
      <c r="N87" s="187">
        <v>32</v>
      </c>
      <c r="O87" s="187"/>
      <c r="P87" s="187"/>
      <c r="Q87" s="187"/>
      <c r="R87" s="187"/>
      <c r="S87" s="187"/>
      <c r="T87" s="187"/>
      <c r="U87" s="183">
        <f t="shared" si="54"/>
        <v>2</v>
      </c>
      <c r="V87" s="188">
        <f t="shared" si="59"/>
        <v>32</v>
      </c>
    </row>
    <row r="88" spans="1:22">
      <c r="A88" s="171"/>
      <c r="B88" s="517"/>
      <c r="C88" s="523"/>
      <c r="D88" s="520"/>
      <c r="E88" s="217" t="s">
        <v>716</v>
      </c>
      <c r="F88" s="245" t="s">
        <v>719</v>
      </c>
      <c r="G88" s="181">
        <v>60</v>
      </c>
      <c r="H88" s="181">
        <v>4</v>
      </c>
      <c r="I88" s="182"/>
      <c r="J88" s="182"/>
      <c r="K88" s="182"/>
      <c r="L88" s="182"/>
      <c r="M88" s="182"/>
      <c r="N88" s="182"/>
      <c r="O88" s="182">
        <v>2</v>
      </c>
      <c r="P88" s="182">
        <v>32</v>
      </c>
      <c r="Q88" s="182"/>
      <c r="R88" s="182"/>
      <c r="S88" s="182"/>
      <c r="T88" s="182"/>
      <c r="U88" s="183">
        <f t="shared" si="54"/>
        <v>2</v>
      </c>
      <c r="V88" s="189">
        <f t="shared" si="59"/>
        <v>32</v>
      </c>
    </row>
    <row r="89" spans="1:22">
      <c r="A89" s="171"/>
      <c r="B89" s="517"/>
      <c r="C89" s="523"/>
      <c r="D89" s="520"/>
      <c r="E89" s="217" t="s">
        <v>746</v>
      </c>
      <c r="F89" s="181" t="s">
        <v>747</v>
      </c>
      <c r="G89" s="181">
        <v>60</v>
      </c>
      <c r="H89" s="181">
        <v>5</v>
      </c>
      <c r="I89" s="182"/>
      <c r="J89" s="182"/>
      <c r="K89" s="182"/>
      <c r="L89" s="182"/>
      <c r="M89" s="182"/>
      <c r="N89" s="182"/>
      <c r="O89" s="182">
        <v>2</v>
      </c>
      <c r="P89" s="182">
        <v>32</v>
      </c>
      <c r="Q89" s="182"/>
      <c r="R89" s="182"/>
      <c r="S89" s="182"/>
      <c r="T89" s="182"/>
      <c r="U89" s="183">
        <f t="shared" si="54"/>
        <v>2</v>
      </c>
      <c r="V89" s="189">
        <f t="shared" si="59"/>
        <v>32</v>
      </c>
    </row>
    <row r="90" spans="1:22" ht="18" thickBot="1">
      <c r="A90" s="171"/>
      <c r="B90" s="517"/>
      <c r="C90" s="524"/>
      <c r="D90" s="521"/>
      <c r="E90" s="522" t="s">
        <v>16</v>
      </c>
      <c r="F90" s="522"/>
      <c r="G90" s="193"/>
      <c r="H90" s="193"/>
      <c r="I90" s="194">
        <f>SUM(I86:I89)</f>
        <v>0</v>
      </c>
      <c r="J90" s="194">
        <f t="shared" ref="J90:V90" si="60">SUM(J86:J89)</f>
        <v>0</v>
      </c>
      <c r="K90" s="194">
        <f t="shared" si="60"/>
        <v>0</v>
      </c>
      <c r="L90" s="194">
        <f t="shared" si="60"/>
        <v>0</v>
      </c>
      <c r="M90" s="194">
        <f t="shared" si="60"/>
        <v>4</v>
      </c>
      <c r="N90" s="194">
        <f t="shared" si="60"/>
        <v>64</v>
      </c>
      <c r="O90" s="194">
        <f t="shared" si="60"/>
        <v>4</v>
      </c>
      <c r="P90" s="194">
        <f t="shared" si="60"/>
        <v>64</v>
      </c>
      <c r="Q90" s="194">
        <f t="shared" si="60"/>
        <v>0</v>
      </c>
      <c r="R90" s="194">
        <f t="shared" si="60"/>
        <v>0</v>
      </c>
      <c r="S90" s="194">
        <f t="shared" si="60"/>
        <v>0</v>
      </c>
      <c r="T90" s="194">
        <f t="shared" si="60"/>
        <v>0</v>
      </c>
      <c r="U90" s="194">
        <f t="shared" si="60"/>
        <v>8</v>
      </c>
      <c r="V90" s="194">
        <f t="shared" si="60"/>
        <v>128</v>
      </c>
    </row>
    <row r="91" spans="1:22">
      <c r="A91" s="171"/>
      <c r="B91" s="517"/>
      <c r="C91" s="540" t="s">
        <v>588</v>
      </c>
      <c r="D91" s="519">
        <v>8</v>
      </c>
      <c r="E91" s="220" t="s">
        <v>748</v>
      </c>
      <c r="F91" s="229" t="s">
        <v>749</v>
      </c>
      <c r="G91" s="177">
        <v>60</v>
      </c>
      <c r="H91" s="197">
        <v>3</v>
      </c>
      <c r="I91" s="178"/>
      <c r="J91" s="178"/>
      <c r="K91" s="178"/>
      <c r="L91" s="178"/>
      <c r="M91" s="178">
        <v>4</v>
      </c>
      <c r="N91" s="178">
        <v>64</v>
      </c>
      <c r="O91" s="178"/>
      <c r="P91" s="178"/>
      <c r="Q91" s="178"/>
      <c r="R91" s="178"/>
      <c r="S91" s="178"/>
      <c r="T91" s="178"/>
      <c r="U91" s="183">
        <f t="shared" si="54"/>
        <v>4</v>
      </c>
      <c r="V91" s="185">
        <f t="shared" ref="V91:V92" si="61">SUM(J91,L91,N91,P91,R91,T91)</f>
        <v>64</v>
      </c>
    </row>
    <row r="92" spans="1:22">
      <c r="A92" s="171"/>
      <c r="B92" s="517"/>
      <c r="C92" s="523"/>
      <c r="D92" s="520"/>
      <c r="E92" s="217" t="s">
        <v>770</v>
      </c>
      <c r="F92" s="181" t="s">
        <v>750</v>
      </c>
      <c r="G92" s="181">
        <v>60</v>
      </c>
      <c r="H92" s="181">
        <v>3</v>
      </c>
      <c r="I92" s="182"/>
      <c r="J92" s="182"/>
      <c r="K92" s="182"/>
      <c r="L92" s="182"/>
      <c r="M92" s="182"/>
      <c r="N92" s="182"/>
      <c r="O92" s="182">
        <v>4</v>
      </c>
      <c r="P92" s="182">
        <v>64</v>
      </c>
      <c r="Q92" s="182"/>
      <c r="R92" s="182"/>
      <c r="S92" s="182"/>
      <c r="T92" s="182"/>
      <c r="U92" s="183">
        <f t="shared" si="54"/>
        <v>4</v>
      </c>
      <c r="V92" s="189">
        <f t="shared" si="61"/>
        <v>64</v>
      </c>
    </row>
    <row r="93" spans="1:22" ht="18" thickBot="1">
      <c r="A93" s="171"/>
      <c r="B93" s="517"/>
      <c r="C93" s="524"/>
      <c r="D93" s="521"/>
      <c r="E93" s="522" t="s">
        <v>16</v>
      </c>
      <c r="F93" s="522"/>
      <c r="G93" s="193"/>
      <c r="H93" s="193"/>
      <c r="I93" s="194">
        <f t="shared" ref="I93:V93" si="62">SUM(I91:I92)</f>
        <v>0</v>
      </c>
      <c r="J93" s="194">
        <f t="shared" si="62"/>
        <v>0</v>
      </c>
      <c r="K93" s="194">
        <f t="shared" si="62"/>
        <v>0</v>
      </c>
      <c r="L93" s="194">
        <f t="shared" si="62"/>
        <v>0</v>
      </c>
      <c r="M93" s="194">
        <f t="shared" si="62"/>
        <v>4</v>
      </c>
      <c r="N93" s="194">
        <f t="shared" si="62"/>
        <v>64</v>
      </c>
      <c r="O93" s="194">
        <f t="shared" si="62"/>
        <v>4</v>
      </c>
      <c r="P93" s="194">
        <f t="shared" si="62"/>
        <v>64</v>
      </c>
      <c r="Q93" s="194">
        <f t="shared" si="62"/>
        <v>0</v>
      </c>
      <c r="R93" s="194">
        <f t="shared" si="62"/>
        <v>0</v>
      </c>
      <c r="S93" s="194">
        <f t="shared" si="62"/>
        <v>0</v>
      </c>
      <c r="T93" s="194">
        <f t="shared" si="62"/>
        <v>0</v>
      </c>
      <c r="U93" s="194">
        <f t="shared" si="62"/>
        <v>8</v>
      </c>
      <c r="V93" s="194">
        <f t="shared" si="62"/>
        <v>128</v>
      </c>
    </row>
    <row r="94" spans="1:22">
      <c r="A94" s="171"/>
      <c r="B94" s="517"/>
      <c r="C94" s="540" t="s">
        <v>570</v>
      </c>
      <c r="D94" s="519">
        <v>8</v>
      </c>
      <c r="E94" s="220" t="s">
        <v>630</v>
      </c>
      <c r="F94" s="177" t="s">
        <v>634</v>
      </c>
      <c r="G94" s="177">
        <v>30</v>
      </c>
      <c r="H94" s="197">
        <v>4</v>
      </c>
      <c r="I94" s="178"/>
      <c r="J94" s="178"/>
      <c r="K94" s="178"/>
      <c r="L94" s="178"/>
      <c r="M94" s="178">
        <v>2</v>
      </c>
      <c r="N94" s="178">
        <v>32</v>
      </c>
      <c r="O94" s="178"/>
      <c r="P94" s="178"/>
      <c r="Q94" s="178"/>
      <c r="R94" s="178"/>
      <c r="S94" s="178"/>
      <c r="T94" s="178"/>
      <c r="U94" s="183">
        <f t="shared" si="54"/>
        <v>2</v>
      </c>
      <c r="V94" s="185">
        <f t="shared" ref="V94:V97" si="63">SUM(J94,L94,N94,P94,R94,T94)</f>
        <v>32</v>
      </c>
    </row>
    <row r="95" spans="1:22">
      <c r="A95" s="171"/>
      <c r="B95" s="517"/>
      <c r="C95" s="523"/>
      <c r="D95" s="520"/>
      <c r="E95" s="221" t="s">
        <v>631</v>
      </c>
      <c r="F95" s="186" t="s">
        <v>635</v>
      </c>
      <c r="G95" s="186">
        <v>30</v>
      </c>
      <c r="H95" s="186">
        <v>3</v>
      </c>
      <c r="I95" s="187"/>
      <c r="J95" s="187"/>
      <c r="K95" s="187"/>
      <c r="L95" s="187"/>
      <c r="M95" s="187">
        <v>2</v>
      </c>
      <c r="N95" s="187">
        <v>32</v>
      </c>
      <c r="O95" s="187"/>
      <c r="P95" s="187"/>
      <c r="Q95" s="187"/>
      <c r="R95" s="187"/>
      <c r="S95" s="187"/>
      <c r="T95" s="187"/>
      <c r="U95" s="183">
        <f t="shared" si="54"/>
        <v>2</v>
      </c>
      <c r="V95" s="188">
        <f t="shared" si="63"/>
        <v>32</v>
      </c>
    </row>
    <row r="96" spans="1:22">
      <c r="A96" s="171"/>
      <c r="B96" s="517"/>
      <c r="C96" s="523"/>
      <c r="D96" s="520"/>
      <c r="E96" s="217" t="s">
        <v>632</v>
      </c>
      <c r="F96" s="181" t="s">
        <v>636</v>
      </c>
      <c r="G96" s="181">
        <v>20</v>
      </c>
      <c r="H96" s="181">
        <v>4</v>
      </c>
      <c r="I96" s="182"/>
      <c r="J96" s="182"/>
      <c r="K96" s="182"/>
      <c r="L96" s="182"/>
      <c r="M96" s="182"/>
      <c r="N96" s="182"/>
      <c r="O96" s="182">
        <v>1</v>
      </c>
      <c r="P96" s="182">
        <v>16</v>
      </c>
      <c r="Q96" s="182"/>
      <c r="R96" s="182"/>
      <c r="S96" s="182"/>
      <c r="T96" s="182"/>
      <c r="U96" s="183">
        <f t="shared" si="54"/>
        <v>1</v>
      </c>
      <c r="V96" s="189">
        <f t="shared" si="63"/>
        <v>16</v>
      </c>
    </row>
    <row r="97" spans="1:22">
      <c r="A97" s="171"/>
      <c r="B97" s="517"/>
      <c r="C97" s="523"/>
      <c r="D97" s="520"/>
      <c r="E97" s="217" t="s">
        <v>633</v>
      </c>
      <c r="F97" s="181" t="s">
        <v>637</v>
      </c>
      <c r="G97" s="181">
        <v>50</v>
      </c>
      <c r="H97" s="181">
        <v>3</v>
      </c>
      <c r="I97" s="182"/>
      <c r="J97" s="182"/>
      <c r="K97" s="182"/>
      <c r="L97" s="182"/>
      <c r="M97" s="182"/>
      <c r="N97" s="182"/>
      <c r="O97" s="182">
        <v>3</v>
      </c>
      <c r="P97" s="182">
        <v>48</v>
      </c>
      <c r="Q97" s="182"/>
      <c r="R97" s="182"/>
      <c r="S97" s="182"/>
      <c r="T97" s="182"/>
      <c r="U97" s="183">
        <f t="shared" si="54"/>
        <v>3</v>
      </c>
      <c r="V97" s="189">
        <f t="shared" si="63"/>
        <v>48</v>
      </c>
    </row>
    <row r="98" spans="1:22" ht="18" thickBot="1">
      <c r="A98" s="171"/>
      <c r="B98" s="517"/>
      <c r="C98" s="524"/>
      <c r="D98" s="521"/>
      <c r="E98" s="522" t="s">
        <v>16</v>
      </c>
      <c r="F98" s="522"/>
      <c r="G98" s="193"/>
      <c r="H98" s="193"/>
      <c r="I98" s="194">
        <f>SUM(I94:I97)</f>
        <v>0</v>
      </c>
      <c r="J98" s="194">
        <f t="shared" ref="J98:V98" si="64">SUM(J94:J97)</f>
        <v>0</v>
      </c>
      <c r="K98" s="194">
        <f t="shared" si="64"/>
        <v>0</v>
      </c>
      <c r="L98" s="194">
        <f t="shared" si="64"/>
        <v>0</v>
      </c>
      <c r="M98" s="194">
        <f t="shared" si="64"/>
        <v>4</v>
      </c>
      <c r="N98" s="194">
        <f t="shared" si="64"/>
        <v>64</v>
      </c>
      <c r="O98" s="194">
        <f t="shared" si="64"/>
        <v>4</v>
      </c>
      <c r="P98" s="194">
        <f t="shared" si="64"/>
        <v>64</v>
      </c>
      <c r="Q98" s="194">
        <f t="shared" si="64"/>
        <v>0</v>
      </c>
      <c r="R98" s="194">
        <f t="shared" si="64"/>
        <v>0</v>
      </c>
      <c r="S98" s="194">
        <f t="shared" si="64"/>
        <v>0</v>
      </c>
      <c r="T98" s="194">
        <f t="shared" si="64"/>
        <v>0</v>
      </c>
      <c r="U98" s="194">
        <f t="shared" si="64"/>
        <v>8</v>
      </c>
      <c r="V98" s="194">
        <f t="shared" si="64"/>
        <v>128</v>
      </c>
    </row>
    <row r="99" spans="1:22" ht="34.799999999999997">
      <c r="A99" s="171"/>
      <c r="B99" s="517"/>
      <c r="C99" s="540" t="s">
        <v>638</v>
      </c>
      <c r="D99" s="519">
        <v>8</v>
      </c>
      <c r="E99" s="222" t="s">
        <v>751</v>
      </c>
      <c r="F99" s="177" t="s">
        <v>752</v>
      </c>
      <c r="G99" s="177">
        <v>60</v>
      </c>
      <c r="H99" s="197">
        <v>4</v>
      </c>
      <c r="I99" s="178"/>
      <c r="J99" s="178"/>
      <c r="K99" s="178"/>
      <c r="L99" s="178"/>
      <c r="M99" s="178">
        <v>4</v>
      </c>
      <c r="N99" s="178">
        <v>64</v>
      </c>
      <c r="O99" s="178"/>
      <c r="P99" s="178"/>
      <c r="Q99" s="178"/>
      <c r="R99" s="178"/>
      <c r="S99" s="178"/>
      <c r="T99" s="178"/>
      <c r="U99" s="183">
        <f t="shared" si="54"/>
        <v>4</v>
      </c>
      <c r="V99" s="185">
        <f t="shared" ref="V99:V101" si="65">SUM(J99,L99,N99,P99,R99,T99)</f>
        <v>64</v>
      </c>
    </row>
    <row r="100" spans="1:22">
      <c r="A100" s="171"/>
      <c r="B100" s="517"/>
      <c r="C100" s="523"/>
      <c r="D100" s="520"/>
      <c r="E100" s="221" t="s">
        <v>771</v>
      </c>
      <c r="F100" s="186" t="s">
        <v>753</v>
      </c>
      <c r="G100" s="186">
        <v>50</v>
      </c>
      <c r="H100" s="186">
        <v>2</v>
      </c>
      <c r="I100" s="187"/>
      <c r="J100" s="187"/>
      <c r="K100" s="187"/>
      <c r="L100" s="187"/>
      <c r="M100" s="187"/>
      <c r="N100" s="187"/>
      <c r="O100" s="187">
        <v>2</v>
      </c>
      <c r="P100" s="187">
        <v>32</v>
      </c>
      <c r="Q100" s="187"/>
      <c r="R100" s="187"/>
      <c r="S100" s="187"/>
      <c r="T100" s="187"/>
      <c r="U100" s="183">
        <f t="shared" si="54"/>
        <v>2</v>
      </c>
      <c r="V100" s="188">
        <f t="shared" si="65"/>
        <v>32</v>
      </c>
    </row>
    <row r="101" spans="1:22">
      <c r="A101" s="171"/>
      <c r="B101" s="517"/>
      <c r="C101" s="523"/>
      <c r="D101" s="520"/>
      <c r="E101" s="217" t="s">
        <v>754</v>
      </c>
      <c r="F101" s="181" t="s">
        <v>755</v>
      </c>
      <c r="G101" s="181">
        <v>50</v>
      </c>
      <c r="H101" s="181">
        <v>3</v>
      </c>
      <c r="I101" s="182"/>
      <c r="J101" s="182"/>
      <c r="K101" s="182"/>
      <c r="L101" s="182"/>
      <c r="M101" s="182"/>
      <c r="N101" s="182"/>
      <c r="O101" s="182">
        <v>2</v>
      </c>
      <c r="P101" s="182">
        <v>32</v>
      </c>
      <c r="Q101" s="182"/>
      <c r="R101" s="182"/>
      <c r="S101" s="182"/>
      <c r="T101" s="182"/>
      <c r="U101" s="183">
        <f t="shared" si="54"/>
        <v>2</v>
      </c>
      <c r="V101" s="189">
        <f t="shared" si="65"/>
        <v>32</v>
      </c>
    </row>
    <row r="102" spans="1:22" ht="18" thickBot="1">
      <c r="A102" s="171"/>
      <c r="B102" s="517"/>
      <c r="C102" s="524"/>
      <c r="D102" s="521"/>
      <c r="E102" s="522" t="s">
        <v>16</v>
      </c>
      <c r="F102" s="522"/>
      <c r="G102" s="193"/>
      <c r="H102" s="193"/>
      <c r="I102" s="194">
        <f t="shared" ref="I102:V102" si="66">SUM(I99:I101)</f>
        <v>0</v>
      </c>
      <c r="J102" s="194">
        <f t="shared" si="66"/>
        <v>0</v>
      </c>
      <c r="K102" s="194">
        <f t="shared" si="66"/>
        <v>0</v>
      </c>
      <c r="L102" s="194">
        <f t="shared" si="66"/>
        <v>0</v>
      </c>
      <c r="M102" s="194">
        <f t="shared" si="66"/>
        <v>4</v>
      </c>
      <c r="N102" s="194">
        <f t="shared" si="66"/>
        <v>64</v>
      </c>
      <c r="O102" s="194">
        <f t="shared" si="66"/>
        <v>4</v>
      </c>
      <c r="P102" s="194">
        <f t="shared" si="66"/>
        <v>64</v>
      </c>
      <c r="Q102" s="194">
        <f t="shared" si="66"/>
        <v>0</v>
      </c>
      <c r="R102" s="194">
        <f t="shared" si="66"/>
        <v>0</v>
      </c>
      <c r="S102" s="194">
        <f t="shared" si="66"/>
        <v>0</v>
      </c>
      <c r="T102" s="194">
        <f t="shared" si="66"/>
        <v>0</v>
      </c>
      <c r="U102" s="194">
        <f t="shared" si="66"/>
        <v>8</v>
      </c>
      <c r="V102" s="194">
        <f t="shared" si="66"/>
        <v>128</v>
      </c>
    </row>
    <row r="103" spans="1:22">
      <c r="A103" s="171"/>
      <c r="B103" s="517"/>
      <c r="C103" s="540" t="s">
        <v>624</v>
      </c>
      <c r="D103" s="519">
        <v>8</v>
      </c>
      <c r="E103" s="220" t="s">
        <v>672</v>
      </c>
      <c r="F103" s="177" t="s">
        <v>757</v>
      </c>
      <c r="G103" s="177">
        <v>30</v>
      </c>
      <c r="H103" s="197">
        <v>3</v>
      </c>
      <c r="I103" s="178"/>
      <c r="J103" s="178"/>
      <c r="K103" s="178"/>
      <c r="L103" s="178"/>
      <c r="M103" s="178">
        <v>2</v>
      </c>
      <c r="N103" s="178">
        <v>32</v>
      </c>
      <c r="O103" s="178"/>
      <c r="P103" s="178"/>
      <c r="Q103" s="178"/>
      <c r="R103" s="178"/>
      <c r="S103" s="178"/>
      <c r="T103" s="178"/>
      <c r="U103" s="183">
        <f t="shared" si="54"/>
        <v>2</v>
      </c>
      <c r="V103" s="185">
        <f t="shared" ref="V103:V106" si="67">SUM(J103,L103,N103,P103,R103,T103)</f>
        <v>32</v>
      </c>
    </row>
    <row r="104" spans="1:22">
      <c r="A104" s="171"/>
      <c r="B104" s="517"/>
      <c r="C104" s="523"/>
      <c r="D104" s="520"/>
      <c r="E104" s="221" t="s">
        <v>772</v>
      </c>
      <c r="F104" s="186" t="s">
        <v>758</v>
      </c>
      <c r="G104" s="186">
        <v>30</v>
      </c>
      <c r="H104" s="186">
        <v>6</v>
      </c>
      <c r="I104" s="187"/>
      <c r="J104" s="187"/>
      <c r="K104" s="187"/>
      <c r="L104" s="187"/>
      <c r="M104" s="187">
        <v>2</v>
      </c>
      <c r="N104" s="187">
        <v>32</v>
      </c>
      <c r="O104" s="187"/>
      <c r="P104" s="187"/>
      <c r="Q104" s="187"/>
      <c r="R104" s="187"/>
      <c r="S104" s="187"/>
      <c r="T104" s="187"/>
      <c r="U104" s="183">
        <f t="shared" si="54"/>
        <v>2</v>
      </c>
      <c r="V104" s="188">
        <f t="shared" si="67"/>
        <v>32</v>
      </c>
    </row>
    <row r="105" spans="1:22">
      <c r="A105" s="171"/>
      <c r="B105" s="517"/>
      <c r="C105" s="523"/>
      <c r="D105" s="520"/>
      <c r="E105" s="217" t="s">
        <v>773</v>
      </c>
      <c r="F105" s="181" t="s">
        <v>759</v>
      </c>
      <c r="G105" s="181">
        <v>30</v>
      </c>
      <c r="H105" s="181">
        <v>2</v>
      </c>
      <c r="I105" s="182"/>
      <c r="J105" s="182"/>
      <c r="K105" s="182"/>
      <c r="L105" s="182"/>
      <c r="M105" s="182"/>
      <c r="N105" s="182"/>
      <c r="O105" s="182">
        <v>2</v>
      </c>
      <c r="P105" s="182">
        <v>32</v>
      </c>
      <c r="Q105" s="182"/>
      <c r="R105" s="182"/>
      <c r="S105" s="182"/>
      <c r="T105" s="182"/>
      <c r="U105" s="183">
        <f t="shared" si="54"/>
        <v>2</v>
      </c>
      <c r="V105" s="189">
        <f t="shared" si="67"/>
        <v>32</v>
      </c>
    </row>
    <row r="106" spans="1:22">
      <c r="A106" s="171"/>
      <c r="B106" s="517"/>
      <c r="C106" s="523"/>
      <c r="D106" s="520"/>
      <c r="E106" s="217" t="s">
        <v>774</v>
      </c>
      <c r="F106" s="181" t="s">
        <v>760</v>
      </c>
      <c r="G106" s="181">
        <v>30</v>
      </c>
      <c r="H106" s="181">
        <v>2</v>
      </c>
      <c r="I106" s="182"/>
      <c r="J106" s="182"/>
      <c r="K106" s="182"/>
      <c r="L106" s="182"/>
      <c r="M106" s="182"/>
      <c r="N106" s="182"/>
      <c r="O106" s="182">
        <v>2</v>
      </c>
      <c r="P106" s="182">
        <v>32</v>
      </c>
      <c r="Q106" s="182"/>
      <c r="R106" s="182"/>
      <c r="S106" s="182"/>
      <c r="T106" s="182"/>
      <c r="U106" s="183">
        <f t="shared" si="54"/>
        <v>2</v>
      </c>
      <c r="V106" s="189">
        <f t="shared" si="67"/>
        <v>32</v>
      </c>
    </row>
    <row r="107" spans="1:22" ht="18" thickBot="1">
      <c r="A107" s="171"/>
      <c r="B107" s="518"/>
      <c r="C107" s="524"/>
      <c r="D107" s="521"/>
      <c r="E107" s="522" t="s">
        <v>16</v>
      </c>
      <c r="F107" s="522"/>
      <c r="G107" s="193"/>
      <c r="H107" s="193"/>
      <c r="I107" s="194">
        <f>SUM(I103:I106)</f>
        <v>0</v>
      </c>
      <c r="J107" s="194">
        <f t="shared" ref="J107:V107" si="68">SUM(J103:J106)</f>
        <v>0</v>
      </c>
      <c r="K107" s="194">
        <f t="shared" si="68"/>
        <v>0</v>
      </c>
      <c r="L107" s="194">
        <f t="shared" si="68"/>
        <v>0</v>
      </c>
      <c r="M107" s="194">
        <f t="shared" si="68"/>
        <v>4</v>
      </c>
      <c r="N107" s="194">
        <f t="shared" si="68"/>
        <v>64</v>
      </c>
      <c r="O107" s="194">
        <f t="shared" si="68"/>
        <v>4</v>
      </c>
      <c r="P107" s="194">
        <f t="shared" si="68"/>
        <v>64</v>
      </c>
      <c r="Q107" s="194">
        <f t="shared" si="68"/>
        <v>0</v>
      </c>
      <c r="R107" s="194">
        <f t="shared" si="68"/>
        <v>0</v>
      </c>
      <c r="S107" s="194">
        <f t="shared" si="68"/>
        <v>0</v>
      </c>
      <c r="T107" s="194">
        <f t="shared" si="68"/>
        <v>0</v>
      </c>
      <c r="U107" s="194">
        <f t="shared" si="68"/>
        <v>8</v>
      </c>
      <c r="V107" s="194">
        <f t="shared" si="68"/>
        <v>128</v>
      </c>
    </row>
    <row r="108" spans="1:22" ht="18" thickTop="1">
      <c r="A108" s="171"/>
      <c r="B108" s="516" t="s">
        <v>552</v>
      </c>
      <c r="C108" s="541" t="s">
        <v>761</v>
      </c>
      <c r="D108" s="519">
        <v>8</v>
      </c>
      <c r="E108" s="220" t="s">
        <v>762</v>
      </c>
      <c r="F108" s="177" t="s">
        <v>763</v>
      </c>
      <c r="G108" s="177">
        <v>50</v>
      </c>
      <c r="H108" s="197">
        <v>3</v>
      </c>
      <c r="I108" s="178"/>
      <c r="J108" s="178"/>
      <c r="K108" s="178"/>
      <c r="L108" s="178"/>
      <c r="M108" s="178"/>
      <c r="N108" s="178"/>
      <c r="O108" s="178"/>
      <c r="P108" s="178"/>
      <c r="Q108" s="178">
        <v>4</v>
      </c>
      <c r="R108" s="178">
        <v>64</v>
      </c>
      <c r="S108" s="178"/>
      <c r="T108" s="178"/>
      <c r="U108" s="183">
        <f t="shared" si="54"/>
        <v>4</v>
      </c>
      <c r="V108" s="185">
        <f t="shared" ref="V108:V109" si="69">SUM(J108,L108,N108,P108,R108,T108)</f>
        <v>64</v>
      </c>
    </row>
    <row r="109" spans="1:22">
      <c r="A109" s="171"/>
      <c r="B109" s="517"/>
      <c r="C109" s="542"/>
      <c r="D109" s="520"/>
      <c r="E109" s="221" t="s">
        <v>764</v>
      </c>
      <c r="F109" s="186" t="s">
        <v>765</v>
      </c>
      <c r="G109" s="186">
        <v>50</v>
      </c>
      <c r="H109" s="186">
        <v>3</v>
      </c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>
        <v>4</v>
      </c>
      <c r="T109" s="187">
        <v>64</v>
      </c>
      <c r="U109" s="183">
        <f t="shared" si="54"/>
        <v>4</v>
      </c>
      <c r="V109" s="188">
        <f t="shared" si="69"/>
        <v>64</v>
      </c>
    </row>
    <row r="110" spans="1:22" ht="18" thickBot="1">
      <c r="A110" s="171"/>
      <c r="B110" s="517"/>
      <c r="C110" s="543"/>
      <c r="D110" s="521"/>
      <c r="E110" s="522" t="s">
        <v>16</v>
      </c>
      <c r="F110" s="522"/>
      <c r="G110" s="193"/>
      <c r="H110" s="193"/>
      <c r="I110" s="194">
        <f t="shared" ref="I110:V110" si="70">SUM(I108:I109)</f>
        <v>0</v>
      </c>
      <c r="J110" s="194">
        <f t="shared" si="70"/>
        <v>0</v>
      </c>
      <c r="K110" s="194">
        <f t="shared" si="70"/>
        <v>0</v>
      </c>
      <c r="L110" s="194">
        <f t="shared" si="70"/>
        <v>0</v>
      </c>
      <c r="M110" s="194">
        <f t="shared" si="70"/>
        <v>0</v>
      </c>
      <c r="N110" s="194">
        <f t="shared" si="70"/>
        <v>0</v>
      </c>
      <c r="O110" s="194">
        <f t="shared" si="70"/>
        <v>0</v>
      </c>
      <c r="P110" s="194">
        <f t="shared" si="70"/>
        <v>0</v>
      </c>
      <c r="Q110" s="194">
        <f t="shared" si="70"/>
        <v>4</v>
      </c>
      <c r="R110" s="194">
        <f t="shared" si="70"/>
        <v>64</v>
      </c>
      <c r="S110" s="194">
        <f t="shared" si="70"/>
        <v>4</v>
      </c>
      <c r="T110" s="194">
        <f t="shared" si="70"/>
        <v>64</v>
      </c>
      <c r="U110" s="194">
        <f t="shared" si="70"/>
        <v>8</v>
      </c>
      <c r="V110" s="194">
        <f t="shared" si="70"/>
        <v>128</v>
      </c>
    </row>
    <row r="111" spans="1:22" ht="17.399999999999999" customHeight="1">
      <c r="A111" s="171"/>
      <c r="B111" s="517"/>
      <c r="C111" s="541" t="s">
        <v>588</v>
      </c>
      <c r="D111" s="519">
        <v>8</v>
      </c>
      <c r="E111" s="220" t="s">
        <v>643</v>
      </c>
      <c r="F111" s="177" t="s">
        <v>646</v>
      </c>
      <c r="G111" s="177">
        <v>30</v>
      </c>
      <c r="H111" s="197">
        <v>2</v>
      </c>
      <c r="I111" s="178"/>
      <c r="J111" s="178"/>
      <c r="K111" s="178"/>
      <c r="L111" s="178"/>
      <c r="M111" s="178"/>
      <c r="N111" s="178"/>
      <c r="O111" s="178"/>
      <c r="P111" s="178"/>
      <c r="Q111" s="178">
        <v>2</v>
      </c>
      <c r="R111" s="178">
        <v>32</v>
      </c>
      <c r="S111" s="178"/>
      <c r="T111" s="178"/>
      <c r="U111" s="183">
        <f t="shared" si="54"/>
        <v>2</v>
      </c>
      <c r="V111" s="185">
        <f t="shared" ref="V111:V113" si="71">SUM(J111,L111,N111,P111,R111,T111)</f>
        <v>32</v>
      </c>
    </row>
    <row r="112" spans="1:22">
      <c r="A112" s="171"/>
      <c r="B112" s="517"/>
      <c r="C112" s="542"/>
      <c r="D112" s="520"/>
      <c r="E112" s="221" t="s">
        <v>644</v>
      </c>
      <c r="F112" s="186" t="s">
        <v>647</v>
      </c>
      <c r="G112" s="186">
        <v>60</v>
      </c>
      <c r="H112" s="186">
        <v>3</v>
      </c>
      <c r="I112" s="187"/>
      <c r="J112" s="187"/>
      <c r="K112" s="187"/>
      <c r="L112" s="187"/>
      <c r="M112" s="187"/>
      <c r="N112" s="187"/>
      <c r="O112" s="187"/>
      <c r="P112" s="187"/>
      <c r="Q112" s="187">
        <v>3</v>
      </c>
      <c r="R112" s="187">
        <v>48</v>
      </c>
      <c r="S112" s="187"/>
      <c r="T112" s="187"/>
      <c r="U112" s="183">
        <f t="shared" si="54"/>
        <v>3</v>
      </c>
      <c r="V112" s="188">
        <f t="shared" si="71"/>
        <v>48</v>
      </c>
    </row>
    <row r="113" spans="1:22">
      <c r="A113" s="171"/>
      <c r="B113" s="517"/>
      <c r="C113" s="542"/>
      <c r="D113" s="520"/>
      <c r="E113" s="217" t="s">
        <v>645</v>
      </c>
      <c r="F113" s="181" t="s">
        <v>648</v>
      </c>
      <c r="G113" s="181">
        <v>50</v>
      </c>
      <c r="H113" s="181">
        <v>5</v>
      </c>
      <c r="I113" s="182"/>
      <c r="J113" s="182"/>
      <c r="K113" s="182"/>
      <c r="L113" s="182"/>
      <c r="M113" s="182"/>
      <c r="N113" s="182"/>
      <c r="O113" s="182"/>
      <c r="P113" s="182"/>
      <c r="Q113" s="182">
        <v>3</v>
      </c>
      <c r="R113" s="182">
        <v>48</v>
      </c>
      <c r="S113" s="182"/>
      <c r="T113" s="182"/>
      <c r="U113" s="183">
        <f t="shared" si="54"/>
        <v>3</v>
      </c>
      <c r="V113" s="189">
        <f t="shared" si="71"/>
        <v>48</v>
      </c>
    </row>
    <row r="114" spans="1:22" ht="18" thickBot="1">
      <c r="A114" s="171"/>
      <c r="B114" s="517"/>
      <c r="C114" s="543"/>
      <c r="D114" s="521"/>
      <c r="E114" s="522" t="s">
        <v>16</v>
      </c>
      <c r="F114" s="522"/>
      <c r="G114" s="193"/>
      <c r="H114" s="193"/>
      <c r="I114" s="194">
        <f>SUM(I111:I113)</f>
        <v>0</v>
      </c>
      <c r="J114" s="194">
        <f t="shared" ref="J114:V114" si="72">SUM(J111:J113)</f>
        <v>0</v>
      </c>
      <c r="K114" s="194">
        <f t="shared" si="72"/>
        <v>0</v>
      </c>
      <c r="L114" s="194">
        <f t="shared" si="72"/>
        <v>0</v>
      </c>
      <c r="M114" s="194">
        <f t="shared" si="72"/>
        <v>0</v>
      </c>
      <c r="N114" s="194">
        <f t="shared" si="72"/>
        <v>0</v>
      </c>
      <c r="O114" s="194">
        <f t="shared" si="72"/>
        <v>0</v>
      </c>
      <c r="P114" s="194">
        <f t="shared" si="72"/>
        <v>0</v>
      </c>
      <c r="Q114" s="194">
        <f t="shared" si="72"/>
        <v>8</v>
      </c>
      <c r="R114" s="194">
        <f t="shared" si="72"/>
        <v>128</v>
      </c>
      <c r="S114" s="194">
        <f t="shared" si="72"/>
        <v>0</v>
      </c>
      <c r="T114" s="194">
        <f t="shared" si="72"/>
        <v>0</v>
      </c>
      <c r="U114" s="194">
        <f t="shared" si="72"/>
        <v>8</v>
      </c>
      <c r="V114" s="194">
        <f t="shared" si="72"/>
        <v>128</v>
      </c>
    </row>
    <row r="115" spans="1:22">
      <c r="A115" s="171"/>
      <c r="B115" s="517"/>
      <c r="C115" s="541" t="s">
        <v>570</v>
      </c>
      <c r="D115" s="519">
        <v>8</v>
      </c>
      <c r="E115" s="220" t="s">
        <v>649</v>
      </c>
      <c r="F115" s="177" t="s">
        <v>651</v>
      </c>
      <c r="G115" s="177">
        <v>70</v>
      </c>
      <c r="H115" s="197">
        <v>3</v>
      </c>
      <c r="I115" s="178"/>
      <c r="J115" s="178"/>
      <c r="K115" s="178"/>
      <c r="L115" s="178"/>
      <c r="M115" s="178"/>
      <c r="N115" s="178"/>
      <c r="O115" s="178"/>
      <c r="P115" s="178"/>
      <c r="Q115" s="178">
        <v>4</v>
      </c>
      <c r="R115" s="178">
        <v>64</v>
      </c>
      <c r="S115" s="178"/>
      <c r="T115" s="178"/>
      <c r="U115" s="183">
        <f t="shared" si="54"/>
        <v>4</v>
      </c>
      <c r="V115" s="185">
        <f t="shared" ref="V115:V116" si="73">SUM(J115,L115,N115,P115,R115,T115)</f>
        <v>64</v>
      </c>
    </row>
    <row r="116" spans="1:22">
      <c r="A116" s="171"/>
      <c r="B116" s="517"/>
      <c r="C116" s="542"/>
      <c r="D116" s="520"/>
      <c r="E116" s="221" t="s">
        <v>650</v>
      </c>
      <c r="F116" s="186" t="s">
        <v>652</v>
      </c>
      <c r="G116" s="186">
        <v>70</v>
      </c>
      <c r="H116" s="186">
        <v>5</v>
      </c>
      <c r="I116" s="187"/>
      <c r="J116" s="187"/>
      <c r="K116" s="187"/>
      <c r="L116" s="187"/>
      <c r="M116" s="187"/>
      <c r="N116" s="187"/>
      <c r="O116" s="187"/>
      <c r="P116" s="187"/>
      <c r="Q116" s="187">
        <v>4</v>
      </c>
      <c r="R116" s="187">
        <v>64</v>
      </c>
      <c r="S116" s="187"/>
      <c r="T116" s="187"/>
      <c r="U116" s="183">
        <f t="shared" si="54"/>
        <v>4</v>
      </c>
      <c r="V116" s="188">
        <f t="shared" si="73"/>
        <v>64</v>
      </c>
    </row>
    <row r="117" spans="1:22" ht="18" thickBot="1">
      <c r="A117" s="171"/>
      <c r="B117" s="517"/>
      <c r="C117" s="543"/>
      <c r="D117" s="521"/>
      <c r="E117" s="522" t="s">
        <v>16</v>
      </c>
      <c r="F117" s="522"/>
      <c r="G117" s="193"/>
      <c r="H117" s="193"/>
      <c r="I117" s="194">
        <f>SUM(I115:I116)</f>
        <v>0</v>
      </c>
      <c r="J117" s="194">
        <f t="shared" ref="J117:T117" si="74">SUM(J115:J116)</f>
        <v>0</v>
      </c>
      <c r="K117" s="194">
        <f t="shared" si="74"/>
        <v>0</v>
      </c>
      <c r="L117" s="194">
        <f t="shared" si="74"/>
        <v>0</v>
      </c>
      <c r="M117" s="194">
        <f t="shared" si="74"/>
        <v>0</v>
      </c>
      <c r="N117" s="194">
        <f t="shared" si="74"/>
        <v>0</v>
      </c>
      <c r="O117" s="194">
        <f t="shared" si="74"/>
        <v>0</v>
      </c>
      <c r="P117" s="194">
        <f t="shared" si="74"/>
        <v>0</v>
      </c>
      <c r="Q117" s="194">
        <f t="shared" si="74"/>
        <v>8</v>
      </c>
      <c r="R117" s="194">
        <f t="shared" si="74"/>
        <v>128</v>
      </c>
      <c r="S117" s="194">
        <f t="shared" si="74"/>
        <v>0</v>
      </c>
      <c r="T117" s="194">
        <f t="shared" si="74"/>
        <v>0</v>
      </c>
      <c r="U117" s="198">
        <f t="shared" si="54"/>
        <v>8</v>
      </c>
      <c r="V117" s="194">
        <f>SUM(V115:V116)</f>
        <v>128</v>
      </c>
    </row>
    <row r="118" spans="1:22" ht="17.399999999999999" customHeight="1">
      <c r="A118" s="171"/>
      <c r="B118" s="517"/>
      <c r="C118" s="541" t="s">
        <v>638</v>
      </c>
      <c r="D118" s="519">
        <v>8</v>
      </c>
      <c r="E118" s="220" t="s">
        <v>653</v>
      </c>
      <c r="F118" s="177" t="s">
        <v>655</v>
      </c>
      <c r="G118" s="177">
        <v>40</v>
      </c>
      <c r="H118" s="197">
        <v>3</v>
      </c>
      <c r="I118" s="178"/>
      <c r="J118" s="178"/>
      <c r="K118" s="178"/>
      <c r="L118" s="178"/>
      <c r="M118" s="178"/>
      <c r="N118" s="178"/>
      <c r="O118" s="178"/>
      <c r="P118" s="178"/>
      <c r="Q118" s="178">
        <v>2</v>
      </c>
      <c r="R118" s="178">
        <v>32</v>
      </c>
      <c r="S118" s="178"/>
      <c r="T118" s="178"/>
      <c r="U118" s="183">
        <f t="shared" si="54"/>
        <v>2</v>
      </c>
      <c r="V118" s="185">
        <f t="shared" ref="V118:V120" si="75">SUM(J118,L118,N118,P118,R118,T118)</f>
        <v>32</v>
      </c>
    </row>
    <row r="119" spans="1:22">
      <c r="A119" s="171"/>
      <c r="B119" s="517"/>
      <c r="C119" s="542"/>
      <c r="D119" s="520"/>
      <c r="E119" s="221" t="s">
        <v>654</v>
      </c>
      <c r="F119" s="186" t="s">
        <v>656</v>
      </c>
      <c r="G119" s="186">
        <v>60</v>
      </c>
      <c r="H119" s="186">
        <v>3</v>
      </c>
      <c r="I119" s="187"/>
      <c r="J119" s="187"/>
      <c r="K119" s="187"/>
      <c r="L119" s="187"/>
      <c r="M119" s="187"/>
      <c r="N119" s="187"/>
      <c r="O119" s="187"/>
      <c r="P119" s="187"/>
      <c r="Q119" s="187">
        <v>3</v>
      </c>
      <c r="R119" s="187">
        <v>48</v>
      </c>
      <c r="S119" s="187"/>
      <c r="T119" s="187"/>
      <c r="U119" s="183">
        <f t="shared" si="54"/>
        <v>3</v>
      </c>
      <c r="V119" s="188">
        <f t="shared" si="75"/>
        <v>48</v>
      </c>
    </row>
    <row r="120" spans="1:22">
      <c r="A120" s="171"/>
      <c r="B120" s="517"/>
      <c r="C120" s="542"/>
      <c r="D120" s="520"/>
      <c r="E120" s="217" t="s">
        <v>657</v>
      </c>
      <c r="F120" s="181" t="s">
        <v>658</v>
      </c>
      <c r="G120" s="181">
        <v>60</v>
      </c>
      <c r="H120" s="181">
        <v>2</v>
      </c>
      <c r="I120" s="182"/>
      <c r="J120" s="182"/>
      <c r="K120" s="182"/>
      <c r="L120" s="182"/>
      <c r="M120" s="182"/>
      <c r="N120" s="182"/>
      <c r="O120" s="182"/>
      <c r="P120" s="182"/>
      <c r="Q120" s="182">
        <v>3</v>
      </c>
      <c r="R120" s="182">
        <v>48</v>
      </c>
      <c r="S120" s="182"/>
      <c r="T120" s="182"/>
      <c r="U120" s="183">
        <f t="shared" si="54"/>
        <v>3</v>
      </c>
      <c r="V120" s="189">
        <f t="shared" si="75"/>
        <v>48</v>
      </c>
    </row>
    <row r="121" spans="1:22" ht="18" thickBot="1">
      <c r="A121" s="171"/>
      <c r="B121" s="517"/>
      <c r="C121" s="543"/>
      <c r="D121" s="521"/>
      <c r="E121" s="522" t="s">
        <v>16</v>
      </c>
      <c r="F121" s="522"/>
      <c r="G121" s="193"/>
      <c r="H121" s="193"/>
      <c r="I121" s="194">
        <f>SUM(I118:I120)</f>
        <v>0</v>
      </c>
      <c r="J121" s="194">
        <f t="shared" ref="J121:V121" si="76">SUM(J118:J120)</f>
        <v>0</v>
      </c>
      <c r="K121" s="194">
        <f t="shared" si="76"/>
        <v>0</v>
      </c>
      <c r="L121" s="194">
        <f t="shared" si="76"/>
        <v>0</v>
      </c>
      <c r="M121" s="194">
        <f t="shared" si="76"/>
        <v>0</v>
      </c>
      <c r="N121" s="194">
        <f t="shared" si="76"/>
        <v>0</v>
      </c>
      <c r="O121" s="194">
        <f t="shared" si="76"/>
        <v>0</v>
      </c>
      <c r="P121" s="194">
        <f t="shared" si="76"/>
        <v>0</v>
      </c>
      <c r="Q121" s="194">
        <f t="shared" si="76"/>
        <v>8</v>
      </c>
      <c r="R121" s="194">
        <f t="shared" si="76"/>
        <v>128</v>
      </c>
      <c r="S121" s="194">
        <f t="shared" si="76"/>
        <v>0</v>
      </c>
      <c r="T121" s="194">
        <f t="shared" si="76"/>
        <v>0</v>
      </c>
      <c r="U121" s="194">
        <f t="shared" si="76"/>
        <v>8</v>
      </c>
      <c r="V121" s="194">
        <f t="shared" si="76"/>
        <v>128</v>
      </c>
    </row>
    <row r="122" spans="1:22">
      <c r="A122" s="171"/>
      <c r="B122" s="517"/>
      <c r="C122" s="540" t="s">
        <v>624</v>
      </c>
      <c r="D122" s="519">
        <v>8</v>
      </c>
      <c r="E122" s="220" t="s">
        <v>639</v>
      </c>
      <c r="F122" s="177" t="s">
        <v>641</v>
      </c>
      <c r="G122" s="177">
        <v>40</v>
      </c>
      <c r="H122" s="197">
        <v>3</v>
      </c>
      <c r="I122" s="178"/>
      <c r="J122" s="178"/>
      <c r="K122" s="178"/>
      <c r="L122" s="178"/>
      <c r="M122" s="178"/>
      <c r="N122" s="178"/>
      <c r="O122" s="178"/>
      <c r="P122" s="178"/>
      <c r="Q122" s="178">
        <v>2</v>
      </c>
      <c r="R122" s="178">
        <v>32</v>
      </c>
      <c r="S122" s="178"/>
      <c r="T122" s="178"/>
      <c r="U122" s="183">
        <f t="shared" si="54"/>
        <v>2</v>
      </c>
      <c r="V122" s="185">
        <f t="shared" ref="V122:V124" si="77">SUM(J122,L122,N122,P122,R122,T122)</f>
        <v>32</v>
      </c>
    </row>
    <row r="123" spans="1:22">
      <c r="A123" s="171"/>
      <c r="B123" s="517"/>
      <c r="C123" s="523"/>
      <c r="D123" s="520"/>
      <c r="E123" s="221" t="s">
        <v>640</v>
      </c>
      <c r="F123" s="186" t="s">
        <v>642</v>
      </c>
      <c r="G123" s="186">
        <v>50</v>
      </c>
      <c r="H123" s="186">
        <v>3</v>
      </c>
      <c r="I123" s="187"/>
      <c r="J123" s="187"/>
      <c r="K123" s="187"/>
      <c r="L123" s="187"/>
      <c r="M123" s="187"/>
      <c r="N123" s="187"/>
      <c r="O123" s="187"/>
      <c r="P123" s="187"/>
      <c r="Q123" s="187">
        <v>3</v>
      </c>
      <c r="R123" s="187">
        <v>48</v>
      </c>
      <c r="S123" s="187"/>
      <c r="T123" s="187"/>
      <c r="U123" s="183">
        <f t="shared" si="54"/>
        <v>3</v>
      </c>
      <c r="V123" s="188">
        <f t="shared" si="77"/>
        <v>48</v>
      </c>
    </row>
    <row r="124" spans="1:22">
      <c r="A124" s="171"/>
      <c r="B124" s="517"/>
      <c r="C124" s="523"/>
      <c r="D124" s="520"/>
      <c r="E124" s="217" t="s">
        <v>756</v>
      </c>
      <c r="F124" s="181" t="s">
        <v>766</v>
      </c>
      <c r="G124" s="181">
        <v>50</v>
      </c>
      <c r="H124" s="181">
        <v>5</v>
      </c>
      <c r="I124" s="182"/>
      <c r="J124" s="182"/>
      <c r="K124" s="182"/>
      <c r="L124" s="182"/>
      <c r="M124" s="182"/>
      <c r="N124" s="182"/>
      <c r="O124" s="182"/>
      <c r="P124" s="182"/>
      <c r="Q124" s="182">
        <v>3</v>
      </c>
      <c r="R124" s="182">
        <v>48</v>
      </c>
      <c r="S124" s="182"/>
      <c r="T124" s="182"/>
      <c r="U124" s="183">
        <f t="shared" si="54"/>
        <v>3</v>
      </c>
      <c r="V124" s="189">
        <f t="shared" si="77"/>
        <v>48</v>
      </c>
    </row>
    <row r="125" spans="1:22" ht="18" thickBot="1">
      <c r="A125" s="171"/>
      <c r="B125" s="518"/>
      <c r="C125" s="524"/>
      <c r="D125" s="521"/>
      <c r="E125" s="522" t="s">
        <v>16</v>
      </c>
      <c r="F125" s="522"/>
      <c r="G125" s="193"/>
      <c r="H125" s="193"/>
      <c r="I125" s="194">
        <f t="shared" ref="I125:V125" si="78">SUM(I122:I124)</f>
        <v>0</v>
      </c>
      <c r="J125" s="194">
        <f t="shared" si="78"/>
        <v>0</v>
      </c>
      <c r="K125" s="194">
        <f t="shared" si="78"/>
        <v>0</v>
      </c>
      <c r="L125" s="194">
        <f t="shared" si="78"/>
        <v>0</v>
      </c>
      <c r="M125" s="194">
        <f t="shared" si="78"/>
        <v>0</v>
      </c>
      <c r="N125" s="194">
        <f t="shared" si="78"/>
        <v>0</v>
      </c>
      <c r="O125" s="194">
        <f t="shared" si="78"/>
        <v>0</v>
      </c>
      <c r="P125" s="194">
        <f t="shared" si="78"/>
        <v>0</v>
      </c>
      <c r="Q125" s="194">
        <f t="shared" si="78"/>
        <v>8</v>
      </c>
      <c r="R125" s="194">
        <f t="shared" si="78"/>
        <v>128</v>
      </c>
      <c r="S125" s="194">
        <f t="shared" si="78"/>
        <v>0</v>
      </c>
      <c r="T125" s="194">
        <f t="shared" si="78"/>
        <v>0</v>
      </c>
      <c r="U125" s="194">
        <f t="shared" si="78"/>
        <v>8</v>
      </c>
      <c r="V125" s="194">
        <f t="shared" si="78"/>
        <v>128</v>
      </c>
    </row>
    <row r="126" spans="1:22" ht="17.399999999999999" customHeight="1" thickTop="1">
      <c r="A126" s="171"/>
      <c r="B126" s="517" t="s">
        <v>550</v>
      </c>
      <c r="C126" s="541" t="s">
        <v>659</v>
      </c>
      <c r="D126" s="519">
        <v>8</v>
      </c>
      <c r="E126" s="220" t="s">
        <v>660</v>
      </c>
      <c r="F126" s="177" t="s">
        <v>663</v>
      </c>
      <c r="G126" s="177">
        <v>80</v>
      </c>
      <c r="H126" s="197">
        <v>6</v>
      </c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>
        <v>3</v>
      </c>
      <c r="T126" s="178">
        <v>48</v>
      </c>
      <c r="U126" s="183">
        <f t="shared" si="54"/>
        <v>3</v>
      </c>
      <c r="V126" s="185">
        <f t="shared" ref="V126:V128" si="79">SUM(J126,L126,N126,P126,R126,T126)</f>
        <v>48</v>
      </c>
    </row>
    <row r="127" spans="1:22">
      <c r="A127" s="171"/>
      <c r="B127" s="517"/>
      <c r="C127" s="542"/>
      <c r="D127" s="520"/>
      <c r="E127" s="221" t="s">
        <v>661</v>
      </c>
      <c r="F127" s="186" t="s">
        <v>664</v>
      </c>
      <c r="G127" s="186">
        <v>30</v>
      </c>
      <c r="H127" s="186">
        <v>2</v>
      </c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>
        <v>2</v>
      </c>
      <c r="T127" s="187">
        <v>32</v>
      </c>
      <c r="U127" s="183">
        <f t="shared" si="54"/>
        <v>2</v>
      </c>
      <c r="V127" s="188">
        <f t="shared" si="79"/>
        <v>32</v>
      </c>
    </row>
    <row r="128" spans="1:22">
      <c r="A128" s="171"/>
      <c r="B128" s="517"/>
      <c r="C128" s="542"/>
      <c r="D128" s="520"/>
      <c r="E128" s="217" t="s">
        <v>662</v>
      </c>
      <c r="F128" s="181" t="s">
        <v>665</v>
      </c>
      <c r="G128" s="181">
        <v>40</v>
      </c>
      <c r="H128" s="181">
        <v>4</v>
      </c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>
        <v>3</v>
      </c>
      <c r="T128" s="182">
        <v>48</v>
      </c>
      <c r="U128" s="183">
        <f t="shared" si="54"/>
        <v>3</v>
      </c>
      <c r="V128" s="189">
        <f t="shared" si="79"/>
        <v>48</v>
      </c>
    </row>
    <row r="129" spans="1:22" ht="18" thickBot="1">
      <c r="A129" s="171"/>
      <c r="B129" s="517"/>
      <c r="C129" s="543"/>
      <c r="D129" s="521"/>
      <c r="E129" s="522" t="s">
        <v>16</v>
      </c>
      <c r="F129" s="522"/>
      <c r="G129" s="193"/>
      <c r="H129" s="193"/>
      <c r="I129" s="194">
        <f>SUM(I126:I128)</f>
        <v>0</v>
      </c>
      <c r="J129" s="194">
        <f t="shared" ref="J129:V129" si="80">SUM(J126:J128)</f>
        <v>0</v>
      </c>
      <c r="K129" s="194">
        <f t="shared" si="80"/>
        <v>0</v>
      </c>
      <c r="L129" s="194">
        <f t="shared" si="80"/>
        <v>0</v>
      </c>
      <c r="M129" s="194">
        <f t="shared" si="80"/>
        <v>0</v>
      </c>
      <c r="N129" s="194">
        <f t="shared" si="80"/>
        <v>0</v>
      </c>
      <c r="O129" s="194">
        <f t="shared" si="80"/>
        <v>0</v>
      </c>
      <c r="P129" s="194">
        <f t="shared" si="80"/>
        <v>0</v>
      </c>
      <c r="Q129" s="194">
        <f t="shared" si="80"/>
        <v>0</v>
      </c>
      <c r="R129" s="194">
        <f t="shared" si="80"/>
        <v>0</v>
      </c>
      <c r="S129" s="194">
        <f t="shared" si="80"/>
        <v>8</v>
      </c>
      <c r="T129" s="194">
        <f t="shared" si="80"/>
        <v>128</v>
      </c>
      <c r="U129" s="194">
        <f t="shared" si="80"/>
        <v>8</v>
      </c>
      <c r="V129" s="194">
        <f t="shared" si="80"/>
        <v>128</v>
      </c>
    </row>
    <row r="130" spans="1:22" ht="17.399999999999999" customHeight="1">
      <c r="A130" s="171"/>
      <c r="B130" s="517"/>
      <c r="C130" s="541" t="s">
        <v>588</v>
      </c>
      <c r="D130" s="519">
        <v>8</v>
      </c>
      <c r="E130" s="220" t="s">
        <v>643</v>
      </c>
      <c r="F130" s="177" t="s">
        <v>646</v>
      </c>
      <c r="G130" s="177">
        <v>30</v>
      </c>
      <c r="H130" s="197">
        <v>2</v>
      </c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>
        <v>2</v>
      </c>
      <c r="T130" s="178">
        <v>32</v>
      </c>
      <c r="U130" s="183">
        <f t="shared" si="54"/>
        <v>2</v>
      </c>
      <c r="V130" s="185">
        <f t="shared" ref="V130:V132" si="81">SUM(J130,L130,N130,P130,R130,T130)</f>
        <v>32</v>
      </c>
    </row>
    <row r="131" spans="1:22">
      <c r="A131" s="171"/>
      <c r="B131" s="517"/>
      <c r="C131" s="542"/>
      <c r="D131" s="520"/>
      <c r="E131" s="221" t="s">
        <v>644</v>
      </c>
      <c r="F131" s="186" t="s">
        <v>647</v>
      </c>
      <c r="G131" s="186">
        <v>60</v>
      </c>
      <c r="H131" s="186">
        <v>3</v>
      </c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>
        <v>3</v>
      </c>
      <c r="T131" s="187">
        <v>48</v>
      </c>
      <c r="U131" s="183">
        <f t="shared" si="54"/>
        <v>3</v>
      </c>
      <c r="V131" s="188">
        <f t="shared" si="81"/>
        <v>48</v>
      </c>
    </row>
    <row r="132" spans="1:22">
      <c r="A132" s="171"/>
      <c r="B132" s="517"/>
      <c r="C132" s="542"/>
      <c r="D132" s="520"/>
      <c r="E132" s="217" t="s">
        <v>645</v>
      </c>
      <c r="F132" s="181" t="s">
        <v>648</v>
      </c>
      <c r="G132" s="181">
        <v>50</v>
      </c>
      <c r="H132" s="181">
        <v>5</v>
      </c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>
        <v>3</v>
      </c>
      <c r="T132" s="182">
        <v>48</v>
      </c>
      <c r="U132" s="183">
        <f t="shared" si="54"/>
        <v>3</v>
      </c>
      <c r="V132" s="189">
        <f t="shared" si="81"/>
        <v>48</v>
      </c>
    </row>
    <row r="133" spans="1:22" ht="18" thickBot="1">
      <c r="A133" s="171"/>
      <c r="B133" s="517"/>
      <c r="C133" s="543"/>
      <c r="D133" s="521"/>
      <c r="E133" s="522" t="s">
        <v>16</v>
      </c>
      <c r="F133" s="522"/>
      <c r="G133" s="193"/>
      <c r="H133" s="193"/>
      <c r="I133" s="194">
        <f>SUM(I130:I132)</f>
        <v>0</v>
      </c>
      <c r="J133" s="194">
        <f t="shared" ref="J133:V133" si="82">SUM(J130:J132)</f>
        <v>0</v>
      </c>
      <c r="K133" s="194">
        <f t="shared" si="82"/>
        <v>0</v>
      </c>
      <c r="L133" s="194">
        <f t="shared" si="82"/>
        <v>0</v>
      </c>
      <c r="M133" s="194">
        <f t="shared" si="82"/>
        <v>0</v>
      </c>
      <c r="N133" s="194">
        <f t="shared" si="82"/>
        <v>0</v>
      </c>
      <c r="O133" s="194">
        <f t="shared" si="82"/>
        <v>0</v>
      </c>
      <c r="P133" s="194">
        <f t="shared" si="82"/>
        <v>0</v>
      </c>
      <c r="Q133" s="194">
        <f t="shared" si="82"/>
        <v>0</v>
      </c>
      <c r="R133" s="194">
        <f t="shared" si="82"/>
        <v>0</v>
      </c>
      <c r="S133" s="194">
        <f t="shared" si="82"/>
        <v>8</v>
      </c>
      <c r="T133" s="194">
        <f t="shared" si="82"/>
        <v>128</v>
      </c>
      <c r="U133" s="194">
        <f t="shared" si="82"/>
        <v>8</v>
      </c>
      <c r="V133" s="194">
        <f t="shared" si="82"/>
        <v>128</v>
      </c>
    </row>
    <row r="134" spans="1:22" ht="17.399999999999999" customHeight="1">
      <c r="A134" s="171"/>
      <c r="B134" s="517"/>
      <c r="C134" s="541" t="s">
        <v>582</v>
      </c>
      <c r="D134" s="519">
        <v>8</v>
      </c>
      <c r="E134" s="220" t="s">
        <v>666</v>
      </c>
      <c r="F134" s="177" t="s">
        <v>668</v>
      </c>
      <c r="G134" s="177">
        <v>70</v>
      </c>
      <c r="H134" s="197">
        <v>3</v>
      </c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>
        <v>4</v>
      </c>
      <c r="T134" s="178">
        <v>64</v>
      </c>
      <c r="U134" s="183">
        <f t="shared" si="54"/>
        <v>4</v>
      </c>
      <c r="V134" s="185">
        <f t="shared" ref="V134:V135" si="83">SUM(J134,L134,N134,P134,R134,T134)</f>
        <v>64</v>
      </c>
    </row>
    <row r="135" spans="1:22">
      <c r="A135" s="171"/>
      <c r="B135" s="517"/>
      <c r="C135" s="542"/>
      <c r="D135" s="520"/>
      <c r="E135" s="221" t="s">
        <v>667</v>
      </c>
      <c r="F135" s="186" t="s">
        <v>669</v>
      </c>
      <c r="G135" s="186">
        <v>70</v>
      </c>
      <c r="H135" s="186">
        <v>5</v>
      </c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>
        <v>4</v>
      </c>
      <c r="T135" s="187">
        <v>64</v>
      </c>
      <c r="U135" s="183">
        <f t="shared" si="54"/>
        <v>4</v>
      </c>
      <c r="V135" s="188">
        <f t="shared" si="83"/>
        <v>64</v>
      </c>
    </row>
    <row r="136" spans="1:22" ht="18" thickBot="1">
      <c r="A136" s="171"/>
      <c r="B136" s="517"/>
      <c r="C136" s="543"/>
      <c r="D136" s="521"/>
      <c r="E136" s="522" t="s">
        <v>16</v>
      </c>
      <c r="F136" s="522"/>
      <c r="G136" s="193"/>
      <c r="H136" s="193"/>
      <c r="I136" s="194">
        <f>SUM(I134:I135)</f>
        <v>0</v>
      </c>
      <c r="J136" s="194">
        <f t="shared" ref="J136:V136" si="84">SUM(J134:J135)</f>
        <v>0</v>
      </c>
      <c r="K136" s="194">
        <f t="shared" si="84"/>
        <v>0</v>
      </c>
      <c r="L136" s="194">
        <f t="shared" si="84"/>
        <v>0</v>
      </c>
      <c r="M136" s="194">
        <f t="shared" si="84"/>
        <v>0</v>
      </c>
      <c r="N136" s="194">
        <f t="shared" si="84"/>
        <v>0</v>
      </c>
      <c r="O136" s="194">
        <f t="shared" si="84"/>
        <v>0</v>
      </c>
      <c r="P136" s="194">
        <f t="shared" si="84"/>
        <v>0</v>
      </c>
      <c r="Q136" s="194">
        <f t="shared" si="84"/>
        <v>0</v>
      </c>
      <c r="R136" s="194">
        <f t="shared" si="84"/>
        <v>0</v>
      </c>
      <c r="S136" s="194">
        <f t="shared" si="84"/>
        <v>8</v>
      </c>
      <c r="T136" s="194">
        <f t="shared" si="84"/>
        <v>128</v>
      </c>
      <c r="U136" s="194">
        <f t="shared" si="84"/>
        <v>8</v>
      </c>
      <c r="V136" s="194">
        <f t="shared" si="84"/>
        <v>128</v>
      </c>
    </row>
    <row r="137" spans="1:22" ht="17.399999999999999" customHeight="1">
      <c r="A137" s="171"/>
      <c r="B137" s="517"/>
      <c r="C137" s="541" t="s">
        <v>638</v>
      </c>
      <c r="D137" s="519">
        <v>8</v>
      </c>
      <c r="E137" s="220" t="s">
        <v>653</v>
      </c>
      <c r="F137" s="177" t="s">
        <v>655</v>
      </c>
      <c r="G137" s="177">
        <v>40</v>
      </c>
      <c r="H137" s="197">
        <v>3</v>
      </c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>
        <v>2</v>
      </c>
      <c r="T137" s="178">
        <v>32</v>
      </c>
      <c r="U137" s="183">
        <f t="shared" ref="U137:U139" si="85">SUM(I137,K137,M137,O137,Q137,S137)</f>
        <v>2</v>
      </c>
      <c r="V137" s="185">
        <f t="shared" ref="V137:V139" si="86">SUM(J137,L137,N137,P137,R137,T137)</f>
        <v>32</v>
      </c>
    </row>
    <row r="138" spans="1:22">
      <c r="A138" s="171"/>
      <c r="B138" s="517"/>
      <c r="C138" s="542"/>
      <c r="D138" s="520"/>
      <c r="E138" s="221" t="s">
        <v>654</v>
      </c>
      <c r="F138" s="186" t="s">
        <v>656</v>
      </c>
      <c r="G138" s="186">
        <v>60</v>
      </c>
      <c r="H138" s="186">
        <v>3</v>
      </c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>
        <v>3</v>
      </c>
      <c r="T138" s="187">
        <v>48</v>
      </c>
      <c r="U138" s="183">
        <f t="shared" si="85"/>
        <v>3</v>
      </c>
      <c r="V138" s="188">
        <f t="shared" si="86"/>
        <v>48</v>
      </c>
    </row>
    <row r="139" spans="1:22">
      <c r="A139" s="171"/>
      <c r="B139" s="517"/>
      <c r="C139" s="542"/>
      <c r="D139" s="520"/>
      <c r="E139" s="217" t="s">
        <v>657</v>
      </c>
      <c r="F139" s="181" t="s">
        <v>658</v>
      </c>
      <c r="G139" s="181">
        <v>60</v>
      </c>
      <c r="H139" s="181">
        <v>2</v>
      </c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>
        <v>3</v>
      </c>
      <c r="T139" s="182">
        <v>48</v>
      </c>
      <c r="U139" s="183">
        <f t="shared" si="85"/>
        <v>3</v>
      </c>
      <c r="V139" s="189">
        <f t="shared" si="86"/>
        <v>48</v>
      </c>
    </row>
    <row r="140" spans="1:22" ht="18" thickBot="1">
      <c r="A140" s="171"/>
      <c r="B140" s="518"/>
      <c r="C140" s="543"/>
      <c r="D140" s="521"/>
      <c r="E140" s="522" t="s">
        <v>16</v>
      </c>
      <c r="F140" s="522"/>
      <c r="G140" s="193"/>
      <c r="H140" s="193"/>
      <c r="I140" s="194">
        <f>SUM(I137:I139)</f>
        <v>0</v>
      </c>
      <c r="J140" s="194">
        <f t="shared" ref="J140:V140" si="87">SUM(J137:J139)</f>
        <v>0</v>
      </c>
      <c r="K140" s="194">
        <f t="shared" si="87"/>
        <v>0</v>
      </c>
      <c r="L140" s="194">
        <f t="shared" si="87"/>
        <v>0</v>
      </c>
      <c r="M140" s="194">
        <f t="shared" si="87"/>
        <v>0</v>
      </c>
      <c r="N140" s="194">
        <f t="shared" si="87"/>
        <v>0</v>
      </c>
      <c r="O140" s="194">
        <f t="shared" si="87"/>
        <v>0</v>
      </c>
      <c r="P140" s="194">
        <f t="shared" si="87"/>
        <v>0</v>
      </c>
      <c r="Q140" s="194">
        <f t="shared" si="87"/>
        <v>0</v>
      </c>
      <c r="R140" s="194">
        <f t="shared" si="87"/>
        <v>0</v>
      </c>
      <c r="S140" s="194">
        <f t="shared" si="87"/>
        <v>8</v>
      </c>
      <c r="T140" s="194">
        <f t="shared" si="87"/>
        <v>128</v>
      </c>
      <c r="U140" s="194">
        <f t="shared" si="87"/>
        <v>8</v>
      </c>
      <c r="V140" s="199">
        <f t="shared" si="87"/>
        <v>128</v>
      </c>
    </row>
    <row r="141" spans="1:22" ht="18" thickTop="1">
      <c r="A141" s="171"/>
      <c r="B141" s="171"/>
      <c r="C141" s="171"/>
    </row>
    <row r="142" spans="1:22">
      <c r="A142" s="171"/>
      <c r="B142" s="171"/>
      <c r="C142" s="171"/>
    </row>
    <row r="143" spans="1:22">
      <c r="A143" s="171"/>
      <c r="B143" s="171"/>
      <c r="C143" s="171"/>
    </row>
    <row r="144" spans="1:22">
      <c r="A144" s="171"/>
      <c r="B144" s="171"/>
      <c r="C144" s="171"/>
    </row>
    <row r="145" spans="1:3">
      <c r="A145" s="171"/>
      <c r="B145" s="171"/>
      <c r="C145" s="171"/>
    </row>
    <row r="146" spans="1:3">
      <c r="A146" s="171"/>
      <c r="B146" s="171"/>
      <c r="C146" s="171"/>
    </row>
    <row r="147" spans="1:3">
      <c r="A147" s="171"/>
      <c r="B147" s="171"/>
      <c r="C147" s="171"/>
    </row>
    <row r="148" spans="1:3">
      <c r="A148" s="171"/>
      <c r="B148" s="171"/>
      <c r="C148" s="171"/>
    </row>
    <row r="149" spans="1:3">
      <c r="A149" s="171"/>
      <c r="B149" s="171"/>
      <c r="C149" s="171"/>
    </row>
    <row r="150" spans="1:3">
      <c r="A150" s="171"/>
      <c r="B150" s="171"/>
      <c r="C150" s="171"/>
    </row>
    <row r="151" spans="1:3">
      <c r="A151" s="171"/>
      <c r="B151" s="171"/>
      <c r="C151" s="171"/>
    </row>
    <row r="152" spans="1:3">
      <c r="A152" s="171"/>
      <c r="B152" s="171"/>
      <c r="C152" s="171"/>
    </row>
    <row r="153" spans="1:3">
      <c r="A153" s="171"/>
      <c r="B153" s="171"/>
      <c r="C153" s="171"/>
    </row>
  </sheetData>
  <mergeCells count="145">
    <mergeCell ref="E121:F121"/>
    <mergeCell ref="C122:C125"/>
    <mergeCell ref="D122:D125"/>
    <mergeCell ref="E125:F125"/>
    <mergeCell ref="C118:C121"/>
    <mergeCell ref="D118:D121"/>
    <mergeCell ref="E114:F114"/>
    <mergeCell ref="E117:F117"/>
    <mergeCell ref="E140:F140"/>
    <mergeCell ref="C137:C140"/>
    <mergeCell ref="D137:D140"/>
    <mergeCell ref="E136:F136"/>
    <mergeCell ref="C134:C136"/>
    <mergeCell ref="D134:D136"/>
    <mergeCell ref="E129:F129"/>
    <mergeCell ref="E133:F133"/>
    <mergeCell ref="C126:C129"/>
    <mergeCell ref="D126:D129"/>
    <mergeCell ref="C130:C133"/>
    <mergeCell ref="D130:D133"/>
    <mergeCell ref="C111:C114"/>
    <mergeCell ref="D111:D114"/>
    <mergeCell ref="C115:C117"/>
    <mergeCell ref="D115:D117"/>
    <mergeCell ref="C103:C107"/>
    <mergeCell ref="D103:D107"/>
    <mergeCell ref="E107:F107"/>
    <mergeCell ref="E110:F110"/>
    <mergeCell ref="C108:C110"/>
    <mergeCell ref="D108:D110"/>
    <mergeCell ref="C94:C98"/>
    <mergeCell ref="D94:D98"/>
    <mergeCell ref="E98:F98"/>
    <mergeCell ref="C99:C102"/>
    <mergeCell ref="D99:D102"/>
    <mergeCell ref="E102:F102"/>
    <mergeCell ref="C86:C90"/>
    <mergeCell ref="D86:D90"/>
    <mergeCell ref="E90:F90"/>
    <mergeCell ref="C91:C93"/>
    <mergeCell ref="D91:D93"/>
    <mergeCell ref="E93:F93"/>
    <mergeCell ref="E81:F81"/>
    <mergeCell ref="E85:F85"/>
    <mergeCell ref="C79:C81"/>
    <mergeCell ref="D79:D81"/>
    <mergeCell ref="C82:C85"/>
    <mergeCell ref="D82:D85"/>
    <mergeCell ref="E75:F75"/>
    <mergeCell ref="E78:F78"/>
    <mergeCell ref="C72:C75"/>
    <mergeCell ref="D72:D75"/>
    <mergeCell ref="C76:C78"/>
    <mergeCell ref="D76:D78"/>
    <mergeCell ref="E68:F68"/>
    <mergeCell ref="E71:F71"/>
    <mergeCell ref="C66:C68"/>
    <mergeCell ref="D66:D68"/>
    <mergeCell ref="C69:C71"/>
    <mergeCell ref="D69:D71"/>
    <mergeCell ref="D45:D47"/>
    <mergeCell ref="E33:F33"/>
    <mergeCell ref="E36:F36"/>
    <mergeCell ref="C31:C33"/>
    <mergeCell ref="D31:D33"/>
    <mergeCell ref="D34:D36"/>
    <mergeCell ref="C34:C36"/>
    <mergeCell ref="E62:F62"/>
    <mergeCell ref="E65:F65"/>
    <mergeCell ref="C58:C62"/>
    <mergeCell ref="D58:D62"/>
    <mergeCell ref="C63:C65"/>
    <mergeCell ref="D63:D65"/>
    <mergeCell ref="E57:F57"/>
    <mergeCell ref="C55:C57"/>
    <mergeCell ref="E50:F50"/>
    <mergeCell ref="E54:F54"/>
    <mergeCell ref="C48:C50"/>
    <mergeCell ref="D48:D50"/>
    <mergeCell ref="C51:C54"/>
    <mergeCell ref="D51:D54"/>
    <mergeCell ref="D55:D57"/>
    <mergeCell ref="E39:F39"/>
    <mergeCell ref="C37:C39"/>
    <mergeCell ref="S7:T7"/>
    <mergeCell ref="C2:V2"/>
    <mergeCell ref="O3:Q3"/>
    <mergeCell ref="R3:T3"/>
    <mergeCell ref="U3:V3"/>
    <mergeCell ref="O4:Q4"/>
    <mergeCell ref="R4:T4"/>
    <mergeCell ref="U4:V4"/>
    <mergeCell ref="C5:D5"/>
    <mergeCell ref="C6:C8"/>
    <mergeCell ref="D6:D8"/>
    <mergeCell ref="E6:E8"/>
    <mergeCell ref="F6:F8"/>
    <mergeCell ref="E47:F47"/>
    <mergeCell ref="C45:C47"/>
    <mergeCell ref="X7:AG7"/>
    <mergeCell ref="H6:H8"/>
    <mergeCell ref="I6:L6"/>
    <mergeCell ref="M6:P6"/>
    <mergeCell ref="V6:V8"/>
    <mergeCell ref="X6:AG6"/>
    <mergeCell ref="I7:J7"/>
    <mergeCell ref="K7:L7"/>
    <mergeCell ref="M7:N7"/>
    <mergeCell ref="O7:P7"/>
    <mergeCell ref="Q7:R7"/>
    <mergeCell ref="Q6:T6"/>
    <mergeCell ref="U6:U8"/>
    <mergeCell ref="D26:D30"/>
    <mergeCell ref="E30:F30"/>
    <mergeCell ref="C26:C30"/>
    <mergeCell ref="C12:C16"/>
    <mergeCell ref="D12:D16"/>
    <mergeCell ref="E16:F16"/>
    <mergeCell ref="E11:F11"/>
    <mergeCell ref="C40:C44"/>
    <mergeCell ref="G6:G8"/>
    <mergeCell ref="D40:D44"/>
    <mergeCell ref="E44:F44"/>
    <mergeCell ref="C17:C19"/>
    <mergeCell ref="D17:D19"/>
    <mergeCell ref="E19:F19"/>
    <mergeCell ref="C20:C22"/>
    <mergeCell ref="D20:D22"/>
    <mergeCell ref="E22:F22"/>
    <mergeCell ref="C9:C11"/>
    <mergeCell ref="D9:D11"/>
    <mergeCell ref="C23:C25"/>
    <mergeCell ref="D23:D25"/>
    <mergeCell ref="E25:F25"/>
    <mergeCell ref="D37:D39"/>
    <mergeCell ref="B6:B8"/>
    <mergeCell ref="B9:B22"/>
    <mergeCell ref="B51:B65"/>
    <mergeCell ref="B66:B78"/>
    <mergeCell ref="B79:B85"/>
    <mergeCell ref="B86:B107"/>
    <mergeCell ref="B108:B125"/>
    <mergeCell ref="B37:B50"/>
    <mergeCell ref="B126:B140"/>
    <mergeCell ref="B23:B36"/>
  </mergeCells>
  <phoneticPr fontId="9" type="noConversion"/>
  <pageMargins left="0.70866141732283472" right="0.70866141732283472" top="0.74803149606299213" bottom="0.74803149606299213" header="0.31496062992125984" footer="0.31496062992125984"/>
  <pageSetup paperSize="8" scale="36" orientation="portrait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D5" sqref="D5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203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340</v>
      </c>
      <c r="G2" s="5"/>
      <c r="H2" s="3" t="s">
        <v>74</v>
      </c>
      <c r="I2" s="3" t="s">
        <v>66</v>
      </c>
      <c r="J2" s="3" t="s">
        <v>168</v>
      </c>
      <c r="K2" s="3" t="s">
        <v>168</v>
      </c>
      <c r="L2" s="3" t="s">
        <v>123</v>
      </c>
    </row>
    <row r="3" spans="1:12">
      <c r="A3" s="3" t="s">
        <v>204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340</v>
      </c>
      <c r="G3" s="5"/>
      <c r="H3" s="3" t="s">
        <v>75</v>
      </c>
      <c r="I3" s="3" t="s">
        <v>67</v>
      </c>
      <c r="J3" s="3" t="s">
        <v>169</v>
      </c>
      <c r="K3" s="3" t="s">
        <v>169</v>
      </c>
      <c r="L3" s="3" t="s">
        <v>118</v>
      </c>
    </row>
    <row r="4" spans="1:12">
      <c r="A4" s="3" t="s">
        <v>206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342</v>
      </c>
      <c r="G4" s="5"/>
      <c r="H4" s="3" t="s">
        <v>76</v>
      </c>
      <c r="I4" s="3" t="s">
        <v>158</v>
      </c>
      <c r="J4" s="3" t="s">
        <v>93</v>
      </c>
      <c r="K4" s="3" t="s">
        <v>93</v>
      </c>
      <c r="L4" s="3" t="s">
        <v>119</v>
      </c>
    </row>
    <row r="5" spans="1:12">
      <c r="A5" s="3" t="s">
        <v>207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342</v>
      </c>
      <c r="G5" s="5"/>
      <c r="H5" s="3" t="s">
        <v>77</v>
      </c>
      <c r="I5" s="3" t="s">
        <v>159</v>
      </c>
      <c r="J5" s="3" t="s">
        <v>170</v>
      </c>
      <c r="K5" s="3" t="s">
        <v>170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342</v>
      </c>
      <c r="G6" s="5"/>
      <c r="H6" s="3" t="s">
        <v>78</v>
      </c>
      <c r="I6" s="3" t="s">
        <v>160</v>
      </c>
      <c r="J6" s="3" t="s">
        <v>171</v>
      </c>
      <c r="K6" s="3" t="s">
        <v>171</v>
      </c>
      <c r="L6" s="8"/>
    </row>
    <row r="7" spans="1:12">
      <c r="A7" s="3" t="s">
        <v>208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342</v>
      </c>
      <c r="G7" s="5"/>
      <c r="H7" s="3" t="s">
        <v>79</v>
      </c>
      <c r="I7" s="3" t="s">
        <v>166</v>
      </c>
      <c r="J7" s="3" t="s">
        <v>94</v>
      </c>
      <c r="K7" s="3" t="s">
        <v>94</v>
      </c>
      <c r="L7" s="5"/>
    </row>
    <row r="8" spans="1:12">
      <c r="A8" s="3" t="s">
        <v>209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342</v>
      </c>
      <c r="G8" s="5"/>
      <c r="H8" s="3" t="s">
        <v>80</v>
      </c>
      <c r="I8" s="3" t="s">
        <v>161</v>
      </c>
      <c r="J8" s="3" t="s">
        <v>172</v>
      </c>
      <c r="K8" s="3" t="s">
        <v>172</v>
      </c>
      <c r="L8" s="5"/>
    </row>
    <row r="9" spans="1:12">
      <c r="A9" s="3" t="s">
        <v>210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342</v>
      </c>
      <c r="G9" s="5"/>
      <c r="H9" s="3" t="s">
        <v>81</v>
      </c>
      <c r="I9" s="3" t="s">
        <v>68</v>
      </c>
      <c r="J9" s="3" t="s">
        <v>173</v>
      </c>
      <c r="K9" s="3" t="s">
        <v>173</v>
      </c>
      <c r="L9" s="5"/>
    </row>
    <row r="10" spans="1:12">
      <c r="A10" s="3" t="s">
        <v>211</v>
      </c>
      <c r="B10" s="3" t="s">
        <v>17</v>
      </c>
      <c r="C10" s="3" t="s">
        <v>21</v>
      </c>
      <c r="D10" s="3" t="s">
        <v>214</v>
      </c>
      <c r="E10" s="3">
        <v>4</v>
      </c>
      <c r="F10" s="7" t="s">
        <v>342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212</v>
      </c>
      <c r="B11" s="3" t="s">
        <v>17</v>
      </c>
      <c r="C11" s="3" t="s">
        <v>21</v>
      </c>
      <c r="D11" s="3" t="s">
        <v>214</v>
      </c>
      <c r="E11" s="3">
        <v>4</v>
      </c>
      <c r="F11" s="7" t="s">
        <v>342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213</v>
      </c>
      <c r="B12" s="3" t="s">
        <v>17</v>
      </c>
      <c r="C12" s="3" t="s">
        <v>21</v>
      </c>
      <c r="D12" s="3" t="s">
        <v>214</v>
      </c>
      <c r="E12" s="3">
        <v>4</v>
      </c>
      <c r="F12" s="7" t="s">
        <v>342</v>
      </c>
      <c r="G12" s="5"/>
      <c r="H12" s="3" t="s">
        <v>84</v>
      </c>
      <c r="I12" s="3" t="s">
        <v>162</v>
      </c>
      <c r="J12" s="3" t="s">
        <v>96</v>
      </c>
      <c r="K12" s="3" t="s">
        <v>96</v>
      </c>
      <c r="L12" s="5"/>
    </row>
    <row r="13" spans="1:12">
      <c r="A13" s="3" t="s">
        <v>215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340</v>
      </c>
      <c r="G13" s="5"/>
      <c r="H13" s="3" t="s">
        <v>85</v>
      </c>
      <c r="I13" s="3" t="s">
        <v>71</v>
      </c>
      <c r="J13" s="3" t="s">
        <v>174</v>
      </c>
      <c r="K13" s="3" t="s">
        <v>174</v>
      </c>
      <c r="L13" s="5"/>
    </row>
    <row r="14" spans="1:12">
      <c r="A14" s="3" t="s">
        <v>217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340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218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342</v>
      </c>
      <c r="G15" s="5"/>
      <c r="H15" s="3" t="s">
        <v>87</v>
      </c>
      <c r="I15" s="3" t="s">
        <v>163</v>
      </c>
      <c r="J15" s="3" t="s">
        <v>175</v>
      </c>
      <c r="K15" s="3" t="s">
        <v>175</v>
      </c>
      <c r="L15" s="5"/>
    </row>
    <row r="16" spans="1:12">
      <c r="A16" s="3" t="s">
        <v>219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342</v>
      </c>
      <c r="G16" s="5"/>
      <c r="H16" s="3" t="s">
        <v>88</v>
      </c>
      <c r="I16" s="3" t="s">
        <v>164</v>
      </c>
      <c r="J16" s="3" t="s">
        <v>176</v>
      </c>
      <c r="K16" s="3" t="s">
        <v>176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342</v>
      </c>
      <c r="G17" s="5"/>
      <c r="H17" s="3" t="s">
        <v>89</v>
      </c>
      <c r="I17" s="3" t="s">
        <v>165</v>
      </c>
      <c r="J17" s="3" t="s">
        <v>177</v>
      </c>
      <c r="K17" s="3" t="s">
        <v>177</v>
      </c>
      <c r="L17" s="5"/>
    </row>
    <row r="18" spans="1:12">
      <c r="A18" s="3" t="s">
        <v>220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342</v>
      </c>
      <c r="G18" s="5"/>
      <c r="H18" s="3" t="s">
        <v>90</v>
      </c>
      <c r="I18" s="3" t="s">
        <v>167</v>
      </c>
      <c r="J18" s="3" t="s">
        <v>178</v>
      </c>
      <c r="K18" s="3" t="s">
        <v>178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342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342</v>
      </c>
      <c r="G20" s="5"/>
      <c r="J20" s="3" t="s">
        <v>179</v>
      </c>
      <c r="K20" s="3" t="s">
        <v>179</v>
      </c>
      <c r="L20" s="5"/>
    </row>
    <row r="21" spans="1:12">
      <c r="A21" s="3" t="s">
        <v>221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342</v>
      </c>
      <c r="G21" s="5"/>
      <c r="J21" s="3" t="s">
        <v>98</v>
      </c>
      <c r="K21" s="3" t="s">
        <v>98</v>
      </c>
      <c r="L21" s="5"/>
    </row>
    <row r="22" spans="1:12">
      <c r="A22" s="3" t="s">
        <v>223</v>
      </c>
      <c r="B22" s="3" t="s">
        <v>17</v>
      </c>
      <c r="C22" s="3" t="s">
        <v>5</v>
      </c>
      <c r="D22" s="3" t="s">
        <v>224</v>
      </c>
      <c r="E22" s="3">
        <v>4</v>
      </c>
      <c r="F22" s="7" t="s">
        <v>342</v>
      </c>
      <c r="G22" s="5"/>
      <c r="H22" s="3"/>
      <c r="I22" s="3"/>
      <c r="J22" s="3" t="s">
        <v>180</v>
      </c>
      <c r="K22" s="3" t="s">
        <v>180</v>
      </c>
      <c r="L22" s="5"/>
    </row>
    <row r="23" spans="1:12">
      <c r="A23" s="3" t="s">
        <v>225</v>
      </c>
      <c r="B23" s="3" t="s">
        <v>17</v>
      </c>
      <c r="C23" s="3" t="s">
        <v>5</v>
      </c>
      <c r="D23" s="3" t="s">
        <v>214</v>
      </c>
      <c r="E23" s="3">
        <v>4</v>
      </c>
      <c r="F23" s="7" t="s">
        <v>342</v>
      </c>
      <c r="G23" s="5"/>
      <c r="H23" s="3"/>
      <c r="I23" s="3"/>
      <c r="J23" s="3" t="s">
        <v>181</v>
      </c>
      <c r="K23" s="3" t="s">
        <v>181</v>
      </c>
      <c r="L23" s="5"/>
    </row>
    <row r="24" spans="1:12">
      <c r="A24" s="3" t="s">
        <v>226</v>
      </c>
      <c r="B24" s="3" t="s">
        <v>17</v>
      </c>
      <c r="C24" s="3" t="s">
        <v>5</v>
      </c>
      <c r="D24" s="3" t="s">
        <v>214</v>
      </c>
      <c r="E24" s="3">
        <v>4</v>
      </c>
      <c r="F24" s="7" t="s">
        <v>342</v>
      </c>
      <c r="G24" s="5"/>
      <c r="H24" s="3"/>
      <c r="I24" s="3"/>
      <c r="J24" s="3" t="s">
        <v>182</v>
      </c>
      <c r="K24" s="3" t="s">
        <v>182</v>
      </c>
      <c r="L24" s="5"/>
    </row>
    <row r="25" spans="1:12">
      <c r="A25" s="3" t="s">
        <v>227</v>
      </c>
      <c r="B25" s="3" t="s">
        <v>17</v>
      </c>
      <c r="C25" s="3" t="s">
        <v>5</v>
      </c>
      <c r="D25" s="3" t="s">
        <v>214</v>
      </c>
      <c r="E25" s="3">
        <v>4</v>
      </c>
      <c r="F25" s="7" t="s">
        <v>342</v>
      </c>
      <c r="G25" s="5"/>
      <c r="H25" s="3"/>
      <c r="I25" s="3"/>
      <c r="J25" s="3" t="s">
        <v>183</v>
      </c>
      <c r="K25" s="3" t="s">
        <v>183</v>
      </c>
      <c r="L25" s="5"/>
    </row>
    <row r="26" spans="1:12">
      <c r="A26" s="3" t="s">
        <v>222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340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228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342</v>
      </c>
      <c r="G27" s="5"/>
      <c r="H27" s="5"/>
      <c r="I27" s="5"/>
      <c r="J27" s="3" t="s">
        <v>184</v>
      </c>
      <c r="K27" s="3" t="s">
        <v>184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342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342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342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342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229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342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230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342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231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342</v>
      </c>
      <c r="G34" s="5"/>
      <c r="H34" s="5"/>
      <c r="I34" s="5"/>
      <c r="J34" s="3" t="s">
        <v>185</v>
      </c>
      <c r="K34" s="3" t="s">
        <v>185</v>
      </c>
      <c r="L34" s="5"/>
    </row>
    <row r="35" spans="1:12">
      <c r="A35" s="3" t="s">
        <v>232</v>
      </c>
      <c r="B35" s="3" t="s">
        <v>17</v>
      </c>
      <c r="C35" s="3" t="s">
        <v>6</v>
      </c>
      <c r="D35" s="3" t="s">
        <v>224</v>
      </c>
      <c r="E35" s="3">
        <v>4</v>
      </c>
      <c r="F35" s="7" t="s">
        <v>342</v>
      </c>
      <c r="G35" s="5"/>
      <c r="H35" s="5"/>
      <c r="I35" s="5"/>
      <c r="J35" s="3" t="s">
        <v>186</v>
      </c>
      <c r="K35" s="3" t="s">
        <v>186</v>
      </c>
      <c r="L35" s="5"/>
    </row>
    <row r="36" spans="1:12">
      <c r="A36" s="3" t="s">
        <v>233</v>
      </c>
      <c r="B36" s="3" t="s">
        <v>17</v>
      </c>
      <c r="C36" s="3" t="s">
        <v>6</v>
      </c>
      <c r="D36" s="3" t="s">
        <v>214</v>
      </c>
      <c r="E36" s="3">
        <v>4</v>
      </c>
      <c r="F36" s="7" t="s">
        <v>342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234</v>
      </c>
      <c r="B37" s="3" t="s">
        <v>17</v>
      </c>
      <c r="C37" s="3" t="s">
        <v>6</v>
      </c>
      <c r="D37" s="3" t="s">
        <v>214</v>
      </c>
      <c r="E37" s="3">
        <v>4</v>
      </c>
      <c r="F37" s="7" t="s">
        <v>342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235</v>
      </c>
      <c r="B38" s="3" t="s">
        <v>17</v>
      </c>
      <c r="C38" s="3" t="s">
        <v>6</v>
      </c>
      <c r="D38" s="3" t="s">
        <v>214</v>
      </c>
      <c r="E38" s="3">
        <v>4</v>
      </c>
      <c r="F38" s="7" t="s">
        <v>342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236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365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237</v>
      </c>
      <c r="B40" s="3" t="s">
        <v>17</v>
      </c>
      <c r="C40" s="3" t="s">
        <v>7</v>
      </c>
      <c r="D40" s="3" t="s">
        <v>238</v>
      </c>
      <c r="E40" s="3">
        <v>3</v>
      </c>
      <c r="F40" s="7" t="s">
        <v>365</v>
      </c>
      <c r="G40" s="5"/>
      <c r="H40" s="5"/>
      <c r="I40" s="5"/>
      <c r="J40" s="3" t="s">
        <v>187</v>
      </c>
      <c r="K40" s="3" t="s">
        <v>187</v>
      </c>
      <c r="L40" s="5"/>
    </row>
    <row r="41" spans="1:12" ht="17.25" customHeight="1">
      <c r="A41" s="3" t="s">
        <v>239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340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240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340</v>
      </c>
      <c r="G42" s="5"/>
      <c r="H42" s="5"/>
      <c r="I42" s="5"/>
      <c r="J42" s="3" t="s">
        <v>188</v>
      </c>
      <c r="K42" s="3" t="s">
        <v>188</v>
      </c>
      <c r="L42" s="5"/>
    </row>
    <row r="43" spans="1:12" ht="17.25" customHeight="1">
      <c r="A43" s="3" t="s">
        <v>252</v>
      </c>
      <c r="B43" s="3" t="s">
        <v>17</v>
      </c>
      <c r="C43" s="3" t="s">
        <v>25</v>
      </c>
      <c r="D43" s="3" t="s">
        <v>256</v>
      </c>
      <c r="E43" s="3">
        <v>4</v>
      </c>
      <c r="F43" s="7" t="s">
        <v>342</v>
      </c>
      <c r="G43" s="5"/>
      <c r="H43" s="5"/>
      <c r="I43" s="5"/>
      <c r="J43" s="3" t="s">
        <v>189</v>
      </c>
      <c r="K43" s="3" t="s">
        <v>189</v>
      </c>
      <c r="L43" s="5"/>
    </row>
    <row r="44" spans="1:12" ht="17.25" customHeight="1">
      <c r="A44" s="3" t="s">
        <v>253</v>
      </c>
      <c r="B44" s="3" t="s">
        <v>17</v>
      </c>
      <c r="C44" s="3" t="s">
        <v>25</v>
      </c>
      <c r="D44" s="3" t="s">
        <v>256</v>
      </c>
      <c r="E44" s="3">
        <v>4</v>
      </c>
      <c r="F44" s="7" t="s">
        <v>342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254</v>
      </c>
      <c r="B45" s="3" t="s">
        <v>17</v>
      </c>
      <c r="C45" s="3" t="s">
        <v>25</v>
      </c>
      <c r="D45" s="3" t="s">
        <v>256</v>
      </c>
      <c r="E45" s="3">
        <v>4</v>
      </c>
      <c r="F45" s="7" t="s">
        <v>342</v>
      </c>
      <c r="G45" s="5"/>
      <c r="H45" s="5"/>
      <c r="I45" s="5"/>
      <c r="J45" s="3" t="s">
        <v>190</v>
      </c>
      <c r="K45" s="3" t="s">
        <v>190</v>
      </c>
      <c r="L45" s="5"/>
    </row>
    <row r="46" spans="1:12" ht="17.25" customHeight="1">
      <c r="A46" s="3" t="s">
        <v>255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342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241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342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242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342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243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342</v>
      </c>
      <c r="G49" s="5"/>
      <c r="H49" s="5"/>
      <c r="I49" s="5"/>
      <c r="J49" s="5" t="s">
        <v>191</v>
      </c>
      <c r="K49" s="5" t="s">
        <v>191</v>
      </c>
      <c r="L49" s="5"/>
    </row>
    <row r="50" spans="1:12">
      <c r="A50" s="3" t="s">
        <v>244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342</v>
      </c>
      <c r="G50" s="5"/>
      <c r="H50" s="5"/>
      <c r="I50" s="5"/>
      <c r="J50" s="5" t="s">
        <v>192</v>
      </c>
      <c r="K50" s="5" t="s">
        <v>192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342</v>
      </c>
      <c r="G51" s="5"/>
      <c r="H51" s="5"/>
      <c r="I51" s="5"/>
      <c r="J51" s="5" t="s">
        <v>193</v>
      </c>
      <c r="K51" s="5" t="s">
        <v>193</v>
      </c>
      <c r="L51" s="5"/>
    </row>
    <row r="52" spans="1:12">
      <c r="A52" s="3" t="s">
        <v>245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342</v>
      </c>
      <c r="G52" s="5"/>
      <c r="H52" s="5"/>
      <c r="I52" s="5"/>
      <c r="J52" s="5" t="s">
        <v>194</v>
      </c>
      <c r="K52" s="5" t="s">
        <v>194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342</v>
      </c>
      <c r="G53" s="5"/>
      <c r="H53" s="5"/>
      <c r="I53" s="5"/>
      <c r="J53" s="5" t="s">
        <v>195</v>
      </c>
      <c r="K53" s="5" t="s">
        <v>195</v>
      </c>
      <c r="L53" s="5"/>
    </row>
    <row r="54" spans="1:12">
      <c r="A54" s="3" t="s">
        <v>246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342</v>
      </c>
      <c r="G54" s="5"/>
      <c r="H54" s="5"/>
      <c r="I54" s="5"/>
      <c r="J54" s="5" t="s">
        <v>196</v>
      </c>
      <c r="K54" s="5" t="s">
        <v>196</v>
      </c>
      <c r="L54" s="5"/>
    </row>
    <row r="55" spans="1:12">
      <c r="A55" s="3" t="s">
        <v>247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342</v>
      </c>
      <c r="G55" s="5"/>
      <c r="H55" s="5"/>
      <c r="I55" s="5"/>
      <c r="J55" s="5" t="s">
        <v>198</v>
      </c>
      <c r="K55" s="5" t="s">
        <v>198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214</v>
      </c>
      <c r="E56" s="3">
        <v>4</v>
      </c>
      <c r="F56" s="7" t="s">
        <v>342</v>
      </c>
      <c r="G56" s="5"/>
      <c r="H56" s="5"/>
      <c r="I56" s="5"/>
      <c r="J56" s="5" t="s">
        <v>197</v>
      </c>
      <c r="K56" s="5" t="s">
        <v>197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214</v>
      </c>
      <c r="E57" s="3">
        <v>4</v>
      </c>
      <c r="F57" s="7" t="s">
        <v>342</v>
      </c>
      <c r="G57" s="5"/>
      <c r="H57" s="5"/>
      <c r="I57" s="5"/>
      <c r="J57" s="5" t="s">
        <v>199</v>
      </c>
      <c r="K57" s="5" t="s">
        <v>199</v>
      </c>
      <c r="L57" s="5"/>
    </row>
    <row r="58" spans="1:12">
      <c r="A58" s="3" t="s">
        <v>248</v>
      </c>
      <c r="B58" s="3" t="s">
        <v>17</v>
      </c>
      <c r="C58" s="3" t="s">
        <v>25</v>
      </c>
      <c r="D58" s="3" t="s">
        <v>214</v>
      </c>
      <c r="E58" s="3">
        <v>4</v>
      </c>
      <c r="F58" s="7" t="s">
        <v>342</v>
      </c>
      <c r="G58" s="5"/>
      <c r="H58" s="5"/>
      <c r="I58" s="5"/>
      <c r="J58" s="5" t="s">
        <v>200</v>
      </c>
      <c r="K58" s="5" t="s">
        <v>200</v>
      </c>
      <c r="L58" s="5"/>
    </row>
    <row r="59" spans="1:12">
      <c r="A59" s="3" t="s">
        <v>249</v>
      </c>
      <c r="B59" s="3" t="s">
        <v>17</v>
      </c>
      <c r="C59" s="3" t="s">
        <v>25</v>
      </c>
      <c r="D59" s="3" t="s">
        <v>214</v>
      </c>
      <c r="E59" s="3">
        <v>4</v>
      </c>
      <c r="F59" s="7" t="s">
        <v>342</v>
      </c>
      <c r="G59" s="5"/>
      <c r="H59" s="5"/>
      <c r="I59" s="5"/>
      <c r="J59" s="5" t="s">
        <v>201</v>
      </c>
      <c r="K59" s="5" t="s">
        <v>201</v>
      </c>
      <c r="L59" s="5"/>
    </row>
    <row r="60" spans="1:12">
      <c r="A60" s="3" t="s">
        <v>250</v>
      </c>
      <c r="B60" s="3" t="s">
        <v>17</v>
      </c>
      <c r="C60" s="3" t="s">
        <v>25</v>
      </c>
      <c r="D60" s="3" t="s">
        <v>214</v>
      </c>
      <c r="E60" s="3">
        <v>4</v>
      </c>
      <c r="F60" s="7" t="s">
        <v>342</v>
      </c>
      <c r="G60" s="5"/>
      <c r="H60" s="5"/>
      <c r="I60" s="5"/>
      <c r="J60" s="3"/>
      <c r="K60" s="3"/>
      <c r="L60" s="5"/>
    </row>
    <row r="61" spans="1:12">
      <c r="A61" s="3" t="s">
        <v>251</v>
      </c>
      <c r="B61" s="3" t="s">
        <v>17</v>
      </c>
      <c r="C61" s="3" t="s">
        <v>25</v>
      </c>
      <c r="D61" s="3" t="s">
        <v>214</v>
      </c>
      <c r="E61" s="3">
        <v>4</v>
      </c>
      <c r="F61" s="7" t="s">
        <v>342</v>
      </c>
      <c r="G61" s="5"/>
      <c r="H61" s="5"/>
      <c r="I61" s="5"/>
      <c r="J61" s="3"/>
      <c r="K61" s="3"/>
      <c r="L61" s="5"/>
    </row>
    <row r="62" spans="1:12">
      <c r="A62" s="3" t="s">
        <v>257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340</v>
      </c>
      <c r="G62" s="5"/>
      <c r="H62" s="5"/>
      <c r="I62" s="5"/>
      <c r="L62" s="5"/>
    </row>
    <row r="63" spans="1:12">
      <c r="A63" s="3" t="s">
        <v>258</v>
      </c>
      <c r="B63" s="3" t="s">
        <v>17</v>
      </c>
      <c r="C63" s="3" t="s">
        <v>26</v>
      </c>
      <c r="D63" s="3" t="s">
        <v>238</v>
      </c>
      <c r="E63" s="3">
        <v>4</v>
      </c>
      <c r="F63" s="7" t="s">
        <v>340</v>
      </c>
      <c r="G63" s="5"/>
      <c r="H63" s="5"/>
      <c r="I63" s="5"/>
      <c r="J63" s="3"/>
      <c r="K63" s="3"/>
      <c r="L63" s="5"/>
    </row>
    <row r="64" spans="1:12">
      <c r="A64" s="3" t="s">
        <v>259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340</v>
      </c>
      <c r="G64" s="5"/>
      <c r="H64" s="5"/>
      <c r="I64" s="5"/>
      <c r="L64" s="5"/>
    </row>
    <row r="65" spans="1:12">
      <c r="A65" s="3" t="s">
        <v>260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340</v>
      </c>
      <c r="G65" s="5"/>
      <c r="H65" s="5"/>
      <c r="I65" s="5"/>
      <c r="J65" s="3"/>
      <c r="K65" s="3"/>
      <c r="L65" s="5"/>
    </row>
    <row r="66" spans="1:12">
      <c r="A66" s="3" t="s">
        <v>261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342</v>
      </c>
      <c r="G66" s="5"/>
      <c r="H66" s="5"/>
      <c r="I66" s="5"/>
      <c r="J66" s="3"/>
      <c r="K66" s="3"/>
      <c r="L66" s="5"/>
    </row>
    <row r="67" spans="1:12">
      <c r="A67" s="3" t="s">
        <v>262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342</v>
      </c>
      <c r="G67" s="5"/>
      <c r="H67" s="5"/>
      <c r="I67" s="5"/>
      <c r="J67" s="3"/>
      <c r="K67" s="3"/>
      <c r="L67" s="5"/>
    </row>
    <row r="68" spans="1:12">
      <c r="A68" s="3" t="s">
        <v>263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342</v>
      </c>
      <c r="G68" s="5"/>
      <c r="H68" s="5"/>
      <c r="I68" s="5"/>
      <c r="J68" s="3"/>
      <c r="K68" s="3"/>
      <c r="L68" s="5"/>
    </row>
    <row r="69" spans="1:12">
      <c r="A69" s="3" t="s">
        <v>264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342</v>
      </c>
      <c r="G69" s="5"/>
      <c r="H69" s="5"/>
      <c r="I69" s="5"/>
      <c r="L69" s="5"/>
    </row>
    <row r="70" spans="1:12">
      <c r="A70" s="3" t="s">
        <v>265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342</v>
      </c>
      <c r="G70" s="5"/>
      <c r="H70" s="5"/>
      <c r="I70" s="5"/>
      <c r="L70" s="5"/>
    </row>
    <row r="71" spans="1:12">
      <c r="A71" s="3" t="s">
        <v>266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342</v>
      </c>
      <c r="G71" s="5"/>
      <c r="H71" s="5"/>
      <c r="I71" s="5"/>
      <c r="L71" s="5"/>
    </row>
    <row r="72" spans="1:12">
      <c r="A72" s="3" t="s">
        <v>267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342</v>
      </c>
      <c r="G72" s="5"/>
      <c r="H72" s="5"/>
      <c r="I72" s="5"/>
      <c r="L72" s="5"/>
    </row>
    <row r="73" spans="1:12">
      <c r="A73" s="3" t="s">
        <v>268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342</v>
      </c>
      <c r="G73" s="5"/>
      <c r="H73" s="5"/>
      <c r="I73" s="5"/>
      <c r="L73" s="5"/>
    </row>
    <row r="74" spans="1:12">
      <c r="A74" s="3" t="s">
        <v>269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342</v>
      </c>
      <c r="G74" s="5"/>
      <c r="H74" s="5"/>
      <c r="I74" s="5"/>
      <c r="L74" s="5"/>
    </row>
    <row r="75" spans="1:12">
      <c r="A75" s="3" t="s">
        <v>270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342</v>
      </c>
      <c r="G75" s="5"/>
      <c r="H75" s="5"/>
      <c r="I75" s="5"/>
      <c r="L75" s="5"/>
    </row>
    <row r="76" spans="1:12">
      <c r="A76" s="3" t="s">
        <v>271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342</v>
      </c>
      <c r="G76" s="5"/>
      <c r="H76" s="5"/>
      <c r="I76" s="5"/>
      <c r="L76" s="5"/>
    </row>
    <row r="77" spans="1:12">
      <c r="A77" s="3" t="s">
        <v>272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342</v>
      </c>
      <c r="G77" s="5"/>
      <c r="H77" s="5"/>
      <c r="I77" s="5"/>
      <c r="L77" s="5"/>
    </row>
    <row r="78" spans="1:12">
      <c r="A78" s="3" t="s">
        <v>273</v>
      </c>
      <c r="B78" s="3" t="s">
        <v>17</v>
      </c>
      <c r="C78" s="3" t="s">
        <v>26</v>
      </c>
      <c r="D78" s="3" t="s">
        <v>276</v>
      </c>
      <c r="E78" s="3">
        <v>4</v>
      </c>
      <c r="F78" s="7" t="s">
        <v>342</v>
      </c>
      <c r="G78" s="5"/>
      <c r="H78" s="5"/>
      <c r="I78" s="5"/>
      <c r="L78" s="5"/>
    </row>
    <row r="79" spans="1:12">
      <c r="A79" s="3" t="s">
        <v>274</v>
      </c>
      <c r="B79" s="3" t="s">
        <v>17</v>
      </c>
      <c r="C79" s="3" t="s">
        <v>26</v>
      </c>
      <c r="D79" s="3" t="s">
        <v>214</v>
      </c>
      <c r="E79" s="3">
        <v>4</v>
      </c>
      <c r="F79" s="7" t="s">
        <v>342</v>
      </c>
      <c r="G79" s="5"/>
      <c r="H79" s="5"/>
      <c r="I79" s="5"/>
      <c r="L79" s="5"/>
    </row>
    <row r="80" spans="1:12">
      <c r="A80" s="3" t="s">
        <v>275</v>
      </c>
      <c r="B80" s="3" t="s">
        <v>17</v>
      </c>
      <c r="C80" s="3" t="s">
        <v>26</v>
      </c>
      <c r="D80" s="3" t="s">
        <v>214</v>
      </c>
      <c r="E80" s="3">
        <v>4</v>
      </c>
      <c r="F80" s="7" t="s">
        <v>342</v>
      </c>
      <c r="G80" s="5"/>
      <c r="H80" s="5"/>
      <c r="I80" s="5"/>
      <c r="L80" s="5"/>
    </row>
    <row r="81" spans="1:12">
      <c r="A81" s="3" t="s">
        <v>277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351</v>
      </c>
      <c r="G81" s="5"/>
      <c r="H81" s="5"/>
      <c r="I81" s="5"/>
      <c r="L81" s="5"/>
    </row>
    <row r="82" spans="1:12">
      <c r="A82" s="3" t="s">
        <v>278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351</v>
      </c>
      <c r="G82" s="5"/>
      <c r="H82" s="5"/>
      <c r="I82" s="5"/>
      <c r="L82" s="5"/>
    </row>
    <row r="83" spans="1:12">
      <c r="A83" s="3" t="s">
        <v>279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351</v>
      </c>
      <c r="G83" s="5"/>
      <c r="H83" s="5"/>
      <c r="I83" s="5"/>
      <c r="L83" s="5"/>
    </row>
    <row r="84" spans="1:12">
      <c r="A84" s="3" t="s">
        <v>280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351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353</v>
      </c>
      <c r="G85" s="5"/>
      <c r="H85" s="5"/>
      <c r="I85" s="5"/>
      <c r="J85" s="5"/>
      <c r="K85" s="5"/>
      <c r="L85" s="5"/>
    </row>
    <row r="86" spans="1:12">
      <c r="A86" s="3" t="s">
        <v>281</v>
      </c>
      <c r="B86" s="3" t="s">
        <v>17</v>
      </c>
      <c r="C86" s="3" t="s">
        <v>8</v>
      </c>
      <c r="D86" s="3" t="s">
        <v>214</v>
      </c>
      <c r="E86" s="3">
        <v>3</v>
      </c>
      <c r="F86" s="7" t="s">
        <v>351</v>
      </c>
      <c r="G86" s="5"/>
      <c r="H86" s="5"/>
      <c r="I86" s="5"/>
      <c r="J86" s="5"/>
      <c r="K86" s="5"/>
      <c r="L86" s="5"/>
    </row>
    <row r="87" spans="1:12">
      <c r="A87" s="3" t="s">
        <v>282</v>
      </c>
      <c r="B87" s="3" t="s">
        <v>17</v>
      </c>
      <c r="C87" s="3" t="s">
        <v>8</v>
      </c>
      <c r="D87" s="3" t="s">
        <v>214</v>
      </c>
      <c r="E87" s="3">
        <v>2</v>
      </c>
      <c r="F87" s="7" t="s">
        <v>353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351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351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351</v>
      </c>
      <c r="G90" s="5"/>
      <c r="H90" s="5"/>
      <c r="I90" s="5"/>
      <c r="J90" s="5"/>
      <c r="K90" s="5"/>
      <c r="L90" s="5"/>
    </row>
    <row r="91" spans="1:12">
      <c r="A91" s="3" t="s">
        <v>283</v>
      </c>
      <c r="B91" s="3" t="s">
        <v>17</v>
      </c>
      <c r="C91" s="3" t="s">
        <v>28</v>
      </c>
      <c r="D91" s="3" t="s">
        <v>224</v>
      </c>
      <c r="E91" s="3">
        <v>3</v>
      </c>
      <c r="F91" s="7" t="s">
        <v>351</v>
      </c>
      <c r="G91" s="5"/>
      <c r="H91" s="5"/>
      <c r="I91" s="5"/>
      <c r="J91" s="5"/>
      <c r="K91" s="5"/>
      <c r="L91" s="5"/>
    </row>
    <row r="92" spans="1:12">
      <c r="A92" s="3" t="s">
        <v>284</v>
      </c>
      <c r="B92" s="3" t="s">
        <v>17</v>
      </c>
      <c r="C92" s="3" t="s">
        <v>28</v>
      </c>
      <c r="D92" s="3" t="s">
        <v>224</v>
      </c>
      <c r="E92" s="3">
        <v>3</v>
      </c>
      <c r="F92" s="7" t="s">
        <v>351</v>
      </c>
      <c r="G92" s="5"/>
      <c r="H92" s="5"/>
      <c r="I92" s="5"/>
      <c r="J92" s="5"/>
      <c r="K92" s="5"/>
      <c r="L92" s="5"/>
    </row>
    <row r="93" spans="1:12">
      <c r="A93" s="3" t="s">
        <v>285</v>
      </c>
      <c r="B93" s="3" t="s">
        <v>17</v>
      </c>
      <c r="C93" s="3" t="s">
        <v>28</v>
      </c>
      <c r="D93" s="3" t="s">
        <v>224</v>
      </c>
      <c r="E93" s="3">
        <v>3</v>
      </c>
      <c r="F93" s="7" t="s">
        <v>351</v>
      </c>
      <c r="G93" s="5"/>
      <c r="H93" s="5"/>
      <c r="I93" s="5"/>
      <c r="J93" s="5"/>
      <c r="K93" s="5"/>
      <c r="L93" s="5"/>
    </row>
    <row r="94" spans="1:12">
      <c r="A94" s="3" t="s">
        <v>286</v>
      </c>
      <c r="B94" s="3" t="s">
        <v>17</v>
      </c>
      <c r="C94" s="3" t="s">
        <v>28</v>
      </c>
      <c r="D94" s="3" t="s">
        <v>224</v>
      </c>
      <c r="E94" s="3">
        <v>3</v>
      </c>
      <c r="F94" s="7" t="s">
        <v>351</v>
      </c>
      <c r="G94" s="5"/>
      <c r="H94" s="5"/>
      <c r="I94" s="5"/>
      <c r="J94" s="5"/>
      <c r="K94" s="5"/>
      <c r="L94" s="5"/>
    </row>
    <row r="95" spans="1:12">
      <c r="A95" s="3" t="s">
        <v>287</v>
      </c>
      <c r="B95" s="3" t="s">
        <v>17</v>
      </c>
      <c r="C95" s="3" t="s">
        <v>28</v>
      </c>
      <c r="D95" s="3" t="s">
        <v>214</v>
      </c>
      <c r="E95" s="3">
        <v>3</v>
      </c>
      <c r="F95" s="7" t="s">
        <v>351</v>
      </c>
      <c r="G95" s="5"/>
      <c r="H95" s="5"/>
      <c r="I95" s="5"/>
      <c r="J95" s="5"/>
      <c r="K95" s="5"/>
      <c r="L95" s="5"/>
    </row>
    <row r="96" spans="1:12">
      <c r="A96" s="3" t="s">
        <v>288</v>
      </c>
      <c r="B96" s="3" t="s">
        <v>17</v>
      </c>
      <c r="C96" s="3" t="s">
        <v>28</v>
      </c>
      <c r="D96" s="3" t="s">
        <v>214</v>
      </c>
      <c r="E96" s="3">
        <v>3</v>
      </c>
      <c r="F96" s="7" t="s">
        <v>351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342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342</v>
      </c>
      <c r="G98" s="5"/>
      <c r="H98" s="5"/>
      <c r="I98" s="5"/>
      <c r="J98" s="5"/>
      <c r="K98" s="5"/>
      <c r="L98" s="5"/>
    </row>
    <row r="99" spans="1:12">
      <c r="A99" s="3" t="s">
        <v>289</v>
      </c>
      <c r="B99" s="3" t="s">
        <v>17</v>
      </c>
      <c r="C99" s="3" t="s">
        <v>10</v>
      </c>
      <c r="D99" s="3" t="s">
        <v>224</v>
      </c>
      <c r="E99" s="3">
        <v>4</v>
      </c>
      <c r="F99" s="7" t="s">
        <v>342</v>
      </c>
      <c r="G99" s="5"/>
      <c r="H99" s="5"/>
      <c r="I99" s="5"/>
      <c r="J99" s="5"/>
      <c r="K99" s="5"/>
      <c r="L99" s="5"/>
    </row>
    <row r="100" spans="1:12">
      <c r="A100" s="3" t="s">
        <v>290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342</v>
      </c>
      <c r="G100" s="5"/>
      <c r="H100" s="5"/>
      <c r="I100" s="5"/>
      <c r="J100" s="5"/>
      <c r="K100" s="5"/>
      <c r="L100" s="5"/>
    </row>
    <row r="101" spans="1:12">
      <c r="A101" s="3" t="s">
        <v>291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342</v>
      </c>
      <c r="G101" s="5"/>
      <c r="H101" s="5"/>
      <c r="I101" s="5"/>
      <c r="J101" s="5"/>
      <c r="K101" s="5"/>
      <c r="L101" s="5"/>
    </row>
    <row r="102" spans="1:12">
      <c r="A102" s="3" t="s">
        <v>292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342</v>
      </c>
      <c r="G102" s="5"/>
      <c r="H102" s="5"/>
      <c r="I102" s="5"/>
      <c r="J102" s="5"/>
      <c r="K102" s="5"/>
      <c r="L102" s="5"/>
    </row>
    <row r="103" spans="1:12">
      <c r="A103" s="3" t="s">
        <v>293</v>
      </c>
      <c r="B103" s="3" t="s">
        <v>17</v>
      </c>
      <c r="C103" s="3" t="s">
        <v>10</v>
      </c>
      <c r="D103" s="3" t="s">
        <v>214</v>
      </c>
      <c r="E103" s="3">
        <v>4</v>
      </c>
      <c r="F103" s="7" t="s">
        <v>342</v>
      </c>
      <c r="G103" s="5"/>
      <c r="H103" s="5"/>
      <c r="I103" s="5"/>
      <c r="J103" s="5"/>
      <c r="K103" s="5"/>
      <c r="L103" s="5"/>
    </row>
    <row r="104" spans="1:12">
      <c r="A104" s="3" t="s">
        <v>294</v>
      </c>
      <c r="B104" s="3" t="s">
        <v>17</v>
      </c>
      <c r="C104" s="3" t="s">
        <v>10</v>
      </c>
      <c r="D104" s="3" t="s">
        <v>214</v>
      </c>
      <c r="E104" s="3">
        <v>4</v>
      </c>
      <c r="F104" s="7" t="s">
        <v>342</v>
      </c>
      <c r="G104" s="5"/>
      <c r="H104" s="5"/>
      <c r="I104" s="5"/>
      <c r="J104" s="5"/>
      <c r="K104" s="5"/>
      <c r="L104" s="5"/>
    </row>
    <row r="105" spans="1:12">
      <c r="A105" s="3" t="s">
        <v>295</v>
      </c>
      <c r="B105" s="3" t="s">
        <v>17</v>
      </c>
      <c r="C105" s="3" t="s">
        <v>10</v>
      </c>
      <c r="D105" s="3" t="s">
        <v>214</v>
      </c>
      <c r="E105" s="3">
        <v>4</v>
      </c>
      <c r="F105" s="7" t="s">
        <v>342</v>
      </c>
      <c r="G105" s="5"/>
      <c r="H105" s="5"/>
      <c r="I105" s="5"/>
      <c r="J105" s="5"/>
      <c r="K105" s="5"/>
      <c r="L105" s="5"/>
    </row>
    <row r="106" spans="1:12">
      <c r="A106" s="3" t="s">
        <v>296</v>
      </c>
      <c r="B106" s="3" t="s">
        <v>17</v>
      </c>
      <c r="C106" s="3" t="s">
        <v>10</v>
      </c>
      <c r="D106" s="3" t="s">
        <v>214</v>
      </c>
      <c r="E106" s="3">
        <v>2</v>
      </c>
      <c r="F106" s="7" t="s">
        <v>353</v>
      </c>
      <c r="G106" s="5"/>
      <c r="H106" s="5"/>
      <c r="I106" s="5"/>
      <c r="J106" s="5"/>
      <c r="K106" s="5"/>
      <c r="L106" s="5"/>
    </row>
    <row r="107" spans="1:12">
      <c r="A107" s="3" t="s">
        <v>297</v>
      </c>
      <c r="B107" s="3" t="s">
        <v>17</v>
      </c>
      <c r="C107" s="3" t="s">
        <v>10</v>
      </c>
      <c r="D107" s="3" t="s">
        <v>214</v>
      </c>
      <c r="E107" s="3">
        <v>4</v>
      </c>
      <c r="F107" s="7" t="s">
        <v>342</v>
      </c>
      <c r="G107" s="5"/>
      <c r="H107" s="5"/>
      <c r="I107" s="5"/>
      <c r="J107" s="5"/>
      <c r="K107" s="5"/>
      <c r="L107" s="5"/>
    </row>
    <row r="108" spans="1:12">
      <c r="A108" s="3" t="s">
        <v>298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342</v>
      </c>
      <c r="G108" s="5"/>
      <c r="H108" s="5"/>
      <c r="I108" s="5"/>
      <c r="J108" s="5"/>
      <c r="K108" s="5"/>
      <c r="L108" s="5"/>
    </row>
    <row r="109" spans="1:12">
      <c r="A109" s="3" t="s">
        <v>299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342</v>
      </c>
      <c r="G109" s="5"/>
      <c r="H109" s="5"/>
      <c r="I109" s="5"/>
      <c r="J109" s="5"/>
      <c r="K109" s="5"/>
      <c r="L109" s="5"/>
    </row>
    <row r="110" spans="1:12">
      <c r="A110" s="3" t="s">
        <v>300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342</v>
      </c>
      <c r="G110" s="5"/>
      <c r="H110" s="5"/>
      <c r="I110" s="5"/>
      <c r="J110" s="5"/>
      <c r="K110" s="5"/>
      <c r="L110" s="5"/>
    </row>
    <row r="111" spans="1:12">
      <c r="A111" s="3" t="s">
        <v>301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342</v>
      </c>
      <c r="G111" s="5"/>
      <c r="H111" s="5"/>
      <c r="I111" s="5"/>
      <c r="J111" s="5"/>
      <c r="K111" s="5"/>
      <c r="L111" s="5"/>
    </row>
    <row r="112" spans="1:12">
      <c r="A112" s="3" t="s">
        <v>302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342</v>
      </c>
      <c r="G112" s="5"/>
      <c r="H112" s="5"/>
      <c r="I112" s="5"/>
      <c r="J112" s="5"/>
      <c r="K112" s="5"/>
      <c r="L112" s="5"/>
    </row>
    <row r="113" spans="1:12">
      <c r="A113" s="3" t="s">
        <v>303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342</v>
      </c>
      <c r="G113" s="5"/>
      <c r="H113" s="5"/>
      <c r="I113" s="5"/>
      <c r="J113" s="5"/>
      <c r="K113" s="5"/>
      <c r="L113" s="5"/>
    </row>
    <row r="114" spans="1:12">
      <c r="A114" s="3" t="s">
        <v>304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342</v>
      </c>
      <c r="G114" s="5"/>
      <c r="H114" s="5"/>
      <c r="I114" s="5"/>
      <c r="J114" s="5"/>
      <c r="K114" s="5"/>
      <c r="L114" s="5"/>
    </row>
    <row r="115" spans="1:12">
      <c r="A115" s="3" t="s">
        <v>305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342</v>
      </c>
      <c r="G115" s="5"/>
      <c r="H115" s="5"/>
      <c r="I115" s="5"/>
      <c r="J115" s="5"/>
      <c r="K115" s="5"/>
      <c r="L115" s="5"/>
    </row>
    <row r="116" spans="1:12">
      <c r="A116" s="3" t="s">
        <v>306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342</v>
      </c>
      <c r="G116" s="5"/>
      <c r="H116" s="5"/>
      <c r="I116" s="5"/>
      <c r="J116" s="5"/>
      <c r="K116" s="5"/>
      <c r="L116" s="5"/>
    </row>
    <row r="117" spans="1:12">
      <c r="A117" s="3" t="s">
        <v>307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342</v>
      </c>
      <c r="G117" s="5"/>
      <c r="H117" s="5"/>
      <c r="I117" s="5"/>
      <c r="J117" s="5"/>
      <c r="K117" s="5"/>
      <c r="L117" s="5"/>
    </row>
    <row r="118" spans="1:12">
      <c r="A118" s="3" t="s">
        <v>308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342</v>
      </c>
      <c r="G118" s="5"/>
      <c r="H118" s="5"/>
      <c r="I118" s="5"/>
      <c r="J118" s="5"/>
      <c r="K118" s="5"/>
      <c r="L118" s="5"/>
    </row>
    <row r="119" spans="1:12">
      <c r="A119" s="3" t="s">
        <v>309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342</v>
      </c>
      <c r="G119" s="5"/>
      <c r="H119" s="5"/>
      <c r="I119" s="5"/>
      <c r="J119" s="5"/>
      <c r="K119" s="5"/>
      <c r="L119" s="5"/>
    </row>
    <row r="120" spans="1:12">
      <c r="A120" s="3" t="s">
        <v>310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342</v>
      </c>
      <c r="G120" s="5"/>
      <c r="H120" s="5"/>
      <c r="I120" s="5"/>
      <c r="J120" s="5"/>
      <c r="K120" s="5"/>
      <c r="L120" s="5"/>
    </row>
    <row r="121" spans="1:12">
      <c r="A121" s="3" t="s">
        <v>311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342</v>
      </c>
      <c r="G121" s="5"/>
      <c r="H121" s="5"/>
      <c r="I121" s="5"/>
      <c r="J121" s="5"/>
      <c r="K121" s="5"/>
      <c r="L121" s="5"/>
    </row>
    <row r="122" spans="1:12">
      <c r="A122" s="3" t="s">
        <v>312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342</v>
      </c>
      <c r="G122" s="5"/>
      <c r="H122" s="5"/>
      <c r="I122" s="5"/>
      <c r="J122" s="5"/>
      <c r="K122" s="5"/>
      <c r="L122" s="5"/>
    </row>
    <row r="123" spans="1:12">
      <c r="A123" s="3" t="s">
        <v>313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342</v>
      </c>
      <c r="G123" s="5"/>
      <c r="H123" s="5"/>
      <c r="I123" s="5"/>
      <c r="J123" s="5"/>
      <c r="K123" s="5"/>
      <c r="L123" s="5"/>
    </row>
    <row r="124" spans="1:12">
      <c r="A124" s="3" t="s">
        <v>314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342</v>
      </c>
      <c r="G124" s="5"/>
      <c r="H124" s="5"/>
      <c r="I124" s="5"/>
      <c r="J124" s="5"/>
      <c r="K124" s="5"/>
      <c r="L124" s="5"/>
    </row>
    <row r="125" spans="1:12">
      <c r="A125" s="3" t="s">
        <v>315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342</v>
      </c>
      <c r="G125" s="5"/>
      <c r="H125" s="5"/>
      <c r="I125" s="5"/>
      <c r="J125" s="5"/>
      <c r="K125" s="5"/>
      <c r="L125" s="5"/>
    </row>
    <row r="126" spans="1:12">
      <c r="A126" s="3" t="s">
        <v>317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342</v>
      </c>
      <c r="G126" s="5"/>
      <c r="H126" s="5"/>
      <c r="I126" s="5"/>
      <c r="J126" s="5"/>
      <c r="K126" s="5"/>
      <c r="L126" s="5"/>
    </row>
    <row r="127" spans="1:12">
      <c r="A127" s="3" t="s">
        <v>316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342</v>
      </c>
      <c r="G127" s="5"/>
      <c r="H127" s="5"/>
      <c r="I127" s="5"/>
      <c r="J127" s="5"/>
      <c r="K127" s="5"/>
      <c r="L127" s="5"/>
    </row>
    <row r="128" spans="1:12">
      <c r="A128" s="3" t="s">
        <v>318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342</v>
      </c>
      <c r="G128" s="5"/>
      <c r="H128" s="5"/>
      <c r="I128" s="5"/>
      <c r="J128" s="5"/>
      <c r="K128" s="5"/>
      <c r="L128" s="5"/>
    </row>
    <row r="129" spans="1:12">
      <c r="A129" s="3" t="s">
        <v>319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342</v>
      </c>
      <c r="G129" s="5"/>
      <c r="H129" s="5"/>
      <c r="I129" s="5"/>
      <c r="J129" s="5"/>
      <c r="K129" s="5"/>
      <c r="L129" s="5"/>
    </row>
    <row r="130" spans="1:12">
      <c r="A130" s="3" t="s">
        <v>320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342</v>
      </c>
      <c r="G130" s="5"/>
      <c r="H130" s="5"/>
      <c r="I130" s="5"/>
      <c r="J130" s="5"/>
      <c r="K130" s="5"/>
      <c r="L130" s="5"/>
    </row>
    <row r="131" spans="1:12">
      <c r="A131" s="3" t="s">
        <v>324</v>
      </c>
      <c r="B131" s="3" t="s">
        <v>17</v>
      </c>
      <c r="C131" s="3" t="s">
        <v>30</v>
      </c>
      <c r="D131" s="3" t="s">
        <v>214</v>
      </c>
      <c r="E131" s="3">
        <v>4</v>
      </c>
      <c r="F131" s="7" t="s">
        <v>342</v>
      </c>
      <c r="G131" s="5"/>
      <c r="H131" s="5"/>
      <c r="I131" s="5"/>
      <c r="J131" s="5"/>
      <c r="K131" s="5"/>
      <c r="L131" s="5"/>
    </row>
    <row r="132" spans="1:12">
      <c r="A132" s="3" t="s">
        <v>325</v>
      </c>
      <c r="B132" s="3" t="s">
        <v>17</v>
      </c>
      <c r="C132" s="3" t="s">
        <v>30</v>
      </c>
      <c r="D132" s="3" t="s">
        <v>214</v>
      </c>
      <c r="E132" s="3">
        <v>4</v>
      </c>
      <c r="F132" s="7" t="s">
        <v>342</v>
      </c>
      <c r="G132" s="5"/>
      <c r="H132" s="5"/>
      <c r="I132" s="5"/>
      <c r="J132" s="5"/>
      <c r="K132" s="5"/>
      <c r="L132" s="5"/>
    </row>
    <row r="133" spans="1:12">
      <c r="A133" s="3" t="s">
        <v>326</v>
      </c>
      <c r="B133" s="3" t="s">
        <v>17</v>
      </c>
      <c r="C133" s="3" t="s">
        <v>30</v>
      </c>
      <c r="D133" s="3" t="s">
        <v>214</v>
      </c>
      <c r="E133" s="3">
        <v>4</v>
      </c>
      <c r="F133" s="7" t="s">
        <v>342</v>
      </c>
      <c r="G133" s="5"/>
      <c r="H133" s="5"/>
      <c r="I133" s="5"/>
      <c r="J133" s="5"/>
      <c r="K133" s="5"/>
      <c r="L133" s="5"/>
    </row>
    <row r="134" spans="1:12">
      <c r="A134" s="3" t="s">
        <v>327</v>
      </c>
      <c r="B134" s="3" t="s">
        <v>17</v>
      </c>
      <c r="C134" s="3" t="s">
        <v>30</v>
      </c>
      <c r="D134" s="3" t="s">
        <v>214</v>
      </c>
      <c r="E134" s="3">
        <v>4</v>
      </c>
      <c r="F134" s="7" t="s">
        <v>342</v>
      </c>
      <c r="G134" s="5"/>
      <c r="H134" s="5"/>
      <c r="I134" s="5"/>
      <c r="J134" s="5"/>
      <c r="K134" s="5"/>
      <c r="L134" s="5"/>
    </row>
    <row r="135" spans="1:12">
      <c r="A135" s="3" t="s">
        <v>328</v>
      </c>
      <c r="B135" s="3" t="s">
        <v>17</v>
      </c>
      <c r="C135" s="3" t="s">
        <v>30</v>
      </c>
      <c r="D135" s="3" t="s">
        <v>214</v>
      </c>
      <c r="E135" s="3">
        <v>4</v>
      </c>
      <c r="F135" s="7" t="s">
        <v>342</v>
      </c>
      <c r="G135" s="5"/>
      <c r="H135" s="5"/>
      <c r="I135" s="5"/>
      <c r="J135" s="5"/>
      <c r="K135" s="5"/>
      <c r="L135" s="5"/>
    </row>
    <row r="136" spans="1:12">
      <c r="A136" s="3" t="s">
        <v>329</v>
      </c>
      <c r="B136" s="3" t="s">
        <v>17</v>
      </c>
      <c r="C136" s="3" t="s">
        <v>30</v>
      </c>
      <c r="D136" s="3" t="s">
        <v>214</v>
      </c>
      <c r="E136" s="3">
        <v>4</v>
      </c>
      <c r="F136" s="7" t="s">
        <v>342</v>
      </c>
      <c r="G136" s="5"/>
      <c r="H136" s="5"/>
      <c r="I136" s="5"/>
      <c r="J136" s="5"/>
      <c r="K136" s="5"/>
      <c r="L136" s="5"/>
    </row>
    <row r="137" spans="1:12">
      <c r="A137" s="3" t="s">
        <v>330</v>
      </c>
      <c r="B137" s="3" t="s">
        <v>17</v>
      </c>
      <c r="C137" s="3" t="s">
        <v>30</v>
      </c>
      <c r="D137" s="3" t="s">
        <v>214</v>
      </c>
      <c r="E137" s="3">
        <v>4</v>
      </c>
      <c r="F137" s="7" t="s">
        <v>342</v>
      </c>
      <c r="G137" s="5"/>
      <c r="H137" s="5"/>
      <c r="I137" s="5"/>
      <c r="J137" s="5"/>
      <c r="K137" s="5"/>
      <c r="L137" s="5"/>
    </row>
    <row r="138" spans="1:12">
      <c r="A138" s="3" t="s">
        <v>331</v>
      </c>
      <c r="B138" s="3" t="s">
        <v>17</v>
      </c>
      <c r="C138" s="3" t="s">
        <v>30</v>
      </c>
      <c r="D138" s="3" t="s">
        <v>214</v>
      </c>
      <c r="E138" s="3">
        <v>4</v>
      </c>
      <c r="F138" s="7" t="s">
        <v>342</v>
      </c>
      <c r="G138" s="5"/>
      <c r="H138" s="5"/>
      <c r="I138" s="5"/>
      <c r="J138" s="5"/>
      <c r="K138" s="5"/>
      <c r="L138" s="5"/>
    </row>
    <row r="139" spans="1:12">
      <c r="A139" s="3" t="s">
        <v>322</v>
      </c>
      <c r="B139" s="3" t="s">
        <v>17</v>
      </c>
      <c r="C139" s="3" t="s">
        <v>322</v>
      </c>
      <c r="D139" s="3" t="s">
        <v>256</v>
      </c>
      <c r="E139" s="3">
        <v>4</v>
      </c>
      <c r="F139" s="7" t="s">
        <v>342</v>
      </c>
      <c r="G139" s="5"/>
      <c r="H139" s="5"/>
      <c r="I139" s="5"/>
      <c r="J139" s="5"/>
      <c r="K139" s="5"/>
      <c r="L139" s="5"/>
    </row>
    <row r="140" spans="1:12">
      <c r="A140" s="3" t="s">
        <v>321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342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351</v>
      </c>
      <c r="G141" s="5"/>
      <c r="H141" s="5"/>
      <c r="I141" s="5"/>
      <c r="J141" s="5"/>
      <c r="K141" s="5"/>
      <c r="L141" s="5"/>
    </row>
    <row r="142" spans="1:12">
      <c r="A142" s="3" t="s">
        <v>332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351</v>
      </c>
      <c r="G142" s="5"/>
      <c r="H142" s="5"/>
      <c r="I142" s="5"/>
      <c r="J142" s="5"/>
      <c r="K142" s="5"/>
      <c r="L142" s="5"/>
    </row>
    <row r="143" spans="1:12">
      <c r="A143" s="3" t="s">
        <v>333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351</v>
      </c>
      <c r="G143" s="5"/>
      <c r="H143" s="5"/>
      <c r="I143" s="5"/>
      <c r="J143" s="5"/>
      <c r="K143" s="5"/>
      <c r="L143" s="5"/>
    </row>
    <row r="144" spans="1:12">
      <c r="A144" s="3" t="s">
        <v>334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351</v>
      </c>
      <c r="G144" s="5"/>
      <c r="H144" s="5"/>
      <c r="I144" s="5"/>
      <c r="J144" s="5"/>
      <c r="K144" s="5"/>
      <c r="L144" s="5"/>
    </row>
    <row r="145" spans="1:12">
      <c r="A145" s="3" t="s">
        <v>335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351</v>
      </c>
      <c r="G145" s="5"/>
      <c r="H145" s="5"/>
      <c r="I145" s="5"/>
      <c r="J145" s="5"/>
      <c r="K145" s="5"/>
      <c r="L145" s="5"/>
    </row>
    <row r="146" spans="1:12">
      <c r="A146" s="3" t="s">
        <v>336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351</v>
      </c>
      <c r="G146" s="5"/>
      <c r="H146" s="5"/>
      <c r="I146" s="5"/>
      <c r="J146" s="5"/>
      <c r="K146" s="5"/>
      <c r="L146" s="5"/>
    </row>
    <row r="147" spans="1:12">
      <c r="A147" s="3" t="s">
        <v>337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351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351</v>
      </c>
      <c r="G148" s="5"/>
      <c r="H148" s="5"/>
      <c r="I148" s="5"/>
      <c r="J148" s="5"/>
      <c r="K148" s="5"/>
      <c r="L148" s="5"/>
    </row>
    <row r="149" spans="1:12">
      <c r="A149" s="3" t="s">
        <v>338</v>
      </c>
      <c r="B149" s="3" t="s">
        <v>17</v>
      </c>
      <c r="C149" s="3" t="s">
        <v>32</v>
      </c>
      <c r="D149" s="3" t="s">
        <v>276</v>
      </c>
      <c r="E149" s="3">
        <v>3</v>
      </c>
      <c r="F149" s="7" t="s">
        <v>351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214</v>
      </c>
      <c r="E150" s="3">
        <v>3</v>
      </c>
      <c r="F150" s="7" t="s">
        <v>351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26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4" customWidth="1"/>
    <col min="2" max="2" width="7.5" style="74" customWidth="1"/>
    <col min="3" max="3" width="0.8984375" style="74" customWidth="1"/>
    <col min="4" max="4" width="4" style="74" customWidth="1"/>
    <col min="5" max="5" width="5.8984375" style="74" customWidth="1"/>
    <col min="6" max="6" width="5.59765625" style="74" customWidth="1"/>
    <col min="7" max="7" width="11.19921875" style="74" customWidth="1"/>
    <col min="8" max="8" width="9.09765625" style="74" customWidth="1"/>
    <col min="9" max="9" width="12.69921875" style="74" customWidth="1"/>
    <col min="10" max="10" width="1.3984375" style="74" customWidth="1"/>
    <col min="11" max="11" width="1" style="74" customWidth="1"/>
    <col min="12" max="12" width="10.69921875" style="74" customWidth="1"/>
    <col min="13" max="13" width="10.09765625" style="74" customWidth="1"/>
    <col min="14" max="14" width="16.59765625" style="74" customWidth="1"/>
    <col min="15" max="15" width="8.3984375" style="74" customWidth="1"/>
    <col min="16" max="16" width="9.5" style="74" customWidth="1"/>
    <col min="17" max="17" width="1.19921875" style="74" customWidth="1"/>
    <col min="18" max="18" width="0.5" style="74" customWidth="1"/>
    <col min="19" max="26" width="0" style="74" hidden="1" customWidth="1"/>
    <col min="27" max="16384" width="11" style="74" hidden="1"/>
  </cols>
  <sheetData>
    <row r="1" spans="2:26" ht="15.6"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2:26" ht="36.6" thickBot="1">
      <c r="B2" s="590" t="s">
        <v>368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73"/>
      <c r="S2" s="73"/>
      <c r="T2" s="73"/>
      <c r="U2" s="73"/>
      <c r="V2" s="73"/>
      <c r="W2" s="73"/>
      <c r="X2" s="73"/>
      <c r="Y2" s="73"/>
      <c r="Z2" s="73"/>
    </row>
    <row r="3" spans="2:26" ht="24" customHeight="1" thickBot="1">
      <c r="B3" s="75" t="s">
        <v>369</v>
      </c>
      <c r="C3" s="592" t="s">
        <v>370</v>
      </c>
      <c r="D3" s="593"/>
      <c r="E3" s="593"/>
      <c r="F3" s="593"/>
      <c r="G3" s="593"/>
      <c r="H3" s="593"/>
      <c r="I3" s="593"/>
      <c r="J3" s="594"/>
      <c r="K3" s="595" t="s">
        <v>371</v>
      </c>
      <c r="L3" s="596"/>
      <c r="M3" s="596"/>
      <c r="N3" s="596"/>
      <c r="O3" s="596"/>
      <c r="P3" s="596"/>
      <c r="Q3" s="597"/>
      <c r="R3" s="73"/>
      <c r="S3" s="73"/>
      <c r="T3" s="73"/>
      <c r="U3" s="73"/>
      <c r="V3" s="73"/>
      <c r="W3" s="73"/>
      <c r="X3" s="73"/>
      <c r="Y3" s="73"/>
      <c r="Z3" s="73"/>
    </row>
    <row r="4" spans="2:26" ht="15.6">
      <c r="B4" s="598" t="s">
        <v>372</v>
      </c>
      <c r="C4" s="76" t="s">
        <v>373</v>
      </c>
      <c r="D4" s="77"/>
      <c r="E4" s="77"/>
      <c r="F4" s="77"/>
      <c r="G4" s="77"/>
      <c r="H4" s="77"/>
      <c r="I4" s="77"/>
      <c r="J4" s="78"/>
      <c r="K4" s="79" t="s">
        <v>373</v>
      </c>
      <c r="L4" s="77"/>
      <c r="M4" s="77"/>
      <c r="N4" s="77"/>
      <c r="O4" s="77"/>
      <c r="P4" s="77"/>
      <c r="Q4" s="78"/>
      <c r="R4" s="73"/>
      <c r="S4" s="73"/>
      <c r="T4" s="73"/>
      <c r="U4" s="73"/>
      <c r="V4" s="73"/>
      <c r="W4" s="73"/>
      <c r="X4" s="73"/>
      <c r="Y4" s="73"/>
      <c r="Z4" s="73"/>
    </row>
    <row r="5" spans="2:26" ht="18.75" customHeight="1">
      <c r="B5" s="599"/>
      <c r="C5" s="80"/>
      <c r="D5" s="586" t="s">
        <v>374</v>
      </c>
      <c r="E5" s="587"/>
      <c r="F5" s="587"/>
      <c r="G5" s="588"/>
      <c r="H5" s="589" t="s">
        <v>375</v>
      </c>
      <c r="I5" s="587"/>
      <c r="J5" s="81"/>
      <c r="K5" s="82"/>
      <c r="L5" s="586" t="s">
        <v>374</v>
      </c>
      <c r="M5" s="587"/>
      <c r="N5" s="588"/>
      <c r="O5" s="589" t="s">
        <v>376</v>
      </c>
      <c r="P5" s="587"/>
      <c r="Q5" s="81"/>
      <c r="R5" s="73"/>
      <c r="S5" s="73"/>
      <c r="T5" s="73"/>
      <c r="U5" s="73"/>
      <c r="V5" s="73"/>
      <c r="W5" s="73"/>
      <c r="X5" s="73"/>
      <c r="Y5" s="73"/>
      <c r="Z5" s="73"/>
    </row>
    <row r="6" spans="2:26" ht="18.75" customHeight="1">
      <c r="B6" s="599"/>
      <c r="C6" s="80"/>
      <c r="D6" s="586" t="s">
        <v>377</v>
      </c>
      <c r="E6" s="587"/>
      <c r="F6" s="587"/>
      <c r="G6" s="588"/>
      <c r="H6" s="589" t="s">
        <v>378</v>
      </c>
      <c r="I6" s="587"/>
      <c r="J6" s="81"/>
      <c r="K6" s="82"/>
      <c r="L6" s="586" t="s">
        <v>377</v>
      </c>
      <c r="M6" s="587"/>
      <c r="N6" s="588"/>
      <c r="O6" s="589" t="s">
        <v>379</v>
      </c>
      <c r="P6" s="587"/>
      <c r="Q6" s="81"/>
      <c r="R6" s="73"/>
      <c r="S6" s="73"/>
      <c r="T6" s="73"/>
      <c r="U6" s="73"/>
      <c r="V6" s="73"/>
      <c r="W6" s="73"/>
      <c r="X6" s="73"/>
      <c r="Y6" s="73"/>
      <c r="Z6" s="73"/>
    </row>
    <row r="7" spans="2:26" ht="18.75" customHeight="1">
      <c r="B7" s="599"/>
      <c r="C7" s="80"/>
      <c r="D7" s="586" t="s">
        <v>380</v>
      </c>
      <c r="E7" s="587"/>
      <c r="F7" s="587"/>
      <c r="G7" s="588"/>
      <c r="H7" s="589" t="s">
        <v>381</v>
      </c>
      <c r="I7" s="587"/>
      <c r="J7" s="81"/>
      <c r="K7" s="82"/>
      <c r="L7" s="586" t="s">
        <v>380</v>
      </c>
      <c r="M7" s="587"/>
      <c r="N7" s="588"/>
      <c r="O7" s="589" t="s">
        <v>382</v>
      </c>
      <c r="P7" s="587"/>
      <c r="Q7" s="81"/>
      <c r="R7" s="73"/>
      <c r="S7" s="73"/>
      <c r="T7" s="73"/>
      <c r="U7" s="73"/>
      <c r="V7" s="73"/>
      <c r="W7" s="73"/>
      <c r="X7" s="73"/>
      <c r="Y7" s="73"/>
      <c r="Z7" s="73"/>
    </row>
    <row r="8" spans="2:26" ht="18.75" customHeight="1">
      <c r="B8" s="599"/>
      <c r="C8" s="80"/>
      <c r="D8" s="586" t="s">
        <v>383</v>
      </c>
      <c r="E8" s="587"/>
      <c r="F8" s="587"/>
      <c r="G8" s="588"/>
      <c r="H8" s="589" t="s">
        <v>384</v>
      </c>
      <c r="I8" s="587"/>
      <c r="J8" s="81"/>
      <c r="K8" s="82"/>
      <c r="L8" s="586" t="s">
        <v>383</v>
      </c>
      <c r="M8" s="587"/>
      <c r="N8" s="588"/>
      <c r="O8" s="589" t="s">
        <v>384</v>
      </c>
      <c r="P8" s="587"/>
      <c r="Q8" s="81"/>
      <c r="R8" s="73"/>
      <c r="S8" s="73"/>
      <c r="T8" s="73"/>
      <c r="U8" s="73"/>
      <c r="V8" s="73"/>
      <c r="W8" s="73"/>
      <c r="X8" s="73"/>
      <c r="Y8" s="73"/>
      <c r="Z8" s="73"/>
    </row>
    <row r="9" spans="2:26" ht="8.25" customHeight="1" thickBot="1">
      <c r="B9" s="600"/>
      <c r="C9" s="83"/>
      <c r="D9" s="84"/>
      <c r="E9" s="84"/>
      <c r="F9" s="84"/>
      <c r="G9" s="84"/>
      <c r="H9" s="84"/>
      <c r="I9" s="84"/>
      <c r="J9" s="85"/>
      <c r="K9" s="86"/>
      <c r="L9" s="84"/>
      <c r="M9" s="84"/>
      <c r="N9" s="84"/>
      <c r="O9" s="84"/>
      <c r="P9" s="84"/>
      <c r="Q9" s="85"/>
      <c r="R9" s="73"/>
      <c r="S9" s="73"/>
      <c r="T9" s="73"/>
      <c r="U9" s="73"/>
      <c r="V9" s="73"/>
      <c r="W9" s="73"/>
      <c r="X9" s="73"/>
      <c r="Y9" s="73"/>
      <c r="Z9" s="73"/>
    </row>
    <row r="10" spans="2:26" ht="6.75" customHeight="1">
      <c r="B10" s="598" t="s">
        <v>385</v>
      </c>
      <c r="C10" s="76"/>
      <c r="D10" s="77"/>
      <c r="E10" s="77"/>
      <c r="F10" s="77"/>
      <c r="G10" s="77"/>
      <c r="H10" s="77"/>
      <c r="I10" s="77"/>
      <c r="J10" s="78"/>
      <c r="K10" s="79"/>
      <c r="L10" s="77"/>
      <c r="M10" s="77"/>
      <c r="N10" s="77"/>
      <c r="O10" s="77"/>
      <c r="P10" s="77"/>
      <c r="Q10" s="78"/>
      <c r="R10" s="73"/>
      <c r="S10" s="73"/>
      <c r="T10" s="73"/>
      <c r="U10" s="73"/>
      <c r="V10" s="73"/>
      <c r="W10" s="73"/>
      <c r="X10" s="73"/>
      <c r="Y10" s="73"/>
      <c r="Z10" s="73"/>
    </row>
    <row r="11" spans="2:26" ht="16.5" customHeight="1">
      <c r="B11" s="599"/>
      <c r="C11" s="80"/>
      <c r="D11" s="586" t="s">
        <v>323</v>
      </c>
      <c r="E11" s="587"/>
      <c r="F11" s="587"/>
      <c r="G11" s="589" t="s">
        <v>386</v>
      </c>
      <c r="H11" s="587"/>
      <c r="I11" s="587"/>
      <c r="J11" s="81"/>
      <c r="K11" s="82"/>
      <c r="L11" s="601" t="s">
        <v>323</v>
      </c>
      <c r="M11" s="602"/>
      <c r="N11" s="605" t="s">
        <v>387</v>
      </c>
      <c r="O11" s="606"/>
      <c r="P11" s="606"/>
      <c r="Q11" s="81"/>
      <c r="R11" s="73"/>
      <c r="S11" s="73"/>
      <c r="T11" s="73"/>
      <c r="U11" s="73"/>
      <c r="V11" s="73"/>
      <c r="W11" s="73"/>
      <c r="X11" s="73"/>
      <c r="Y11" s="73"/>
      <c r="Z11" s="73"/>
    </row>
    <row r="12" spans="2:26" ht="16.5" customHeight="1">
      <c r="B12" s="599"/>
      <c r="C12" s="80"/>
      <c r="D12" s="586" t="s">
        <v>388</v>
      </c>
      <c r="E12" s="587"/>
      <c r="F12" s="587"/>
      <c r="G12" s="589" t="s">
        <v>389</v>
      </c>
      <c r="H12" s="587"/>
      <c r="I12" s="587"/>
      <c r="J12" s="81"/>
      <c r="K12" s="82"/>
      <c r="L12" s="603"/>
      <c r="M12" s="604"/>
      <c r="N12" s="607"/>
      <c r="O12" s="603"/>
      <c r="P12" s="603"/>
      <c r="Q12" s="81"/>
      <c r="R12" s="73"/>
      <c r="S12" s="73"/>
      <c r="T12" s="73"/>
      <c r="U12" s="73"/>
      <c r="V12" s="73"/>
      <c r="W12" s="73"/>
      <c r="X12" s="73"/>
      <c r="Y12" s="73"/>
      <c r="Z12" s="73"/>
    </row>
    <row r="13" spans="2:26" ht="16.5" customHeight="1">
      <c r="B13" s="599"/>
      <c r="C13" s="80"/>
      <c r="D13" s="586" t="s">
        <v>390</v>
      </c>
      <c r="E13" s="587"/>
      <c r="F13" s="587"/>
      <c r="G13" s="589" t="s">
        <v>391</v>
      </c>
      <c r="H13" s="587"/>
      <c r="I13" s="587"/>
      <c r="J13" s="81"/>
      <c r="K13" s="82"/>
      <c r="L13" s="586" t="s">
        <v>392</v>
      </c>
      <c r="M13" s="588"/>
      <c r="N13" s="589" t="s">
        <v>391</v>
      </c>
      <c r="O13" s="587"/>
      <c r="P13" s="587"/>
      <c r="Q13" s="81"/>
      <c r="R13" s="73"/>
      <c r="S13" s="73"/>
      <c r="T13" s="73"/>
      <c r="U13" s="73"/>
      <c r="V13" s="73"/>
      <c r="W13" s="73"/>
      <c r="X13" s="73"/>
      <c r="Y13" s="73"/>
      <c r="Z13" s="73"/>
    </row>
    <row r="14" spans="2:26" ht="6.75" customHeight="1" thickBot="1">
      <c r="B14" s="600"/>
      <c r="C14" s="83"/>
      <c r="D14" s="84"/>
      <c r="E14" s="84"/>
      <c r="F14" s="84"/>
      <c r="G14" s="84"/>
      <c r="H14" s="84"/>
      <c r="I14" s="84"/>
      <c r="J14" s="85"/>
      <c r="K14" s="86"/>
      <c r="L14" s="84"/>
      <c r="M14" s="84"/>
      <c r="N14" s="84"/>
      <c r="O14" s="84"/>
      <c r="P14" s="84"/>
      <c r="Q14" s="85"/>
      <c r="R14" s="73"/>
      <c r="S14" s="73"/>
      <c r="T14" s="73"/>
      <c r="U14" s="73"/>
      <c r="V14" s="73"/>
      <c r="W14" s="73"/>
      <c r="X14" s="73"/>
      <c r="Y14" s="73"/>
      <c r="Z14" s="73"/>
    </row>
    <row r="15" spans="2:26" ht="6.75" customHeight="1">
      <c r="B15" s="598" t="s">
        <v>393</v>
      </c>
      <c r="C15" s="76"/>
      <c r="D15" s="77"/>
      <c r="E15" s="77"/>
      <c r="F15" s="77"/>
      <c r="G15" s="77"/>
      <c r="H15" s="77"/>
      <c r="I15" s="77"/>
      <c r="J15" s="78"/>
      <c r="K15" s="79"/>
      <c r="L15" s="77"/>
      <c r="M15" s="77"/>
      <c r="N15" s="77"/>
      <c r="O15" s="77"/>
      <c r="P15" s="77"/>
      <c r="Q15" s="78"/>
      <c r="R15" s="73"/>
      <c r="S15" s="73"/>
      <c r="T15" s="73"/>
      <c r="U15" s="73"/>
      <c r="V15" s="73"/>
      <c r="W15" s="73"/>
      <c r="X15" s="73"/>
      <c r="Y15" s="73"/>
      <c r="Z15" s="73"/>
    </row>
    <row r="16" spans="2:26" ht="20.25" customHeight="1">
      <c r="B16" s="599"/>
      <c r="C16" s="80"/>
      <c r="D16" s="586" t="s">
        <v>394</v>
      </c>
      <c r="E16" s="587"/>
      <c r="F16" s="587"/>
      <c r="G16" s="588"/>
      <c r="H16" s="589">
        <v>1</v>
      </c>
      <c r="I16" s="587"/>
      <c r="J16" s="81"/>
      <c r="K16" s="82"/>
      <c r="L16" s="586" t="s">
        <v>394</v>
      </c>
      <c r="M16" s="587"/>
      <c r="N16" s="588"/>
      <c r="O16" s="589" t="s">
        <v>395</v>
      </c>
      <c r="P16" s="587"/>
      <c r="Q16" s="81"/>
      <c r="R16" s="73"/>
      <c r="S16" s="73"/>
      <c r="T16" s="73"/>
      <c r="U16" s="73"/>
      <c r="V16" s="73"/>
      <c r="W16" s="73"/>
      <c r="X16" s="73"/>
      <c r="Y16" s="73"/>
      <c r="Z16" s="73"/>
    </row>
    <row r="17" spans="2:26" ht="20.25" customHeight="1">
      <c r="B17" s="599"/>
      <c r="C17" s="80"/>
      <c r="D17" s="586" t="s">
        <v>396</v>
      </c>
      <c r="E17" s="587"/>
      <c r="F17" s="587"/>
      <c r="G17" s="588"/>
      <c r="H17" s="589">
        <v>179</v>
      </c>
      <c r="I17" s="587"/>
      <c r="J17" s="81"/>
      <c r="K17" s="82"/>
      <c r="L17" s="586" t="s">
        <v>397</v>
      </c>
      <c r="M17" s="587"/>
      <c r="N17" s="588"/>
      <c r="O17" s="589" t="s">
        <v>398</v>
      </c>
      <c r="P17" s="587"/>
      <c r="Q17" s="81"/>
      <c r="R17" s="73"/>
      <c r="S17" s="73"/>
      <c r="T17" s="73"/>
      <c r="U17" s="73"/>
      <c r="V17" s="73"/>
      <c r="W17" s="73"/>
      <c r="X17" s="73"/>
      <c r="Y17" s="73"/>
      <c r="Z17" s="73"/>
    </row>
    <row r="18" spans="2:26" ht="20.25" customHeight="1">
      <c r="B18" s="599"/>
      <c r="C18" s="80"/>
      <c r="D18" s="586" t="s">
        <v>399</v>
      </c>
      <c r="E18" s="587"/>
      <c r="F18" s="587"/>
      <c r="G18" s="588"/>
      <c r="H18" s="589">
        <v>368</v>
      </c>
      <c r="I18" s="587"/>
      <c r="J18" s="81"/>
      <c r="K18" s="82"/>
      <c r="L18" s="586" t="s">
        <v>400</v>
      </c>
      <c r="M18" s="587"/>
      <c r="N18" s="588"/>
      <c r="O18" s="589" t="s">
        <v>401</v>
      </c>
      <c r="P18" s="587"/>
      <c r="Q18" s="81"/>
      <c r="R18" s="73"/>
      <c r="S18" s="73"/>
      <c r="T18" s="73"/>
      <c r="U18" s="73"/>
      <c r="V18" s="73"/>
      <c r="W18" s="73"/>
      <c r="X18" s="73"/>
      <c r="Y18" s="73"/>
      <c r="Z18" s="73"/>
    </row>
    <row r="19" spans="2:26" ht="20.25" customHeight="1">
      <c r="B19" s="599"/>
      <c r="C19" s="80"/>
      <c r="D19" s="586" t="s">
        <v>402</v>
      </c>
      <c r="E19" s="587"/>
      <c r="F19" s="587"/>
      <c r="G19" s="588"/>
      <c r="H19" s="589">
        <v>548</v>
      </c>
      <c r="I19" s="587"/>
      <c r="J19" s="81"/>
      <c r="K19" s="82"/>
      <c r="L19" s="586" t="s">
        <v>402</v>
      </c>
      <c r="M19" s="587"/>
      <c r="N19" s="588"/>
      <c r="O19" s="589" t="s">
        <v>403</v>
      </c>
      <c r="P19" s="587"/>
      <c r="Q19" s="81"/>
      <c r="R19" s="73"/>
      <c r="S19" s="73"/>
      <c r="T19" s="73"/>
      <c r="U19" s="73"/>
      <c r="V19" s="73"/>
      <c r="W19" s="73"/>
      <c r="X19" s="73"/>
      <c r="Y19" s="73"/>
      <c r="Z19" s="73"/>
    </row>
    <row r="20" spans="2:26" ht="5.25" customHeight="1" thickBot="1">
      <c r="B20" s="600"/>
      <c r="C20" s="83"/>
      <c r="D20" s="84"/>
      <c r="E20" s="84"/>
      <c r="F20" s="84"/>
      <c r="G20" s="84"/>
      <c r="H20" s="84"/>
      <c r="I20" s="84"/>
      <c r="J20" s="85"/>
      <c r="K20" s="86"/>
      <c r="L20" s="84"/>
      <c r="M20" s="84"/>
      <c r="N20" s="84"/>
      <c r="O20" s="84"/>
      <c r="P20" s="84"/>
      <c r="Q20" s="85"/>
      <c r="R20" s="73"/>
      <c r="S20" s="73"/>
      <c r="T20" s="73"/>
      <c r="U20" s="73"/>
      <c r="V20" s="73"/>
      <c r="W20" s="73"/>
      <c r="X20" s="73"/>
      <c r="Y20" s="73"/>
      <c r="Z20" s="73"/>
    </row>
    <row r="21" spans="2:26" ht="5.25" customHeight="1">
      <c r="B21" s="598" t="s">
        <v>404</v>
      </c>
      <c r="C21" s="76"/>
      <c r="D21" s="77"/>
      <c r="E21" s="77"/>
      <c r="F21" s="77"/>
      <c r="G21" s="77"/>
      <c r="H21" s="77"/>
      <c r="I21" s="77"/>
      <c r="J21" s="78"/>
      <c r="K21" s="79"/>
      <c r="L21" s="77"/>
      <c r="M21" s="77"/>
      <c r="N21" s="77"/>
      <c r="O21" s="77"/>
      <c r="P21" s="77"/>
      <c r="Q21" s="78"/>
      <c r="R21" s="73"/>
      <c r="S21" s="73"/>
      <c r="T21" s="73"/>
      <c r="U21" s="73"/>
      <c r="V21" s="73"/>
      <c r="W21" s="73"/>
      <c r="X21" s="73"/>
      <c r="Y21" s="73"/>
      <c r="Z21" s="73"/>
    </row>
    <row r="22" spans="2:26" ht="31.8" thickBot="1">
      <c r="B22" s="599"/>
      <c r="C22" s="80"/>
      <c r="D22" s="87"/>
      <c r="E22" s="88"/>
      <c r="F22" s="89" t="s">
        <v>405</v>
      </c>
      <c r="G22" s="89" t="s">
        <v>406</v>
      </c>
      <c r="H22" s="89" t="s">
        <v>407</v>
      </c>
      <c r="I22" s="90" t="s">
        <v>408</v>
      </c>
      <c r="J22" s="91"/>
      <c r="K22" s="92"/>
      <c r="L22" s="87"/>
      <c r="M22" s="89" t="s">
        <v>406</v>
      </c>
      <c r="N22" s="89" t="s">
        <v>409</v>
      </c>
      <c r="O22" s="608" t="s">
        <v>408</v>
      </c>
      <c r="P22" s="609"/>
      <c r="Q22" s="81"/>
      <c r="R22" s="73"/>
      <c r="S22" s="73"/>
      <c r="T22" s="73"/>
      <c r="U22" s="73"/>
      <c r="V22" s="73"/>
      <c r="W22" s="73"/>
      <c r="X22" s="73"/>
      <c r="Y22" s="73"/>
      <c r="Z22" s="73"/>
    </row>
    <row r="23" spans="2:26" ht="16.2" thickTop="1">
      <c r="B23" s="599"/>
      <c r="C23" s="80"/>
      <c r="D23" s="610" t="s">
        <v>406</v>
      </c>
      <c r="E23" s="612" t="s">
        <v>410</v>
      </c>
      <c r="F23" s="612" t="s">
        <v>411</v>
      </c>
      <c r="G23" s="93" t="s">
        <v>412</v>
      </c>
      <c r="H23" s="93" t="s">
        <v>413</v>
      </c>
      <c r="I23" s="615">
        <v>24</v>
      </c>
      <c r="J23" s="91"/>
      <c r="K23" s="92"/>
      <c r="L23" s="610" t="s">
        <v>414</v>
      </c>
      <c r="M23" s="94" t="s">
        <v>412</v>
      </c>
      <c r="N23" s="94" t="s">
        <v>415</v>
      </c>
      <c r="O23" s="615">
        <v>24</v>
      </c>
      <c r="P23" s="623"/>
      <c r="Q23" s="81"/>
      <c r="R23" s="73"/>
      <c r="S23" s="73"/>
      <c r="T23" s="73"/>
      <c r="U23" s="73"/>
      <c r="V23" s="73"/>
      <c r="W23" s="73"/>
      <c r="X23" s="73"/>
      <c r="Y23" s="73"/>
      <c r="Z23" s="73"/>
    </row>
    <row r="24" spans="2:26" ht="15.6">
      <c r="B24" s="599"/>
      <c r="C24" s="80"/>
      <c r="D24" s="611"/>
      <c r="E24" s="613"/>
      <c r="F24" s="613"/>
      <c r="G24" s="95" t="s">
        <v>416</v>
      </c>
      <c r="H24" s="95" t="s">
        <v>417</v>
      </c>
      <c r="I24" s="616"/>
      <c r="J24" s="91"/>
      <c r="K24" s="92"/>
      <c r="L24" s="611"/>
      <c r="M24" s="96" t="s">
        <v>416</v>
      </c>
      <c r="N24" s="96" t="s">
        <v>418</v>
      </c>
      <c r="O24" s="616"/>
      <c r="P24" s="624"/>
      <c r="Q24" s="81"/>
      <c r="R24" s="73"/>
      <c r="S24" s="73"/>
      <c r="T24" s="73"/>
      <c r="U24" s="73"/>
      <c r="V24" s="73"/>
      <c r="W24" s="73"/>
      <c r="X24" s="73"/>
      <c r="Y24" s="73"/>
      <c r="Z24" s="73"/>
    </row>
    <row r="25" spans="2:26" ht="15.6">
      <c r="B25" s="599"/>
      <c r="C25" s="80"/>
      <c r="D25" s="611"/>
      <c r="E25" s="613"/>
      <c r="F25" s="613"/>
      <c r="G25" s="95" t="s">
        <v>419</v>
      </c>
      <c r="H25" s="95" t="s">
        <v>420</v>
      </c>
      <c r="I25" s="617"/>
      <c r="J25" s="91"/>
      <c r="K25" s="92"/>
      <c r="L25" s="611"/>
      <c r="M25" s="96" t="s">
        <v>419</v>
      </c>
      <c r="N25" s="96" t="s">
        <v>421</v>
      </c>
      <c r="O25" s="607"/>
      <c r="P25" s="603"/>
      <c r="Q25" s="81"/>
      <c r="R25" s="73"/>
      <c r="S25" s="73"/>
      <c r="T25" s="73"/>
      <c r="U25" s="73"/>
      <c r="V25" s="73"/>
      <c r="W25" s="73"/>
      <c r="X25" s="73"/>
      <c r="Y25" s="73"/>
      <c r="Z25" s="73"/>
    </row>
    <row r="26" spans="2:26" ht="15.6">
      <c r="B26" s="599"/>
      <c r="C26" s="80"/>
      <c r="D26" s="611"/>
      <c r="E26" s="613"/>
      <c r="F26" s="614"/>
      <c r="G26" s="97" t="s">
        <v>422</v>
      </c>
      <c r="H26" s="97" t="s">
        <v>423</v>
      </c>
      <c r="I26" s="98">
        <v>6</v>
      </c>
      <c r="J26" s="91"/>
      <c r="K26" s="92"/>
      <c r="L26" s="611"/>
      <c r="M26" s="625" t="s">
        <v>424</v>
      </c>
      <c r="N26" s="99" t="s">
        <v>425</v>
      </c>
      <c r="O26" s="626">
        <v>6</v>
      </c>
      <c r="P26" s="627"/>
      <c r="Q26" s="81"/>
      <c r="R26" s="73"/>
      <c r="S26" s="73"/>
      <c r="T26" s="73"/>
      <c r="U26" s="73"/>
      <c r="V26" s="73"/>
      <c r="W26" s="73"/>
      <c r="X26" s="73"/>
      <c r="Y26" s="73"/>
      <c r="Z26" s="73"/>
    </row>
    <row r="27" spans="2:26" ht="46.8">
      <c r="B27" s="599"/>
      <c r="C27" s="80"/>
      <c r="D27" s="611"/>
      <c r="E27" s="613"/>
      <c r="F27" s="625" t="s">
        <v>426</v>
      </c>
      <c r="G27" s="99" t="s">
        <v>424</v>
      </c>
      <c r="H27" s="99" t="s">
        <v>427</v>
      </c>
      <c r="I27" s="628">
        <v>12</v>
      </c>
      <c r="J27" s="91"/>
      <c r="K27" s="92"/>
      <c r="L27" s="611"/>
      <c r="M27" s="614"/>
      <c r="N27" s="97" t="s">
        <v>428</v>
      </c>
      <c r="O27" s="629">
        <v>12</v>
      </c>
      <c r="P27" s="630"/>
      <c r="Q27" s="81"/>
      <c r="R27" s="73"/>
      <c r="S27" s="73"/>
      <c r="T27" s="73"/>
      <c r="U27" s="73"/>
      <c r="V27" s="73"/>
      <c r="W27" s="73"/>
      <c r="X27" s="73"/>
      <c r="Y27" s="73"/>
      <c r="Z27" s="73"/>
    </row>
    <row r="28" spans="2:26" ht="31.2">
      <c r="B28" s="599"/>
      <c r="C28" s="80"/>
      <c r="D28" s="611"/>
      <c r="E28" s="613"/>
      <c r="F28" s="614"/>
      <c r="G28" s="97" t="s">
        <v>429</v>
      </c>
      <c r="H28" s="97" t="s">
        <v>430</v>
      </c>
      <c r="I28" s="607"/>
      <c r="J28" s="91"/>
      <c r="K28" s="92"/>
      <c r="L28" s="611"/>
      <c r="M28" s="96" t="s">
        <v>429</v>
      </c>
      <c r="N28" s="96" t="s">
        <v>431</v>
      </c>
      <c r="O28" s="607"/>
      <c r="P28" s="603"/>
      <c r="Q28" s="81"/>
      <c r="R28" s="73"/>
      <c r="S28" s="73"/>
      <c r="T28" s="73"/>
      <c r="U28" s="73"/>
      <c r="V28" s="73"/>
      <c r="W28" s="73"/>
      <c r="X28" s="73"/>
      <c r="Y28" s="73"/>
      <c r="Z28" s="73"/>
    </row>
    <row r="29" spans="2:26" ht="15.6">
      <c r="B29" s="599"/>
      <c r="C29" s="80"/>
      <c r="D29" s="611"/>
      <c r="E29" s="613"/>
      <c r="F29" s="625" t="s">
        <v>432</v>
      </c>
      <c r="G29" s="99" t="s">
        <v>433</v>
      </c>
      <c r="H29" s="100"/>
      <c r="I29" s="101">
        <v>8</v>
      </c>
      <c r="J29" s="91"/>
      <c r="K29" s="92"/>
      <c r="L29" s="611"/>
      <c r="M29" s="96" t="s">
        <v>433</v>
      </c>
      <c r="N29" s="102"/>
      <c r="O29" s="620">
        <v>8</v>
      </c>
      <c r="P29" s="587"/>
      <c r="Q29" s="81"/>
      <c r="R29" s="73"/>
      <c r="S29" s="73"/>
      <c r="T29" s="73"/>
      <c r="U29" s="73"/>
      <c r="V29" s="73"/>
      <c r="W29" s="73"/>
      <c r="X29" s="73"/>
      <c r="Y29" s="73"/>
      <c r="Z29" s="73"/>
    </row>
    <row r="30" spans="2:26" ht="15.6">
      <c r="B30" s="599"/>
      <c r="C30" s="80"/>
      <c r="D30" s="611"/>
      <c r="E30" s="613"/>
      <c r="F30" s="614"/>
      <c r="G30" s="97" t="s">
        <v>434</v>
      </c>
      <c r="H30" s="103"/>
      <c r="I30" s="98">
        <v>6</v>
      </c>
      <c r="J30" s="91"/>
      <c r="K30" s="92"/>
      <c r="L30" s="611"/>
      <c r="M30" s="96" t="s">
        <v>434</v>
      </c>
      <c r="N30" s="102"/>
      <c r="O30" s="620">
        <v>6</v>
      </c>
      <c r="P30" s="587"/>
      <c r="Q30" s="81"/>
      <c r="R30" s="73"/>
      <c r="S30" s="73"/>
      <c r="T30" s="73"/>
      <c r="U30" s="73"/>
      <c r="V30" s="73"/>
      <c r="W30" s="73"/>
      <c r="X30" s="73"/>
      <c r="Y30" s="73"/>
      <c r="Z30" s="73"/>
    </row>
    <row r="31" spans="2:26" ht="62.4">
      <c r="B31" s="599"/>
      <c r="C31" s="80"/>
      <c r="D31" s="611"/>
      <c r="E31" s="613"/>
      <c r="F31" s="96" t="s">
        <v>435</v>
      </c>
      <c r="G31" s="96" t="s">
        <v>436</v>
      </c>
      <c r="H31" s="102"/>
      <c r="I31" s="104">
        <v>10</v>
      </c>
      <c r="J31" s="91"/>
      <c r="K31" s="92"/>
      <c r="L31" s="611"/>
      <c r="M31" s="96" t="s">
        <v>437</v>
      </c>
      <c r="N31" s="102"/>
      <c r="O31" s="620">
        <v>8</v>
      </c>
      <c r="P31" s="587"/>
      <c r="Q31" s="81"/>
      <c r="R31" s="73"/>
      <c r="S31" s="73"/>
      <c r="T31" s="73"/>
      <c r="U31" s="73"/>
      <c r="V31" s="73"/>
      <c r="W31" s="73"/>
      <c r="X31" s="73"/>
      <c r="Y31" s="73"/>
      <c r="Z31" s="73"/>
    </row>
    <row r="32" spans="2:26" ht="18.75" customHeight="1">
      <c r="B32" s="599"/>
      <c r="C32" s="80"/>
      <c r="D32" s="611"/>
      <c r="E32" s="614"/>
      <c r="F32" s="621" t="s">
        <v>402</v>
      </c>
      <c r="G32" s="587"/>
      <c r="H32" s="588"/>
      <c r="I32" s="105">
        <v>66</v>
      </c>
      <c r="J32" s="91"/>
      <c r="K32" s="92"/>
      <c r="L32" s="604"/>
      <c r="M32" s="621" t="s">
        <v>402</v>
      </c>
      <c r="N32" s="588"/>
      <c r="O32" s="622">
        <v>64</v>
      </c>
      <c r="P32" s="587"/>
      <c r="Q32" s="81"/>
      <c r="R32" s="73"/>
      <c r="S32" s="73"/>
      <c r="T32" s="73"/>
      <c r="U32" s="73"/>
      <c r="V32" s="73"/>
      <c r="W32" s="73"/>
      <c r="X32" s="73"/>
      <c r="Y32" s="73"/>
      <c r="Z32" s="73"/>
    </row>
    <row r="33" spans="2:26" ht="35.25" customHeight="1">
      <c r="B33" s="599"/>
      <c r="C33" s="80"/>
      <c r="D33" s="604"/>
      <c r="E33" s="106" t="s">
        <v>438</v>
      </c>
      <c r="F33" s="621" t="s">
        <v>439</v>
      </c>
      <c r="G33" s="587"/>
      <c r="H33" s="588"/>
      <c r="I33" s="105">
        <v>86</v>
      </c>
      <c r="J33" s="91"/>
      <c r="K33" s="92"/>
      <c r="L33" s="107" t="s">
        <v>440</v>
      </c>
      <c r="M33" s="621" t="s">
        <v>441</v>
      </c>
      <c r="N33" s="588"/>
      <c r="O33" s="622">
        <v>80</v>
      </c>
      <c r="P33" s="587"/>
      <c r="Q33" s="81"/>
      <c r="R33" s="73"/>
      <c r="S33" s="73"/>
      <c r="T33" s="73"/>
      <c r="U33" s="73"/>
      <c r="V33" s="73"/>
      <c r="W33" s="73"/>
      <c r="X33" s="73"/>
      <c r="Y33" s="73"/>
      <c r="Z33" s="73"/>
    </row>
    <row r="34" spans="2:26" ht="21.75" customHeight="1">
      <c r="B34" s="599"/>
      <c r="C34" s="80"/>
      <c r="D34" s="618" t="s">
        <v>380</v>
      </c>
      <c r="E34" s="587"/>
      <c r="F34" s="587"/>
      <c r="G34" s="587"/>
      <c r="H34" s="588"/>
      <c r="I34" s="108">
        <v>22</v>
      </c>
      <c r="J34" s="91"/>
      <c r="K34" s="92"/>
      <c r="L34" s="618" t="s">
        <v>380</v>
      </c>
      <c r="M34" s="587"/>
      <c r="N34" s="588"/>
      <c r="O34" s="619">
        <v>30</v>
      </c>
      <c r="P34" s="587"/>
      <c r="Q34" s="81"/>
      <c r="R34" s="73"/>
      <c r="S34" s="73"/>
      <c r="T34" s="73"/>
      <c r="U34" s="73"/>
      <c r="V34" s="73"/>
      <c r="W34" s="73"/>
      <c r="X34" s="73"/>
      <c r="Y34" s="73"/>
      <c r="Z34" s="73"/>
    </row>
    <row r="35" spans="2:26" ht="24" customHeight="1">
      <c r="B35" s="599"/>
      <c r="C35" s="80"/>
      <c r="D35" s="618" t="s">
        <v>383</v>
      </c>
      <c r="E35" s="587"/>
      <c r="F35" s="587"/>
      <c r="G35" s="587"/>
      <c r="H35" s="588"/>
      <c r="I35" s="108">
        <v>18</v>
      </c>
      <c r="J35" s="91"/>
      <c r="K35" s="92"/>
      <c r="L35" s="618" t="s">
        <v>383</v>
      </c>
      <c r="M35" s="587"/>
      <c r="N35" s="588"/>
      <c r="O35" s="619">
        <v>18</v>
      </c>
      <c r="P35" s="587"/>
      <c r="Q35" s="81"/>
      <c r="R35" s="73"/>
      <c r="S35" s="73"/>
      <c r="T35" s="73"/>
      <c r="U35" s="73"/>
      <c r="V35" s="73"/>
      <c r="W35" s="73"/>
      <c r="X35" s="73"/>
      <c r="Y35" s="73"/>
      <c r="Z35" s="73"/>
    </row>
    <row r="36" spans="2:26" ht="15.6">
      <c r="B36" s="599"/>
      <c r="C36" s="80"/>
      <c r="D36" s="631" t="s">
        <v>442</v>
      </c>
      <c r="E36" s="587"/>
      <c r="F36" s="587"/>
      <c r="G36" s="587"/>
      <c r="H36" s="588"/>
      <c r="I36" s="105">
        <v>192</v>
      </c>
      <c r="J36" s="91"/>
      <c r="K36" s="92"/>
      <c r="L36" s="631" t="s">
        <v>442</v>
      </c>
      <c r="M36" s="587"/>
      <c r="N36" s="588"/>
      <c r="O36" s="622">
        <v>192</v>
      </c>
      <c r="P36" s="587"/>
      <c r="Q36" s="81"/>
      <c r="R36" s="73"/>
      <c r="S36" s="73"/>
      <c r="T36" s="73"/>
      <c r="U36" s="73"/>
      <c r="V36" s="73"/>
      <c r="W36" s="73"/>
      <c r="X36" s="73"/>
      <c r="Y36" s="73"/>
      <c r="Z36" s="73"/>
    </row>
    <row r="37" spans="2:26" ht="5.25" customHeight="1" thickBot="1">
      <c r="B37" s="600"/>
      <c r="C37" s="83"/>
      <c r="D37" s="84"/>
      <c r="E37" s="84"/>
      <c r="F37" s="84"/>
      <c r="G37" s="84"/>
      <c r="H37" s="84"/>
      <c r="I37" s="84"/>
      <c r="J37" s="85"/>
      <c r="K37" s="86"/>
      <c r="L37" s="84"/>
      <c r="M37" s="84"/>
      <c r="N37" s="84"/>
      <c r="O37" s="84"/>
      <c r="P37" s="84"/>
      <c r="Q37" s="85"/>
      <c r="R37" s="73"/>
      <c r="S37" s="73"/>
      <c r="T37" s="73"/>
      <c r="U37" s="73"/>
      <c r="V37" s="73"/>
      <c r="W37" s="73"/>
      <c r="X37" s="73"/>
      <c r="Y37" s="73"/>
      <c r="Z37" s="73"/>
    </row>
    <row r="38" spans="2:26" ht="5.25" customHeight="1">
      <c r="B38" s="598" t="s">
        <v>443</v>
      </c>
      <c r="C38" s="76"/>
      <c r="D38" s="77"/>
      <c r="E38" s="77"/>
      <c r="F38" s="77"/>
      <c r="G38" s="77"/>
      <c r="H38" s="77"/>
      <c r="I38" s="77"/>
      <c r="J38" s="78"/>
      <c r="K38" s="79"/>
      <c r="L38" s="77"/>
      <c r="M38" s="77"/>
      <c r="N38" s="77"/>
      <c r="O38" s="77"/>
      <c r="P38" s="77"/>
      <c r="Q38" s="78"/>
      <c r="R38" s="73"/>
      <c r="S38" s="73"/>
      <c r="T38" s="73"/>
      <c r="U38" s="73"/>
      <c r="V38" s="73"/>
      <c r="W38" s="73"/>
      <c r="X38" s="73"/>
      <c r="Y38" s="73"/>
      <c r="Z38" s="73"/>
    </row>
    <row r="39" spans="2:26" ht="15.6">
      <c r="B39" s="599"/>
      <c r="C39" s="80" t="s">
        <v>444</v>
      </c>
      <c r="D39" s="109"/>
      <c r="E39" s="109"/>
      <c r="F39" s="109"/>
      <c r="G39" s="109"/>
      <c r="H39" s="109"/>
      <c r="I39" s="109"/>
      <c r="J39" s="81"/>
      <c r="K39" s="82"/>
      <c r="L39" s="109" t="s">
        <v>445</v>
      </c>
      <c r="M39" s="109"/>
      <c r="N39" s="109"/>
      <c r="O39" s="109"/>
      <c r="P39" s="109"/>
      <c r="Q39" s="81"/>
      <c r="R39" s="73"/>
      <c r="S39" s="73"/>
      <c r="T39" s="73"/>
      <c r="U39" s="73"/>
      <c r="V39" s="73"/>
      <c r="W39" s="73"/>
      <c r="X39" s="73"/>
      <c r="Y39" s="73"/>
      <c r="Z39" s="73"/>
    </row>
    <row r="40" spans="2:26" ht="15.6">
      <c r="B40" s="599"/>
      <c r="C40" s="80" t="s">
        <v>446</v>
      </c>
      <c r="D40" s="109"/>
      <c r="E40" s="109"/>
      <c r="F40" s="109"/>
      <c r="G40" s="109"/>
      <c r="H40" s="109"/>
      <c r="I40" s="109"/>
      <c r="J40" s="81"/>
      <c r="K40" s="82"/>
      <c r="L40" s="109" t="s">
        <v>447</v>
      </c>
      <c r="M40" s="109"/>
      <c r="N40" s="109"/>
      <c r="O40" s="109"/>
      <c r="P40" s="109"/>
      <c r="Q40" s="81"/>
      <c r="R40" s="73"/>
      <c r="S40" s="73"/>
      <c r="T40" s="73"/>
      <c r="U40" s="73"/>
      <c r="V40" s="73"/>
      <c r="W40" s="73"/>
      <c r="X40" s="73"/>
      <c r="Y40" s="73"/>
      <c r="Z40" s="73"/>
    </row>
    <row r="41" spans="2:26" ht="5.25" customHeight="1" thickBot="1">
      <c r="B41" s="600"/>
      <c r="C41" s="83"/>
      <c r="D41" s="84"/>
      <c r="E41" s="84"/>
      <c r="F41" s="84"/>
      <c r="G41" s="84"/>
      <c r="H41" s="84"/>
      <c r="I41" s="84"/>
      <c r="J41" s="85"/>
      <c r="K41" s="86"/>
      <c r="L41" s="84"/>
      <c r="M41" s="84"/>
      <c r="N41" s="84"/>
      <c r="O41" s="84"/>
      <c r="P41" s="84"/>
      <c r="Q41" s="85"/>
      <c r="R41" s="73"/>
      <c r="S41" s="73"/>
      <c r="T41" s="73"/>
      <c r="U41" s="73"/>
      <c r="V41" s="73"/>
      <c r="W41" s="73"/>
      <c r="X41" s="73"/>
      <c r="Y41" s="73"/>
      <c r="Z41" s="73"/>
    </row>
    <row r="42" spans="2:26" ht="5.25" customHeight="1">
      <c r="B42" s="598" t="s">
        <v>448</v>
      </c>
      <c r="C42" s="76"/>
      <c r="D42" s="77"/>
      <c r="E42" s="77"/>
      <c r="F42" s="77"/>
      <c r="G42" s="77"/>
      <c r="H42" s="77"/>
      <c r="I42" s="77"/>
      <c r="J42" s="78"/>
      <c r="K42" s="79"/>
      <c r="L42" s="77"/>
      <c r="M42" s="77"/>
      <c r="N42" s="77"/>
      <c r="O42" s="77"/>
      <c r="P42" s="77"/>
      <c r="Q42" s="78"/>
      <c r="R42" s="73"/>
      <c r="S42" s="73"/>
      <c r="T42" s="73"/>
      <c r="U42" s="73"/>
      <c r="V42" s="73"/>
      <c r="W42" s="73"/>
      <c r="X42" s="73"/>
      <c r="Y42" s="73"/>
      <c r="Z42" s="73"/>
    </row>
    <row r="43" spans="2:26" ht="15.6">
      <c r="B43" s="599"/>
      <c r="C43" s="80"/>
      <c r="D43" s="109" t="s">
        <v>449</v>
      </c>
      <c r="E43" s="109"/>
      <c r="F43" s="109"/>
      <c r="G43" s="109"/>
      <c r="H43" s="109"/>
      <c r="I43" s="109"/>
      <c r="J43" s="81"/>
      <c r="K43" s="82"/>
      <c r="L43" s="109" t="s">
        <v>450</v>
      </c>
      <c r="M43" s="109"/>
      <c r="N43" s="109"/>
      <c r="O43" s="109"/>
      <c r="P43" s="109"/>
      <c r="Q43" s="81"/>
      <c r="R43" s="73"/>
      <c r="S43" s="73"/>
      <c r="T43" s="73"/>
      <c r="U43" s="73"/>
      <c r="V43" s="73"/>
      <c r="W43" s="73"/>
      <c r="X43" s="73"/>
      <c r="Y43" s="73"/>
      <c r="Z43" s="73"/>
    </row>
    <row r="44" spans="2:26" ht="15.6">
      <c r="B44" s="599"/>
      <c r="C44" s="80"/>
      <c r="D44" s="109" t="s">
        <v>451</v>
      </c>
      <c r="E44" s="110"/>
      <c r="F44" s="110"/>
      <c r="G44" s="110"/>
      <c r="H44" s="110"/>
      <c r="I44" s="110"/>
      <c r="J44" s="81"/>
      <c r="K44" s="82"/>
      <c r="L44" s="109"/>
      <c r="M44" s="109"/>
      <c r="N44" s="109"/>
      <c r="O44" s="109"/>
      <c r="P44" s="109"/>
      <c r="Q44" s="81"/>
      <c r="R44" s="73"/>
      <c r="S44" s="73"/>
      <c r="T44" s="73"/>
      <c r="U44" s="73"/>
      <c r="V44" s="73"/>
      <c r="W44" s="73"/>
      <c r="X44" s="73"/>
      <c r="Y44" s="73"/>
      <c r="Z44" s="73"/>
    </row>
    <row r="45" spans="2:26" ht="15.6">
      <c r="B45" s="599"/>
      <c r="C45" s="80"/>
      <c r="D45" s="632" t="s">
        <v>369</v>
      </c>
      <c r="E45" s="587"/>
      <c r="F45" s="588"/>
      <c r="G45" s="633" t="s">
        <v>452</v>
      </c>
      <c r="H45" s="588"/>
      <c r="I45" s="111" t="s">
        <v>453</v>
      </c>
      <c r="J45" s="81"/>
      <c r="K45" s="82"/>
      <c r="L45" s="632" t="s">
        <v>369</v>
      </c>
      <c r="M45" s="588"/>
      <c r="N45" s="633" t="s">
        <v>452</v>
      </c>
      <c r="O45" s="588"/>
      <c r="P45" s="111" t="s">
        <v>454</v>
      </c>
      <c r="Q45" s="81"/>
      <c r="R45" s="73"/>
      <c r="S45" s="73"/>
      <c r="T45" s="73"/>
      <c r="U45" s="73"/>
      <c r="V45" s="73"/>
      <c r="W45" s="73"/>
      <c r="X45" s="73"/>
      <c r="Y45" s="73"/>
      <c r="Z45" s="73"/>
    </row>
    <row r="46" spans="2:26" ht="38.25" customHeight="1">
      <c r="B46" s="599"/>
      <c r="C46" s="80"/>
      <c r="D46" s="586" t="s">
        <v>455</v>
      </c>
      <c r="E46" s="588"/>
      <c r="F46" s="112">
        <v>1</v>
      </c>
      <c r="G46" s="634" t="s">
        <v>456</v>
      </c>
      <c r="H46" s="588"/>
      <c r="I46" s="635">
        <v>86</v>
      </c>
      <c r="J46" s="81"/>
      <c r="K46" s="82"/>
      <c r="L46" s="113" t="s">
        <v>455</v>
      </c>
      <c r="M46" s="112">
        <v>3</v>
      </c>
      <c r="N46" s="634" t="s">
        <v>457</v>
      </c>
      <c r="O46" s="588"/>
      <c r="P46" s="635">
        <v>80</v>
      </c>
      <c r="Q46" s="81"/>
      <c r="R46" s="73"/>
      <c r="S46" s="73"/>
      <c r="T46" s="73"/>
      <c r="U46" s="73"/>
      <c r="V46" s="73"/>
      <c r="W46" s="73"/>
      <c r="X46" s="73"/>
      <c r="Y46" s="73"/>
      <c r="Z46" s="73"/>
    </row>
    <row r="47" spans="2:26" ht="16.5" customHeight="1">
      <c r="B47" s="599"/>
      <c r="C47" s="80"/>
      <c r="D47" s="586" t="s">
        <v>458</v>
      </c>
      <c r="E47" s="588"/>
      <c r="F47" s="112">
        <v>179</v>
      </c>
      <c r="G47" s="589" t="s">
        <v>441</v>
      </c>
      <c r="H47" s="588"/>
      <c r="I47" s="616"/>
      <c r="J47" s="81"/>
      <c r="K47" s="82"/>
      <c r="L47" s="113" t="s">
        <v>459</v>
      </c>
      <c r="M47" s="112">
        <v>216</v>
      </c>
      <c r="N47" s="589" t="s">
        <v>441</v>
      </c>
      <c r="O47" s="588"/>
      <c r="P47" s="616"/>
      <c r="Q47" s="81"/>
      <c r="R47" s="73"/>
      <c r="S47" s="73"/>
      <c r="T47" s="73"/>
      <c r="U47" s="73"/>
      <c r="V47" s="73"/>
      <c r="W47" s="73"/>
      <c r="X47" s="73"/>
      <c r="Y47" s="73"/>
      <c r="Z47" s="73"/>
    </row>
    <row r="48" spans="2:26" ht="16.5" customHeight="1">
      <c r="B48" s="599"/>
      <c r="C48" s="80"/>
      <c r="D48" s="586" t="s">
        <v>460</v>
      </c>
      <c r="E48" s="588"/>
      <c r="F48" s="112">
        <v>368</v>
      </c>
      <c r="G48" s="589" t="s">
        <v>441</v>
      </c>
      <c r="H48" s="588"/>
      <c r="I48" s="607"/>
      <c r="J48" s="81"/>
      <c r="K48" s="82"/>
      <c r="L48" s="113" t="s">
        <v>461</v>
      </c>
      <c r="M48" s="112">
        <v>309</v>
      </c>
      <c r="N48" s="589" t="s">
        <v>441</v>
      </c>
      <c r="O48" s="588"/>
      <c r="P48" s="607"/>
      <c r="Q48" s="81"/>
      <c r="R48" s="73"/>
      <c r="S48" s="73"/>
      <c r="T48" s="73"/>
      <c r="U48" s="73"/>
      <c r="V48" s="73"/>
      <c r="W48" s="73"/>
      <c r="X48" s="73"/>
      <c r="Y48" s="73"/>
      <c r="Z48" s="73"/>
    </row>
    <row r="49" spans="2:26" ht="5.25" customHeight="1" thickBot="1">
      <c r="B49" s="600"/>
      <c r="C49" s="83"/>
      <c r="D49" s="84"/>
      <c r="E49" s="84"/>
      <c r="F49" s="84"/>
      <c r="G49" s="84"/>
      <c r="H49" s="84"/>
      <c r="I49" s="84"/>
      <c r="J49" s="85"/>
      <c r="K49" s="86"/>
      <c r="L49" s="84"/>
      <c r="M49" s="84"/>
      <c r="N49" s="84"/>
      <c r="O49" s="84"/>
      <c r="P49" s="84"/>
      <c r="Q49" s="85"/>
      <c r="R49" s="73"/>
      <c r="S49" s="73"/>
      <c r="T49" s="73"/>
      <c r="U49" s="73"/>
      <c r="V49" s="73"/>
      <c r="W49" s="73"/>
      <c r="X49" s="73"/>
      <c r="Y49" s="73"/>
      <c r="Z49" s="73"/>
    </row>
    <row r="50" spans="2:26" ht="5.25" customHeight="1">
      <c r="B50" s="598" t="s">
        <v>462</v>
      </c>
      <c r="C50" s="76"/>
      <c r="D50" s="77"/>
      <c r="E50" s="77"/>
      <c r="F50" s="77"/>
      <c r="G50" s="77"/>
      <c r="H50" s="77"/>
      <c r="I50" s="77"/>
      <c r="J50" s="78"/>
      <c r="K50" s="79"/>
      <c r="L50" s="77"/>
      <c r="M50" s="77"/>
      <c r="N50" s="77"/>
      <c r="O50" s="77"/>
      <c r="P50" s="77"/>
      <c r="Q50" s="78"/>
      <c r="R50" s="73"/>
      <c r="S50" s="73"/>
      <c r="T50" s="73"/>
      <c r="U50" s="73"/>
      <c r="V50" s="73"/>
      <c r="W50" s="73"/>
      <c r="X50" s="73"/>
      <c r="Y50" s="73"/>
      <c r="Z50" s="73"/>
    </row>
    <row r="51" spans="2:26" ht="26.4">
      <c r="B51" s="599"/>
      <c r="C51" s="80"/>
      <c r="D51" s="637" t="s">
        <v>369</v>
      </c>
      <c r="E51" s="587"/>
      <c r="F51" s="588"/>
      <c r="G51" s="114" t="s">
        <v>463</v>
      </c>
      <c r="H51" s="114" t="s">
        <v>464</v>
      </c>
      <c r="I51" s="115" t="s">
        <v>465</v>
      </c>
      <c r="J51" s="91"/>
      <c r="K51" s="92"/>
      <c r="L51" s="637" t="s">
        <v>369</v>
      </c>
      <c r="M51" s="588"/>
      <c r="N51" s="114" t="s">
        <v>463</v>
      </c>
      <c r="O51" s="114" t="s">
        <v>464</v>
      </c>
      <c r="P51" s="115" t="s">
        <v>466</v>
      </c>
      <c r="Q51" s="81"/>
      <c r="R51" s="73"/>
      <c r="S51" s="73"/>
      <c r="T51" s="73"/>
      <c r="U51" s="73"/>
      <c r="V51" s="73"/>
      <c r="W51" s="73"/>
      <c r="X51" s="73"/>
      <c r="Y51" s="73"/>
      <c r="Z51" s="73"/>
    </row>
    <row r="52" spans="2:26" ht="15.6">
      <c r="B52" s="599"/>
      <c r="C52" s="80"/>
      <c r="D52" s="636" t="s">
        <v>467</v>
      </c>
      <c r="E52" s="587"/>
      <c r="F52" s="588"/>
      <c r="G52" s="116">
        <v>8</v>
      </c>
      <c r="H52" s="116">
        <v>-2</v>
      </c>
      <c r="I52" s="117" t="s">
        <v>468</v>
      </c>
      <c r="J52" s="91"/>
      <c r="K52" s="92"/>
      <c r="L52" s="636" t="s">
        <v>467</v>
      </c>
      <c r="M52" s="588"/>
      <c r="N52" s="116">
        <v>4</v>
      </c>
      <c r="O52" s="116">
        <v>-1</v>
      </c>
      <c r="P52" s="117" t="s">
        <v>364</v>
      </c>
      <c r="Q52" s="81"/>
      <c r="R52" s="73"/>
      <c r="S52" s="73"/>
      <c r="T52" s="73"/>
      <c r="U52" s="73"/>
      <c r="V52" s="73"/>
      <c r="W52" s="73"/>
      <c r="X52" s="73"/>
      <c r="Y52" s="73"/>
      <c r="Z52" s="73"/>
    </row>
    <row r="53" spans="2:26" ht="27.75" customHeight="1">
      <c r="B53" s="599"/>
      <c r="C53" s="80"/>
      <c r="D53" s="636" t="s">
        <v>469</v>
      </c>
      <c r="E53" s="587"/>
      <c r="F53" s="588"/>
      <c r="G53" s="116">
        <v>6</v>
      </c>
      <c r="H53" s="118"/>
      <c r="I53" s="117" t="s">
        <v>470</v>
      </c>
      <c r="J53" s="91"/>
      <c r="K53" s="92"/>
      <c r="L53" s="636" t="s">
        <v>471</v>
      </c>
      <c r="M53" s="588"/>
      <c r="N53" s="116">
        <v>3</v>
      </c>
      <c r="O53" s="118"/>
      <c r="P53" s="117">
        <v>3</v>
      </c>
      <c r="Q53" s="81"/>
      <c r="R53" s="73"/>
      <c r="S53" s="73"/>
      <c r="T53" s="73"/>
      <c r="U53" s="73"/>
      <c r="V53" s="73"/>
      <c r="W53" s="73"/>
      <c r="X53" s="73"/>
      <c r="Y53" s="73"/>
      <c r="Z53" s="73"/>
    </row>
    <row r="54" spans="2:26" ht="15.6">
      <c r="B54" s="599"/>
      <c r="C54" s="80"/>
      <c r="D54" s="636" t="s">
        <v>472</v>
      </c>
      <c r="E54" s="587"/>
      <c r="F54" s="588"/>
      <c r="G54" s="116">
        <v>5</v>
      </c>
      <c r="H54" s="116" t="s">
        <v>473</v>
      </c>
      <c r="I54" s="117" t="s">
        <v>474</v>
      </c>
      <c r="J54" s="91"/>
      <c r="K54" s="92"/>
      <c r="L54" s="636" t="s">
        <v>475</v>
      </c>
      <c r="M54" s="588"/>
      <c r="N54" s="116">
        <v>4</v>
      </c>
      <c r="O54" s="116" t="s">
        <v>476</v>
      </c>
      <c r="P54" s="117" t="s">
        <v>366</v>
      </c>
      <c r="Q54" s="81"/>
      <c r="R54" s="73"/>
      <c r="S54" s="73"/>
      <c r="T54" s="73"/>
      <c r="U54" s="73"/>
      <c r="V54" s="73"/>
      <c r="W54" s="73"/>
      <c r="X54" s="73"/>
      <c r="Y54" s="73"/>
      <c r="Z54" s="73"/>
    </row>
    <row r="55" spans="2:26" ht="15.6">
      <c r="B55" s="599"/>
      <c r="C55" s="80"/>
      <c r="D55" s="636" t="s">
        <v>477</v>
      </c>
      <c r="E55" s="587"/>
      <c r="F55" s="588"/>
      <c r="G55" s="116">
        <v>5</v>
      </c>
      <c r="H55" s="116" t="s">
        <v>478</v>
      </c>
      <c r="I55" s="117" t="s">
        <v>479</v>
      </c>
      <c r="J55" s="91"/>
      <c r="K55" s="92"/>
      <c r="L55" s="636" t="s">
        <v>480</v>
      </c>
      <c r="M55" s="588"/>
      <c r="N55" s="116">
        <v>3</v>
      </c>
      <c r="O55" s="116" t="s">
        <v>476</v>
      </c>
      <c r="P55" s="117" t="s">
        <v>367</v>
      </c>
      <c r="Q55" s="81"/>
      <c r="R55" s="73"/>
      <c r="S55" s="73"/>
      <c r="T55" s="73"/>
      <c r="U55" s="73"/>
      <c r="V55" s="73"/>
      <c r="W55" s="73"/>
      <c r="X55" s="73"/>
      <c r="Y55" s="73"/>
      <c r="Z55" s="73"/>
    </row>
    <row r="56" spans="2:26" ht="15.6">
      <c r="B56" s="599"/>
      <c r="C56" s="80"/>
      <c r="D56" s="636" t="s">
        <v>481</v>
      </c>
      <c r="E56" s="587"/>
      <c r="F56" s="588"/>
      <c r="G56" s="116">
        <v>5</v>
      </c>
      <c r="H56" s="116" t="s">
        <v>478</v>
      </c>
      <c r="I56" s="117" t="s">
        <v>479</v>
      </c>
      <c r="J56" s="91"/>
      <c r="K56" s="92"/>
      <c r="L56" s="636" t="s">
        <v>392</v>
      </c>
      <c r="M56" s="588"/>
      <c r="N56" s="634" t="s">
        <v>482</v>
      </c>
      <c r="O56" s="587"/>
      <c r="P56" s="587"/>
      <c r="Q56" s="81"/>
      <c r="R56" s="73"/>
      <c r="S56" s="73"/>
      <c r="T56" s="73"/>
      <c r="U56" s="73"/>
      <c r="V56" s="73"/>
      <c r="W56" s="73"/>
      <c r="X56" s="73"/>
      <c r="Y56" s="73"/>
      <c r="Z56" s="73"/>
    </row>
    <row r="57" spans="2:26" ht="15.6">
      <c r="B57" s="599"/>
      <c r="C57" s="80"/>
      <c r="D57" s="636" t="s">
        <v>390</v>
      </c>
      <c r="E57" s="587"/>
      <c r="F57" s="588"/>
      <c r="G57" s="634" t="s">
        <v>482</v>
      </c>
      <c r="H57" s="587"/>
      <c r="I57" s="587"/>
      <c r="J57" s="91"/>
      <c r="K57" s="92"/>
      <c r="L57" s="119"/>
      <c r="M57" s="109"/>
      <c r="N57" s="109"/>
      <c r="O57" s="109"/>
      <c r="P57" s="109"/>
      <c r="Q57" s="81"/>
      <c r="R57" s="73"/>
      <c r="S57" s="73"/>
      <c r="T57" s="73"/>
      <c r="U57" s="73"/>
      <c r="V57" s="73"/>
      <c r="W57" s="73"/>
      <c r="X57" s="73"/>
      <c r="Y57" s="73"/>
      <c r="Z57" s="73"/>
    </row>
    <row r="58" spans="2:26" ht="15.6">
      <c r="B58" s="599"/>
      <c r="C58" s="80"/>
      <c r="D58" s="109"/>
      <c r="E58" s="109"/>
      <c r="F58" s="109"/>
      <c r="G58" s="109"/>
      <c r="H58" s="109"/>
      <c r="I58" s="109"/>
      <c r="J58" s="81"/>
      <c r="K58" s="82"/>
      <c r="L58" s="109"/>
      <c r="M58" s="109"/>
      <c r="N58" s="109"/>
      <c r="O58" s="109"/>
      <c r="P58" s="109"/>
      <c r="Q58" s="81"/>
      <c r="R58" s="73"/>
      <c r="S58" s="73"/>
      <c r="T58" s="73"/>
      <c r="U58" s="73"/>
      <c r="V58" s="73"/>
      <c r="W58" s="73"/>
      <c r="X58" s="73"/>
      <c r="Y58" s="73"/>
      <c r="Z58" s="73"/>
    </row>
    <row r="59" spans="2:26" ht="33.75" customHeight="1">
      <c r="B59" s="599"/>
      <c r="C59" s="80"/>
      <c r="D59" s="639" t="s">
        <v>483</v>
      </c>
      <c r="E59" s="624"/>
      <c r="F59" s="624"/>
      <c r="G59" s="624"/>
      <c r="H59" s="624"/>
      <c r="I59" s="624"/>
      <c r="J59" s="81"/>
      <c r="K59" s="82"/>
      <c r="L59" s="639" t="s">
        <v>484</v>
      </c>
      <c r="M59" s="639"/>
      <c r="N59" s="639"/>
      <c r="O59" s="639"/>
      <c r="P59" s="639"/>
      <c r="Q59" s="81"/>
      <c r="R59" s="73"/>
      <c r="S59" s="73"/>
      <c r="T59" s="73"/>
      <c r="U59" s="73"/>
      <c r="V59" s="73"/>
      <c r="W59" s="73"/>
      <c r="X59" s="73"/>
      <c r="Y59" s="73"/>
      <c r="Z59" s="73"/>
    </row>
    <row r="60" spans="2:26" ht="5.25" customHeight="1" thickBot="1">
      <c r="B60" s="600"/>
      <c r="C60" s="83"/>
      <c r="D60" s="84"/>
      <c r="E60" s="84"/>
      <c r="F60" s="84"/>
      <c r="G60" s="84"/>
      <c r="H60" s="84"/>
      <c r="I60" s="84"/>
      <c r="J60" s="85"/>
      <c r="K60" s="86"/>
      <c r="L60" s="84"/>
      <c r="M60" s="84"/>
      <c r="N60" s="84"/>
      <c r="O60" s="84"/>
      <c r="P60" s="84"/>
      <c r="Q60" s="85"/>
      <c r="R60" s="73"/>
      <c r="S60" s="73"/>
      <c r="T60" s="73"/>
      <c r="U60" s="73"/>
      <c r="V60" s="73"/>
      <c r="W60" s="73"/>
      <c r="X60" s="73"/>
      <c r="Y60" s="73"/>
      <c r="Z60" s="73"/>
    </row>
    <row r="61" spans="2:26" ht="5.25" customHeight="1">
      <c r="B61" s="641" t="s">
        <v>485</v>
      </c>
      <c r="C61" s="80"/>
      <c r="D61" s="109"/>
      <c r="E61" s="109"/>
      <c r="F61" s="109"/>
      <c r="G61" s="109"/>
      <c r="H61" s="109"/>
      <c r="I61" s="109"/>
      <c r="J61" s="109"/>
      <c r="K61" s="79"/>
      <c r="L61" s="77"/>
      <c r="M61" s="77"/>
      <c r="N61" s="77"/>
      <c r="O61" s="77"/>
      <c r="P61" s="77"/>
      <c r="Q61" s="78"/>
      <c r="R61" s="73"/>
      <c r="S61" s="73"/>
      <c r="T61" s="73"/>
      <c r="U61" s="73"/>
      <c r="V61" s="73"/>
      <c r="W61" s="73"/>
      <c r="X61" s="73"/>
      <c r="Y61" s="73"/>
      <c r="Z61" s="73"/>
    </row>
    <row r="62" spans="2:26" ht="15.6">
      <c r="B62" s="642"/>
      <c r="C62" s="80"/>
      <c r="D62" s="109"/>
      <c r="E62" s="109"/>
      <c r="F62" s="109"/>
      <c r="G62" s="109"/>
      <c r="H62" s="109"/>
      <c r="I62" s="109"/>
      <c r="J62" s="109"/>
      <c r="K62" s="82"/>
      <c r="L62" s="109" t="s">
        <v>486</v>
      </c>
      <c r="M62" s="109"/>
      <c r="N62" s="109"/>
      <c r="O62" s="109"/>
      <c r="P62" s="109"/>
      <c r="Q62" s="81"/>
      <c r="R62" s="73"/>
      <c r="S62" s="73"/>
      <c r="T62" s="73"/>
      <c r="U62" s="73"/>
      <c r="V62" s="73"/>
      <c r="W62" s="73"/>
      <c r="X62" s="73"/>
      <c r="Y62" s="73"/>
      <c r="Z62" s="73"/>
    </row>
    <row r="63" spans="2:26" ht="15.6">
      <c r="B63" s="642"/>
      <c r="C63" s="80"/>
      <c r="D63" s="109"/>
      <c r="E63" s="109"/>
      <c r="F63" s="109"/>
      <c r="G63" s="109"/>
      <c r="H63" s="109"/>
      <c r="I63" s="109"/>
      <c r="J63" s="109"/>
      <c r="K63" s="82"/>
      <c r="L63" s="109" t="s">
        <v>487</v>
      </c>
      <c r="M63" s="109"/>
      <c r="N63" s="109"/>
      <c r="O63" s="109"/>
      <c r="P63" s="109"/>
      <c r="Q63" s="81"/>
      <c r="R63" s="73"/>
      <c r="S63" s="73"/>
      <c r="T63" s="73"/>
      <c r="U63" s="73"/>
      <c r="V63" s="73"/>
      <c r="W63" s="73"/>
      <c r="X63" s="73"/>
      <c r="Y63" s="73"/>
      <c r="Z63" s="73"/>
    </row>
    <row r="64" spans="2:26" ht="15.6">
      <c r="B64" s="642"/>
      <c r="C64" s="80"/>
      <c r="D64" s="109"/>
      <c r="E64" s="109"/>
      <c r="F64" s="109"/>
      <c r="G64" s="109"/>
      <c r="H64" s="109"/>
      <c r="I64" s="109"/>
      <c r="J64" s="109"/>
      <c r="K64" s="82"/>
      <c r="L64" s="643" t="s">
        <v>369</v>
      </c>
      <c r="M64" s="644" t="s">
        <v>488</v>
      </c>
      <c r="N64" s="588"/>
      <c r="O64" s="644" t="s">
        <v>489</v>
      </c>
      <c r="P64" s="587"/>
      <c r="Q64" s="81"/>
      <c r="R64" s="73"/>
      <c r="S64" s="73"/>
      <c r="T64" s="73"/>
      <c r="U64" s="73"/>
      <c r="V64" s="73"/>
      <c r="W64" s="73"/>
      <c r="X64" s="73"/>
      <c r="Y64" s="73"/>
      <c r="Z64" s="73"/>
    </row>
    <row r="65" spans="2:26" ht="15.6">
      <c r="B65" s="642"/>
      <c r="C65" s="80"/>
      <c r="D65" s="109"/>
      <c r="E65" s="109"/>
      <c r="F65" s="109"/>
      <c r="G65" s="109"/>
      <c r="H65" s="109"/>
      <c r="I65" s="109"/>
      <c r="J65" s="109"/>
      <c r="K65" s="82"/>
      <c r="L65" s="604"/>
      <c r="M65" s="112" t="s">
        <v>0</v>
      </c>
      <c r="N65" s="112" t="s">
        <v>490</v>
      </c>
      <c r="O65" s="112" t="s">
        <v>0</v>
      </c>
      <c r="P65" s="120" t="s">
        <v>490</v>
      </c>
      <c r="Q65" s="81"/>
      <c r="R65" s="73"/>
      <c r="S65" s="73"/>
      <c r="T65" s="73"/>
      <c r="U65" s="73"/>
      <c r="V65" s="73"/>
      <c r="W65" s="73"/>
      <c r="X65" s="73"/>
      <c r="Y65" s="73"/>
      <c r="Z65" s="73"/>
    </row>
    <row r="66" spans="2:26" ht="15.6">
      <c r="B66" s="642"/>
      <c r="C66" s="80"/>
      <c r="D66" s="109"/>
      <c r="E66" s="109"/>
      <c r="F66" s="109"/>
      <c r="G66" s="109"/>
      <c r="H66" s="109"/>
      <c r="I66" s="109"/>
      <c r="J66" s="109"/>
      <c r="K66" s="82"/>
      <c r="L66" s="121" t="s">
        <v>202</v>
      </c>
      <c r="M66" s="122">
        <v>2</v>
      </c>
      <c r="N66" s="122">
        <v>2</v>
      </c>
      <c r="O66" s="122">
        <v>4</v>
      </c>
      <c r="P66" s="111">
        <v>0</v>
      </c>
      <c r="Q66" s="81"/>
      <c r="R66" s="73"/>
      <c r="S66" s="73"/>
      <c r="T66" s="73"/>
      <c r="U66" s="73"/>
      <c r="V66" s="73"/>
      <c r="W66" s="73"/>
      <c r="X66" s="73"/>
      <c r="Y66" s="73"/>
      <c r="Z66" s="73"/>
    </row>
    <row r="67" spans="2:26" ht="15.6">
      <c r="B67" s="642"/>
      <c r="C67" s="80"/>
      <c r="D67" s="109"/>
      <c r="E67" s="109"/>
      <c r="F67" s="109"/>
      <c r="G67" s="109"/>
      <c r="H67" s="109"/>
      <c r="I67" s="109"/>
      <c r="J67" s="109"/>
      <c r="K67" s="82"/>
      <c r="L67" s="121" t="s">
        <v>216</v>
      </c>
      <c r="M67" s="122">
        <v>2</v>
      </c>
      <c r="N67" s="122">
        <v>2</v>
      </c>
      <c r="O67" s="122">
        <v>0</v>
      </c>
      <c r="P67" s="111">
        <v>4</v>
      </c>
      <c r="Q67" s="81"/>
      <c r="R67" s="73"/>
      <c r="S67" s="73"/>
      <c r="T67" s="73"/>
      <c r="U67" s="73"/>
      <c r="V67" s="73"/>
      <c r="W67" s="73"/>
      <c r="X67" s="73"/>
      <c r="Y67" s="73"/>
      <c r="Z67" s="73"/>
    </row>
    <row r="68" spans="2:26" ht="15.6">
      <c r="B68" s="642"/>
      <c r="C68" s="80"/>
      <c r="D68" s="109"/>
      <c r="E68" s="109"/>
      <c r="F68" s="109"/>
      <c r="G68" s="109"/>
      <c r="H68" s="109"/>
      <c r="I68" s="109"/>
      <c r="J68" s="109"/>
      <c r="K68" s="82"/>
      <c r="L68" s="121" t="s">
        <v>205</v>
      </c>
      <c r="M68" s="122">
        <v>2</v>
      </c>
      <c r="N68" s="122">
        <v>2</v>
      </c>
      <c r="O68" s="122">
        <v>4</v>
      </c>
      <c r="P68" s="111">
        <v>0</v>
      </c>
      <c r="Q68" s="81"/>
      <c r="R68" s="73"/>
      <c r="S68" s="73"/>
      <c r="T68" s="73"/>
      <c r="U68" s="73"/>
      <c r="V68" s="73"/>
      <c r="W68" s="73"/>
      <c r="X68" s="73"/>
      <c r="Y68" s="73"/>
      <c r="Z68" s="73"/>
    </row>
    <row r="69" spans="2:26" ht="15.6">
      <c r="B69" s="642"/>
      <c r="C69" s="80"/>
      <c r="D69" s="109"/>
      <c r="E69" s="109"/>
      <c r="F69" s="109"/>
      <c r="G69" s="109"/>
      <c r="H69" s="109"/>
      <c r="I69" s="109"/>
      <c r="J69" s="109"/>
      <c r="K69" s="82"/>
      <c r="L69" s="109" t="s">
        <v>491</v>
      </c>
      <c r="M69" s="109"/>
      <c r="N69" s="109"/>
      <c r="O69" s="109"/>
      <c r="P69" s="109"/>
      <c r="Q69" s="81"/>
      <c r="R69" s="73"/>
      <c r="S69" s="73"/>
      <c r="T69" s="73"/>
      <c r="U69" s="73"/>
      <c r="V69" s="73"/>
      <c r="W69" s="73"/>
      <c r="X69" s="73"/>
      <c r="Y69" s="73"/>
      <c r="Z69" s="73"/>
    </row>
    <row r="70" spans="2:26" ht="15.6">
      <c r="B70" s="642"/>
      <c r="C70" s="80"/>
      <c r="D70" s="109"/>
      <c r="E70" s="109"/>
      <c r="F70" s="109"/>
      <c r="G70" s="109"/>
      <c r="H70" s="109"/>
      <c r="I70" s="109"/>
      <c r="J70" s="109"/>
      <c r="K70" s="82"/>
      <c r="L70" s="643" t="s">
        <v>369</v>
      </c>
      <c r="M70" s="644" t="s">
        <v>488</v>
      </c>
      <c r="N70" s="588"/>
      <c r="O70" s="644" t="s">
        <v>489</v>
      </c>
      <c r="P70" s="587"/>
      <c r="Q70" s="81"/>
      <c r="R70" s="73"/>
      <c r="S70" s="73"/>
      <c r="T70" s="73"/>
      <c r="U70" s="73"/>
      <c r="V70" s="73"/>
      <c r="W70" s="73"/>
      <c r="X70" s="73"/>
      <c r="Y70" s="73"/>
      <c r="Z70" s="73"/>
    </row>
    <row r="71" spans="2:26" ht="15.6">
      <c r="B71" s="642"/>
      <c r="C71" s="80"/>
      <c r="D71" s="109"/>
      <c r="E71" s="109"/>
      <c r="F71" s="109"/>
      <c r="G71" s="109"/>
      <c r="H71" s="109"/>
      <c r="I71" s="109"/>
      <c r="J71" s="109"/>
      <c r="K71" s="82"/>
      <c r="L71" s="604"/>
      <c r="M71" s="112" t="s">
        <v>0</v>
      </c>
      <c r="N71" s="112" t="s">
        <v>490</v>
      </c>
      <c r="O71" s="112" t="s">
        <v>0</v>
      </c>
      <c r="P71" s="120" t="s">
        <v>490</v>
      </c>
      <c r="Q71" s="81"/>
      <c r="R71" s="73"/>
      <c r="S71" s="73"/>
      <c r="T71" s="73"/>
      <c r="U71" s="73"/>
      <c r="V71" s="73"/>
      <c r="W71" s="73"/>
      <c r="X71" s="73"/>
      <c r="Y71" s="73"/>
      <c r="Z71" s="73"/>
    </row>
    <row r="72" spans="2:26" ht="15.6">
      <c r="B72" s="642"/>
      <c r="C72" s="80"/>
      <c r="D72" s="109"/>
      <c r="E72" s="109"/>
      <c r="F72" s="109"/>
      <c r="G72" s="109"/>
      <c r="H72" s="109"/>
      <c r="I72" s="109"/>
      <c r="J72" s="109"/>
      <c r="K72" s="82"/>
      <c r="L72" s="121" t="s">
        <v>455</v>
      </c>
      <c r="M72" s="122">
        <v>1</v>
      </c>
      <c r="N72" s="122">
        <v>1</v>
      </c>
      <c r="O72" s="122">
        <v>2</v>
      </c>
      <c r="P72" s="111">
        <v>0</v>
      </c>
      <c r="Q72" s="81"/>
      <c r="R72" s="73"/>
      <c r="S72" s="73"/>
      <c r="T72" s="73"/>
      <c r="U72" s="73"/>
      <c r="V72" s="73"/>
      <c r="W72" s="73"/>
      <c r="X72" s="73"/>
      <c r="Y72" s="73"/>
      <c r="Z72" s="73"/>
    </row>
    <row r="73" spans="2:26" ht="15.6">
      <c r="B73" s="642"/>
      <c r="C73" s="80"/>
      <c r="D73" s="109"/>
      <c r="E73" s="109"/>
      <c r="F73" s="109"/>
      <c r="G73" s="109"/>
      <c r="H73" s="109"/>
      <c r="I73" s="109"/>
      <c r="J73" s="109"/>
      <c r="K73" s="82"/>
      <c r="L73" s="121" t="s">
        <v>459</v>
      </c>
      <c r="M73" s="122">
        <v>2</v>
      </c>
      <c r="N73" s="122">
        <v>2</v>
      </c>
      <c r="O73" s="122">
        <v>0</v>
      </c>
      <c r="P73" s="111">
        <v>4</v>
      </c>
      <c r="Q73" s="81"/>
      <c r="R73" s="73"/>
      <c r="S73" s="73"/>
      <c r="T73" s="73"/>
      <c r="U73" s="73"/>
      <c r="V73" s="73"/>
      <c r="W73" s="73"/>
      <c r="X73" s="73"/>
      <c r="Y73" s="73"/>
      <c r="Z73" s="73"/>
    </row>
    <row r="74" spans="2:26" ht="15.6">
      <c r="B74" s="642"/>
      <c r="C74" s="80"/>
      <c r="D74" s="109"/>
      <c r="E74" s="109"/>
      <c r="F74" s="109"/>
      <c r="G74" s="109"/>
      <c r="H74" s="109"/>
      <c r="I74" s="109"/>
      <c r="J74" s="109"/>
      <c r="K74" s="82"/>
      <c r="L74" s="645" t="s">
        <v>492</v>
      </c>
      <c r="M74" s="638" t="s">
        <v>493</v>
      </c>
      <c r="N74" s="638" t="s">
        <v>493</v>
      </c>
      <c r="O74" s="123">
        <v>8</v>
      </c>
      <c r="P74" s="124">
        <v>0</v>
      </c>
      <c r="Q74" s="81"/>
      <c r="R74" s="73"/>
      <c r="S74" s="73"/>
      <c r="T74" s="73"/>
      <c r="U74" s="73"/>
      <c r="V74" s="73"/>
      <c r="W74" s="73"/>
      <c r="X74" s="73"/>
      <c r="Y74" s="73"/>
      <c r="Z74" s="73"/>
    </row>
    <row r="75" spans="2:26" ht="15.6">
      <c r="B75" s="642"/>
      <c r="C75" s="80"/>
      <c r="D75" s="109"/>
      <c r="E75" s="109"/>
      <c r="F75" s="109"/>
      <c r="G75" s="109"/>
      <c r="H75" s="109"/>
      <c r="I75" s="109"/>
      <c r="J75" s="109"/>
      <c r="K75" s="82"/>
      <c r="L75" s="646"/>
      <c r="M75" s="614"/>
      <c r="N75" s="614"/>
      <c r="O75" s="123">
        <v>4</v>
      </c>
      <c r="P75" s="124">
        <v>4</v>
      </c>
      <c r="Q75" s="81"/>
      <c r="R75" s="73"/>
      <c r="S75" s="73"/>
      <c r="T75" s="73"/>
      <c r="U75" s="73"/>
      <c r="V75" s="73"/>
      <c r="W75" s="73"/>
      <c r="X75" s="73"/>
      <c r="Y75" s="73"/>
      <c r="Z75" s="73"/>
    </row>
    <row r="76" spans="2:26" ht="33.75" customHeight="1">
      <c r="B76" s="642"/>
      <c r="C76" s="80"/>
      <c r="D76" s="109"/>
      <c r="E76" s="109"/>
      <c r="F76" s="109"/>
      <c r="G76" s="109"/>
      <c r="H76" s="109"/>
      <c r="I76" s="109"/>
      <c r="J76" s="109"/>
      <c r="K76" s="82"/>
      <c r="L76" s="639" t="s">
        <v>494</v>
      </c>
      <c r="M76" s="624"/>
      <c r="N76" s="624"/>
      <c r="O76" s="624"/>
      <c r="P76" s="624"/>
      <c r="Q76" s="81"/>
      <c r="R76" s="73"/>
      <c r="S76" s="73"/>
      <c r="T76" s="73"/>
      <c r="U76" s="73"/>
      <c r="V76" s="73"/>
      <c r="W76" s="73"/>
      <c r="X76" s="73"/>
      <c r="Y76" s="73"/>
      <c r="Z76" s="73"/>
    </row>
    <row r="77" spans="2:26" ht="5.25" customHeight="1">
      <c r="B77" s="642"/>
      <c r="C77" s="125"/>
      <c r="D77" s="126"/>
      <c r="E77" s="126"/>
      <c r="F77" s="126"/>
      <c r="G77" s="126"/>
      <c r="H77" s="126"/>
      <c r="I77" s="126"/>
      <c r="J77" s="126"/>
      <c r="K77" s="127"/>
      <c r="L77" s="126"/>
      <c r="M77" s="126"/>
      <c r="N77" s="126"/>
      <c r="O77" s="126"/>
      <c r="P77" s="126"/>
      <c r="Q77" s="128"/>
      <c r="R77" s="73"/>
      <c r="S77" s="73"/>
      <c r="T77" s="73"/>
      <c r="U77" s="73"/>
      <c r="V77" s="73"/>
      <c r="W77" s="73"/>
      <c r="X77" s="73"/>
      <c r="Y77" s="73"/>
      <c r="Z77" s="73"/>
    </row>
    <row r="78" spans="2:26" ht="5.25" customHeight="1">
      <c r="B78" s="640" t="s">
        <v>495</v>
      </c>
      <c r="C78" s="129"/>
      <c r="D78" s="130"/>
      <c r="E78" s="130"/>
      <c r="F78" s="130"/>
      <c r="G78" s="130"/>
      <c r="H78" s="130"/>
      <c r="I78" s="130"/>
      <c r="J78" s="130"/>
      <c r="K78" s="131"/>
      <c r="L78" s="130"/>
      <c r="M78" s="130"/>
      <c r="N78" s="130"/>
      <c r="O78" s="130"/>
      <c r="P78" s="130"/>
      <c r="Q78" s="132"/>
      <c r="R78" s="73"/>
      <c r="S78" s="73"/>
      <c r="T78" s="73"/>
      <c r="U78" s="73"/>
      <c r="V78" s="73"/>
      <c r="W78" s="73"/>
      <c r="X78" s="73"/>
      <c r="Y78" s="73"/>
      <c r="Z78" s="73"/>
    </row>
    <row r="79" spans="2:26" ht="15.6">
      <c r="B79" s="599"/>
      <c r="C79" s="80"/>
      <c r="D79" s="109" t="s">
        <v>496</v>
      </c>
      <c r="E79" s="109"/>
      <c r="F79" s="109"/>
      <c r="G79" s="109"/>
      <c r="H79" s="109"/>
      <c r="I79" s="109"/>
      <c r="J79" s="109"/>
      <c r="K79" s="82"/>
      <c r="L79" s="109" t="s">
        <v>497</v>
      </c>
      <c r="M79" s="109"/>
      <c r="N79" s="109"/>
      <c r="O79" s="109"/>
      <c r="P79" s="109"/>
      <c r="Q79" s="81"/>
      <c r="R79" s="73"/>
      <c r="S79" s="73"/>
      <c r="T79" s="73"/>
      <c r="U79" s="73"/>
      <c r="V79" s="73"/>
      <c r="W79" s="73"/>
      <c r="X79" s="73"/>
      <c r="Y79" s="73"/>
      <c r="Z79" s="73"/>
    </row>
    <row r="80" spans="2:26" ht="15.6">
      <c r="B80" s="599"/>
      <c r="C80" s="80"/>
      <c r="D80" s="109"/>
      <c r="E80" s="109"/>
      <c r="F80" s="109"/>
      <c r="G80" s="109"/>
      <c r="H80" s="109"/>
      <c r="I80" s="109"/>
      <c r="J80" s="109"/>
      <c r="K80" s="82"/>
      <c r="L80" s="109" t="s">
        <v>498</v>
      </c>
      <c r="M80" s="109"/>
      <c r="N80" s="109"/>
      <c r="O80" s="109"/>
      <c r="P80" s="109"/>
      <c r="Q80" s="81"/>
      <c r="R80" s="73"/>
      <c r="S80" s="73"/>
      <c r="T80" s="73"/>
      <c r="U80" s="73"/>
      <c r="V80" s="73"/>
      <c r="W80" s="73"/>
      <c r="X80" s="73"/>
      <c r="Y80" s="73"/>
      <c r="Z80" s="73"/>
    </row>
    <row r="81" spans="2:26" ht="5.25" customHeight="1" thickBot="1">
      <c r="B81" s="600"/>
      <c r="C81" s="83"/>
      <c r="D81" s="84"/>
      <c r="E81" s="84"/>
      <c r="F81" s="84"/>
      <c r="G81" s="84"/>
      <c r="H81" s="84"/>
      <c r="I81" s="84"/>
      <c r="J81" s="84"/>
      <c r="K81" s="86"/>
      <c r="L81" s="84"/>
      <c r="M81" s="84"/>
      <c r="N81" s="84"/>
      <c r="O81" s="84"/>
      <c r="P81" s="84"/>
      <c r="Q81" s="85"/>
      <c r="R81" s="73"/>
      <c r="S81" s="73"/>
      <c r="T81" s="73"/>
      <c r="U81" s="73"/>
      <c r="V81" s="73"/>
      <c r="W81" s="73"/>
      <c r="X81" s="73"/>
      <c r="Y81" s="73"/>
      <c r="Z81" s="73"/>
    </row>
    <row r="82" spans="2:26" ht="4.5" customHeight="1"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2:26" ht="15.6" hidden="1"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2:26" ht="15.6" hidden="1"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2:26" ht="15.6" hidden="1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2:26" ht="15.6" hidden="1"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2:26" ht="15.6" hidden="1"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2:26" ht="15.6" hidden="1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2:26" ht="15.6" hidden="1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2:26" ht="15.6" hidden="1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2:26" ht="15.6" hidden="1"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2:26" ht="15.6" hidden="1"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2:26" ht="15.6" hidden="1"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2:26" ht="15.6" hidden="1"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2:26" ht="15.6" hidden="1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2:26" ht="15.6" hidden="1"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2:26" ht="15.6" hidden="1"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2:26" ht="15.6" hidden="1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2:26" ht="15.6" hidden="1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2:26" ht="15.6" hidden="1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2:26" ht="15.6" hidden="1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2:26" ht="15.6" hidden="1"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2:26" ht="15.6" hidden="1"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2:26" ht="15.6" hidden="1"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2:26" ht="15.6" hidden="1"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2:26" ht="15.6" hidden="1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2:26" ht="15.6" hidden="1"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2:26" ht="15.6" hidden="1"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2:26" ht="15.6" hidden="1"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2:26" ht="15.6" hidden="1"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2:26" ht="15.6" hidden="1"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2:26" ht="15.6" hidden="1"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2:26" ht="15.6" hidden="1"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2:26" ht="15.6" hidden="1"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2:26" ht="15.6" hidden="1"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2:26" ht="15.6" hidden="1"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2:26" ht="15.6" hidden="1"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2:26" ht="15.6" hidden="1"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2:26" ht="15.6" hidden="1"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2:26" ht="15.6" hidden="1"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2:26" ht="15.6" hidden="1"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2:26" ht="15.6" hidden="1"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2:26" ht="15.6" hidden="1"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2:26" ht="15.6" hidden="1"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2:26" ht="15.6" hidden="1"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2:26" ht="15.6" hidden="1"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2:26" ht="15.6" hidden="1"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2:26" ht="15.6" hidden="1"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2:26" ht="15.6" hidden="1"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2:26" ht="15.6" hidden="1"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2:26" ht="15.6" hidden="1"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2:26" ht="15.6" hidden="1"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2:26" ht="15.6" hidden="1"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2:26" ht="15.6" hidden="1"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2:26" ht="15.6" hidden="1"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2:26" ht="15.6" hidden="1"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2:26" ht="15.6" hidden="1"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2:26" ht="15.6" hidden="1"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2:26" ht="15.6" hidden="1"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2:26" ht="15.6" hidden="1"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2:26" ht="15.6" hidden="1"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2:26" ht="15.6" hidden="1"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2:26" ht="15.6" hidden="1"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2:26" ht="15.6" hidden="1"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2:26" ht="15.6" hidden="1"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2:26" ht="15.6" hidden="1"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2:26" ht="15.6" hidden="1"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2:26" ht="15.6" hidden="1"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2:26" ht="15.6" hidden="1"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2:26" ht="15.6" hidden="1"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2:26" ht="15.6" hidden="1"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2:26" ht="15.6" hidden="1"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2:26" ht="15.6" hidden="1"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2:26" ht="15.6" hidden="1"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2:26" ht="15.6" hidden="1"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2:26" ht="15.6" hidden="1"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2:26" ht="15.6" hidden="1"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2:26" ht="15.6" hidden="1"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2:26" ht="15.6" hidden="1"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2:26" ht="15.6" hidden="1"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2:26" ht="15.6" hidden="1"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2:26" ht="15.6" hidden="1"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2:26" ht="15.6" hidden="1"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2:26" ht="15.6" hidden="1"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2:26" ht="15.6" hidden="1"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2:26" ht="15.6" hidden="1"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2:26" ht="15.6" hidden="1"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2:26" ht="15.6" hidden="1"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2:26" ht="15.6" hidden="1"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2:26" ht="15.6" hidden="1"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2:26" ht="15.6" hidden="1"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2:26" ht="15.6" hidden="1"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2:26" ht="15.6" hidden="1"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2:26" ht="15.6" hidden="1"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2:26" ht="15.6" hidden="1"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2:26" ht="15.6" hidden="1"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2:26" ht="15.6" hidden="1"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2:26" ht="15.6" hidden="1"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2:26" ht="15.6" hidden="1"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2:26" ht="15.6" hidden="1"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2:26" ht="15.6" hidden="1"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2:26" ht="15.6" hidden="1"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2:26" ht="15.6" hidden="1"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2:26" ht="15.6" hidden="1"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2:26" ht="15.6" hidden="1"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2:26" ht="15.6" hidden="1"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2:26" ht="15.6" hidden="1"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2:26" ht="15.6" hidden="1"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2:26" ht="15.6" hidden="1"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2:26" ht="15.6" hidden="1"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2:26" ht="15.6" hidden="1"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2:26" ht="15.6" hidden="1"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2:26" ht="15.6" hidden="1"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2:26" ht="15.6" hidden="1"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2:26" ht="15.6" hidden="1"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2:26" ht="15.6" hidden="1"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2:26" ht="15.6" hidden="1"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2:26" ht="15.6" hidden="1"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2:26" ht="15.6" hidden="1"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2:26" ht="15.6" hidden="1"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2:26" ht="15.6" hidden="1"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2:26" ht="15.6" hidden="1"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2:26" ht="15.6" hidden="1"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2:26" ht="15.6" hidden="1"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2:26" ht="15.6" hidden="1"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2:26" ht="15.6" hidden="1"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2:26" ht="15.6" hidden="1"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2:26" ht="15.6" hidden="1"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2:26" ht="15.6" hidden="1"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2:26" ht="15.6" hidden="1"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2:26" ht="15.6" hidden="1"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2:26" ht="15.6" hidden="1"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2:26" ht="15.6" hidden="1"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2:26" ht="15.6" hidden="1"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2:26" ht="15.6" hidden="1"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2:26" ht="15.6" hidden="1"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2:26" ht="15.6" hidden="1"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2:26" ht="15.6" hidden="1"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2:26" ht="15.6" hidden="1"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2:26" ht="15.6" hidden="1"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2:26" ht="15.6" hidden="1"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2:26" ht="15.6" hidden="1"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2:26" ht="15.6" hidden="1"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2:26" ht="15.6" hidden="1"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2:26" ht="15.6" hidden="1"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2:26" ht="15.6" hidden="1"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2:26" ht="15.6" hidden="1"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2:26" ht="15.6" hidden="1"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2:26" ht="15.6" hidden="1"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2:26" ht="15.6" hidden="1"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2:26" ht="15.6" hidden="1"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2:26" ht="15.6" hidden="1"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2:26" ht="15.6" hidden="1"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2:26" ht="15.6" hidden="1"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2:26" ht="15.6" hidden="1"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2:26" ht="15.6" hidden="1"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2:26" ht="15.6" hidden="1"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2:26" ht="15.6" hidden="1"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2:26" ht="15.6" hidden="1"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2:26" ht="15.6" hidden="1"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2:26" ht="15.6" hidden="1"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2:26" ht="15.6" hidden="1"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2:26" ht="15.6" hidden="1"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2:26" ht="15.6" hidden="1"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2:26" ht="15.6" hidden="1"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2:26" ht="15.6" hidden="1"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2:26" ht="15.6" hidden="1"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2:26" ht="15.6" hidden="1"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2:26" ht="15.6" hidden="1"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2:26" ht="15.6" hidden="1"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2:26" ht="15.6" hidden="1"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2:26" ht="15.6" hidden="1"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2:26" ht="15.6" hidden="1"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2:26" ht="15.6" hidden="1"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2:26" ht="15.6" hidden="1"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2:26" ht="15.6" hidden="1"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2:26" ht="15.6" hidden="1"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2:26" ht="15.6" hidden="1"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2:26" ht="15.6" hidden="1"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2:26" ht="15.6" hidden="1"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2:26" ht="15.6" hidden="1"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2:26" ht="15.6" hidden="1"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2:26" ht="15.6" hidden="1"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2:26" ht="15.6" hidden="1"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2:26" ht="15.6" hidden="1"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2:26" ht="15.6" hidden="1"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2:26" ht="15.6" hidden="1"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2:26" ht="15.6" hidden="1"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2:26" ht="15.6" hidden="1"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2:26" ht="15.6" hidden="1"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2:26" ht="15.6" hidden="1"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2:26" ht="15.6" hidden="1"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2:26" ht="15.6" hidden="1"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2:26" ht="15.6" hidden="1"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2:26" ht="15.6" hidden="1"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2:26" ht="15.6" hidden="1"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2:26" ht="15.6" hidden="1"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2:26" ht="15.6" hidden="1"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2:26" ht="15.6" hidden="1"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2:26" ht="15.6" hidden="1"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2:26" ht="15.6" hidden="1"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2:26" ht="15.6" hidden="1"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2:26" ht="15.6" hidden="1"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2:26" ht="15.6" hidden="1"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2:26" ht="15.6" hidden="1"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2:26" ht="15.6" hidden="1"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2:26" ht="15.6" hidden="1"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2:26" ht="15.6" hidden="1"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2:26" ht="15.6" hidden="1"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2:26" ht="15.6" hidden="1"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2:26" ht="15.6" hidden="1"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2:26" ht="15.6" hidden="1"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2:26" ht="15.6" hidden="1"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2:26" ht="15.6" hidden="1"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2:26" ht="15.6" hidden="1"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2:26" ht="15.6" hidden="1"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2:26" ht="15.6" hidden="1"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2:26" ht="15.6" hidden="1"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2:26" ht="15.6" hidden="1"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2:26" ht="15.6" hidden="1"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2:26" ht="15.6" hidden="1"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2:26" ht="15.6" hidden="1"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2:26" ht="15.6" hidden="1"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2:26" ht="15.6" hidden="1"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2:26" ht="15.6" hidden="1"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2:26" ht="15.6" hidden="1"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2:26" ht="15.6" hidden="1"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2:26" ht="15.6" hidden="1"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2:26" ht="15.6" hidden="1"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2:26" ht="15.6" hidden="1"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2:26" ht="15.6" hidden="1"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2:26" ht="15.6" hidden="1"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2:26" ht="15.6" hidden="1"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2:26" ht="15.6" hidden="1"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2:26" ht="15.6" hidden="1"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2:26" ht="15.6" hidden="1"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2:26" ht="15.6" hidden="1"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2:26" ht="15.6" hidden="1"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2:26" ht="15.6" hidden="1"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2:26" ht="15.6" hidden="1"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2:26" ht="15.6" hidden="1"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2:26" ht="15.6" hidden="1"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2:26" ht="15.6" hidden="1"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2:26" ht="15.6" hidden="1"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2:26" ht="15.6" hidden="1"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2:26" ht="15.6" hidden="1"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2:26" ht="15.6" hidden="1"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2:26" ht="15.6" hidden="1"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2:26" ht="15.6" hidden="1"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2:26" ht="15.6" hidden="1"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2:26" ht="15.6" hidden="1"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2:26" ht="15.6" hidden="1"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2:26" ht="15.6" hidden="1"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2:26" ht="15.6" hidden="1"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2:26" ht="15.6" hidden="1"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2:26" ht="15.6" hidden="1"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2:26" ht="15.6" hidden="1"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2:26" ht="15.6" hidden="1"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2:26" ht="15.6" hidden="1"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2:26" ht="15.6" hidden="1"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2:26" ht="15.6" hidden="1"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2:26" ht="15.6" hidden="1"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2:26" ht="15.6" hidden="1"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2:26" ht="15.6" hidden="1"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2:26" ht="15.6" hidden="1"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2:26" ht="15.6" hidden="1"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2:26" ht="15.6" hidden="1"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2:26" ht="15.6" hidden="1"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2:26" ht="15.6" hidden="1"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2:26" ht="15.6" hidden="1"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2:26" ht="15.6" hidden="1"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2:26" ht="15.6" hidden="1"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2:26" ht="15.6" hidden="1"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2:26" ht="15.6" hidden="1"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2:26" ht="15.6" hidden="1"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2:26" ht="15.6" hidden="1"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2:26" ht="15.6" hidden="1"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2:26" ht="15.6" hidden="1"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2:26" ht="15.6" hidden="1"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2:26" ht="15.6" hidden="1"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2:26" ht="15.6" hidden="1"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2:26" ht="15.6" hidden="1"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2:26" ht="15.6" hidden="1"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2:26" ht="15.6" hidden="1"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2:26" ht="15.6" hidden="1"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2:26" ht="15.6" hidden="1"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2:26" ht="15.6" hidden="1"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2:26" ht="15.6" hidden="1"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2:26" ht="15.6" hidden="1"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2:26" ht="15.6" hidden="1"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2:26" ht="15.6" hidden="1"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2:26" ht="15.6" hidden="1"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2:26" ht="15.6" hidden="1"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2:26" ht="15.6" hidden="1"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2:26" ht="15.6" hidden="1"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2:26" ht="15.6" hidden="1"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2:26" ht="15.6" hidden="1"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2:26" ht="15.6" hidden="1"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2:26" ht="15.6" hidden="1"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2:26" ht="15.6" hidden="1"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2:26" ht="15.6" hidden="1"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2:26" ht="15.6" hidden="1"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2:26" ht="15.6" hidden="1"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2:26" ht="15.6" hidden="1"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2:26" ht="15.6" hidden="1"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2:26" ht="15.6" hidden="1"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2:26" ht="15.6" hidden="1"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2:26" ht="15.6" hidden="1"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2:26" ht="15.6" hidden="1"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2:26" ht="15.6" hidden="1"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2:26" ht="15.6" hidden="1"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2:26" ht="15.6" hidden="1"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2:26" ht="15.6" hidden="1"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2:26" ht="15.6" hidden="1"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2:26" ht="15.6" hidden="1"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2:26" ht="15.6" hidden="1"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2:26" ht="15.6" hidden="1"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2:26" ht="15.6" hidden="1"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2:26" ht="15.6" hidden="1"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2:26" ht="15.6" hidden="1"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2:26" ht="15.6" hidden="1"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2:26" ht="15.6" hidden="1"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2:26" ht="15.6" hidden="1"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2:26" ht="15.6" hidden="1"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2:26" ht="15.6" hidden="1"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2:26" ht="15.6" hidden="1"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2:26" ht="15.6" hidden="1"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2:26" ht="15.6" hidden="1"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2:26" ht="15.6" hidden="1"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2:26" ht="15.6" hidden="1"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2:26" ht="15.6" hidden="1"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2:26" ht="15.6" hidden="1"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2:26" ht="15.6" hidden="1"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2:26" ht="15.6" hidden="1"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2:26" ht="15.6" hidden="1"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2:26" ht="15.6" hidden="1"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2:26" ht="15.6" hidden="1"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2:26" ht="15.6" hidden="1"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2:26" ht="15.6" hidden="1"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2:26" ht="15.6" hidden="1"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2:26" ht="15.6" hidden="1"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2:26" ht="15.6" hidden="1"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2:26" ht="15.6" hidden="1"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2:26" ht="15.6" hidden="1"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2:26" ht="15.6" hidden="1"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2:26" ht="15.6" hidden="1"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2:26" ht="15.6" hidden="1"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2:26" ht="15.6" hidden="1"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2:26" ht="15.6" hidden="1"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2:26" ht="15.6" hidden="1"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2:26" ht="15.6" hidden="1"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2:26" ht="15.6" hidden="1"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2:26" ht="15.6" hidden="1"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2:26" ht="15.6" hidden="1"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2:26" ht="15.6" hidden="1"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2:26" ht="15.6" hidden="1"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2:26" ht="15.6" hidden="1"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2:26" ht="15.6" hidden="1"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2:26" ht="15.6" hidden="1"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2:26" ht="15.6" hidden="1"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2:26" ht="15.6" hidden="1"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2:26" ht="15.6" hidden="1"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2:26" ht="15.6" hidden="1"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2:26" ht="15.6" hidden="1"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2:26" ht="15.6" hidden="1"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2:26" ht="15.6" hidden="1"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2:26" ht="15.6" hidden="1"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2:26" ht="15.6" hidden="1"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2:26" ht="15.6" hidden="1"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2:26" ht="15.6" hidden="1"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2:26" ht="15.6" hidden="1"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2:26" ht="15.6" hidden="1"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2:26" ht="15.6" hidden="1"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2:26" ht="15.6" hidden="1"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2:26" ht="15.6" hidden="1"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2:26" ht="15.6" hidden="1"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2:26" ht="15.6" hidden="1"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2:26" ht="15.6" hidden="1"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2:26" ht="15.6" hidden="1"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2:26" ht="15.6" hidden="1"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2:26" ht="15.6" hidden="1"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2:26" ht="15.6" hidden="1"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2:26" ht="15.6" hidden="1"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2:26" ht="15.6" hidden="1"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2:26" ht="15.6" hidden="1"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2:26" ht="15.6" hidden="1"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2:26" ht="15.6" hidden="1"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2:26" ht="15.6" hidden="1"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2:26" ht="15.6" hidden="1"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2:26" ht="15.6" hidden="1"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2:26" ht="15.6" hidden="1"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2:26" ht="15.6" hidden="1"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2:26" ht="15.6" hidden="1"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2:26" ht="15.6" hidden="1"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2:26" ht="15.6" hidden="1"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2:26" ht="15.6" hidden="1"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2:26" ht="15.6" hidden="1"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2:26" ht="15.6" hidden="1"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2:26" ht="15.6" hidden="1"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2:26" ht="15.6" hidden="1"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2:26" ht="15.6" hidden="1"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2:26" ht="15.6" hidden="1"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2:26" ht="15.6" hidden="1"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2:26" ht="15.6" hidden="1"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2:26" ht="15.6" hidden="1"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2:26" ht="15.6" hidden="1"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2:26" ht="15.6" hidden="1"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2:26" ht="15.6" hidden="1"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2:26" ht="15.6" hidden="1"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2:26" ht="15.6" hidden="1"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2:26" ht="15.6" hidden="1"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2:26" ht="15.6" hidden="1"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2:26" ht="15.6" hidden="1"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2:26" ht="15.6" hidden="1"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2:26" ht="15.6" hidden="1"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2:26" ht="15.6" hidden="1"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2:26" ht="15.6" hidden="1"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2:26" ht="15.6" hidden="1"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2:26" ht="15.6" hidden="1"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2:26" ht="15.6" hidden="1"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2:26" ht="15.6" hidden="1"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2:26" ht="15.6" hidden="1"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2:26" ht="15.6" hidden="1"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2:26" ht="15.6" hidden="1"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2:26" ht="15.6" hidden="1"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2:26" ht="15.6" hidden="1"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2:26" ht="15.6" hidden="1"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2:26" ht="15.6" hidden="1"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2:26" ht="15.6" hidden="1"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2:26" ht="15.6" hidden="1"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2:26" ht="15.6" hidden="1"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2:26" ht="15.6" hidden="1"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2:26" ht="15.6" hidden="1"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2:26" ht="15.6" hidden="1"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2:26" ht="15.6" hidden="1"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2:26" ht="15.6" hidden="1"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2:26" ht="15.6" hidden="1"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2:26" ht="15.6" hidden="1"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2:26" ht="15.6" hidden="1"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2:26" ht="15.6" hidden="1"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2:26" ht="15.6" hidden="1"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2:26" ht="15.6" hidden="1"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2:26" ht="15.6" hidden="1"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2:26" ht="15.6" hidden="1"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2:26" ht="15.6" hidden="1"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2:26" ht="15.6" hidden="1"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2:26" ht="15.6" hidden="1"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2:26" ht="15.6" hidden="1"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2:26" ht="15.6" hidden="1"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2:26" ht="15.6" hidden="1"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2:26" ht="15.6" hidden="1"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2:26" ht="15.6" hidden="1"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2:26" ht="15.6" hidden="1"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2:26" ht="15.6" hidden="1"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2:26" ht="15.6" hidden="1"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2:26" ht="15.6" hidden="1"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2:26" ht="15.6" hidden="1"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2:26" ht="15.6" hidden="1"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2:26" ht="15.6" hidden="1"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2:26" ht="15.6" hidden="1"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2:26" ht="15.6" hidden="1"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2:26" ht="15.6" hidden="1"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2:26" ht="15.6" hidden="1"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2:26" ht="15.6" hidden="1"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2:26" ht="15.6" hidden="1"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2:26" ht="15.6" hidden="1"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2:26" ht="15.6" hidden="1"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2:26" ht="15.6" hidden="1"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2:26" ht="15.6" hidden="1"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2:26" ht="15.6" hidden="1"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2:26" ht="15.6" hidden="1"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2:26" ht="15.6" hidden="1"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2:26" ht="15.6" hidden="1"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2:26" ht="15.6" hidden="1"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2:26" ht="15.6" hidden="1"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2:26" ht="15.6" hidden="1"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2:26" ht="15.6" hidden="1"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2:26" ht="15.6" hidden="1"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2:26" ht="15.6" hidden="1"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2:26" ht="15.6" hidden="1"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2:26" ht="15.6" hidden="1"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2:26" ht="15.6" hidden="1"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2:26" ht="15.6" hidden="1"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2:26" ht="15.6" hidden="1"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2:26" ht="15.6" hidden="1"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2:26" ht="15.6" hidden="1"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2:26" ht="15.6" hidden="1"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2:26" ht="15.6" hidden="1"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2:26" ht="15.6" hidden="1"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2:26" ht="15.6" hidden="1"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2:26" ht="15.6" hidden="1"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2:26" ht="15.6" hidden="1"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2:26" ht="15.6" hidden="1"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2:26" ht="15.6" hidden="1"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2:26" ht="15.6" hidden="1"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2:26" ht="15.6" hidden="1"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2:26" ht="15.6" hidden="1"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2:26" ht="15.6" hidden="1"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2:26" ht="15.6" hidden="1"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2:26" ht="15.6" hidden="1"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2:26" ht="15.6" hidden="1"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2:26" ht="15.6" hidden="1"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2:26" ht="15.6" hidden="1"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2:26" ht="15.6" hidden="1"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2:26" ht="15.6" hidden="1"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2:26" ht="15.6" hidden="1"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2:26" ht="15.6" hidden="1"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2:26" ht="15.6" hidden="1"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2:26" ht="15.6" hidden="1"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2:26" ht="15.6" hidden="1"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2:26" ht="15.6" hidden="1"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2:26" ht="15.6" hidden="1"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2:26" ht="15.6" hidden="1"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2:26" ht="15.6" hidden="1"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2:26" ht="15.6" hidden="1"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2:26" ht="15.6" hidden="1"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2:26" ht="15.6" hidden="1"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2:26" ht="15.6" hidden="1"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2:26" ht="15.6" hidden="1"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2:26" ht="15.6" hidden="1"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2:26" ht="15.6" hidden="1"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2:26" ht="15.6" hidden="1"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2:26" ht="15.6" hidden="1"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2:26" ht="15.6" hidden="1"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2:26" ht="15.6" hidden="1"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2:26" ht="15.6" hidden="1"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2:26" ht="15.6" hidden="1"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2:26" ht="15.6" hidden="1"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2:26" ht="15.6" hidden="1"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2:26" ht="15.6" hidden="1"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2:26" ht="15.6" hidden="1"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2:26" ht="15.6" hidden="1"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2:26" ht="15.6" hidden="1"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2:26" ht="15.6" hidden="1"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2:26" ht="15.6" hidden="1"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2:26" ht="15.6" hidden="1"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2:26" ht="15.6" hidden="1"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2:26" ht="15.6" hidden="1"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2:26" ht="15.6" hidden="1"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2:26" ht="15.6" hidden="1"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2:26" ht="15.6" hidden="1"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2:26" ht="15.6" hidden="1"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2:26" ht="15.6" hidden="1"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2:26" ht="15.6" hidden="1"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2:26" ht="15.6" hidden="1"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2:26" ht="15.6" hidden="1"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2:26" ht="15.6" hidden="1"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2:26" ht="15.6" hidden="1"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2:26" ht="15.6" hidden="1"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2:26" ht="15.6" hidden="1"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2:26" ht="15.6" hidden="1"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2:26" ht="15.6" hidden="1"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2:26" ht="15.6" hidden="1"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2:26" ht="15.6" hidden="1"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2:26" ht="15.6" hidden="1"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2:26" ht="15.6" hidden="1"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2:26" ht="15.6" hidden="1"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2:26" ht="15.6" hidden="1"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2:26" ht="15.6" hidden="1"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2:26" ht="15.6" hidden="1"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2:26" ht="15.6" hidden="1"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2:26" ht="15.6" hidden="1"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2:26" ht="15.6" hidden="1"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2:26" ht="15.6" hidden="1"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2:26" ht="15.6" hidden="1"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2:26" ht="15.6" hidden="1"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2:26" ht="15.6" hidden="1"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2:26" ht="15.6" hidden="1"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2:26" ht="15.6" hidden="1"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2:26" ht="15.6" hidden="1"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2:26" ht="15.6" hidden="1"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2:26" ht="15.6" hidden="1"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2:26" ht="15.6" hidden="1"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2:26" ht="15.6" hidden="1"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2:26" ht="15.6" hidden="1"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2:26" ht="15.6" hidden="1"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2:26" ht="15.6" hidden="1"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2:26" ht="15.6" hidden="1"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2:26" ht="15.6" hidden="1"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2:26" ht="15.6" hidden="1"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2:26" ht="15.6" hidden="1"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2:26" ht="15.6" hidden="1"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2:26" ht="15.6" hidden="1"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2:26" ht="15.6" hidden="1"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2:26" ht="15.6" hidden="1"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2:26" ht="15.6" hidden="1"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2:26" ht="15.6" hidden="1"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2:26" ht="15.6" hidden="1"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2:26" ht="15.6" hidden="1"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2:26" ht="15.6" hidden="1"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2:26" ht="15.6" hidden="1"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2:26" ht="15.6" hidden="1"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2:26" ht="15.6" hidden="1"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2:26" ht="15.6" hidden="1"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2:26" ht="15.6" hidden="1"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2:26" ht="15.6" hidden="1"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2:26" ht="15.6" hidden="1"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2:26" ht="15.6" hidden="1"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2:26" ht="15.6" hidden="1"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2:26" ht="15.6" hidden="1"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2:26" ht="15.6" hidden="1"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2:26" ht="15.6" hidden="1"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2:26" ht="15.6" hidden="1"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2:26" ht="15.6" hidden="1"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2:26" ht="15.6" hidden="1"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2:26" ht="15.6" hidden="1"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2:26" ht="15.6" hidden="1"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2:26" ht="15.6" hidden="1"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2:26" ht="15.6" hidden="1"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2:26" ht="15.6" hidden="1"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2:26" ht="15.6" hidden="1"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2:26" ht="15.6" hidden="1"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2:26" ht="15.6" hidden="1"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2:26" ht="15.6" hidden="1"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2:26" ht="15.6" hidden="1"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2:26" ht="15.6" hidden="1"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2:26" ht="15.6" hidden="1"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2:26" ht="15.6" hidden="1"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2:26" ht="15.6" hidden="1"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2:26" ht="15.6" hidden="1"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2:26" ht="15.6" hidden="1"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2:26" ht="15.6" hidden="1"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2:26" ht="15.6" hidden="1"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2:26" ht="15.6" hidden="1"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2:26" ht="15.6" hidden="1"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2:26" ht="15.6" hidden="1"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2:26" ht="15.6" hidden="1"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2:26" ht="15.6" hidden="1"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2:26" ht="15.6" hidden="1"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2:26" ht="15.6" hidden="1"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2:26" ht="15.6" hidden="1"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2:26" ht="15.6" hidden="1"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2:26" ht="15.6" hidden="1"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2:26" ht="15.6" hidden="1"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2:26" ht="15.6" hidden="1"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2:26" ht="15.6" hidden="1"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2:26" ht="15.6" hidden="1"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2:26" ht="15.6" hidden="1"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2:26" ht="15.6" hidden="1"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2:26" ht="15.6" hidden="1"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2:26" ht="15.6" hidden="1"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2:26" ht="15.6" hidden="1"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2:26" ht="15.6" hidden="1"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2:26" ht="15.6" hidden="1"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2:26" ht="15.6" hidden="1"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2:26" ht="15.6" hidden="1"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2:26" ht="15.6" hidden="1"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2:26" ht="15.6" hidden="1"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2:26" ht="15.6" hidden="1"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2:26" ht="15.6" hidden="1"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2:26" ht="15.6" hidden="1"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2:26" ht="15.6" hidden="1"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2:26" ht="15.6" hidden="1"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2:26" ht="15.6" hidden="1"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2:26" ht="15.6" hidden="1"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2:26" ht="15.6" hidden="1"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2:26" ht="15.6" hidden="1"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2:26" ht="15.6" hidden="1"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2:26" ht="15.6" hidden="1"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2:26" ht="15.6" hidden="1"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2:26" ht="15.6" hidden="1"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2:26" ht="15.6" hidden="1"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2:26" ht="15.6" hidden="1"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2:26" ht="15.6" hidden="1"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2:26" ht="15.6" hidden="1"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2:26" ht="15.6" hidden="1"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2:26" ht="15.6" hidden="1"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2:26" ht="15.6" hidden="1"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2:26" ht="15.6" hidden="1"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2:26" ht="15.6" hidden="1"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2:26" ht="15.6" hidden="1"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2:26" ht="15.6" hidden="1"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2:26" ht="15.6" hidden="1"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2:26" ht="15.6" hidden="1"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2:26" ht="15.6" hidden="1"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2:26" ht="15.6" hidden="1"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2:26" ht="15.6" hidden="1"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2:26" ht="15.6" hidden="1"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2:26" ht="15.6" hidden="1"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2:26" ht="15.6" hidden="1"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2:26" ht="15.6" hidden="1"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2:26" ht="15.6" hidden="1"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2:26" ht="15.6" hidden="1"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2:26" ht="15.6" hidden="1"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2:26" ht="15.6" hidden="1"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2:26" ht="15.6" hidden="1"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2:26" ht="15.6" hidden="1"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2:26" ht="15.6" hidden="1"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2:26" ht="15.6" hidden="1"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2:26" ht="15.6" hidden="1"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2:26" ht="15.6" hidden="1"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2:26" ht="15.6" hidden="1"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2:26" ht="15.6" hidden="1"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2:26" ht="15.6" hidden="1"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2:26" ht="15.6" hidden="1"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2:26" ht="15.6" hidden="1"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2:26" ht="15.6" hidden="1"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2:26" ht="15.6" hidden="1"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2:26" ht="15.6" hidden="1"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2:26" ht="15.6" hidden="1"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2:26" ht="15.6" hidden="1"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2:26" ht="15.6" hidden="1"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2:26" ht="15.6" hidden="1"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2:26" ht="15.6" hidden="1"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2:26" ht="15.6" hidden="1"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2:26" ht="15.6" hidden="1"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2:26" ht="15.6" hidden="1"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2:26" ht="15.6" hidden="1"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2:26" ht="15.6" hidden="1"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2:26" ht="15.6" hidden="1"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2:26" ht="15.6" hidden="1"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2:26" ht="15.6" hidden="1"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2:26" ht="15.6" hidden="1"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2:26" ht="15.6" hidden="1"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2:26" ht="15.6" hidden="1"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2:26" ht="15.6" hidden="1"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2:26" ht="15.6" hidden="1"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2:26" ht="15.6" hidden="1"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2:26" ht="15.6" hidden="1"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2:26" ht="15.6" hidden="1"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2:26" ht="15.6" hidden="1"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2:26" ht="15.6" hidden="1"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2:26" ht="15.6" hidden="1"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2:26" ht="15.6" hidden="1"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2:26" ht="15.6" hidden="1"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2:26" ht="15.6" hidden="1"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2:26" ht="15.6" hidden="1"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2:26" ht="15.6" hidden="1"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2:26" ht="15.6" hidden="1"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2:26" ht="15.6" hidden="1"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2:26" ht="15.6" hidden="1"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2:26" ht="15.6" hidden="1"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2:26" ht="15.6" hidden="1"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2:26" ht="15.6" hidden="1"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2:26" ht="15.6" hidden="1"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2:26" ht="15.6" hidden="1"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2:26" ht="15.6" hidden="1"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2:26" ht="15.6" hidden="1"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2:26" ht="15.6" hidden="1"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2:26" ht="15.6" hidden="1"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2:26" ht="15.6" hidden="1"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2:26" ht="15.6" hidden="1"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2:26" ht="15.6" hidden="1"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2:26" ht="15.6" hidden="1"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2:26" ht="15.6" hidden="1"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2:26" ht="15.6" hidden="1"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2:26" ht="15.6" hidden="1"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2:26" ht="15.6" hidden="1"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2:26" ht="15.6" hidden="1"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2:26" ht="15.6" hidden="1"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2:26" ht="15.6" hidden="1"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2:26" ht="15.6" hidden="1"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2:26" ht="15.6" hidden="1"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2:26" ht="15.6" hidden="1"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2:26" ht="15.6" hidden="1"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2:26" ht="15.6" hidden="1"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2:26" ht="15.6" hidden="1"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2:26" ht="15.6" hidden="1"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2:26" ht="15.6" hidden="1"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2:26" ht="15.6" hidden="1"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2:26" ht="15.6" hidden="1"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2:26" ht="15.6" hidden="1"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2:26" ht="15.6" hidden="1"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2:26" ht="15.6" hidden="1"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2:26" ht="15.6" hidden="1"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2:26" ht="15.6" hidden="1"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2:26" ht="15.6" hidden="1"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2:26" ht="15.6" hidden="1"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2:26" ht="15.6" hidden="1"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2:26" ht="15.6" hidden="1"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2:26" ht="15.6" hidden="1"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2:26" ht="15.6" hidden="1"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2:26" ht="15.6" hidden="1"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2:26" ht="15.6" hidden="1"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2:26" ht="15.6" hidden="1"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2:26" ht="15.6" hidden="1"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2:26" ht="15.6" hidden="1"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2:26" ht="15.6" hidden="1"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2:26" ht="15.6" hidden="1"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2:26" ht="15.6" hidden="1"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2:26" ht="15.6" hidden="1"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2:26" ht="15.6" hidden="1"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2:26" ht="15.6" hidden="1"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2:26" ht="15.6" hidden="1"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2:26" ht="15.6" hidden="1"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2:26" ht="15.6" hidden="1"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2:26" ht="15.6" hidden="1"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2:26" ht="15.6" hidden="1"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2:26" ht="15.6" hidden="1"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2:26" ht="15.6" hidden="1"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2:26" ht="15.6" hidden="1"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2:26" ht="15.6" hidden="1"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2:26" ht="15.6" hidden="1"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2:26" ht="15.6" hidden="1"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2:26" ht="15.6" hidden="1"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2:26" ht="15.6" hidden="1"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2:26" ht="15.6" hidden="1"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2:26" ht="15.6" hidden="1"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2:26" ht="15.6" hidden="1"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2:26" ht="15.6" hidden="1"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2:26" ht="15.6" hidden="1"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2:26" ht="15.6" hidden="1"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2:26" ht="15.6" hidden="1"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2:26" ht="15.6" hidden="1"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2:26" ht="15.6" hidden="1"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2:26" ht="15.6" hidden="1"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2:26" ht="15.6" hidden="1"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2:26" ht="15.6" hidden="1"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2:26" ht="15.6" hidden="1"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2:26" ht="15.6" hidden="1"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2:26" ht="15.6" hidden="1"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2:26" ht="15.6" hidden="1"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2:26" ht="15.6" hidden="1"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2:26" ht="15.6" hidden="1"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2:26" ht="15.6" hidden="1"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2:26" ht="15.6" hidden="1"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2:26" ht="15.6" hidden="1"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2:26" ht="15.6" hidden="1"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2:26" ht="15.6" hidden="1"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2:26" ht="15.6" hidden="1"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2:26" ht="15.6" hidden="1"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2:26" ht="15.6" hidden="1"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2:26" ht="15.6" hidden="1"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2:26" ht="15.6" hidden="1"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2:26" ht="15.6" hidden="1"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2:26" ht="15.6" hidden="1"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2:26" ht="15.6" hidden="1"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2:26" ht="15.6" hidden="1"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2:26" ht="15.6" hidden="1"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2:26" ht="15.6" hidden="1"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2:26" ht="15.6" hidden="1"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2:26" ht="15.6" hidden="1"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2:26" ht="15.6" hidden="1"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2:26" ht="15.6" hidden="1"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2:26" ht="15.6" hidden="1"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2:26" ht="15.6" hidden="1"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2:26" ht="15.6" hidden="1"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2:26" ht="15.6" hidden="1"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2:26" ht="15.6" hidden="1"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2:26" ht="15.6" hidden="1"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2:26" ht="15.6" hidden="1"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2:26" ht="15.6" hidden="1"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2:26" ht="15.6" hidden="1"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2:26" ht="15.6" hidden="1"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2:26" ht="15.6" hidden="1"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2:26" ht="15.6" hidden="1"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2:26" ht="15.6" hidden="1"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2:26" ht="15.6" hidden="1"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2:26" ht="15.6" hidden="1"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2:26" ht="15.6" hidden="1"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2:26" ht="15.6" hidden="1"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2:26" ht="15.6" hidden="1"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2:26" ht="15.6" hidden="1"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2:26" ht="15.6" hidden="1"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2:26" ht="15.6" hidden="1"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2:26" ht="15.6" hidden="1"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2:26" ht="15.6" hidden="1"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2:26" ht="15.6" hidden="1"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2:26" ht="15.6" hidden="1"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2:26" ht="15.6" hidden="1"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2:26" ht="15.6" hidden="1"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2:26" ht="15.6" hidden="1"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2:26" ht="15.6" hidden="1"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2:26" ht="15.6" hidden="1"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2:26" ht="15.6" hidden="1"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2:26" ht="15.6" hidden="1"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2:26" ht="15.6" hidden="1"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2:26" ht="15.6" hidden="1"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2:26" ht="15.6" hidden="1"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2:26" ht="15.6" hidden="1"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2:26" ht="15.6" hidden="1"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2:26" ht="15.6" hidden="1"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2:26" ht="15.6" hidden="1"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2:26" ht="15.6" hidden="1"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2:26" ht="15.6" hidden="1"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2:26" ht="15.6" hidden="1"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2:26" ht="15.6" hidden="1"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2:26" ht="15.6" hidden="1"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2:26" ht="15.6" hidden="1"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2:26" ht="15.6" hidden="1"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2:26" ht="15.6" hidden="1"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2:26" ht="15.6" hidden="1"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2:26" ht="15.6" hidden="1"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2:26" ht="15.6" hidden="1"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2:26" ht="15.6" hidden="1"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2:26" ht="15.6" hidden="1"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2:26" ht="15.6" hidden="1"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2:26" ht="15.6" hidden="1"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2:26" ht="15.6" hidden="1"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2:26" ht="15.6" hidden="1"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2:26" ht="15.6" hidden="1"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2:26" ht="15.6" hidden="1"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2:26" ht="15.6" hidden="1"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2:26" ht="15.6" hidden="1"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2:26" ht="15.6" hidden="1"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2:26" ht="15.6" hidden="1"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2:26" ht="15.6" hidden="1"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2:26" ht="15.6" hidden="1"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2:26" ht="15.6" hidden="1"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2:26" ht="15.6" hidden="1"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2:26" ht="15.6" hidden="1"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2:26" ht="15.6" hidden="1"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2:26" ht="15.6" hidden="1"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2:26" ht="15.6" hidden="1"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2:26" ht="15.6" hidden="1"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2:26" ht="15.6" hidden="1"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2:26" ht="15.6" hidden="1"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2:26" ht="15.6" hidden="1"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2:26" ht="15.6" hidden="1"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2:26" ht="15.6" hidden="1"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2:26" ht="15.6" hidden="1"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2:26" ht="15.6" hidden="1"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2:26" ht="15.6" hidden="1"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2:26" ht="15.6" hidden="1"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2:26" ht="15.6" hidden="1"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2:26" ht="15.6" hidden="1"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2:26" ht="15.6" hidden="1"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2:26" ht="15.6" hidden="1"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2:26" ht="15.6" hidden="1"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교육과정편제표(로봇융합과)</vt:lpstr>
      <vt:lpstr>실무과목 능력단위(로봇융합과)</vt:lpstr>
      <vt:lpstr>삭제금지</vt:lpstr>
      <vt:lpstr>(참고1) 편성 기준🔐</vt:lpstr>
      <vt:lpstr>'교육과정편제표(로봇융합과)'!Print_Area</vt:lpstr>
      <vt:lpstr>'실무과목 능력단위(로봇융합과)'!Print_Area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2026-10-22T01:43:45Z</cp:lastPrinted>
  <dcterms:created xsi:type="dcterms:W3CDTF">2020-03-04T02:26:59Z</dcterms:created>
  <dcterms:modified xsi:type="dcterms:W3CDTF">2026-10-23T00:00:47Z</dcterms:modified>
</cp:coreProperties>
</file>