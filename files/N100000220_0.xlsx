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  <Override PartName="/xl/documenttasks/documenttask5.xml" ContentType="application/vnd.ms-excel.documenttask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D64D094-C944-47C1-BBF8-492E1E07624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. 2027교육과정(공정설비) 안 작성중" sheetId="1" r:id="rId1"/>
    <sheet name="1A.2027 교육과정 능력단위 편제표(플랜트스마트설비)" sheetId="2" r:id="rId2"/>
    <sheet name="1B.2027 교육과정 능력단위 편제표(플랜트설비보전)" sheetId="3" r:id="rId3"/>
    <sheet name="1C.2027 교육과정 능력단위 편제표(설계(도제))" sheetId="4" r:id="rId4"/>
    <sheet name="2. 2027교육과정(공정운전) 안 작성중" sheetId="5" r:id="rId5"/>
    <sheet name="2A.2027 교육과정 능력단위 편제표(화학공정운전)" sheetId="6" r:id="rId6"/>
    <sheet name="2B.2027 교육과정 능력단위 편제표(화학제품품질분석(" sheetId="7" r:id="rId7"/>
    <sheet name="1. 2027계획에서 컨버팅" sheetId="11" state="hidden" r:id="rId8"/>
    <sheet name="1-1. 1개선제안" sheetId="12" state="hidden" r:id="rId9"/>
    <sheet name="2. 협약형과목 증감협의용" sheetId="13" state="hidden" r:id="rId10"/>
    <sheet name="3. B코스 협의용" sheetId="14" state="hidden" r:id="rId11"/>
    <sheet name="3-0. B코스 후보정리" sheetId="15" state="hidden" r:id="rId12"/>
    <sheet name="4. A코스 제안" sheetId="16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16" l="1"/>
  <c r="J22" i="16"/>
  <c r="J21" i="16"/>
  <c r="J20" i="16"/>
  <c r="J19" i="16"/>
  <c r="J18" i="16"/>
  <c r="J17" i="16"/>
  <c r="J16" i="16"/>
  <c r="J15" i="16"/>
  <c r="J10" i="16"/>
  <c r="J9" i="16"/>
  <c r="J8" i="16"/>
  <c r="J7" i="16"/>
  <c r="J6" i="16"/>
  <c r="J5" i="16"/>
  <c r="J4" i="16"/>
  <c r="J3" i="16"/>
  <c r="J2" i="16"/>
  <c r="J149" i="14"/>
  <c r="J148" i="14"/>
  <c r="J147" i="14"/>
  <c r="J146" i="14"/>
  <c r="J145" i="14"/>
  <c r="J144" i="14"/>
  <c r="J143" i="14"/>
  <c r="J142" i="14"/>
  <c r="J141" i="14"/>
  <c r="J136" i="14"/>
  <c r="J135" i="14"/>
  <c r="J134" i="14"/>
  <c r="J133" i="14"/>
  <c r="J132" i="14"/>
  <c r="J131" i="14"/>
  <c r="J130" i="14"/>
  <c r="J129" i="14"/>
  <c r="J128" i="14"/>
  <c r="J124" i="14"/>
  <c r="J123" i="14"/>
  <c r="J122" i="14"/>
  <c r="J121" i="14"/>
  <c r="J120" i="14"/>
  <c r="J119" i="14"/>
  <c r="J118" i="14"/>
  <c r="J117" i="14"/>
  <c r="J116" i="14"/>
  <c r="J112" i="14"/>
  <c r="J111" i="14"/>
  <c r="J110" i="14"/>
  <c r="J109" i="14"/>
  <c r="J108" i="14"/>
  <c r="J107" i="14"/>
  <c r="J106" i="14"/>
  <c r="J105" i="14"/>
  <c r="J104" i="14"/>
  <c r="J100" i="14"/>
  <c r="J99" i="14"/>
  <c r="J98" i="14"/>
  <c r="J97" i="14"/>
  <c r="J96" i="14"/>
  <c r="J95" i="14"/>
  <c r="J94" i="14"/>
  <c r="J93" i="14"/>
  <c r="J92" i="14"/>
  <c r="J91" i="14"/>
  <c r="J87" i="14"/>
  <c r="J86" i="14"/>
  <c r="J85" i="14"/>
  <c r="J84" i="14"/>
  <c r="J83" i="14"/>
  <c r="J82" i="14"/>
  <c r="J81" i="14"/>
  <c r="J80" i="14"/>
  <c r="J79" i="14"/>
  <c r="K75" i="14"/>
  <c r="W73" i="14"/>
  <c r="W70" i="14"/>
  <c r="U69" i="14"/>
  <c r="U74" i="14" s="1"/>
  <c r="O69" i="14"/>
  <c r="O74" i="14" s="1"/>
  <c r="O75" i="14" s="1"/>
  <c r="M69" i="14"/>
  <c r="M74" i="14" s="1"/>
  <c r="K69" i="14"/>
  <c r="K74" i="14" s="1"/>
  <c r="U67" i="14"/>
  <c r="S67" i="14"/>
  <c r="Q67" i="14"/>
  <c r="O67" i="14"/>
  <c r="M67" i="14"/>
  <c r="K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U36" i="14"/>
  <c r="S36" i="14"/>
  <c r="S69" i="14" s="1"/>
  <c r="S74" i="14" s="1"/>
  <c r="S75" i="14" s="1"/>
  <c r="Q36" i="14"/>
  <c r="Q69" i="14" s="1"/>
  <c r="Q74" i="14" s="1"/>
  <c r="O36" i="14"/>
  <c r="M36" i="14"/>
  <c r="K36" i="14"/>
  <c r="J35" i="14"/>
  <c r="J34" i="14"/>
  <c r="J33" i="14"/>
  <c r="W33" i="14" s="1"/>
  <c r="J32" i="14"/>
  <c r="J31" i="14"/>
  <c r="J30" i="14"/>
  <c r="J29" i="14"/>
  <c r="W29" i="14" s="1"/>
  <c r="J28" i="14"/>
  <c r="W28" i="14" s="1"/>
  <c r="W27" i="14"/>
  <c r="J27" i="14"/>
  <c r="J26" i="14"/>
  <c r="W26" i="14" s="1"/>
  <c r="J25" i="14"/>
  <c r="W25" i="14" s="1"/>
  <c r="J24" i="14"/>
  <c r="W24" i="14" s="1"/>
  <c r="J23" i="14"/>
  <c r="W23" i="14" s="1"/>
  <c r="J22" i="14"/>
  <c r="W22" i="14" s="1"/>
  <c r="X22" i="14" s="1"/>
  <c r="J21" i="14"/>
  <c r="W21" i="14" s="1"/>
  <c r="J20" i="14"/>
  <c r="W20" i="14" s="1"/>
  <c r="X20" i="14" s="1"/>
  <c r="J19" i="14"/>
  <c r="W19" i="14" s="1"/>
  <c r="J18" i="14"/>
  <c r="W18" i="14" s="1"/>
  <c r="X18" i="14" s="1"/>
  <c r="W17" i="14"/>
  <c r="J17" i="14"/>
  <c r="W16" i="14"/>
  <c r="J16" i="14"/>
  <c r="J15" i="14"/>
  <c r="W15" i="14" s="1"/>
  <c r="X15" i="14" s="1"/>
  <c r="J14" i="14"/>
  <c r="W14" i="14" s="1"/>
  <c r="J13" i="14"/>
  <c r="W13" i="14" s="1"/>
  <c r="J12" i="14"/>
  <c r="J11" i="14"/>
  <c r="W11" i="14" s="1"/>
  <c r="W10" i="14"/>
  <c r="J10" i="14"/>
  <c r="J9" i="14"/>
  <c r="W9" i="14" s="1"/>
  <c r="W73" i="13"/>
  <c r="W70" i="13"/>
  <c r="M69" i="13"/>
  <c r="M74" i="13" s="1"/>
  <c r="K69" i="13"/>
  <c r="K74" i="13" s="1"/>
  <c r="U67" i="13"/>
  <c r="S67" i="13"/>
  <c r="Q67" i="13"/>
  <c r="Q69" i="13" s="1"/>
  <c r="Q74" i="13" s="1"/>
  <c r="O67" i="13"/>
  <c r="O69" i="13" s="1"/>
  <c r="O74" i="13" s="1"/>
  <c r="O75" i="13" s="1"/>
  <c r="M67" i="13"/>
  <c r="K67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U36" i="13"/>
  <c r="U69" i="13" s="1"/>
  <c r="U74" i="13" s="1"/>
  <c r="S36" i="13"/>
  <c r="S69" i="13" s="1"/>
  <c r="S74" i="13" s="1"/>
  <c r="S75" i="13" s="1"/>
  <c r="Q36" i="13"/>
  <c r="O36" i="13"/>
  <c r="M36" i="13"/>
  <c r="K36" i="13"/>
  <c r="J35" i="13"/>
  <c r="J34" i="13"/>
  <c r="J33" i="13"/>
  <c r="J32" i="13"/>
  <c r="J31" i="13"/>
  <c r="J30" i="13"/>
  <c r="J29" i="13"/>
  <c r="W29" i="13" s="1"/>
  <c r="J28" i="13"/>
  <c r="W28" i="13" s="1"/>
  <c r="J27" i="13"/>
  <c r="W27" i="13" s="1"/>
  <c r="J26" i="13"/>
  <c r="W26" i="13" s="1"/>
  <c r="J25" i="13"/>
  <c r="W25" i="13" s="1"/>
  <c r="J24" i="13"/>
  <c r="W24" i="13" s="1"/>
  <c r="J23" i="13"/>
  <c r="W23" i="13" s="1"/>
  <c r="J22" i="13"/>
  <c r="W22" i="13" s="1"/>
  <c r="J21" i="13"/>
  <c r="W21" i="13" s="1"/>
  <c r="J20" i="13"/>
  <c r="W20" i="13" s="1"/>
  <c r="X20" i="13" s="1"/>
  <c r="W19" i="13"/>
  <c r="J19" i="13"/>
  <c r="J18" i="13"/>
  <c r="W18" i="13" s="1"/>
  <c r="X18" i="13" s="1"/>
  <c r="J17" i="13"/>
  <c r="W17" i="13" s="1"/>
  <c r="W16" i="13"/>
  <c r="J16" i="13"/>
  <c r="W15" i="13"/>
  <c r="X15" i="13" s="1"/>
  <c r="J15" i="13"/>
  <c r="W14" i="13"/>
  <c r="J14" i="13"/>
  <c r="J13" i="13"/>
  <c r="W13" i="13" s="1"/>
  <c r="J12" i="13"/>
  <c r="W12" i="13" s="1"/>
  <c r="J11" i="13"/>
  <c r="W11" i="13" s="1"/>
  <c r="J10" i="13"/>
  <c r="W10" i="13" s="1"/>
  <c r="J9" i="13"/>
  <c r="W9" i="13" s="1"/>
  <c r="X9" i="13" s="1"/>
  <c r="S74" i="12"/>
  <c r="S75" i="12" s="1"/>
  <c r="W73" i="12"/>
  <c r="W70" i="12"/>
  <c r="U67" i="12"/>
  <c r="S67" i="12"/>
  <c r="Q67" i="12"/>
  <c r="Q69" i="12" s="1"/>
  <c r="Q74" i="12" s="1"/>
  <c r="O67" i="12"/>
  <c r="M67" i="12"/>
  <c r="K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U36" i="12"/>
  <c r="U69" i="12" s="1"/>
  <c r="U74" i="12" s="1"/>
  <c r="S36" i="12"/>
  <c r="S69" i="12" s="1"/>
  <c r="Q36" i="12"/>
  <c r="O36" i="12"/>
  <c r="M36" i="12"/>
  <c r="M69" i="12" s="1"/>
  <c r="M74" i="12" s="1"/>
  <c r="K36" i="12"/>
  <c r="K69" i="12" s="1"/>
  <c r="K74" i="12" s="1"/>
  <c r="J35" i="12"/>
  <c r="J34" i="12"/>
  <c r="J33" i="12"/>
  <c r="W33" i="12" s="1"/>
  <c r="J32" i="12"/>
  <c r="J31" i="12"/>
  <c r="J30" i="12"/>
  <c r="J29" i="12"/>
  <c r="W29" i="12" s="1"/>
  <c r="J28" i="12"/>
  <c r="W28" i="12" s="1"/>
  <c r="J27" i="12"/>
  <c r="W27" i="12" s="1"/>
  <c r="W26" i="12"/>
  <c r="J26" i="12"/>
  <c r="W25" i="12"/>
  <c r="J25" i="12"/>
  <c r="J24" i="12"/>
  <c r="W24" i="12" s="1"/>
  <c r="J23" i="12"/>
  <c r="W23" i="12" s="1"/>
  <c r="J22" i="12"/>
  <c r="W22" i="12" s="1"/>
  <c r="W21" i="12"/>
  <c r="J21" i="12"/>
  <c r="J20" i="12"/>
  <c r="W20" i="12" s="1"/>
  <c r="J19" i="12"/>
  <c r="W19" i="12" s="1"/>
  <c r="J18" i="12"/>
  <c r="W18" i="12" s="1"/>
  <c r="J17" i="12"/>
  <c r="W17" i="12" s="1"/>
  <c r="W16" i="12"/>
  <c r="J16" i="12"/>
  <c r="J15" i="12"/>
  <c r="W15" i="12" s="1"/>
  <c r="W14" i="12"/>
  <c r="J14" i="12"/>
  <c r="J13" i="12"/>
  <c r="W13" i="12" s="1"/>
  <c r="W12" i="12"/>
  <c r="X12" i="12" s="1"/>
  <c r="J12" i="12"/>
  <c r="J11" i="12"/>
  <c r="W11" i="12" s="1"/>
  <c r="W10" i="12"/>
  <c r="J10" i="12"/>
  <c r="J9" i="12"/>
  <c r="W9" i="12" s="1"/>
  <c r="W73" i="11"/>
  <c r="W70" i="11"/>
  <c r="O69" i="11"/>
  <c r="O74" i="11" s="1"/>
  <c r="O75" i="11" s="1"/>
  <c r="M69" i="11"/>
  <c r="M74" i="11" s="1"/>
  <c r="U67" i="11"/>
  <c r="S67" i="11"/>
  <c r="Q67" i="11"/>
  <c r="Q69" i="11" s="1"/>
  <c r="Q74" i="11" s="1"/>
  <c r="O67" i="11"/>
  <c r="M67" i="11"/>
  <c r="K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67" i="11" s="1"/>
  <c r="J40" i="11"/>
  <c r="J39" i="11"/>
  <c r="J38" i="11"/>
  <c r="J37" i="11"/>
  <c r="W37" i="11" s="1"/>
  <c r="W67" i="11" s="1"/>
  <c r="U36" i="11"/>
  <c r="S36" i="11"/>
  <c r="S69" i="11" s="1"/>
  <c r="S74" i="11" s="1"/>
  <c r="Q36" i="11"/>
  <c r="O36" i="11"/>
  <c r="M36" i="11"/>
  <c r="K36" i="11"/>
  <c r="K69" i="11" s="1"/>
  <c r="K74" i="11" s="1"/>
  <c r="J35" i="11"/>
  <c r="J34" i="11"/>
  <c r="W33" i="11"/>
  <c r="J33" i="11"/>
  <c r="J32" i="11"/>
  <c r="J31" i="11"/>
  <c r="J30" i="11"/>
  <c r="J29" i="11"/>
  <c r="W29" i="11" s="1"/>
  <c r="J28" i="11"/>
  <c r="W28" i="11" s="1"/>
  <c r="J27" i="11"/>
  <c r="W27" i="11" s="1"/>
  <c r="J26" i="11"/>
  <c r="W26" i="11" s="1"/>
  <c r="W25" i="11"/>
  <c r="J25" i="11"/>
  <c r="W24" i="11"/>
  <c r="J24" i="11"/>
  <c r="W23" i="11"/>
  <c r="J23" i="11"/>
  <c r="J22" i="11"/>
  <c r="W22" i="11" s="1"/>
  <c r="X22" i="11" s="1"/>
  <c r="W21" i="11"/>
  <c r="J21" i="11"/>
  <c r="J20" i="11"/>
  <c r="W20" i="11" s="1"/>
  <c r="X20" i="11" s="1"/>
  <c r="J19" i="11"/>
  <c r="W19" i="11" s="1"/>
  <c r="J18" i="11"/>
  <c r="W18" i="11" s="1"/>
  <c r="J17" i="11"/>
  <c r="W17" i="11" s="1"/>
  <c r="J16" i="11"/>
  <c r="W16" i="11" s="1"/>
  <c r="J15" i="11"/>
  <c r="W15" i="11" s="1"/>
  <c r="X15" i="11" s="1"/>
  <c r="W14" i="11"/>
  <c r="J14" i="11"/>
  <c r="J13" i="11"/>
  <c r="W13" i="11" s="1"/>
  <c r="X12" i="11" s="1"/>
  <c r="W12" i="11"/>
  <c r="J12" i="11"/>
  <c r="J11" i="11"/>
  <c r="W11" i="11" s="1"/>
  <c r="J10" i="11"/>
  <c r="W10" i="11" s="1"/>
  <c r="J9" i="11"/>
  <c r="W9" i="11" s="1"/>
  <c r="X9" i="11" s="1"/>
  <c r="R35" i="7"/>
  <c r="P35" i="7"/>
  <c r="U34" i="7"/>
  <c r="T34" i="7"/>
  <c r="S34" i="7"/>
  <c r="U33" i="7"/>
  <c r="T33" i="7"/>
  <c r="S33" i="7"/>
  <c r="T32" i="7"/>
  <c r="S32" i="7"/>
  <c r="U32" i="7" s="1"/>
  <c r="T31" i="7"/>
  <c r="S31" i="7"/>
  <c r="S35" i="7" s="1"/>
  <c r="T30" i="7"/>
  <c r="Q30" i="7"/>
  <c r="U30" i="7" s="1"/>
  <c r="U29" i="7"/>
  <c r="T29" i="7"/>
  <c r="T35" i="7" s="1"/>
  <c r="Q29" i="7"/>
  <c r="R28" i="7"/>
  <c r="P28" i="7"/>
  <c r="T27" i="7"/>
  <c r="S27" i="7"/>
  <c r="U27" i="7" s="1"/>
  <c r="U26" i="7"/>
  <c r="T26" i="7"/>
  <c r="S26" i="7"/>
  <c r="S28" i="7" s="1"/>
  <c r="T25" i="7"/>
  <c r="Q25" i="7"/>
  <c r="U25" i="7" s="1"/>
  <c r="T24" i="7"/>
  <c r="Q24" i="7"/>
  <c r="U24" i="7" s="1"/>
  <c r="T23" i="7"/>
  <c r="Q23" i="7"/>
  <c r="U23" i="7" s="1"/>
  <c r="T22" i="7"/>
  <c r="Q22" i="7"/>
  <c r="U22" i="7" s="1"/>
  <c r="U21" i="7"/>
  <c r="T21" i="7"/>
  <c r="T28" i="7" s="1"/>
  <c r="Q21" i="7"/>
  <c r="T20" i="7"/>
  <c r="Q20" i="7"/>
  <c r="T18" i="7"/>
  <c r="U18" i="7" s="1"/>
  <c r="T17" i="7"/>
  <c r="U17" i="7" s="1"/>
  <c r="T16" i="7"/>
  <c r="U16" i="7" s="1"/>
  <c r="T15" i="7"/>
  <c r="K15" i="7"/>
  <c r="U15" i="7" s="1"/>
  <c r="U14" i="7"/>
  <c r="T14" i="7"/>
  <c r="K14" i="7"/>
  <c r="T13" i="7"/>
  <c r="K13" i="7"/>
  <c r="U13" i="7" s="1"/>
  <c r="T12" i="7"/>
  <c r="I12" i="7"/>
  <c r="U12" i="7" s="1"/>
  <c r="T11" i="7"/>
  <c r="I11" i="7"/>
  <c r="U11" i="7" s="1"/>
  <c r="T10" i="7"/>
  <c r="I10" i="7"/>
  <c r="U10" i="7" s="1"/>
  <c r="U9" i="7"/>
  <c r="U19" i="7" s="1"/>
  <c r="T9" i="7"/>
  <c r="I9" i="7"/>
  <c r="R45" i="6"/>
  <c r="Q45" i="6"/>
  <c r="P45" i="6"/>
  <c r="U44" i="6"/>
  <c r="T44" i="6"/>
  <c r="S44" i="6"/>
  <c r="T43" i="6"/>
  <c r="T45" i="6" s="1"/>
  <c r="S43" i="6"/>
  <c r="U42" i="6"/>
  <c r="T42" i="6"/>
  <c r="Q42" i="6"/>
  <c r="T41" i="6"/>
  <c r="Q41" i="6"/>
  <c r="U41" i="6" s="1"/>
  <c r="R40" i="6"/>
  <c r="Q40" i="6"/>
  <c r="P40" i="6"/>
  <c r="T39" i="6"/>
  <c r="S39" i="6"/>
  <c r="U39" i="6" s="1"/>
  <c r="U38" i="6"/>
  <c r="T38" i="6"/>
  <c r="S38" i="6"/>
  <c r="T37" i="6"/>
  <c r="S37" i="6"/>
  <c r="U37" i="6" s="1"/>
  <c r="T36" i="6"/>
  <c r="Q36" i="6"/>
  <c r="U36" i="6" s="1"/>
  <c r="R35" i="6"/>
  <c r="P35" i="6"/>
  <c r="U34" i="6"/>
  <c r="T34" i="6"/>
  <c r="S34" i="6"/>
  <c r="S35" i="6" s="1"/>
  <c r="T33" i="6"/>
  <c r="S33" i="6"/>
  <c r="U33" i="6" s="1"/>
  <c r="U32" i="6"/>
  <c r="T32" i="6"/>
  <c r="S32" i="6"/>
  <c r="U31" i="6"/>
  <c r="T31" i="6"/>
  <c r="Q31" i="6"/>
  <c r="U30" i="6"/>
  <c r="T30" i="6"/>
  <c r="Q30" i="6"/>
  <c r="T29" i="6"/>
  <c r="Q29" i="6"/>
  <c r="R28" i="6"/>
  <c r="Q28" i="6"/>
  <c r="P28" i="6"/>
  <c r="T27" i="6"/>
  <c r="S27" i="6"/>
  <c r="U27" i="6" s="1"/>
  <c r="T26" i="6"/>
  <c r="S26" i="6"/>
  <c r="U26" i="6" s="1"/>
  <c r="T25" i="6"/>
  <c r="S25" i="6"/>
  <c r="U24" i="6"/>
  <c r="T24" i="6"/>
  <c r="Q24" i="6"/>
  <c r="T23" i="6"/>
  <c r="T28" i="6" s="1"/>
  <c r="Q23" i="6"/>
  <c r="U23" i="6" s="1"/>
  <c r="P22" i="6"/>
  <c r="T21" i="6"/>
  <c r="Q21" i="6"/>
  <c r="U21" i="6" s="1"/>
  <c r="T20" i="6"/>
  <c r="T22" i="6" s="1"/>
  <c r="Q20" i="6"/>
  <c r="U19" i="6"/>
  <c r="K19" i="6"/>
  <c r="J19" i="6"/>
  <c r="I19" i="6"/>
  <c r="H19" i="6"/>
  <c r="U18" i="6"/>
  <c r="T18" i="6"/>
  <c r="T17" i="6"/>
  <c r="U17" i="6" s="1"/>
  <c r="T16" i="6"/>
  <c r="U16" i="6" s="1"/>
  <c r="U15" i="6"/>
  <c r="T15" i="6"/>
  <c r="U14" i="6"/>
  <c r="T14" i="6"/>
  <c r="U13" i="6"/>
  <c r="T13" i="6"/>
  <c r="U12" i="6"/>
  <c r="T12" i="6"/>
  <c r="U11" i="6"/>
  <c r="T11" i="6"/>
  <c r="T19" i="6" s="1"/>
  <c r="U10" i="6"/>
  <c r="T10" i="6"/>
  <c r="U9" i="6"/>
  <c r="T9" i="6"/>
  <c r="Q61" i="5"/>
  <c r="Q58" i="5"/>
  <c r="P56" i="5"/>
  <c r="O56" i="5"/>
  <c r="O57" i="5" s="1"/>
  <c r="O62" i="5" s="1"/>
  <c r="N56" i="5"/>
  <c r="M56" i="5"/>
  <c r="L56" i="5"/>
  <c r="K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56" i="5" s="1"/>
  <c r="J39" i="5"/>
  <c r="J38" i="5"/>
  <c r="J37" i="5"/>
  <c r="P36" i="5"/>
  <c r="O36" i="5"/>
  <c r="N36" i="5"/>
  <c r="M36" i="5"/>
  <c r="M57" i="5" s="1"/>
  <c r="M62" i="5" s="1"/>
  <c r="L36" i="5"/>
  <c r="L57" i="5" s="1"/>
  <c r="L62" i="5" s="1"/>
  <c r="K36" i="5"/>
  <c r="K57" i="5" s="1"/>
  <c r="K62" i="5" s="1"/>
  <c r="J35" i="5"/>
  <c r="J34" i="5"/>
  <c r="J33" i="5"/>
  <c r="Q33" i="5" s="1"/>
  <c r="J32" i="5"/>
  <c r="Q29" i="5" s="1"/>
  <c r="J31" i="5"/>
  <c r="J30" i="5"/>
  <c r="J29" i="5"/>
  <c r="Q28" i="5"/>
  <c r="J28" i="5"/>
  <c r="J27" i="5"/>
  <c r="Q27" i="5" s="1"/>
  <c r="J26" i="5"/>
  <c r="Q26" i="5" s="1"/>
  <c r="Q25" i="5"/>
  <c r="J25" i="5"/>
  <c r="J24" i="5"/>
  <c r="Q24" i="5" s="1"/>
  <c r="Q23" i="5"/>
  <c r="J23" i="5"/>
  <c r="Q22" i="5"/>
  <c r="J22" i="5"/>
  <c r="Q21" i="5"/>
  <c r="J21" i="5"/>
  <c r="J20" i="5"/>
  <c r="Q20" i="5" s="1"/>
  <c r="R20" i="5" s="1"/>
  <c r="Q19" i="5"/>
  <c r="J19" i="5"/>
  <c r="J18" i="5"/>
  <c r="Q18" i="5" s="1"/>
  <c r="R18" i="5" s="1"/>
  <c r="J17" i="5"/>
  <c r="Q17" i="5" s="1"/>
  <c r="J16" i="5"/>
  <c r="Q16" i="5" s="1"/>
  <c r="J15" i="5"/>
  <c r="Q15" i="5" s="1"/>
  <c r="J14" i="5"/>
  <c r="Q14" i="5" s="1"/>
  <c r="J13" i="5"/>
  <c r="Q13" i="5" s="1"/>
  <c r="R12" i="5" s="1"/>
  <c r="Q12" i="5"/>
  <c r="J12" i="5"/>
  <c r="J11" i="5"/>
  <c r="Q11" i="5" s="1"/>
  <c r="Q10" i="5"/>
  <c r="J10" i="5"/>
  <c r="J9" i="5"/>
  <c r="Q9" i="5" s="1"/>
  <c r="R46" i="4"/>
  <c r="P46" i="4"/>
  <c r="O46" i="4"/>
  <c r="N46" i="4"/>
  <c r="M46" i="4"/>
  <c r="L46" i="4"/>
  <c r="K46" i="4"/>
  <c r="J46" i="4"/>
  <c r="I46" i="4"/>
  <c r="H46" i="4"/>
  <c r="T45" i="4"/>
  <c r="U45" i="4" s="1"/>
  <c r="S45" i="4"/>
  <c r="U44" i="4"/>
  <c r="T44" i="4"/>
  <c r="S44" i="4"/>
  <c r="T43" i="4"/>
  <c r="S43" i="4"/>
  <c r="Q43" i="4"/>
  <c r="T42" i="4"/>
  <c r="U42" i="4" s="1"/>
  <c r="S42" i="4"/>
  <c r="Q42" i="4"/>
  <c r="Q46" i="4" s="1"/>
  <c r="U41" i="4"/>
  <c r="T41" i="4"/>
  <c r="S41" i="4"/>
  <c r="S46" i="4" s="1"/>
  <c r="R40" i="4"/>
  <c r="P40" i="4"/>
  <c r="O40" i="4"/>
  <c r="N40" i="4"/>
  <c r="M40" i="4"/>
  <c r="L40" i="4"/>
  <c r="K40" i="4"/>
  <c r="J40" i="4"/>
  <c r="I40" i="4"/>
  <c r="H40" i="4"/>
  <c r="T39" i="4"/>
  <c r="U39" i="4" s="1"/>
  <c r="S39" i="4"/>
  <c r="U38" i="4"/>
  <c r="T38" i="4"/>
  <c r="S38" i="4"/>
  <c r="T37" i="4"/>
  <c r="U37" i="4" s="1"/>
  <c r="S37" i="4"/>
  <c r="S40" i="4" s="1"/>
  <c r="U36" i="4"/>
  <c r="T36" i="4"/>
  <c r="Q36" i="4"/>
  <c r="T35" i="4"/>
  <c r="Q35" i="4"/>
  <c r="Q40" i="4" s="1"/>
  <c r="S34" i="4"/>
  <c r="R34" i="4"/>
  <c r="Q34" i="4"/>
  <c r="P34" i="4"/>
  <c r="N34" i="4"/>
  <c r="M34" i="4"/>
  <c r="L34" i="4"/>
  <c r="K34" i="4"/>
  <c r="J34" i="4"/>
  <c r="I34" i="4"/>
  <c r="H34" i="4"/>
  <c r="U33" i="4"/>
  <c r="T33" i="4"/>
  <c r="Q33" i="4"/>
  <c r="T32" i="4"/>
  <c r="U32" i="4" s="1"/>
  <c r="Q32" i="4"/>
  <c r="U31" i="4"/>
  <c r="T31" i="4"/>
  <c r="Q31" i="4"/>
  <c r="T30" i="4"/>
  <c r="O30" i="4"/>
  <c r="T29" i="4"/>
  <c r="U29" i="4" s="1"/>
  <c r="O29" i="4"/>
  <c r="S28" i="4"/>
  <c r="R28" i="4"/>
  <c r="Q28" i="4"/>
  <c r="P28" i="4"/>
  <c r="O28" i="4"/>
  <c r="N28" i="4"/>
  <c r="L28" i="4"/>
  <c r="K28" i="4"/>
  <c r="J28" i="4"/>
  <c r="I28" i="4"/>
  <c r="H28" i="4"/>
  <c r="T27" i="4"/>
  <c r="U27" i="4" s="1"/>
  <c r="U26" i="4"/>
  <c r="T26" i="4"/>
  <c r="O26" i="4"/>
  <c r="T25" i="4"/>
  <c r="U25" i="4" s="1"/>
  <c r="O25" i="4"/>
  <c r="U24" i="4"/>
  <c r="T24" i="4"/>
  <c r="O24" i="4"/>
  <c r="U23" i="4"/>
  <c r="T23" i="4"/>
  <c r="M23" i="4"/>
  <c r="T22" i="4"/>
  <c r="U22" i="4" s="1"/>
  <c r="M22" i="4"/>
  <c r="M28" i="4" s="1"/>
  <c r="T21" i="4"/>
  <c r="U21" i="4" s="1"/>
  <c r="M21" i="4"/>
  <c r="T20" i="4"/>
  <c r="U20" i="4" s="1"/>
  <c r="U28" i="4" s="1"/>
  <c r="M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U18" i="4"/>
  <c r="T18" i="4"/>
  <c r="U17" i="4"/>
  <c r="T17" i="4"/>
  <c r="T16" i="4"/>
  <c r="U16" i="4" s="1"/>
  <c r="V62" i="3"/>
  <c r="R62" i="3"/>
  <c r="P62" i="3"/>
  <c r="O62" i="3"/>
  <c r="N62" i="3"/>
  <c r="M62" i="3"/>
  <c r="L62" i="3"/>
  <c r="K62" i="3"/>
  <c r="J62" i="3"/>
  <c r="I62" i="3"/>
  <c r="H62" i="3"/>
  <c r="U61" i="3"/>
  <c r="T61" i="3"/>
  <c r="S61" i="3"/>
  <c r="Q61" i="3"/>
  <c r="T60" i="3"/>
  <c r="T62" i="3" s="1"/>
  <c r="V11" i="3" s="1"/>
  <c r="S60" i="3"/>
  <c r="Q60" i="3"/>
  <c r="Q62" i="3" s="1"/>
  <c r="R59" i="3"/>
  <c r="Q59" i="3"/>
  <c r="P59" i="3"/>
  <c r="O59" i="3"/>
  <c r="N59" i="3"/>
  <c r="M59" i="3"/>
  <c r="L59" i="3"/>
  <c r="K59" i="3"/>
  <c r="J59" i="3"/>
  <c r="I59" i="3"/>
  <c r="H59" i="3"/>
  <c r="T58" i="3"/>
  <c r="U58" i="3" s="1"/>
  <c r="S58" i="3"/>
  <c r="T57" i="3"/>
  <c r="U57" i="3" s="1"/>
  <c r="S57" i="3"/>
  <c r="U56" i="3"/>
  <c r="T56" i="3"/>
  <c r="S56" i="3"/>
  <c r="T55" i="3"/>
  <c r="U55" i="3" s="1"/>
  <c r="S55" i="3"/>
  <c r="S59" i="3" s="1"/>
  <c r="T54" i="3"/>
  <c r="U54" i="3" s="1"/>
  <c r="S54" i="3"/>
  <c r="U53" i="3"/>
  <c r="T53" i="3"/>
  <c r="S53" i="3"/>
  <c r="T52" i="3"/>
  <c r="V47" i="3" s="1"/>
  <c r="R52" i="3"/>
  <c r="Q52" i="3"/>
  <c r="P52" i="3"/>
  <c r="O52" i="3"/>
  <c r="N52" i="3"/>
  <c r="M52" i="3"/>
  <c r="L52" i="3"/>
  <c r="K52" i="3"/>
  <c r="J52" i="3"/>
  <c r="I52" i="3"/>
  <c r="H52" i="3"/>
  <c r="T51" i="3"/>
  <c r="U51" i="3" s="1"/>
  <c r="S51" i="3"/>
  <c r="T50" i="3"/>
  <c r="U50" i="3" s="1"/>
  <c r="S50" i="3"/>
  <c r="T49" i="3"/>
  <c r="U49" i="3" s="1"/>
  <c r="S49" i="3"/>
  <c r="T48" i="3"/>
  <c r="U48" i="3" s="1"/>
  <c r="S48" i="3"/>
  <c r="T47" i="3"/>
  <c r="U47" i="3" s="1"/>
  <c r="S47" i="3"/>
  <c r="U46" i="3"/>
  <c r="T46" i="3"/>
  <c r="S46" i="3"/>
  <c r="U45" i="3"/>
  <c r="T45" i="3"/>
  <c r="S45" i="3"/>
  <c r="S52" i="3" s="1"/>
  <c r="S44" i="3"/>
  <c r="R44" i="3"/>
  <c r="P44" i="3"/>
  <c r="O44" i="3"/>
  <c r="N44" i="3"/>
  <c r="M44" i="3"/>
  <c r="L44" i="3"/>
  <c r="K44" i="3"/>
  <c r="J44" i="3"/>
  <c r="I44" i="3"/>
  <c r="H44" i="3"/>
  <c r="T43" i="3"/>
  <c r="U43" i="3" s="1"/>
  <c r="Q43" i="3"/>
  <c r="T42" i="3"/>
  <c r="U42" i="3" s="1"/>
  <c r="Q42" i="3"/>
  <c r="T41" i="3"/>
  <c r="U41" i="3" s="1"/>
  <c r="Q41" i="3"/>
  <c r="T40" i="3"/>
  <c r="U40" i="3" s="1"/>
  <c r="Q40" i="3"/>
  <c r="Q44" i="3" s="1"/>
  <c r="T39" i="3"/>
  <c r="U39" i="3" s="1"/>
  <c r="Q39" i="3"/>
  <c r="T38" i="3"/>
  <c r="U38" i="3" s="1"/>
  <c r="Q38" i="3"/>
  <c r="T37" i="3"/>
  <c r="Q37" i="3"/>
  <c r="S36" i="3"/>
  <c r="R36" i="3"/>
  <c r="P36" i="3"/>
  <c r="N36" i="3"/>
  <c r="M36" i="3"/>
  <c r="L36" i="3"/>
  <c r="K36" i="3"/>
  <c r="J36" i="3"/>
  <c r="I36" i="3"/>
  <c r="H36" i="3"/>
  <c r="T35" i="3"/>
  <c r="U35" i="3" s="1"/>
  <c r="Q35" i="3"/>
  <c r="Q36" i="3" s="1"/>
  <c r="U34" i="3"/>
  <c r="T34" i="3"/>
  <c r="Q34" i="3"/>
  <c r="T33" i="3"/>
  <c r="U33" i="3" s="1"/>
  <c r="O33" i="3"/>
  <c r="T32" i="3"/>
  <c r="U32" i="3" s="1"/>
  <c r="O32" i="3"/>
  <c r="O36" i="3" s="1"/>
  <c r="U31" i="3"/>
  <c r="T31" i="3"/>
  <c r="O31" i="3"/>
  <c r="T30" i="3"/>
  <c r="U30" i="3" s="1"/>
  <c r="T29" i="3"/>
  <c r="V31" i="3" s="1"/>
  <c r="S29" i="3"/>
  <c r="R29" i="3"/>
  <c r="Q29" i="3"/>
  <c r="P29" i="3"/>
  <c r="O29" i="3"/>
  <c r="N29" i="3"/>
  <c r="M29" i="3"/>
  <c r="L29" i="3"/>
  <c r="K29" i="3"/>
  <c r="J29" i="3"/>
  <c r="I29" i="3"/>
  <c r="H29" i="3"/>
  <c r="T28" i="3"/>
  <c r="U28" i="3" s="1"/>
  <c r="O28" i="3"/>
  <c r="T27" i="3"/>
  <c r="U27" i="3" s="1"/>
  <c r="U29" i="3" s="1"/>
  <c r="O27" i="3"/>
  <c r="T26" i="3"/>
  <c r="V21" i="3" s="1"/>
  <c r="S26" i="3"/>
  <c r="R26" i="3"/>
  <c r="Q26" i="3"/>
  <c r="P26" i="3"/>
  <c r="O26" i="3"/>
  <c r="N26" i="3"/>
  <c r="L26" i="3"/>
  <c r="K26" i="3"/>
  <c r="J26" i="3"/>
  <c r="I26" i="3"/>
  <c r="H26" i="3"/>
  <c r="T25" i="3"/>
  <c r="U25" i="3" s="1"/>
  <c r="O25" i="3"/>
  <c r="U24" i="3"/>
  <c r="T24" i="3"/>
  <c r="O24" i="3"/>
  <c r="U23" i="3"/>
  <c r="T23" i="3"/>
  <c r="M23" i="3"/>
  <c r="T22" i="3"/>
  <c r="U22" i="3" s="1"/>
  <c r="M22" i="3"/>
  <c r="T21" i="3"/>
  <c r="U21" i="3" s="1"/>
  <c r="U26" i="3" s="1"/>
  <c r="M21" i="3"/>
  <c r="T20" i="3"/>
  <c r="U20" i="3" s="1"/>
  <c r="M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T18" i="3"/>
  <c r="U18" i="3" s="1"/>
  <c r="U17" i="3"/>
  <c r="T17" i="3"/>
  <c r="T16" i="3"/>
  <c r="U16" i="3" s="1"/>
  <c r="R53" i="2"/>
  <c r="P53" i="2"/>
  <c r="O53" i="2"/>
  <c r="N53" i="2"/>
  <c r="M53" i="2"/>
  <c r="L53" i="2"/>
  <c r="K53" i="2"/>
  <c r="J53" i="2"/>
  <c r="I53" i="2"/>
  <c r="H53" i="2"/>
  <c r="U52" i="2"/>
  <c r="T52" i="2"/>
  <c r="S52" i="2"/>
  <c r="S53" i="2" s="1"/>
  <c r="T51" i="2"/>
  <c r="T53" i="2" s="1"/>
  <c r="V11" i="2" s="1"/>
  <c r="Q51" i="2"/>
  <c r="Q53" i="2" s="1"/>
  <c r="S50" i="2"/>
  <c r="R50" i="2"/>
  <c r="Q50" i="2"/>
  <c r="P50" i="2"/>
  <c r="O50" i="2"/>
  <c r="N50" i="2"/>
  <c r="M50" i="2"/>
  <c r="L50" i="2"/>
  <c r="K50" i="2"/>
  <c r="J50" i="2"/>
  <c r="I50" i="2"/>
  <c r="H50" i="2"/>
  <c r="T49" i="2"/>
  <c r="U49" i="2" s="1"/>
  <c r="S49" i="2"/>
  <c r="T48" i="2"/>
  <c r="U48" i="2" s="1"/>
  <c r="S48" i="2"/>
  <c r="T47" i="2"/>
  <c r="U47" i="2" s="1"/>
  <c r="S47" i="2"/>
  <c r="U46" i="2"/>
  <c r="U50" i="2" s="1"/>
  <c r="T46" i="2"/>
  <c r="S46" i="2"/>
  <c r="R45" i="2"/>
  <c r="P45" i="2"/>
  <c r="O45" i="2"/>
  <c r="N45" i="2"/>
  <c r="M45" i="2"/>
  <c r="L45" i="2"/>
  <c r="K45" i="2"/>
  <c r="J45" i="2"/>
  <c r="I45" i="2"/>
  <c r="H45" i="2"/>
  <c r="T44" i="2"/>
  <c r="U44" i="2" s="1"/>
  <c r="S44" i="2"/>
  <c r="S45" i="2" s="1"/>
  <c r="T43" i="2"/>
  <c r="U43" i="2" s="1"/>
  <c r="S43" i="2"/>
  <c r="T42" i="2"/>
  <c r="U42" i="2" s="1"/>
  <c r="Q42" i="2"/>
  <c r="Q45" i="2" s="1"/>
  <c r="T41" i="2"/>
  <c r="U41" i="2" s="1"/>
  <c r="U45" i="2" s="1"/>
  <c r="Q41" i="2"/>
  <c r="S40" i="2"/>
  <c r="R40" i="2"/>
  <c r="Q40" i="2"/>
  <c r="P40" i="2"/>
  <c r="O40" i="2"/>
  <c r="N40" i="2"/>
  <c r="M40" i="2"/>
  <c r="L40" i="2"/>
  <c r="K40" i="2"/>
  <c r="J40" i="2"/>
  <c r="I40" i="2"/>
  <c r="H40" i="2"/>
  <c r="T39" i="2"/>
  <c r="U39" i="2" s="1"/>
  <c r="S39" i="2"/>
  <c r="T38" i="2"/>
  <c r="U38" i="2" s="1"/>
  <c r="S38" i="2"/>
  <c r="T37" i="2"/>
  <c r="U37" i="2" s="1"/>
  <c r="Q37" i="2"/>
  <c r="U36" i="2"/>
  <c r="T36" i="2"/>
  <c r="Q36" i="2"/>
  <c r="T35" i="2"/>
  <c r="U35" i="2" s="1"/>
  <c r="S34" i="2"/>
  <c r="R34" i="2"/>
  <c r="P34" i="2"/>
  <c r="N34" i="2"/>
  <c r="M34" i="2"/>
  <c r="L34" i="2"/>
  <c r="K34" i="2"/>
  <c r="J34" i="2"/>
  <c r="I34" i="2"/>
  <c r="H34" i="2"/>
  <c r="U33" i="2"/>
  <c r="T33" i="2"/>
  <c r="Q33" i="2"/>
  <c r="Q34" i="2" s="1"/>
  <c r="T32" i="2"/>
  <c r="U32" i="2" s="1"/>
  <c r="Q32" i="2"/>
  <c r="T31" i="2"/>
  <c r="U31" i="2" s="1"/>
  <c r="Q31" i="2"/>
  <c r="T30" i="2"/>
  <c r="U30" i="2" s="1"/>
  <c r="O30" i="2"/>
  <c r="U29" i="2"/>
  <c r="T29" i="2"/>
  <c r="O29" i="2"/>
  <c r="T28" i="2"/>
  <c r="O28" i="2"/>
  <c r="O34" i="2" s="1"/>
  <c r="S27" i="2"/>
  <c r="R27" i="2"/>
  <c r="Q27" i="2"/>
  <c r="P27" i="2"/>
  <c r="N27" i="2"/>
  <c r="L27" i="2"/>
  <c r="K27" i="2"/>
  <c r="J27" i="2"/>
  <c r="I27" i="2"/>
  <c r="H27" i="2"/>
  <c r="T26" i="2"/>
  <c r="U26" i="2" s="1"/>
  <c r="O26" i="2"/>
  <c r="T25" i="2"/>
  <c r="U25" i="2" s="1"/>
  <c r="O25" i="2"/>
  <c r="U24" i="2"/>
  <c r="T24" i="2"/>
  <c r="O24" i="2"/>
  <c r="O27" i="2" s="1"/>
  <c r="U23" i="2"/>
  <c r="T23" i="2"/>
  <c r="M23" i="2"/>
  <c r="T22" i="2"/>
  <c r="U22" i="2" s="1"/>
  <c r="M22" i="2"/>
  <c r="T21" i="2"/>
  <c r="U21" i="2" s="1"/>
  <c r="M21" i="2"/>
  <c r="T20" i="2"/>
  <c r="M20" i="2"/>
  <c r="M27" i="2" s="1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T18" i="2"/>
  <c r="U18" i="2" s="1"/>
  <c r="U17" i="2"/>
  <c r="T17" i="2"/>
  <c r="T16" i="2"/>
  <c r="U16" i="2" s="1"/>
  <c r="Q78" i="1"/>
  <c r="Q75" i="1"/>
  <c r="P73" i="1"/>
  <c r="P74" i="1" s="1"/>
  <c r="P79" i="1" s="1"/>
  <c r="O73" i="1"/>
  <c r="N73" i="1"/>
  <c r="M73" i="1"/>
  <c r="L73" i="1"/>
  <c r="K73" i="1"/>
  <c r="K74" i="1" s="1"/>
  <c r="K79" i="1" s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73" i="1" s="1"/>
  <c r="J38" i="1"/>
  <c r="J37" i="1"/>
  <c r="P36" i="1"/>
  <c r="O36" i="1"/>
  <c r="N36" i="1"/>
  <c r="N74" i="1" s="1"/>
  <c r="N79" i="1" s="1"/>
  <c r="M36" i="1"/>
  <c r="M74" i="1" s="1"/>
  <c r="M79" i="1" s="1"/>
  <c r="L36" i="1"/>
  <c r="L74" i="1" s="1"/>
  <c r="L79" i="1" s="1"/>
  <c r="K36" i="1"/>
  <c r="J35" i="1"/>
  <c r="J34" i="1"/>
  <c r="Q33" i="1"/>
  <c r="J33" i="1"/>
  <c r="J32" i="1"/>
  <c r="J31" i="1"/>
  <c r="J30" i="1"/>
  <c r="Q29" i="1"/>
  <c r="J29" i="1"/>
  <c r="J28" i="1"/>
  <c r="Q28" i="1" s="1"/>
  <c r="Q27" i="1"/>
  <c r="J27" i="1"/>
  <c r="Q26" i="1"/>
  <c r="J26" i="1"/>
  <c r="J25" i="1"/>
  <c r="Q25" i="1" s="1"/>
  <c r="Q24" i="1"/>
  <c r="R24" i="1" s="1"/>
  <c r="J24" i="1"/>
  <c r="J23" i="1"/>
  <c r="Q23" i="1" s="1"/>
  <c r="Q22" i="1"/>
  <c r="J22" i="1"/>
  <c r="J21" i="1"/>
  <c r="Q21" i="1" s="1"/>
  <c r="R20" i="1"/>
  <c r="Q20" i="1"/>
  <c r="J20" i="1"/>
  <c r="J19" i="1"/>
  <c r="Q19" i="1" s="1"/>
  <c r="J18" i="1"/>
  <c r="Q18" i="1" s="1"/>
  <c r="R18" i="1" s="1"/>
  <c r="J17" i="1"/>
  <c r="Q17" i="1" s="1"/>
  <c r="Q16" i="1"/>
  <c r="J16" i="1"/>
  <c r="R15" i="1"/>
  <c r="J15" i="1"/>
  <c r="Q15" i="1" s="1"/>
  <c r="J14" i="1"/>
  <c r="Q14" i="1" s="1"/>
  <c r="Q13" i="1"/>
  <c r="J13" i="1"/>
  <c r="J12" i="1"/>
  <c r="Q12" i="1" s="1"/>
  <c r="Q11" i="1"/>
  <c r="J11" i="1"/>
  <c r="J10" i="1"/>
  <c r="Q10" i="1" s="1"/>
  <c r="J9" i="1"/>
  <c r="T40" i="6" l="1"/>
  <c r="U36" i="3"/>
  <c r="X12" i="13"/>
  <c r="W36" i="13"/>
  <c r="U40" i="2"/>
  <c r="K80" i="1"/>
  <c r="Q79" i="1"/>
  <c r="R15" i="5"/>
  <c r="X22" i="12"/>
  <c r="R12" i="1"/>
  <c r="R22" i="5"/>
  <c r="W37" i="13"/>
  <c r="W67" i="13" s="1"/>
  <c r="T59" i="3"/>
  <c r="V54" i="3" s="1"/>
  <c r="K75" i="12"/>
  <c r="U59" i="3"/>
  <c r="T28" i="4"/>
  <c r="V38" i="4" s="1"/>
  <c r="U20" i="6"/>
  <c r="U22" i="6" s="1"/>
  <c r="Q22" i="6"/>
  <c r="X24" i="12"/>
  <c r="J36" i="14"/>
  <c r="W12" i="14"/>
  <c r="X12" i="14" s="1"/>
  <c r="T36" i="3"/>
  <c r="V28" i="3" s="1"/>
  <c r="U52" i="3"/>
  <c r="R24" i="5"/>
  <c r="J36" i="5"/>
  <c r="O69" i="12"/>
  <c r="O74" i="12" s="1"/>
  <c r="O75" i="12" s="1"/>
  <c r="T34" i="2"/>
  <c r="V27" i="2" s="1"/>
  <c r="T50" i="2"/>
  <c r="U28" i="2"/>
  <c r="U34" i="2" s="1"/>
  <c r="O34" i="4"/>
  <c r="K63" i="5"/>
  <c r="U31" i="7"/>
  <c r="U35" i="7" s="1"/>
  <c r="X24" i="14"/>
  <c r="W75" i="14"/>
  <c r="U34" i="4"/>
  <c r="U46" i="4"/>
  <c r="T19" i="7"/>
  <c r="X15" i="12"/>
  <c r="W33" i="13"/>
  <c r="W74" i="13"/>
  <c r="U37" i="3"/>
  <c r="U44" i="3" s="1"/>
  <c r="T44" i="3"/>
  <c r="V39" i="3" s="1"/>
  <c r="J36" i="11"/>
  <c r="N57" i="5"/>
  <c r="N62" i="5" s="1"/>
  <c r="M63" i="5" s="1"/>
  <c r="U29" i="6"/>
  <c r="U35" i="6" s="1"/>
  <c r="Q35" i="6"/>
  <c r="S40" i="6"/>
  <c r="X24" i="11"/>
  <c r="K75" i="11"/>
  <c r="W37" i="12"/>
  <c r="W67" i="12" s="1"/>
  <c r="M26" i="3"/>
  <c r="U30" i="4"/>
  <c r="T34" i="4"/>
  <c r="V29" i="4" s="1"/>
  <c r="T35" i="6"/>
  <c r="Q28" i="7"/>
  <c r="U20" i="7"/>
  <c r="U28" i="7" s="1"/>
  <c r="J67" i="12"/>
  <c r="X22" i="13"/>
  <c r="J36" i="13"/>
  <c r="W37" i="14"/>
  <c r="W67" i="14" s="1"/>
  <c r="R22" i="1"/>
  <c r="T27" i="2"/>
  <c r="V35" i="2" s="1"/>
  <c r="P57" i="5"/>
  <c r="P62" i="5" s="1"/>
  <c r="O63" i="5" s="1"/>
  <c r="Q9" i="1"/>
  <c r="J36" i="1"/>
  <c r="O74" i="1"/>
  <c r="O79" i="1" s="1"/>
  <c r="O80" i="1" s="1"/>
  <c r="Q37" i="5"/>
  <c r="Q56" i="5" s="1"/>
  <c r="X18" i="12"/>
  <c r="T40" i="2"/>
  <c r="V20" i="2" s="1"/>
  <c r="T46" i="4"/>
  <c r="V14" i="4" s="1"/>
  <c r="U43" i="4"/>
  <c r="Q36" i="5"/>
  <c r="Q57" i="5" s="1"/>
  <c r="R9" i="5"/>
  <c r="W36" i="12"/>
  <c r="W69" i="12" s="1"/>
  <c r="X24" i="13"/>
  <c r="K75" i="13"/>
  <c r="W75" i="13" s="1"/>
  <c r="J67" i="14"/>
  <c r="X9" i="14"/>
  <c r="T45" i="2"/>
  <c r="V40" i="2" s="1"/>
  <c r="Q37" i="1"/>
  <c r="Q73" i="1" s="1"/>
  <c r="U40" i="6"/>
  <c r="U69" i="11"/>
  <c r="U74" i="11" s="1"/>
  <c r="W74" i="11" s="1"/>
  <c r="X9" i="12"/>
  <c r="X20" i="12"/>
  <c r="W74" i="14"/>
  <c r="M80" i="1"/>
  <c r="S62" i="3"/>
  <c r="T40" i="4"/>
  <c r="V23" i="4" s="1"/>
  <c r="U35" i="4"/>
  <c r="U40" i="4" s="1"/>
  <c r="U25" i="6"/>
  <c r="U28" i="6" s="1"/>
  <c r="S28" i="6"/>
  <c r="U43" i="6"/>
  <c r="U45" i="6" s="1"/>
  <c r="S45" i="6"/>
  <c r="X18" i="11"/>
  <c r="W36" i="11"/>
  <c r="W69" i="11" s="1"/>
  <c r="J36" i="12"/>
  <c r="U20" i="2"/>
  <c r="U27" i="2" s="1"/>
  <c r="U60" i="3"/>
  <c r="U62" i="3" s="1"/>
  <c r="Q35" i="7"/>
  <c r="U51" i="2"/>
  <c r="U53" i="2" s="1"/>
  <c r="Q62" i="5" l="1"/>
  <c r="W69" i="13"/>
  <c r="W74" i="12"/>
  <c r="S75" i="11"/>
  <c r="Q63" i="5"/>
  <c r="W36" i="14"/>
  <c r="W69" i="14" s="1"/>
  <c r="W75" i="12"/>
  <c r="Q36" i="1"/>
  <c r="Q74" i="1" s="1"/>
  <c r="R9" i="1"/>
  <c r="Q80" i="1"/>
  <c r="W7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tc={3e8b3ed5-92b0-47d8-8d5c-bc38bc3cb886}</author>
  </authors>
  <commentList>
    <comment ref="A1" authorId="0" shapeId="0" xr:uid="{3E8B3ED5-92B0-47D8-8D5C-BC38BC3CB88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군특을 안하게 된다면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0" authorId="0" shapeId="0" xr:uid="{00000000-0006-0000-0100-000001000000}">
      <text>
        <r>
          <rPr>
            <sz val="10"/>
            <color rgb="FF000000"/>
            <rFont val="Arial"/>
            <scheme val="minor"/>
          </rPr>
          <t>과정형 기준: 45시간</t>
        </r>
      </text>
    </comment>
    <comment ref="D21" authorId="0" shapeId="0" xr:uid="{00000000-0006-0000-0100-000009000000}">
      <text>
        <r>
          <rPr>
            <sz val="10"/>
            <color rgb="FF000000"/>
            <rFont val="Arial"/>
            <scheme val="minor"/>
          </rPr>
          <t>과정형 기준: 30시간</t>
        </r>
      </text>
    </comment>
    <comment ref="D22" authorId="0" shapeId="0" xr:uid="{00000000-0006-0000-0100-000008000000}">
      <text>
        <r>
          <rPr>
            <sz val="10"/>
            <color rgb="FF000000"/>
            <rFont val="Arial"/>
            <scheme val="minor"/>
          </rPr>
          <t>과정형 기준: 45시간</t>
        </r>
      </text>
    </comment>
    <comment ref="D23" authorId="0" shapeId="0" xr:uid="{00000000-0006-0000-0100-000007000000}">
      <text>
        <r>
          <rPr>
            <sz val="10"/>
            <color rgb="FF000000"/>
            <rFont val="Arial"/>
            <scheme val="minor"/>
          </rPr>
          <t>과정형 기준: 45시간</t>
        </r>
      </text>
    </comment>
    <comment ref="D24" authorId="0" shapeId="0" xr:uid="{00000000-0006-0000-0100-000006000000}">
      <text>
        <r>
          <rPr>
            <sz val="10"/>
            <color rgb="FF000000"/>
            <rFont val="Arial"/>
            <scheme val="minor"/>
          </rPr>
          <t>과정형 기준: 45시간</t>
        </r>
      </text>
    </comment>
    <comment ref="D25" authorId="0" shapeId="0" xr:uid="{00000000-0006-0000-0100-000005000000}">
      <text>
        <r>
          <rPr>
            <sz val="10"/>
            <color rgb="FF000000"/>
            <rFont val="Arial"/>
            <scheme val="minor"/>
          </rPr>
          <t xml:space="preserve">과정형 기준: 60시간
</t>
        </r>
      </text>
    </comment>
    <comment ref="D28" authorId="0" shapeId="0" xr:uid="{00000000-0006-0000-0100-000004000000}">
      <text>
        <r>
          <rPr>
            <sz val="10"/>
            <color rgb="FF000000"/>
            <rFont val="Arial"/>
            <scheme val="minor"/>
          </rPr>
          <t>과정형 기준: 30시간</t>
        </r>
      </text>
    </comment>
    <comment ref="D29" authorId="0" shapeId="0" xr:uid="{00000000-0006-0000-0100-000003000000}">
      <text>
        <r>
          <rPr>
            <sz val="10"/>
            <color rgb="FF000000"/>
            <rFont val="Arial"/>
            <scheme val="minor"/>
          </rPr>
          <t>과정형 기준: 45시간</t>
        </r>
      </text>
    </comment>
    <comment ref="D35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과정형 기준: 45시간
방과후 진행 방과후로...
필수능려단위(80%)까지: 312-304=8시간
총필요시간(80%)까지:480-364=116시간(체결요소설계는 최대 67시간(45의 150% 는 67.5) 가능)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tc={bed77742-3fe5-4fb8-8c03-6501ece8fbf6}</author>
    <author/>
  </authors>
  <commentList>
    <comment ref="B9" authorId="0" shapeId="0" xr:uid="{BED77742-3FE5-4FB8-8C03-6501ECE8FBF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군특을 안하게 된다면 고려해볼 과목
</t>
        </r>
      </text>
    </comment>
    <comment ref="D20" authorId="1" shapeId="0" xr:uid="{00000000-0006-0000-0200-000001000000}">
      <text>
        <r>
          <rPr>
            <sz val="10"/>
            <color rgb="FF000000"/>
            <rFont val="Arial"/>
            <scheme val="minor"/>
          </rPr>
          <t>과정형기준:60시간</t>
        </r>
      </text>
    </comment>
    <comment ref="D21" authorId="1" shapeId="0" xr:uid="{00000000-0006-0000-0200-00000A000000}">
      <text>
        <r>
          <rPr>
            <sz val="10"/>
            <color rgb="FF000000"/>
            <rFont val="Arial"/>
            <scheme val="minor"/>
          </rPr>
          <t>과정형기준:75시간</t>
        </r>
      </text>
    </comment>
    <comment ref="D22" authorId="1" shapeId="0" xr:uid="{00000000-0006-0000-0200-000009000000}">
      <text>
        <r>
          <rPr>
            <sz val="10"/>
            <color rgb="FF000000"/>
            <rFont val="Arial"/>
            <scheme val="minor"/>
          </rPr>
          <t>과정형기준:45시간</t>
        </r>
      </text>
    </comment>
    <comment ref="D23" authorId="1" shapeId="0" xr:uid="{00000000-0006-0000-0200-000007000000}">
      <text>
        <r>
          <rPr>
            <sz val="10"/>
            <color rgb="FF000000"/>
            <rFont val="Arial"/>
            <scheme val="minor"/>
          </rPr>
          <t>과정형기준:30시간</t>
        </r>
      </text>
    </comment>
    <comment ref="D24" authorId="1" shapeId="0" xr:uid="{00000000-0006-0000-0200-000006000000}">
      <text>
        <r>
          <rPr>
            <sz val="10"/>
            <color rgb="FF000000"/>
            <rFont val="Arial"/>
            <scheme val="minor"/>
          </rPr>
          <t>과정형기준:75시간</t>
        </r>
      </text>
    </comment>
    <comment ref="D27" authorId="1" shapeId="0" xr:uid="{00000000-0006-0000-0200-000005000000}">
      <text>
        <r>
          <rPr>
            <sz val="10"/>
            <color rgb="FF000000"/>
            <rFont val="Arial"/>
            <scheme val="minor"/>
          </rPr>
          <t>과정형기준:45시간
필요장비:
밀링머신 1대당 2인</t>
        </r>
      </text>
    </comment>
    <comment ref="D30" authorId="1" shapeId="0" xr:uid="{00000000-0006-0000-0200-000004000000}">
      <text>
        <r>
          <rPr>
            <sz val="10"/>
            <color rgb="FF000000"/>
            <rFont val="Arial"/>
            <scheme val="minor"/>
          </rPr>
          <t>과정형기준:60시간
방과후로 해야할듯
필수능려단위(80%)까지: 360-304=56시간
총필요시간(80%)까지:480-364=116시간(이 능력단위는 90시간까지 배치가능)</t>
        </r>
      </text>
    </comment>
    <comment ref="D31" authorId="1" shapeId="0" xr:uid="{00000000-0006-0000-0200-000003000000}">
      <text>
        <r>
          <rPr>
            <sz val="10"/>
            <color rgb="FF000000"/>
            <rFont val="Arial"/>
            <scheme val="minor"/>
          </rPr>
          <t>과정형기준:30시간</t>
        </r>
      </text>
    </comment>
    <comment ref="D32" authorId="1" shapeId="0" xr:uid="{00000000-0006-0000-0200-000002000000}">
      <text>
        <r>
          <rPr>
            <sz val="10"/>
            <color rgb="FF000000"/>
            <rFont val="Arial"/>
            <scheme val="minor"/>
          </rPr>
          <t>과정형기준:30시간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0" authorId="0" shapeId="0" xr:uid="{00000000-0006-0000-0300-000002000000}">
      <text>
        <r>
          <rPr>
            <sz val="10"/>
            <color rgb="FF000000"/>
            <rFont val="Arial"/>
            <scheme val="minor"/>
          </rPr>
          <t>기계요소설계 L3 22V2: 60H</t>
        </r>
      </text>
    </comment>
    <comment ref="F22" authorId="0" shapeId="0" xr:uid="{00000000-0006-0000-0300-000001000000}">
      <text>
        <r>
          <rPr>
            <sz val="10"/>
            <color rgb="FF000000"/>
            <rFont val="Arial"/>
            <scheme val="minor"/>
          </rPr>
          <t>기계요소설계 L3 22V2: 45H</t>
        </r>
      </text>
    </comment>
    <comment ref="F23" authorId="0" shapeId="0" xr:uid="{00000000-0006-0000-0300-000007000000}">
      <text>
        <r>
          <rPr>
            <sz val="10"/>
            <color rgb="FF000000"/>
            <rFont val="Arial"/>
            <scheme val="minor"/>
          </rPr>
          <t>기계요소설계 L3 22V2: 45H</t>
        </r>
      </text>
    </comment>
    <comment ref="F26" authorId="0" shapeId="0" xr:uid="{00000000-0006-0000-0300-000006000000}">
      <text>
        <r>
          <rPr>
            <sz val="10"/>
            <color rgb="FF000000"/>
            <rFont val="Arial"/>
            <scheme val="minor"/>
          </rPr>
          <t>기계요소설계 L3 22V2: 60H</t>
        </r>
      </text>
    </comment>
    <comment ref="F29" authorId="0" shapeId="0" xr:uid="{00000000-0006-0000-0300-000005000000}">
      <text>
        <r>
          <rPr>
            <sz val="10"/>
            <color rgb="FF000000"/>
            <rFont val="Arial"/>
            <scheme val="minor"/>
          </rPr>
          <t>기계요소설계 L3 22V2: 60H</t>
        </r>
      </text>
    </comment>
    <comment ref="F30" authorId="0" shapeId="0" xr:uid="{00000000-0006-0000-0300-000004000000}">
      <text>
        <r>
          <rPr>
            <sz val="10"/>
            <color rgb="FF000000"/>
            <rFont val="Arial"/>
            <scheme val="minor"/>
          </rPr>
          <t>기계요소설계 L3 22V2: 60H</t>
        </r>
      </text>
    </comment>
    <comment ref="F35" authorId="0" shapeId="0" xr:uid="{00000000-0006-0000-0300-000003000000}">
      <text>
        <r>
          <rPr>
            <sz val="10"/>
            <color rgb="FF000000"/>
            <rFont val="Arial"/>
            <scheme val="minor"/>
          </rPr>
          <t>기계요소설계 L3 22V2: 60H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tc={669527ef-18bf-4c23-9e69-d1698b61fef4}</author>
    <author>tc={a471d6e4-c05d-4dd9-911f-bb6d5ed37c2e}</author>
  </authors>
  <commentList>
    <comment ref="F59" authorId="0" shapeId="0" xr:uid="{00000000-0006-0000-0A00-000001000000}">
      <text>
        <r>
          <rPr>
            <sz val="10"/>
            <color rgb="FF000000"/>
            <rFont val="Arial"/>
            <scheme val="minor"/>
          </rPr>
          <t>최원석
제안: 냉동공조설계로 변경이 어떤지?
사유: 교육과정 공조산업설비과 기초과목으로 제시되어있음.</t>
        </r>
      </text>
    </comment>
    <comment ref="O64" authorId="1" shapeId="0" xr:uid="{669527EF-18BF-4C23-9E69-D1698B61FEF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3-&gt;5
Reply:
	이건 2027년 이고 아까 말씀드린건 올해입학생 이야기입니다.
</t>
        </r>
      </text>
    </comment>
    <comment ref="O65" authorId="2" shapeId="0" xr:uid="{A471D6E4-C05D-4DD9-911F-BB6D5ED37C2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9-&gt;11
Reply:
	이건 2027년 이고 아까 말씀드린건 올해입학생 이야기입니다.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tc={07cb2726-7936-413e-9ac1-4c1f5390d80b}</author>
    <author>tc={a6877f95-af1b-4d1a-af01-5b411f3c106c}</author>
  </authors>
  <commentList>
    <comment ref="F39" authorId="0" shapeId="0" xr:uid="{07CB2726-7936-413E-9AC1-4C1F5390D80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화공플랜트 기계랑 합쳐서 4학점 운영으로 하는건 어떤가??
Reply:
	혹은 유체기계를 2학기로 옮기고(1-1처럼) 4학점으로 강화
</t>
        </r>
      </text>
    </comment>
    <comment ref="F42" authorId="1" shapeId="0" xr:uid="{A6877F95-AF1B-4D1A-AF01-5B411F3C106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어차피 마이너 기계일반. 기계과가 굳이 이걸 선정할 필요가 있을까?
Reply:
	메리트: 겉으로 보기에 석유화학 교육과정 같음
</t>
        </r>
      </text>
    </comment>
  </commentList>
</comments>
</file>

<file path=xl/sharedStrings.xml><?xml version="1.0" encoding="utf-8"?>
<sst xmlns="http://schemas.openxmlformats.org/spreadsheetml/2006/main" count="2501" uniqueCount="552">
  <si>
    <t>2027학년도 교육과정 편제 및 학점배당표(특성화고)</t>
  </si>
  <si>
    <t>실무과목 능력단위 편성표</t>
  </si>
  <si>
    <t>학교명</t>
  </si>
  <si>
    <t>학과명</t>
  </si>
  <si>
    <t>입학년도</t>
  </si>
  <si>
    <t>서산공업고등학교</t>
  </si>
  <si>
    <t>공정설비과
플랜트스마트설비과정</t>
  </si>
  <si>
    <t>공정설비과
 플랜트설비보전과정</t>
  </si>
  <si>
    <t>실무과목</t>
  </si>
  <si>
    <t>운영
학점</t>
  </si>
  <si>
    <t>내용영역(능력단위)</t>
  </si>
  <si>
    <t>능력단위코드</t>
  </si>
  <si>
    <t>훈련시간</t>
  </si>
  <si>
    <t>능력단위 수준</t>
  </si>
  <si>
    <t>1학년</t>
  </si>
  <si>
    <t>2학년</t>
  </si>
  <si>
    <t>3학년</t>
  </si>
  <si>
    <t>이수학점 
 합계</t>
  </si>
  <si>
    <t>이수시간 
 합계</t>
  </si>
  <si>
    <t>1학기</t>
  </si>
  <si>
    <t>2학기</t>
  </si>
  <si>
    <t>이수학점</t>
  </si>
  <si>
    <t>이수시간</t>
  </si>
  <si>
    <t>위험물 운송･운반･안전 관리(고시 외)</t>
  </si>
  <si>
    <t>제1류, 제6류 위험물 취급</t>
  </si>
  <si>
    <t>0502010504_20v2</t>
  </si>
  <si>
    <t>제2류, 제5류 위험물 취급</t>
  </si>
  <si>
    <t>0502010505_20v2</t>
  </si>
  <si>
    <t>위험물 취급소 유지관리</t>
  </si>
  <si>
    <t>0502010607_14v1</t>
  </si>
  <si>
    <t>저장·취급 위험물 분류</t>
  </si>
  <si>
    <t>0502010602_22v2</t>
  </si>
  <si>
    <t>제4류 위험물 취급</t>
  </si>
  <si>
    <t>0502010503_20v2</t>
  </si>
  <si>
    <t>위험물 운송ㆍ운반시설 기준 파악</t>
  </si>
  <si>
    <t>0502010507_20v2</t>
  </si>
  <si>
    <t>제3류 위험물 취급</t>
  </si>
  <si>
    <t>0502010506_20v2</t>
  </si>
  <si>
    <t>위험물 저장소 유지관리</t>
  </si>
  <si>
    <t>0502010606_14v1</t>
  </si>
  <si>
    <t>위험물 화재예방 소화방법</t>
  </si>
  <si>
    <t>0502010612_20v1</t>
  </si>
  <si>
    <t>위험물 제조소 유지관리</t>
  </si>
  <si>
    <t>0502010605_14v1</t>
  </si>
  <si>
    <t>내용영역 합계</t>
  </si>
  <si>
    <t>기계소프트웨어개발</t>
  </si>
  <si>
    <t>센서 활용 기술</t>
  </si>
  <si>
    <t>1503010204_14v3</t>
  </si>
  <si>
    <t>HMI 프로그램 개발</t>
  </si>
  <si>
    <t>1503010213_14v3</t>
  </si>
  <si>
    <t>공기압 제어</t>
  </si>
  <si>
    <t>1503010215_16v4</t>
  </si>
  <si>
    <t>유압제어</t>
  </si>
  <si>
    <t>시도명</t>
  </si>
  <si>
    <t>1503010216_16v4</t>
  </si>
  <si>
    <t>모터 제어</t>
  </si>
  <si>
    <t>1503010205_14v3</t>
  </si>
  <si>
    <t>PLC제어 특수 모듈 프로그램 개발</t>
  </si>
  <si>
    <t>1503010211_14v3</t>
  </si>
  <si>
    <t>PLC제어 프로그램 테스트</t>
  </si>
  <si>
    <t>기계수동조립</t>
  </si>
  <si>
    <t>1503010212_14v3</t>
  </si>
  <si>
    <t>기계부품조립</t>
  </si>
  <si>
    <t>1503010106_16v4</t>
  </si>
  <si>
    <t>전기전자장치조립</t>
  </si>
  <si>
    <t>1503010119_25v5</t>
  </si>
  <si>
    <t>조립도면작성</t>
  </si>
  <si>
    <t>1503010112_25v5</t>
  </si>
  <si>
    <t>공기압 장치조립</t>
  </si>
  <si>
    <t>1503010116_16v4</t>
  </si>
  <si>
    <t>조립도면해독</t>
  </si>
  <si>
    <t>1503010111_16v4</t>
  </si>
  <si>
    <t>1503010119_16v4</t>
  </si>
  <si>
    <t>유압 장치조립</t>
  </si>
  <si>
    <t>1503010117_16v4</t>
  </si>
  <si>
    <t>기계구동장치조립</t>
  </si>
  <si>
    <t>1503010120_16v1</t>
  </si>
  <si>
    <t>조립안전관리</t>
  </si>
  <si>
    <t>1503010122_16v1</t>
  </si>
  <si>
    <t>기계요소설계</t>
  </si>
  <si>
    <t>체결요소설계</t>
  </si>
  <si>
    <t>1501020106_16v3</t>
  </si>
  <si>
    <t>밀링가공</t>
  </si>
  <si>
    <t>치공구요소설계</t>
  </si>
  <si>
    <t>1501020108_16v3</t>
  </si>
  <si>
    <t>탭 · 드릴 · 보링 가공</t>
  </si>
  <si>
    <t>1502010206_14v2</t>
  </si>
  <si>
    <t>2D도면작업</t>
  </si>
  <si>
    <t>1501020111_16v3</t>
  </si>
  <si>
    <t>도면분석</t>
  </si>
  <si>
    <t>1501020115_16v3</t>
  </si>
  <si>
    <t>도면검토</t>
  </si>
  <si>
    <t>1501020116_19v4</t>
  </si>
  <si>
    <t>작업장 유지관리(밀링 가공)</t>
  </si>
  <si>
    <t>1502010202_16v4</t>
  </si>
  <si>
    <t>기계제어설계</t>
  </si>
  <si>
    <t>기계제어요소선정</t>
  </si>
  <si>
    <t>1501020402_20v3</t>
  </si>
  <si>
    <t>교과군</t>
  </si>
  <si>
    <t>기준학과1</t>
  </si>
  <si>
    <t>기준학과2</t>
  </si>
  <si>
    <t>학과</t>
  </si>
  <si>
    <t>피복아크용접</t>
  </si>
  <si>
    <t>피복아크용접 필릿용접</t>
  </si>
  <si>
    <t>1601050112_21v3</t>
  </si>
  <si>
    <t>과정</t>
  </si>
  <si>
    <t>인력양성유형</t>
  </si>
  <si>
    <t>제어프로그램작성</t>
  </si>
  <si>
    <t>1501020408_20v3</t>
  </si>
  <si>
    <t>충남</t>
  </si>
  <si>
    <t>공정설비과
 설계과정</t>
  </si>
  <si>
    <t>제어인터페이스설계</t>
  </si>
  <si>
    <t>1501020411_20v3</t>
  </si>
  <si>
    <t>기계</t>
  </si>
  <si>
    <t>기계과</t>
  </si>
  <si>
    <t>유공압제어설계</t>
  </si>
  <si>
    <t>1501020413_20v1</t>
  </si>
  <si>
    <t>수동·반자동 가스절단</t>
  </si>
  <si>
    <t>공정설비과</t>
  </si>
  <si>
    <t>1508020213_17v3</t>
  </si>
  <si>
    <t>과정평가형</t>
  </si>
  <si>
    <t>1. 스마트 팩토리 생산 관리원
2. 기계 설치 및 정비원
3. 기계 설계원</t>
  </si>
  <si>
    <t>3D 프린터용 제품제작</t>
  </si>
  <si>
    <t>3D프린터 SW 설정</t>
  </si>
  <si>
    <t>1903110207_17v2</t>
  </si>
  <si>
    <t>피복아크용접 결함부보수용접 작업</t>
  </si>
  <si>
    <t>교과영역</t>
  </si>
  <si>
    <t>1601050108_21v3</t>
  </si>
  <si>
    <t>교과(군)</t>
  </si>
  <si>
    <t>과목</t>
  </si>
  <si>
    <t>기준 
 학점</t>
  </si>
  <si>
    <t>운영
 가능
 학점</t>
  </si>
  <si>
    <t>피복아크용접 도면해독</t>
  </si>
  <si>
    <t>운영
 학점</t>
  </si>
  <si>
    <t>1601050102_21v3</t>
  </si>
  <si>
    <t>3D프린터 HW 설정</t>
  </si>
  <si>
    <t>1903110208_17v2</t>
  </si>
  <si>
    <t>이수
 학점</t>
  </si>
  <si>
    <t>제품출력</t>
  </si>
  <si>
    <t>필수
 이수
 학점</t>
  </si>
  <si>
    <t>1903110209_17v2</t>
  </si>
  <si>
    <t>피복아크용접 비드쌓기</t>
  </si>
  <si>
    <t>1601050110_21v3</t>
  </si>
  <si>
    <t>3D프린팅 안전관리</t>
  </si>
  <si>
    <t>1903110214_20v2</t>
  </si>
  <si>
    <t>구분</t>
  </si>
  <si>
    <t>과목명</t>
  </si>
  <si>
    <t>피복아크용접 맞대기용접</t>
  </si>
  <si>
    <t>1601050111_21v3</t>
  </si>
  <si>
    <t>보통</t>
  </si>
  <si>
    <t>석유화학 설비개선 캡스톤프로젝트(고시외)</t>
  </si>
  <si>
    <t>스마트설비 기구설계</t>
  </si>
  <si>
    <t>1511010103_18v1</t>
  </si>
  <si>
    <t>국어</t>
  </si>
  <si>
    <t>공통</t>
  </si>
  <si>
    <t>공통국어1</t>
  </si>
  <si>
    <t>3~4</t>
  </si>
  <si>
    <t>스마트설비 안전설계</t>
  </si>
  <si>
    <t>1511010110_18v1</t>
  </si>
  <si>
    <t>이산화탄소･가스 메탈 아크 용접</t>
  </si>
  <si>
    <t>솔리드와이어용접 비드쌓기</t>
  </si>
  <si>
    <t>1601050211_21v4</t>
  </si>
  <si>
    <t>공통국어2</t>
  </si>
  <si>
    <t>솔리드와이어 필릿용접</t>
  </si>
  <si>
    <t>1601050212_21v4</t>
  </si>
  <si>
    <t>진로선택</t>
  </si>
  <si>
    <t>직무 의사소통</t>
  </si>
  <si>
    <t>3~5</t>
  </si>
  <si>
    <t>수학</t>
  </si>
  <si>
    <t>기본수학1</t>
  </si>
  <si>
    <t>솔리드와이어 맞대기용접</t>
  </si>
  <si>
    <t xml:space="preserve">1601050213_21v4	</t>
  </si>
  <si>
    <t>기본수학2</t>
  </si>
  <si>
    <t>직무 수학</t>
  </si>
  <si>
    <t>CO₂ 용접 도면해독</t>
  </si>
  <si>
    <t>영어</t>
  </si>
  <si>
    <t>1601050202_21v4</t>
  </si>
  <si>
    <t>기본영어1</t>
  </si>
  <si>
    <t>기본영어2</t>
  </si>
  <si>
    <t>CO₂ 용접 재료준비</t>
  </si>
  <si>
    <t>직무 영어</t>
  </si>
  <si>
    <t>1601050203_21v2</t>
  </si>
  <si>
    <t>사회(역사/도덕 포함)</t>
  </si>
  <si>
    <t>한국사1</t>
  </si>
  <si>
    <t>CO₂ 용접 장비설치</t>
  </si>
  <si>
    <t>1601050204_21v3</t>
  </si>
  <si>
    <t>3~</t>
  </si>
  <si>
    <t>한국사2</t>
  </si>
  <si>
    <t>통합사회1</t>
  </si>
  <si>
    <t>CO₂ 용접 가용접 작업</t>
  </si>
  <si>
    <t>1601050205_21v4</t>
  </si>
  <si>
    <t>가스 텅스텐 아크 용접</t>
  </si>
  <si>
    <t>가스텅스텐아크용접 비드쌓기</t>
  </si>
  <si>
    <t>1601050310_21v4</t>
  </si>
  <si>
    <t>가스텅스텐아크용접 맞대기용접</t>
  </si>
  <si>
    <t>1601050311_21v4</t>
  </si>
  <si>
    <t>가스 텅스텐 아크 용접 필릿 용접</t>
  </si>
  <si>
    <t>1601050312_21v4</t>
  </si>
  <si>
    <t>가스텅스텐아크용접 도면해독</t>
  </si>
  <si>
    <t>1601050302_21v4</t>
  </si>
  <si>
    <t>가스텅스텐아크용접 재료준비</t>
  </si>
  <si>
    <t xml:space="preserve">1601050303_21v3        </t>
  </si>
  <si>
    <t>가스텅스텐아크용접 장비설치</t>
  </si>
  <si>
    <t xml:space="preserve">1601050304_21v3        </t>
  </si>
  <si>
    <t>가스텅스텐아크용접 가용접작업</t>
  </si>
  <si>
    <t>1601050305_21v4</t>
  </si>
  <si>
    <t xml:space="preserve">        
지게차 작업(고시 외)</t>
  </si>
  <si>
    <t>장비 구조</t>
  </si>
  <si>
    <t>1407040101_13v1</t>
  </si>
  <si>
    <t>작업계획 수립</t>
  </si>
  <si>
    <t>1407040103_13v1</t>
  </si>
  <si>
    <t>안전 관리</t>
  </si>
  <si>
    <t>1407040104_13v1</t>
  </si>
  <si>
    <t>작업장 확인</t>
  </si>
  <si>
    <t>1407040105_13v1</t>
  </si>
  <si>
    <t>작업 전 점검</t>
  </si>
  <si>
    <t>1407040106_13v1</t>
  </si>
  <si>
    <t>작업 후 점검</t>
  </si>
  <si>
    <t>1407040108_13v1</t>
  </si>
  <si>
    <t>통합사회2</t>
  </si>
  <si>
    <t>과학</t>
  </si>
  <si>
    <t>통합과학1</t>
  </si>
  <si>
    <t>통합과학2</t>
  </si>
  <si>
    <t>체육</t>
  </si>
  <si>
    <t>일반선택</t>
  </si>
  <si>
    <t>체육1</t>
  </si>
  <si>
    <t>2~4</t>
  </si>
  <si>
    <t>체육2</t>
  </si>
  <si>
    <t>융합선택</t>
  </si>
  <si>
    <t>운동과 건강</t>
  </si>
  <si>
    <t>스포츠 생활1</t>
  </si>
  <si>
    <t>스포츠 과학</t>
  </si>
  <si>
    <t>1~2</t>
  </si>
  <si>
    <t>예술</t>
  </si>
  <si>
    <t>음악</t>
  </si>
  <si>
    <t>음악 연주와 창작</t>
  </si>
  <si>
    <t>미술</t>
  </si>
  <si>
    <t>미술 창작</t>
  </si>
  <si>
    <t>기술･가정/정보/제2외국어/한문/교양</t>
  </si>
  <si>
    <t>보건</t>
  </si>
  <si>
    <t>전자 기계 이론(기술･가정대체)</t>
  </si>
  <si>
    <t>자동화 설비(정보대체)</t>
  </si>
  <si>
    <t>합계</t>
  </si>
  <si>
    <t>요소부품재질 선정</t>
  </si>
  <si>
    <t>1501020105_19v3</t>
  </si>
  <si>
    <t>동력전달요소선정</t>
  </si>
  <si>
    <t>1501020119_19v4</t>
  </si>
  <si>
    <t>전문</t>
  </si>
  <si>
    <t>동력전달요소설계</t>
  </si>
  <si>
    <t>1501020120_19v4</t>
  </si>
  <si>
    <t>전문공통</t>
  </si>
  <si>
    <t>성공적인직업생활</t>
  </si>
  <si>
    <t>2이상</t>
  </si>
  <si>
    <t>전공일반</t>
  </si>
  <si>
    <t>유체 기계</t>
  </si>
  <si>
    <t>화공</t>
  </si>
  <si>
    <t>화학 공장 설계 및 도면 이해(고시외)</t>
  </si>
  <si>
    <t>기계 시스템 응용 설계(고시외)</t>
  </si>
  <si>
    <t>석유공정설비 기초(고시외)</t>
  </si>
  <si>
    <t>형상모델링 작업</t>
  </si>
  <si>
    <t>전공실무</t>
  </si>
  <si>
    <t>1501020212_16v3</t>
  </si>
  <si>
    <t>화공 플랜트 전기</t>
  </si>
  <si>
    <t>공업품질경영(고시외)</t>
  </si>
  <si>
    <t>기계 수동 조립</t>
  </si>
  <si>
    <t>기계 소프트웨어 개발</t>
  </si>
  <si>
    <t>기계 제어 설계</t>
  </si>
  <si>
    <t>선택3</t>
  </si>
  <si>
    <t>기계 요소 설계</t>
  </si>
  <si>
    <t>경영회계</t>
  </si>
  <si>
    <t>군(軍) 인성(고시외)</t>
  </si>
  <si>
    <t>[2]</t>
  </si>
  <si>
    <t>건설</t>
  </si>
  <si>
    <t>건설장비(고시외)</t>
  </si>
  <si>
    <t>[10]</t>
  </si>
  <si>
    <t>군(軍) 리더십(고시외)</t>
  </si>
  <si>
    <t>특수건설장비(고시외)</t>
  </si>
  <si>
    <t>전기전자</t>
  </si>
  <si>
    <t>선택1</t>
  </si>
  <si>
    <t>선택2</t>
  </si>
  <si>
    <t>지게차 작업(고시 외)</t>
  </si>
  <si>
    <t>측정</t>
  </si>
  <si>
    <t>총이수 합계</t>
  </si>
  <si>
    <t>형상모델링 검토</t>
  </si>
  <si>
    <t>1501020213_16v3</t>
  </si>
  <si>
    <t>요소부품설계검토</t>
  </si>
  <si>
    <t>1501020205_19v3</t>
  </si>
  <si>
    <t>창의적체험활동</t>
  </si>
  <si>
    <t>자율･자치활동</t>
  </si>
  <si>
    <t>치공구설계</t>
  </si>
  <si>
    <t>1501020210_19v3</t>
  </si>
  <si>
    <t>동아리활동</t>
  </si>
  <si>
    <t>치공구제작성검토</t>
  </si>
  <si>
    <t>1501020214_19v1</t>
  </si>
  <si>
    <t>진로활동</t>
  </si>
  <si>
    <t>학기별 이수학점</t>
  </si>
  <si>
    <t>참조)</t>
  </si>
  <si>
    <t>주황핵 칸: 과 공통선정과목</t>
  </si>
  <si>
    <t>정밀측정</t>
  </si>
  <si>
    <t>노란색 칸: 과정형평가 과목/능력단위</t>
  </si>
  <si>
    <t>1502010505_20v4</t>
  </si>
  <si>
    <t>화학공업과</t>
  </si>
  <si>
    <t>공정운전과</t>
  </si>
  <si>
    <t>1. 화학공정 운전 및 관리 기술자
2. 화학분석기술자</t>
  </si>
  <si>
    <t>기본측정기 사용</t>
  </si>
  <si>
    <t>1502010504_20v3</t>
  </si>
  <si>
    <t>육안검사</t>
  </si>
  <si>
    <t>1502010503_20v4</t>
  </si>
  <si>
    <t>측정 작업계획수립</t>
  </si>
  <si>
    <t>1502010501_20v3</t>
  </si>
  <si>
    <t>측정 도면해독</t>
  </si>
  <si>
    <t>1502010511_20v4</t>
  </si>
  <si>
    <t>엔지니어링모델링</t>
  </si>
  <si>
    <t>1903110205_17v2</t>
  </si>
  <si>
    <t>디지털과 직업 생활(정보대체)</t>
  </si>
  <si>
    <t>제조 화학</t>
  </si>
  <si>
    <t>화공 플랜트 기계</t>
  </si>
  <si>
    <t>자동화 설비</t>
  </si>
  <si>
    <t>공정품질경영(고시외)</t>
  </si>
  <si>
    <t>공업 화학</t>
  </si>
  <si>
    <t>석유화학 공정운전 캡스톤프로젝트(고시 외)</t>
  </si>
  <si>
    <t>스마트 공정 제어</t>
  </si>
  <si>
    <t>탄소중립과 대체에너지(고시외)</t>
  </si>
  <si>
    <t>에너지 설비 유틸리티</t>
  </si>
  <si>
    <t>화학 분석</t>
  </si>
  <si>
    <t>환경안전소방</t>
  </si>
  <si>
    <t>화공 안전 관리</t>
  </si>
  <si>
    <t>택1</t>
  </si>
  <si>
    <t>가스 안전 관리</t>
  </si>
  <si>
    <t>[8]</t>
  </si>
  <si>
    <t>화학제품품질분석과정
(도제코스)</t>
  </si>
  <si>
    <t>화학 물질 관리</t>
  </si>
  <si>
    <t>기초 화학분석</t>
  </si>
  <si>
    <t>1701010129_17v1</t>
  </si>
  <si>
    <t>분광 분석</t>
  </si>
  <si>
    <t>1701010114_16v2</t>
  </si>
  <si>
    <t>화재･폭발･누출 사고 예방</t>
  </si>
  <si>
    <t>2306010414_21v3</t>
  </si>
  <si>
    <t>화학공정 정량적 위험성 평가</t>
  </si>
  <si>
    <t>2306010418_21v3</t>
  </si>
  <si>
    <t>화공안전 법규 적용</t>
  </si>
  <si>
    <t>2306010423_21v2</t>
  </si>
  <si>
    <t>v</t>
  </si>
  <si>
    <t>위험물 운송･운반･안전 관리(고시외)</t>
  </si>
  <si>
    <t>화공 안전점검</t>
  </si>
  <si>
    <t>2306010426_21v2</t>
  </si>
  <si>
    <t>화학설비 안전운전 관리</t>
  </si>
  <si>
    <t>2306010429_21v4</t>
  </si>
  <si>
    <t>가스 법령 활용</t>
  </si>
  <si>
    <t>2306010502_21v2</t>
  </si>
  <si>
    <t>사업장 안전점검</t>
  </si>
  <si>
    <t>2306010003_21v1</t>
  </si>
  <si>
    <t>가스 특성 활용</t>
  </si>
  <si>
    <t>2306010503_21v2</t>
  </si>
  <si>
    <t>가스시설 안전관리</t>
  </si>
  <si>
    <t>2306010505_21v2</t>
  </si>
  <si>
    <t>부식 방지 기술</t>
  </si>
  <si>
    <t>2306010506_21v2</t>
  </si>
  <si>
    <t>1701010114_23v3</t>
  </si>
  <si>
    <t>전기 방폭 기술</t>
  </si>
  <si>
    <t>2306010507_21v2</t>
  </si>
  <si>
    <t>크로마토그래피 분석</t>
  </si>
  <si>
    <t>1701010115_23v3</t>
  </si>
  <si>
    <t>분석업무지시서 확인</t>
  </si>
  <si>
    <t>1701010122_23v2</t>
  </si>
  <si>
    <t>분석실험 준비</t>
  </si>
  <si>
    <t>1701010127_23v2</t>
  </si>
  <si>
    <t>실험실 환경 안전점검</t>
  </si>
  <si>
    <t>1701010130_23v2</t>
  </si>
  <si>
    <t>시료전처리</t>
  </si>
  <si>
    <t>1701010103_23v4</t>
  </si>
  <si>
    <t>공정배관·계장도와 유틸리티 흐름도 작성</t>
  </si>
  <si>
    <t>분석장비 관리</t>
  </si>
  <si>
    <t>1701010107_23v3</t>
  </si>
  <si>
    <t>1701020106_19v2</t>
  </si>
  <si>
    <t>이화학 분석</t>
  </si>
  <si>
    <t>1701010113_23v3</t>
  </si>
  <si>
    <t>유틸리티 계획</t>
  </si>
  <si>
    <t>1404010505_14v1</t>
  </si>
  <si>
    <t>화학물질 취급 시 안전작업 준수</t>
  </si>
  <si>
    <t>1701010329_17v1</t>
  </si>
  <si>
    <t>화학물질 유형 파악</t>
  </si>
  <si>
    <t>1701010327_17v1</t>
  </si>
  <si>
    <t>유틸리티 설계</t>
  </si>
  <si>
    <t>1404010204_14v1</t>
  </si>
  <si>
    <t>화학물질취급 사고 초기대응</t>
  </si>
  <si>
    <t>1701010321_16v2</t>
  </si>
  <si>
    <t>화학물질 사고 대비</t>
  </si>
  <si>
    <t>1701010330_17v1</t>
  </si>
  <si>
    <t>화학물질 보관장소 점검</t>
  </si>
  <si>
    <t>1701010318_16v2</t>
  </si>
  <si>
    <t>화학물질취급 작업 안전점검</t>
  </si>
  <si>
    <t>1701010316_16v2</t>
  </si>
  <si>
    <t>유틸리티 운영과 관리</t>
  </si>
  <si>
    <t>1702030209_13v1</t>
  </si>
  <si>
    <t>공정품질관리</t>
  </si>
  <si>
    <t>0204010306_16v2</t>
  </si>
  <si>
    <t>지속적개선활동</t>
  </si>
  <si>
    <t>0204020114_16v2</t>
  </si>
  <si>
    <t>현장품질관리</t>
  </si>
  <si>
    <t>0204020115_14v1</t>
  </si>
  <si>
    <t>품질관리</t>
  </si>
  <si>
    <t>1702010106_13v1</t>
  </si>
  <si>
    <t>자동차과</t>
  </si>
  <si>
    <t>독서와 작문</t>
  </si>
  <si>
    <t>자율〮자치활동</t>
  </si>
  <si>
    <t>공조산업설비과</t>
  </si>
  <si>
    <t>1. 스마트 팩토리 생산/품질 관리원
2.  냉동･냉장･공조기 설치원 및 정비원
3. 기계 설계원</t>
  </si>
  <si>
    <t>유체기계</t>
  </si>
  <si>
    <t>위험물운송운반안전관리(고시외)</t>
  </si>
  <si>
    <t>화공플랜트기계</t>
  </si>
  <si>
    <t>공정자동화과정
(자동화설비+설비보전)</t>
  </si>
  <si>
    <t>캡스톤프로젝트(고시외)</t>
  </si>
  <si>
    <t>전기･전자</t>
  </si>
  <si>
    <t>자동제어시스템유지정비</t>
  </si>
  <si>
    <t>설비유지보수과정
(공조냉동+배관)</t>
  </si>
  <si>
    <t>배관시공</t>
  </si>
  <si>
    <t>냉동공조유지보수관리</t>
  </si>
  <si>
    <t>도제과정
(설계)</t>
  </si>
  <si>
    <t>기계제도</t>
  </si>
  <si>
    <t>기계 시스템 설계(고시외)</t>
  </si>
  <si>
    <t>1. 스마트 팩토리 생산/품질 관리원
2. OOOOOOOO원
3. 기계 설계원</t>
  </si>
  <si>
    <t>전자 기계 이론(정보대체)</t>
  </si>
  <si>
    <t>기계제도(기술･가정대체)</t>
  </si>
  <si>
    <t>A코스
공정자동화과정
(자동화설비+설비보전)</t>
  </si>
  <si>
    <t xml:space="preserve">
B코스
OOO과정
(OOO+OO)</t>
  </si>
  <si>
    <t>[채워야할 학점]</t>
  </si>
  <si>
    <t>[13]</t>
  </si>
  <si>
    <t>[20]</t>
  </si>
  <si>
    <t>[16]</t>
  </si>
  <si>
    <t>C코스
도제과정
(설계)</t>
  </si>
  <si>
    <t>공조산업설비과정
(공조냉동+배관)</t>
  </si>
  <si>
    <t>에너지(보일러) 관리원</t>
  </si>
  <si>
    <t>에너지관리산업기사: 480시간</t>
  </si>
  <si>
    <r>
      <rPr>
        <b/>
        <sz val="11"/>
        <color rgb="FFFF0000"/>
        <rFont val="&quot;맑은 고딕&quot;, monospace"/>
        <family val="3"/>
        <charset val="129"/>
      </rPr>
      <t xml:space="preserve">
</t>
    </r>
    <r>
      <rPr>
        <b/>
        <sz val="11"/>
        <color rgb="FF000000"/>
        <rFont val="&quot;맑은 고딕&quot;, monospace"/>
        <family val="3"/>
        <charset val="129"/>
      </rPr>
      <t>B코스
에너지관리과정</t>
    </r>
    <r>
      <rPr>
        <b/>
        <sz val="11"/>
        <color rgb="FFFF0000"/>
        <rFont val="&quot;맑은 고딕&quot;, monospace"/>
        <family val="3"/>
        <charset val="129"/>
      </rPr>
      <t xml:space="preserve">
(</t>
    </r>
    <r>
      <rPr>
        <b/>
        <sz val="11"/>
        <color rgb="FF0000FF"/>
        <rFont val="&quot;맑은 고딕&quot;, monospace"/>
        <family val="3"/>
        <charset val="129"/>
      </rPr>
      <t>에너지관리 산업기사</t>
    </r>
    <r>
      <rPr>
        <b/>
        <sz val="11"/>
        <color rgb="FFFF0000"/>
        <rFont val="&quot;맑은 고딕&quot;, monospace"/>
        <family val="3"/>
        <charset val="129"/>
      </rPr>
      <t>+배관 의무검정)</t>
    </r>
  </si>
  <si>
    <t>보일러설치정비</t>
  </si>
  <si>
    <t>보일러운영관리(고시외)</t>
  </si>
  <si>
    <t>??</t>
  </si>
  <si>
    <t>방과후: 보일러운영관리 : 9학점(약 135시간,(일주일 6시간, 24주)) 필요</t>
  </si>
  <si>
    <t>에너지관리기능사: 315시간</t>
  </si>
  <si>
    <r>
      <rPr>
        <b/>
        <sz val="11"/>
        <color rgb="FFFF0000"/>
        <rFont val="&quot;맑은 고딕&quot;, monospace"/>
        <family val="3"/>
        <charset val="129"/>
      </rPr>
      <t xml:space="preserve">
</t>
    </r>
    <r>
      <rPr>
        <b/>
        <sz val="11"/>
        <color rgb="FF000000"/>
        <rFont val="&quot;맑은 고딕&quot;, monospace"/>
        <family val="3"/>
        <charset val="129"/>
      </rPr>
      <t>B코스
에너지관리과정</t>
    </r>
    <r>
      <rPr>
        <b/>
        <sz val="11"/>
        <color rgb="FFFF0000"/>
        <rFont val="&quot;맑은 고딕&quot;, monospace"/>
        <family val="3"/>
        <charset val="129"/>
      </rPr>
      <t xml:space="preserve">
(</t>
    </r>
    <r>
      <rPr>
        <b/>
        <sz val="11"/>
        <color rgb="FF00FF00"/>
        <rFont val="&quot;맑은 고딕&quot;, monospace"/>
        <family val="3"/>
        <charset val="129"/>
      </rPr>
      <t>에너지관리 기능사</t>
    </r>
    <r>
      <rPr>
        <b/>
        <sz val="11"/>
        <color rgb="FFFF0000"/>
        <rFont val="&quot;맑은 고딕&quot;, monospace"/>
        <family val="3"/>
        <charset val="129"/>
      </rPr>
      <t>+배관 의무검정)</t>
    </r>
  </si>
  <si>
    <t>냉동공조설치</t>
  </si>
  <si>
    <t>보일러운영관리</t>
  </si>
  <si>
    <t>방과후: 필요없음</t>
  </si>
  <si>
    <t>용접원</t>
  </si>
  <si>
    <t>용접산업기사: 390시간</t>
  </si>
  <si>
    <r>
      <rPr>
        <b/>
        <sz val="11"/>
        <color rgb="FFFF0000"/>
        <rFont val="&quot;맑은 고딕&quot;, monospace"/>
        <family val="3"/>
        <charset val="129"/>
      </rPr>
      <t xml:space="preserve">
</t>
    </r>
    <r>
      <rPr>
        <b/>
        <sz val="11"/>
        <color rgb="FF000000"/>
        <rFont val="&quot;맑은 고딕&quot;, monospace"/>
        <family val="3"/>
        <charset val="129"/>
      </rPr>
      <t>B코스
플랜트설비보전과정</t>
    </r>
    <r>
      <rPr>
        <b/>
        <sz val="11"/>
        <color rgb="FFFF0000"/>
        <rFont val="&quot;맑은 고딕&quot;, monospace"/>
        <family val="3"/>
        <charset val="129"/>
      </rPr>
      <t xml:space="preserve">
(</t>
    </r>
    <r>
      <rPr>
        <b/>
        <sz val="11"/>
        <color rgb="FF0000FF"/>
        <rFont val="&quot;맑은 고딕&quot;, monospace"/>
        <family val="3"/>
        <charset val="129"/>
      </rPr>
      <t>용접산업기사</t>
    </r>
    <r>
      <rPr>
        <b/>
        <sz val="11"/>
        <color rgb="FFFF0000"/>
        <rFont val="&quot;맑은 고딕&quot;, monospace"/>
        <family val="3"/>
        <charset val="129"/>
      </rPr>
      <t>+설비보전 or 배관 의무검정)</t>
    </r>
  </si>
  <si>
    <t>이산화탄소·가스 메탈 아크 용접</t>
  </si>
  <si>
    <t>가스텅스텐아크용접</t>
  </si>
  <si>
    <t>기계수동조립or배관시공</t>
  </si>
  <si>
    <t>냉동공조설계</t>
  </si>
  <si>
    <t>방과후: 3학점필요(45시간)</t>
  </si>
  <si>
    <t>냉동･냉장･공조기 설치원 및 정비원</t>
  </si>
  <si>
    <t>공조냉동기계산업기사: 405시간</t>
  </si>
  <si>
    <r>
      <rPr>
        <b/>
        <sz val="11"/>
        <color rgb="FFFF0000"/>
        <rFont val="&quot;맑은 고딕&quot;, monospace"/>
        <family val="3"/>
        <charset val="129"/>
      </rPr>
      <t xml:space="preserve">
</t>
    </r>
    <r>
      <rPr>
        <b/>
        <sz val="11"/>
        <color rgb="FF000000"/>
        <rFont val="&quot;맑은 고딕&quot;, monospace"/>
        <family val="3"/>
        <charset val="129"/>
      </rPr>
      <t>B코스
플랜트설비보전과정</t>
    </r>
    <r>
      <rPr>
        <b/>
        <sz val="11"/>
        <color rgb="FFFF0000"/>
        <rFont val="&quot;맑은 고딕&quot;, monospace"/>
        <family val="3"/>
        <charset val="129"/>
      </rPr>
      <t xml:space="preserve">
(</t>
    </r>
    <r>
      <rPr>
        <b/>
        <sz val="11"/>
        <color rgb="FF0000FF"/>
        <rFont val="&quot;맑은 고딕&quot;, monospace"/>
        <family val="3"/>
        <charset val="129"/>
      </rPr>
      <t>공조냉동기계산업기사</t>
    </r>
    <r>
      <rPr>
        <b/>
        <sz val="11"/>
        <color rgb="FFFF0000"/>
        <rFont val="&quot;맑은 고딕&quot;, monospace"/>
        <family val="3"/>
        <charset val="129"/>
      </rPr>
      <t>+설비보전 or 배관 의무검정)</t>
    </r>
  </si>
  <si>
    <t>기준 학과</t>
  </si>
  <si>
    <t>테마1(과정형, 산업기사/기능사)</t>
  </si>
  <si>
    <t>테마2(필기면제,기능사)</t>
  </si>
  <si>
    <t>코스명</t>
  </si>
  <si>
    <t>비고</t>
  </si>
  <si>
    <t>방과후: 4학점필요( 60시간)</t>
  </si>
  <si>
    <t>기계설치 및 정비원</t>
  </si>
  <si>
    <t>설비보전산업기사: 450시간</t>
  </si>
  <si>
    <t>공조냉동기계(산업기사405/기능사300)</t>
  </si>
  <si>
    <t>배관</t>
  </si>
  <si>
    <t>공조산업설비과정</t>
  </si>
  <si>
    <t>25.12. 학운위 통과버전</t>
  </si>
  <si>
    <r>
      <rPr>
        <b/>
        <sz val="11"/>
        <color rgb="FFFF0000"/>
        <rFont val="&quot;맑은 고딕&quot;, monospace"/>
        <family val="3"/>
        <charset val="129"/>
      </rPr>
      <t xml:space="preserve">
</t>
    </r>
    <r>
      <rPr>
        <b/>
        <sz val="11"/>
        <color rgb="FF000000"/>
        <rFont val="&quot;맑은 고딕&quot;, monospace"/>
        <family val="3"/>
        <charset val="129"/>
      </rPr>
      <t>B코스
플랜트설비용접과정</t>
    </r>
    <r>
      <rPr>
        <b/>
        <sz val="11"/>
        <color rgb="FFFF0000"/>
        <rFont val="&quot;맑은 고딕&quot;, monospace"/>
        <family val="3"/>
        <charset val="129"/>
      </rPr>
      <t xml:space="preserve">
(</t>
    </r>
    <r>
      <rPr>
        <b/>
        <sz val="11"/>
        <color rgb="FF0000FF"/>
        <rFont val="&quot;맑은 고딕&quot;, monospace"/>
        <family val="3"/>
        <charset val="129"/>
      </rPr>
      <t>설비보전산업기사</t>
    </r>
    <r>
      <rPr>
        <b/>
        <sz val="11"/>
        <color rgb="FFFF0000"/>
        <rFont val="&quot;맑은 고딕&quot;, monospace"/>
        <family val="3"/>
        <charset val="129"/>
      </rPr>
      <t>+용접 의무검정)</t>
    </r>
  </si>
  <si>
    <t>보일러 설치 및 정비원</t>
  </si>
  <si>
    <r>
      <rPr>
        <sz val="10"/>
        <color theme="1"/>
        <rFont val="Arial"/>
        <family val="2"/>
      </rPr>
      <t>배관(</t>
    </r>
    <r>
      <rPr>
        <sz val="10"/>
        <color rgb="FFFF0000"/>
        <rFont val="Arial"/>
        <family val="2"/>
      </rPr>
      <t>산업기사X/</t>
    </r>
    <r>
      <rPr>
        <sz val="10"/>
        <color theme="1"/>
        <rFont val="Arial"/>
        <family val="2"/>
      </rPr>
      <t>기능사255)</t>
    </r>
  </si>
  <si>
    <t>에너지관리</t>
  </si>
  <si>
    <t>보일러설치정비과정</t>
  </si>
  <si>
    <t>에너지(보일러) 관리원, 냉난방 관련 설계원</t>
  </si>
  <si>
    <t>에너지관리(산업기사480/기능사315)</t>
  </si>
  <si>
    <t>에너지관리과정</t>
  </si>
  <si>
    <t>용접(산업기사390)</t>
  </si>
  <si>
    <t>설비보전</t>
  </si>
  <si>
    <t>플랜트설비보전과정</t>
  </si>
  <si>
    <t>화공플랜트 전기</t>
  </si>
  <si>
    <t>플랜트설비용접과정</t>
  </si>
  <si>
    <t>설비보전(산업기사450/기능사345)</t>
  </si>
  <si>
    <t>용접(3중 택1)</t>
  </si>
  <si>
    <t>기계설치정비과정</t>
  </si>
  <si>
    <t>범용밀링 부활</t>
  </si>
  <si>
    <t>금형원</t>
  </si>
  <si>
    <t>금형(산업기사300)</t>
  </si>
  <si>
    <t>컴퓨터응용밀링</t>
  </si>
  <si>
    <t>사출금형과정</t>
  </si>
  <si>
    <t xml:space="preserve"> MCT 부활</t>
  </si>
  <si>
    <t>자동조립 라인 및 산업용 로봇 조작원</t>
  </si>
  <si>
    <t>자동차 정비원</t>
  </si>
  <si>
    <t>자동차정비(산업기사390)</t>
  </si>
  <si>
    <t>자동차차체수리기능사</t>
  </si>
  <si>
    <t>자동차정비과정</t>
  </si>
  <si>
    <t>석유화학과 매칭 어려움</t>
  </si>
  <si>
    <t>기계 설계원</t>
  </si>
  <si>
    <t>기계설계(산업기사405)</t>
  </si>
  <si>
    <t>전산응용기계제도</t>
  </si>
  <si>
    <t>기계설계과정</t>
  </si>
  <si>
    <t>부품 가공원</t>
  </si>
  <si>
    <t>컴퓨터응용가공(산업기사465)</t>
  </si>
  <si>
    <t>검퓨터응용밀링/선반</t>
  </si>
  <si>
    <t>측정원??</t>
  </si>
  <si>
    <t>정밀측정(산업기사375/기능사225)</t>
  </si>
  <si>
    <t>스마트공장과</t>
  </si>
  <si>
    <t>스마트공장 설계설치원/운영관리원</t>
  </si>
  <si>
    <t>스마트공장(산업기사390/기능사285)</t>
  </si>
  <si>
    <t>자동화설비</t>
  </si>
  <si>
    <t>스마트팩토리과정</t>
  </si>
  <si>
    <t>그냥 하기 어려움</t>
  </si>
  <si>
    <t>요거하기로함</t>
  </si>
  <si>
    <t>참고: (자동화설비산업기사390)</t>
  </si>
  <si>
    <t>(위험물산업기사240)</t>
  </si>
  <si>
    <t>(전산응용기계제도기능사300)</t>
  </si>
  <si>
    <t>널널</t>
  </si>
  <si>
    <t>하다</t>
  </si>
  <si>
    <t>방과후: 7학점필요( 105시간)</t>
  </si>
  <si>
    <r>
      <rPr>
        <b/>
        <sz val="11"/>
        <color rgb="FFFF0000"/>
        <rFont val="&quot;맑은 고딕&quot;, monospace"/>
        <family val="3"/>
        <charset val="129"/>
      </rPr>
      <t xml:space="preserve">
</t>
    </r>
    <r>
      <rPr>
        <b/>
        <sz val="11"/>
        <color rgb="FF000000"/>
        <rFont val="&quot;맑은 고딕&quot;, monospace"/>
        <family val="3"/>
        <charset val="129"/>
      </rPr>
      <t>B코스
플랜트설비과정</t>
    </r>
    <r>
      <rPr>
        <b/>
        <sz val="11"/>
        <color rgb="FFFF0000"/>
        <rFont val="&quot;맑은 고딕&quot;, monospace"/>
        <family val="3"/>
        <charset val="129"/>
      </rPr>
      <t xml:space="preserve">
(</t>
    </r>
    <r>
      <rPr>
        <b/>
        <sz val="11"/>
        <color rgb="FF0000FF"/>
        <rFont val="&quot;맑은 고딕&quot;, monospace"/>
        <family val="3"/>
        <charset val="129"/>
      </rPr>
      <t>설비보전산업기사</t>
    </r>
    <r>
      <rPr>
        <b/>
        <sz val="11"/>
        <color rgb="FFFF0000"/>
        <rFont val="&quot;맑은 고딕&quot;, monospace"/>
        <family val="3"/>
        <charset val="129"/>
      </rPr>
      <t>+전기 의무검정)</t>
    </r>
  </si>
  <si>
    <t>내선공사</t>
  </si>
  <si>
    <t>스마트 팩토리 생산/품질 관리원</t>
  </si>
  <si>
    <t>자동화설비산업기사: 390시간</t>
  </si>
  <si>
    <r>
      <rPr>
        <b/>
        <sz val="11"/>
        <color rgb="FFFF0000"/>
        <rFont val="&quot;맑은 고딕&quot;, monospace"/>
        <family val="3"/>
        <charset val="129"/>
      </rPr>
      <t xml:space="preserve">
</t>
    </r>
    <r>
      <rPr>
        <b/>
        <sz val="11"/>
        <color rgb="FF000000"/>
        <rFont val="&quot;맑은 고딕&quot;, monospace"/>
        <family val="3"/>
        <charset val="129"/>
      </rPr>
      <t>B코스
플랜트설비보전과정</t>
    </r>
    <r>
      <rPr>
        <b/>
        <sz val="11"/>
        <color rgb="FFFF0000"/>
        <rFont val="&quot;맑은 고딕&quot;, monospace"/>
        <family val="3"/>
        <charset val="129"/>
      </rPr>
      <t xml:space="preserve">
(</t>
    </r>
    <r>
      <rPr>
        <b/>
        <sz val="11"/>
        <color rgb="FF0000FF"/>
        <rFont val="&quot;맑은 고딕&quot;, monospace"/>
        <family val="3"/>
        <charset val="129"/>
      </rPr>
      <t>자동화설비산업기사</t>
    </r>
    <r>
      <rPr>
        <b/>
        <sz val="11"/>
        <color rgb="FFFF0000"/>
        <rFont val="&quot;맑은 고딕&quot;, monospace"/>
        <family val="3"/>
        <charset val="129"/>
      </rPr>
      <t>+설비보전 의무검정)</t>
    </r>
  </si>
  <si>
    <t>???</t>
  </si>
  <si>
    <r>
      <rPr>
        <b/>
        <sz val="11"/>
        <color rgb="FFFF0000"/>
        <rFont val="&quot;맑은 고딕&quot;, monospace"/>
        <family val="3"/>
        <charset val="129"/>
      </rPr>
      <t xml:space="preserve">
</t>
    </r>
    <r>
      <rPr>
        <b/>
        <sz val="11"/>
        <color rgb="FF000000"/>
        <rFont val="&quot;맑은 고딕&quot;, monospace"/>
        <family val="3"/>
        <charset val="129"/>
      </rPr>
      <t>B코스
플랜트설비보전과정</t>
    </r>
    <r>
      <rPr>
        <b/>
        <sz val="11"/>
        <color rgb="FFFF0000"/>
        <rFont val="&quot;맑은 고딕&quot;, monospace"/>
        <family val="3"/>
        <charset val="129"/>
      </rPr>
      <t xml:space="preserve">
(</t>
    </r>
    <r>
      <rPr>
        <b/>
        <sz val="11"/>
        <color rgb="FF0000FF"/>
        <rFont val="&quot;맑은 고딕&quot;, monospace"/>
        <family val="3"/>
        <charset val="129"/>
      </rPr>
      <t>자동화설비산업기사</t>
    </r>
    <r>
      <rPr>
        <b/>
        <sz val="11"/>
        <color rgb="FFFF0000"/>
        <rFont val="&quot;맑은 고딕&quot;, monospace"/>
        <family val="3"/>
        <charset val="129"/>
      </rPr>
      <t>+설비보전 의무검정+</t>
    </r>
    <r>
      <rPr>
        <b/>
        <sz val="11"/>
        <color rgb="FF6AA84F"/>
        <rFont val="&quot;맑은 고딕&quot;, monospace"/>
        <family val="3"/>
        <charset val="129"/>
      </rPr>
      <t>군특</t>
    </r>
    <r>
      <rPr>
        <b/>
        <sz val="11"/>
        <color rgb="FFFF0000"/>
        <rFont val="&quot;맑은 고딕&quot;, monospace"/>
        <family val="3"/>
        <charset val="129"/>
      </rPr>
      <t>)</t>
    </r>
  </si>
  <si>
    <t>군특과목 4개</t>
  </si>
  <si>
    <t>운영
가능
학점</t>
    <phoneticPr fontId="64" type="noConversion"/>
  </si>
  <si>
    <t>운영
학점</t>
    <phoneticPr fontId="64" type="noConversion"/>
  </si>
  <si>
    <t>기준 
학점</t>
    <phoneticPr fontId="64" type="noConversion"/>
  </si>
  <si>
    <t>이수
학점</t>
    <phoneticPr fontId="64" type="noConversion"/>
  </si>
  <si>
    <t>필수
이수
학점</t>
    <phoneticPr fontId="64" type="noConversion"/>
  </si>
  <si>
    <t>(도제)설계과정</t>
    <phoneticPr fontId="64" type="noConversion"/>
  </si>
  <si>
    <t>플랜트설비보전과정</t>
    <phoneticPr fontId="64" type="noConversion"/>
  </si>
  <si>
    <t>플랜트스마트설비과정</t>
    <phoneticPr fontId="64" type="noConversion"/>
  </si>
  <si>
    <t>화학공정운전과정
(일반코스)</t>
    <phoneticPr fontId="64" type="noConversion"/>
  </si>
  <si>
    <t>공정운전과
화학제품품질분석코스(도제)</t>
    <phoneticPr fontId="64" type="noConversion"/>
  </si>
  <si>
    <t>공정운전과
화학공정운전원코스(일반)</t>
    <phoneticPr fontId="64" type="noConversion"/>
  </si>
  <si>
    <t>이수학점 
 합계</t>
    <phoneticPr fontId="64" type="noConversion"/>
  </si>
  <si>
    <t>담당자
연락처</t>
    <phoneticPr fontId="64" type="noConversion"/>
  </si>
  <si>
    <t>직</t>
    <phoneticPr fontId="64" type="noConversion"/>
  </si>
  <si>
    <t>성명</t>
    <phoneticPr fontId="64" type="noConversion"/>
  </si>
  <si>
    <t>내선번호</t>
    <phoneticPr fontId="64" type="noConversion"/>
  </si>
  <si>
    <t>교감</t>
    <phoneticPr fontId="64" type="noConversion"/>
  </si>
  <si>
    <t>교육과정부장</t>
    <phoneticPr fontId="64" type="noConversion"/>
  </si>
  <si>
    <t>교육과정담당</t>
    <phoneticPr fontId="64" type="noConversion"/>
  </si>
  <si>
    <t>신동준</t>
    <phoneticPr fontId="64" type="noConversion"/>
  </si>
  <si>
    <t>041 689 6811</t>
    <phoneticPr fontId="64" type="noConversion"/>
  </si>
  <si>
    <t>최원석</t>
    <phoneticPr fontId="64" type="noConversion"/>
  </si>
  <si>
    <t>041 689 6819</t>
    <phoneticPr fontId="64" type="noConversion"/>
  </si>
  <si>
    <t>민상윤</t>
    <phoneticPr fontId="64" type="noConversion"/>
  </si>
  <si>
    <t>041 689 6844</t>
    <phoneticPr fontId="64" type="noConversion"/>
  </si>
  <si>
    <t>사송헌</t>
    <phoneticPr fontId="64" type="noConversion"/>
  </si>
  <si>
    <t>041 689 6835</t>
    <phoneticPr fontId="6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</si>
</sst>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0&quot;&quot;;&quot;&quot;;&quot;&quot;"/>
  </numFmts>
  <fonts count="77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b/>
      <sz val="18"/>
      <color rgb="FF000000"/>
      <name val="&quot;맑은 고딕&quot;"/>
      <family val="3"/>
      <charset val="129"/>
    </font>
    <font>
      <b/>
      <sz val="12"/>
      <color rgb="FF000000"/>
      <name val="&quot;맑은 고딕&quot;"/>
      <family val="3"/>
      <charset val="129"/>
    </font>
    <font>
      <sz val="10"/>
      <name val="Arial"/>
      <family val="2"/>
    </font>
    <font>
      <sz val="10"/>
      <color rgb="FF000000"/>
      <name val="&quot;맑은 고딕&quot;"/>
      <family val="3"/>
      <charset val="129"/>
    </font>
    <font>
      <sz val="12"/>
      <color rgb="FF000000"/>
      <name val="&quot;맑은 고딕&quot;"/>
      <family val="3"/>
      <charset val="129"/>
    </font>
    <font>
      <b/>
      <sz val="11"/>
      <color rgb="FF000000"/>
      <name val="&quot;맑은 고딕&quot;"/>
      <family val="3"/>
      <charset val="129"/>
    </font>
    <font>
      <b/>
      <sz val="10"/>
      <color rgb="FF000000"/>
      <name val="&quot;맑은 고딕&quot;"/>
      <family val="3"/>
      <charset val="129"/>
    </font>
    <font>
      <b/>
      <sz val="9"/>
      <color rgb="FF000000"/>
      <name val="&quot;맑은 고딕&quot;"/>
      <family val="3"/>
      <charset val="129"/>
    </font>
    <font>
      <b/>
      <sz val="11"/>
      <color theme="1"/>
      <name val="&quot;맑은 고딕&quot;"/>
      <family val="3"/>
      <charset val="129"/>
    </font>
    <font>
      <sz val="11"/>
      <color theme="1"/>
      <name val="&quot;맑은 고딕&quot;"/>
      <family val="3"/>
      <charset val="129"/>
    </font>
    <font>
      <sz val="11"/>
      <color rgb="FF333333"/>
      <name val="&quot;맑은 고딕&quot;"/>
      <family val="3"/>
      <charset val="129"/>
    </font>
    <font>
      <strike/>
      <sz val="11"/>
      <color rgb="FF333333"/>
      <name val="&quot;맑은 고딕&quot;"/>
      <family val="3"/>
      <charset val="129"/>
    </font>
    <font>
      <strike/>
      <sz val="11"/>
      <color rgb="FFD9D9D9"/>
      <name val="&quot;맑은 고딕&quot;"/>
      <family val="3"/>
      <charset val="129"/>
    </font>
    <font>
      <i/>
      <strike/>
      <sz val="11"/>
      <color rgb="FFD9D9D9"/>
      <name val="&quot;맑은 고딕&quot;"/>
      <family val="3"/>
      <charset val="129"/>
    </font>
    <font>
      <b/>
      <sz val="20"/>
      <color rgb="FF000000"/>
      <name val="&quot;맑은 고딕&quot;"/>
      <family val="3"/>
      <charset val="129"/>
    </font>
    <font>
      <b/>
      <i/>
      <sz val="11"/>
      <color rgb="FF0070C0"/>
      <name val="&quot;맑은 고딕&quot;"/>
      <family val="3"/>
      <charset val="129"/>
    </font>
    <font>
      <i/>
      <sz val="11"/>
      <color rgb="FF000000"/>
      <name val="&quot;맑은 고딕&quot;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KoPub바탕체 Light"/>
      <family val="3"/>
      <charset val="129"/>
    </font>
    <font>
      <strike/>
      <sz val="10"/>
      <color rgb="FF000000"/>
      <name val="KoPub바탕체 Light"/>
      <family val="3"/>
      <charset val="129"/>
    </font>
    <font>
      <strike/>
      <sz val="11"/>
      <color theme="1"/>
      <name val="&quot;맑은 고딕&quot;"/>
      <family val="3"/>
      <charset val="129"/>
    </font>
    <font>
      <sz val="10"/>
      <color rgb="FF000000"/>
      <name val="&quot;KoPub바탕체 Light&quot;"/>
      <family val="3"/>
      <charset val="129"/>
    </font>
    <font>
      <sz val="11"/>
      <color rgb="FF000000"/>
      <name val="&quot;\0022맑은 고딕\0022&quot;"/>
      <family val="3"/>
      <charset val="129"/>
    </font>
    <font>
      <sz val="11"/>
      <color rgb="FFD9D9D9"/>
      <name val="&quot;맑은 고딕&quot;"/>
      <family val="3"/>
      <charset val="129"/>
    </font>
    <font>
      <i/>
      <sz val="11"/>
      <color rgb="FFD9D9D9"/>
      <name val="&quot;맑은 고딕&quot;"/>
      <family val="3"/>
      <charset val="129"/>
    </font>
    <font>
      <sz val="7"/>
      <color rgb="FF000000"/>
      <name val="&quot;맑은 고딕&quot;"/>
      <family val="3"/>
      <charset val="129"/>
    </font>
    <font>
      <b/>
      <sz val="16"/>
      <color rgb="FF000000"/>
      <name val="&quot;맑은 고딕&quot;"/>
      <family val="3"/>
      <charset val="129"/>
    </font>
    <font>
      <sz val="11"/>
      <color rgb="FFFF0000"/>
      <name val="&quot;맑은 고딕&quot;"/>
      <family val="3"/>
      <charset val="129"/>
    </font>
    <font>
      <b/>
      <i/>
      <sz val="11"/>
      <color rgb="FF0070C1"/>
      <name val="&quot;맑은 고딕&quot;"/>
      <family val="3"/>
      <charset val="129"/>
    </font>
    <font>
      <sz val="10"/>
      <color theme="1"/>
      <name val="&quot;맑은 고딕&quot;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sz val="11"/>
      <color rgb="FF333333"/>
      <name val="Malgun Gothic"/>
      <family val="3"/>
      <charset val="129"/>
    </font>
    <font>
      <sz val="10"/>
      <color theme="1"/>
      <name val="KoPub바탕체 Light"/>
      <family val="3"/>
      <charset val="129"/>
    </font>
    <font>
      <sz val="10"/>
      <color rgb="FFCCCCCC"/>
      <name val="KoPub바탕체 Light"/>
      <family val="3"/>
      <charset val="129"/>
    </font>
    <font>
      <sz val="11"/>
      <color rgb="FFCCCCCC"/>
      <name val="&quot;맑은 고딕&quot;"/>
      <family val="3"/>
      <charset val="129"/>
    </font>
    <font>
      <i/>
      <sz val="10"/>
      <color rgb="FF0070C0"/>
      <name val="&quot;맑은 고딕&quot;"/>
      <family val="3"/>
      <charset val="129"/>
    </font>
    <font>
      <sz val="8"/>
      <color theme="1"/>
      <name val="&quot;맑은 고딕&quot;"/>
      <family val="3"/>
      <charset val="129"/>
    </font>
    <font>
      <sz val="10"/>
      <color rgb="FFFF0000"/>
      <name val="&quot;맑은 고딕&quot;"/>
      <family val="3"/>
      <charset val="129"/>
    </font>
    <font>
      <b/>
      <sz val="7"/>
      <color theme="1"/>
      <name val="&quot;맑은 고딕&quot;"/>
      <family val="3"/>
      <charset val="129"/>
    </font>
    <font>
      <sz val="6"/>
      <color theme="1"/>
      <name val="&quot;맑은 고딕&quot;"/>
      <family val="3"/>
      <charset val="129"/>
    </font>
    <font>
      <sz val="10"/>
      <color rgb="FF434343"/>
      <name val="&quot;맑은 고딕&quot;"/>
      <family val="3"/>
      <charset val="129"/>
    </font>
    <font>
      <sz val="10"/>
      <color rgb="FF434343"/>
      <name val="&quot;맑은 고딕&quot;"/>
      <family val="3"/>
      <charset val="129"/>
    </font>
    <font>
      <sz val="6"/>
      <color rgb="FF434343"/>
      <name val="&quot;맑은 고딕&quot;"/>
      <family val="3"/>
      <charset val="129"/>
    </font>
    <font>
      <sz val="9"/>
      <color theme="1"/>
      <name val="&quot;맑은 고딕&quot;"/>
      <family val="3"/>
      <charset val="129"/>
    </font>
    <font>
      <sz val="10"/>
      <color theme="1"/>
      <name val="&quot;맑은 고딕&quot;"/>
      <family val="3"/>
      <charset val="129"/>
    </font>
    <font>
      <sz val="7"/>
      <color theme="1"/>
      <name val="&quot;맑은 고딕&quot;"/>
      <family val="3"/>
      <charset val="129"/>
    </font>
    <font>
      <sz val="11"/>
      <color theme="1"/>
      <name val="&quot;Malgun Gothic&quot;"/>
    </font>
    <font>
      <sz val="9"/>
      <color rgb="FF000000"/>
      <name val="&quot;맑은 고딕&quot;"/>
      <family val="3"/>
      <charset val="129"/>
    </font>
    <font>
      <sz val="6"/>
      <color rgb="FF000000"/>
      <name val="&quot;맑은 고딕&quot;"/>
      <family val="3"/>
      <charset val="129"/>
    </font>
    <font>
      <b/>
      <sz val="13"/>
      <color rgb="FFFF0000"/>
      <name val="&quot;맑은 고딕&quot;"/>
      <family val="3"/>
      <charset val="129"/>
    </font>
    <font>
      <b/>
      <sz val="11"/>
      <color rgb="FFFF0000"/>
      <name val="&quot;맑은 고딕&quot;"/>
      <family val="3"/>
      <charset val="129"/>
    </font>
    <font>
      <strike/>
      <sz val="10"/>
      <color theme="1"/>
      <name val="&quot;맑은 고딕&quot;"/>
      <family val="3"/>
      <charset val="129"/>
    </font>
    <font>
      <b/>
      <sz val="7"/>
      <color theme="1"/>
      <name val="&quot;맑은 고딕&quot;, monospace"/>
      <family val="3"/>
      <charset val="129"/>
    </font>
    <font>
      <b/>
      <sz val="11"/>
      <color rgb="FFFF0000"/>
      <name val="&quot;맑은 고딕&quot;, monospace"/>
      <family val="3"/>
      <charset val="129"/>
    </font>
    <font>
      <b/>
      <sz val="11"/>
      <color rgb="FF000000"/>
      <name val="&quot;맑은 고딕&quot;, monospace"/>
      <family val="3"/>
      <charset val="129"/>
    </font>
    <font>
      <b/>
      <sz val="11"/>
      <color rgb="FF0000FF"/>
      <name val="&quot;맑은 고딕&quot;, monospace"/>
      <family val="3"/>
      <charset val="129"/>
    </font>
    <font>
      <b/>
      <sz val="11"/>
      <color rgb="FF00FF00"/>
      <name val="&quot;맑은 고딕&quot;, monospace"/>
      <family val="3"/>
      <charset val="129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rgb="FF6AA84F"/>
      <name val="&quot;맑은 고딕&quot;, monospace"/>
      <family val="3"/>
      <charset val="129"/>
    </font>
    <font>
      <sz val="8"/>
      <name val="Arial"/>
      <family val="3"/>
      <charset val="129"/>
      <scheme val="minor"/>
    </font>
    <font>
      <sz val="9"/>
      <name val="Arial"/>
      <family val="2"/>
    </font>
    <font>
      <sz val="9"/>
      <color rgb="FF333333"/>
      <name val="&quot;맑은 고딕&quot;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name val="Arial"/>
      <family val="2"/>
    </font>
    <font>
      <sz val="9"/>
      <color rgb="FFCCCCCC"/>
      <name val="KoPub바탕체 Light"/>
      <family val="3"/>
      <charset val="129"/>
    </font>
    <font>
      <sz val="9"/>
      <color rgb="FFCCCCCC"/>
      <name val="Arial"/>
      <family val="2"/>
      <scheme val="minor"/>
    </font>
    <font>
      <sz val="9"/>
      <color rgb="FFCCCCCC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9"/>
      <color rgb="FF434343"/>
      <name val="&quot;맑은 고딕&quot;"/>
      <family val="3"/>
      <charset val="129"/>
    </font>
    <font>
      <b/>
      <sz val="11"/>
      <color theme="1"/>
      <name val="Arial"/>
      <family val="3"/>
      <charset val="129"/>
      <scheme val="minor"/>
    </font>
    <font>
      <b/>
      <sz val="10"/>
      <color theme="1"/>
      <name val="Arial"/>
      <family val="3"/>
      <charset val="129"/>
      <scheme val="minor"/>
    </font>
    <font>
      <b/>
      <sz val="10"/>
      <color theme="1"/>
      <name val="굴림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rgb="FFF9D0D2"/>
        <bgColor rgb="FFF9D0D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AD2D8"/>
        <bgColor rgb="FFEAD2D8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FF9900"/>
        <bgColor rgb="FFFF9900"/>
      </patternFill>
    </fill>
    <fill>
      <patternFill patternType="solid">
        <fgColor rgb="FFFFCCFF"/>
        <bgColor rgb="FFFFCC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2" fillId="4" borderId="8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27" fillId="6" borderId="7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2" fillId="5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30" fillId="5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 wrapText="1"/>
    </xf>
    <xf numFmtId="0" fontId="32" fillId="11" borderId="8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49" fontId="33" fillId="5" borderId="0" xfId="0" applyNumberFormat="1" applyFont="1" applyFill="1" applyAlignment="1">
      <alignment horizontal="center"/>
    </xf>
    <xf numFmtId="176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176" fontId="34" fillId="5" borderId="0" xfId="0" applyNumberFormat="1" applyFont="1" applyFill="1"/>
    <xf numFmtId="176" fontId="33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6" fillId="5" borderId="8" xfId="0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6" fillId="5" borderId="13" xfId="0" applyFont="1" applyFill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38" fillId="5" borderId="13" xfId="0" applyFont="1" applyFill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38" fillId="5" borderId="7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32" fillId="14" borderId="8" xfId="0" applyFont="1" applyFill="1" applyBorder="1" applyAlignment="1">
      <alignment horizontal="center" vertical="center"/>
    </xf>
    <xf numFmtId="0" fontId="32" fillId="14" borderId="8" xfId="0" applyFont="1" applyFill="1" applyBorder="1" applyAlignment="1">
      <alignment horizontal="center" vertical="center"/>
    </xf>
    <xf numFmtId="0" fontId="32" fillId="12" borderId="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center" vertical="center"/>
    </xf>
    <xf numFmtId="0" fontId="39" fillId="11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39" fillId="11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32" fillId="13" borderId="8" xfId="0" applyFont="1" applyFill="1" applyBorder="1" applyAlignment="1">
      <alignment horizontal="center" vertical="center"/>
    </xf>
    <xf numFmtId="0" fontId="39" fillId="15" borderId="8" xfId="0" applyFont="1" applyFill="1" applyBorder="1" applyAlignment="1">
      <alignment horizontal="center" vertical="center"/>
    </xf>
    <xf numFmtId="0" fontId="32" fillId="13" borderId="8" xfId="0" applyFont="1" applyFill="1" applyBorder="1" applyAlignment="1">
      <alignment horizontal="center" vertical="center"/>
    </xf>
    <xf numFmtId="0" fontId="32" fillId="15" borderId="8" xfId="0" applyFont="1" applyFill="1" applyBorder="1" applyAlignment="1">
      <alignment horizontal="center" vertical="center"/>
    </xf>
    <xf numFmtId="0" fontId="32" fillId="15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43" fillId="13" borderId="8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9" fillId="11" borderId="4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41" fillId="15" borderId="8" xfId="0" applyFont="1" applyFill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4" fillId="13" borderId="8" xfId="0" applyFont="1" applyFill="1" applyBorder="1" applyAlignment="1">
      <alignment horizontal="center" vertical="center"/>
    </xf>
    <xf numFmtId="0" fontId="39" fillId="16" borderId="8" xfId="0" applyFont="1" applyFill="1" applyBorder="1" applyAlignment="1">
      <alignment horizontal="center" vertical="center"/>
    </xf>
    <xf numFmtId="0" fontId="32" fillId="16" borderId="8" xfId="0" applyFont="1" applyFill="1" applyBorder="1" applyAlignment="1">
      <alignment horizontal="center" vertical="center"/>
    </xf>
    <xf numFmtId="0" fontId="32" fillId="16" borderId="8" xfId="0" applyFont="1" applyFill="1" applyBorder="1" applyAlignment="1">
      <alignment horizontal="center" vertical="center"/>
    </xf>
    <xf numFmtId="0" fontId="46" fillId="13" borderId="8" xfId="0" applyFont="1" applyFill="1" applyBorder="1" applyAlignment="1">
      <alignment horizontal="center" vertical="center"/>
    </xf>
    <xf numFmtId="0" fontId="44" fillId="4" borderId="8" xfId="0" applyFont="1" applyFill="1" applyBorder="1" applyAlignment="1">
      <alignment horizontal="center" vertical="center"/>
    </xf>
    <xf numFmtId="0" fontId="41" fillId="16" borderId="8" xfId="0" applyFont="1" applyFill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39" fillId="12" borderId="8" xfId="0" applyFont="1" applyFill="1" applyBorder="1" applyAlignment="1">
      <alignment horizontal="center" vertical="center"/>
    </xf>
    <xf numFmtId="0" fontId="32" fillId="12" borderId="8" xfId="0" applyFont="1" applyFill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40" fillId="4" borderId="8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2" fillId="11" borderId="8" xfId="0" applyFont="1" applyFill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17" borderId="8" xfId="0" applyFont="1" applyFill="1" applyBorder="1" applyAlignment="1">
      <alignment horizontal="center" vertical="center"/>
    </xf>
    <xf numFmtId="0" fontId="32" fillId="17" borderId="8" xfId="0" applyFont="1" applyFill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9" fillId="11" borderId="8" xfId="0" applyFont="1" applyFill="1" applyBorder="1" applyAlignment="1">
      <alignment horizontal="center" vertical="center"/>
    </xf>
    <xf numFmtId="0" fontId="41" fillId="17" borderId="8" xfId="0" applyFont="1" applyFill="1" applyBorder="1" applyAlignment="1">
      <alignment horizontal="center" vertical="center"/>
    </xf>
    <xf numFmtId="0" fontId="32" fillId="18" borderId="8" xfId="0" applyFont="1" applyFill="1" applyBorder="1" applyAlignment="1">
      <alignment horizontal="center" vertical="center"/>
    </xf>
    <xf numFmtId="0" fontId="32" fillId="18" borderId="8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2" fillId="19" borderId="8" xfId="0" applyFont="1" applyFill="1" applyBorder="1" applyAlignment="1">
      <alignment horizontal="center" vertical="center" wrapText="1"/>
    </xf>
    <xf numFmtId="0" fontId="12" fillId="19" borderId="8" xfId="0" applyFont="1" applyFill="1" applyBorder="1" applyAlignment="1">
      <alignment horizontal="center" vertical="center" wrapText="1"/>
    </xf>
    <xf numFmtId="0" fontId="12" fillId="19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0" fillId="5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2" fillId="20" borderId="8" xfId="0" applyFont="1" applyFill="1" applyBorder="1" applyAlignment="1">
      <alignment horizontal="center" vertical="center"/>
    </xf>
    <xf numFmtId="0" fontId="41" fillId="21" borderId="8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55" fillId="11" borderId="8" xfId="0" applyFont="1" applyFill="1" applyBorder="1" applyAlignment="1">
      <alignment horizontal="center" vertical="center"/>
    </xf>
    <xf numFmtId="0" fontId="55" fillId="11" borderId="8" xfId="0" applyFont="1" applyFill="1" applyBorder="1" applyAlignment="1">
      <alignment horizontal="center" vertical="center"/>
    </xf>
    <xf numFmtId="0" fontId="55" fillId="21" borderId="8" xfId="0" applyFont="1" applyFill="1" applyBorder="1" applyAlignment="1">
      <alignment horizontal="center" vertical="center"/>
    </xf>
    <xf numFmtId="0" fontId="32" fillId="21" borderId="8" xfId="0" applyFont="1" applyFill="1" applyBorder="1" applyAlignment="1">
      <alignment horizontal="center" vertical="center"/>
    </xf>
    <xf numFmtId="0" fontId="32" fillId="23" borderId="8" xfId="0" applyFont="1" applyFill="1" applyBorder="1" applyAlignment="1">
      <alignment horizontal="center" vertical="center"/>
    </xf>
    <xf numFmtId="0" fontId="32" fillId="15" borderId="8" xfId="0" applyFont="1" applyFill="1" applyBorder="1" applyAlignment="1">
      <alignment horizontal="center" vertical="center"/>
    </xf>
    <xf numFmtId="0" fontId="32" fillId="24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32" fillId="26" borderId="8" xfId="0" applyFont="1" applyFill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5" fillId="0" borderId="3" xfId="0" applyFont="1" applyBorder="1"/>
    <xf numFmtId="0" fontId="9" fillId="10" borderId="4" xfId="0" applyFont="1" applyFill="1" applyBorder="1" applyAlignment="1">
      <alignment horizontal="center" vertical="center"/>
    </xf>
    <xf numFmtId="0" fontId="5" fillId="0" borderId="6" xfId="0" applyFont="1" applyBorder="1"/>
    <xf numFmtId="0" fontId="9" fillId="10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32" fillId="11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32" fillId="11" borderId="4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/>
    </xf>
    <xf numFmtId="0" fontId="32" fillId="11" borderId="10" xfId="0" applyFont="1" applyFill="1" applyBorder="1" applyAlignment="1">
      <alignment horizontal="center" vertical="center"/>
    </xf>
    <xf numFmtId="0" fontId="5" fillId="0" borderId="12" xfId="0" applyFont="1" applyBorder="1"/>
    <xf numFmtId="0" fontId="5" fillId="0" borderId="15" xfId="0" applyFont="1" applyBorder="1"/>
    <xf numFmtId="0" fontId="5" fillId="0" borderId="9" xfId="0" applyFont="1" applyBorder="1"/>
    <xf numFmtId="0" fontId="5" fillId="0" borderId="14" xfId="0" applyFont="1" applyBorder="1"/>
    <xf numFmtId="0" fontId="5" fillId="0" borderId="7" xfId="0" applyFont="1" applyBorder="1"/>
    <xf numFmtId="0" fontId="32" fillId="11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0" xfId="0" applyFont="1" applyAlignment="1"/>
    <xf numFmtId="0" fontId="5" fillId="0" borderId="13" xfId="0" applyFont="1" applyBorder="1"/>
    <xf numFmtId="0" fontId="40" fillId="11" borderId="4" xfId="0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9" fillId="11" borderId="4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/>
    </xf>
    <xf numFmtId="0" fontId="42" fillId="17" borderId="4" xfId="0" applyFont="1" applyFill="1" applyBorder="1" applyAlignment="1">
      <alignment horizontal="center" vertical="center" wrapText="1"/>
    </xf>
    <xf numFmtId="0" fontId="42" fillId="18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5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32" fillId="20" borderId="1" xfId="0" applyFont="1" applyFill="1" applyBorder="1" applyAlignment="1">
      <alignment horizontal="center" vertical="center"/>
    </xf>
    <xf numFmtId="0" fontId="32" fillId="14" borderId="10" xfId="0" applyFont="1" applyFill="1" applyBorder="1" applyAlignment="1">
      <alignment horizontal="center" vertical="center"/>
    </xf>
    <xf numFmtId="0" fontId="32" fillId="14" borderId="4" xfId="0" applyFont="1" applyFill="1" applyBorder="1" applyAlignment="1">
      <alignment horizontal="center" vertical="center"/>
    </xf>
    <xf numFmtId="0" fontId="39" fillId="13" borderId="1" xfId="0" applyFont="1" applyFill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32" fillId="21" borderId="1" xfId="0" applyFont="1" applyFill="1" applyBorder="1" applyAlignment="1">
      <alignment horizontal="center" vertical="center"/>
    </xf>
    <xf numFmtId="0" fontId="49" fillId="21" borderId="4" xfId="0" applyFont="1" applyFill="1" applyBorder="1" applyAlignment="1">
      <alignment horizontal="center" vertical="center" wrapText="1"/>
    </xf>
    <xf numFmtId="0" fontId="32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32" fillId="25" borderId="1" xfId="0" applyFont="1" applyFill="1" applyBorder="1" applyAlignment="1">
      <alignment horizontal="center" vertical="center"/>
    </xf>
    <xf numFmtId="0" fontId="39" fillId="21" borderId="1" xfId="0" applyFont="1" applyFill="1" applyBorder="1" applyAlignment="1">
      <alignment horizontal="center" vertical="center"/>
    </xf>
    <xf numFmtId="0" fontId="41" fillId="21" borderId="1" xfId="0" applyFont="1" applyFill="1" applyBorder="1" applyAlignment="1">
      <alignment horizontal="center" vertical="center"/>
    </xf>
    <xf numFmtId="0" fontId="54" fillId="0" borderId="4" xfId="0" applyFont="1" applyBorder="1" applyAlignment="1">
      <alignment horizontal="center" vertical="center" wrapText="1"/>
    </xf>
    <xf numFmtId="0" fontId="53" fillId="0" borderId="4" xfId="0" applyFont="1" applyBorder="1" applyAlignment="1">
      <alignment horizontal="center" vertical="center" wrapText="1"/>
    </xf>
    <xf numFmtId="0" fontId="32" fillId="16" borderId="1" xfId="0" applyFont="1" applyFill="1" applyBorder="1" applyAlignment="1">
      <alignment horizontal="center" vertical="center"/>
    </xf>
    <xf numFmtId="0" fontId="54" fillId="5" borderId="4" xfId="0" applyFont="1" applyFill="1" applyBorder="1" applyAlignment="1">
      <alignment horizontal="center" vertical="center" wrapText="1"/>
    </xf>
    <xf numFmtId="0" fontId="32" fillId="23" borderId="1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0" fontId="65" fillId="0" borderId="6" xfId="0" applyFont="1" applyBorder="1"/>
    <xf numFmtId="0" fontId="56" fillId="12" borderId="5" xfId="0" applyFont="1" applyFill="1" applyBorder="1" applyAlignment="1">
      <alignment horizontal="center" vertical="center"/>
    </xf>
    <xf numFmtId="0" fontId="56" fillId="16" borderId="4" xfId="0" applyFont="1" applyFill="1" applyBorder="1" applyAlignment="1">
      <alignment horizontal="center" vertical="center" wrapText="1"/>
    </xf>
    <xf numFmtId="0" fontId="56" fillId="15" borderId="4" xfId="0" applyFont="1" applyFill="1" applyBorder="1" applyAlignment="1">
      <alignment horizontal="center" vertical="center" wrapText="1"/>
    </xf>
    <xf numFmtId="0" fontId="66" fillId="4" borderId="8" xfId="0" applyFont="1" applyFill="1" applyBorder="1" applyAlignment="1">
      <alignment horizontal="center" vertical="center" wrapText="1"/>
    </xf>
    <xf numFmtId="0" fontId="47" fillId="4" borderId="8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5" fillId="0" borderId="5" xfId="0" applyFont="1" applyBorder="1"/>
    <xf numFmtId="0" fontId="67" fillId="3" borderId="4" xfId="0" applyFont="1" applyFill="1" applyBorder="1" applyAlignment="1">
      <alignment horizontal="center" vertical="center" wrapText="1"/>
    </xf>
    <xf numFmtId="0" fontId="68" fillId="0" borderId="5" xfId="0" applyFont="1" applyBorder="1"/>
    <xf numFmtId="0" fontId="68" fillId="0" borderId="6" xfId="0" applyFont="1" applyBorder="1"/>
    <xf numFmtId="0" fontId="67" fillId="3" borderId="7" xfId="0" applyFont="1" applyFill="1" applyBorder="1" applyAlignment="1">
      <alignment horizontal="center" vertical="center" wrapText="1"/>
    </xf>
    <xf numFmtId="0" fontId="47" fillId="0" borderId="12" xfId="0" applyFont="1" applyBorder="1" applyAlignment="1">
      <alignment horizontal="center" vertical="center" wrapText="1"/>
    </xf>
    <xf numFmtId="0" fontId="69" fillId="0" borderId="8" xfId="0" applyFont="1" applyBorder="1" applyAlignment="1">
      <alignment horizontal="center" vertical="center"/>
    </xf>
    <xf numFmtId="0" fontId="70" fillId="0" borderId="8" xfId="0" applyFont="1" applyBorder="1" applyAlignment="1">
      <alignment horizontal="center" vertical="center"/>
    </xf>
    <xf numFmtId="0" fontId="71" fillId="0" borderId="12" xfId="0" applyFont="1" applyBorder="1" applyAlignment="1">
      <alignment horizontal="center" vertical="center" wrapText="1"/>
    </xf>
    <xf numFmtId="0" fontId="47" fillId="4" borderId="9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2" fillId="5" borderId="8" xfId="0" applyFont="1" applyFill="1" applyBorder="1" applyAlignment="1">
      <alignment horizontal="center" vertical="center" wrapText="1"/>
    </xf>
    <xf numFmtId="0" fontId="2" fillId="0" borderId="0" xfId="0" quotePrefix="1" applyFont="1" applyFill="1" applyBorder="1" applyAlignment="1"/>
    <xf numFmtId="0" fontId="0" fillId="0" borderId="0" xfId="0" applyFont="1" applyFill="1" applyBorder="1" applyAlignment="1"/>
    <xf numFmtId="0" fontId="5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/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horizontal="center"/>
    </xf>
    <xf numFmtId="0" fontId="73" fillId="0" borderId="8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 wrapText="1"/>
    </xf>
    <xf numFmtId="0" fontId="68" fillId="0" borderId="2" xfId="0" applyFont="1" applyBorder="1"/>
    <xf numFmtId="0" fontId="68" fillId="0" borderId="3" xfId="0" applyFont="1" applyBorder="1"/>
    <xf numFmtId="0" fontId="74" fillId="27" borderId="16" xfId="0" applyFont="1" applyFill="1" applyBorder="1" applyAlignment="1" applyProtection="1">
      <alignment horizontal="center" vertical="center" wrapText="1"/>
      <protection locked="0"/>
    </xf>
    <xf numFmtId="0" fontId="74" fillId="28" borderId="17" xfId="0" applyFont="1" applyFill="1" applyBorder="1" applyAlignment="1" applyProtection="1">
      <alignment horizontal="center" vertical="center"/>
      <protection locked="0"/>
    </xf>
    <xf numFmtId="0" fontId="74" fillId="28" borderId="18" xfId="0" applyFont="1" applyFill="1" applyBorder="1" applyAlignment="1" applyProtection="1">
      <alignment horizontal="center" vertical="center"/>
      <protection locked="0"/>
    </xf>
    <xf numFmtId="0" fontId="74" fillId="28" borderId="19" xfId="0" applyFont="1" applyFill="1" applyBorder="1" applyAlignment="1" applyProtection="1">
      <alignment horizontal="center" vertical="center"/>
      <protection locked="0"/>
    </xf>
    <xf numFmtId="0" fontId="74" fillId="27" borderId="20" xfId="0" applyFont="1" applyFill="1" applyBorder="1" applyAlignment="1" applyProtection="1">
      <alignment horizontal="center" vertical="center" wrapText="1"/>
      <protection locked="0"/>
    </xf>
    <xf numFmtId="0" fontId="74" fillId="27" borderId="24" xfId="0" applyFont="1" applyFill="1" applyBorder="1" applyAlignment="1" applyProtection="1">
      <alignment horizontal="center" vertical="center" wrapText="1"/>
      <protection locked="0"/>
    </xf>
    <xf numFmtId="0" fontId="20" fillId="0" borderId="23" xfId="0" applyFont="1" applyBorder="1" applyAlignment="1" applyProtection="1">
      <alignment horizontal="center" vertical="center"/>
      <protection locked="0"/>
    </xf>
    <xf numFmtId="0" fontId="20" fillId="0" borderId="27" xfId="0" applyFont="1" applyBorder="1" applyAlignment="1" applyProtection="1">
      <alignment horizontal="center" vertical="center"/>
      <protection locked="0"/>
    </xf>
    <xf numFmtId="0" fontId="75" fillId="28" borderId="21" xfId="0" applyFont="1" applyFill="1" applyBorder="1" applyAlignment="1" applyProtection="1">
      <alignment horizontal="center" vertical="center"/>
      <protection locked="0"/>
    </xf>
    <xf numFmtId="0" fontId="75" fillId="0" borderId="22" xfId="0" applyFont="1" applyBorder="1" applyAlignment="1" applyProtection="1">
      <alignment horizontal="center" vertical="center"/>
      <protection locked="0"/>
    </xf>
    <xf numFmtId="0" fontId="75" fillId="28" borderId="21" xfId="0" applyFont="1" applyFill="1" applyBorder="1" applyAlignment="1" applyProtection="1">
      <alignment horizontal="center" vertical="center" shrinkToFit="1"/>
      <protection locked="0"/>
    </xf>
    <xf numFmtId="0" fontId="76" fillId="0" borderId="22" xfId="0" applyFont="1" applyBorder="1" applyAlignment="1" applyProtection="1">
      <alignment horizontal="center" vertical="center" shrinkToFit="1"/>
      <protection locked="0"/>
    </xf>
    <xf numFmtId="0" fontId="75" fillId="28" borderId="25" xfId="0" applyFont="1" applyFill="1" applyBorder="1" applyAlignment="1" applyProtection="1">
      <alignment horizontal="center" vertical="center"/>
      <protection locked="0"/>
    </xf>
    <xf numFmtId="0" fontId="76" fillId="0" borderId="26" xfId="0" applyFont="1" applyBorder="1" applyAlignment="1" applyProtection="1">
      <alignment horizontal="center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ᄇᄋᄌ" id="{d5816aff-9f52-4711-a206-d2e8c818af33}" providerId="google-sheets"/>
  <x18tc:person displayName="최원석" id="{54a49699-5aea-44bf-b3f3-0faac72bb40e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67" dT="2026-06-04T07:01:34.00" personId="{54a49699-5aea-44bf-b3f3-0faac72bb40e}" id="{0c5aab02-ffcf-4d18-8ffe-cdd8d3bcba03}" done="1">
    <x18tc:text xml:space="preserve">도제코스만 화공플랜트기계로 갈까요?</x18tc:text>
  </x18tc:threadedComment>
  <x18tc:threadedComment ref="A1" dT="2026-06-10T01:11:54.00" personId="{54a49699-5aea-44bf-b3f3-0faac72bb40e}" id="{3e8b3ed5-92b0-47d8-8d5c-bc38bc3cb886}" done="1">
    <x18tc:text xml:space="preserve">군특을 안하게 된다면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" dT="2026-06-10T01:06:14.00" personId="{54a49699-5aea-44bf-b3f3-0faac72bb40e}" id="{bed77742-3fe5-4fb8-8c03-6501ece8fbf6}" done="1">
    <x18tc:text xml:space="preserve">군특을 안하게 된다면 고려해볼 과목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3" dT="2026-06-05T06:10:41.00" personId="{54a49699-5aea-44bf-b3f3-0faac72bb40e}" id="{13a73766-d5cf-4503-a468-3d7e6c5103f5}" done="1">
    <x18tc:text xml:space="preserve">26입학생 기준으로 2학점 축소. 검토바람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64" dT="2026-05-19T04:27:51.00" personId="{d5816aff-9f52-4711-a206-d2e8c818af33}" id="{669527ef-18bf-4c23-9e69-d1698b61fef4}" done="1">
    <x18tc:text xml:space="preserve">3-&gt;5</x18tc:text>
  </x18tc:threadedComment>
  <x18tc:threadedComment ref="O64" dT="2026-05-19T04:40:19.00" personId="{54a49699-5aea-44bf-b3f3-0faac72bb40e}" id="{bfd30213-ad74-4933-b081-a659af0764d4}" parentId="{669527ef-18bf-4c23-9e69-d1698b61fef4}">
    <x18tc:text xml:space="preserve">이건 2027년 이고 아까 말씀드린건 올해입학생 이야기입니다.</x18tc:text>
  </x18tc:threadedComment>
  <x18tc:threadedComment ref="O65" dT="2026-05-19T04:27:58.00" personId="{d5816aff-9f52-4711-a206-d2e8c818af33}" id="{a471d6e4-c05d-4dd9-911f-bb6d5ed37c2e}" done="1">
    <x18tc:text xml:space="preserve">9-&gt;11</x18tc:text>
  </x18tc:threadedComment>
  <x18tc:threadedComment ref="O65" dT="2026-05-19T04:40:32.00" personId="{54a49699-5aea-44bf-b3f3-0faac72bb40e}" id="{7b0bd8e7-9915-45c7-8675-83312c3503b0}" parentId="{a471d6e4-c05d-4dd9-911f-bb6d5ed37c2e}">
    <x18tc:text xml:space="preserve">이건 2027년 이고 아까 말씀드린건 올해입학생 이야기입니다.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9" dT="2026-05-19T02:43:27.00" personId="{54a49699-5aea-44bf-b3f3-0faac72bb40e}" id="{07cb2726-7936-413e-9ac1-4c1f5390d80b}" done="0">
    <x18tc:text xml:space="preserve">화공플랜트 기계랑 합쳐서 4학점 운영으로 하는건 어떤가??</x18tc:text>
  </x18tc:threadedComment>
  <x18tc:threadedComment ref="F39" dT="2026-05-19T02:48:39.00" personId="{54a49699-5aea-44bf-b3f3-0faac72bb40e}" id="{439b4498-54ec-4958-a534-a7f8f290847f}" parentId="{07cb2726-7936-413e-9ac1-4c1f5390d80b}">
    <x18tc:text xml:space="preserve">혹은 유체기계를 2학기로 옮기고(1-1처럼) 4학점으로 강화</x18tc:text>
  </x18tc:threadedComment>
  <x18tc:threadedComment ref="F42" dT="2026-05-19T02:44:07.00" personId="{54a49699-5aea-44bf-b3f3-0faac72bb40e}" id="{a6877f95-af1b-4d1a-af01-5b411f3c106c}" done="0">
    <x18tc:text xml:space="preserve">어차피 마이너 기계일반. 기계과가 굳이 이걸 선정할 필요가 있을까?</x18tc:text>
  </x18tc:threadedComment>
  <x18tc:threadedComment ref="F42" dT="2026-05-19T02:51:40.00" personId="{54a49699-5aea-44bf-b3f3-0faac72bb40e}" id="{792b4d58-9f9e-4907-b7b6-51a92f9500f1}" parentId="{a6877f95-af1b-4d1a-af01-5b411f3c106c}">
    <x18tc:text xml:space="preserve">메리트: 겉으로 보기에 석유화학 교육과정 같음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X1018"/>
  <sheetViews>
    <sheetView tabSelected="1" workbookViewId="0">
      <selection activeCell="X20" sqref="X20"/>
    </sheetView>
  </sheetViews>
  <sheetFormatPr defaultColWidth="12.6328125" defaultRowHeight="15.75" customHeight="1"/>
  <cols>
    <col min="1" max="1" width="4.08984375" customWidth="1"/>
    <col min="2" max="2" width="6" customWidth="1"/>
    <col min="3" max="3" width="4" customWidth="1"/>
    <col min="4" max="4" width="7.90625" customWidth="1"/>
    <col min="5" max="5" width="8.7265625" customWidth="1"/>
    <col min="6" max="6" width="27.36328125" customWidth="1"/>
    <col min="7" max="7" width="10" customWidth="1"/>
    <col min="8" max="10" width="5.08984375" customWidth="1"/>
    <col min="11" max="16" width="10" customWidth="1"/>
    <col min="17" max="18" width="6.26953125" customWidth="1"/>
    <col min="19" max="19" width="6.6328125" customWidth="1"/>
    <col min="20" max="20" width="4.7265625" customWidth="1"/>
  </cols>
  <sheetData>
    <row r="1" spans="1:24" ht="14.2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ht="25.5">
      <c r="A2" s="1"/>
      <c r="B2" s="237" t="s">
        <v>0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07"/>
      <c r="Q2" s="32"/>
      <c r="R2" s="238">
        <v>2027</v>
      </c>
      <c r="S2" s="207"/>
      <c r="T2" s="1"/>
      <c r="U2" s="328" t="s">
        <v>537</v>
      </c>
      <c r="V2" s="329" t="s">
        <v>538</v>
      </c>
      <c r="W2" s="330" t="s">
        <v>539</v>
      </c>
      <c r="X2" s="331" t="s">
        <v>540</v>
      </c>
    </row>
    <row r="3" spans="1:24" ht="14">
      <c r="A3" s="1"/>
      <c r="B3" s="239" t="s">
        <v>53</v>
      </c>
      <c r="C3" s="234" t="s">
        <v>2</v>
      </c>
      <c r="D3" s="225"/>
      <c r="E3" s="217"/>
      <c r="F3" s="234" t="s">
        <v>98</v>
      </c>
      <c r="G3" s="217"/>
      <c r="H3" s="234" t="s">
        <v>99</v>
      </c>
      <c r="I3" s="225"/>
      <c r="J3" s="217"/>
      <c r="K3" s="234" t="s">
        <v>100</v>
      </c>
      <c r="L3" s="225"/>
      <c r="M3" s="235" t="s">
        <v>101</v>
      </c>
      <c r="N3" s="211"/>
      <c r="O3" s="211"/>
      <c r="P3" s="211"/>
      <c r="Q3" s="211"/>
      <c r="R3" s="211"/>
      <c r="S3" s="207"/>
      <c r="T3" s="1"/>
      <c r="U3" s="332"/>
      <c r="V3" s="336" t="s">
        <v>541</v>
      </c>
      <c r="W3" s="337" t="s">
        <v>544</v>
      </c>
      <c r="X3" s="334" t="s">
        <v>545</v>
      </c>
    </row>
    <row r="4" spans="1:24" ht="14">
      <c r="A4" s="1"/>
      <c r="B4" s="209"/>
      <c r="C4" s="220"/>
      <c r="D4" s="227"/>
      <c r="E4" s="221"/>
      <c r="F4" s="220"/>
      <c r="G4" s="221"/>
      <c r="H4" s="220"/>
      <c r="I4" s="227"/>
      <c r="J4" s="221"/>
      <c r="K4" s="220"/>
      <c r="L4" s="227"/>
      <c r="M4" s="235" t="s">
        <v>3</v>
      </c>
      <c r="N4" s="211"/>
      <c r="O4" s="235" t="s">
        <v>105</v>
      </c>
      <c r="P4" s="207"/>
      <c r="Q4" s="235" t="s">
        <v>106</v>
      </c>
      <c r="R4" s="211"/>
      <c r="S4" s="207"/>
      <c r="T4" s="1"/>
      <c r="U4" s="332"/>
      <c r="V4" s="338" t="s">
        <v>542</v>
      </c>
      <c r="W4" s="339" t="s">
        <v>546</v>
      </c>
      <c r="X4" s="334" t="s">
        <v>547</v>
      </c>
    </row>
    <row r="5" spans="1:24" ht="32.25" customHeight="1" thickBot="1">
      <c r="A5" s="1"/>
      <c r="B5" s="60" t="s">
        <v>109</v>
      </c>
      <c r="C5" s="240" t="s">
        <v>5</v>
      </c>
      <c r="D5" s="211"/>
      <c r="E5" s="207"/>
      <c r="F5" s="240" t="s">
        <v>113</v>
      </c>
      <c r="G5" s="207"/>
      <c r="H5" s="240" t="s">
        <v>114</v>
      </c>
      <c r="I5" s="211"/>
      <c r="J5" s="207"/>
      <c r="K5" s="240"/>
      <c r="L5" s="211"/>
      <c r="M5" s="240" t="s">
        <v>118</v>
      </c>
      <c r="N5" s="211"/>
      <c r="O5" s="240" t="s">
        <v>120</v>
      </c>
      <c r="P5" s="211"/>
      <c r="Q5" s="241" t="s">
        <v>121</v>
      </c>
      <c r="R5" s="211"/>
      <c r="S5" s="207"/>
      <c r="T5" s="1"/>
      <c r="U5" s="333"/>
      <c r="V5" s="340" t="s">
        <v>543</v>
      </c>
      <c r="W5" s="341" t="s">
        <v>548</v>
      </c>
      <c r="X5" s="335" t="s">
        <v>549</v>
      </c>
    </row>
    <row r="6" spans="1:24" ht="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36"/>
      <c r="Q6" s="226"/>
      <c r="R6" s="226"/>
      <c r="S6" s="226"/>
      <c r="T6" s="1"/>
    </row>
    <row r="7" spans="1:24" ht="20.25" customHeight="1">
      <c r="A7" s="63"/>
      <c r="B7" s="230" t="s">
        <v>126</v>
      </c>
      <c r="C7" s="217"/>
      <c r="D7" s="292" t="s">
        <v>128</v>
      </c>
      <c r="E7" s="210" t="s">
        <v>129</v>
      </c>
      <c r="F7" s="211"/>
      <c r="G7" s="207"/>
      <c r="H7" s="290" t="s">
        <v>527</v>
      </c>
      <c r="I7" s="290" t="s">
        <v>525</v>
      </c>
      <c r="J7" s="290" t="s">
        <v>526</v>
      </c>
      <c r="K7" s="210" t="s">
        <v>14</v>
      </c>
      <c r="L7" s="207"/>
      <c r="M7" s="210" t="s">
        <v>15</v>
      </c>
      <c r="N7" s="207"/>
      <c r="O7" s="210" t="s">
        <v>16</v>
      </c>
      <c r="P7" s="207"/>
      <c r="Q7" s="291" t="s">
        <v>528</v>
      </c>
      <c r="R7" s="217"/>
      <c r="S7" s="290" t="s">
        <v>529</v>
      </c>
      <c r="T7" s="70"/>
    </row>
    <row r="8" spans="1:24" ht="20.25" customHeight="1">
      <c r="A8" s="63"/>
      <c r="B8" s="220"/>
      <c r="C8" s="221"/>
      <c r="D8" s="293"/>
      <c r="E8" s="71" t="s">
        <v>145</v>
      </c>
      <c r="F8" s="210" t="s">
        <v>146</v>
      </c>
      <c r="G8" s="207"/>
      <c r="H8" s="209"/>
      <c r="I8" s="209"/>
      <c r="J8" s="209"/>
      <c r="K8" s="72" t="s">
        <v>19</v>
      </c>
      <c r="L8" s="72" t="s">
        <v>20</v>
      </c>
      <c r="M8" s="72" t="s">
        <v>19</v>
      </c>
      <c r="N8" s="72" t="s">
        <v>20</v>
      </c>
      <c r="O8" s="72" t="s">
        <v>19</v>
      </c>
      <c r="P8" s="72" t="s">
        <v>20</v>
      </c>
      <c r="Q8" s="220"/>
      <c r="R8" s="221"/>
      <c r="S8" s="209"/>
      <c r="T8" s="63"/>
    </row>
    <row r="9" spans="1:24" ht="14">
      <c r="A9" s="1"/>
      <c r="B9" s="216" t="s">
        <v>149</v>
      </c>
      <c r="C9" s="217"/>
      <c r="D9" s="212" t="s">
        <v>153</v>
      </c>
      <c r="E9" s="74" t="s">
        <v>154</v>
      </c>
      <c r="F9" s="206" t="s">
        <v>155</v>
      </c>
      <c r="G9" s="207"/>
      <c r="H9" s="74">
        <v>4</v>
      </c>
      <c r="I9" s="74" t="s">
        <v>156</v>
      </c>
      <c r="J9" s="74">
        <f t="shared" ref="J9:J35" si="0">SUM(K9:P9)</f>
        <v>3</v>
      </c>
      <c r="K9" s="75">
        <v>3</v>
      </c>
      <c r="L9" s="76"/>
      <c r="M9" s="76"/>
      <c r="N9" s="76"/>
      <c r="O9" s="76"/>
      <c r="P9" s="76"/>
      <c r="Q9" s="74">
        <f t="shared" ref="Q9:Q28" si="1">J9</f>
        <v>3</v>
      </c>
      <c r="R9" s="212">
        <f>SUM(Q9:Q11)</f>
        <v>9</v>
      </c>
      <c r="S9" s="215">
        <v>24</v>
      </c>
      <c r="T9" s="1"/>
    </row>
    <row r="10" spans="1:24" ht="14">
      <c r="A10" s="1"/>
      <c r="B10" s="218"/>
      <c r="C10" s="219"/>
      <c r="D10" s="213"/>
      <c r="E10" s="74" t="s">
        <v>154</v>
      </c>
      <c r="F10" s="206" t="s">
        <v>162</v>
      </c>
      <c r="G10" s="207"/>
      <c r="H10" s="74">
        <v>4</v>
      </c>
      <c r="I10" s="74" t="s">
        <v>156</v>
      </c>
      <c r="J10" s="74">
        <f t="shared" si="0"/>
        <v>3</v>
      </c>
      <c r="K10" s="76"/>
      <c r="L10" s="75">
        <v>3</v>
      </c>
      <c r="M10" s="76"/>
      <c r="N10" s="76"/>
      <c r="O10" s="76"/>
      <c r="P10" s="76"/>
      <c r="Q10" s="74">
        <f t="shared" si="1"/>
        <v>3</v>
      </c>
      <c r="R10" s="213"/>
      <c r="S10" s="213"/>
      <c r="T10" s="1"/>
    </row>
    <row r="11" spans="1:24" ht="14">
      <c r="A11" s="1"/>
      <c r="B11" s="218"/>
      <c r="C11" s="219"/>
      <c r="D11" s="209"/>
      <c r="E11" s="74" t="s">
        <v>165</v>
      </c>
      <c r="F11" s="206" t="s">
        <v>166</v>
      </c>
      <c r="G11" s="207"/>
      <c r="H11" s="74">
        <v>4</v>
      </c>
      <c r="I11" s="74" t="s">
        <v>167</v>
      </c>
      <c r="J11" s="74">
        <f t="shared" si="0"/>
        <v>3</v>
      </c>
      <c r="K11" s="76"/>
      <c r="L11" s="76"/>
      <c r="M11" s="75">
        <v>3</v>
      </c>
      <c r="N11" s="76"/>
      <c r="O11" s="76"/>
      <c r="P11" s="76"/>
      <c r="Q11" s="74">
        <f t="shared" si="1"/>
        <v>3</v>
      </c>
      <c r="R11" s="209"/>
      <c r="S11" s="213"/>
      <c r="T11" s="1"/>
    </row>
    <row r="12" spans="1:24" ht="14">
      <c r="A12" s="1"/>
      <c r="B12" s="218"/>
      <c r="C12" s="219"/>
      <c r="D12" s="212" t="s">
        <v>168</v>
      </c>
      <c r="E12" s="74" t="s">
        <v>154</v>
      </c>
      <c r="F12" s="206" t="s">
        <v>169</v>
      </c>
      <c r="G12" s="207"/>
      <c r="H12" s="74">
        <v>4</v>
      </c>
      <c r="I12" s="74" t="s">
        <v>156</v>
      </c>
      <c r="J12" s="74">
        <f t="shared" si="0"/>
        <v>3</v>
      </c>
      <c r="K12" s="75">
        <v>3</v>
      </c>
      <c r="L12" s="76"/>
      <c r="M12" s="76"/>
      <c r="N12" s="76"/>
      <c r="O12" s="76"/>
      <c r="P12" s="76"/>
      <c r="Q12" s="74">
        <f t="shared" si="1"/>
        <v>3</v>
      </c>
      <c r="R12" s="212">
        <f>SUM(Q12:Q14)</f>
        <v>9</v>
      </c>
      <c r="S12" s="213"/>
      <c r="T12" s="1"/>
    </row>
    <row r="13" spans="1:24" ht="14">
      <c r="A13" s="1"/>
      <c r="B13" s="218"/>
      <c r="C13" s="219"/>
      <c r="D13" s="213"/>
      <c r="E13" s="74" t="s">
        <v>154</v>
      </c>
      <c r="F13" s="206" t="s">
        <v>172</v>
      </c>
      <c r="G13" s="207"/>
      <c r="H13" s="74">
        <v>4</v>
      </c>
      <c r="I13" s="74" t="s">
        <v>156</v>
      </c>
      <c r="J13" s="74">
        <f t="shared" si="0"/>
        <v>3</v>
      </c>
      <c r="K13" s="76"/>
      <c r="L13" s="75">
        <v>3</v>
      </c>
      <c r="M13" s="76"/>
      <c r="N13" s="76"/>
      <c r="O13" s="76"/>
      <c r="P13" s="76"/>
      <c r="Q13" s="74">
        <f t="shared" si="1"/>
        <v>3</v>
      </c>
      <c r="R13" s="213"/>
      <c r="S13" s="213"/>
      <c r="T13" s="1"/>
    </row>
    <row r="14" spans="1:24" ht="14">
      <c r="A14" s="1"/>
      <c r="B14" s="218"/>
      <c r="C14" s="219"/>
      <c r="D14" s="209"/>
      <c r="E14" s="74" t="s">
        <v>165</v>
      </c>
      <c r="F14" s="206" t="s">
        <v>173</v>
      </c>
      <c r="G14" s="207"/>
      <c r="H14" s="74">
        <v>4</v>
      </c>
      <c r="I14" s="74" t="s">
        <v>167</v>
      </c>
      <c r="J14" s="74">
        <f t="shared" si="0"/>
        <v>3</v>
      </c>
      <c r="K14" s="76"/>
      <c r="L14" s="76"/>
      <c r="M14" s="75">
        <v>3</v>
      </c>
      <c r="N14" s="76"/>
      <c r="O14" s="76"/>
      <c r="P14" s="76"/>
      <c r="Q14" s="74">
        <f t="shared" si="1"/>
        <v>3</v>
      </c>
      <c r="R14" s="209"/>
      <c r="S14" s="213"/>
      <c r="T14" s="1"/>
    </row>
    <row r="15" spans="1:24" ht="14">
      <c r="A15" s="1"/>
      <c r="B15" s="218"/>
      <c r="C15" s="219"/>
      <c r="D15" s="212" t="s">
        <v>175</v>
      </c>
      <c r="E15" s="74" t="s">
        <v>154</v>
      </c>
      <c r="F15" s="206" t="s">
        <v>177</v>
      </c>
      <c r="G15" s="207"/>
      <c r="H15" s="74">
        <v>4</v>
      </c>
      <c r="I15" s="74" t="s">
        <v>156</v>
      </c>
      <c r="J15" s="74">
        <f t="shared" si="0"/>
        <v>3</v>
      </c>
      <c r="K15" s="75">
        <v>3</v>
      </c>
      <c r="L15" s="76"/>
      <c r="M15" s="76"/>
      <c r="N15" s="76"/>
      <c r="O15" s="76"/>
      <c r="P15" s="76"/>
      <c r="Q15" s="74">
        <f t="shared" si="1"/>
        <v>3</v>
      </c>
      <c r="R15" s="212">
        <f>SUM(Q15:Q17)</f>
        <v>9</v>
      </c>
      <c r="S15" s="213"/>
      <c r="T15" s="1"/>
    </row>
    <row r="16" spans="1:24" ht="14">
      <c r="A16" s="1"/>
      <c r="B16" s="218"/>
      <c r="C16" s="219"/>
      <c r="D16" s="213"/>
      <c r="E16" s="74" t="s">
        <v>154</v>
      </c>
      <c r="F16" s="206" t="s">
        <v>178</v>
      </c>
      <c r="G16" s="207"/>
      <c r="H16" s="74">
        <v>4</v>
      </c>
      <c r="I16" s="74" t="s">
        <v>156</v>
      </c>
      <c r="J16" s="74">
        <f t="shared" si="0"/>
        <v>3</v>
      </c>
      <c r="K16" s="76"/>
      <c r="L16" s="75">
        <v>3</v>
      </c>
      <c r="M16" s="76"/>
      <c r="N16" s="76"/>
      <c r="O16" s="76"/>
      <c r="P16" s="76"/>
      <c r="Q16" s="74">
        <f t="shared" si="1"/>
        <v>3</v>
      </c>
      <c r="R16" s="213"/>
      <c r="S16" s="213"/>
      <c r="T16" s="1"/>
    </row>
    <row r="17" spans="1:20" ht="14">
      <c r="A17" s="1"/>
      <c r="B17" s="218"/>
      <c r="C17" s="219"/>
      <c r="D17" s="209"/>
      <c r="E17" s="74" t="s">
        <v>165</v>
      </c>
      <c r="F17" s="206" t="s">
        <v>180</v>
      </c>
      <c r="G17" s="207"/>
      <c r="H17" s="74">
        <v>4</v>
      </c>
      <c r="I17" s="74" t="s">
        <v>167</v>
      </c>
      <c r="J17" s="74">
        <f t="shared" si="0"/>
        <v>3</v>
      </c>
      <c r="K17" s="76"/>
      <c r="L17" s="76"/>
      <c r="M17" s="76"/>
      <c r="N17" s="75">
        <v>3</v>
      </c>
      <c r="O17" s="76"/>
      <c r="P17" s="76"/>
      <c r="Q17" s="74">
        <f t="shared" si="1"/>
        <v>3</v>
      </c>
      <c r="R17" s="209"/>
      <c r="S17" s="209"/>
      <c r="T17" s="1"/>
    </row>
    <row r="18" spans="1:20" ht="14">
      <c r="A18" s="1"/>
      <c r="B18" s="218"/>
      <c r="C18" s="219"/>
      <c r="D18" s="214" t="s">
        <v>182</v>
      </c>
      <c r="E18" s="74" t="s">
        <v>154</v>
      </c>
      <c r="F18" s="206" t="s">
        <v>183</v>
      </c>
      <c r="G18" s="207"/>
      <c r="H18" s="74">
        <v>3</v>
      </c>
      <c r="I18" s="74" t="s">
        <v>186</v>
      </c>
      <c r="J18" s="74">
        <f t="shared" si="0"/>
        <v>3</v>
      </c>
      <c r="K18" s="75">
        <v>3</v>
      </c>
      <c r="L18" s="76"/>
      <c r="M18" s="76"/>
      <c r="N18" s="76"/>
      <c r="O18" s="76"/>
      <c r="P18" s="76"/>
      <c r="Q18" s="74">
        <f t="shared" si="1"/>
        <v>3</v>
      </c>
      <c r="R18" s="212">
        <f>SUM(Q18:Q19)</f>
        <v>6</v>
      </c>
      <c r="S18" s="215">
        <v>6</v>
      </c>
      <c r="T18" s="1"/>
    </row>
    <row r="19" spans="1:20" ht="14">
      <c r="A19" s="1"/>
      <c r="B19" s="218"/>
      <c r="C19" s="219"/>
      <c r="D19" s="213"/>
      <c r="E19" s="74" t="s">
        <v>154</v>
      </c>
      <c r="F19" s="206" t="s">
        <v>187</v>
      </c>
      <c r="G19" s="207"/>
      <c r="H19" s="74">
        <v>3</v>
      </c>
      <c r="I19" s="74" t="s">
        <v>186</v>
      </c>
      <c r="J19" s="74">
        <f t="shared" si="0"/>
        <v>3</v>
      </c>
      <c r="K19" s="76"/>
      <c r="L19" s="75">
        <v>3</v>
      </c>
      <c r="M19" s="76"/>
      <c r="N19" s="76"/>
      <c r="O19" s="76"/>
      <c r="P19" s="76"/>
      <c r="Q19" s="74">
        <f t="shared" si="1"/>
        <v>3</v>
      </c>
      <c r="R19" s="209"/>
      <c r="S19" s="209"/>
      <c r="T19" s="1"/>
    </row>
    <row r="20" spans="1:20" ht="14">
      <c r="A20" s="1"/>
      <c r="B20" s="218"/>
      <c r="C20" s="219"/>
      <c r="D20" s="213"/>
      <c r="E20" s="74" t="s">
        <v>154</v>
      </c>
      <c r="F20" s="206" t="s">
        <v>188</v>
      </c>
      <c r="G20" s="207"/>
      <c r="H20" s="74">
        <v>4</v>
      </c>
      <c r="I20" s="74" t="s">
        <v>156</v>
      </c>
      <c r="J20" s="74">
        <f t="shared" si="0"/>
        <v>3</v>
      </c>
      <c r="K20" s="76"/>
      <c r="L20" s="76"/>
      <c r="M20" s="75">
        <v>3</v>
      </c>
      <c r="N20" s="76"/>
      <c r="O20" s="76"/>
      <c r="P20" s="76"/>
      <c r="Q20" s="74">
        <f t="shared" si="1"/>
        <v>3</v>
      </c>
      <c r="R20" s="212">
        <f>SUM(Q20:Q21)</f>
        <v>6</v>
      </c>
      <c r="S20" s="215">
        <v>12</v>
      </c>
      <c r="T20" s="1"/>
    </row>
    <row r="21" spans="1:20" ht="14">
      <c r="A21" s="1"/>
      <c r="B21" s="218"/>
      <c r="C21" s="219"/>
      <c r="D21" s="209"/>
      <c r="E21" s="74" t="s">
        <v>154</v>
      </c>
      <c r="F21" s="206" t="s">
        <v>219</v>
      </c>
      <c r="G21" s="207"/>
      <c r="H21" s="74">
        <v>4</v>
      </c>
      <c r="I21" s="74" t="s">
        <v>156</v>
      </c>
      <c r="J21" s="74">
        <f t="shared" si="0"/>
        <v>3</v>
      </c>
      <c r="K21" s="76"/>
      <c r="L21" s="76"/>
      <c r="M21" s="76"/>
      <c r="N21" s="75">
        <v>3</v>
      </c>
      <c r="O21" s="76"/>
      <c r="P21" s="76"/>
      <c r="Q21" s="74">
        <f t="shared" si="1"/>
        <v>3</v>
      </c>
      <c r="R21" s="209"/>
      <c r="S21" s="213"/>
      <c r="T21" s="1"/>
    </row>
    <row r="22" spans="1:20" ht="14">
      <c r="A22" s="1"/>
      <c r="B22" s="218"/>
      <c r="C22" s="219"/>
      <c r="D22" s="212" t="s">
        <v>220</v>
      </c>
      <c r="E22" s="74" t="s">
        <v>154</v>
      </c>
      <c r="F22" s="206" t="s">
        <v>221</v>
      </c>
      <c r="G22" s="207"/>
      <c r="H22" s="74">
        <v>4</v>
      </c>
      <c r="I22" s="74" t="s">
        <v>156</v>
      </c>
      <c r="J22" s="74">
        <f t="shared" si="0"/>
        <v>3</v>
      </c>
      <c r="K22" s="75">
        <v>3</v>
      </c>
      <c r="L22" s="76"/>
      <c r="M22" s="76"/>
      <c r="N22" s="76"/>
      <c r="O22" s="76"/>
      <c r="P22" s="76"/>
      <c r="Q22" s="74">
        <f t="shared" si="1"/>
        <v>3</v>
      </c>
      <c r="R22" s="212">
        <f>SUM(Q22:Q23)</f>
        <v>6</v>
      </c>
      <c r="S22" s="213"/>
      <c r="T22" s="1"/>
    </row>
    <row r="23" spans="1:20" ht="14">
      <c r="A23" s="1"/>
      <c r="B23" s="218"/>
      <c r="C23" s="219"/>
      <c r="D23" s="209"/>
      <c r="E23" s="74" t="s">
        <v>154</v>
      </c>
      <c r="F23" s="206" t="s">
        <v>222</v>
      </c>
      <c r="G23" s="207"/>
      <c r="H23" s="74">
        <v>4</v>
      </c>
      <c r="I23" s="74" t="s">
        <v>156</v>
      </c>
      <c r="J23" s="74">
        <f t="shared" si="0"/>
        <v>3</v>
      </c>
      <c r="K23" s="76"/>
      <c r="L23" s="75">
        <v>3</v>
      </c>
      <c r="M23" s="76"/>
      <c r="N23" s="76"/>
      <c r="O23" s="76"/>
      <c r="P23" s="76"/>
      <c r="Q23" s="74">
        <f t="shared" si="1"/>
        <v>3</v>
      </c>
      <c r="R23" s="209"/>
      <c r="S23" s="209"/>
      <c r="T23" s="1"/>
    </row>
    <row r="24" spans="1:20" ht="14">
      <c r="A24" s="1"/>
      <c r="B24" s="218"/>
      <c r="C24" s="219"/>
      <c r="D24" s="212" t="s">
        <v>223</v>
      </c>
      <c r="E24" s="74" t="s">
        <v>224</v>
      </c>
      <c r="F24" s="206" t="s">
        <v>225</v>
      </c>
      <c r="G24" s="207"/>
      <c r="H24" s="74">
        <v>3</v>
      </c>
      <c r="I24" s="74" t="s">
        <v>226</v>
      </c>
      <c r="J24" s="74">
        <f t="shared" si="0"/>
        <v>2</v>
      </c>
      <c r="K24" s="75">
        <v>2</v>
      </c>
      <c r="L24" s="76"/>
      <c r="M24" s="76"/>
      <c r="N24" s="76"/>
      <c r="O24" s="76"/>
      <c r="P24" s="76"/>
      <c r="Q24" s="74">
        <f t="shared" si="1"/>
        <v>2</v>
      </c>
      <c r="R24" s="212">
        <f>SUM(Q24:Q28)</f>
        <v>9</v>
      </c>
      <c r="S24" s="215">
        <v>8</v>
      </c>
      <c r="T24" s="1"/>
    </row>
    <row r="25" spans="1:20" ht="14">
      <c r="A25" s="1"/>
      <c r="B25" s="218"/>
      <c r="C25" s="219"/>
      <c r="D25" s="213"/>
      <c r="E25" s="74" t="s">
        <v>224</v>
      </c>
      <c r="F25" s="206" t="s">
        <v>227</v>
      </c>
      <c r="G25" s="207"/>
      <c r="H25" s="74">
        <v>3</v>
      </c>
      <c r="I25" s="74" t="s">
        <v>226</v>
      </c>
      <c r="J25" s="74">
        <f t="shared" si="0"/>
        <v>2</v>
      </c>
      <c r="K25" s="76"/>
      <c r="L25" s="75">
        <v>2</v>
      </c>
      <c r="M25" s="76"/>
      <c r="N25" s="76"/>
      <c r="O25" s="76"/>
      <c r="P25" s="76"/>
      <c r="Q25" s="74">
        <f t="shared" si="1"/>
        <v>2</v>
      </c>
      <c r="R25" s="213"/>
      <c r="S25" s="213"/>
      <c r="T25" s="1"/>
    </row>
    <row r="26" spans="1:20" ht="14">
      <c r="A26" s="1"/>
      <c r="B26" s="218"/>
      <c r="C26" s="219"/>
      <c r="D26" s="213"/>
      <c r="E26" s="74" t="s">
        <v>228</v>
      </c>
      <c r="F26" s="206" t="s">
        <v>229</v>
      </c>
      <c r="G26" s="207"/>
      <c r="H26" s="74">
        <v>3</v>
      </c>
      <c r="I26" s="74" t="s">
        <v>226</v>
      </c>
      <c r="J26" s="74">
        <f t="shared" si="0"/>
        <v>2</v>
      </c>
      <c r="K26" s="76"/>
      <c r="L26" s="76"/>
      <c r="M26" s="75">
        <v>2</v>
      </c>
      <c r="N26" s="76"/>
      <c r="O26" s="76"/>
      <c r="P26" s="76"/>
      <c r="Q26" s="74">
        <f t="shared" si="1"/>
        <v>2</v>
      </c>
      <c r="R26" s="213"/>
      <c r="S26" s="213"/>
      <c r="T26" s="1"/>
    </row>
    <row r="27" spans="1:20" ht="14">
      <c r="A27" s="1"/>
      <c r="B27" s="218"/>
      <c r="C27" s="219"/>
      <c r="D27" s="213"/>
      <c r="E27" s="74" t="s">
        <v>228</v>
      </c>
      <c r="F27" s="206" t="s">
        <v>230</v>
      </c>
      <c r="G27" s="207"/>
      <c r="H27" s="74">
        <v>3</v>
      </c>
      <c r="I27" s="74" t="s">
        <v>226</v>
      </c>
      <c r="J27" s="74">
        <f t="shared" si="0"/>
        <v>2</v>
      </c>
      <c r="K27" s="76"/>
      <c r="L27" s="76"/>
      <c r="M27" s="76"/>
      <c r="N27" s="75">
        <v>2</v>
      </c>
      <c r="O27" s="76"/>
      <c r="P27" s="76"/>
      <c r="Q27" s="74">
        <f t="shared" si="1"/>
        <v>2</v>
      </c>
      <c r="R27" s="213"/>
      <c r="S27" s="213"/>
      <c r="T27" s="1"/>
    </row>
    <row r="28" spans="1:20" ht="14">
      <c r="A28" s="1"/>
      <c r="B28" s="218"/>
      <c r="C28" s="219"/>
      <c r="D28" s="209"/>
      <c r="E28" s="74" t="s">
        <v>165</v>
      </c>
      <c r="F28" s="206" t="s">
        <v>231</v>
      </c>
      <c r="G28" s="207"/>
      <c r="H28" s="74">
        <v>2</v>
      </c>
      <c r="I28" s="74" t="s">
        <v>232</v>
      </c>
      <c r="J28" s="74">
        <f t="shared" si="0"/>
        <v>1</v>
      </c>
      <c r="K28" s="76"/>
      <c r="L28" s="76"/>
      <c r="M28" s="76"/>
      <c r="N28" s="76"/>
      <c r="O28" s="75">
        <v>1</v>
      </c>
      <c r="P28" s="76"/>
      <c r="Q28" s="74">
        <f t="shared" si="1"/>
        <v>1</v>
      </c>
      <c r="R28" s="209"/>
      <c r="S28" s="209"/>
      <c r="T28" s="1"/>
    </row>
    <row r="29" spans="1:20" ht="14">
      <c r="A29" s="1"/>
      <c r="B29" s="218"/>
      <c r="C29" s="219"/>
      <c r="D29" s="212" t="s">
        <v>233</v>
      </c>
      <c r="E29" s="74" t="s">
        <v>224</v>
      </c>
      <c r="F29" s="206" t="s">
        <v>234</v>
      </c>
      <c r="G29" s="207"/>
      <c r="H29" s="74">
        <v>3</v>
      </c>
      <c r="I29" s="74" t="s">
        <v>226</v>
      </c>
      <c r="J29" s="74">
        <f t="shared" si="0"/>
        <v>3</v>
      </c>
      <c r="K29" s="75">
        <v>3</v>
      </c>
      <c r="L29" s="76"/>
      <c r="M29" s="76"/>
      <c r="N29" s="76"/>
      <c r="O29" s="102"/>
      <c r="P29" s="102"/>
      <c r="Q29" s="216">
        <f>SUM(J29:J32)</f>
        <v>10</v>
      </c>
      <c r="R29" s="217"/>
      <c r="S29" s="215">
        <v>6</v>
      </c>
      <c r="T29" s="1"/>
    </row>
    <row r="30" spans="1:20" ht="14">
      <c r="A30" s="1"/>
      <c r="B30" s="218"/>
      <c r="C30" s="219"/>
      <c r="D30" s="213"/>
      <c r="E30" s="74" t="s">
        <v>165</v>
      </c>
      <c r="F30" s="206" t="s">
        <v>235</v>
      </c>
      <c r="G30" s="207"/>
      <c r="H30" s="74">
        <v>3</v>
      </c>
      <c r="I30" s="74" t="s">
        <v>226</v>
      </c>
      <c r="J30" s="74">
        <f t="shared" si="0"/>
        <v>2</v>
      </c>
      <c r="K30" s="76"/>
      <c r="L30" s="76"/>
      <c r="M30" s="75">
        <v>2</v>
      </c>
      <c r="N30" s="76"/>
      <c r="O30" s="76"/>
      <c r="P30" s="76"/>
      <c r="Q30" s="218"/>
      <c r="R30" s="219"/>
      <c r="S30" s="213"/>
      <c r="T30" s="1"/>
    </row>
    <row r="31" spans="1:20" ht="14">
      <c r="A31" s="1"/>
      <c r="B31" s="218"/>
      <c r="C31" s="219"/>
      <c r="D31" s="213"/>
      <c r="E31" s="74" t="s">
        <v>224</v>
      </c>
      <c r="F31" s="206" t="s">
        <v>236</v>
      </c>
      <c r="G31" s="207"/>
      <c r="H31" s="74">
        <v>3</v>
      </c>
      <c r="I31" s="74" t="s">
        <v>226</v>
      </c>
      <c r="J31" s="74">
        <f t="shared" si="0"/>
        <v>3</v>
      </c>
      <c r="K31" s="76"/>
      <c r="L31" s="75">
        <v>3</v>
      </c>
      <c r="M31" s="76"/>
      <c r="N31" s="76"/>
      <c r="O31" s="76"/>
      <c r="P31" s="76"/>
      <c r="Q31" s="218"/>
      <c r="R31" s="219"/>
      <c r="S31" s="213"/>
      <c r="T31" s="1"/>
    </row>
    <row r="32" spans="1:20" ht="14">
      <c r="A32" s="1"/>
      <c r="B32" s="218"/>
      <c r="C32" s="219"/>
      <c r="D32" s="209"/>
      <c r="E32" s="74" t="s">
        <v>165</v>
      </c>
      <c r="F32" s="206" t="s">
        <v>237</v>
      </c>
      <c r="G32" s="207"/>
      <c r="H32" s="74">
        <v>3</v>
      </c>
      <c r="I32" s="74" t="s">
        <v>226</v>
      </c>
      <c r="J32" s="74">
        <f t="shared" si="0"/>
        <v>2</v>
      </c>
      <c r="K32" s="76"/>
      <c r="L32" s="76"/>
      <c r="M32" s="76"/>
      <c r="N32" s="75">
        <v>2</v>
      </c>
      <c r="O32" s="102"/>
      <c r="P32" s="102"/>
      <c r="Q32" s="220"/>
      <c r="R32" s="221"/>
      <c r="S32" s="209"/>
      <c r="T32" s="1"/>
    </row>
    <row r="33" spans="1:20" ht="14">
      <c r="A33" s="1"/>
      <c r="B33" s="218"/>
      <c r="C33" s="219"/>
      <c r="D33" s="228" t="s">
        <v>238</v>
      </c>
      <c r="E33" s="74" t="s">
        <v>165</v>
      </c>
      <c r="F33" s="206" t="s">
        <v>239</v>
      </c>
      <c r="G33" s="207"/>
      <c r="H33" s="74">
        <v>3</v>
      </c>
      <c r="I33" s="74" t="s">
        <v>226</v>
      </c>
      <c r="J33" s="74">
        <f t="shared" si="0"/>
        <v>2</v>
      </c>
      <c r="K33" s="75">
        <v>2</v>
      </c>
      <c r="L33" s="76"/>
      <c r="M33" s="102"/>
      <c r="N33" s="102"/>
      <c r="O33" s="102"/>
      <c r="P33" s="102"/>
      <c r="Q33" s="216">
        <f>SUM(J33:J35)</f>
        <v>8</v>
      </c>
      <c r="R33" s="217"/>
      <c r="S33" s="215">
        <v>8</v>
      </c>
      <c r="T33" s="1"/>
    </row>
    <row r="34" spans="1:20" ht="14">
      <c r="A34" s="1"/>
      <c r="B34" s="218"/>
      <c r="C34" s="219"/>
      <c r="D34" s="213"/>
      <c r="E34" s="74" t="s">
        <v>224</v>
      </c>
      <c r="F34" s="229" t="s">
        <v>240</v>
      </c>
      <c r="G34" s="207"/>
      <c r="H34" s="74">
        <v>4</v>
      </c>
      <c r="I34" s="74" t="s">
        <v>167</v>
      </c>
      <c r="J34" s="74">
        <f t="shared" si="0"/>
        <v>3</v>
      </c>
      <c r="K34" s="103">
        <v>3</v>
      </c>
      <c r="L34" s="75"/>
      <c r="M34" s="102"/>
      <c r="N34" s="102"/>
      <c r="O34" s="102"/>
      <c r="P34" s="102"/>
      <c r="Q34" s="218"/>
      <c r="R34" s="219"/>
      <c r="S34" s="213"/>
      <c r="T34" s="1"/>
    </row>
    <row r="35" spans="1:20" ht="14">
      <c r="A35" s="1"/>
      <c r="B35" s="220"/>
      <c r="C35" s="221"/>
      <c r="D35" s="209"/>
      <c r="E35" s="74" t="s">
        <v>224</v>
      </c>
      <c r="F35" s="229" t="s">
        <v>241</v>
      </c>
      <c r="G35" s="207"/>
      <c r="H35" s="74">
        <v>4</v>
      </c>
      <c r="I35" s="74" t="s">
        <v>167</v>
      </c>
      <c r="J35" s="74">
        <f t="shared" si="0"/>
        <v>3</v>
      </c>
      <c r="K35" s="75"/>
      <c r="L35" s="103">
        <v>3</v>
      </c>
      <c r="M35" s="102"/>
      <c r="N35" s="102"/>
      <c r="O35" s="102"/>
      <c r="P35" s="102"/>
      <c r="Q35" s="220"/>
      <c r="R35" s="221"/>
      <c r="S35" s="209"/>
      <c r="T35" s="1"/>
    </row>
    <row r="36" spans="1:20" ht="14">
      <c r="A36" s="1"/>
      <c r="B36" s="223" t="s">
        <v>242</v>
      </c>
      <c r="C36" s="211"/>
      <c r="D36" s="211"/>
      <c r="E36" s="211"/>
      <c r="F36" s="211"/>
      <c r="G36" s="207"/>
      <c r="H36" s="104"/>
      <c r="I36" s="105"/>
      <c r="J36" s="104">
        <f t="shared" ref="J36:Q36" si="2">SUM(J9:J35)</f>
        <v>72</v>
      </c>
      <c r="K36" s="104">
        <f t="shared" si="2"/>
        <v>25</v>
      </c>
      <c r="L36" s="104">
        <f t="shared" si="2"/>
        <v>23</v>
      </c>
      <c r="M36" s="104">
        <f t="shared" si="2"/>
        <v>13</v>
      </c>
      <c r="N36" s="104">
        <f t="shared" si="2"/>
        <v>10</v>
      </c>
      <c r="O36" s="104">
        <f t="shared" si="2"/>
        <v>1</v>
      </c>
      <c r="P36" s="104">
        <f t="shared" si="2"/>
        <v>0</v>
      </c>
      <c r="Q36" s="223">
        <f t="shared" si="2"/>
        <v>72</v>
      </c>
      <c r="R36" s="207"/>
      <c r="S36" s="106">
        <v>64</v>
      </c>
      <c r="T36" s="1"/>
    </row>
    <row r="37" spans="1:20" ht="14">
      <c r="A37" s="1"/>
      <c r="B37" s="224" t="s">
        <v>247</v>
      </c>
      <c r="C37" s="217"/>
      <c r="D37" s="107"/>
      <c r="E37" s="74" t="s">
        <v>250</v>
      </c>
      <c r="F37" s="206" t="s">
        <v>251</v>
      </c>
      <c r="G37" s="207"/>
      <c r="H37" s="108"/>
      <c r="I37" s="109" t="s">
        <v>252</v>
      </c>
      <c r="J37" s="74">
        <f t="shared" ref="J37:J72" si="3">SUM(K37:P37)</f>
        <v>2</v>
      </c>
      <c r="K37" s="110"/>
      <c r="L37" s="110"/>
      <c r="M37" s="112"/>
      <c r="N37" s="112"/>
      <c r="O37" s="110">
        <v>2</v>
      </c>
      <c r="P37" s="112"/>
      <c r="Q37" s="216">
        <f>SUM(J37:J41)+(SUM(J42:J72)/3)</f>
        <v>102</v>
      </c>
      <c r="R37" s="217"/>
      <c r="S37" s="215">
        <v>80</v>
      </c>
      <c r="T37" s="1"/>
    </row>
    <row r="38" spans="1:20" ht="14">
      <c r="A38" s="1"/>
      <c r="B38" s="218"/>
      <c r="C38" s="219"/>
      <c r="D38" s="107" t="s">
        <v>113</v>
      </c>
      <c r="E38" s="74" t="s">
        <v>253</v>
      </c>
      <c r="F38" s="229" t="s">
        <v>254</v>
      </c>
      <c r="G38" s="207"/>
      <c r="H38" s="108"/>
      <c r="I38" s="109" t="s">
        <v>252</v>
      </c>
      <c r="J38" s="74">
        <f t="shared" si="3"/>
        <v>2</v>
      </c>
      <c r="K38" s="112"/>
      <c r="L38" s="113">
        <v>2</v>
      </c>
      <c r="M38" s="112"/>
      <c r="N38" s="112"/>
      <c r="O38" s="112"/>
      <c r="P38" s="112"/>
      <c r="Q38" s="218"/>
      <c r="R38" s="219"/>
      <c r="S38" s="213"/>
      <c r="T38" s="1"/>
    </row>
    <row r="39" spans="1:20" ht="14">
      <c r="A39" s="1"/>
      <c r="B39" s="218"/>
      <c r="C39" s="219"/>
      <c r="D39" s="107" t="s">
        <v>255</v>
      </c>
      <c r="E39" s="74" t="s">
        <v>253</v>
      </c>
      <c r="F39" s="231" t="s">
        <v>256</v>
      </c>
      <c r="G39" s="207"/>
      <c r="H39" s="108"/>
      <c r="I39" s="109" t="s">
        <v>252</v>
      </c>
      <c r="J39" s="74">
        <f t="shared" si="3"/>
        <v>2</v>
      </c>
      <c r="K39" s="112"/>
      <c r="L39" s="110"/>
      <c r="M39" s="113">
        <v>2</v>
      </c>
      <c r="N39" s="112"/>
      <c r="O39" s="112"/>
      <c r="P39" s="112"/>
      <c r="Q39" s="218"/>
      <c r="R39" s="219"/>
      <c r="S39" s="213"/>
      <c r="T39" s="1"/>
    </row>
    <row r="40" spans="1:20" ht="14">
      <c r="A40" s="1"/>
      <c r="B40" s="218"/>
      <c r="C40" s="219"/>
      <c r="D40" s="107" t="s">
        <v>255</v>
      </c>
      <c r="E40" s="74" t="s">
        <v>253</v>
      </c>
      <c r="F40" s="229" t="s">
        <v>258</v>
      </c>
      <c r="G40" s="207"/>
      <c r="H40" s="108"/>
      <c r="I40" s="109" t="s">
        <v>252</v>
      </c>
      <c r="J40" s="74">
        <f t="shared" si="3"/>
        <v>2</v>
      </c>
      <c r="K40" s="112"/>
      <c r="L40" s="112"/>
      <c r="M40" s="113">
        <v>2</v>
      </c>
      <c r="N40" s="110"/>
      <c r="O40" s="112"/>
      <c r="P40" s="112"/>
      <c r="Q40" s="218"/>
      <c r="R40" s="219"/>
      <c r="S40" s="213"/>
      <c r="T40" s="1"/>
    </row>
    <row r="41" spans="1:20" ht="14">
      <c r="A41" s="1"/>
      <c r="B41" s="218"/>
      <c r="C41" s="219"/>
      <c r="D41" s="107" t="s">
        <v>255</v>
      </c>
      <c r="E41" s="74" t="s">
        <v>260</v>
      </c>
      <c r="F41" s="232" t="s">
        <v>23</v>
      </c>
      <c r="G41" s="207"/>
      <c r="H41" s="115"/>
      <c r="I41" s="109" t="s">
        <v>252</v>
      </c>
      <c r="J41" s="74">
        <f t="shared" si="3"/>
        <v>8</v>
      </c>
      <c r="K41" s="116">
        <v>4</v>
      </c>
      <c r="L41" s="116">
        <v>4</v>
      </c>
      <c r="M41" s="112"/>
      <c r="N41" s="112"/>
      <c r="O41" s="112"/>
      <c r="P41" s="110"/>
      <c r="Q41" s="218"/>
      <c r="R41" s="219"/>
      <c r="S41" s="213"/>
      <c r="T41" s="1"/>
    </row>
    <row r="42" spans="1:20" ht="14">
      <c r="A42" s="1"/>
      <c r="B42" s="218"/>
      <c r="C42" s="219"/>
      <c r="D42" s="107" t="s">
        <v>255</v>
      </c>
      <c r="E42" s="74" t="s">
        <v>253</v>
      </c>
      <c r="F42" s="117" t="s">
        <v>262</v>
      </c>
      <c r="G42" s="296" t="s">
        <v>532</v>
      </c>
      <c r="H42" s="108"/>
      <c r="I42" s="109" t="s">
        <v>252</v>
      </c>
      <c r="J42" s="74">
        <f t="shared" si="3"/>
        <v>2</v>
      </c>
      <c r="K42" s="118"/>
      <c r="L42" s="118"/>
      <c r="M42" s="119">
        <v>2</v>
      </c>
      <c r="N42" s="120"/>
      <c r="O42" s="120"/>
      <c r="P42" s="121"/>
      <c r="Q42" s="218"/>
      <c r="R42" s="219"/>
      <c r="S42" s="213"/>
      <c r="T42" s="1"/>
    </row>
    <row r="43" spans="1:20" ht="14">
      <c r="A43" s="1"/>
      <c r="B43" s="218"/>
      <c r="C43" s="219"/>
      <c r="D43" s="107" t="s">
        <v>255</v>
      </c>
      <c r="E43" s="74" t="s">
        <v>253</v>
      </c>
      <c r="F43" s="117" t="s">
        <v>263</v>
      </c>
      <c r="G43" s="213"/>
      <c r="H43" s="108"/>
      <c r="I43" s="109" t="s">
        <v>252</v>
      </c>
      <c r="J43" s="74">
        <f t="shared" si="3"/>
        <v>6</v>
      </c>
      <c r="K43" s="118"/>
      <c r="L43" s="118"/>
      <c r="M43" s="121"/>
      <c r="N43" s="119">
        <v>6</v>
      </c>
      <c r="O43" s="120"/>
      <c r="P43" s="121"/>
      <c r="Q43" s="218"/>
      <c r="R43" s="219"/>
      <c r="S43" s="213"/>
      <c r="T43" s="1"/>
    </row>
    <row r="44" spans="1:20" ht="14">
      <c r="A44" s="1"/>
      <c r="B44" s="218"/>
      <c r="C44" s="219"/>
      <c r="D44" s="122" t="s">
        <v>113</v>
      </c>
      <c r="E44" s="74" t="s">
        <v>260</v>
      </c>
      <c r="F44" s="123" t="s">
        <v>150</v>
      </c>
      <c r="G44" s="213"/>
      <c r="H44" s="108"/>
      <c r="I44" s="109" t="s">
        <v>252</v>
      </c>
      <c r="J44" s="74">
        <f t="shared" si="3"/>
        <v>12</v>
      </c>
      <c r="K44" s="118"/>
      <c r="L44" s="118"/>
      <c r="M44" s="121"/>
      <c r="N44" s="120"/>
      <c r="O44" s="119">
        <v>6</v>
      </c>
      <c r="P44" s="119">
        <v>6</v>
      </c>
      <c r="Q44" s="218"/>
      <c r="R44" s="219"/>
      <c r="S44" s="213"/>
      <c r="T44" s="1"/>
    </row>
    <row r="45" spans="1:20" ht="14">
      <c r="A45" s="1"/>
      <c r="B45" s="218"/>
      <c r="C45" s="219"/>
      <c r="D45" s="122" t="s">
        <v>113</v>
      </c>
      <c r="E45" s="74" t="s">
        <v>260</v>
      </c>
      <c r="F45" s="124" t="s">
        <v>264</v>
      </c>
      <c r="G45" s="213"/>
      <c r="H45" s="108"/>
      <c r="I45" s="109" t="s">
        <v>252</v>
      </c>
      <c r="J45" s="74">
        <f t="shared" si="3"/>
        <v>13</v>
      </c>
      <c r="K45" s="118"/>
      <c r="L45" s="118"/>
      <c r="M45" s="120"/>
      <c r="N45" s="125">
        <v>5</v>
      </c>
      <c r="O45" s="120">
        <v>8</v>
      </c>
      <c r="P45" s="121"/>
      <c r="Q45" s="218"/>
      <c r="R45" s="219"/>
      <c r="S45" s="213"/>
      <c r="T45" s="1"/>
    </row>
    <row r="46" spans="1:20" ht="14">
      <c r="A46" s="1"/>
      <c r="B46" s="218"/>
      <c r="C46" s="219"/>
      <c r="D46" s="122" t="s">
        <v>113</v>
      </c>
      <c r="E46" s="74" t="s">
        <v>260</v>
      </c>
      <c r="F46" s="124" t="s">
        <v>265</v>
      </c>
      <c r="G46" s="213"/>
      <c r="H46" s="108"/>
      <c r="I46" s="109" t="s">
        <v>252</v>
      </c>
      <c r="J46" s="74">
        <f t="shared" si="3"/>
        <v>18</v>
      </c>
      <c r="K46" s="118"/>
      <c r="L46" s="118"/>
      <c r="M46" s="125">
        <v>10</v>
      </c>
      <c r="N46" s="125">
        <v>8</v>
      </c>
      <c r="O46" s="120"/>
      <c r="P46" s="121"/>
      <c r="Q46" s="218"/>
      <c r="R46" s="219"/>
      <c r="S46" s="213"/>
      <c r="T46" s="1"/>
    </row>
    <row r="47" spans="1:20" ht="14">
      <c r="A47" s="1"/>
      <c r="B47" s="218"/>
      <c r="C47" s="219"/>
      <c r="D47" s="122" t="s">
        <v>113</v>
      </c>
      <c r="E47" s="74" t="s">
        <v>260</v>
      </c>
      <c r="F47" s="126" t="s">
        <v>266</v>
      </c>
      <c r="G47" s="213"/>
      <c r="H47" s="115" t="s">
        <v>267</v>
      </c>
      <c r="I47" s="109" t="s">
        <v>252</v>
      </c>
      <c r="J47" s="74">
        <f t="shared" si="3"/>
        <v>12</v>
      </c>
      <c r="K47" s="118"/>
      <c r="L47" s="118"/>
      <c r="M47" s="121"/>
      <c r="N47" s="120"/>
      <c r="O47" s="120">
        <v>6</v>
      </c>
      <c r="P47" s="120">
        <v>6</v>
      </c>
      <c r="Q47" s="218"/>
      <c r="R47" s="219"/>
      <c r="S47" s="213"/>
      <c r="T47" s="1"/>
    </row>
    <row r="48" spans="1:20" ht="14">
      <c r="A48" s="1"/>
      <c r="B48" s="218"/>
      <c r="C48" s="219"/>
      <c r="D48" s="122" t="s">
        <v>113</v>
      </c>
      <c r="E48" s="74" t="s">
        <v>260</v>
      </c>
      <c r="F48" s="60" t="s">
        <v>268</v>
      </c>
      <c r="G48" s="213"/>
      <c r="H48" s="233" t="s">
        <v>267</v>
      </c>
      <c r="I48" s="109" t="s">
        <v>252</v>
      </c>
      <c r="J48" s="74">
        <f t="shared" si="3"/>
        <v>12</v>
      </c>
      <c r="K48" s="118"/>
      <c r="L48" s="118"/>
      <c r="M48" s="120"/>
      <c r="N48" s="120"/>
      <c r="O48" s="128">
        <v>6</v>
      </c>
      <c r="P48" s="128">
        <v>6</v>
      </c>
      <c r="Q48" s="218"/>
      <c r="R48" s="219"/>
      <c r="S48" s="213"/>
      <c r="T48" s="1"/>
    </row>
    <row r="49" spans="1:20" ht="14">
      <c r="A49" s="1"/>
      <c r="B49" s="218"/>
      <c r="C49" s="219"/>
      <c r="D49" s="122" t="s">
        <v>269</v>
      </c>
      <c r="E49" s="74" t="s">
        <v>253</v>
      </c>
      <c r="F49" s="129" t="s">
        <v>270</v>
      </c>
      <c r="G49" s="213"/>
      <c r="H49" s="213"/>
      <c r="I49" s="109" t="s">
        <v>252</v>
      </c>
      <c r="J49" s="74">
        <f t="shared" si="3"/>
        <v>0</v>
      </c>
      <c r="K49" s="118"/>
      <c r="L49" s="118"/>
      <c r="M49" s="120"/>
      <c r="N49" s="120"/>
      <c r="O49" s="130" t="s">
        <v>271</v>
      </c>
      <c r="P49" s="120"/>
      <c r="Q49" s="218"/>
      <c r="R49" s="219"/>
      <c r="S49" s="213"/>
      <c r="T49" s="1"/>
    </row>
    <row r="50" spans="1:20" ht="14">
      <c r="A50" s="1"/>
      <c r="B50" s="218"/>
      <c r="C50" s="219"/>
      <c r="D50" s="122" t="s">
        <v>272</v>
      </c>
      <c r="E50" s="74" t="s">
        <v>253</v>
      </c>
      <c r="F50" s="129" t="s">
        <v>273</v>
      </c>
      <c r="G50" s="213"/>
      <c r="H50" s="213"/>
      <c r="I50" s="109" t="s">
        <v>252</v>
      </c>
      <c r="J50" s="74">
        <f t="shared" si="3"/>
        <v>0</v>
      </c>
      <c r="K50" s="118"/>
      <c r="L50" s="118"/>
      <c r="M50" s="120"/>
      <c r="N50" s="120"/>
      <c r="O50" s="130" t="s">
        <v>274</v>
      </c>
      <c r="P50" s="121"/>
      <c r="Q50" s="218"/>
      <c r="R50" s="219"/>
      <c r="S50" s="213"/>
      <c r="T50" s="1"/>
    </row>
    <row r="51" spans="1:20" ht="14">
      <c r="A51" s="1"/>
      <c r="B51" s="218"/>
      <c r="C51" s="219"/>
      <c r="D51" s="122" t="s">
        <v>269</v>
      </c>
      <c r="E51" s="74" t="s">
        <v>253</v>
      </c>
      <c r="F51" s="129" t="s">
        <v>275</v>
      </c>
      <c r="G51" s="213"/>
      <c r="H51" s="209"/>
      <c r="I51" s="109" t="s">
        <v>252</v>
      </c>
      <c r="J51" s="74">
        <f t="shared" si="3"/>
        <v>0</v>
      </c>
      <c r="K51" s="118"/>
      <c r="L51" s="118"/>
      <c r="M51" s="121"/>
      <c r="N51" s="120"/>
      <c r="O51" s="120"/>
      <c r="P51" s="130" t="s">
        <v>271</v>
      </c>
      <c r="Q51" s="218"/>
      <c r="R51" s="219"/>
      <c r="S51" s="213"/>
      <c r="T51" s="1"/>
    </row>
    <row r="52" spans="1:20" ht="14">
      <c r="A52" s="1"/>
      <c r="B52" s="218"/>
      <c r="C52" s="219"/>
      <c r="D52" s="122" t="s">
        <v>272</v>
      </c>
      <c r="E52" s="74" t="s">
        <v>253</v>
      </c>
      <c r="F52" s="129" t="s">
        <v>276</v>
      </c>
      <c r="G52" s="213"/>
      <c r="H52" s="108"/>
      <c r="I52" s="109" t="s">
        <v>252</v>
      </c>
      <c r="J52" s="74">
        <f t="shared" si="3"/>
        <v>0</v>
      </c>
      <c r="K52" s="118"/>
      <c r="L52" s="118"/>
      <c r="M52" s="120"/>
      <c r="N52" s="120"/>
      <c r="O52" s="120"/>
      <c r="P52" s="130" t="s">
        <v>274</v>
      </c>
      <c r="Q52" s="218"/>
      <c r="R52" s="219"/>
      <c r="S52" s="213"/>
      <c r="T52" s="1"/>
    </row>
    <row r="53" spans="1:20" ht="14">
      <c r="A53" s="1"/>
      <c r="B53" s="218"/>
      <c r="C53" s="219"/>
      <c r="D53" s="122" t="s">
        <v>277</v>
      </c>
      <c r="E53" s="74" t="s">
        <v>260</v>
      </c>
      <c r="F53" s="131" t="s">
        <v>122</v>
      </c>
      <c r="G53" s="209"/>
      <c r="H53" s="108"/>
      <c r="I53" s="109" t="s">
        <v>252</v>
      </c>
      <c r="J53" s="74">
        <f t="shared" si="3"/>
        <v>11</v>
      </c>
      <c r="K53" s="118"/>
      <c r="L53" s="118"/>
      <c r="M53" s="121"/>
      <c r="N53" s="120"/>
      <c r="O53" s="120"/>
      <c r="P53" s="120">
        <v>11</v>
      </c>
      <c r="Q53" s="218"/>
      <c r="R53" s="219"/>
      <c r="S53" s="213"/>
      <c r="T53" s="1"/>
    </row>
    <row r="54" spans="1:20" ht="14">
      <c r="A54" s="1"/>
      <c r="B54" s="218"/>
      <c r="C54" s="219"/>
      <c r="D54" s="122" t="s">
        <v>255</v>
      </c>
      <c r="E54" s="74" t="s">
        <v>253</v>
      </c>
      <c r="F54" s="132" t="s">
        <v>262</v>
      </c>
      <c r="G54" s="295" t="s">
        <v>531</v>
      </c>
      <c r="H54" s="108"/>
      <c r="I54" s="109" t="s">
        <v>252</v>
      </c>
      <c r="J54" s="74">
        <f t="shared" si="3"/>
        <v>2</v>
      </c>
      <c r="K54" s="133"/>
      <c r="L54" s="133"/>
      <c r="M54" s="119">
        <v>2</v>
      </c>
      <c r="N54" s="134"/>
      <c r="O54" s="134"/>
      <c r="P54" s="135"/>
      <c r="Q54" s="218"/>
      <c r="R54" s="219"/>
      <c r="S54" s="213"/>
      <c r="T54" s="1"/>
    </row>
    <row r="55" spans="1:20" ht="14">
      <c r="A55" s="1"/>
      <c r="B55" s="218"/>
      <c r="C55" s="219"/>
      <c r="D55" s="122" t="s">
        <v>255</v>
      </c>
      <c r="E55" s="74" t="s">
        <v>253</v>
      </c>
      <c r="F55" s="132" t="s">
        <v>263</v>
      </c>
      <c r="G55" s="213"/>
      <c r="H55" s="108"/>
      <c r="I55" s="109" t="s">
        <v>252</v>
      </c>
      <c r="J55" s="74">
        <f t="shared" si="3"/>
        <v>6</v>
      </c>
      <c r="K55" s="133"/>
      <c r="L55" s="133"/>
      <c r="M55" s="135"/>
      <c r="N55" s="119">
        <v>6</v>
      </c>
      <c r="O55" s="134"/>
      <c r="P55" s="135"/>
      <c r="Q55" s="218"/>
      <c r="R55" s="219"/>
      <c r="S55" s="213"/>
      <c r="T55" s="1"/>
    </row>
    <row r="56" spans="1:20" ht="14">
      <c r="A56" s="1"/>
      <c r="B56" s="218"/>
      <c r="C56" s="219"/>
      <c r="D56" s="122" t="s">
        <v>113</v>
      </c>
      <c r="E56" s="74" t="s">
        <v>260</v>
      </c>
      <c r="F56" s="136" t="s">
        <v>150</v>
      </c>
      <c r="G56" s="213"/>
      <c r="H56" s="108"/>
      <c r="I56" s="109" t="s">
        <v>252</v>
      </c>
      <c r="J56" s="74">
        <f t="shared" si="3"/>
        <v>12</v>
      </c>
      <c r="K56" s="133"/>
      <c r="L56" s="133"/>
      <c r="M56" s="135"/>
      <c r="N56" s="134"/>
      <c r="O56" s="119">
        <v>6</v>
      </c>
      <c r="P56" s="119">
        <v>6</v>
      </c>
      <c r="Q56" s="218"/>
      <c r="R56" s="219"/>
      <c r="S56" s="213"/>
      <c r="T56" s="1"/>
    </row>
    <row r="57" spans="1:20" ht="14">
      <c r="A57" s="1"/>
      <c r="B57" s="218"/>
      <c r="C57" s="219"/>
      <c r="D57" s="122" t="s">
        <v>113</v>
      </c>
      <c r="E57" s="74" t="s">
        <v>260</v>
      </c>
      <c r="F57" s="137" t="s">
        <v>60</v>
      </c>
      <c r="G57" s="213"/>
      <c r="H57" s="108"/>
      <c r="I57" s="109" t="s">
        <v>252</v>
      </c>
      <c r="J57" s="74">
        <f t="shared" si="3"/>
        <v>17</v>
      </c>
      <c r="K57" s="133"/>
      <c r="L57" s="133"/>
      <c r="M57" s="125">
        <v>10</v>
      </c>
      <c r="N57" s="125">
        <v>7</v>
      </c>
      <c r="O57" s="134"/>
      <c r="P57" s="134"/>
      <c r="Q57" s="218"/>
      <c r="R57" s="219"/>
      <c r="S57" s="213"/>
      <c r="T57" s="1"/>
    </row>
    <row r="58" spans="1:20" ht="14">
      <c r="A58" s="1"/>
      <c r="B58" s="218"/>
      <c r="C58" s="219"/>
      <c r="D58" s="122" t="s">
        <v>113</v>
      </c>
      <c r="E58" s="74" t="s">
        <v>260</v>
      </c>
      <c r="F58" s="137" t="s">
        <v>102</v>
      </c>
      <c r="G58" s="213"/>
      <c r="H58" s="108"/>
      <c r="I58" s="109" t="s">
        <v>252</v>
      </c>
      <c r="J58" s="74">
        <f t="shared" si="3"/>
        <v>11</v>
      </c>
      <c r="K58" s="133"/>
      <c r="L58" s="133"/>
      <c r="M58" s="134"/>
      <c r="N58" s="125">
        <v>3</v>
      </c>
      <c r="O58" s="134">
        <v>8</v>
      </c>
      <c r="P58" s="135"/>
      <c r="Q58" s="218"/>
      <c r="R58" s="219"/>
      <c r="S58" s="213"/>
      <c r="T58" s="1"/>
    </row>
    <row r="59" spans="1:20" ht="14">
      <c r="A59" s="1"/>
      <c r="B59" s="218"/>
      <c r="C59" s="219"/>
      <c r="D59" s="122" t="s">
        <v>113</v>
      </c>
      <c r="E59" s="74" t="s">
        <v>260</v>
      </c>
      <c r="F59" s="137" t="s">
        <v>82</v>
      </c>
      <c r="G59" s="213"/>
      <c r="H59" s="108"/>
      <c r="I59" s="109" t="s">
        <v>252</v>
      </c>
      <c r="J59" s="74">
        <f t="shared" si="3"/>
        <v>3</v>
      </c>
      <c r="K59" s="133"/>
      <c r="L59" s="133"/>
      <c r="M59" s="135"/>
      <c r="N59" s="125">
        <v>3</v>
      </c>
      <c r="O59" s="134"/>
      <c r="P59" s="135"/>
      <c r="Q59" s="218"/>
      <c r="R59" s="219"/>
      <c r="S59" s="213"/>
      <c r="T59" s="1"/>
    </row>
    <row r="60" spans="1:20" ht="14">
      <c r="A60" s="1"/>
      <c r="B60" s="218"/>
      <c r="C60" s="219"/>
      <c r="D60" s="122" t="s">
        <v>113</v>
      </c>
      <c r="E60" s="74" t="s">
        <v>260</v>
      </c>
      <c r="F60" s="324" t="s">
        <v>159</v>
      </c>
      <c r="G60" s="213"/>
      <c r="H60" s="115" t="s">
        <v>278</v>
      </c>
      <c r="I60" s="109" t="s">
        <v>252</v>
      </c>
      <c r="J60" s="74">
        <f t="shared" si="3"/>
        <v>12</v>
      </c>
      <c r="K60" s="133"/>
      <c r="L60" s="133"/>
      <c r="M60" s="134"/>
      <c r="N60" s="134"/>
      <c r="O60" s="134">
        <v>12</v>
      </c>
      <c r="P60" s="134"/>
      <c r="Q60" s="218"/>
      <c r="R60" s="219"/>
      <c r="S60" s="213"/>
      <c r="T60" s="1"/>
    </row>
    <row r="61" spans="1:20" ht="14">
      <c r="A61" s="1"/>
      <c r="B61" s="218"/>
      <c r="C61" s="219"/>
      <c r="D61" s="122" t="s">
        <v>269</v>
      </c>
      <c r="E61" s="74" t="s">
        <v>253</v>
      </c>
      <c r="F61" s="129" t="s">
        <v>270</v>
      </c>
      <c r="G61" s="213"/>
      <c r="H61" s="233" t="s">
        <v>278</v>
      </c>
      <c r="I61" s="109" t="s">
        <v>252</v>
      </c>
      <c r="J61" s="74">
        <f t="shared" si="3"/>
        <v>0</v>
      </c>
      <c r="K61" s="133"/>
      <c r="L61" s="133"/>
      <c r="M61" s="135"/>
      <c r="N61" s="134"/>
      <c r="O61" s="138" t="s">
        <v>271</v>
      </c>
      <c r="P61" s="134"/>
      <c r="Q61" s="218"/>
      <c r="R61" s="219"/>
      <c r="S61" s="213"/>
      <c r="T61" s="1"/>
    </row>
    <row r="62" spans="1:20" ht="14">
      <c r="A62" s="1"/>
      <c r="B62" s="218"/>
      <c r="C62" s="219"/>
      <c r="D62" s="122" t="s">
        <v>272</v>
      </c>
      <c r="E62" s="74" t="s">
        <v>253</v>
      </c>
      <c r="F62" s="129" t="s">
        <v>273</v>
      </c>
      <c r="G62" s="213"/>
      <c r="H62" s="213"/>
      <c r="I62" s="109" t="s">
        <v>252</v>
      </c>
      <c r="J62" s="74">
        <f t="shared" si="3"/>
        <v>0</v>
      </c>
      <c r="K62" s="133"/>
      <c r="L62" s="133"/>
      <c r="M62" s="135"/>
      <c r="N62" s="134"/>
      <c r="O62" s="138" t="s">
        <v>274</v>
      </c>
      <c r="P62" s="134"/>
      <c r="Q62" s="218"/>
      <c r="R62" s="219"/>
      <c r="S62" s="213"/>
      <c r="T62" s="1"/>
    </row>
    <row r="63" spans="1:20" ht="14">
      <c r="A63" s="1"/>
      <c r="B63" s="218"/>
      <c r="C63" s="219"/>
      <c r="D63" s="122" t="s">
        <v>113</v>
      </c>
      <c r="E63" s="74" t="s">
        <v>260</v>
      </c>
      <c r="F63" s="129" t="s">
        <v>191</v>
      </c>
      <c r="G63" s="213"/>
      <c r="H63" s="115" t="s">
        <v>279</v>
      </c>
      <c r="I63" s="109" t="s">
        <v>252</v>
      </c>
      <c r="J63" s="74">
        <f t="shared" si="3"/>
        <v>12</v>
      </c>
      <c r="K63" s="133"/>
      <c r="L63" s="133"/>
      <c r="M63" s="135"/>
      <c r="N63" s="134"/>
      <c r="O63" s="134"/>
      <c r="P63" s="134">
        <v>12</v>
      </c>
      <c r="Q63" s="218"/>
      <c r="R63" s="219"/>
      <c r="S63" s="213"/>
      <c r="T63" s="1"/>
    </row>
    <row r="64" spans="1:20" ht="14">
      <c r="A64" s="1"/>
      <c r="B64" s="218"/>
      <c r="C64" s="219"/>
      <c r="D64" s="122" t="s">
        <v>269</v>
      </c>
      <c r="E64" s="74" t="s">
        <v>253</v>
      </c>
      <c r="F64" s="129" t="s">
        <v>275</v>
      </c>
      <c r="G64" s="213"/>
      <c r="H64" s="233" t="s">
        <v>279</v>
      </c>
      <c r="I64" s="109" t="s">
        <v>252</v>
      </c>
      <c r="J64" s="74">
        <f t="shared" si="3"/>
        <v>0</v>
      </c>
      <c r="K64" s="133"/>
      <c r="L64" s="133"/>
      <c r="M64" s="135"/>
      <c r="N64" s="134"/>
      <c r="O64" s="134"/>
      <c r="P64" s="138" t="s">
        <v>271</v>
      </c>
      <c r="Q64" s="218"/>
      <c r="R64" s="219"/>
      <c r="S64" s="213"/>
      <c r="T64" s="1"/>
    </row>
    <row r="65" spans="1:20" ht="14">
      <c r="A65" s="1"/>
      <c r="B65" s="218"/>
      <c r="C65" s="219"/>
      <c r="D65" s="122" t="s">
        <v>272</v>
      </c>
      <c r="E65" s="74" t="s">
        <v>253</v>
      </c>
      <c r="F65" s="129" t="s">
        <v>276</v>
      </c>
      <c r="G65" s="213"/>
      <c r="H65" s="209"/>
      <c r="I65" s="109" t="s">
        <v>252</v>
      </c>
      <c r="J65" s="74">
        <f t="shared" si="3"/>
        <v>0</v>
      </c>
      <c r="K65" s="133"/>
      <c r="L65" s="133"/>
      <c r="M65" s="135"/>
      <c r="N65" s="134"/>
      <c r="O65" s="134"/>
      <c r="P65" s="138" t="s">
        <v>274</v>
      </c>
      <c r="Q65" s="218"/>
      <c r="R65" s="219"/>
      <c r="S65" s="213"/>
      <c r="T65" s="1"/>
    </row>
    <row r="66" spans="1:20" ht="14">
      <c r="A66" s="1"/>
      <c r="B66" s="218"/>
      <c r="C66" s="219"/>
      <c r="D66" s="107" t="s">
        <v>113</v>
      </c>
      <c r="E66" s="74" t="s">
        <v>260</v>
      </c>
      <c r="F66" s="139" t="s">
        <v>280</v>
      </c>
      <c r="G66" s="209"/>
      <c r="H66" s="127"/>
      <c r="I66" s="109" t="s">
        <v>252</v>
      </c>
      <c r="J66" s="74">
        <f t="shared" si="3"/>
        <v>11</v>
      </c>
      <c r="K66" s="133"/>
      <c r="L66" s="133"/>
      <c r="M66" s="135"/>
      <c r="N66" s="134"/>
      <c r="O66" s="134"/>
      <c r="P66" s="134">
        <v>11</v>
      </c>
      <c r="Q66" s="218"/>
      <c r="R66" s="219"/>
      <c r="S66" s="213"/>
      <c r="T66" s="1"/>
    </row>
    <row r="67" spans="1:20" ht="14">
      <c r="A67" s="1"/>
      <c r="B67" s="218"/>
      <c r="C67" s="219"/>
      <c r="D67" s="107" t="s">
        <v>255</v>
      </c>
      <c r="E67" s="74" t="s">
        <v>253</v>
      </c>
      <c r="F67" s="117" t="s">
        <v>262</v>
      </c>
      <c r="G67" s="294" t="s">
        <v>530</v>
      </c>
      <c r="H67" s="108"/>
      <c r="I67" s="109" t="s">
        <v>252</v>
      </c>
      <c r="J67" s="74">
        <f t="shared" si="3"/>
        <v>2</v>
      </c>
      <c r="K67" s="140"/>
      <c r="L67" s="140"/>
      <c r="M67" s="141"/>
      <c r="N67" s="119">
        <v>2</v>
      </c>
      <c r="O67" s="106"/>
      <c r="P67" s="141"/>
      <c r="Q67" s="218"/>
      <c r="R67" s="219"/>
      <c r="S67" s="213"/>
      <c r="T67" s="1"/>
    </row>
    <row r="68" spans="1:20" ht="14">
      <c r="A68" s="1"/>
      <c r="B68" s="218"/>
      <c r="C68" s="219"/>
      <c r="D68" s="107" t="s">
        <v>255</v>
      </c>
      <c r="E68" s="74" t="s">
        <v>253</v>
      </c>
      <c r="F68" s="117" t="s">
        <v>263</v>
      </c>
      <c r="G68" s="213"/>
      <c r="H68" s="108"/>
      <c r="I68" s="109" t="s">
        <v>252</v>
      </c>
      <c r="J68" s="74">
        <f t="shared" si="3"/>
        <v>2</v>
      </c>
      <c r="K68" s="140"/>
      <c r="L68" s="140"/>
      <c r="M68" s="141"/>
      <c r="N68" s="119">
        <v>2</v>
      </c>
      <c r="O68" s="106"/>
      <c r="P68" s="141"/>
      <c r="Q68" s="218"/>
      <c r="R68" s="219"/>
      <c r="S68" s="213"/>
      <c r="T68" s="1"/>
    </row>
    <row r="69" spans="1:20" ht="14">
      <c r="A69" s="1"/>
      <c r="B69" s="218"/>
      <c r="C69" s="219"/>
      <c r="D69" s="107" t="s">
        <v>277</v>
      </c>
      <c r="E69" s="74" t="s">
        <v>260</v>
      </c>
      <c r="F69" s="142" t="s">
        <v>122</v>
      </c>
      <c r="G69" s="213"/>
      <c r="H69" s="108"/>
      <c r="I69" s="109" t="s">
        <v>252</v>
      </c>
      <c r="J69" s="74">
        <f t="shared" si="3"/>
        <v>21</v>
      </c>
      <c r="K69" s="140"/>
      <c r="L69" s="140"/>
      <c r="M69" s="141"/>
      <c r="N69" s="106"/>
      <c r="O69" s="106">
        <v>4</v>
      </c>
      <c r="P69" s="106">
        <v>17</v>
      </c>
      <c r="Q69" s="218"/>
      <c r="R69" s="219"/>
      <c r="S69" s="213"/>
      <c r="T69" s="1"/>
    </row>
    <row r="70" spans="1:20" ht="14">
      <c r="A70" s="1"/>
      <c r="B70" s="218"/>
      <c r="C70" s="219"/>
      <c r="D70" s="107" t="s">
        <v>113</v>
      </c>
      <c r="E70" s="74" t="s">
        <v>260</v>
      </c>
      <c r="F70" s="126" t="s">
        <v>281</v>
      </c>
      <c r="G70" s="213"/>
      <c r="H70" s="108"/>
      <c r="I70" s="109" t="s">
        <v>252</v>
      </c>
      <c r="J70" s="74">
        <f t="shared" si="3"/>
        <v>17</v>
      </c>
      <c r="K70" s="140"/>
      <c r="L70" s="140"/>
      <c r="M70" s="106"/>
      <c r="N70" s="106"/>
      <c r="O70" s="106">
        <v>5</v>
      </c>
      <c r="P70" s="106">
        <v>12</v>
      </c>
      <c r="Q70" s="218"/>
      <c r="R70" s="219"/>
      <c r="S70" s="213"/>
      <c r="T70" s="1"/>
    </row>
    <row r="71" spans="1:20" ht="14">
      <c r="A71" s="1"/>
      <c r="B71" s="218"/>
      <c r="C71" s="219"/>
      <c r="D71" s="107" t="s">
        <v>113</v>
      </c>
      <c r="E71" s="74" t="s">
        <v>260</v>
      </c>
      <c r="F71" s="143" t="s">
        <v>257</v>
      </c>
      <c r="G71" s="213"/>
      <c r="H71" s="108"/>
      <c r="I71" s="109" t="s">
        <v>252</v>
      </c>
      <c r="J71" s="74">
        <f t="shared" si="3"/>
        <v>25</v>
      </c>
      <c r="K71" s="140"/>
      <c r="L71" s="140"/>
      <c r="M71" s="106"/>
      <c r="N71" s="125">
        <v>8</v>
      </c>
      <c r="O71" s="106">
        <v>17</v>
      </c>
      <c r="P71" s="141"/>
      <c r="Q71" s="218"/>
      <c r="R71" s="219"/>
      <c r="S71" s="213"/>
      <c r="T71" s="1"/>
    </row>
    <row r="72" spans="1:20" ht="14">
      <c r="A72" s="1"/>
      <c r="B72" s="220"/>
      <c r="C72" s="221"/>
      <c r="D72" s="107" t="s">
        <v>113</v>
      </c>
      <c r="E72" s="74" t="s">
        <v>260</v>
      </c>
      <c r="F72" s="124" t="s">
        <v>79</v>
      </c>
      <c r="G72" s="209"/>
      <c r="H72" s="108"/>
      <c r="I72" s="109" t="s">
        <v>252</v>
      </c>
      <c r="J72" s="74">
        <f t="shared" si="3"/>
        <v>19</v>
      </c>
      <c r="K72" s="140"/>
      <c r="L72" s="140"/>
      <c r="M72" s="125">
        <v>12</v>
      </c>
      <c r="N72" s="125">
        <v>7</v>
      </c>
      <c r="O72" s="106"/>
      <c r="P72" s="106"/>
      <c r="Q72" s="220"/>
      <c r="R72" s="221"/>
      <c r="S72" s="209"/>
      <c r="T72" s="1"/>
    </row>
    <row r="73" spans="1:20" ht="14">
      <c r="A73" s="1"/>
      <c r="B73" s="223" t="s">
        <v>282</v>
      </c>
      <c r="C73" s="211"/>
      <c r="D73" s="211"/>
      <c r="E73" s="211"/>
      <c r="F73" s="211"/>
      <c r="G73" s="207"/>
      <c r="H73" s="104"/>
      <c r="I73" s="104"/>
      <c r="J73" s="104">
        <f>SUM(J37:J41)+(SUM(J42:J72)/3)</f>
        <v>102</v>
      </c>
      <c r="K73" s="104">
        <f t="shared" ref="K73:L73" si="4">SUM(K37:K72)</f>
        <v>4</v>
      </c>
      <c r="L73" s="104">
        <f t="shared" si="4"/>
        <v>6</v>
      </c>
      <c r="M73" s="104">
        <f t="shared" ref="M73:P73" si="5">SUM(M37:M41)+(SUM(M67:M72))</f>
        <v>16</v>
      </c>
      <c r="N73" s="104">
        <f t="shared" si="5"/>
        <v>19</v>
      </c>
      <c r="O73" s="104">
        <f t="shared" si="5"/>
        <v>28</v>
      </c>
      <c r="P73" s="104">
        <f t="shared" si="5"/>
        <v>29</v>
      </c>
      <c r="Q73" s="223">
        <f>SUM(Q37:Q72)</f>
        <v>102</v>
      </c>
      <c r="R73" s="207"/>
      <c r="S73" s="106">
        <v>80</v>
      </c>
      <c r="T73" s="1"/>
    </row>
    <row r="74" spans="1:20" ht="14">
      <c r="A74" s="1"/>
      <c r="B74" s="223"/>
      <c r="C74" s="211"/>
      <c r="D74" s="211"/>
      <c r="E74" s="211"/>
      <c r="F74" s="211"/>
      <c r="G74" s="207"/>
      <c r="H74" s="104"/>
      <c r="I74" s="104"/>
      <c r="J74" s="104"/>
      <c r="K74" s="104">
        <f t="shared" ref="K74:Q74" si="6">SUM(K36,K73)</f>
        <v>29</v>
      </c>
      <c r="L74" s="104">
        <f t="shared" si="6"/>
        <v>29</v>
      </c>
      <c r="M74" s="104">
        <f t="shared" si="6"/>
        <v>29</v>
      </c>
      <c r="N74" s="104">
        <f t="shared" si="6"/>
        <v>29</v>
      </c>
      <c r="O74" s="104">
        <f t="shared" si="6"/>
        <v>29</v>
      </c>
      <c r="P74" s="104">
        <f t="shared" si="6"/>
        <v>29</v>
      </c>
      <c r="Q74" s="223">
        <f t="shared" si="6"/>
        <v>174</v>
      </c>
      <c r="R74" s="207"/>
      <c r="S74" s="106">
        <v>144</v>
      </c>
      <c r="T74" s="1"/>
    </row>
    <row r="75" spans="1:20" ht="14">
      <c r="A75" s="1"/>
      <c r="B75" s="216" t="s">
        <v>287</v>
      </c>
      <c r="C75" s="225"/>
      <c r="D75" s="225"/>
      <c r="E75" s="217"/>
      <c r="F75" s="222" t="s">
        <v>288</v>
      </c>
      <c r="G75" s="211"/>
      <c r="H75" s="211"/>
      <c r="I75" s="211"/>
      <c r="J75" s="207"/>
      <c r="K75" s="146">
        <v>16</v>
      </c>
      <c r="L75" s="146">
        <v>16</v>
      </c>
      <c r="M75" s="146">
        <v>16</v>
      </c>
      <c r="N75" s="146">
        <v>16</v>
      </c>
      <c r="O75" s="146">
        <v>16</v>
      </c>
      <c r="P75" s="146">
        <v>16</v>
      </c>
      <c r="Q75" s="216">
        <f>SUM(K75:P77)</f>
        <v>288</v>
      </c>
      <c r="R75" s="217"/>
      <c r="S75" s="215">
        <v>288</v>
      </c>
      <c r="T75" s="1"/>
    </row>
    <row r="76" spans="1:20" ht="14">
      <c r="A76" s="1"/>
      <c r="B76" s="218"/>
      <c r="C76" s="226"/>
      <c r="D76" s="226"/>
      <c r="E76" s="219"/>
      <c r="F76" s="222" t="s">
        <v>291</v>
      </c>
      <c r="G76" s="211"/>
      <c r="H76" s="211"/>
      <c r="I76" s="211"/>
      <c r="J76" s="207"/>
      <c r="K76" s="146">
        <v>16</v>
      </c>
      <c r="L76" s="146">
        <v>16</v>
      </c>
      <c r="M76" s="146">
        <v>16</v>
      </c>
      <c r="N76" s="146">
        <v>16</v>
      </c>
      <c r="O76" s="146">
        <v>16</v>
      </c>
      <c r="P76" s="146">
        <v>16</v>
      </c>
      <c r="Q76" s="218"/>
      <c r="R76" s="219"/>
      <c r="S76" s="213"/>
      <c r="T76" s="1"/>
    </row>
    <row r="77" spans="1:20" ht="14">
      <c r="A77" s="1"/>
      <c r="B77" s="218"/>
      <c r="C77" s="226"/>
      <c r="D77" s="226"/>
      <c r="E77" s="219"/>
      <c r="F77" s="222" t="s">
        <v>294</v>
      </c>
      <c r="G77" s="211"/>
      <c r="H77" s="211"/>
      <c r="I77" s="211"/>
      <c r="J77" s="207"/>
      <c r="K77" s="146">
        <v>16</v>
      </c>
      <c r="L77" s="146">
        <v>16</v>
      </c>
      <c r="M77" s="146">
        <v>16</v>
      </c>
      <c r="N77" s="146">
        <v>16</v>
      </c>
      <c r="O77" s="146">
        <v>16</v>
      </c>
      <c r="P77" s="146">
        <v>16</v>
      </c>
      <c r="Q77" s="220"/>
      <c r="R77" s="221"/>
      <c r="S77" s="209"/>
      <c r="T77" s="1"/>
    </row>
    <row r="78" spans="1:20" ht="14">
      <c r="A78" s="1"/>
      <c r="B78" s="220"/>
      <c r="C78" s="227"/>
      <c r="D78" s="227"/>
      <c r="E78" s="221"/>
      <c r="F78" s="222" t="s">
        <v>295</v>
      </c>
      <c r="G78" s="211"/>
      <c r="H78" s="211"/>
      <c r="I78" s="211"/>
      <c r="J78" s="207"/>
      <c r="K78" s="74">
        <v>3</v>
      </c>
      <c r="L78" s="74">
        <v>3</v>
      </c>
      <c r="M78" s="74">
        <v>3</v>
      </c>
      <c r="N78" s="74">
        <v>3</v>
      </c>
      <c r="O78" s="74">
        <v>3</v>
      </c>
      <c r="P78" s="74">
        <v>3</v>
      </c>
      <c r="Q78" s="222">
        <f t="shared" ref="Q78:Q80" si="7">SUM(K78:P78)</f>
        <v>18</v>
      </c>
      <c r="R78" s="207"/>
      <c r="S78" s="106">
        <v>18</v>
      </c>
      <c r="T78" s="1"/>
    </row>
    <row r="79" spans="1:20" ht="14">
      <c r="A79" s="1"/>
      <c r="B79" s="223"/>
      <c r="C79" s="211"/>
      <c r="D79" s="211"/>
      <c r="E79" s="211"/>
      <c r="F79" s="211"/>
      <c r="G79" s="211"/>
      <c r="H79" s="211"/>
      <c r="I79" s="211"/>
      <c r="J79" s="207"/>
      <c r="K79" s="104">
        <f t="shared" ref="K79:P79" si="8">SUM(K74,K78)</f>
        <v>32</v>
      </c>
      <c r="L79" s="104">
        <f t="shared" si="8"/>
        <v>32</v>
      </c>
      <c r="M79" s="104">
        <f t="shared" si="8"/>
        <v>32</v>
      </c>
      <c r="N79" s="104">
        <f t="shared" si="8"/>
        <v>32</v>
      </c>
      <c r="O79" s="104">
        <f t="shared" si="8"/>
        <v>32</v>
      </c>
      <c r="P79" s="104">
        <f t="shared" si="8"/>
        <v>32</v>
      </c>
      <c r="Q79" s="223">
        <f t="shared" si="7"/>
        <v>192</v>
      </c>
      <c r="R79" s="207"/>
      <c r="S79" s="106">
        <v>192</v>
      </c>
      <c r="T79" s="1"/>
    </row>
    <row r="80" spans="1:20" ht="14">
      <c r="A80" s="1"/>
      <c r="B80" s="223"/>
      <c r="C80" s="211"/>
      <c r="D80" s="211"/>
      <c r="E80" s="211"/>
      <c r="F80" s="211"/>
      <c r="G80" s="211"/>
      <c r="H80" s="211"/>
      <c r="I80" s="211"/>
      <c r="J80" s="207"/>
      <c r="K80" s="223">
        <f>SUM(K79:L79)</f>
        <v>64</v>
      </c>
      <c r="L80" s="207"/>
      <c r="M80" s="223">
        <f>SUM(M79:N79)</f>
        <v>64</v>
      </c>
      <c r="N80" s="207"/>
      <c r="O80" s="223">
        <f>SUM(O79:P79)</f>
        <v>64</v>
      </c>
      <c r="P80" s="207"/>
      <c r="Q80" s="223">
        <f t="shared" si="7"/>
        <v>192</v>
      </c>
      <c r="R80" s="207"/>
      <c r="S80" s="141"/>
      <c r="T80" s="1"/>
    </row>
    <row r="81" spans="1:20" ht="14">
      <c r="A81" s="1"/>
      <c r="B81" s="1"/>
      <c r="C81" s="1"/>
      <c r="D81" s="147" t="s">
        <v>296</v>
      </c>
      <c r="E81" s="148"/>
      <c r="F81" s="149" t="s">
        <v>297</v>
      </c>
      <c r="G81" s="148"/>
      <c r="H81" s="15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2.5">
      <c r="A82" s="151"/>
      <c r="B82" s="151"/>
      <c r="C82" s="151"/>
      <c r="D82" s="151"/>
      <c r="E82" s="152"/>
      <c r="F82" s="153" t="s">
        <v>299</v>
      </c>
      <c r="G82" s="152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</row>
    <row r="83" spans="1:20" ht="12.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</row>
    <row r="84" spans="1:20" ht="12.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</row>
    <row r="85" spans="1:20" ht="12.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</row>
    <row r="86" spans="1:20" ht="12.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</row>
    <row r="87" spans="1:20" ht="12.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</row>
    <row r="88" spans="1:20" ht="12.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</row>
    <row r="89" spans="1:20" ht="12.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</row>
    <row r="90" spans="1:20" ht="12.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</row>
    <row r="91" spans="1:20" ht="12.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</row>
    <row r="92" spans="1:20" ht="12.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</row>
    <row r="93" spans="1:20" ht="12.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</row>
    <row r="94" spans="1:20" ht="12.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</row>
    <row r="95" spans="1:20" ht="12.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</row>
    <row r="96" spans="1:20" ht="12.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</row>
    <row r="97" spans="1:20" ht="12.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</row>
    <row r="98" spans="1:20" ht="12.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</row>
    <row r="99" spans="1:20" ht="12.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</row>
    <row r="100" spans="1:20" ht="12.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</row>
    <row r="101" spans="1:20" ht="12.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</row>
    <row r="102" spans="1:20" ht="12.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</row>
    <row r="103" spans="1:20" ht="12.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</row>
    <row r="104" spans="1:20" ht="12.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</row>
    <row r="105" spans="1:20" ht="12.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</row>
    <row r="106" spans="1:20" ht="12.5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</row>
    <row r="107" spans="1:20" ht="12.5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</row>
    <row r="108" spans="1:20" ht="12.5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</row>
    <row r="109" spans="1:20" ht="12.5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</row>
    <row r="110" spans="1:20" ht="12.5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</row>
    <row r="111" spans="1:20" ht="12.5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</row>
    <row r="112" spans="1:20" ht="12.5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</row>
    <row r="113" spans="1:20" ht="12.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</row>
    <row r="114" spans="1:20" ht="12.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</row>
    <row r="115" spans="1:20" ht="12.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</row>
    <row r="116" spans="1:20" ht="12.5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</row>
    <row r="117" spans="1:20" ht="12.5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</row>
    <row r="118" spans="1:20" ht="12.5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</row>
    <row r="119" spans="1:20" ht="12.5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</row>
    <row r="120" spans="1:20" ht="12.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</row>
    <row r="121" spans="1:20" ht="12.5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</row>
    <row r="122" spans="1:20" ht="12.5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</row>
    <row r="123" spans="1:20" ht="12.5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</row>
    <row r="124" spans="1:20" ht="12.5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</row>
    <row r="125" spans="1:20" ht="12.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</row>
    <row r="126" spans="1:20" ht="12.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</row>
    <row r="127" spans="1:20" ht="12.5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</row>
    <row r="128" spans="1:20" ht="12.5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</row>
    <row r="129" spans="1:20" ht="12.5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</row>
    <row r="130" spans="1:20" ht="12.5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</row>
    <row r="131" spans="1:20" ht="12.5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</row>
    <row r="132" spans="1:20" ht="12.5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</row>
    <row r="133" spans="1:20" ht="12.5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</row>
    <row r="134" spans="1:20" ht="12.5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</row>
    <row r="135" spans="1:20" ht="12.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</row>
    <row r="136" spans="1:20" ht="12.5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</row>
    <row r="137" spans="1:20" ht="12.5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</row>
    <row r="138" spans="1:20" ht="12.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</row>
    <row r="139" spans="1:20" ht="12.5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</row>
    <row r="140" spans="1:20" ht="12.5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</row>
    <row r="141" spans="1:20" ht="12.5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</row>
    <row r="142" spans="1:20" ht="12.5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</row>
    <row r="143" spans="1:20" ht="12.5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</row>
    <row r="144" spans="1:20" ht="12.5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</row>
    <row r="145" spans="1:20" ht="12.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</row>
    <row r="146" spans="1:20" ht="12.5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</row>
    <row r="147" spans="1:20" ht="12.5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</row>
    <row r="148" spans="1:20" ht="12.5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</row>
    <row r="149" spans="1:20" ht="12.5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</row>
    <row r="150" spans="1:20" ht="12.5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</row>
    <row r="151" spans="1:20" ht="12.5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</row>
    <row r="152" spans="1:20" ht="12.5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</row>
    <row r="153" spans="1:20" ht="12.5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</row>
    <row r="154" spans="1:20" ht="12.5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</row>
    <row r="155" spans="1:20" ht="12.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</row>
    <row r="156" spans="1:20" ht="12.5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</row>
    <row r="157" spans="1:20" ht="12.5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</row>
    <row r="158" spans="1:20" ht="12.5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</row>
    <row r="159" spans="1:20" ht="12.5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</row>
    <row r="160" spans="1:20" ht="12.5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</row>
    <row r="161" spans="1:20" ht="12.5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</row>
    <row r="162" spans="1:20" ht="12.5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</row>
    <row r="163" spans="1:20" ht="12.5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</row>
    <row r="164" spans="1:20" ht="12.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</row>
    <row r="165" spans="1:20" ht="12.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</row>
    <row r="166" spans="1:20" ht="12.5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</row>
    <row r="167" spans="1:20" ht="12.5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</row>
    <row r="168" spans="1:20" ht="12.5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</row>
    <row r="169" spans="1:20" ht="12.5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</row>
    <row r="170" spans="1:20" ht="12.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</row>
    <row r="171" spans="1:20" ht="12.5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</row>
    <row r="172" spans="1:20" ht="12.5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</row>
    <row r="173" spans="1:20" ht="12.5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</row>
    <row r="174" spans="1:20" ht="12.5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</row>
    <row r="175" spans="1:20" ht="12.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</row>
    <row r="176" spans="1:20" ht="12.5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</row>
    <row r="177" spans="1:20" ht="12.5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</row>
    <row r="178" spans="1:20" ht="12.5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</row>
    <row r="179" spans="1:20" ht="12.5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</row>
    <row r="180" spans="1:20" ht="12.5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</row>
    <row r="181" spans="1:20" ht="12.5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</row>
    <row r="182" spans="1:20" ht="12.5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</row>
    <row r="183" spans="1:20" ht="12.5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</row>
    <row r="184" spans="1:20" ht="12.5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</row>
    <row r="185" spans="1:20" ht="12.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</row>
    <row r="186" spans="1:20" ht="12.5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</row>
    <row r="187" spans="1:20" ht="12.5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</row>
    <row r="188" spans="1:20" ht="12.5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</row>
    <row r="189" spans="1:20" ht="12.5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</row>
    <row r="190" spans="1:20" ht="12.5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</row>
    <row r="191" spans="1:20" ht="12.5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</row>
    <row r="192" spans="1:20" ht="12.5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</row>
    <row r="193" spans="1:20" ht="12.5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</row>
    <row r="194" spans="1:20" ht="12.5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</row>
    <row r="195" spans="1:20" ht="12.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</row>
    <row r="196" spans="1:20" ht="12.5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</row>
    <row r="197" spans="1:20" ht="12.5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</row>
    <row r="198" spans="1:20" ht="12.5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</row>
    <row r="199" spans="1:20" ht="12.5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</row>
    <row r="200" spans="1:20" ht="12.5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</row>
    <row r="201" spans="1:20" ht="12.5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</row>
    <row r="202" spans="1:20" ht="12.5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</row>
    <row r="203" spans="1:20" ht="12.5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</row>
    <row r="204" spans="1:20" ht="12.5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</row>
    <row r="205" spans="1:20" ht="12.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</row>
    <row r="206" spans="1:20" ht="12.5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</row>
    <row r="207" spans="1:20" ht="12.5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</row>
    <row r="208" spans="1:20" ht="12.5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</row>
    <row r="209" spans="1:20" ht="12.5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</row>
    <row r="210" spans="1:20" ht="12.5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</row>
    <row r="211" spans="1:20" ht="12.5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</row>
    <row r="212" spans="1:20" ht="12.5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</row>
    <row r="213" spans="1:20" ht="12.5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</row>
    <row r="214" spans="1:20" ht="12.5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</row>
    <row r="215" spans="1:20" ht="12.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</row>
    <row r="216" spans="1:20" ht="12.5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</row>
    <row r="217" spans="1:20" ht="12.5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</row>
    <row r="218" spans="1:20" ht="12.5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</row>
    <row r="219" spans="1:20" ht="12.5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</row>
    <row r="220" spans="1:20" ht="12.5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</row>
    <row r="221" spans="1:20" ht="12.5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</row>
    <row r="222" spans="1:20" ht="12.5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</row>
    <row r="223" spans="1:20" ht="12.5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</row>
    <row r="224" spans="1:20" ht="12.5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</row>
    <row r="225" spans="1:20" ht="12.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</row>
    <row r="226" spans="1:20" ht="12.5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</row>
    <row r="227" spans="1:20" ht="12.5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</row>
    <row r="228" spans="1:20" ht="12.5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</row>
    <row r="229" spans="1:20" ht="12.5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</row>
    <row r="230" spans="1:20" ht="12.5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</row>
    <row r="231" spans="1:20" ht="12.5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</row>
    <row r="232" spans="1:20" ht="12.5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</row>
    <row r="233" spans="1:20" ht="12.5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</row>
    <row r="234" spans="1:20" ht="12.5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</row>
    <row r="235" spans="1:20" ht="12.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</row>
    <row r="236" spans="1:20" ht="12.5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</row>
    <row r="237" spans="1:20" ht="12.5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</row>
    <row r="238" spans="1:20" ht="12.5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</row>
    <row r="239" spans="1:20" ht="12.5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</row>
    <row r="240" spans="1:20" ht="12.5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</row>
    <row r="241" spans="1:20" ht="12.5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</row>
    <row r="242" spans="1:20" ht="12.5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</row>
    <row r="243" spans="1:20" ht="12.5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</row>
    <row r="244" spans="1:20" ht="12.5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</row>
    <row r="245" spans="1:20" ht="12.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</row>
    <row r="246" spans="1:20" ht="12.5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</row>
    <row r="247" spans="1:20" ht="12.5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</row>
    <row r="248" spans="1:20" ht="12.5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</row>
    <row r="249" spans="1:20" ht="12.5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</row>
    <row r="250" spans="1:20" ht="12.5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</row>
    <row r="251" spans="1:20" ht="12.5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</row>
    <row r="252" spans="1:20" ht="12.5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</row>
    <row r="253" spans="1:20" ht="12.5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</row>
    <row r="254" spans="1:20" ht="12.5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</row>
    <row r="255" spans="1:20" ht="12.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</row>
    <row r="256" spans="1:20" ht="12.5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</row>
    <row r="257" spans="1:20" ht="12.5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</row>
    <row r="258" spans="1:20" ht="12.5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</row>
    <row r="259" spans="1:20" ht="12.5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</row>
    <row r="260" spans="1:20" ht="12.5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</row>
    <row r="261" spans="1:20" ht="12.5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</row>
    <row r="262" spans="1:20" ht="12.5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</row>
    <row r="263" spans="1:20" ht="12.5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</row>
    <row r="264" spans="1:20" ht="12.5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</row>
    <row r="265" spans="1:20" ht="12.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</row>
    <row r="266" spans="1:20" ht="12.5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</row>
    <row r="267" spans="1:20" ht="12.5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</row>
    <row r="268" spans="1:20" ht="12.5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</row>
    <row r="269" spans="1:20" ht="12.5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</row>
    <row r="270" spans="1:20" ht="12.5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</row>
    <row r="271" spans="1:20" ht="12.5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</row>
    <row r="272" spans="1:20" ht="12.5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</row>
    <row r="273" spans="1:20" ht="12.5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</row>
    <row r="274" spans="1:20" ht="12.5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</row>
    <row r="275" spans="1:20" ht="12.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</row>
    <row r="276" spans="1:20" ht="12.5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</row>
    <row r="277" spans="1:20" ht="12.5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</row>
    <row r="278" spans="1:20" ht="12.5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</row>
    <row r="279" spans="1:20" ht="12.5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</row>
    <row r="280" spans="1:20" ht="12.5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</row>
    <row r="281" spans="1:20" ht="12.5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</row>
    <row r="282" spans="1:20" ht="12.5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</row>
    <row r="283" spans="1:20" ht="12.5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</row>
    <row r="284" spans="1:20" ht="12.5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</row>
    <row r="285" spans="1:20" ht="12.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</row>
    <row r="286" spans="1:20" ht="12.5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</row>
    <row r="287" spans="1:20" ht="12.5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</row>
    <row r="288" spans="1:20" ht="12.5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</row>
    <row r="289" spans="1:20" ht="12.5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</row>
    <row r="290" spans="1:20" ht="12.5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</row>
    <row r="291" spans="1:20" ht="12.5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</row>
    <row r="292" spans="1:20" ht="12.5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</row>
    <row r="293" spans="1:20" ht="12.5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</row>
    <row r="294" spans="1:20" ht="12.5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</row>
    <row r="295" spans="1:20" ht="12.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</row>
    <row r="296" spans="1:20" ht="12.5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</row>
    <row r="297" spans="1:20" ht="12.5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</row>
    <row r="298" spans="1:20" ht="12.5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</row>
    <row r="299" spans="1:20" ht="12.5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</row>
    <row r="300" spans="1:20" ht="12.5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</row>
    <row r="301" spans="1:20" ht="12.5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</row>
    <row r="302" spans="1:20" ht="12.5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</row>
    <row r="303" spans="1:20" ht="12.5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</row>
    <row r="304" spans="1:20" ht="12.5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</row>
    <row r="305" spans="1:20" ht="12.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</row>
    <row r="306" spans="1:20" ht="12.5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</row>
    <row r="307" spans="1:20" ht="12.5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</row>
    <row r="308" spans="1:20" ht="12.5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</row>
    <row r="309" spans="1:20" ht="12.5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</row>
    <row r="310" spans="1:20" ht="12.5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</row>
    <row r="311" spans="1:20" ht="12.5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</row>
    <row r="312" spans="1:20" ht="12.5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</row>
    <row r="313" spans="1:20" ht="12.5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</row>
    <row r="314" spans="1:20" ht="12.5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</row>
    <row r="315" spans="1:20" ht="12.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</row>
    <row r="316" spans="1:20" ht="12.5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</row>
    <row r="317" spans="1:20" ht="12.5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</row>
    <row r="318" spans="1:20" ht="12.5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</row>
    <row r="319" spans="1:20" ht="12.5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</row>
    <row r="320" spans="1:20" ht="12.5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</row>
    <row r="321" spans="1:20" ht="12.5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</row>
    <row r="322" spans="1:20" ht="12.5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</row>
    <row r="323" spans="1:20" ht="12.5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</row>
    <row r="324" spans="1:20" ht="12.5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</row>
    <row r="325" spans="1:20" ht="12.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</row>
    <row r="326" spans="1:20" ht="12.5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</row>
    <row r="327" spans="1:20" ht="12.5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</row>
    <row r="328" spans="1:20" ht="12.5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</row>
    <row r="329" spans="1:20" ht="12.5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</row>
    <row r="330" spans="1:20" ht="12.5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</row>
    <row r="331" spans="1:20" ht="12.5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</row>
    <row r="332" spans="1:20" ht="12.5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</row>
    <row r="333" spans="1:20" ht="12.5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</row>
    <row r="334" spans="1:20" ht="12.5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</row>
    <row r="335" spans="1:20" ht="12.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</row>
    <row r="336" spans="1:20" ht="12.5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</row>
    <row r="337" spans="1:20" ht="12.5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</row>
    <row r="338" spans="1:20" ht="12.5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</row>
    <row r="339" spans="1:20" ht="12.5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</row>
    <row r="340" spans="1:20" ht="12.5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</row>
    <row r="341" spans="1:20" ht="12.5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</row>
    <row r="342" spans="1:20" ht="12.5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</row>
    <row r="343" spans="1:20" ht="12.5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</row>
    <row r="344" spans="1:20" ht="12.5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</row>
    <row r="345" spans="1:20" ht="12.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</row>
    <row r="346" spans="1:20" ht="12.5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</row>
    <row r="347" spans="1:20" ht="12.5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</row>
    <row r="348" spans="1:20" ht="12.5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</row>
    <row r="349" spans="1:20" ht="12.5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</row>
    <row r="350" spans="1:20" ht="12.5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</row>
    <row r="351" spans="1:20" ht="12.5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</row>
    <row r="352" spans="1:20" ht="12.5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</row>
    <row r="353" spans="1:20" ht="12.5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</row>
    <row r="354" spans="1:20" ht="12.5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</row>
    <row r="355" spans="1:20" ht="12.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</row>
    <row r="356" spans="1:20" ht="12.5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</row>
    <row r="357" spans="1:20" ht="12.5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</row>
    <row r="358" spans="1:20" ht="12.5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</row>
    <row r="359" spans="1:20" ht="12.5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</row>
    <row r="360" spans="1:20" ht="12.5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</row>
    <row r="361" spans="1:20" ht="12.5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</row>
    <row r="362" spans="1:20" ht="12.5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</row>
    <row r="363" spans="1:20" ht="12.5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</row>
    <row r="364" spans="1:20" ht="12.5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</row>
    <row r="365" spans="1:20" ht="12.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</row>
    <row r="366" spans="1:20" ht="12.5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</row>
    <row r="367" spans="1:20" ht="12.5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</row>
    <row r="368" spans="1:20" ht="12.5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</row>
    <row r="369" spans="1:20" ht="12.5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</row>
    <row r="370" spans="1:20" ht="12.5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</row>
    <row r="371" spans="1:20" ht="12.5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</row>
    <row r="372" spans="1:20" ht="12.5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</row>
    <row r="373" spans="1:20" ht="12.5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</row>
    <row r="374" spans="1:20" ht="12.5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</row>
    <row r="375" spans="1:20" ht="12.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</row>
    <row r="376" spans="1:20" ht="12.5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</row>
    <row r="377" spans="1:20" ht="12.5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</row>
    <row r="378" spans="1:20" ht="12.5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</row>
    <row r="379" spans="1:20" ht="12.5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</row>
    <row r="380" spans="1:20" ht="12.5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</row>
    <row r="381" spans="1:20" ht="12.5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</row>
    <row r="382" spans="1:20" ht="12.5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</row>
    <row r="383" spans="1:20" ht="12.5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</row>
    <row r="384" spans="1:20" ht="12.5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</row>
    <row r="385" spans="1:20" ht="12.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</row>
    <row r="386" spans="1:20" ht="12.5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</row>
    <row r="387" spans="1:20" ht="12.5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</row>
    <row r="388" spans="1:20" ht="12.5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</row>
    <row r="389" spans="1:20" ht="12.5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</row>
    <row r="390" spans="1:20" ht="12.5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</row>
    <row r="391" spans="1:20" ht="12.5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</row>
    <row r="392" spans="1:20" ht="12.5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</row>
    <row r="393" spans="1:20" ht="12.5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</row>
    <row r="394" spans="1:20" ht="12.5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</row>
    <row r="395" spans="1:20" ht="12.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</row>
    <row r="396" spans="1:20" ht="12.5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</row>
    <row r="397" spans="1:20" ht="12.5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</row>
    <row r="398" spans="1:20" ht="12.5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</row>
    <row r="399" spans="1:20" ht="12.5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</row>
    <row r="400" spans="1:20" ht="12.5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</row>
    <row r="401" spans="1:20" ht="12.5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</row>
    <row r="402" spans="1:20" ht="12.5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</row>
    <row r="403" spans="1:20" ht="12.5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</row>
    <row r="404" spans="1:20" ht="12.5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</row>
    <row r="405" spans="1:20" ht="12.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</row>
    <row r="406" spans="1:20" ht="12.5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</row>
    <row r="407" spans="1:20" ht="12.5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</row>
    <row r="408" spans="1:20" ht="12.5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</row>
    <row r="409" spans="1:20" ht="12.5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</row>
    <row r="410" spans="1:20" ht="12.5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</row>
    <row r="411" spans="1:20" ht="12.5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</row>
    <row r="412" spans="1:20" ht="12.5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</row>
    <row r="413" spans="1:20" ht="12.5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</row>
    <row r="414" spans="1:20" ht="12.5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</row>
    <row r="415" spans="1:20" ht="12.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</row>
    <row r="416" spans="1:20" ht="12.5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</row>
    <row r="417" spans="1:20" ht="12.5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</row>
    <row r="418" spans="1:20" ht="12.5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</row>
    <row r="419" spans="1:20" ht="12.5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</row>
    <row r="420" spans="1:20" ht="12.5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</row>
    <row r="421" spans="1:20" ht="12.5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</row>
    <row r="422" spans="1:20" ht="12.5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</row>
    <row r="423" spans="1:20" ht="12.5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</row>
    <row r="424" spans="1:20" ht="12.5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</row>
    <row r="425" spans="1:20" ht="12.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</row>
    <row r="426" spans="1:20" ht="12.5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</row>
    <row r="427" spans="1:20" ht="12.5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</row>
    <row r="428" spans="1:20" ht="12.5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</row>
    <row r="429" spans="1:20" ht="12.5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</row>
    <row r="430" spans="1:20" ht="12.5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</row>
    <row r="431" spans="1:20" ht="12.5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</row>
    <row r="432" spans="1:20" ht="12.5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</row>
    <row r="433" spans="1:20" ht="12.5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</row>
    <row r="434" spans="1:20" ht="12.5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</row>
    <row r="435" spans="1:20" ht="12.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</row>
    <row r="436" spans="1:20" ht="12.5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</row>
    <row r="437" spans="1:20" ht="12.5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</row>
    <row r="438" spans="1:20" ht="12.5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</row>
    <row r="439" spans="1:20" ht="12.5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</row>
    <row r="440" spans="1:20" ht="12.5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</row>
    <row r="441" spans="1:20" ht="12.5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</row>
    <row r="442" spans="1:20" ht="12.5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</row>
    <row r="443" spans="1:20" ht="12.5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</row>
    <row r="444" spans="1:20" ht="12.5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</row>
    <row r="445" spans="1:20" ht="12.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</row>
    <row r="446" spans="1:20" ht="12.5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</row>
    <row r="447" spans="1:20" ht="12.5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</row>
    <row r="448" spans="1:20" ht="12.5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</row>
    <row r="449" spans="1:20" ht="12.5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</row>
    <row r="450" spans="1:20" ht="12.5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</row>
    <row r="451" spans="1:20" ht="12.5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</row>
    <row r="452" spans="1:20" ht="12.5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</row>
    <row r="453" spans="1:20" ht="12.5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</row>
    <row r="454" spans="1:20" ht="12.5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</row>
    <row r="455" spans="1:20" ht="12.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</row>
    <row r="456" spans="1:20" ht="12.5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</row>
    <row r="457" spans="1:20" ht="12.5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</row>
    <row r="458" spans="1:20" ht="12.5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</row>
    <row r="459" spans="1:20" ht="12.5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</row>
    <row r="460" spans="1:20" ht="12.5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</row>
    <row r="461" spans="1:20" ht="12.5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</row>
    <row r="462" spans="1:20" ht="12.5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</row>
    <row r="463" spans="1:20" ht="12.5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</row>
    <row r="464" spans="1:20" ht="12.5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</row>
    <row r="465" spans="1:20" ht="12.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</row>
    <row r="466" spans="1:20" ht="12.5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</row>
    <row r="467" spans="1:20" ht="12.5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</row>
    <row r="468" spans="1:20" ht="12.5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</row>
    <row r="469" spans="1:20" ht="12.5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</row>
    <row r="470" spans="1:20" ht="12.5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</row>
    <row r="471" spans="1:20" ht="12.5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</row>
    <row r="472" spans="1:20" ht="12.5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</row>
    <row r="473" spans="1:20" ht="12.5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</row>
    <row r="474" spans="1:20" ht="12.5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</row>
    <row r="475" spans="1:20" ht="12.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</row>
    <row r="476" spans="1:20" ht="12.5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</row>
    <row r="477" spans="1:20" ht="12.5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</row>
    <row r="478" spans="1:20" ht="12.5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</row>
    <row r="479" spans="1:20" ht="12.5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</row>
    <row r="480" spans="1:20" ht="12.5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</row>
    <row r="481" spans="1:20" ht="12.5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</row>
    <row r="482" spans="1:20" ht="12.5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</row>
    <row r="483" spans="1:20" ht="12.5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</row>
    <row r="484" spans="1:20" ht="12.5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</row>
    <row r="485" spans="1:20" ht="12.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</row>
    <row r="486" spans="1:20" ht="12.5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</row>
    <row r="487" spans="1:20" ht="12.5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</row>
    <row r="488" spans="1:20" ht="12.5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</row>
    <row r="489" spans="1:20" ht="12.5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</row>
    <row r="490" spans="1:20" ht="12.5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</row>
    <row r="491" spans="1:20" ht="12.5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</row>
    <row r="492" spans="1:20" ht="12.5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</row>
    <row r="493" spans="1:20" ht="12.5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</row>
    <row r="494" spans="1:20" ht="12.5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</row>
    <row r="495" spans="1:20" ht="12.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</row>
    <row r="496" spans="1:20" ht="12.5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</row>
    <row r="497" spans="1:20" ht="12.5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</row>
    <row r="498" spans="1:20" ht="12.5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</row>
    <row r="499" spans="1:20" ht="12.5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</row>
    <row r="500" spans="1:20" ht="12.5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</row>
    <row r="501" spans="1:20" ht="12.5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</row>
    <row r="502" spans="1:20" ht="12.5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</row>
    <row r="503" spans="1:20" ht="12.5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</row>
    <row r="504" spans="1:20" ht="12.5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</row>
    <row r="505" spans="1:20" ht="12.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</row>
    <row r="506" spans="1:20" ht="12.5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</row>
    <row r="507" spans="1:20" ht="12.5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</row>
    <row r="508" spans="1:20" ht="12.5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</row>
    <row r="509" spans="1:20" ht="12.5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</row>
    <row r="510" spans="1:20" ht="12.5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</row>
    <row r="511" spans="1:20" ht="12.5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</row>
    <row r="512" spans="1:20" ht="12.5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</row>
    <row r="513" spans="1:20" ht="12.5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</row>
    <row r="514" spans="1:20" ht="12.5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</row>
    <row r="515" spans="1:20" ht="12.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</row>
    <row r="516" spans="1:20" ht="12.5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</row>
    <row r="517" spans="1:20" ht="12.5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</row>
    <row r="518" spans="1:20" ht="12.5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</row>
    <row r="519" spans="1:20" ht="12.5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</row>
    <row r="520" spans="1:20" ht="12.5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</row>
    <row r="521" spans="1:20" ht="12.5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</row>
    <row r="522" spans="1:20" ht="12.5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</row>
    <row r="523" spans="1:20" ht="12.5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</row>
    <row r="524" spans="1:20" ht="12.5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</row>
    <row r="525" spans="1:20" ht="12.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</row>
    <row r="526" spans="1:20" ht="12.5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</row>
    <row r="527" spans="1:20" ht="12.5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</row>
    <row r="528" spans="1:20" ht="12.5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</row>
    <row r="529" spans="1:20" ht="12.5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</row>
    <row r="530" spans="1:20" ht="12.5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</row>
    <row r="531" spans="1:20" ht="12.5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</row>
    <row r="532" spans="1:20" ht="12.5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</row>
    <row r="533" spans="1:20" ht="12.5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</row>
    <row r="534" spans="1:20" ht="12.5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</row>
    <row r="535" spans="1:20" ht="12.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</row>
    <row r="536" spans="1:20" ht="12.5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</row>
    <row r="537" spans="1:20" ht="12.5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</row>
    <row r="538" spans="1:20" ht="12.5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</row>
    <row r="539" spans="1:20" ht="12.5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</row>
    <row r="540" spans="1:20" ht="12.5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</row>
    <row r="541" spans="1:20" ht="12.5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</row>
    <row r="542" spans="1:20" ht="12.5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</row>
    <row r="543" spans="1:20" ht="12.5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</row>
    <row r="544" spans="1:20" ht="12.5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</row>
    <row r="545" spans="1:20" ht="12.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</row>
    <row r="546" spans="1:20" ht="12.5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</row>
    <row r="547" spans="1:20" ht="12.5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</row>
    <row r="548" spans="1:20" ht="12.5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</row>
    <row r="549" spans="1:20" ht="12.5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</row>
    <row r="550" spans="1:20" ht="12.5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</row>
    <row r="551" spans="1:20" ht="12.5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</row>
    <row r="552" spans="1:20" ht="12.5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</row>
    <row r="553" spans="1:20" ht="12.5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</row>
    <row r="554" spans="1:20" ht="12.5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</row>
    <row r="555" spans="1:20" ht="12.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</row>
    <row r="556" spans="1:20" ht="12.5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</row>
    <row r="557" spans="1:20" ht="12.5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</row>
    <row r="558" spans="1:20" ht="12.5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</row>
    <row r="559" spans="1:20" ht="12.5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</row>
    <row r="560" spans="1:20" ht="12.5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</row>
    <row r="561" spans="1:20" ht="12.5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</row>
    <row r="562" spans="1:20" ht="12.5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</row>
    <row r="563" spans="1:20" ht="12.5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</row>
    <row r="564" spans="1:20" ht="12.5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</row>
    <row r="565" spans="1:20" ht="12.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</row>
    <row r="566" spans="1:20" ht="12.5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</row>
    <row r="567" spans="1:20" ht="12.5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</row>
    <row r="568" spans="1:20" ht="12.5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</row>
    <row r="569" spans="1:20" ht="12.5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</row>
    <row r="570" spans="1:20" ht="12.5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</row>
    <row r="571" spans="1:20" ht="12.5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</row>
    <row r="572" spans="1:20" ht="12.5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</row>
    <row r="573" spans="1:20" ht="12.5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</row>
    <row r="574" spans="1:20" ht="12.5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</row>
    <row r="575" spans="1:20" ht="12.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</row>
    <row r="576" spans="1:20" ht="12.5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</row>
    <row r="577" spans="1:20" ht="12.5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</row>
    <row r="578" spans="1:20" ht="12.5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</row>
    <row r="579" spans="1:20" ht="12.5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</row>
    <row r="580" spans="1:20" ht="12.5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</row>
    <row r="581" spans="1:20" ht="12.5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</row>
    <row r="582" spans="1:20" ht="12.5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</row>
    <row r="583" spans="1:20" ht="12.5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</row>
    <row r="584" spans="1:20" ht="12.5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</row>
    <row r="585" spans="1:20" ht="12.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</row>
    <row r="586" spans="1:20" ht="12.5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</row>
    <row r="587" spans="1:20" ht="12.5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</row>
    <row r="588" spans="1:20" ht="12.5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</row>
    <row r="589" spans="1:20" ht="12.5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</row>
    <row r="590" spans="1:20" ht="12.5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</row>
    <row r="591" spans="1:20" ht="12.5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</row>
    <row r="592" spans="1:20" ht="12.5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</row>
    <row r="593" spans="1:20" ht="12.5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</row>
    <row r="594" spans="1:20" ht="12.5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</row>
    <row r="595" spans="1:20" ht="12.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</row>
    <row r="596" spans="1:20" ht="12.5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</row>
    <row r="597" spans="1:20" ht="12.5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</row>
    <row r="598" spans="1:20" ht="12.5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</row>
    <row r="599" spans="1:20" ht="12.5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</row>
    <row r="600" spans="1:20" ht="12.5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</row>
    <row r="601" spans="1:20" ht="12.5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</row>
    <row r="602" spans="1:20" ht="12.5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</row>
    <row r="603" spans="1:20" ht="12.5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</row>
    <row r="604" spans="1:20" ht="12.5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</row>
    <row r="605" spans="1:20" ht="12.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</row>
    <row r="606" spans="1:20" ht="12.5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</row>
    <row r="607" spans="1:20" ht="12.5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</row>
    <row r="608" spans="1:20" ht="12.5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</row>
    <row r="609" spans="1:20" ht="12.5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</row>
    <row r="610" spans="1:20" ht="12.5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</row>
    <row r="611" spans="1:20" ht="12.5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</row>
    <row r="612" spans="1:20" ht="12.5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</row>
    <row r="613" spans="1:20" ht="12.5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</row>
    <row r="614" spans="1:20" ht="12.5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</row>
    <row r="615" spans="1:20" ht="12.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</row>
    <row r="616" spans="1:20" ht="12.5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</row>
    <row r="617" spans="1:20" ht="12.5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</row>
    <row r="618" spans="1:20" ht="12.5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</row>
    <row r="619" spans="1:20" ht="12.5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</row>
    <row r="620" spans="1:20" ht="12.5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</row>
    <row r="621" spans="1:20" ht="12.5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</row>
    <row r="622" spans="1:20" ht="12.5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</row>
    <row r="623" spans="1:20" ht="12.5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</row>
    <row r="624" spans="1:20" ht="12.5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</row>
    <row r="625" spans="1:20" ht="12.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</row>
    <row r="626" spans="1:20" ht="12.5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</row>
    <row r="627" spans="1:20" ht="12.5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</row>
    <row r="628" spans="1:20" ht="12.5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</row>
    <row r="629" spans="1:20" ht="12.5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</row>
    <row r="630" spans="1:20" ht="12.5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</row>
    <row r="631" spans="1:20" ht="12.5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</row>
    <row r="632" spans="1:20" ht="12.5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</row>
    <row r="633" spans="1:20" ht="12.5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</row>
    <row r="634" spans="1:20" ht="12.5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</row>
    <row r="635" spans="1:20" ht="12.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</row>
    <row r="636" spans="1:20" ht="12.5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</row>
    <row r="637" spans="1:20" ht="12.5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</row>
    <row r="638" spans="1:20" ht="12.5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</row>
    <row r="639" spans="1:20" ht="12.5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</row>
    <row r="640" spans="1:20" ht="12.5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</row>
    <row r="641" spans="1:20" ht="12.5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</row>
    <row r="642" spans="1:20" ht="12.5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</row>
    <row r="643" spans="1:20" ht="12.5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</row>
    <row r="644" spans="1:20" ht="12.5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</row>
    <row r="645" spans="1:20" ht="12.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</row>
    <row r="646" spans="1:20" ht="12.5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</row>
    <row r="647" spans="1:20" ht="12.5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</row>
    <row r="648" spans="1:20" ht="12.5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</row>
    <row r="649" spans="1:20" ht="12.5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</row>
    <row r="650" spans="1:20" ht="12.5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</row>
    <row r="651" spans="1:20" ht="12.5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</row>
    <row r="652" spans="1:20" ht="12.5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</row>
    <row r="653" spans="1:20" ht="12.5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</row>
    <row r="654" spans="1:20" ht="12.5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</row>
    <row r="655" spans="1:20" ht="12.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</row>
    <row r="656" spans="1:20" ht="12.5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</row>
    <row r="657" spans="1:20" ht="12.5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</row>
    <row r="658" spans="1:20" ht="12.5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</row>
    <row r="659" spans="1:20" ht="12.5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</row>
    <row r="660" spans="1:20" ht="12.5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</row>
    <row r="661" spans="1:20" ht="12.5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</row>
    <row r="662" spans="1:20" ht="12.5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</row>
    <row r="663" spans="1:20" ht="12.5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</row>
    <row r="664" spans="1:20" ht="12.5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</row>
    <row r="665" spans="1:20" ht="12.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</row>
    <row r="666" spans="1:20" ht="12.5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</row>
    <row r="667" spans="1:20" ht="12.5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</row>
    <row r="668" spans="1:20" ht="12.5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</row>
    <row r="669" spans="1:20" ht="12.5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</row>
    <row r="670" spans="1:20" ht="12.5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</row>
    <row r="671" spans="1:20" ht="12.5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</row>
    <row r="672" spans="1:20" ht="12.5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</row>
    <row r="673" spans="1:20" ht="12.5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</row>
    <row r="674" spans="1:20" ht="12.5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</row>
    <row r="675" spans="1:20" ht="12.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</row>
    <row r="676" spans="1:20" ht="12.5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</row>
    <row r="677" spans="1:20" ht="12.5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</row>
    <row r="678" spans="1:20" ht="12.5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</row>
    <row r="679" spans="1:20" ht="12.5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</row>
    <row r="680" spans="1:20" ht="12.5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</row>
    <row r="681" spans="1:20" ht="12.5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</row>
    <row r="682" spans="1:20" ht="12.5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</row>
    <row r="683" spans="1:20" ht="12.5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</row>
    <row r="684" spans="1:20" ht="12.5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</row>
    <row r="685" spans="1:20" ht="12.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</row>
    <row r="686" spans="1:20" ht="12.5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</row>
    <row r="687" spans="1:20" ht="12.5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</row>
    <row r="688" spans="1:20" ht="12.5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</row>
    <row r="689" spans="1:20" ht="12.5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</row>
    <row r="690" spans="1:20" ht="12.5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</row>
    <row r="691" spans="1:20" ht="12.5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</row>
    <row r="692" spans="1:20" ht="12.5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</row>
    <row r="693" spans="1:20" ht="12.5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</row>
    <row r="694" spans="1:20" ht="12.5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</row>
    <row r="695" spans="1:20" ht="12.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</row>
    <row r="696" spans="1:20" ht="12.5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</row>
    <row r="697" spans="1:20" ht="12.5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</row>
    <row r="698" spans="1:20" ht="12.5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</row>
    <row r="699" spans="1:20" ht="12.5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</row>
    <row r="700" spans="1:20" ht="12.5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</row>
    <row r="701" spans="1:20" ht="12.5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</row>
    <row r="702" spans="1:20" ht="12.5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</row>
    <row r="703" spans="1:20" ht="12.5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</row>
    <row r="704" spans="1:20" ht="12.5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</row>
    <row r="705" spans="1:20" ht="12.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</row>
    <row r="706" spans="1:20" ht="12.5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</row>
    <row r="707" spans="1:20" ht="12.5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</row>
    <row r="708" spans="1:20" ht="12.5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</row>
    <row r="709" spans="1:20" ht="12.5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</row>
    <row r="710" spans="1:20" ht="12.5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</row>
    <row r="711" spans="1:20" ht="12.5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</row>
    <row r="712" spans="1:20" ht="12.5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</row>
    <row r="713" spans="1:20" ht="12.5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</row>
    <row r="714" spans="1:20" ht="12.5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</row>
    <row r="715" spans="1:20" ht="12.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</row>
    <row r="716" spans="1:20" ht="12.5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</row>
    <row r="717" spans="1:20" ht="12.5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</row>
    <row r="718" spans="1:20" ht="12.5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</row>
    <row r="719" spans="1:20" ht="12.5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</row>
    <row r="720" spans="1:20" ht="12.5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</row>
    <row r="721" spans="1:20" ht="12.5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</row>
    <row r="722" spans="1:20" ht="12.5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</row>
    <row r="723" spans="1:20" ht="12.5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</row>
    <row r="724" spans="1:20" ht="12.5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</row>
    <row r="725" spans="1:20" ht="12.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</row>
    <row r="726" spans="1:20" ht="12.5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</row>
    <row r="727" spans="1:20" ht="12.5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</row>
    <row r="728" spans="1:20" ht="12.5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</row>
    <row r="729" spans="1:20" ht="12.5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</row>
    <row r="730" spans="1:20" ht="12.5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</row>
    <row r="731" spans="1:20" ht="12.5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</row>
    <row r="732" spans="1:20" ht="12.5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</row>
    <row r="733" spans="1:20" ht="12.5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</row>
    <row r="734" spans="1:20" ht="12.5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</row>
    <row r="735" spans="1:20" ht="12.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</row>
    <row r="736" spans="1:20" ht="12.5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</row>
    <row r="737" spans="1:20" ht="12.5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</row>
    <row r="738" spans="1:20" ht="12.5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</row>
    <row r="739" spans="1:20" ht="12.5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</row>
    <row r="740" spans="1:20" ht="12.5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</row>
    <row r="741" spans="1:20" ht="12.5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</row>
    <row r="742" spans="1:20" ht="12.5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</row>
    <row r="743" spans="1:20" ht="12.5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</row>
    <row r="744" spans="1:20" ht="12.5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</row>
    <row r="745" spans="1:20" ht="12.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</row>
    <row r="746" spans="1:20" ht="12.5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</row>
    <row r="747" spans="1:20" ht="12.5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</row>
    <row r="748" spans="1:20" ht="12.5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</row>
    <row r="749" spans="1:20" ht="12.5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</row>
    <row r="750" spans="1:20" ht="12.5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</row>
    <row r="751" spans="1:20" ht="12.5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</row>
    <row r="752" spans="1:20" ht="12.5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</row>
    <row r="753" spans="1:20" ht="12.5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</row>
    <row r="754" spans="1:20" ht="12.5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</row>
    <row r="755" spans="1:20" ht="12.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</row>
    <row r="756" spans="1:20" ht="12.5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</row>
    <row r="757" spans="1:20" ht="12.5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</row>
    <row r="758" spans="1:20" ht="12.5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</row>
    <row r="759" spans="1:20" ht="12.5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</row>
    <row r="760" spans="1:20" ht="12.5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</row>
    <row r="761" spans="1:20" ht="12.5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</row>
    <row r="762" spans="1:20" ht="12.5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</row>
    <row r="763" spans="1:20" ht="12.5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</row>
    <row r="764" spans="1:20" ht="12.5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</row>
    <row r="765" spans="1:20" ht="12.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</row>
    <row r="766" spans="1:20" ht="12.5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</row>
    <row r="767" spans="1:20" ht="12.5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</row>
    <row r="768" spans="1:20" ht="12.5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</row>
    <row r="769" spans="1:20" ht="12.5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</row>
    <row r="770" spans="1:20" ht="12.5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</row>
    <row r="771" spans="1:20" ht="12.5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</row>
    <row r="772" spans="1:20" ht="12.5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</row>
    <row r="773" spans="1:20" ht="12.5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</row>
    <row r="774" spans="1:20" ht="12.5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</row>
    <row r="775" spans="1:20" ht="12.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</row>
    <row r="776" spans="1:20" ht="12.5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</row>
    <row r="777" spans="1:20" ht="12.5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</row>
    <row r="778" spans="1:20" ht="12.5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</row>
    <row r="779" spans="1:20" ht="12.5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</row>
    <row r="780" spans="1:20" ht="12.5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</row>
    <row r="781" spans="1:20" ht="12.5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</row>
    <row r="782" spans="1:20" ht="12.5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</row>
    <row r="783" spans="1:20" ht="12.5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</row>
    <row r="784" spans="1:20" ht="12.5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</row>
    <row r="785" spans="1:20" ht="12.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</row>
    <row r="786" spans="1:20" ht="12.5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</row>
    <row r="787" spans="1:20" ht="12.5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</row>
    <row r="788" spans="1:20" ht="12.5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</row>
    <row r="789" spans="1:20" ht="12.5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</row>
    <row r="790" spans="1:20" ht="12.5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</row>
    <row r="791" spans="1:20" ht="12.5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</row>
    <row r="792" spans="1:20" ht="12.5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</row>
    <row r="793" spans="1:20" ht="12.5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</row>
    <row r="794" spans="1:20" ht="12.5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</row>
    <row r="795" spans="1:20" ht="12.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</row>
    <row r="796" spans="1:20" ht="12.5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</row>
    <row r="797" spans="1:20" ht="12.5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</row>
    <row r="798" spans="1:20" ht="12.5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</row>
    <row r="799" spans="1:20" ht="12.5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</row>
    <row r="800" spans="1:20" ht="12.5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</row>
    <row r="801" spans="1:20" ht="12.5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</row>
    <row r="802" spans="1:20" ht="12.5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</row>
    <row r="803" spans="1:20" ht="12.5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</row>
    <row r="804" spans="1:20" ht="12.5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</row>
    <row r="805" spans="1:20" ht="12.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</row>
    <row r="806" spans="1:20" ht="12.5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</row>
    <row r="807" spans="1:20" ht="12.5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</row>
    <row r="808" spans="1:20" ht="12.5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</row>
    <row r="809" spans="1:20" ht="12.5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</row>
    <row r="810" spans="1:20" ht="12.5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</row>
    <row r="811" spans="1:20" ht="12.5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</row>
    <row r="812" spans="1:20" ht="12.5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</row>
    <row r="813" spans="1:20" ht="12.5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</row>
    <row r="814" spans="1:20" ht="12.5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</row>
    <row r="815" spans="1:20" ht="12.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</row>
    <row r="816" spans="1:20" ht="12.5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</row>
    <row r="817" spans="1:20" ht="12.5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</row>
    <row r="818" spans="1:20" ht="12.5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</row>
    <row r="819" spans="1:20" ht="12.5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</row>
    <row r="820" spans="1:20" ht="12.5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</row>
    <row r="821" spans="1:20" ht="12.5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</row>
    <row r="822" spans="1:20" ht="12.5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</row>
    <row r="823" spans="1:20" ht="12.5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</row>
    <row r="824" spans="1:20" ht="12.5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</row>
    <row r="825" spans="1:20" ht="12.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</row>
    <row r="826" spans="1:20" ht="12.5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</row>
    <row r="827" spans="1:20" ht="12.5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</row>
    <row r="828" spans="1:20" ht="12.5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</row>
    <row r="829" spans="1:20" ht="12.5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</row>
    <row r="830" spans="1:20" ht="12.5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</row>
    <row r="831" spans="1:20" ht="12.5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</row>
    <row r="832" spans="1:20" ht="12.5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</row>
    <row r="833" spans="1:20" ht="12.5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</row>
    <row r="834" spans="1:20" ht="12.5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</row>
    <row r="835" spans="1:20" ht="12.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</row>
    <row r="836" spans="1:20" ht="12.5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</row>
    <row r="837" spans="1:20" ht="12.5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</row>
    <row r="838" spans="1:20" ht="12.5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</row>
    <row r="839" spans="1:20" ht="12.5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</row>
    <row r="840" spans="1:20" ht="12.5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</row>
    <row r="841" spans="1:20" ht="12.5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</row>
    <row r="842" spans="1:20" ht="12.5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</row>
    <row r="843" spans="1:20" ht="12.5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</row>
    <row r="844" spans="1:20" ht="12.5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</row>
    <row r="845" spans="1:20" ht="12.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</row>
    <row r="846" spans="1:20" ht="12.5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</row>
    <row r="847" spans="1:20" ht="12.5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</row>
    <row r="848" spans="1:20" ht="12.5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</row>
    <row r="849" spans="1:20" ht="12.5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</row>
    <row r="850" spans="1:20" ht="12.5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</row>
    <row r="851" spans="1:20" ht="12.5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</row>
    <row r="852" spans="1:20" ht="12.5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</row>
    <row r="853" spans="1:20" ht="12.5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</row>
    <row r="854" spans="1:20" ht="12.5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</row>
    <row r="855" spans="1:20" ht="12.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</row>
    <row r="856" spans="1:20" ht="12.5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</row>
    <row r="857" spans="1:20" ht="12.5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</row>
    <row r="858" spans="1:20" ht="12.5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</row>
    <row r="859" spans="1:20" ht="12.5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</row>
    <row r="860" spans="1:20" ht="12.5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</row>
    <row r="861" spans="1:20" ht="12.5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</row>
    <row r="862" spans="1:20" ht="12.5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</row>
    <row r="863" spans="1:20" ht="12.5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</row>
    <row r="864" spans="1:20" ht="12.5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</row>
    <row r="865" spans="1:20" ht="12.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</row>
    <row r="866" spans="1:20" ht="12.5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</row>
    <row r="867" spans="1:20" ht="12.5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</row>
    <row r="868" spans="1:20" ht="12.5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</row>
    <row r="869" spans="1:20" ht="12.5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</row>
    <row r="870" spans="1:20" ht="12.5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</row>
    <row r="871" spans="1:20" ht="12.5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</row>
    <row r="872" spans="1:20" ht="12.5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</row>
    <row r="873" spans="1:20" ht="12.5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</row>
    <row r="874" spans="1:20" ht="12.5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</row>
    <row r="875" spans="1:20" ht="12.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</row>
    <row r="876" spans="1:20" ht="12.5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</row>
    <row r="877" spans="1:20" ht="12.5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</row>
    <row r="878" spans="1:20" ht="12.5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</row>
    <row r="879" spans="1:20" ht="12.5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</row>
    <row r="880" spans="1:20" ht="12.5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</row>
    <row r="881" spans="1:20" ht="12.5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</row>
    <row r="882" spans="1:20" ht="12.5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</row>
    <row r="883" spans="1:20" ht="12.5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</row>
    <row r="884" spans="1:20" ht="12.5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</row>
    <row r="885" spans="1:20" ht="12.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</row>
    <row r="886" spans="1:20" ht="12.5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</row>
    <row r="887" spans="1:20" ht="12.5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</row>
    <row r="888" spans="1:20" ht="12.5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</row>
    <row r="889" spans="1:20" ht="12.5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</row>
    <row r="890" spans="1:20" ht="12.5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</row>
    <row r="891" spans="1:20" ht="12.5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</row>
    <row r="892" spans="1:20" ht="12.5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</row>
    <row r="893" spans="1:20" ht="12.5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</row>
    <row r="894" spans="1:20" ht="12.5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</row>
    <row r="895" spans="1:20" ht="12.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</row>
    <row r="896" spans="1:20" ht="12.5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</row>
    <row r="897" spans="1:20" ht="12.5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</row>
    <row r="898" spans="1:20" ht="12.5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</row>
    <row r="899" spans="1:20" ht="12.5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</row>
    <row r="900" spans="1:20" ht="12.5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</row>
    <row r="901" spans="1:20" ht="12.5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</row>
    <row r="902" spans="1:20" ht="12.5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</row>
    <row r="903" spans="1:20" ht="12.5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</row>
    <row r="904" spans="1:20" ht="12.5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</row>
    <row r="905" spans="1:20" ht="12.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</row>
    <row r="906" spans="1:20" ht="12.5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</row>
    <row r="907" spans="1:20" ht="12.5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</row>
    <row r="908" spans="1:20" ht="12.5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</row>
    <row r="909" spans="1:20" ht="12.5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</row>
    <row r="910" spans="1:20" ht="12.5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</row>
    <row r="911" spans="1:20" ht="12.5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</row>
    <row r="912" spans="1:20" ht="12.5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</row>
    <row r="913" spans="1:20" ht="12.5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</row>
    <row r="914" spans="1:20" ht="12.5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</row>
    <row r="915" spans="1:20" ht="12.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</row>
    <row r="916" spans="1:20" ht="12.5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</row>
    <row r="917" spans="1:20" ht="12.5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</row>
    <row r="918" spans="1:20" ht="12.5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</row>
    <row r="919" spans="1:20" ht="12.5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</row>
    <row r="920" spans="1:20" ht="12.5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</row>
    <row r="921" spans="1:20" ht="12.5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</row>
    <row r="922" spans="1:20" ht="12.5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</row>
    <row r="923" spans="1:20" ht="12.5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</row>
    <row r="924" spans="1:20" ht="12.5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</row>
    <row r="925" spans="1:20" ht="12.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</row>
    <row r="926" spans="1:20" ht="12.5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</row>
    <row r="927" spans="1:20" ht="12.5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</row>
    <row r="928" spans="1:20" ht="12.5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</row>
    <row r="929" spans="1:20" ht="12.5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</row>
    <row r="930" spans="1:20" ht="12.5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</row>
    <row r="931" spans="1:20" ht="12.5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</row>
    <row r="932" spans="1:20" ht="12.5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</row>
    <row r="933" spans="1:20" ht="12.5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</row>
    <row r="934" spans="1:20" ht="12.5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</row>
    <row r="935" spans="1:20" ht="12.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</row>
    <row r="936" spans="1:20" ht="12.5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</row>
    <row r="937" spans="1:20" ht="12.5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</row>
    <row r="938" spans="1:20" ht="12.5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</row>
    <row r="939" spans="1:20" ht="12.5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</row>
    <row r="940" spans="1:20" ht="12.5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</row>
    <row r="941" spans="1:20" ht="12.5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</row>
    <row r="942" spans="1:20" ht="12.5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</row>
    <row r="943" spans="1:20" ht="12.5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</row>
    <row r="944" spans="1:20" ht="12.5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</row>
    <row r="945" spans="1:20" ht="12.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</row>
    <row r="946" spans="1:20" ht="12.5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</row>
    <row r="947" spans="1:20" ht="12.5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</row>
    <row r="948" spans="1:20" ht="12.5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</row>
    <row r="949" spans="1:20" ht="12.5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</row>
    <row r="950" spans="1:20" ht="12.5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</row>
    <row r="951" spans="1:20" ht="12.5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</row>
    <row r="952" spans="1:20" ht="12.5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</row>
    <row r="953" spans="1:20" ht="12.5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</row>
    <row r="954" spans="1:20" ht="12.5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</row>
    <row r="955" spans="1:20" ht="12.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</row>
    <row r="956" spans="1:20" ht="12.5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</row>
    <row r="957" spans="1:20" ht="12.5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</row>
    <row r="958" spans="1:20" ht="12.5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</row>
    <row r="959" spans="1:20" ht="12.5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</row>
    <row r="960" spans="1:20" ht="12.5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</row>
    <row r="961" spans="1:20" ht="12.5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</row>
    <row r="962" spans="1:20" ht="12.5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</row>
    <row r="963" spans="1:20" ht="12.5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</row>
    <row r="964" spans="1:20" ht="12.5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</row>
    <row r="965" spans="1:20" ht="12.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</row>
    <row r="966" spans="1:20" ht="12.5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</row>
    <row r="967" spans="1:20" ht="12.5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</row>
    <row r="968" spans="1:20" ht="12.5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</row>
    <row r="969" spans="1:20" ht="12.5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</row>
    <row r="970" spans="1:20" ht="12.5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</row>
    <row r="971" spans="1:20" ht="12.5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</row>
    <row r="972" spans="1:20" ht="12.5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</row>
    <row r="973" spans="1:20" ht="12.5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</row>
    <row r="974" spans="1:20" ht="12.5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</row>
    <row r="975" spans="1:20" ht="12.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</row>
    <row r="976" spans="1:20" ht="12.5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</row>
    <row r="977" spans="1:20" ht="12.5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</row>
    <row r="978" spans="1:20" ht="12.5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</row>
    <row r="979" spans="1:20" ht="12.5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</row>
    <row r="980" spans="1:20" ht="12.5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</row>
    <row r="981" spans="1:20" ht="12.5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</row>
    <row r="982" spans="1:20" ht="12.5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</row>
    <row r="983" spans="1:20" ht="12.5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</row>
    <row r="984" spans="1:20" ht="12.5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</row>
    <row r="985" spans="1:20" ht="12.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</row>
    <row r="986" spans="1:20" ht="12.5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</row>
    <row r="987" spans="1:20" ht="12.5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</row>
    <row r="988" spans="1:20" ht="12.5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</row>
    <row r="989" spans="1:20" ht="12.5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</row>
    <row r="990" spans="1:20" ht="12.5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</row>
    <row r="991" spans="1:20" ht="12.5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</row>
    <row r="992" spans="1:20" ht="12.5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</row>
    <row r="993" spans="1:20" ht="12.5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</row>
    <row r="994" spans="1:20" ht="12.5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</row>
    <row r="995" spans="1:20" ht="12.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</row>
    <row r="996" spans="1:20" ht="12.5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</row>
    <row r="997" spans="1:20" ht="12.5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</row>
    <row r="998" spans="1:20" ht="12.5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</row>
    <row r="999" spans="1:20" ht="12.5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</row>
    <row r="1000" spans="1:20" ht="12.5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</row>
    <row r="1001" spans="1:20" ht="12.5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</row>
    <row r="1002" spans="1:20" ht="12.5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</row>
    <row r="1003" spans="1:20" ht="12.5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</row>
    <row r="1004" spans="1:20" ht="12.5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</row>
    <row r="1005" spans="1:20" ht="12.5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</row>
    <row r="1006" spans="1:20" ht="12.5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</row>
    <row r="1007" spans="1:20" ht="12.5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</row>
    <row r="1008" spans="1:20" ht="12.5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</row>
    <row r="1009" spans="1:20" ht="12.5">
      <c r="A1009" s="151"/>
      <c r="B1009" s="151"/>
      <c r="C1009" s="151"/>
      <c r="D1009" s="151"/>
      <c r="E1009" s="151"/>
      <c r="F1009" s="151"/>
      <c r="G1009" s="15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</row>
    <row r="1010" spans="1:20" ht="12.5">
      <c r="A1010" s="151"/>
      <c r="B1010" s="151"/>
      <c r="C1010" s="151"/>
      <c r="D1010" s="151"/>
      <c r="E1010" s="151"/>
      <c r="F1010" s="151"/>
      <c r="G1010" s="151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</row>
    <row r="1011" spans="1:20" ht="12.5">
      <c r="A1011" s="151"/>
      <c r="B1011" s="151"/>
      <c r="C1011" s="151"/>
      <c r="D1011" s="151"/>
      <c r="E1011" s="151"/>
      <c r="F1011" s="151"/>
      <c r="G1011" s="151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</row>
    <row r="1012" spans="1:20" ht="12.5">
      <c r="A1012" s="151"/>
      <c r="B1012" s="151"/>
      <c r="C1012" s="151"/>
      <c r="D1012" s="151"/>
      <c r="E1012" s="151"/>
      <c r="F1012" s="151"/>
      <c r="G1012" s="151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</row>
    <row r="1013" spans="1:20" ht="12.5">
      <c r="A1013" s="151"/>
      <c r="B1013" s="151"/>
      <c r="C1013" s="151"/>
      <c r="D1013" s="151"/>
      <c r="E1013" s="151"/>
      <c r="F1013" s="151"/>
      <c r="G1013" s="151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</row>
    <row r="1014" spans="1:20" ht="12.5">
      <c r="A1014" s="151"/>
      <c r="B1014" s="151"/>
      <c r="C1014" s="151"/>
      <c r="D1014" s="151"/>
      <c r="E1014" s="151"/>
      <c r="F1014" s="151"/>
      <c r="G1014" s="151"/>
      <c r="H1014" s="151"/>
      <c r="I1014" s="151"/>
      <c r="J1014" s="151"/>
      <c r="K1014" s="151"/>
      <c r="L1014" s="151"/>
      <c r="M1014" s="151"/>
      <c r="N1014" s="151"/>
      <c r="O1014" s="151"/>
      <c r="P1014" s="151"/>
      <c r="Q1014" s="151"/>
      <c r="R1014" s="151"/>
      <c r="S1014" s="151"/>
      <c r="T1014" s="151"/>
    </row>
    <row r="1015" spans="1:20" ht="12.5">
      <c r="A1015" s="151"/>
      <c r="B1015" s="151"/>
      <c r="C1015" s="151"/>
      <c r="D1015" s="151"/>
      <c r="E1015" s="151"/>
      <c r="F1015" s="151"/>
      <c r="G1015" s="151"/>
      <c r="H1015" s="151"/>
      <c r="I1015" s="151"/>
      <c r="J1015" s="151"/>
      <c r="K1015" s="151"/>
      <c r="L1015" s="151"/>
      <c r="M1015" s="151"/>
      <c r="N1015" s="151"/>
      <c r="O1015" s="151"/>
      <c r="P1015" s="151"/>
      <c r="Q1015" s="151"/>
      <c r="R1015" s="151"/>
      <c r="S1015" s="151"/>
      <c r="T1015" s="151"/>
    </row>
    <row r="1016" spans="1:20" ht="12.5">
      <c r="A1016" s="151"/>
      <c r="B1016" s="151"/>
      <c r="C1016" s="151"/>
      <c r="D1016" s="151"/>
      <c r="E1016" s="151"/>
      <c r="F1016" s="151"/>
      <c r="G1016" s="151"/>
      <c r="H1016" s="151"/>
      <c r="I1016" s="151"/>
      <c r="J1016" s="151"/>
      <c r="K1016" s="151"/>
      <c r="L1016" s="151"/>
      <c r="M1016" s="151"/>
      <c r="N1016" s="151"/>
      <c r="O1016" s="151"/>
      <c r="P1016" s="151"/>
      <c r="Q1016" s="151"/>
      <c r="R1016" s="151"/>
      <c r="S1016" s="151"/>
      <c r="T1016" s="151"/>
    </row>
    <row r="1017" spans="1:20" ht="12.5">
      <c r="A1017" s="151"/>
      <c r="B1017" s="151"/>
      <c r="C1017" s="151"/>
      <c r="D1017" s="151"/>
      <c r="E1017" s="151"/>
      <c r="F1017" s="151"/>
      <c r="G1017" s="151"/>
      <c r="H1017" s="151"/>
      <c r="I1017" s="151"/>
      <c r="J1017" s="151"/>
      <c r="K1017" s="151"/>
      <c r="L1017" s="151"/>
      <c r="M1017" s="151"/>
      <c r="N1017" s="151"/>
      <c r="O1017" s="151"/>
      <c r="P1017" s="151"/>
      <c r="Q1017" s="151"/>
      <c r="R1017" s="151"/>
      <c r="S1017" s="151"/>
      <c r="T1017" s="151"/>
    </row>
    <row r="1018" spans="1:20" ht="12.5">
      <c r="A1018" s="151"/>
      <c r="B1018" s="151"/>
      <c r="C1018" s="151"/>
      <c r="D1018" s="151"/>
      <c r="E1018" s="151"/>
      <c r="F1018" s="151"/>
      <c r="G1018" s="151"/>
      <c r="H1018" s="151"/>
      <c r="I1018" s="151"/>
      <c r="J1018" s="151"/>
      <c r="K1018" s="151"/>
      <c r="L1018" s="151"/>
      <c r="M1018" s="151"/>
      <c r="N1018" s="151"/>
      <c r="O1018" s="151"/>
      <c r="P1018" s="151"/>
      <c r="Q1018" s="151"/>
      <c r="R1018" s="151"/>
      <c r="S1018" s="151"/>
      <c r="T1018" s="151"/>
    </row>
  </sheetData>
  <mergeCells count="118">
    <mergeCell ref="U2:U5"/>
    <mergeCell ref="M7:N7"/>
    <mergeCell ref="O7:P7"/>
    <mergeCell ref="Q7:R8"/>
    <mergeCell ref="S7:S8"/>
    <mergeCell ref="R9:R11"/>
    <mergeCell ref="S9:S17"/>
    <mergeCell ref="R12:R14"/>
    <mergeCell ref="F29:G29"/>
    <mergeCell ref="F30:G30"/>
    <mergeCell ref="K3:L4"/>
    <mergeCell ref="M4:N4"/>
    <mergeCell ref="O4:P4"/>
    <mergeCell ref="Q4:S4"/>
    <mergeCell ref="P6:S6"/>
    <mergeCell ref="B2:P2"/>
    <mergeCell ref="R2:S2"/>
    <mergeCell ref="B3:B4"/>
    <mergeCell ref="C3:E4"/>
    <mergeCell ref="F3:G4"/>
    <mergeCell ref="H3:J4"/>
    <mergeCell ref="M3:S3"/>
    <mergeCell ref="C5:E5"/>
    <mergeCell ref="F5:G5"/>
    <mergeCell ref="H5:J5"/>
    <mergeCell ref="K5:L5"/>
    <mergeCell ref="M5:N5"/>
    <mergeCell ref="O5:P5"/>
    <mergeCell ref="Q5:S5"/>
    <mergeCell ref="H48:H51"/>
    <mergeCell ref="F77:J77"/>
    <mergeCell ref="F78:J78"/>
    <mergeCell ref="B79:J79"/>
    <mergeCell ref="B80:J80"/>
    <mergeCell ref="K80:L80"/>
    <mergeCell ref="M80:N80"/>
    <mergeCell ref="G42:G53"/>
    <mergeCell ref="G54:G66"/>
    <mergeCell ref="H61:H62"/>
    <mergeCell ref="H64:H65"/>
    <mergeCell ref="G67:G72"/>
    <mergeCell ref="F75:J75"/>
    <mergeCell ref="F76:J76"/>
    <mergeCell ref="B7:C8"/>
    <mergeCell ref="B9:C35"/>
    <mergeCell ref="F24:G24"/>
    <mergeCell ref="F25:G25"/>
    <mergeCell ref="F26:G26"/>
    <mergeCell ref="F27:G27"/>
    <mergeCell ref="F28:G28"/>
    <mergeCell ref="B36:G36"/>
    <mergeCell ref="F37:G37"/>
    <mergeCell ref="F31:G31"/>
    <mergeCell ref="F32:G32"/>
    <mergeCell ref="D24:D28"/>
    <mergeCell ref="D29:D32"/>
    <mergeCell ref="B37:C72"/>
    <mergeCell ref="B73:G73"/>
    <mergeCell ref="B74:G74"/>
    <mergeCell ref="B75:E78"/>
    <mergeCell ref="D33:D35"/>
    <mergeCell ref="F33:G33"/>
    <mergeCell ref="F34:G34"/>
    <mergeCell ref="F35:G35"/>
    <mergeCell ref="F38:G38"/>
    <mergeCell ref="F39:G39"/>
    <mergeCell ref="F40:G40"/>
    <mergeCell ref="F41:G41"/>
    <mergeCell ref="Q78:R78"/>
    <mergeCell ref="Q79:R79"/>
    <mergeCell ref="O80:P80"/>
    <mergeCell ref="Q80:R80"/>
    <mergeCell ref="R24:R28"/>
    <mergeCell ref="Q29:R32"/>
    <mergeCell ref="Q33:R35"/>
    <mergeCell ref="Q36:R36"/>
    <mergeCell ref="Q37:R72"/>
    <mergeCell ref="Q73:R73"/>
    <mergeCell ref="Q74:R74"/>
    <mergeCell ref="S29:S32"/>
    <mergeCell ref="S33:S35"/>
    <mergeCell ref="S37:S72"/>
    <mergeCell ref="S75:S77"/>
    <mergeCell ref="R15:R17"/>
    <mergeCell ref="R18:R19"/>
    <mergeCell ref="S18:S19"/>
    <mergeCell ref="R20:R21"/>
    <mergeCell ref="S20:S23"/>
    <mergeCell ref="R22:R23"/>
    <mergeCell ref="S24:S28"/>
    <mergeCell ref="Q75:R77"/>
    <mergeCell ref="F22:G22"/>
    <mergeCell ref="F23:G23"/>
    <mergeCell ref="D15:D17"/>
    <mergeCell ref="D18:D21"/>
    <mergeCell ref="F18:G18"/>
    <mergeCell ref="F19:G19"/>
    <mergeCell ref="F20:G20"/>
    <mergeCell ref="F21:G21"/>
    <mergeCell ref="D22:D23"/>
    <mergeCell ref="F15:G15"/>
    <mergeCell ref="F16:G16"/>
    <mergeCell ref="F8:G8"/>
    <mergeCell ref="F9:G9"/>
    <mergeCell ref="D12:D14"/>
    <mergeCell ref="F12:G12"/>
    <mergeCell ref="F13:G13"/>
    <mergeCell ref="F14:G14"/>
    <mergeCell ref="F17:G17"/>
    <mergeCell ref="F10:G10"/>
    <mergeCell ref="F11:G11"/>
    <mergeCell ref="D7:D8"/>
    <mergeCell ref="E7:G7"/>
    <mergeCell ref="H7:H8"/>
    <mergeCell ref="I7:I8"/>
    <mergeCell ref="J7:J8"/>
    <mergeCell ref="K7:L7"/>
    <mergeCell ref="D9:D11"/>
  </mergeCells>
  <phoneticPr fontId="64" type="noConversion"/>
  <printOptions horizontalCentered="1"/>
  <pageMargins left="0.7" right="0.7" top="0.75" bottom="0.75" header="0" footer="0"/>
  <pageSetup paperSize="9" pageOrder="overThenDown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  <pageSetUpPr fitToPage="1"/>
  </sheetPr>
  <dimension ref="A1:V998"/>
  <sheetViews>
    <sheetView workbookViewId="0">
      <selection activeCell="H53" sqref="H53"/>
    </sheetView>
  </sheetViews>
  <sheetFormatPr defaultColWidth="12.6328125" defaultRowHeight="15.75" customHeight="1"/>
  <cols>
    <col min="1" max="1" width="4" customWidth="1"/>
    <col min="3" max="3" width="5.08984375" customWidth="1"/>
    <col min="4" max="4" width="27.36328125" customWidth="1"/>
    <col min="5" max="5" width="16.7265625" customWidth="1"/>
    <col min="6" max="6" width="5.6328125" customWidth="1"/>
    <col min="7" max="7" width="4.6328125" customWidth="1"/>
    <col min="8" max="19" width="7.08984375" customWidth="1"/>
    <col min="20" max="21" width="7.26953125" customWidth="1"/>
  </cols>
  <sheetData>
    <row r="1" spans="1:22" ht="15.75" customHeight="1">
      <c r="A1" s="2"/>
      <c r="B1" s="3"/>
      <c r="C1" s="4"/>
      <c r="D1" s="4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ht="27" customHeight="1">
      <c r="A2" s="4"/>
      <c r="B2" s="245" t="s">
        <v>1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5"/>
    </row>
    <row r="3" spans="1:22" ht="15.75" customHeight="1">
      <c r="A3" s="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246" t="s">
        <v>2</v>
      </c>
      <c r="O3" s="211"/>
      <c r="P3" s="207"/>
      <c r="Q3" s="246" t="s">
        <v>3</v>
      </c>
      <c r="R3" s="211"/>
      <c r="S3" s="207"/>
      <c r="T3" s="246" t="s">
        <v>4</v>
      </c>
      <c r="U3" s="207"/>
      <c r="V3" s="5"/>
    </row>
    <row r="4" spans="1:22" ht="31" customHeight="1">
      <c r="A4" s="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47" t="s">
        <v>5</v>
      </c>
      <c r="O4" s="211"/>
      <c r="P4" s="207"/>
      <c r="Q4" s="248" t="s">
        <v>6</v>
      </c>
      <c r="R4" s="211"/>
      <c r="S4" s="207"/>
      <c r="T4" s="249">
        <v>2027</v>
      </c>
      <c r="U4" s="207"/>
      <c r="V4" s="5"/>
    </row>
    <row r="5" spans="1:22" ht="15.75" customHeight="1">
      <c r="A5" s="4"/>
      <c r="B5" s="253"/>
      <c r="C5" s="226"/>
      <c r="D5" s="4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</row>
    <row r="6" spans="1:22" ht="15.75" customHeight="1">
      <c r="A6" s="4"/>
      <c r="B6" s="254" t="s">
        <v>8</v>
      </c>
      <c r="C6" s="254" t="s">
        <v>9</v>
      </c>
      <c r="D6" s="254" t="s">
        <v>10</v>
      </c>
      <c r="E6" s="254" t="s">
        <v>11</v>
      </c>
      <c r="F6" s="254" t="s">
        <v>12</v>
      </c>
      <c r="G6" s="301" t="s">
        <v>13</v>
      </c>
      <c r="H6" s="251" t="s">
        <v>14</v>
      </c>
      <c r="I6" s="211"/>
      <c r="J6" s="211"/>
      <c r="K6" s="207"/>
      <c r="L6" s="251" t="s">
        <v>15</v>
      </c>
      <c r="M6" s="211"/>
      <c r="N6" s="211"/>
      <c r="O6" s="207"/>
      <c r="P6" s="251" t="s">
        <v>16</v>
      </c>
      <c r="Q6" s="211"/>
      <c r="R6" s="211"/>
      <c r="S6" s="207"/>
      <c r="T6" s="252" t="s">
        <v>17</v>
      </c>
      <c r="U6" s="252" t="s">
        <v>18</v>
      </c>
      <c r="V6" s="5"/>
    </row>
    <row r="7" spans="1:22" ht="15.75" customHeight="1">
      <c r="A7" s="4"/>
      <c r="B7" s="213"/>
      <c r="C7" s="213"/>
      <c r="D7" s="213"/>
      <c r="E7" s="213"/>
      <c r="F7" s="213"/>
      <c r="G7" s="302"/>
      <c r="H7" s="250" t="s">
        <v>19</v>
      </c>
      <c r="I7" s="207"/>
      <c r="J7" s="250" t="s">
        <v>20</v>
      </c>
      <c r="K7" s="207"/>
      <c r="L7" s="250" t="s">
        <v>19</v>
      </c>
      <c r="M7" s="207"/>
      <c r="N7" s="250" t="s">
        <v>20</v>
      </c>
      <c r="O7" s="207"/>
      <c r="P7" s="250" t="s">
        <v>19</v>
      </c>
      <c r="Q7" s="207"/>
      <c r="R7" s="250" t="s">
        <v>20</v>
      </c>
      <c r="S7" s="207"/>
      <c r="T7" s="213"/>
      <c r="U7" s="213"/>
      <c r="V7" s="5"/>
    </row>
    <row r="8" spans="1:22" ht="15.75" customHeight="1">
      <c r="A8" s="4"/>
      <c r="B8" s="209"/>
      <c r="C8" s="209"/>
      <c r="D8" s="209"/>
      <c r="E8" s="209"/>
      <c r="F8" s="209"/>
      <c r="G8" s="303"/>
      <c r="H8" s="304" t="s">
        <v>21</v>
      </c>
      <c r="I8" s="304" t="s">
        <v>22</v>
      </c>
      <c r="J8" s="304" t="s">
        <v>21</v>
      </c>
      <c r="K8" s="304" t="s">
        <v>22</v>
      </c>
      <c r="L8" s="304" t="s">
        <v>21</v>
      </c>
      <c r="M8" s="304" t="s">
        <v>22</v>
      </c>
      <c r="N8" s="304" t="s">
        <v>21</v>
      </c>
      <c r="O8" s="304" t="s">
        <v>22</v>
      </c>
      <c r="P8" s="304" t="s">
        <v>21</v>
      </c>
      <c r="Q8" s="304" t="s">
        <v>22</v>
      </c>
      <c r="R8" s="304" t="s">
        <v>21</v>
      </c>
      <c r="S8" s="304" t="s">
        <v>22</v>
      </c>
      <c r="T8" s="209"/>
      <c r="U8" s="209"/>
      <c r="V8" s="5"/>
    </row>
    <row r="9" spans="1:22" ht="15.75" customHeight="1">
      <c r="A9" s="7"/>
      <c r="B9" s="255" t="s">
        <v>23</v>
      </c>
      <c r="C9" s="255">
        <v>8</v>
      </c>
      <c r="D9" s="8" t="s">
        <v>24</v>
      </c>
      <c r="E9" s="8" t="s">
        <v>25</v>
      </c>
      <c r="F9" s="8">
        <v>16</v>
      </c>
      <c r="G9" s="9">
        <v>3</v>
      </c>
      <c r="H9" s="9">
        <v>1</v>
      </c>
      <c r="I9" s="9">
        <v>16</v>
      </c>
      <c r="J9" s="10"/>
      <c r="K9" s="10"/>
      <c r="L9" s="10"/>
      <c r="M9" s="10"/>
      <c r="N9" s="10"/>
      <c r="O9" s="10"/>
      <c r="P9" s="11"/>
      <c r="Q9" s="11"/>
      <c r="R9" s="10"/>
      <c r="S9" s="10"/>
      <c r="T9" s="12">
        <v>1</v>
      </c>
      <c r="U9" s="12">
        <v>16</v>
      </c>
      <c r="V9" s="5"/>
    </row>
    <row r="10" spans="1:22" ht="15.75" customHeight="1">
      <c r="A10" s="5"/>
      <c r="B10" s="213"/>
      <c r="C10" s="213"/>
      <c r="D10" s="13" t="s">
        <v>26</v>
      </c>
      <c r="E10" s="13" t="s">
        <v>27</v>
      </c>
      <c r="F10" s="8">
        <v>16</v>
      </c>
      <c r="G10" s="9">
        <v>3</v>
      </c>
      <c r="H10" s="9">
        <v>1</v>
      </c>
      <c r="I10" s="9">
        <v>16</v>
      </c>
      <c r="J10" s="10"/>
      <c r="K10" s="10"/>
      <c r="L10" s="10"/>
      <c r="M10" s="10"/>
      <c r="N10" s="10"/>
      <c r="O10" s="10"/>
      <c r="P10" s="10"/>
      <c r="Q10" s="10"/>
      <c r="R10" s="11"/>
      <c r="S10" s="11"/>
      <c r="T10" s="12">
        <v>1</v>
      </c>
      <c r="U10" s="12">
        <v>16</v>
      </c>
      <c r="V10" s="5"/>
    </row>
    <row r="11" spans="1:22" ht="15.75" customHeight="1">
      <c r="A11" s="5"/>
      <c r="B11" s="213"/>
      <c r="C11" s="213"/>
      <c r="D11" s="13" t="s">
        <v>28</v>
      </c>
      <c r="E11" s="13" t="s">
        <v>29</v>
      </c>
      <c r="F11" s="8">
        <v>24</v>
      </c>
      <c r="G11" s="9">
        <v>4</v>
      </c>
      <c r="H11" s="9">
        <v>1</v>
      </c>
      <c r="I11" s="9">
        <v>16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>
        <v>1</v>
      </c>
      <c r="U11" s="12">
        <v>16</v>
      </c>
      <c r="V11" s="5" t="str">
        <f>IF(C51=T53,"","오류")</f>
        <v/>
      </c>
    </row>
    <row r="12" spans="1:22" ht="15.75" customHeight="1">
      <c r="A12" s="5"/>
      <c r="B12" s="213"/>
      <c r="C12" s="213"/>
      <c r="D12" s="13" t="s">
        <v>30</v>
      </c>
      <c r="E12" s="13" t="s">
        <v>31</v>
      </c>
      <c r="F12" s="8">
        <v>24</v>
      </c>
      <c r="G12" s="9">
        <v>4</v>
      </c>
      <c r="H12" s="9">
        <v>1</v>
      </c>
      <c r="I12" s="9">
        <v>16</v>
      </c>
      <c r="J12" s="12"/>
      <c r="K12" s="12"/>
      <c r="L12" s="11"/>
      <c r="M12" s="10"/>
      <c r="N12" s="11"/>
      <c r="O12" s="10"/>
      <c r="P12" s="10"/>
      <c r="Q12" s="10"/>
      <c r="R12" s="10"/>
      <c r="S12" s="10"/>
      <c r="T12" s="12">
        <v>2</v>
      </c>
      <c r="U12" s="12">
        <v>32</v>
      </c>
      <c r="V12" s="5"/>
    </row>
    <row r="13" spans="1:22" ht="15.75" customHeight="1">
      <c r="A13" s="5"/>
      <c r="B13" s="213"/>
      <c r="C13" s="213"/>
      <c r="D13" s="13" t="s">
        <v>32</v>
      </c>
      <c r="E13" s="13" t="s">
        <v>33</v>
      </c>
      <c r="F13" s="8">
        <v>16</v>
      </c>
      <c r="G13" s="9">
        <v>3</v>
      </c>
      <c r="H13" s="10"/>
      <c r="I13" s="10"/>
      <c r="J13" s="9">
        <v>2</v>
      </c>
      <c r="K13" s="9">
        <v>32</v>
      </c>
      <c r="L13" s="11"/>
      <c r="M13" s="10"/>
      <c r="N13" s="11"/>
      <c r="O13" s="10"/>
      <c r="P13" s="10"/>
      <c r="Q13" s="10"/>
      <c r="R13" s="10"/>
      <c r="S13" s="10"/>
      <c r="T13" s="12">
        <v>1</v>
      </c>
      <c r="U13" s="12">
        <v>16</v>
      </c>
      <c r="V13" s="5"/>
    </row>
    <row r="14" spans="1:22" ht="15.75" customHeight="1">
      <c r="A14" s="5"/>
      <c r="B14" s="213"/>
      <c r="C14" s="213"/>
      <c r="D14" s="297" t="s">
        <v>34</v>
      </c>
      <c r="E14" s="13" t="s">
        <v>35</v>
      </c>
      <c r="F14" s="8">
        <v>16</v>
      </c>
      <c r="G14" s="9">
        <v>2</v>
      </c>
      <c r="H14" s="10"/>
      <c r="I14" s="10"/>
      <c r="J14" s="9">
        <v>1</v>
      </c>
      <c r="K14" s="9">
        <v>16</v>
      </c>
      <c r="L14" s="11"/>
      <c r="M14" s="11"/>
      <c r="N14" s="11"/>
      <c r="O14" s="11"/>
      <c r="P14" s="11"/>
      <c r="Q14" s="11"/>
      <c r="R14" s="11"/>
      <c r="S14" s="11"/>
      <c r="T14" s="12">
        <v>1</v>
      </c>
      <c r="U14" s="12">
        <v>16</v>
      </c>
      <c r="V14" s="5"/>
    </row>
    <row r="15" spans="1:22" ht="15.75" customHeight="1">
      <c r="A15" s="5"/>
      <c r="B15" s="213"/>
      <c r="C15" s="213"/>
      <c r="D15" s="13" t="s">
        <v>36</v>
      </c>
      <c r="E15" s="13" t="s">
        <v>37</v>
      </c>
      <c r="F15" s="8">
        <v>16</v>
      </c>
      <c r="G15" s="9">
        <v>3</v>
      </c>
      <c r="H15" s="10"/>
      <c r="I15" s="10"/>
      <c r="J15" s="9">
        <v>1</v>
      </c>
      <c r="K15" s="9">
        <v>16</v>
      </c>
      <c r="L15" s="11"/>
      <c r="M15" s="10"/>
      <c r="N15" s="11"/>
      <c r="O15" s="10"/>
      <c r="P15" s="10"/>
      <c r="Q15" s="10"/>
      <c r="R15" s="10"/>
      <c r="S15" s="10"/>
      <c r="T15" s="12">
        <v>1</v>
      </c>
      <c r="U15" s="12">
        <v>16</v>
      </c>
      <c r="V15" s="5"/>
    </row>
    <row r="16" spans="1:22" ht="15.75" customHeight="1">
      <c r="A16" s="5"/>
      <c r="B16" s="213"/>
      <c r="C16" s="213"/>
      <c r="D16" s="14" t="s">
        <v>38</v>
      </c>
      <c r="E16" s="14" t="s">
        <v>39</v>
      </c>
      <c r="F16" s="15">
        <v>24</v>
      </c>
      <c r="G16" s="16">
        <v>4</v>
      </c>
      <c r="H16" s="17"/>
      <c r="I16" s="17"/>
      <c r="J16" s="17"/>
      <c r="K16" s="17"/>
      <c r="L16" s="17"/>
      <c r="M16" s="17"/>
      <c r="N16" s="17"/>
      <c r="O16" s="17"/>
      <c r="P16" s="16"/>
      <c r="Q16" s="16"/>
      <c r="R16" s="16"/>
      <c r="S16" s="16"/>
      <c r="T16" s="18">
        <f t="shared" ref="T16:T18" si="0">SUM(H16,J16,L16,N16,P16,R16)</f>
        <v>0</v>
      </c>
      <c r="U16" s="16">
        <f t="shared" ref="U16:U18" si="1">T16*16</f>
        <v>0</v>
      </c>
      <c r="V16" s="5"/>
    </row>
    <row r="17" spans="1:22" ht="15.75" customHeight="1">
      <c r="A17" s="5"/>
      <c r="B17" s="213"/>
      <c r="C17" s="213"/>
      <c r="D17" s="14" t="s">
        <v>40</v>
      </c>
      <c r="E17" s="14" t="s">
        <v>41</v>
      </c>
      <c r="F17" s="15">
        <v>16</v>
      </c>
      <c r="G17" s="16">
        <v>3</v>
      </c>
      <c r="H17" s="17"/>
      <c r="I17" s="17"/>
      <c r="J17" s="17"/>
      <c r="K17" s="17"/>
      <c r="L17" s="17"/>
      <c r="M17" s="17"/>
      <c r="N17" s="17"/>
      <c r="O17" s="17"/>
      <c r="P17" s="16"/>
      <c r="Q17" s="16"/>
      <c r="R17" s="16"/>
      <c r="S17" s="16"/>
      <c r="T17" s="18">
        <f t="shared" si="0"/>
        <v>0</v>
      </c>
      <c r="U17" s="16">
        <f t="shared" si="1"/>
        <v>0</v>
      </c>
      <c r="V17" s="5"/>
    </row>
    <row r="18" spans="1:22" ht="15.75" customHeight="1">
      <c r="A18" s="5"/>
      <c r="B18" s="213"/>
      <c r="C18" s="213"/>
      <c r="D18" s="14" t="s">
        <v>42</v>
      </c>
      <c r="E18" s="14" t="s">
        <v>43</v>
      </c>
      <c r="F18" s="15">
        <v>24</v>
      </c>
      <c r="G18" s="16">
        <v>4</v>
      </c>
      <c r="H18" s="17"/>
      <c r="I18" s="17"/>
      <c r="J18" s="17"/>
      <c r="K18" s="17"/>
      <c r="L18" s="17"/>
      <c r="M18" s="17"/>
      <c r="N18" s="17"/>
      <c r="O18" s="17"/>
      <c r="P18" s="16"/>
      <c r="Q18" s="16"/>
      <c r="R18" s="16"/>
      <c r="S18" s="16"/>
      <c r="T18" s="18">
        <f t="shared" si="0"/>
        <v>0</v>
      </c>
      <c r="U18" s="16">
        <f t="shared" si="1"/>
        <v>0</v>
      </c>
      <c r="V18" s="5"/>
    </row>
    <row r="19" spans="1:22" ht="15.75" customHeight="1">
      <c r="A19" s="5"/>
      <c r="B19" s="209"/>
      <c r="C19" s="209"/>
      <c r="D19" s="243" t="s">
        <v>44</v>
      </c>
      <c r="E19" s="207"/>
      <c r="F19" s="19"/>
      <c r="G19" s="20"/>
      <c r="H19" s="21">
        <f t="shared" ref="H19:U19" si="2">SUM(H9:H15)</f>
        <v>4</v>
      </c>
      <c r="I19" s="21">
        <f t="shared" si="2"/>
        <v>64</v>
      </c>
      <c r="J19" s="21">
        <f t="shared" si="2"/>
        <v>4</v>
      </c>
      <c r="K19" s="21">
        <f t="shared" si="2"/>
        <v>64</v>
      </c>
      <c r="L19" s="21">
        <f t="shared" si="2"/>
        <v>0</v>
      </c>
      <c r="M19" s="21">
        <f t="shared" si="2"/>
        <v>0</v>
      </c>
      <c r="N19" s="21">
        <f t="shared" si="2"/>
        <v>0</v>
      </c>
      <c r="O19" s="21">
        <f t="shared" si="2"/>
        <v>0</v>
      </c>
      <c r="P19" s="21">
        <f t="shared" si="2"/>
        <v>0</v>
      </c>
      <c r="Q19" s="21">
        <f t="shared" si="2"/>
        <v>0</v>
      </c>
      <c r="R19" s="21">
        <f t="shared" si="2"/>
        <v>0</v>
      </c>
      <c r="S19" s="21">
        <f t="shared" si="2"/>
        <v>0</v>
      </c>
      <c r="T19" s="21">
        <f t="shared" si="2"/>
        <v>8</v>
      </c>
      <c r="U19" s="21">
        <f t="shared" si="2"/>
        <v>128</v>
      </c>
      <c r="V19" s="5"/>
    </row>
    <row r="20" spans="1:22" ht="15.75" customHeight="1">
      <c r="A20" s="22"/>
      <c r="B20" s="244" t="s">
        <v>45</v>
      </c>
      <c r="C20" s="242">
        <v>18</v>
      </c>
      <c r="D20" s="23" t="s">
        <v>46</v>
      </c>
      <c r="E20" s="24" t="s">
        <v>47</v>
      </c>
      <c r="F20" s="25">
        <v>45</v>
      </c>
      <c r="G20" s="26">
        <v>3</v>
      </c>
      <c r="H20" s="27"/>
      <c r="I20" s="27"/>
      <c r="J20" s="27"/>
      <c r="K20" s="27"/>
      <c r="L20" s="28">
        <v>3</v>
      </c>
      <c r="M20" s="28">
        <f t="shared" ref="M20:M23" si="3">L20*16</f>
        <v>48</v>
      </c>
      <c r="N20" s="27"/>
      <c r="O20" s="27"/>
      <c r="P20" s="27"/>
      <c r="Q20" s="27"/>
      <c r="R20" s="27"/>
      <c r="S20" s="27"/>
      <c r="T20" s="29">
        <f t="shared" ref="T20:T26" si="4">SUM(H20,J20,L20,N20,P20,R20)</f>
        <v>3</v>
      </c>
      <c r="U20" s="26">
        <f t="shared" ref="U20:U26" si="5">T20*16</f>
        <v>48</v>
      </c>
      <c r="V20" s="5" t="str">
        <f>IF(C35=T40,"","오류")</f>
        <v/>
      </c>
    </row>
    <row r="21" spans="1:22" ht="15.75" customHeight="1">
      <c r="A21" s="4"/>
      <c r="B21" s="213"/>
      <c r="C21" s="213"/>
      <c r="D21" s="30" t="s">
        <v>48</v>
      </c>
      <c r="E21" s="31" t="s">
        <v>49</v>
      </c>
      <c r="F21" s="25">
        <v>45</v>
      </c>
      <c r="G21" s="26">
        <v>3</v>
      </c>
      <c r="H21" s="27"/>
      <c r="I21" s="27"/>
      <c r="J21" s="27"/>
      <c r="K21" s="27"/>
      <c r="L21" s="28">
        <v>2</v>
      </c>
      <c r="M21" s="28">
        <f t="shared" si="3"/>
        <v>32</v>
      </c>
      <c r="N21" s="26"/>
      <c r="O21" s="26"/>
      <c r="P21" s="27"/>
      <c r="Q21" s="27"/>
      <c r="R21" s="27"/>
      <c r="S21" s="27"/>
      <c r="T21" s="29">
        <f t="shared" si="4"/>
        <v>2</v>
      </c>
      <c r="U21" s="26">
        <f t="shared" si="5"/>
        <v>32</v>
      </c>
      <c r="V21" s="5"/>
    </row>
    <row r="22" spans="1:22" ht="15.75" customHeight="1">
      <c r="A22" s="4"/>
      <c r="B22" s="213"/>
      <c r="C22" s="213"/>
      <c r="D22" s="9" t="s">
        <v>50</v>
      </c>
      <c r="E22" s="9" t="s">
        <v>51</v>
      </c>
      <c r="F22" s="25">
        <v>50</v>
      </c>
      <c r="G22" s="26">
        <v>2</v>
      </c>
      <c r="H22" s="27"/>
      <c r="I22" s="27"/>
      <c r="J22" s="27"/>
      <c r="K22" s="27"/>
      <c r="L22" s="28">
        <v>3</v>
      </c>
      <c r="M22" s="28">
        <f t="shared" si="3"/>
        <v>48</v>
      </c>
      <c r="N22" s="27"/>
      <c r="O22" s="27"/>
      <c r="P22" s="27"/>
      <c r="Q22" s="27"/>
      <c r="R22" s="27"/>
      <c r="S22" s="27"/>
      <c r="T22" s="29">
        <f t="shared" si="4"/>
        <v>3</v>
      </c>
      <c r="U22" s="26">
        <f t="shared" si="5"/>
        <v>48</v>
      </c>
      <c r="V22" s="5"/>
    </row>
    <row r="23" spans="1:22" ht="15.75" customHeight="1">
      <c r="A23" s="4"/>
      <c r="B23" s="213"/>
      <c r="C23" s="213"/>
      <c r="D23" s="9" t="s">
        <v>52</v>
      </c>
      <c r="E23" s="9" t="s">
        <v>54</v>
      </c>
      <c r="F23" s="26">
        <v>50</v>
      </c>
      <c r="G23" s="26">
        <v>3</v>
      </c>
      <c r="H23" s="27"/>
      <c r="I23" s="27"/>
      <c r="J23" s="27"/>
      <c r="K23" s="27"/>
      <c r="L23" s="28">
        <v>2</v>
      </c>
      <c r="M23" s="28">
        <f t="shared" si="3"/>
        <v>32</v>
      </c>
      <c r="N23" s="27"/>
      <c r="O23" s="27"/>
      <c r="P23" s="27"/>
      <c r="Q23" s="27"/>
      <c r="R23" s="27"/>
      <c r="S23" s="27"/>
      <c r="T23" s="29">
        <f t="shared" si="4"/>
        <v>2</v>
      </c>
      <c r="U23" s="26">
        <f t="shared" si="5"/>
        <v>32</v>
      </c>
      <c r="V23" s="5"/>
    </row>
    <row r="24" spans="1:22" ht="15.75" customHeight="1">
      <c r="A24" s="4"/>
      <c r="B24" s="213"/>
      <c r="C24" s="213"/>
      <c r="D24" s="9" t="s">
        <v>55</v>
      </c>
      <c r="E24" s="9" t="s">
        <v>56</v>
      </c>
      <c r="F24" s="25">
        <v>90</v>
      </c>
      <c r="G24" s="26">
        <v>3</v>
      </c>
      <c r="H24" s="27"/>
      <c r="I24" s="27"/>
      <c r="J24" s="27"/>
      <c r="K24" s="27"/>
      <c r="L24" s="26"/>
      <c r="M24" s="26"/>
      <c r="N24" s="28">
        <v>2</v>
      </c>
      <c r="O24" s="28">
        <f t="shared" ref="O24:O26" si="6">N24*16</f>
        <v>32</v>
      </c>
      <c r="P24" s="27"/>
      <c r="Q24" s="27"/>
      <c r="R24" s="27"/>
      <c r="S24" s="27"/>
      <c r="T24" s="29">
        <f t="shared" si="4"/>
        <v>2</v>
      </c>
      <c r="U24" s="26">
        <f t="shared" si="5"/>
        <v>32</v>
      </c>
      <c r="V24" s="5"/>
    </row>
    <row r="25" spans="1:22" ht="15.75" customHeight="1">
      <c r="A25" s="4"/>
      <c r="B25" s="213"/>
      <c r="C25" s="213"/>
      <c r="D25" s="298" t="s">
        <v>57</v>
      </c>
      <c r="E25" s="9" t="s">
        <v>58</v>
      </c>
      <c r="F25" s="26">
        <v>60</v>
      </c>
      <c r="G25" s="26">
        <v>4</v>
      </c>
      <c r="H25" s="27"/>
      <c r="I25" s="27"/>
      <c r="J25" s="27"/>
      <c r="K25" s="27"/>
      <c r="L25" s="27"/>
      <c r="M25" s="27"/>
      <c r="N25" s="28">
        <v>4</v>
      </c>
      <c r="O25" s="28">
        <f t="shared" si="6"/>
        <v>64</v>
      </c>
      <c r="P25" s="27"/>
      <c r="Q25" s="27"/>
      <c r="R25" s="27"/>
      <c r="S25" s="27"/>
      <c r="T25" s="29">
        <f t="shared" si="4"/>
        <v>4</v>
      </c>
      <c r="U25" s="26">
        <f t="shared" si="5"/>
        <v>64</v>
      </c>
      <c r="V25" s="5"/>
    </row>
    <row r="26" spans="1:22" ht="15.75" customHeight="1">
      <c r="A26" s="4"/>
      <c r="B26" s="213"/>
      <c r="C26" s="213"/>
      <c r="D26" s="40" t="s">
        <v>59</v>
      </c>
      <c r="E26" s="33" t="s">
        <v>61</v>
      </c>
      <c r="F26" s="26">
        <v>45</v>
      </c>
      <c r="G26" s="26">
        <v>2</v>
      </c>
      <c r="H26" s="27"/>
      <c r="I26" s="27"/>
      <c r="J26" s="27"/>
      <c r="K26" s="27"/>
      <c r="L26" s="27"/>
      <c r="M26" s="27"/>
      <c r="N26" s="26">
        <v>2</v>
      </c>
      <c r="O26" s="26">
        <f t="shared" si="6"/>
        <v>32</v>
      </c>
      <c r="P26" s="27"/>
      <c r="Q26" s="27"/>
      <c r="R26" s="27"/>
      <c r="S26" s="27"/>
      <c r="T26" s="29">
        <f t="shared" si="4"/>
        <v>2</v>
      </c>
      <c r="U26" s="26">
        <f t="shared" si="5"/>
        <v>32</v>
      </c>
      <c r="V26" s="5"/>
    </row>
    <row r="27" spans="1:22" ht="15.75" customHeight="1">
      <c r="A27" s="4"/>
      <c r="B27" s="209"/>
      <c r="C27" s="209"/>
      <c r="D27" s="243" t="s">
        <v>44</v>
      </c>
      <c r="E27" s="207"/>
      <c r="F27" s="20"/>
      <c r="G27" s="35"/>
      <c r="H27" s="21">
        <f t="shared" ref="H27:U27" si="7">SUM(H20:H26)</f>
        <v>0</v>
      </c>
      <c r="I27" s="21">
        <f t="shared" si="7"/>
        <v>0</v>
      </c>
      <c r="J27" s="21">
        <f t="shared" si="7"/>
        <v>0</v>
      </c>
      <c r="K27" s="21">
        <f t="shared" si="7"/>
        <v>0</v>
      </c>
      <c r="L27" s="21">
        <f t="shared" si="7"/>
        <v>10</v>
      </c>
      <c r="M27" s="21">
        <f t="shared" si="7"/>
        <v>160</v>
      </c>
      <c r="N27" s="21">
        <f t="shared" si="7"/>
        <v>8</v>
      </c>
      <c r="O27" s="21">
        <f t="shared" si="7"/>
        <v>128</v>
      </c>
      <c r="P27" s="21">
        <f t="shared" si="7"/>
        <v>0</v>
      </c>
      <c r="Q27" s="21">
        <f t="shared" si="7"/>
        <v>0</v>
      </c>
      <c r="R27" s="21">
        <f t="shared" si="7"/>
        <v>0</v>
      </c>
      <c r="S27" s="21">
        <f t="shared" si="7"/>
        <v>0</v>
      </c>
      <c r="T27" s="21">
        <f t="shared" si="7"/>
        <v>18</v>
      </c>
      <c r="U27" s="21">
        <f t="shared" si="7"/>
        <v>288</v>
      </c>
      <c r="V27" s="5" t="str">
        <f>IF(C28=T34,"","오류")</f>
        <v/>
      </c>
    </row>
    <row r="28" spans="1:22" ht="15.75" customHeight="1">
      <c r="A28" s="22"/>
      <c r="B28" s="244" t="s">
        <v>60</v>
      </c>
      <c r="C28" s="242">
        <v>13</v>
      </c>
      <c r="D28" s="23" t="s">
        <v>64</v>
      </c>
      <c r="E28" s="24" t="s">
        <v>65</v>
      </c>
      <c r="F28" s="25">
        <v>60</v>
      </c>
      <c r="G28" s="26">
        <v>3</v>
      </c>
      <c r="H28" s="27"/>
      <c r="I28" s="27"/>
      <c r="J28" s="27"/>
      <c r="K28" s="27"/>
      <c r="L28" s="26"/>
      <c r="M28" s="26"/>
      <c r="N28" s="28">
        <v>1</v>
      </c>
      <c r="O28" s="39">
        <f t="shared" ref="O28:O30" si="8">N28*16</f>
        <v>16</v>
      </c>
      <c r="P28" s="27"/>
      <c r="Q28" s="27"/>
      <c r="R28" s="27"/>
      <c r="S28" s="27"/>
      <c r="T28" s="29">
        <f t="shared" ref="T28:T33" si="9">SUM(H28,J28,L28,N28,P28,R28)</f>
        <v>1</v>
      </c>
      <c r="U28" s="26">
        <f t="shared" ref="U28:U33" si="10">T28*16</f>
        <v>16</v>
      </c>
      <c r="V28" s="5"/>
    </row>
    <row r="29" spans="1:22" ht="15.75" customHeight="1">
      <c r="A29" s="4"/>
      <c r="B29" s="213"/>
      <c r="C29" s="213"/>
      <c r="D29" s="30" t="s">
        <v>66</v>
      </c>
      <c r="E29" s="31" t="s">
        <v>67</v>
      </c>
      <c r="F29" s="25">
        <v>45</v>
      </c>
      <c r="G29" s="26">
        <v>2</v>
      </c>
      <c r="H29" s="27"/>
      <c r="I29" s="27"/>
      <c r="J29" s="27"/>
      <c r="K29" s="27"/>
      <c r="L29" s="26"/>
      <c r="M29" s="26"/>
      <c r="N29" s="28">
        <v>2</v>
      </c>
      <c r="O29" s="39">
        <f t="shared" si="8"/>
        <v>32</v>
      </c>
      <c r="P29" s="27"/>
      <c r="Q29" s="27"/>
      <c r="R29" s="27"/>
      <c r="S29" s="27"/>
      <c r="T29" s="29">
        <f t="shared" si="9"/>
        <v>2</v>
      </c>
      <c r="U29" s="26">
        <f t="shared" si="10"/>
        <v>32</v>
      </c>
      <c r="V29" s="5"/>
    </row>
    <row r="30" spans="1:22" ht="15.75" customHeight="1">
      <c r="A30" s="4"/>
      <c r="B30" s="213"/>
      <c r="C30" s="213"/>
      <c r="D30" s="40" t="s">
        <v>70</v>
      </c>
      <c r="E30" s="33" t="s">
        <v>71</v>
      </c>
      <c r="F30" s="25">
        <v>45</v>
      </c>
      <c r="G30" s="26">
        <v>2</v>
      </c>
      <c r="H30" s="27"/>
      <c r="I30" s="27"/>
      <c r="J30" s="27"/>
      <c r="K30" s="27"/>
      <c r="L30" s="26"/>
      <c r="M30" s="26"/>
      <c r="N30" s="27">
        <v>2</v>
      </c>
      <c r="O30" s="27">
        <f t="shared" si="8"/>
        <v>32</v>
      </c>
      <c r="P30" s="27"/>
      <c r="Q30" s="27"/>
      <c r="R30" s="27"/>
      <c r="S30" s="27"/>
      <c r="T30" s="29">
        <f t="shared" si="9"/>
        <v>2</v>
      </c>
      <c r="U30" s="26">
        <f t="shared" si="10"/>
        <v>32</v>
      </c>
      <c r="V30" s="5"/>
    </row>
    <row r="31" spans="1:22" ht="15.75" customHeight="1">
      <c r="A31" s="4"/>
      <c r="B31" s="213"/>
      <c r="C31" s="213"/>
      <c r="D31" s="40" t="s">
        <v>68</v>
      </c>
      <c r="E31" s="33" t="s">
        <v>69</v>
      </c>
      <c r="F31" s="26">
        <v>60</v>
      </c>
      <c r="G31" s="26">
        <v>2</v>
      </c>
      <c r="H31" s="27"/>
      <c r="I31" s="27"/>
      <c r="J31" s="27"/>
      <c r="K31" s="27"/>
      <c r="L31" s="27"/>
      <c r="M31" s="27"/>
      <c r="N31" s="26"/>
      <c r="O31" s="26"/>
      <c r="P31" s="26">
        <v>3</v>
      </c>
      <c r="Q31" s="27">
        <f t="shared" ref="Q31:Q33" si="11">P31*16</f>
        <v>48</v>
      </c>
      <c r="R31" s="27"/>
      <c r="S31" s="27"/>
      <c r="T31" s="29">
        <f t="shared" si="9"/>
        <v>3</v>
      </c>
      <c r="U31" s="26">
        <f t="shared" si="10"/>
        <v>48</v>
      </c>
      <c r="V31" s="5"/>
    </row>
    <row r="32" spans="1:22" ht="15.75" customHeight="1">
      <c r="A32" s="4"/>
      <c r="B32" s="213"/>
      <c r="C32" s="213"/>
      <c r="D32" s="40" t="s">
        <v>73</v>
      </c>
      <c r="E32" s="41" t="s">
        <v>74</v>
      </c>
      <c r="F32" s="25">
        <v>60</v>
      </c>
      <c r="G32" s="26">
        <v>3</v>
      </c>
      <c r="H32" s="27"/>
      <c r="I32" s="27"/>
      <c r="J32" s="27"/>
      <c r="K32" s="27"/>
      <c r="L32" s="27"/>
      <c r="M32" s="27"/>
      <c r="N32" s="26"/>
      <c r="O32" s="26"/>
      <c r="P32" s="26">
        <v>2</v>
      </c>
      <c r="Q32" s="27">
        <f t="shared" si="11"/>
        <v>32</v>
      </c>
      <c r="R32" s="27"/>
      <c r="S32" s="27"/>
      <c r="T32" s="29">
        <f t="shared" si="9"/>
        <v>2</v>
      </c>
      <c r="U32" s="26">
        <f t="shared" si="10"/>
        <v>32</v>
      </c>
      <c r="V32" s="5"/>
    </row>
    <row r="33" spans="1:22" ht="15.75" customHeight="1">
      <c r="A33" s="4"/>
      <c r="B33" s="213"/>
      <c r="C33" s="213"/>
      <c r="D33" s="40" t="s">
        <v>75</v>
      </c>
      <c r="E33" s="33" t="s">
        <v>76</v>
      </c>
      <c r="F33" s="42">
        <v>50</v>
      </c>
      <c r="G33" s="26">
        <v>3</v>
      </c>
      <c r="H33" s="27"/>
      <c r="I33" s="27"/>
      <c r="J33" s="27"/>
      <c r="K33" s="27"/>
      <c r="L33" s="27"/>
      <c r="M33" s="43"/>
      <c r="N33" s="44"/>
      <c r="O33" s="44"/>
      <c r="P33" s="25">
        <v>3</v>
      </c>
      <c r="Q33" s="27">
        <f t="shared" si="11"/>
        <v>48</v>
      </c>
      <c r="R33" s="27"/>
      <c r="S33" s="27"/>
      <c r="T33" s="29">
        <f t="shared" si="9"/>
        <v>3</v>
      </c>
      <c r="U33" s="26">
        <f t="shared" si="10"/>
        <v>48</v>
      </c>
      <c r="V33" s="5"/>
    </row>
    <row r="34" spans="1:22" ht="15.75" customHeight="1">
      <c r="A34" s="4"/>
      <c r="B34" s="209"/>
      <c r="C34" s="209"/>
      <c r="D34" s="243" t="s">
        <v>44</v>
      </c>
      <c r="E34" s="207"/>
      <c r="F34" s="19"/>
      <c r="G34" s="20"/>
      <c r="H34" s="21">
        <f t="shared" ref="H34:M34" si="12">SUM(H28:H33)</f>
        <v>0</v>
      </c>
      <c r="I34" s="21">
        <f t="shared" si="12"/>
        <v>0</v>
      </c>
      <c r="J34" s="21">
        <f t="shared" si="12"/>
        <v>0</v>
      </c>
      <c r="K34" s="21">
        <f t="shared" si="12"/>
        <v>0</v>
      </c>
      <c r="L34" s="21">
        <f t="shared" si="12"/>
        <v>0</v>
      </c>
      <c r="M34" s="21">
        <f t="shared" si="12"/>
        <v>0</v>
      </c>
      <c r="N34" s="21">
        <f t="shared" ref="N34:O34" si="13">SUM(N28:N32)</f>
        <v>5</v>
      </c>
      <c r="O34" s="21">
        <f t="shared" si="13"/>
        <v>80</v>
      </c>
      <c r="P34" s="21">
        <f t="shared" ref="P34:U34" si="14">SUM(P28:P33)</f>
        <v>8</v>
      </c>
      <c r="Q34" s="21">
        <f t="shared" si="14"/>
        <v>128</v>
      </c>
      <c r="R34" s="21">
        <f t="shared" si="14"/>
        <v>0</v>
      </c>
      <c r="S34" s="21">
        <f t="shared" si="14"/>
        <v>0</v>
      </c>
      <c r="T34" s="21">
        <f t="shared" si="14"/>
        <v>13</v>
      </c>
      <c r="U34" s="21">
        <f t="shared" si="14"/>
        <v>208</v>
      </c>
      <c r="V34" s="5"/>
    </row>
    <row r="35" spans="1:22" ht="15.75" customHeight="1">
      <c r="A35" s="22"/>
      <c r="B35" s="244" t="s">
        <v>79</v>
      </c>
      <c r="C35" s="242">
        <v>12</v>
      </c>
      <c r="D35" s="45" t="s">
        <v>80</v>
      </c>
      <c r="E35" s="46" t="s">
        <v>81</v>
      </c>
      <c r="F35" s="15">
        <v>30</v>
      </c>
      <c r="G35" s="16">
        <v>3</v>
      </c>
      <c r="H35" s="17"/>
      <c r="I35" s="17"/>
      <c r="J35" s="17"/>
      <c r="K35" s="17"/>
      <c r="L35" s="17"/>
      <c r="M35" s="17"/>
      <c r="N35" s="17"/>
      <c r="O35" s="17"/>
      <c r="P35" s="16"/>
      <c r="Q35" s="16"/>
      <c r="R35" s="16"/>
      <c r="S35" s="16"/>
      <c r="T35" s="18">
        <f t="shared" ref="T35:T39" si="15">SUM(H35,J35,L35,N35,P35,R35)</f>
        <v>0</v>
      </c>
      <c r="U35" s="16">
        <f t="shared" ref="U35:U39" si="16">T35*16</f>
        <v>0</v>
      </c>
      <c r="V35" s="5" t="str">
        <f>IF(C20=T27,"","오류")</f>
        <v/>
      </c>
    </row>
    <row r="36" spans="1:22" ht="15.75" customHeight="1">
      <c r="A36" s="4"/>
      <c r="B36" s="213"/>
      <c r="C36" s="213"/>
      <c r="D36" s="47" t="s">
        <v>83</v>
      </c>
      <c r="E36" s="48" t="s">
        <v>84</v>
      </c>
      <c r="F36" s="49">
        <v>30</v>
      </c>
      <c r="G36" s="50">
        <v>3</v>
      </c>
      <c r="H36" s="27"/>
      <c r="I36" s="27"/>
      <c r="J36" s="27"/>
      <c r="K36" s="27"/>
      <c r="L36" s="27"/>
      <c r="M36" s="27"/>
      <c r="N36" s="27"/>
      <c r="O36" s="27"/>
      <c r="P36" s="26">
        <v>3</v>
      </c>
      <c r="Q36" s="26">
        <f t="shared" ref="Q36:Q37" si="17">P36*16</f>
        <v>48</v>
      </c>
      <c r="R36" s="26"/>
      <c r="S36" s="26"/>
      <c r="T36" s="29">
        <f t="shared" si="15"/>
        <v>3</v>
      </c>
      <c r="U36" s="26">
        <f t="shared" si="16"/>
        <v>48</v>
      </c>
      <c r="V36" s="5"/>
    </row>
    <row r="37" spans="1:22" ht="15.75" customHeight="1">
      <c r="A37" s="4"/>
      <c r="B37" s="213"/>
      <c r="C37" s="213"/>
      <c r="D37" s="47" t="s">
        <v>87</v>
      </c>
      <c r="E37" s="48" t="s">
        <v>88</v>
      </c>
      <c r="F37" s="49">
        <v>50</v>
      </c>
      <c r="G37" s="50">
        <v>2</v>
      </c>
      <c r="H37" s="27"/>
      <c r="I37" s="27"/>
      <c r="J37" s="27"/>
      <c r="K37" s="27"/>
      <c r="L37" s="27"/>
      <c r="M37" s="27"/>
      <c r="N37" s="27"/>
      <c r="O37" s="27"/>
      <c r="P37" s="26">
        <v>3</v>
      </c>
      <c r="Q37" s="26">
        <f t="shared" si="17"/>
        <v>48</v>
      </c>
      <c r="R37" s="26"/>
      <c r="S37" s="26"/>
      <c r="T37" s="29">
        <f t="shared" si="15"/>
        <v>3</v>
      </c>
      <c r="U37" s="26">
        <f t="shared" si="16"/>
        <v>48</v>
      </c>
      <c r="V37" s="5"/>
    </row>
    <row r="38" spans="1:22" ht="15.75" customHeight="1">
      <c r="A38" s="4"/>
      <c r="B38" s="213"/>
      <c r="C38" s="213"/>
      <c r="D38" s="47" t="s">
        <v>89</v>
      </c>
      <c r="E38" s="48" t="s">
        <v>90</v>
      </c>
      <c r="F38" s="49">
        <v>40</v>
      </c>
      <c r="G38" s="50">
        <v>3</v>
      </c>
      <c r="H38" s="27"/>
      <c r="I38" s="27"/>
      <c r="J38" s="27"/>
      <c r="K38" s="27"/>
      <c r="L38" s="27"/>
      <c r="M38" s="27"/>
      <c r="N38" s="27"/>
      <c r="O38" s="27"/>
      <c r="P38" s="27"/>
      <c r="Q38" s="26"/>
      <c r="R38" s="26">
        <v>3</v>
      </c>
      <c r="S38" s="26">
        <f t="shared" ref="S38:S39" si="18">R38*16</f>
        <v>48</v>
      </c>
      <c r="T38" s="29">
        <f t="shared" si="15"/>
        <v>3</v>
      </c>
      <c r="U38" s="26">
        <f t="shared" si="16"/>
        <v>48</v>
      </c>
      <c r="V38" s="5"/>
    </row>
    <row r="39" spans="1:22" ht="15.75" customHeight="1">
      <c r="A39" s="4"/>
      <c r="B39" s="213"/>
      <c r="C39" s="213"/>
      <c r="D39" s="47" t="s">
        <v>91</v>
      </c>
      <c r="E39" s="48" t="s">
        <v>92</v>
      </c>
      <c r="F39" s="49">
        <v>40</v>
      </c>
      <c r="G39" s="50">
        <v>3</v>
      </c>
      <c r="H39" s="27"/>
      <c r="I39" s="27"/>
      <c r="J39" s="27"/>
      <c r="K39" s="27"/>
      <c r="L39" s="27"/>
      <c r="M39" s="27"/>
      <c r="N39" s="27"/>
      <c r="O39" s="27"/>
      <c r="P39" s="27"/>
      <c r="Q39" s="26"/>
      <c r="R39" s="26">
        <v>3</v>
      </c>
      <c r="S39" s="26">
        <f t="shared" si="18"/>
        <v>48</v>
      </c>
      <c r="T39" s="29">
        <f t="shared" si="15"/>
        <v>3</v>
      </c>
      <c r="U39" s="26">
        <f t="shared" si="16"/>
        <v>48</v>
      </c>
      <c r="V39" s="5"/>
    </row>
    <row r="40" spans="1:22" ht="15.75" customHeight="1">
      <c r="A40" s="4"/>
      <c r="B40" s="209"/>
      <c r="C40" s="209"/>
      <c r="D40" s="243" t="s">
        <v>44</v>
      </c>
      <c r="E40" s="207"/>
      <c r="F40" s="20"/>
      <c r="G40" s="20"/>
      <c r="H40" s="21">
        <f t="shared" ref="H40:U40" si="19">SUM(H35:H39)</f>
        <v>0</v>
      </c>
      <c r="I40" s="21">
        <f t="shared" si="19"/>
        <v>0</v>
      </c>
      <c r="J40" s="21">
        <f t="shared" si="19"/>
        <v>0</v>
      </c>
      <c r="K40" s="21">
        <f t="shared" si="19"/>
        <v>0</v>
      </c>
      <c r="L40" s="21">
        <f t="shared" si="19"/>
        <v>0</v>
      </c>
      <c r="M40" s="21">
        <f t="shared" si="19"/>
        <v>0</v>
      </c>
      <c r="N40" s="21">
        <f t="shared" si="19"/>
        <v>0</v>
      </c>
      <c r="O40" s="21">
        <f t="shared" si="19"/>
        <v>0</v>
      </c>
      <c r="P40" s="21">
        <f t="shared" si="19"/>
        <v>6</v>
      </c>
      <c r="Q40" s="21">
        <f t="shared" si="19"/>
        <v>96</v>
      </c>
      <c r="R40" s="21">
        <f t="shared" si="19"/>
        <v>6</v>
      </c>
      <c r="S40" s="21">
        <f t="shared" si="19"/>
        <v>96</v>
      </c>
      <c r="T40" s="21">
        <f t="shared" si="19"/>
        <v>12</v>
      </c>
      <c r="U40" s="21">
        <f t="shared" si="19"/>
        <v>192</v>
      </c>
      <c r="V40" s="5" t="str">
        <f>IF(C41=T45,"","오류")</f>
        <v/>
      </c>
    </row>
    <row r="41" spans="1:22" ht="15.75" customHeight="1">
      <c r="A41" s="22"/>
      <c r="B41" s="244" t="s">
        <v>95</v>
      </c>
      <c r="C41" s="242">
        <v>12</v>
      </c>
      <c r="D41" s="40" t="s">
        <v>96</v>
      </c>
      <c r="E41" s="53" t="s">
        <v>97</v>
      </c>
      <c r="F41" s="54">
        <v>30</v>
      </c>
      <c r="G41" s="26">
        <v>5</v>
      </c>
      <c r="H41" s="27"/>
      <c r="I41" s="27"/>
      <c r="J41" s="27"/>
      <c r="K41" s="27"/>
      <c r="L41" s="27"/>
      <c r="M41" s="27"/>
      <c r="N41" s="27"/>
      <c r="O41" s="27"/>
      <c r="P41" s="26">
        <v>3</v>
      </c>
      <c r="Q41" s="26">
        <f t="shared" ref="Q41:Q42" si="20">P41*16</f>
        <v>48</v>
      </c>
      <c r="R41" s="26"/>
      <c r="S41" s="26"/>
      <c r="T41" s="29">
        <f t="shared" ref="T41:T44" si="21">SUM(H41,J41,L41,N41,P41,R41)</f>
        <v>3</v>
      </c>
      <c r="U41" s="26">
        <f t="shared" ref="U41:U44" si="22">T41*16</f>
        <v>48</v>
      </c>
      <c r="V41" s="5"/>
    </row>
    <row r="42" spans="1:22" ht="15.75" customHeight="1">
      <c r="A42" s="4"/>
      <c r="B42" s="213"/>
      <c r="C42" s="213"/>
      <c r="D42" s="40" t="s">
        <v>107</v>
      </c>
      <c r="E42" s="53" t="s">
        <v>108</v>
      </c>
      <c r="F42" s="54">
        <v>30</v>
      </c>
      <c r="G42" s="26">
        <v>4</v>
      </c>
      <c r="H42" s="27"/>
      <c r="I42" s="27"/>
      <c r="J42" s="27"/>
      <c r="K42" s="27"/>
      <c r="L42" s="27"/>
      <c r="M42" s="27"/>
      <c r="N42" s="27"/>
      <c r="O42" s="27"/>
      <c r="P42" s="26">
        <v>3</v>
      </c>
      <c r="Q42" s="26">
        <f t="shared" si="20"/>
        <v>48</v>
      </c>
      <c r="R42" s="26"/>
      <c r="S42" s="26"/>
      <c r="T42" s="29">
        <f t="shared" si="21"/>
        <v>3</v>
      </c>
      <c r="U42" s="26">
        <f t="shared" si="22"/>
        <v>48</v>
      </c>
      <c r="V42" s="5"/>
    </row>
    <row r="43" spans="1:22" ht="15.75" customHeight="1">
      <c r="A43" s="4"/>
      <c r="B43" s="213"/>
      <c r="C43" s="213"/>
      <c r="D43" s="40" t="s">
        <v>111</v>
      </c>
      <c r="E43" s="53" t="s">
        <v>112</v>
      </c>
      <c r="F43" s="54">
        <v>40</v>
      </c>
      <c r="G43" s="26">
        <v>4</v>
      </c>
      <c r="H43" s="27"/>
      <c r="I43" s="27"/>
      <c r="J43" s="27"/>
      <c r="K43" s="27"/>
      <c r="L43" s="27"/>
      <c r="M43" s="27"/>
      <c r="N43" s="27"/>
      <c r="O43" s="27"/>
      <c r="P43" s="27"/>
      <c r="Q43" s="26"/>
      <c r="R43" s="26">
        <v>3</v>
      </c>
      <c r="S43" s="26">
        <f t="shared" ref="S43:S44" si="23">R43*16</f>
        <v>48</v>
      </c>
      <c r="T43" s="29">
        <f t="shared" si="21"/>
        <v>3</v>
      </c>
      <c r="U43" s="26">
        <f t="shared" si="22"/>
        <v>48</v>
      </c>
      <c r="V43" s="5"/>
    </row>
    <row r="44" spans="1:22" ht="15.75" customHeight="1">
      <c r="A44" s="4"/>
      <c r="B44" s="213"/>
      <c r="C44" s="213"/>
      <c r="D44" s="40" t="s">
        <v>115</v>
      </c>
      <c r="E44" s="53" t="s">
        <v>116</v>
      </c>
      <c r="F44" s="54">
        <v>40</v>
      </c>
      <c r="G44" s="26">
        <v>3</v>
      </c>
      <c r="H44" s="27"/>
      <c r="I44" s="27"/>
      <c r="J44" s="27"/>
      <c r="K44" s="27"/>
      <c r="L44" s="27"/>
      <c r="M44" s="27"/>
      <c r="N44" s="27"/>
      <c r="O44" s="27"/>
      <c r="P44" s="27"/>
      <c r="Q44" s="26"/>
      <c r="R44" s="26">
        <v>3</v>
      </c>
      <c r="S44" s="26">
        <f t="shared" si="23"/>
        <v>48</v>
      </c>
      <c r="T44" s="29">
        <f t="shared" si="21"/>
        <v>3</v>
      </c>
      <c r="U44" s="26">
        <f t="shared" si="22"/>
        <v>48</v>
      </c>
      <c r="V44" s="5"/>
    </row>
    <row r="45" spans="1:22" ht="15.75" customHeight="1">
      <c r="A45" s="4"/>
      <c r="B45" s="209"/>
      <c r="C45" s="209"/>
      <c r="D45" s="243" t="s">
        <v>44</v>
      </c>
      <c r="E45" s="207"/>
      <c r="F45" s="20"/>
      <c r="G45" s="20"/>
      <c r="H45" s="21">
        <f t="shared" ref="H45:U45" si="24">SUM(H41:H44)</f>
        <v>0</v>
      </c>
      <c r="I45" s="21">
        <f t="shared" si="24"/>
        <v>0</v>
      </c>
      <c r="J45" s="21">
        <f t="shared" si="24"/>
        <v>0</v>
      </c>
      <c r="K45" s="21">
        <f t="shared" si="24"/>
        <v>0</v>
      </c>
      <c r="L45" s="21">
        <f t="shared" si="24"/>
        <v>0</v>
      </c>
      <c r="M45" s="21">
        <f t="shared" si="24"/>
        <v>0</v>
      </c>
      <c r="N45" s="21">
        <f t="shared" si="24"/>
        <v>0</v>
      </c>
      <c r="O45" s="21">
        <f t="shared" si="24"/>
        <v>0</v>
      </c>
      <c r="P45" s="21">
        <f t="shared" si="24"/>
        <v>6</v>
      </c>
      <c r="Q45" s="21">
        <f t="shared" si="24"/>
        <v>96</v>
      </c>
      <c r="R45" s="21">
        <f t="shared" si="24"/>
        <v>6</v>
      </c>
      <c r="S45" s="21">
        <f t="shared" si="24"/>
        <v>96</v>
      </c>
      <c r="T45" s="21">
        <f t="shared" si="24"/>
        <v>12</v>
      </c>
      <c r="U45" s="21">
        <f t="shared" si="24"/>
        <v>192</v>
      </c>
      <c r="V45" s="5"/>
    </row>
    <row r="46" spans="1:22" ht="15.75" customHeight="1">
      <c r="A46" s="7"/>
      <c r="B46" s="244" t="s">
        <v>122</v>
      </c>
      <c r="C46" s="242">
        <v>11</v>
      </c>
      <c r="D46" s="50" t="s">
        <v>123</v>
      </c>
      <c r="E46" s="50" t="s">
        <v>124</v>
      </c>
      <c r="F46" s="50">
        <v>40</v>
      </c>
      <c r="G46" s="50">
        <v>2</v>
      </c>
      <c r="H46" s="27"/>
      <c r="I46" s="27"/>
      <c r="J46" s="27"/>
      <c r="K46" s="27"/>
      <c r="L46" s="27"/>
      <c r="M46" s="27"/>
      <c r="N46" s="27"/>
      <c r="O46" s="27"/>
      <c r="P46" s="26"/>
      <c r="Q46" s="64"/>
      <c r="R46" s="26">
        <v>3</v>
      </c>
      <c r="S46" s="26">
        <f t="shared" ref="S46:S49" si="25">R46*16</f>
        <v>48</v>
      </c>
      <c r="T46" s="29">
        <f t="shared" ref="T46:T49" si="26">SUM(H46,J46,L46,N46,P46,R46)</f>
        <v>3</v>
      </c>
      <c r="U46" s="26">
        <f t="shared" ref="U46:U49" si="27">T46*16</f>
        <v>48</v>
      </c>
      <c r="V46" s="5"/>
    </row>
    <row r="47" spans="1:22" ht="15.75" customHeight="1">
      <c r="A47" s="5"/>
      <c r="B47" s="213"/>
      <c r="C47" s="213"/>
      <c r="D47" s="67" t="s">
        <v>135</v>
      </c>
      <c r="E47" s="67" t="s">
        <v>136</v>
      </c>
      <c r="F47" s="50">
        <v>30</v>
      </c>
      <c r="G47" s="50">
        <v>2</v>
      </c>
      <c r="H47" s="27"/>
      <c r="I47" s="27"/>
      <c r="J47" s="27"/>
      <c r="K47" s="27"/>
      <c r="L47" s="27"/>
      <c r="M47" s="27"/>
      <c r="N47" s="27"/>
      <c r="O47" s="27"/>
      <c r="P47" s="26"/>
      <c r="Q47" s="64"/>
      <c r="R47" s="26">
        <v>3</v>
      </c>
      <c r="S47" s="26">
        <f t="shared" si="25"/>
        <v>48</v>
      </c>
      <c r="T47" s="29">
        <f t="shared" si="26"/>
        <v>3</v>
      </c>
      <c r="U47" s="26">
        <f t="shared" si="27"/>
        <v>48</v>
      </c>
      <c r="V47" s="5"/>
    </row>
    <row r="48" spans="1:22" ht="15.75" customHeight="1">
      <c r="A48" s="5"/>
      <c r="B48" s="213"/>
      <c r="C48" s="213"/>
      <c r="D48" s="68" t="s">
        <v>138</v>
      </c>
      <c r="E48" s="68" t="s">
        <v>140</v>
      </c>
      <c r="F48" s="50">
        <v>30</v>
      </c>
      <c r="G48" s="50">
        <v>2</v>
      </c>
      <c r="H48" s="27"/>
      <c r="I48" s="27"/>
      <c r="J48" s="27"/>
      <c r="K48" s="27"/>
      <c r="L48" s="27"/>
      <c r="M48" s="27"/>
      <c r="N48" s="27"/>
      <c r="O48" s="27"/>
      <c r="P48" s="69"/>
      <c r="Q48" s="64"/>
      <c r="R48" s="26">
        <v>3</v>
      </c>
      <c r="S48" s="26">
        <f t="shared" si="25"/>
        <v>48</v>
      </c>
      <c r="T48" s="29">
        <f t="shared" si="26"/>
        <v>3</v>
      </c>
      <c r="U48" s="26">
        <f t="shared" si="27"/>
        <v>48</v>
      </c>
      <c r="V48" s="5"/>
    </row>
    <row r="49" spans="1:22" ht="15.75" customHeight="1">
      <c r="A49" s="5"/>
      <c r="B49" s="213"/>
      <c r="C49" s="213"/>
      <c r="D49" s="68" t="s">
        <v>143</v>
      </c>
      <c r="E49" s="68" t="s">
        <v>144</v>
      </c>
      <c r="F49" s="50">
        <v>30</v>
      </c>
      <c r="G49" s="50">
        <v>2</v>
      </c>
      <c r="H49" s="27"/>
      <c r="I49" s="27"/>
      <c r="J49" s="27"/>
      <c r="K49" s="27"/>
      <c r="L49" s="27"/>
      <c r="M49" s="27"/>
      <c r="N49" s="27"/>
      <c r="O49" s="27"/>
      <c r="P49" s="64"/>
      <c r="Q49" s="64"/>
      <c r="R49" s="26">
        <v>2</v>
      </c>
      <c r="S49" s="26">
        <f t="shared" si="25"/>
        <v>32</v>
      </c>
      <c r="T49" s="29">
        <f t="shared" si="26"/>
        <v>2</v>
      </c>
      <c r="U49" s="26">
        <f t="shared" si="27"/>
        <v>32</v>
      </c>
      <c r="V49" s="5"/>
    </row>
    <row r="50" spans="1:22" ht="15.75" customHeight="1">
      <c r="A50" s="5"/>
      <c r="B50" s="209"/>
      <c r="C50" s="209"/>
      <c r="D50" s="243" t="s">
        <v>44</v>
      </c>
      <c r="E50" s="207"/>
      <c r="F50" s="20"/>
      <c r="G50" s="20"/>
      <c r="H50" s="21">
        <f t="shared" ref="H50:U50" si="28">SUM(H46:H49)</f>
        <v>0</v>
      </c>
      <c r="I50" s="21">
        <f t="shared" si="28"/>
        <v>0</v>
      </c>
      <c r="J50" s="21">
        <f t="shared" si="28"/>
        <v>0</v>
      </c>
      <c r="K50" s="21">
        <f t="shared" si="28"/>
        <v>0</v>
      </c>
      <c r="L50" s="21">
        <f t="shared" si="28"/>
        <v>0</v>
      </c>
      <c r="M50" s="21">
        <f t="shared" si="28"/>
        <v>0</v>
      </c>
      <c r="N50" s="21">
        <f t="shared" si="28"/>
        <v>0</v>
      </c>
      <c r="O50" s="21">
        <f t="shared" si="28"/>
        <v>0</v>
      </c>
      <c r="P50" s="73">
        <f t="shared" si="28"/>
        <v>0</v>
      </c>
      <c r="Q50" s="73">
        <f t="shared" si="28"/>
        <v>0</v>
      </c>
      <c r="R50" s="21">
        <f t="shared" si="28"/>
        <v>11</v>
      </c>
      <c r="S50" s="21">
        <f t="shared" si="28"/>
        <v>176</v>
      </c>
      <c r="T50" s="21">
        <f t="shared" si="28"/>
        <v>11</v>
      </c>
      <c r="U50" s="21">
        <f t="shared" si="28"/>
        <v>176</v>
      </c>
      <c r="V50" s="5"/>
    </row>
    <row r="51" spans="1:22" ht="15.75" customHeight="1">
      <c r="A51" s="22"/>
      <c r="B51" s="299" t="s">
        <v>150</v>
      </c>
      <c r="C51" s="242">
        <v>12</v>
      </c>
      <c r="D51" s="26" t="s">
        <v>151</v>
      </c>
      <c r="E51" s="26" t="s">
        <v>152</v>
      </c>
      <c r="F51" s="26">
        <v>60</v>
      </c>
      <c r="G51" s="26">
        <v>4</v>
      </c>
      <c r="H51" s="27"/>
      <c r="I51" s="27"/>
      <c r="J51" s="27"/>
      <c r="K51" s="27"/>
      <c r="L51" s="27"/>
      <c r="M51" s="27"/>
      <c r="N51" s="27"/>
      <c r="O51" s="27"/>
      <c r="P51" s="26">
        <v>6</v>
      </c>
      <c r="Q51" s="26">
        <f>P51*16</f>
        <v>96</v>
      </c>
      <c r="R51" s="26"/>
      <c r="S51" s="26"/>
      <c r="T51" s="29">
        <f t="shared" ref="T51:T52" si="29">SUM(H51,J51,L51,N51,P51,R51)</f>
        <v>6</v>
      </c>
      <c r="U51" s="26">
        <f t="shared" ref="U51:U52" si="30">T51*16</f>
        <v>96</v>
      </c>
      <c r="V51" s="5"/>
    </row>
    <row r="52" spans="1:22" ht="15.75" customHeight="1">
      <c r="A52" s="4"/>
      <c r="B52" s="300"/>
      <c r="C52" s="213"/>
      <c r="D52" s="26" t="s">
        <v>157</v>
      </c>
      <c r="E52" s="26" t="s">
        <v>158</v>
      </c>
      <c r="F52" s="26">
        <v>40</v>
      </c>
      <c r="G52" s="26">
        <v>5</v>
      </c>
      <c r="H52" s="27"/>
      <c r="I52" s="27"/>
      <c r="J52" s="27"/>
      <c r="K52" s="27"/>
      <c r="L52" s="27"/>
      <c r="M52" s="27"/>
      <c r="N52" s="27"/>
      <c r="O52" s="27"/>
      <c r="P52" s="26"/>
      <c r="Q52" s="26"/>
      <c r="R52" s="26">
        <v>6</v>
      </c>
      <c r="S52" s="26">
        <f>R52*16</f>
        <v>96</v>
      </c>
      <c r="T52" s="29">
        <f t="shared" si="29"/>
        <v>6</v>
      </c>
      <c r="U52" s="26">
        <f t="shared" si="30"/>
        <v>96</v>
      </c>
      <c r="V52" s="5"/>
    </row>
    <row r="53" spans="1:22" ht="15.75" customHeight="1">
      <c r="A53" s="4"/>
      <c r="B53" s="293"/>
      <c r="C53" s="209"/>
      <c r="D53" s="243" t="s">
        <v>44</v>
      </c>
      <c r="E53" s="207"/>
      <c r="F53" s="20"/>
      <c r="G53" s="20"/>
      <c r="H53" s="21">
        <f t="shared" ref="H53:U53" si="31">SUM(H51:H52)</f>
        <v>0</v>
      </c>
      <c r="I53" s="21">
        <f t="shared" si="31"/>
        <v>0</v>
      </c>
      <c r="J53" s="21">
        <f t="shared" si="31"/>
        <v>0</v>
      </c>
      <c r="K53" s="21">
        <f t="shared" si="31"/>
        <v>0</v>
      </c>
      <c r="L53" s="21">
        <f t="shared" si="31"/>
        <v>0</v>
      </c>
      <c r="M53" s="21">
        <f t="shared" si="31"/>
        <v>0</v>
      </c>
      <c r="N53" s="21">
        <f t="shared" si="31"/>
        <v>0</v>
      </c>
      <c r="O53" s="21">
        <f t="shared" si="31"/>
        <v>0</v>
      </c>
      <c r="P53" s="21">
        <f t="shared" si="31"/>
        <v>6</v>
      </c>
      <c r="Q53" s="21">
        <f t="shared" si="31"/>
        <v>96</v>
      </c>
      <c r="R53" s="21">
        <f t="shared" si="31"/>
        <v>6</v>
      </c>
      <c r="S53" s="21">
        <f t="shared" si="31"/>
        <v>96</v>
      </c>
      <c r="T53" s="21">
        <f t="shared" si="31"/>
        <v>12</v>
      </c>
      <c r="U53" s="21">
        <f t="shared" si="31"/>
        <v>192</v>
      </c>
      <c r="V53" s="5"/>
    </row>
    <row r="54" spans="1:22" ht="12.5">
      <c r="V54" s="5"/>
    </row>
    <row r="55" spans="1:22" ht="12.5">
      <c r="V55" s="5"/>
    </row>
    <row r="56" spans="1:22" ht="12.5">
      <c r="V56" s="5"/>
    </row>
    <row r="57" spans="1:22" ht="12.5">
      <c r="V57" s="5"/>
    </row>
    <row r="58" spans="1:22" ht="12.5">
      <c r="V58" s="5"/>
    </row>
    <row r="59" spans="1:22" ht="12.5">
      <c r="V59" s="5"/>
    </row>
    <row r="60" spans="1:22" ht="12.5">
      <c r="V60" s="5"/>
    </row>
    <row r="61" spans="1:22" ht="17">
      <c r="D61" s="77"/>
      <c r="E61" s="77"/>
      <c r="F61" s="78"/>
      <c r="G61" s="79"/>
      <c r="H61" s="80"/>
      <c r="I61" s="80"/>
      <c r="J61" s="80"/>
      <c r="K61" s="80"/>
      <c r="L61" s="78"/>
      <c r="M61" s="78"/>
      <c r="N61" s="80"/>
      <c r="O61" s="80"/>
      <c r="P61" s="80"/>
      <c r="Q61" s="80"/>
      <c r="R61" s="80"/>
      <c r="S61" s="80"/>
      <c r="T61" s="81"/>
      <c r="U61" s="81"/>
      <c r="V61" s="5"/>
    </row>
    <row r="62" spans="1:22" ht="17">
      <c r="D62" s="82"/>
      <c r="E62" s="82"/>
      <c r="F62" s="78"/>
      <c r="G62" s="79"/>
      <c r="H62" s="80"/>
      <c r="I62" s="80"/>
      <c r="J62" s="80"/>
      <c r="K62" s="80"/>
      <c r="L62" s="78"/>
      <c r="M62" s="78"/>
      <c r="N62" s="80"/>
      <c r="O62" s="80"/>
      <c r="P62" s="80"/>
      <c r="Q62" s="80"/>
      <c r="R62" s="80"/>
      <c r="S62" s="80"/>
      <c r="T62" s="81"/>
      <c r="U62" s="81"/>
      <c r="V62" s="5"/>
    </row>
    <row r="63" spans="1:22" ht="17">
      <c r="D63" s="82"/>
      <c r="E63" s="82"/>
      <c r="F63" s="78"/>
      <c r="G63" s="79"/>
      <c r="H63" s="80"/>
      <c r="I63" s="80"/>
      <c r="J63" s="80"/>
      <c r="K63" s="80"/>
      <c r="L63" s="78"/>
      <c r="M63" s="78"/>
      <c r="N63" s="80"/>
      <c r="O63" s="80"/>
      <c r="P63" s="80"/>
      <c r="Q63" s="80"/>
      <c r="R63" s="80"/>
      <c r="S63" s="80"/>
      <c r="T63" s="81"/>
      <c r="U63" s="81"/>
      <c r="V63" s="5"/>
    </row>
    <row r="64" spans="1:22" ht="17">
      <c r="D64" s="82"/>
      <c r="E64" s="82"/>
      <c r="F64" s="78"/>
      <c r="G64" s="79"/>
      <c r="H64" s="80"/>
      <c r="I64" s="80"/>
      <c r="J64" s="80"/>
      <c r="K64" s="80"/>
      <c r="L64" s="78"/>
      <c r="M64" s="78"/>
      <c r="N64" s="80"/>
      <c r="O64" s="80"/>
      <c r="P64" s="80"/>
      <c r="Q64" s="80"/>
      <c r="R64" s="80"/>
      <c r="S64" s="80"/>
      <c r="T64" s="81"/>
      <c r="U64" s="81"/>
      <c r="V64" s="5"/>
    </row>
    <row r="65" spans="4:22" ht="17">
      <c r="D65" s="82"/>
      <c r="E65" s="82"/>
      <c r="F65" s="78"/>
      <c r="G65" s="79"/>
      <c r="H65" s="80"/>
      <c r="I65" s="80"/>
      <c r="J65" s="80"/>
      <c r="K65" s="80"/>
      <c r="L65" s="78"/>
      <c r="M65" s="78"/>
      <c r="N65" s="80"/>
      <c r="O65" s="80"/>
      <c r="P65" s="80"/>
      <c r="Q65" s="80"/>
      <c r="R65" s="80"/>
      <c r="S65" s="80"/>
      <c r="T65" s="81"/>
      <c r="U65" s="81"/>
      <c r="V65" s="5"/>
    </row>
    <row r="66" spans="4:22" ht="17">
      <c r="D66" s="82"/>
      <c r="E66" s="82"/>
      <c r="F66" s="78"/>
      <c r="G66" s="79"/>
      <c r="H66" s="80"/>
      <c r="I66" s="80"/>
      <c r="J66" s="80"/>
      <c r="K66" s="80"/>
      <c r="L66" s="78"/>
      <c r="M66" s="78"/>
      <c r="N66" s="80"/>
      <c r="O66" s="80"/>
      <c r="P66" s="80"/>
      <c r="Q66" s="80"/>
      <c r="R66" s="80"/>
      <c r="S66" s="80"/>
      <c r="T66" s="81"/>
      <c r="U66" s="81"/>
      <c r="V66" s="5"/>
    </row>
    <row r="67" spans="4:22" ht="17">
      <c r="D67" s="82"/>
      <c r="E67" s="82"/>
      <c r="F67" s="78"/>
      <c r="G67" s="79"/>
      <c r="H67" s="80"/>
      <c r="I67" s="80"/>
      <c r="J67" s="80"/>
      <c r="K67" s="80"/>
      <c r="L67" s="78"/>
      <c r="M67" s="78"/>
      <c r="N67" s="80"/>
      <c r="O67" s="80"/>
      <c r="P67" s="80"/>
      <c r="Q67" s="80"/>
      <c r="R67" s="80"/>
      <c r="S67" s="80"/>
      <c r="T67" s="81"/>
      <c r="U67" s="81"/>
      <c r="V67" s="5"/>
    </row>
    <row r="68" spans="4:22" ht="17">
      <c r="D68" s="82"/>
      <c r="E68" s="83"/>
      <c r="F68" s="78"/>
      <c r="G68" s="79"/>
      <c r="H68" s="80"/>
      <c r="I68" s="80"/>
      <c r="J68" s="80"/>
      <c r="K68" s="80"/>
      <c r="L68" s="78"/>
      <c r="M68" s="78"/>
      <c r="N68" s="80"/>
      <c r="O68" s="80"/>
      <c r="P68" s="80"/>
      <c r="Q68" s="80"/>
      <c r="R68" s="80"/>
      <c r="S68" s="80"/>
      <c r="T68" s="81"/>
      <c r="U68" s="81"/>
      <c r="V68" s="5"/>
    </row>
    <row r="69" spans="4:22" ht="17">
      <c r="D69" s="82"/>
      <c r="E69" s="82"/>
      <c r="F69" s="78"/>
      <c r="G69" s="79"/>
      <c r="H69" s="80"/>
      <c r="I69" s="80"/>
      <c r="J69" s="80"/>
      <c r="K69" s="80"/>
      <c r="L69" s="78"/>
      <c r="M69" s="78"/>
      <c r="N69" s="80"/>
      <c r="O69" s="80"/>
      <c r="P69" s="80"/>
      <c r="Q69" s="80"/>
      <c r="R69" s="80"/>
      <c r="S69" s="80"/>
      <c r="T69" s="81"/>
      <c r="U69" s="81"/>
      <c r="V69" s="5"/>
    </row>
    <row r="70" spans="4:22" ht="17">
      <c r="D70" s="82"/>
      <c r="E70" s="82"/>
      <c r="F70" s="78"/>
      <c r="G70" s="79"/>
      <c r="H70" s="80"/>
      <c r="I70" s="80"/>
      <c r="J70" s="80"/>
      <c r="K70" s="80"/>
      <c r="L70" s="78"/>
      <c r="M70" s="78"/>
      <c r="N70" s="80"/>
      <c r="O70" s="80"/>
      <c r="P70" s="80"/>
      <c r="Q70" s="80"/>
      <c r="R70" s="80"/>
      <c r="S70" s="80"/>
      <c r="T70" s="81"/>
      <c r="U70" s="81"/>
      <c r="V70" s="5"/>
    </row>
    <row r="71" spans="4:22" ht="12.5">
      <c r="V71" s="5"/>
    </row>
    <row r="72" spans="4:22" ht="12.5">
      <c r="V72" s="5"/>
    </row>
    <row r="73" spans="4:22" ht="12.5">
      <c r="V73" s="5"/>
    </row>
    <row r="74" spans="4:22" ht="12.5">
      <c r="V74" s="5"/>
    </row>
    <row r="75" spans="4:22" ht="12.5">
      <c r="V75" s="5"/>
    </row>
    <row r="76" spans="4:22" ht="12.5">
      <c r="V76" s="5"/>
    </row>
    <row r="77" spans="4:22" ht="12.5">
      <c r="V77" s="5"/>
    </row>
    <row r="78" spans="4:22" ht="12.5">
      <c r="V78" s="5"/>
    </row>
    <row r="79" spans="4:22" ht="12.5">
      <c r="V79" s="5"/>
    </row>
    <row r="80" spans="4:22" ht="12.5">
      <c r="V80" s="5"/>
    </row>
    <row r="81" spans="22:22" ht="12.5">
      <c r="V81" s="5"/>
    </row>
    <row r="82" spans="22:22" ht="12.5">
      <c r="V82" s="5"/>
    </row>
    <row r="83" spans="22:22" ht="12.5">
      <c r="V83" s="5"/>
    </row>
    <row r="84" spans="22:22" ht="12.5">
      <c r="V84" s="5"/>
    </row>
    <row r="85" spans="22:22" ht="12.5">
      <c r="V85" s="5"/>
    </row>
    <row r="86" spans="22:22" ht="12.5">
      <c r="V86" s="5"/>
    </row>
    <row r="87" spans="22:22" ht="12.5">
      <c r="V87" s="5"/>
    </row>
    <row r="88" spans="22:22" ht="12.5">
      <c r="V88" s="5"/>
    </row>
    <row r="89" spans="22:22" ht="12.5">
      <c r="V89" s="5"/>
    </row>
    <row r="90" spans="22:22" ht="12.5">
      <c r="V90" s="5"/>
    </row>
    <row r="91" spans="22:22" ht="12.5">
      <c r="V91" s="5"/>
    </row>
    <row r="92" spans="22:22" ht="12.5">
      <c r="V92" s="5"/>
    </row>
    <row r="93" spans="22:22" ht="12.5">
      <c r="V93" s="5"/>
    </row>
    <row r="94" spans="22:22" ht="12.5">
      <c r="V94" s="5"/>
    </row>
    <row r="95" spans="22:22" ht="12.5">
      <c r="V95" s="5"/>
    </row>
    <row r="96" spans="22:22" ht="12.5">
      <c r="V96" s="5"/>
    </row>
    <row r="97" spans="1:22" ht="12.5">
      <c r="V97" s="5"/>
    </row>
    <row r="98" spans="1:22" ht="12.5">
      <c r="V98" s="5"/>
    </row>
    <row r="99" spans="1:22" ht="12.5">
      <c r="A99" s="5"/>
      <c r="B99" s="8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2.5">
      <c r="A100" s="5"/>
      <c r="B100" s="8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2.5">
      <c r="A101" s="5"/>
      <c r="B101" s="8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2.5">
      <c r="A102" s="5"/>
      <c r="B102" s="8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2.5">
      <c r="A103" s="5"/>
      <c r="B103" s="8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2.5">
      <c r="A104" s="5"/>
      <c r="B104" s="8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2.5">
      <c r="A105" s="5"/>
      <c r="B105" s="8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2.5">
      <c r="A106" s="5"/>
      <c r="B106" s="8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2.5">
      <c r="A107" s="5"/>
      <c r="B107" s="8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2.5">
      <c r="A108" s="5"/>
      <c r="B108" s="8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2.5">
      <c r="A109" s="5"/>
      <c r="B109" s="8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2.5">
      <c r="A110" s="5"/>
      <c r="B110" s="8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2.5">
      <c r="A111" s="5"/>
      <c r="B111" s="8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2.5">
      <c r="A112" s="5"/>
      <c r="B112" s="8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2.5">
      <c r="A113" s="5"/>
      <c r="B113" s="8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2.5">
      <c r="A114" s="5"/>
      <c r="B114" s="8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2.5">
      <c r="A115" s="5"/>
      <c r="B115" s="8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2.5">
      <c r="A116" s="5"/>
      <c r="B116" s="8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2.5">
      <c r="A117" s="5"/>
      <c r="B117" s="8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2.5">
      <c r="A118" s="5"/>
      <c r="B118" s="8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2.5">
      <c r="A119" s="5"/>
      <c r="B119" s="8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.5">
      <c r="A120" s="5"/>
      <c r="B120" s="8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2.5">
      <c r="A121" s="5"/>
      <c r="B121" s="8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2.5">
      <c r="A122" s="5"/>
      <c r="B122" s="8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2.5">
      <c r="A123" s="5"/>
      <c r="B123" s="8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2.5">
      <c r="A124" s="5"/>
      <c r="B124" s="8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.5">
      <c r="A125" s="5"/>
      <c r="B125" s="8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2.5">
      <c r="A126" s="5"/>
      <c r="B126" s="8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2.5">
      <c r="A127" s="5"/>
      <c r="B127" s="8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2.5">
      <c r="A128" s="5"/>
      <c r="B128" s="8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2.5">
      <c r="A129" s="5"/>
      <c r="B129" s="8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2.5">
      <c r="A130" s="5"/>
      <c r="B130" s="8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2.5">
      <c r="A131" s="5"/>
      <c r="B131" s="8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2.5">
      <c r="A132" s="5"/>
      <c r="B132" s="8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2.5">
      <c r="A133" s="5"/>
      <c r="B133" s="8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2.5">
      <c r="A134" s="5"/>
      <c r="B134" s="8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2.5">
      <c r="A135" s="5"/>
      <c r="B135" s="8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2.5">
      <c r="A136" s="5"/>
      <c r="B136" s="8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2.5">
      <c r="A137" s="5"/>
      <c r="B137" s="8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2.5">
      <c r="A138" s="5"/>
      <c r="B138" s="8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2.5">
      <c r="A139" s="5"/>
      <c r="B139" s="8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2.5">
      <c r="A140" s="5"/>
      <c r="B140" s="8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2.5">
      <c r="A141" s="5"/>
      <c r="B141" s="8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2.5">
      <c r="A142" s="5"/>
      <c r="B142" s="8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2.5">
      <c r="A143" s="5"/>
      <c r="B143" s="8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2.5">
      <c r="A144" s="5"/>
      <c r="B144" s="8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2.5">
      <c r="A145" s="5"/>
      <c r="B145" s="8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2.5">
      <c r="A146" s="5"/>
      <c r="B146" s="8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2.5">
      <c r="A147" s="5"/>
      <c r="B147" s="8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2.5">
      <c r="A148" s="5"/>
      <c r="B148" s="8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2.5">
      <c r="A149" s="5"/>
      <c r="B149" s="8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2.5">
      <c r="A150" s="5"/>
      <c r="B150" s="8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2.5">
      <c r="A151" s="5"/>
      <c r="B151" s="8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2.5">
      <c r="A152" s="5"/>
      <c r="B152" s="8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2.5">
      <c r="A153" s="5"/>
      <c r="B153" s="8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2.5">
      <c r="A154" s="5"/>
      <c r="B154" s="8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2.5">
      <c r="A155" s="5"/>
      <c r="B155" s="8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2.5">
      <c r="A156" s="5"/>
      <c r="B156" s="8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2.5">
      <c r="A157" s="5"/>
      <c r="B157" s="8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2.5">
      <c r="A158" s="5"/>
      <c r="B158" s="8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2.5">
      <c r="A159" s="5"/>
      <c r="B159" s="8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2.5">
      <c r="A160" s="5"/>
      <c r="B160" s="8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2.5">
      <c r="A161" s="5"/>
      <c r="B161" s="8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2.5">
      <c r="A162" s="5"/>
      <c r="B162" s="8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2.5">
      <c r="A163" s="5"/>
      <c r="B163" s="8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2.5">
      <c r="A164" s="5"/>
      <c r="B164" s="8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2.5">
      <c r="A165" s="5"/>
      <c r="B165" s="8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2.5">
      <c r="A166" s="5"/>
      <c r="B166" s="8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2.5">
      <c r="A167" s="5"/>
      <c r="B167" s="8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2.5">
      <c r="A168" s="5"/>
      <c r="B168" s="8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2.5">
      <c r="A169" s="5"/>
      <c r="B169" s="8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2.5">
      <c r="A170" s="5"/>
      <c r="B170" s="8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2.5">
      <c r="A171" s="5"/>
      <c r="B171" s="8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2.5">
      <c r="A172" s="5"/>
      <c r="B172" s="8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2.5">
      <c r="A173" s="5"/>
      <c r="B173" s="8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2.5">
      <c r="A174" s="5"/>
      <c r="B174" s="8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2.5">
      <c r="A175" s="5"/>
      <c r="B175" s="8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2.5">
      <c r="A176" s="5"/>
      <c r="B176" s="8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2.5">
      <c r="A177" s="5"/>
      <c r="B177" s="8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2.5">
      <c r="A178" s="5"/>
      <c r="B178" s="8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2.5">
      <c r="A179" s="5"/>
      <c r="B179" s="8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2.5">
      <c r="A180" s="5"/>
      <c r="B180" s="8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2.5">
      <c r="A181" s="5"/>
      <c r="B181" s="8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2.5">
      <c r="A182" s="5"/>
      <c r="B182" s="8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2.5">
      <c r="A183" s="5"/>
      <c r="B183" s="8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2.5">
      <c r="A184" s="5"/>
      <c r="B184" s="8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2.5">
      <c r="A185" s="5"/>
      <c r="B185" s="8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2.5">
      <c r="A186" s="5"/>
      <c r="B186" s="8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2.5">
      <c r="A187" s="5"/>
      <c r="B187" s="8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2.5">
      <c r="A188" s="5"/>
      <c r="B188" s="8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2.5">
      <c r="A189" s="5"/>
      <c r="B189" s="8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2.5">
      <c r="A190" s="5"/>
      <c r="B190" s="8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2.5">
      <c r="A191" s="5"/>
      <c r="B191" s="8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2.5">
      <c r="A192" s="5"/>
      <c r="B192" s="8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2.5">
      <c r="A193" s="5"/>
      <c r="B193" s="8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2.5">
      <c r="A194" s="5"/>
      <c r="B194" s="8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2.5">
      <c r="A195" s="5"/>
      <c r="B195" s="8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2.5">
      <c r="A196" s="5"/>
      <c r="B196" s="8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2.5">
      <c r="A197" s="5"/>
      <c r="B197" s="8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2.5">
      <c r="A198" s="5"/>
      <c r="B198" s="8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2.5">
      <c r="A199" s="5"/>
      <c r="B199" s="8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2.5">
      <c r="A200" s="5"/>
      <c r="B200" s="8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2.5">
      <c r="A201" s="5"/>
      <c r="B201" s="8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2.5">
      <c r="A202" s="5"/>
      <c r="B202" s="8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2.5">
      <c r="A203" s="5"/>
      <c r="B203" s="8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2.5">
      <c r="A204" s="5"/>
      <c r="B204" s="8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2.5">
      <c r="A205" s="5"/>
      <c r="B205" s="8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2.5">
      <c r="A206" s="5"/>
      <c r="B206" s="8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2.5">
      <c r="A207" s="5"/>
      <c r="B207" s="8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2.5">
      <c r="A208" s="5"/>
      <c r="B208" s="8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2.5">
      <c r="A209" s="5"/>
      <c r="B209" s="8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2.5">
      <c r="A210" s="5"/>
      <c r="B210" s="8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2.5">
      <c r="A211" s="5"/>
      <c r="B211" s="8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2.5">
      <c r="A212" s="5"/>
      <c r="B212" s="8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2.5">
      <c r="A213" s="5"/>
      <c r="B213" s="8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2.5">
      <c r="A214" s="5"/>
      <c r="B214" s="8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2.5">
      <c r="A215" s="5"/>
      <c r="B215" s="8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2.5">
      <c r="A216" s="5"/>
      <c r="B216" s="8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2.5">
      <c r="A217" s="5"/>
      <c r="B217" s="8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2.5">
      <c r="A218" s="5"/>
      <c r="B218" s="8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2.5">
      <c r="A219" s="5"/>
      <c r="B219" s="8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2.5">
      <c r="A220" s="5"/>
      <c r="B220" s="8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2.5">
      <c r="A221" s="5"/>
      <c r="B221" s="8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2.5">
      <c r="A222" s="5"/>
      <c r="B222" s="8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2.5">
      <c r="A223" s="5"/>
      <c r="B223" s="8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2.5">
      <c r="A224" s="5"/>
      <c r="B224" s="8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2.5">
      <c r="A225" s="5"/>
      <c r="B225" s="8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2.5">
      <c r="A226" s="5"/>
      <c r="B226" s="8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2.5">
      <c r="A227" s="5"/>
      <c r="B227" s="8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2.5">
      <c r="A228" s="5"/>
      <c r="B228" s="8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2.5">
      <c r="A229" s="5"/>
      <c r="B229" s="8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2.5">
      <c r="A230" s="5"/>
      <c r="B230" s="8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2.5">
      <c r="A231" s="5"/>
      <c r="B231" s="8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2.5">
      <c r="A232" s="5"/>
      <c r="B232" s="8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2.5">
      <c r="A233" s="5"/>
      <c r="B233" s="8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2.5">
      <c r="A234" s="5"/>
      <c r="B234" s="8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2.5">
      <c r="A235" s="5"/>
      <c r="B235" s="8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2.5">
      <c r="A236" s="5"/>
      <c r="B236" s="8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2.5">
      <c r="A237" s="5"/>
      <c r="B237" s="8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2.5">
      <c r="A238" s="5"/>
      <c r="B238" s="8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2.5">
      <c r="A239" s="5"/>
      <c r="B239" s="8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2.5">
      <c r="A240" s="5"/>
      <c r="B240" s="8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2.5">
      <c r="A241" s="5"/>
      <c r="B241" s="8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2.5">
      <c r="A242" s="5"/>
      <c r="B242" s="8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2.5">
      <c r="A243" s="5"/>
      <c r="B243" s="8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2.5">
      <c r="A244" s="5"/>
      <c r="B244" s="8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2.5">
      <c r="A245" s="5"/>
      <c r="B245" s="8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2.5">
      <c r="A246" s="5"/>
      <c r="B246" s="8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2.5">
      <c r="A247" s="5"/>
      <c r="B247" s="8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2.5">
      <c r="A248" s="5"/>
      <c r="B248" s="8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2.5">
      <c r="A249" s="5"/>
      <c r="B249" s="8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2.5">
      <c r="A250" s="5"/>
      <c r="B250" s="8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2.5">
      <c r="A251" s="5"/>
      <c r="B251" s="8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2.5">
      <c r="A252" s="5"/>
      <c r="B252" s="8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2.5">
      <c r="A253" s="5"/>
      <c r="B253" s="8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2.5">
      <c r="A254" s="5"/>
      <c r="B254" s="8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2.5">
      <c r="A255" s="5"/>
      <c r="B255" s="8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2.5">
      <c r="A256" s="5"/>
      <c r="B256" s="8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2.5">
      <c r="A257" s="5"/>
      <c r="B257" s="8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2.5">
      <c r="A258" s="5"/>
      <c r="B258" s="8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2.5">
      <c r="A259" s="5"/>
      <c r="B259" s="8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2.5">
      <c r="A260" s="5"/>
      <c r="B260" s="8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2.5">
      <c r="A261" s="5"/>
      <c r="B261" s="8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2.5">
      <c r="A262" s="5"/>
      <c r="B262" s="8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2.5">
      <c r="A263" s="5"/>
      <c r="B263" s="8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2.5">
      <c r="A264" s="5"/>
      <c r="B264" s="8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2.5">
      <c r="A265" s="5"/>
      <c r="B265" s="8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2.5">
      <c r="A266" s="5"/>
      <c r="B266" s="8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2.5">
      <c r="A267" s="5"/>
      <c r="B267" s="8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2.5">
      <c r="A268" s="5"/>
      <c r="B268" s="8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2.5">
      <c r="A269" s="5"/>
      <c r="B269" s="8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2.5">
      <c r="A270" s="5"/>
      <c r="B270" s="8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2.5">
      <c r="A271" s="5"/>
      <c r="B271" s="8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2.5">
      <c r="A272" s="5"/>
      <c r="B272" s="8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2.5">
      <c r="A273" s="5"/>
      <c r="B273" s="8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2.5">
      <c r="A274" s="5"/>
      <c r="B274" s="8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2.5">
      <c r="A275" s="5"/>
      <c r="B275" s="8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2.5">
      <c r="A276" s="5"/>
      <c r="B276" s="8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2.5">
      <c r="A277" s="5"/>
      <c r="B277" s="8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2.5">
      <c r="A278" s="5"/>
      <c r="B278" s="8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2.5">
      <c r="A279" s="5"/>
      <c r="B279" s="8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2.5">
      <c r="A280" s="5"/>
      <c r="B280" s="8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2.5">
      <c r="A281" s="5"/>
      <c r="B281" s="8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2.5">
      <c r="A282" s="5"/>
      <c r="B282" s="8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2.5">
      <c r="A283" s="5"/>
      <c r="B283" s="8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2.5">
      <c r="A284" s="5"/>
      <c r="B284" s="8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2.5">
      <c r="A285" s="5"/>
      <c r="B285" s="8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2.5">
      <c r="A286" s="5"/>
      <c r="B286" s="8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2.5">
      <c r="A287" s="5"/>
      <c r="B287" s="8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2.5">
      <c r="A288" s="5"/>
      <c r="B288" s="8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2.5">
      <c r="A289" s="5"/>
      <c r="B289" s="8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2.5">
      <c r="A290" s="5"/>
      <c r="B290" s="8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2.5">
      <c r="A291" s="5"/>
      <c r="B291" s="8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2.5">
      <c r="A292" s="5"/>
      <c r="B292" s="8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2.5">
      <c r="A293" s="5"/>
      <c r="B293" s="8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2.5">
      <c r="A294" s="5"/>
      <c r="B294" s="8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2.5">
      <c r="A295" s="5"/>
      <c r="B295" s="8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2.5">
      <c r="A296" s="5"/>
      <c r="B296" s="8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2.5">
      <c r="A297" s="5"/>
      <c r="B297" s="8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2.5">
      <c r="A298" s="5"/>
      <c r="B298" s="8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2.5">
      <c r="A299" s="5"/>
      <c r="B299" s="8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2.5">
      <c r="A300" s="5"/>
      <c r="B300" s="8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2.5">
      <c r="A301" s="5"/>
      <c r="B301" s="8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2.5">
      <c r="A302" s="5"/>
      <c r="B302" s="8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2.5">
      <c r="A303" s="5"/>
      <c r="B303" s="8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2.5">
      <c r="A304" s="5"/>
      <c r="B304" s="8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2.5">
      <c r="A305" s="5"/>
      <c r="B305" s="8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2.5">
      <c r="A306" s="5"/>
      <c r="B306" s="8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2.5">
      <c r="A307" s="5"/>
      <c r="B307" s="8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2.5">
      <c r="A308" s="5"/>
      <c r="B308" s="8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2.5">
      <c r="A309" s="5"/>
      <c r="B309" s="8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2.5">
      <c r="A310" s="5"/>
      <c r="B310" s="8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2.5">
      <c r="A311" s="5"/>
      <c r="B311" s="8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2.5">
      <c r="A312" s="5"/>
      <c r="B312" s="8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2.5">
      <c r="A313" s="5"/>
      <c r="B313" s="8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2.5">
      <c r="A314" s="5"/>
      <c r="B314" s="8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2.5">
      <c r="A315" s="5"/>
      <c r="B315" s="8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2.5">
      <c r="A316" s="5"/>
      <c r="B316" s="8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2.5">
      <c r="A317" s="5"/>
      <c r="B317" s="8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2.5">
      <c r="A318" s="5"/>
      <c r="B318" s="8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2.5">
      <c r="A319" s="5"/>
      <c r="B319" s="8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2.5">
      <c r="A320" s="5"/>
      <c r="B320" s="8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2.5">
      <c r="A321" s="5"/>
      <c r="B321" s="8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2.5">
      <c r="A322" s="5"/>
      <c r="B322" s="8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2.5">
      <c r="A323" s="5"/>
      <c r="B323" s="8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2.5">
      <c r="A324" s="5"/>
      <c r="B324" s="8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2.5">
      <c r="A325" s="5"/>
      <c r="B325" s="8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2.5">
      <c r="A326" s="5"/>
      <c r="B326" s="8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2.5">
      <c r="A327" s="5"/>
      <c r="B327" s="8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2.5">
      <c r="A328" s="5"/>
      <c r="B328" s="8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2.5">
      <c r="A329" s="5"/>
      <c r="B329" s="8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2.5">
      <c r="A330" s="5"/>
      <c r="B330" s="8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2.5">
      <c r="A331" s="5"/>
      <c r="B331" s="8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2.5">
      <c r="A332" s="5"/>
      <c r="B332" s="8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2.5">
      <c r="A333" s="5"/>
      <c r="B333" s="8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2.5">
      <c r="A334" s="5"/>
      <c r="B334" s="8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2.5">
      <c r="A335" s="5"/>
      <c r="B335" s="8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2.5">
      <c r="A336" s="5"/>
      <c r="B336" s="8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2.5">
      <c r="A337" s="5"/>
      <c r="B337" s="8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2.5">
      <c r="A338" s="5"/>
      <c r="B338" s="8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2.5">
      <c r="A339" s="5"/>
      <c r="B339" s="8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2.5">
      <c r="A340" s="5"/>
      <c r="B340" s="8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2.5">
      <c r="A341" s="5"/>
      <c r="B341" s="8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2.5">
      <c r="A342" s="5"/>
      <c r="B342" s="8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2.5">
      <c r="A343" s="5"/>
      <c r="B343" s="8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2.5">
      <c r="A344" s="5"/>
      <c r="B344" s="8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2.5">
      <c r="A345" s="5"/>
      <c r="B345" s="8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2.5">
      <c r="A346" s="5"/>
      <c r="B346" s="8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2.5">
      <c r="A347" s="5"/>
      <c r="B347" s="8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2.5">
      <c r="A348" s="5"/>
      <c r="B348" s="8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2.5">
      <c r="A349" s="5"/>
      <c r="B349" s="8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2.5">
      <c r="A350" s="5"/>
      <c r="B350" s="8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2.5">
      <c r="A351" s="5"/>
      <c r="B351" s="8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2.5">
      <c r="A352" s="5"/>
      <c r="B352" s="8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2.5">
      <c r="A353" s="5"/>
      <c r="B353" s="8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2.5">
      <c r="A354" s="5"/>
      <c r="B354" s="8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2.5">
      <c r="A355" s="5"/>
      <c r="B355" s="8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2.5">
      <c r="A356" s="5"/>
      <c r="B356" s="8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2.5">
      <c r="A357" s="5"/>
      <c r="B357" s="8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2.5">
      <c r="A358" s="5"/>
      <c r="B358" s="8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2.5">
      <c r="A359" s="5"/>
      <c r="B359" s="8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2.5">
      <c r="A360" s="5"/>
      <c r="B360" s="8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2.5">
      <c r="A361" s="5"/>
      <c r="B361" s="8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2.5">
      <c r="A362" s="5"/>
      <c r="B362" s="8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2.5">
      <c r="A363" s="5"/>
      <c r="B363" s="8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2.5">
      <c r="A364" s="5"/>
      <c r="B364" s="8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2.5">
      <c r="A365" s="5"/>
      <c r="B365" s="8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2.5">
      <c r="A366" s="5"/>
      <c r="B366" s="8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2.5">
      <c r="A367" s="5"/>
      <c r="B367" s="8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2.5">
      <c r="A368" s="5"/>
      <c r="B368" s="8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2.5">
      <c r="A369" s="5"/>
      <c r="B369" s="8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2.5">
      <c r="A370" s="5"/>
      <c r="B370" s="8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2.5">
      <c r="A371" s="5"/>
      <c r="B371" s="8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2.5">
      <c r="A372" s="5"/>
      <c r="B372" s="8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2.5">
      <c r="A373" s="5"/>
      <c r="B373" s="8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2.5">
      <c r="A374" s="5"/>
      <c r="B374" s="8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2.5">
      <c r="A375" s="5"/>
      <c r="B375" s="8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2.5">
      <c r="A376" s="5"/>
      <c r="B376" s="8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2.5">
      <c r="A377" s="5"/>
      <c r="B377" s="8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2.5">
      <c r="A378" s="5"/>
      <c r="B378" s="8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2.5">
      <c r="A379" s="5"/>
      <c r="B379" s="8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2.5">
      <c r="A380" s="5"/>
      <c r="B380" s="8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2.5">
      <c r="A381" s="5"/>
      <c r="B381" s="8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2.5">
      <c r="A382" s="5"/>
      <c r="B382" s="8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2.5">
      <c r="A383" s="5"/>
      <c r="B383" s="8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2.5">
      <c r="A384" s="5"/>
      <c r="B384" s="8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2.5">
      <c r="A385" s="5"/>
      <c r="B385" s="8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2.5">
      <c r="A386" s="5"/>
      <c r="B386" s="8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2.5">
      <c r="A387" s="5"/>
      <c r="B387" s="8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2.5">
      <c r="A388" s="5"/>
      <c r="B388" s="8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2.5">
      <c r="A389" s="5"/>
      <c r="B389" s="8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2.5">
      <c r="A390" s="5"/>
      <c r="B390" s="8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2.5">
      <c r="A391" s="5"/>
      <c r="B391" s="8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2.5">
      <c r="A392" s="5"/>
      <c r="B392" s="8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2.5">
      <c r="A393" s="5"/>
      <c r="B393" s="8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2.5">
      <c r="A394" s="5"/>
      <c r="B394" s="8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2.5">
      <c r="A395" s="5"/>
      <c r="B395" s="8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2.5">
      <c r="A396" s="5"/>
      <c r="B396" s="8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2.5">
      <c r="A397" s="5"/>
      <c r="B397" s="8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2.5">
      <c r="A398" s="5"/>
      <c r="B398" s="8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2.5">
      <c r="A399" s="5"/>
      <c r="B399" s="8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2.5">
      <c r="A400" s="5"/>
      <c r="B400" s="8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2.5">
      <c r="A401" s="5"/>
      <c r="B401" s="8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2.5">
      <c r="A402" s="5"/>
      <c r="B402" s="8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2.5">
      <c r="A403" s="5"/>
      <c r="B403" s="8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2.5">
      <c r="A404" s="5"/>
      <c r="B404" s="8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2.5">
      <c r="A405" s="5"/>
      <c r="B405" s="8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2.5">
      <c r="A406" s="5"/>
      <c r="B406" s="8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2.5">
      <c r="A407" s="5"/>
      <c r="B407" s="8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2.5">
      <c r="A408" s="5"/>
      <c r="B408" s="8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2.5">
      <c r="A409" s="5"/>
      <c r="B409" s="8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2.5">
      <c r="A410" s="5"/>
      <c r="B410" s="8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2.5">
      <c r="A411" s="5"/>
      <c r="B411" s="8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2.5">
      <c r="A412" s="5"/>
      <c r="B412" s="8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2.5">
      <c r="A413" s="5"/>
      <c r="B413" s="8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2.5">
      <c r="A414" s="5"/>
      <c r="B414" s="8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2.5">
      <c r="A415" s="5"/>
      <c r="B415" s="8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2.5">
      <c r="A416" s="5"/>
      <c r="B416" s="8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2.5">
      <c r="A417" s="5"/>
      <c r="B417" s="8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2.5">
      <c r="A418" s="5"/>
      <c r="B418" s="8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2.5">
      <c r="A419" s="5"/>
      <c r="B419" s="8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2.5">
      <c r="A420" s="5"/>
      <c r="B420" s="8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2.5">
      <c r="A421" s="5"/>
      <c r="B421" s="8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2.5">
      <c r="A422" s="5"/>
      <c r="B422" s="8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2.5">
      <c r="A423" s="5"/>
      <c r="B423" s="8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2.5">
      <c r="A424" s="5"/>
      <c r="B424" s="8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2.5">
      <c r="A425" s="5"/>
      <c r="B425" s="8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2.5">
      <c r="A426" s="5"/>
      <c r="B426" s="8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2.5">
      <c r="A427" s="5"/>
      <c r="B427" s="8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2.5">
      <c r="A428" s="5"/>
      <c r="B428" s="8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2.5">
      <c r="A429" s="5"/>
      <c r="B429" s="8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2.5">
      <c r="A430" s="5"/>
      <c r="B430" s="8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2.5">
      <c r="A431" s="5"/>
      <c r="B431" s="8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2.5">
      <c r="A432" s="5"/>
      <c r="B432" s="8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2.5">
      <c r="A433" s="5"/>
      <c r="B433" s="8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2.5">
      <c r="A434" s="5"/>
      <c r="B434" s="8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2.5">
      <c r="A435" s="5"/>
      <c r="B435" s="8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2.5">
      <c r="A436" s="5"/>
      <c r="B436" s="8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2.5">
      <c r="A437" s="5"/>
      <c r="B437" s="8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2.5">
      <c r="A438" s="5"/>
      <c r="B438" s="8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2.5">
      <c r="A439" s="5"/>
      <c r="B439" s="8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2.5">
      <c r="A440" s="5"/>
      <c r="B440" s="8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2.5">
      <c r="A441" s="5"/>
      <c r="B441" s="8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2.5">
      <c r="A442" s="5"/>
      <c r="B442" s="8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2.5">
      <c r="A443" s="5"/>
      <c r="B443" s="8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2.5">
      <c r="A444" s="5"/>
      <c r="B444" s="8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2.5">
      <c r="A445" s="5"/>
      <c r="B445" s="8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2.5">
      <c r="A446" s="5"/>
      <c r="B446" s="8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2.5">
      <c r="A447" s="5"/>
      <c r="B447" s="8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2.5">
      <c r="A448" s="5"/>
      <c r="B448" s="8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2.5">
      <c r="A449" s="5"/>
      <c r="B449" s="8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2.5">
      <c r="A450" s="5"/>
      <c r="B450" s="8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2.5">
      <c r="A451" s="5"/>
      <c r="B451" s="8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2.5">
      <c r="A452" s="5"/>
      <c r="B452" s="8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2.5">
      <c r="A453" s="5"/>
      <c r="B453" s="8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2.5">
      <c r="A454" s="5"/>
      <c r="B454" s="8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2.5">
      <c r="A455" s="5"/>
      <c r="B455" s="8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2.5">
      <c r="A456" s="5"/>
      <c r="B456" s="8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2.5">
      <c r="A457" s="5"/>
      <c r="B457" s="8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2.5">
      <c r="A458" s="5"/>
      <c r="B458" s="8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2.5">
      <c r="A459" s="5"/>
      <c r="B459" s="8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2.5">
      <c r="A460" s="5"/>
      <c r="B460" s="8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2.5">
      <c r="A461" s="5"/>
      <c r="B461" s="8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2.5">
      <c r="A462" s="5"/>
      <c r="B462" s="8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2.5">
      <c r="A463" s="5"/>
      <c r="B463" s="8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2.5">
      <c r="A464" s="5"/>
      <c r="B464" s="8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2.5">
      <c r="A465" s="5"/>
      <c r="B465" s="8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2.5">
      <c r="A466" s="5"/>
      <c r="B466" s="8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2.5">
      <c r="A467" s="5"/>
      <c r="B467" s="8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2.5">
      <c r="A468" s="5"/>
      <c r="B468" s="8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2.5">
      <c r="A469" s="5"/>
      <c r="B469" s="8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2.5">
      <c r="A470" s="5"/>
      <c r="B470" s="8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2.5">
      <c r="A471" s="5"/>
      <c r="B471" s="8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2.5">
      <c r="A472" s="5"/>
      <c r="B472" s="8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2.5">
      <c r="A473" s="5"/>
      <c r="B473" s="8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2.5">
      <c r="A474" s="5"/>
      <c r="B474" s="8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2.5">
      <c r="A475" s="5"/>
      <c r="B475" s="8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2.5">
      <c r="A476" s="5"/>
      <c r="B476" s="8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2.5">
      <c r="A477" s="5"/>
      <c r="B477" s="8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2.5">
      <c r="A478" s="5"/>
      <c r="B478" s="8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2.5">
      <c r="A479" s="5"/>
      <c r="B479" s="8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2.5">
      <c r="A480" s="5"/>
      <c r="B480" s="8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2.5">
      <c r="A481" s="5"/>
      <c r="B481" s="8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2.5">
      <c r="A482" s="5"/>
      <c r="B482" s="8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2.5">
      <c r="A483" s="5"/>
      <c r="B483" s="8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2.5">
      <c r="A484" s="5"/>
      <c r="B484" s="8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2.5">
      <c r="A485" s="5"/>
      <c r="B485" s="8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2.5">
      <c r="A486" s="5"/>
      <c r="B486" s="8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2.5">
      <c r="A487" s="5"/>
      <c r="B487" s="8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2.5">
      <c r="A488" s="5"/>
      <c r="B488" s="8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2.5">
      <c r="A489" s="5"/>
      <c r="B489" s="8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2.5">
      <c r="A490" s="5"/>
      <c r="B490" s="8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2.5">
      <c r="A491" s="5"/>
      <c r="B491" s="8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2.5">
      <c r="A492" s="5"/>
      <c r="B492" s="8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2.5">
      <c r="A493" s="5"/>
      <c r="B493" s="8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2.5">
      <c r="A494" s="5"/>
      <c r="B494" s="8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2.5">
      <c r="A495" s="5"/>
      <c r="B495" s="8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2.5">
      <c r="A496" s="5"/>
      <c r="B496" s="8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2.5">
      <c r="A497" s="5"/>
      <c r="B497" s="8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2.5">
      <c r="A498" s="5"/>
      <c r="B498" s="8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2.5">
      <c r="A499" s="5"/>
      <c r="B499" s="8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2.5">
      <c r="A500" s="5"/>
      <c r="B500" s="8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2.5">
      <c r="A501" s="5"/>
      <c r="B501" s="8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2.5">
      <c r="A502" s="5"/>
      <c r="B502" s="8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2.5">
      <c r="A503" s="5"/>
      <c r="B503" s="8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2.5">
      <c r="A504" s="5"/>
      <c r="B504" s="8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2.5">
      <c r="A505" s="5"/>
      <c r="B505" s="8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2.5">
      <c r="A506" s="5"/>
      <c r="B506" s="8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2.5">
      <c r="A507" s="5"/>
      <c r="B507" s="8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2.5">
      <c r="A508" s="5"/>
      <c r="B508" s="8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2.5">
      <c r="A509" s="5"/>
      <c r="B509" s="8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2.5">
      <c r="A510" s="5"/>
      <c r="B510" s="8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2.5">
      <c r="A511" s="5"/>
      <c r="B511" s="8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2.5">
      <c r="A512" s="5"/>
      <c r="B512" s="8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2.5">
      <c r="A513" s="5"/>
      <c r="B513" s="8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2.5">
      <c r="A514" s="5"/>
      <c r="B514" s="8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2.5">
      <c r="A515" s="5"/>
      <c r="B515" s="8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2.5">
      <c r="A516" s="5"/>
      <c r="B516" s="8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2.5">
      <c r="A517" s="5"/>
      <c r="B517" s="8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2.5">
      <c r="A518" s="5"/>
      <c r="B518" s="8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2.5">
      <c r="A519" s="5"/>
      <c r="B519" s="8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2.5">
      <c r="A520" s="5"/>
      <c r="B520" s="8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2.5">
      <c r="A521" s="5"/>
      <c r="B521" s="8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2.5">
      <c r="A522" s="5"/>
      <c r="B522" s="8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2.5">
      <c r="A523" s="5"/>
      <c r="B523" s="8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2.5">
      <c r="A524" s="5"/>
      <c r="B524" s="8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2.5">
      <c r="A525" s="5"/>
      <c r="B525" s="8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2.5">
      <c r="A526" s="5"/>
      <c r="B526" s="8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2.5">
      <c r="A527" s="5"/>
      <c r="B527" s="8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2.5">
      <c r="A528" s="5"/>
      <c r="B528" s="8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2.5">
      <c r="A529" s="5"/>
      <c r="B529" s="8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2.5">
      <c r="A530" s="5"/>
      <c r="B530" s="8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2.5">
      <c r="A531" s="5"/>
      <c r="B531" s="8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2.5">
      <c r="A532" s="5"/>
      <c r="B532" s="8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2.5">
      <c r="A533" s="5"/>
      <c r="B533" s="8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2.5">
      <c r="A534" s="5"/>
      <c r="B534" s="8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2.5">
      <c r="A535" s="5"/>
      <c r="B535" s="8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2.5">
      <c r="A536" s="5"/>
      <c r="B536" s="8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2.5">
      <c r="A537" s="5"/>
      <c r="B537" s="8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2.5">
      <c r="A538" s="5"/>
      <c r="B538" s="8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2.5">
      <c r="A539" s="5"/>
      <c r="B539" s="8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2.5">
      <c r="A540" s="5"/>
      <c r="B540" s="8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2.5">
      <c r="A541" s="5"/>
      <c r="B541" s="8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2.5">
      <c r="A542" s="5"/>
      <c r="B542" s="8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2.5">
      <c r="A543" s="5"/>
      <c r="B543" s="8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2.5">
      <c r="A544" s="5"/>
      <c r="B544" s="8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2.5">
      <c r="A545" s="5"/>
      <c r="B545" s="8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2.5">
      <c r="A546" s="5"/>
      <c r="B546" s="8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2.5">
      <c r="A547" s="5"/>
      <c r="B547" s="8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2.5">
      <c r="A548" s="5"/>
      <c r="B548" s="8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2.5">
      <c r="A549" s="5"/>
      <c r="B549" s="8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2.5">
      <c r="A550" s="5"/>
      <c r="B550" s="8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2.5">
      <c r="A551" s="5"/>
      <c r="B551" s="8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2.5">
      <c r="A552" s="5"/>
      <c r="B552" s="8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2.5">
      <c r="A553" s="5"/>
      <c r="B553" s="8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2.5">
      <c r="A554" s="5"/>
      <c r="B554" s="8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2.5">
      <c r="A555" s="5"/>
      <c r="B555" s="8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2.5">
      <c r="A556" s="5"/>
      <c r="B556" s="8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2.5">
      <c r="A557" s="5"/>
      <c r="B557" s="8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2.5">
      <c r="A558" s="5"/>
      <c r="B558" s="8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2.5">
      <c r="A559" s="5"/>
      <c r="B559" s="8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2.5">
      <c r="A560" s="5"/>
      <c r="B560" s="8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2.5">
      <c r="A561" s="5"/>
      <c r="B561" s="8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2.5">
      <c r="A562" s="5"/>
      <c r="B562" s="8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2.5">
      <c r="A563" s="5"/>
      <c r="B563" s="8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2.5">
      <c r="A564" s="5"/>
      <c r="B564" s="8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2.5">
      <c r="A565" s="5"/>
      <c r="B565" s="8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2.5">
      <c r="A566" s="5"/>
      <c r="B566" s="8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2.5">
      <c r="A567" s="5"/>
      <c r="B567" s="8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2.5">
      <c r="A568" s="5"/>
      <c r="B568" s="8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2.5">
      <c r="A569" s="5"/>
      <c r="B569" s="8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2.5">
      <c r="A570" s="5"/>
      <c r="B570" s="8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2.5">
      <c r="A571" s="5"/>
      <c r="B571" s="8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2.5">
      <c r="A572" s="5"/>
      <c r="B572" s="8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2.5">
      <c r="A573" s="5"/>
      <c r="B573" s="8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2.5">
      <c r="A574" s="5"/>
      <c r="B574" s="8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2.5">
      <c r="A575" s="5"/>
      <c r="B575" s="8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2.5">
      <c r="A576" s="5"/>
      <c r="B576" s="8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2.5">
      <c r="A577" s="5"/>
      <c r="B577" s="8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2.5">
      <c r="A578" s="5"/>
      <c r="B578" s="8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2.5">
      <c r="A579" s="5"/>
      <c r="B579" s="8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2.5">
      <c r="A580" s="5"/>
      <c r="B580" s="8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2.5">
      <c r="A581" s="5"/>
      <c r="B581" s="8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2.5">
      <c r="A582" s="5"/>
      <c r="B582" s="8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2.5">
      <c r="A583" s="5"/>
      <c r="B583" s="8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2.5">
      <c r="A584" s="5"/>
      <c r="B584" s="8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2.5">
      <c r="A585" s="5"/>
      <c r="B585" s="8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2.5">
      <c r="A586" s="5"/>
      <c r="B586" s="8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2.5">
      <c r="A587" s="5"/>
      <c r="B587" s="8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2.5">
      <c r="A588" s="5"/>
      <c r="B588" s="8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2.5">
      <c r="A589" s="5"/>
      <c r="B589" s="8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2.5">
      <c r="A590" s="5"/>
      <c r="B590" s="8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2.5">
      <c r="A591" s="5"/>
      <c r="B591" s="8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2.5">
      <c r="A592" s="5"/>
      <c r="B592" s="8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2.5">
      <c r="A593" s="5"/>
      <c r="B593" s="8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2.5">
      <c r="A594" s="5"/>
      <c r="B594" s="8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2.5">
      <c r="A595" s="5"/>
      <c r="B595" s="8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2.5">
      <c r="A596" s="5"/>
      <c r="B596" s="8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2.5">
      <c r="A597" s="5"/>
      <c r="B597" s="8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2.5">
      <c r="A598" s="5"/>
      <c r="B598" s="8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2.5">
      <c r="A599" s="5"/>
      <c r="B599" s="8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2.5">
      <c r="A600" s="5"/>
      <c r="B600" s="8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2.5">
      <c r="A601" s="5"/>
      <c r="B601" s="8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2.5">
      <c r="A602" s="5"/>
      <c r="B602" s="8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2.5">
      <c r="A603" s="5"/>
      <c r="B603" s="8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2.5">
      <c r="A604" s="5"/>
      <c r="B604" s="8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2.5">
      <c r="A605" s="5"/>
      <c r="B605" s="8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2.5">
      <c r="A606" s="5"/>
      <c r="B606" s="8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2.5">
      <c r="A607" s="5"/>
      <c r="B607" s="8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2.5">
      <c r="A608" s="5"/>
      <c r="B608" s="8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2.5">
      <c r="A609" s="5"/>
      <c r="B609" s="8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2.5">
      <c r="A610" s="5"/>
      <c r="B610" s="8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2.5">
      <c r="A611" s="5"/>
      <c r="B611" s="8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2.5">
      <c r="A612" s="5"/>
      <c r="B612" s="8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2.5">
      <c r="A613" s="5"/>
      <c r="B613" s="8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2.5">
      <c r="A614" s="5"/>
      <c r="B614" s="8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2.5">
      <c r="A615" s="5"/>
      <c r="B615" s="8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2.5">
      <c r="A616" s="5"/>
      <c r="B616" s="8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2.5">
      <c r="A617" s="5"/>
      <c r="B617" s="8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2.5">
      <c r="A618" s="5"/>
      <c r="B618" s="8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2.5">
      <c r="A619" s="5"/>
      <c r="B619" s="8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2.5">
      <c r="A620" s="5"/>
      <c r="B620" s="8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2.5">
      <c r="A621" s="5"/>
      <c r="B621" s="8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2.5">
      <c r="A622" s="5"/>
      <c r="B622" s="8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2.5">
      <c r="A623" s="5"/>
      <c r="B623" s="8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2.5">
      <c r="A624" s="5"/>
      <c r="B624" s="8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2.5">
      <c r="A625" s="5"/>
      <c r="B625" s="8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2.5">
      <c r="A626" s="5"/>
      <c r="B626" s="8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2.5">
      <c r="A627" s="5"/>
      <c r="B627" s="8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2.5">
      <c r="A628" s="5"/>
      <c r="B628" s="8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2.5">
      <c r="A629" s="5"/>
      <c r="B629" s="8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2.5">
      <c r="A630" s="5"/>
      <c r="B630" s="8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2.5">
      <c r="A631" s="5"/>
      <c r="B631" s="8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2.5">
      <c r="A632" s="5"/>
      <c r="B632" s="8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2.5">
      <c r="A633" s="5"/>
      <c r="B633" s="8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2.5">
      <c r="A634" s="5"/>
      <c r="B634" s="8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2.5">
      <c r="A635" s="5"/>
      <c r="B635" s="8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2.5">
      <c r="A636" s="5"/>
      <c r="B636" s="8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2.5">
      <c r="A637" s="5"/>
      <c r="B637" s="8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2.5">
      <c r="A638" s="5"/>
      <c r="B638" s="8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2.5">
      <c r="A639" s="5"/>
      <c r="B639" s="8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2.5">
      <c r="A640" s="5"/>
      <c r="B640" s="8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2.5">
      <c r="A641" s="5"/>
      <c r="B641" s="8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2.5">
      <c r="A642" s="5"/>
      <c r="B642" s="8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2.5">
      <c r="A643" s="5"/>
      <c r="B643" s="8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2.5">
      <c r="A644" s="5"/>
      <c r="B644" s="8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2.5">
      <c r="A645" s="5"/>
      <c r="B645" s="8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2.5">
      <c r="A646" s="5"/>
      <c r="B646" s="8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2.5">
      <c r="A647" s="5"/>
      <c r="B647" s="8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2.5">
      <c r="A648" s="5"/>
      <c r="B648" s="8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2.5">
      <c r="A649" s="5"/>
      <c r="B649" s="8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2.5">
      <c r="A650" s="5"/>
      <c r="B650" s="8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2.5">
      <c r="A651" s="5"/>
      <c r="B651" s="8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2.5">
      <c r="A652" s="5"/>
      <c r="B652" s="8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2.5">
      <c r="A653" s="5"/>
      <c r="B653" s="8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2.5">
      <c r="A654" s="5"/>
      <c r="B654" s="8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2.5">
      <c r="A655" s="5"/>
      <c r="B655" s="8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2.5">
      <c r="A656" s="5"/>
      <c r="B656" s="8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2.5">
      <c r="A657" s="5"/>
      <c r="B657" s="8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2.5">
      <c r="A658" s="5"/>
      <c r="B658" s="8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2.5">
      <c r="A659" s="5"/>
      <c r="B659" s="8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2.5">
      <c r="A660" s="5"/>
      <c r="B660" s="8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2.5">
      <c r="A661" s="5"/>
      <c r="B661" s="8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2.5">
      <c r="A662" s="5"/>
      <c r="B662" s="8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2.5">
      <c r="A663" s="5"/>
      <c r="B663" s="8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2.5">
      <c r="A664" s="5"/>
      <c r="B664" s="8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2.5">
      <c r="A665" s="5"/>
      <c r="B665" s="8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2.5">
      <c r="A666" s="5"/>
      <c r="B666" s="8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2.5">
      <c r="A667" s="5"/>
      <c r="B667" s="8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2.5">
      <c r="A668" s="5"/>
      <c r="B668" s="8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2.5">
      <c r="A669" s="5"/>
      <c r="B669" s="8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2.5">
      <c r="A670" s="5"/>
      <c r="B670" s="8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2.5">
      <c r="A671" s="5"/>
      <c r="B671" s="8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2.5">
      <c r="A672" s="5"/>
      <c r="B672" s="8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2.5">
      <c r="A673" s="5"/>
      <c r="B673" s="8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2.5">
      <c r="A674" s="5"/>
      <c r="B674" s="8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2.5">
      <c r="A675" s="5"/>
      <c r="B675" s="8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2.5">
      <c r="A676" s="5"/>
      <c r="B676" s="8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2.5">
      <c r="A677" s="5"/>
      <c r="B677" s="8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2.5">
      <c r="A678" s="5"/>
      <c r="B678" s="8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2.5">
      <c r="A679" s="5"/>
      <c r="B679" s="8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2.5">
      <c r="A680" s="5"/>
      <c r="B680" s="8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2.5">
      <c r="A681" s="5"/>
      <c r="B681" s="8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2.5">
      <c r="A682" s="5"/>
      <c r="B682" s="8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2.5">
      <c r="A683" s="5"/>
      <c r="B683" s="8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2.5">
      <c r="A684" s="5"/>
      <c r="B684" s="8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2.5">
      <c r="A685" s="5"/>
      <c r="B685" s="8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2.5">
      <c r="A686" s="5"/>
      <c r="B686" s="8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2.5">
      <c r="A687" s="5"/>
      <c r="B687" s="8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2.5">
      <c r="A688" s="5"/>
      <c r="B688" s="8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2.5">
      <c r="A689" s="5"/>
      <c r="B689" s="8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2.5">
      <c r="A690" s="5"/>
      <c r="B690" s="8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2.5">
      <c r="A691" s="5"/>
      <c r="B691" s="8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2.5">
      <c r="A692" s="5"/>
      <c r="B692" s="8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2.5">
      <c r="A693" s="5"/>
      <c r="B693" s="8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2.5">
      <c r="A694" s="5"/>
      <c r="B694" s="8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2.5">
      <c r="A695" s="5"/>
      <c r="B695" s="8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2.5">
      <c r="A696" s="5"/>
      <c r="B696" s="8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2.5">
      <c r="A697" s="5"/>
      <c r="B697" s="8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2.5">
      <c r="A698" s="5"/>
      <c r="B698" s="8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2.5">
      <c r="A699" s="5"/>
      <c r="B699" s="8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2.5">
      <c r="A700" s="5"/>
      <c r="B700" s="8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2.5">
      <c r="A701" s="5"/>
      <c r="B701" s="8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2.5">
      <c r="A702" s="5"/>
      <c r="B702" s="8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2.5">
      <c r="A703" s="5"/>
      <c r="B703" s="8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2.5">
      <c r="A704" s="5"/>
      <c r="B704" s="8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2.5">
      <c r="A705" s="5"/>
      <c r="B705" s="8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2.5">
      <c r="A706" s="5"/>
      <c r="B706" s="8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2.5">
      <c r="A707" s="5"/>
      <c r="B707" s="8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2.5">
      <c r="A708" s="5"/>
      <c r="B708" s="8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2.5">
      <c r="A709" s="5"/>
      <c r="B709" s="8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2.5">
      <c r="A710" s="5"/>
      <c r="B710" s="8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2.5">
      <c r="A711" s="5"/>
      <c r="B711" s="8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2.5">
      <c r="A712" s="5"/>
      <c r="B712" s="8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2.5">
      <c r="A713" s="5"/>
      <c r="B713" s="8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2.5">
      <c r="A714" s="5"/>
      <c r="B714" s="8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2.5">
      <c r="A715" s="5"/>
      <c r="B715" s="8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2.5">
      <c r="A716" s="5"/>
      <c r="B716" s="8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2.5">
      <c r="A717" s="5"/>
      <c r="B717" s="8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2.5">
      <c r="A718" s="5"/>
      <c r="B718" s="8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2.5">
      <c r="A719" s="5"/>
      <c r="B719" s="8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2.5">
      <c r="A720" s="5"/>
      <c r="B720" s="8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2.5">
      <c r="A721" s="5"/>
      <c r="B721" s="8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2.5">
      <c r="A722" s="5"/>
      <c r="B722" s="8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2.5">
      <c r="A723" s="5"/>
      <c r="B723" s="8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2.5">
      <c r="A724" s="5"/>
      <c r="B724" s="8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2.5">
      <c r="A725" s="5"/>
      <c r="B725" s="8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2.5">
      <c r="A726" s="5"/>
      <c r="B726" s="8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2.5">
      <c r="A727" s="5"/>
      <c r="B727" s="8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2.5">
      <c r="A728" s="5"/>
      <c r="B728" s="8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2.5">
      <c r="A729" s="5"/>
      <c r="B729" s="8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2.5">
      <c r="A730" s="5"/>
      <c r="B730" s="8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2.5">
      <c r="A731" s="5"/>
      <c r="B731" s="8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2.5">
      <c r="A732" s="5"/>
      <c r="B732" s="8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2.5">
      <c r="A733" s="5"/>
      <c r="B733" s="8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2.5">
      <c r="A734" s="5"/>
      <c r="B734" s="8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2.5">
      <c r="A735" s="5"/>
      <c r="B735" s="8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2.5">
      <c r="A736" s="5"/>
      <c r="B736" s="8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2.5">
      <c r="A737" s="5"/>
      <c r="B737" s="8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2.5">
      <c r="A738" s="5"/>
      <c r="B738" s="8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2.5">
      <c r="A739" s="5"/>
      <c r="B739" s="8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2.5">
      <c r="A740" s="5"/>
      <c r="B740" s="8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2.5">
      <c r="A741" s="5"/>
      <c r="B741" s="8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2.5">
      <c r="A742" s="5"/>
      <c r="B742" s="8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2.5">
      <c r="A743" s="5"/>
      <c r="B743" s="8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2.5">
      <c r="A744" s="5"/>
      <c r="B744" s="8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2.5">
      <c r="A745" s="5"/>
      <c r="B745" s="8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2.5">
      <c r="A746" s="5"/>
      <c r="B746" s="8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2.5">
      <c r="A747" s="5"/>
      <c r="B747" s="8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2.5">
      <c r="A748" s="5"/>
      <c r="B748" s="8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2.5">
      <c r="A749" s="5"/>
      <c r="B749" s="8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2.5">
      <c r="A750" s="5"/>
      <c r="B750" s="8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2.5">
      <c r="A751" s="5"/>
      <c r="B751" s="8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2.5">
      <c r="A752" s="5"/>
      <c r="B752" s="8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2.5">
      <c r="A753" s="5"/>
      <c r="B753" s="8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2.5">
      <c r="A754" s="5"/>
      <c r="B754" s="8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2.5">
      <c r="A755" s="5"/>
      <c r="B755" s="8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2.5">
      <c r="A756" s="5"/>
      <c r="B756" s="8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2.5">
      <c r="A757" s="5"/>
      <c r="B757" s="8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2.5">
      <c r="A758" s="5"/>
      <c r="B758" s="8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2.5">
      <c r="A759" s="5"/>
      <c r="B759" s="8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2.5">
      <c r="A760" s="5"/>
      <c r="B760" s="8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2.5">
      <c r="A761" s="5"/>
      <c r="B761" s="8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2.5">
      <c r="A762" s="5"/>
      <c r="B762" s="8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2.5">
      <c r="A763" s="5"/>
      <c r="B763" s="8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2.5">
      <c r="A764" s="5"/>
      <c r="B764" s="8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2.5">
      <c r="A765" s="5"/>
      <c r="B765" s="8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2.5">
      <c r="A766" s="5"/>
      <c r="B766" s="8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2.5">
      <c r="A767" s="5"/>
      <c r="B767" s="8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2.5">
      <c r="A768" s="5"/>
      <c r="B768" s="8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2.5">
      <c r="A769" s="5"/>
      <c r="B769" s="8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2.5">
      <c r="A770" s="5"/>
      <c r="B770" s="8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2.5">
      <c r="A771" s="5"/>
      <c r="B771" s="8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2.5">
      <c r="A772" s="5"/>
      <c r="B772" s="8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2.5">
      <c r="A773" s="5"/>
      <c r="B773" s="8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2.5">
      <c r="A774" s="5"/>
      <c r="B774" s="8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2.5">
      <c r="A775" s="5"/>
      <c r="B775" s="8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2.5">
      <c r="A776" s="5"/>
      <c r="B776" s="8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2.5">
      <c r="A777" s="5"/>
      <c r="B777" s="8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2.5">
      <c r="A778" s="5"/>
      <c r="B778" s="8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2.5">
      <c r="A779" s="5"/>
      <c r="B779" s="8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2.5">
      <c r="A780" s="5"/>
      <c r="B780" s="8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2.5">
      <c r="A781" s="5"/>
      <c r="B781" s="8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2.5">
      <c r="A782" s="5"/>
      <c r="B782" s="8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2.5">
      <c r="A783" s="5"/>
      <c r="B783" s="8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2.5">
      <c r="A784" s="5"/>
      <c r="B784" s="8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2.5">
      <c r="A785" s="5"/>
      <c r="B785" s="8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2.5">
      <c r="A786" s="5"/>
      <c r="B786" s="8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2.5">
      <c r="A787" s="5"/>
      <c r="B787" s="8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2.5">
      <c r="A788" s="5"/>
      <c r="B788" s="8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2.5">
      <c r="A789" s="5"/>
      <c r="B789" s="8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2.5">
      <c r="A790" s="5"/>
      <c r="B790" s="8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2.5">
      <c r="A791" s="5"/>
      <c r="B791" s="8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2.5">
      <c r="A792" s="5"/>
      <c r="B792" s="8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2.5">
      <c r="A793" s="5"/>
      <c r="B793" s="8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2.5">
      <c r="A794" s="5"/>
      <c r="B794" s="8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2.5">
      <c r="A795" s="5"/>
      <c r="B795" s="8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2.5">
      <c r="A796" s="5"/>
      <c r="B796" s="8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2.5">
      <c r="A797" s="5"/>
      <c r="B797" s="8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2.5">
      <c r="A798" s="5"/>
      <c r="B798" s="8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2.5">
      <c r="A799" s="5"/>
      <c r="B799" s="8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2.5">
      <c r="A800" s="5"/>
      <c r="B800" s="8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2.5">
      <c r="A801" s="5"/>
      <c r="B801" s="8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2.5">
      <c r="A802" s="5"/>
      <c r="B802" s="8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2.5">
      <c r="A803" s="5"/>
      <c r="B803" s="8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2.5">
      <c r="A804" s="5"/>
      <c r="B804" s="8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2.5">
      <c r="A805" s="5"/>
      <c r="B805" s="8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2.5">
      <c r="A806" s="5"/>
      <c r="B806" s="8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2.5">
      <c r="A807" s="5"/>
      <c r="B807" s="8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2.5">
      <c r="A808" s="5"/>
      <c r="B808" s="8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2.5">
      <c r="A809" s="5"/>
      <c r="B809" s="8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2.5">
      <c r="A810" s="5"/>
      <c r="B810" s="8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2.5">
      <c r="A811" s="5"/>
      <c r="B811" s="8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2.5">
      <c r="A812" s="5"/>
      <c r="B812" s="8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2.5">
      <c r="A813" s="5"/>
      <c r="B813" s="8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2.5">
      <c r="A814" s="5"/>
      <c r="B814" s="8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2.5">
      <c r="A815" s="5"/>
      <c r="B815" s="8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2.5">
      <c r="A816" s="5"/>
      <c r="B816" s="8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2.5">
      <c r="A817" s="5"/>
      <c r="B817" s="8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2.5">
      <c r="A818" s="5"/>
      <c r="B818" s="8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2.5">
      <c r="A819" s="5"/>
      <c r="B819" s="8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2.5">
      <c r="A820" s="5"/>
      <c r="B820" s="8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2.5">
      <c r="A821" s="5"/>
      <c r="B821" s="8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2.5">
      <c r="A822" s="5"/>
      <c r="B822" s="8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2.5">
      <c r="A823" s="5"/>
      <c r="B823" s="8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2.5">
      <c r="A824" s="5"/>
      <c r="B824" s="8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2.5">
      <c r="A825" s="5"/>
      <c r="B825" s="8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2.5">
      <c r="A826" s="5"/>
      <c r="B826" s="8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2.5">
      <c r="A827" s="5"/>
      <c r="B827" s="8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2.5">
      <c r="A828" s="5"/>
      <c r="B828" s="8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2.5">
      <c r="A829" s="5"/>
      <c r="B829" s="8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2.5">
      <c r="A830" s="5"/>
      <c r="B830" s="8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2.5">
      <c r="A831" s="5"/>
      <c r="B831" s="8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2.5">
      <c r="A832" s="5"/>
      <c r="B832" s="8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2.5">
      <c r="A833" s="5"/>
      <c r="B833" s="8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2.5">
      <c r="A834" s="5"/>
      <c r="B834" s="8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2.5">
      <c r="A835" s="5"/>
      <c r="B835" s="8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2.5">
      <c r="A836" s="5"/>
      <c r="B836" s="8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2.5">
      <c r="A837" s="5"/>
      <c r="B837" s="8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2.5">
      <c r="A838" s="5"/>
      <c r="B838" s="8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2.5">
      <c r="A839" s="5"/>
      <c r="B839" s="8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2.5">
      <c r="A840" s="5"/>
      <c r="B840" s="8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2.5">
      <c r="A841" s="5"/>
      <c r="B841" s="8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2.5">
      <c r="A842" s="5"/>
      <c r="B842" s="8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2.5">
      <c r="A843" s="5"/>
      <c r="B843" s="8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2.5">
      <c r="A844" s="5"/>
      <c r="B844" s="8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2.5">
      <c r="A845" s="5"/>
      <c r="B845" s="8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2.5">
      <c r="A846" s="5"/>
      <c r="B846" s="8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2.5">
      <c r="A847" s="5"/>
      <c r="B847" s="8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2.5">
      <c r="A848" s="5"/>
      <c r="B848" s="8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2.5">
      <c r="A849" s="5"/>
      <c r="B849" s="8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2.5">
      <c r="A850" s="5"/>
      <c r="B850" s="8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2.5">
      <c r="A851" s="5"/>
      <c r="B851" s="8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2.5">
      <c r="A852" s="5"/>
      <c r="B852" s="8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2.5">
      <c r="A853" s="5"/>
      <c r="B853" s="8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2.5">
      <c r="A854" s="5"/>
      <c r="B854" s="8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2.5">
      <c r="A855" s="5"/>
      <c r="B855" s="8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2.5">
      <c r="A856" s="5"/>
      <c r="B856" s="8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2.5">
      <c r="A857" s="5"/>
      <c r="B857" s="8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2.5">
      <c r="A858" s="5"/>
      <c r="B858" s="8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2.5">
      <c r="A859" s="5"/>
      <c r="B859" s="8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2.5">
      <c r="A860" s="5"/>
      <c r="B860" s="8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2.5">
      <c r="A861" s="5"/>
      <c r="B861" s="8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2.5">
      <c r="A862" s="5"/>
      <c r="B862" s="8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2.5">
      <c r="A863" s="5"/>
      <c r="B863" s="8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2.5">
      <c r="A864" s="5"/>
      <c r="B864" s="8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2.5">
      <c r="A865" s="5"/>
      <c r="B865" s="8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2.5">
      <c r="A866" s="5"/>
      <c r="B866" s="8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2.5">
      <c r="A867" s="5"/>
      <c r="B867" s="8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2.5">
      <c r="A868" s="5"/>
      <c r="B868" s="8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2.5">
      <c r="A869" s="5"/>
      <c r="B869" s="8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2.5">
      <c r="A870" s="5"/>
      <c r="B870" s="8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2.5">
      <c r="A871" s="5"/>
      <c r="B871" s="8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2.5">
      <c r="A872" s="5"/>
      <c r="B872" s="8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2.5">
      <c r="A873" s="5"/>
      <c r="B873" s="8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2.5">
      <c r="A874" s="5"/>
      <c r="B874" s="8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2.5">
      <c r="A875" s="5"/>
      <c r="B875" s="8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2.5">
      <c r="A876" s="5"/>
      <c r="B876" s="8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2.5">
      <c r="A877" s="5"/>
      <c r="B877" s="8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2.5">
      <c r="A878" s="5"/>
      <c r="B878" s="8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2.5">
      <c r="A879" s="5"/>
      <c r="B879" s="8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2.5">
      <c r="A880" s="5"/>
      <c r="B880" s="8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2.5">
      <c r="A881" s="5"/>
      <c r="B881" s="8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2.5">
      <c r="A882" s="5"/>
      <c r="B882" s="8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2.5">
      <c r="A883" s="5"/>
      <c r="B883" s="8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2.5">
      <c r="A884" s="5"/>
      <c r="B884" s="8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2.5">
      <c r="A885" s="5"/>
      <c r="B885" s="8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2.5">
      <c r="A886" s="5"/>
      <c r="B886" s="8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2.5">
      <c r="A887" s="5"/>
      <c r="B887" s="8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2.5">
      <c r="A888" s="5"/>
      <c r="B888" s="8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2.5">
      <c r="A889" s="5"/>
      <c r="B889" s="8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2.5">
      <c r="A890" s="5"/>
      <c r="B890" s="8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2.5">
      <c r="A891" s="5"/>
      <c r="B891" s="8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2.5">
      <c r="A892" s="5"/>
      <c r="B892" s="8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2.5">
      <c r="A893" s="5"/>
      <c r="B893" s="8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2.5">
      <c r="A894" s="5"/>
      <c r="B894" s="8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2.5">
      <c r="A895" s="5"/>
      <c r="B895" s="8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2.5">
      <c r="A896" s="5"/>
      <c r="B896" s="8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2.5">
      <c r="A897" s="5"/>
      <c r="B897" s="8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2.5">
      <c r="A898" s="5"/>
      <c r="B898" s="8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2.5">
      <c r="A899" s="5"/>
      <c r="B899" s="8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2.5">
      <c r="A900" s="5"/>
      <c r="B900" s="8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2.5">
      <c r="A901" s="5"/>
      <c r="B901" s="8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2.5">
      <c r="A902" s="5"/>
      <c r="B902" s="8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2.5">
      <c r="A903" s="5"/>
      <c r="B903" s="8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2.5">
      <c r="A904" s="5"/>
      <c r="B904" s="8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2.5">
      <c r="A905" s="5"/>
      <c r="B905" s="8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2.5">
      <c r="A906" s="5"/>
      <c r="B906" s="8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2.5">
      <c r="A907" s="5"/>
      <c r="B907" s="8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2.5">
      <c r="A908" s="5"/>
      <c r="B908" s="8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2.5">
      <c r="A909" s="5"/>
      <c r="B909" s="8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2.5">
      <c r="A910" s="5"/>
      <c r="B910" s="8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2.5">
      <c r="A911" s="5"/>
      <c r="B911" s="8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2.5">
      <c r="A912" s="5"/>
      <c r="B912" s="8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2.5">
      <c r="A913" s="5"/>
      <c r="B913" s="8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2.5">
      <c r="A914" s="5"/>
      <c r="B914" s="8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2.5">
      <c r="A915" s="5"/>
      <c r="B915" s="8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2.5">
      <c r="A916" s="5"/>
      <c r="B916" s="8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2.5">
      <c r="A917" s="5"/>
      <c r="B917" s="8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2.5">
      <c r="A918" s="5"/>
      <c r="B918" s="8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2.5">
      <c r="A919" s="5"/>
      <c r="B919" s="8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2.5">
      <c r="A920" s="5"/>
      <c r="B920" s="8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2.5">
      <c r="A921" s="5"/>
      <c r="B921" s="8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2.5">
      <c r="A922" s="5"/>
      <c r="B922" s="8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2.5">
      <c r="A923" s="5"/>
      <c r="B923" s="8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2.5">
      <c r="A924" s="5"/>
      <c r="B924" s="8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2.5">
      <c r="A925" s="5"/>
      <c r="B925" s="8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2.5">
      <c r="A926" s="5"/>
      <c r="B926" s="8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2.5">
      <c r="A927" s="5"/>
      <c r="B927" s="8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2.5">
      <c r="A928" s="5"/>
      <c r="B928" s="8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2.5">
      <c r="A929" s="5"/>
      <c r="B929" s="8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2.5">
      <c r="A930" s="5"/>
      <c r="B930" s="8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2.5">
      <c r="A931" s="5"/>
      <c r="B931" s="8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2.5">
      <c r="A932" s="5"/>
      <c r="B932" s="8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2.5">
      <c r="A933" s="5"/>
      <c r="B933" s="8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2.5">
      <c r="A934" s="5"/>
      <c r="B934" s="8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2.5">
      <c r="A935" s="5"/>
      <c r="B935" s="8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2.5">
      <c r="A936" s="5"/>
      <c r="B936" s="8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2.5">
      <c r="A937" s="5"/>
      <c r="B937" s="8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2.5">
      <c r="A938" s="5"/>
      <c r="B938" s="8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2.5">
      <c r="A939" s="5"/>
      <c r="B939" s="8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2.5">
      <c r="A940" s="5"/>
      <c r="B940" s="8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2.5">
      <c r="A941" s="5"/>
      <c r="B941" s="8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2.5">
      <c r="A942" s="5"/>
      <c r="B942" s="8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2.5">
      <c r="A943" s="5"/>
      <c r="B943" s="8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2.5">
      <c r="A944" s="5"/>
      <c r="B944" s="8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2.5">
      <c r="A945" s="5"/>
      <c r="B945" s="8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2.5">
      <c r="A946" s="5"/>
      <c r="B946" s="8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2.5">
      <c r="A947" s="5"/>
      <c r="B947" s="8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2.5">
      <c r="A948" s="5"/>
      <c r="B948" s="8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2.5">
      <c r="A949" s="5"/>
      <c r="B949" s="8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2.5">
      <c r="A950" s="5"/>
      <c r="B950" s="8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2.5">
      <c r="A951" s="5"/>
      <c r="B951" s="8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2.5">
      <c r="A952" s="5"/>
      <c r="B952" s="8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2.5">
      <c r="A953" s="5"/>
      <c r="B953" s="8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2.5">
      <c r="A954" s="5"/>
      <c r="B954" s="8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2.5">
      <c r="A955" s="5"/>
      <c r="B955" s="8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2.5">
      <c r="A956" s="5"/>
      <c r="B956" s="8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2.5">
      <c r="A957" s="5"/>
      <c r="B957" s="8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2.5">
      <c r="A958" s="5"/>
      <c r="B958" s="8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2.5">
      <c r="A959" s="5"/>
      <c r="B959" s="8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2.5">
      <c r="A960" s="5"/>
      <c r="B960" s="8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2.5">
      <c r="A961" s="5"/>
      <c r="B961" s="8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2.5">
      <c r="A962" s="5"/>
      <c r="B962" s="8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2.5">
      <c r="A963" s="5"/>
      <c r="B963" s="8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2.5">
      <c r="A964" s="5"/>
      <c r="B964" s="8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2.5">
      <c r="A965" s="5"/>
      <c r="B965" s="8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2.5">
      <c r="A966" s="5"/>
      <c r="B966" s="8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2.5">
      <c r="A967" s="5"/>
      <c r="B967" s="8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2.5">
      <c r="A968" s="5"/>
      <c r="B968" s="8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2.5">
      <c r="A969" s="5"/>
      <c r="B969" s="8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2.5">
      <c r="A970" s="5"/>
      <c r="B970" s="8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2.5">
      <c r="A971" s="5"/>
      <c r="B971" s="8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2.5">
      <c r="A972" s="5"/>
      <c r="B972" s="8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2.5">
      <c r="A973" s="5"/>
      <c r="B973" s="8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2.5">
      <c r="A974" s="5"/>
      <c r="B974" s="8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2.5">
      <c r="A975" s="5"/>
      <c r="B975" s="8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2.5">
      <c r="A976" s="5"/>
      <c r="B976" s="8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2.5">
      <c r="A977" s="5"/>
      <c r="B977" s="8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2.5">
      <c r="A978" s="5"/>
      <c r="B978" s="8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2.5">
      <c r="A979" s="5"/>
      <c r="B979" s="8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2.5">
      <c r="A980" s="5"/>
      <c r="B980" s="8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2.5">
      <c r="A981" s="5"/>
      <c r="B981" s="8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2.5">
      <c r="A982" s="5"/>
      <c r="B982" s="8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2.5">
      <c r="A983" s="5"/>
      <c r="B983" s="8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2.5">
      <c r="A984" s="5"/>
      <c r="B984" s="8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2.5">
      <c r="A985" s="5"/>
      <c r="B985" s="8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2.5">
      <c r="A986" s="5"/>
      <c r="B986" s="8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2.5">
      <c r="A987" s="5"/>
      <c r="B987" s="8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2.5">
      <c r="A988" s="5"/>
      <c r="B988" s="8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2.5">
      <c r="A989" s="5"/>
      <c r="B989" s="8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2.5">
      <c r="A990" s="5"/>
      <c r="B990" s="8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2.5">
      <c r="A991" s="5"/>
      <c r="B991" s="8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2.5">
      <c r="A992" s="5"/>
      <c r="B992" s="8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2.5">
      <c r="A993" s="5"/>
      <c r="B993" s="8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2.5">
      <c r="A994" s="5"/>
      <c r="B994" s="8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2.5">
      <c r="A995" s="5"/>
      <c r="B995" s="8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2.5">
      <c r="A996" s="5"/>
      <c r="B996" s="8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2.5">
      <c r="A997" s="5"/>
      <c r="B997" s="8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2.5">
      <c r="A998" s="5"/>
      <c r="B998" s="8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</sheetData>
  <mergeCells count="46">
    <mergeCell ref="C28:C34"/>
    <mergeCell ref="D34:E34"/>
    <mergeCell ref="B9:B19"/>
    <mergeCell ref="C9:C19"/>
    <mergeCell ref="D19:E19"/>
    <mergeCell ref="B20:B27"/>
    <mergeCell ref="C20:C27"/>
    <mergeCell ref="D27:E27"/>
    <mergeCell ref="B28:B34"/>
    <mergeCell ref="T6:T8"/>
    <mergeCell ref="U6:U8"/>
    <mergeCell ref="H7:I7"/>
    <mergeCell ref="J7:K7"/>
    <mergeCell ref="B5:C5"/>
    <mergeCell ref="B6:B8"/>
    <mergeCell ref="C6:C8"/>
    <mergeCell ref="D6:D8"/>
    <mergeCell ref="E6:E8"/>
    <mergeCell ref="F6:F8"/>
    <mergeCell ref="G6:G8"/>
    <mergeCell ref="L7:M7"/>
    <mergeCell ref="N7:O7"/>
    <mergeCell ref="P7:Q7"/>
    <mergeCell ref="R7:S7"/>
    <mergeCell ref="H6:K6"/>
    <mergeCell ref="L6:O6"/>
    <mergeCell ref="P6:S6"/>
    <mergeCell ref="B2:U2"/>
    <mergeCell ref="N3:P3"/>
    <mergeCell ref="Q3:S3"/>
    <mergeCell ref="T3:U3"/>
    <mergeCell ref="N4:P4"/>
    <mergeCell ref="Q4:S4"/>
    <mergeCell ref="T4:U4"/>
    <mergeCell ref="B35:B40"/>
    <mergeCell ref="C35:C40"/>
    <mergeCell ref="D40:E40"/>
    <mergeCell ref="B41:B45"/>
    <mergeCell ref="C41:C45"/>
    <mergeCell ref="D45:E45"/>
    <mergeCell ref="C46:C50"/>
    <mergeCell ref="D50:E50"/>
    <mergeCell ref="B51:B53"/>
    <mergeCell ref="C51:C53"/>
    <mergeCell ref="D53:E53"/>
    <mergeCell ref="B46:B50"/>
  </mergeCells>
  <phoneticPr fontId="64" type="noConversion"/>
  <printOptions horizontalCentered="1" gridLines="1"/>
  <pageMargins left="0.7" right="0.7" top="0.75" bottom="0.75" header="0" footer="0"/>
  <pageSetup paperSize="9" pageOrder="overThenDown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  <pageSetUpPr fitToPage="1"/>
  </sheetPr>
  <dimension ref="A1:V1006"/>
  <sheetViews>
    <sheetView workbookViewId="0">
      <selection activeCell="D71" sqref="D71"/>
    </sheetView>
  </sheetViews>
  <sheetFormatPr defaultColWidth="12.6328125" defaultRowHeight="15.75" customHeight="1"/>
  <cols>
    <col min="1" max="1" width="4" customWidth="1"/>
    <col min="3" max="3" width="5.08984375" customWidth="1"/>
    <col min="4" max="4" width="27.36328125" customWidth="1"/>
    <col min="5" max="5" width="16.7265625" customWidth="1"/>
    <col min="6" max="6" width="5.6328125" customWidth="1"/>
    <col min="7" max="7" width="4.6328125" customWidth="1"/>
    <col min="8" max="19" width="7.08984375" customWidth="1"/>
    <col min="20" max="21" width="7.26953125" customWidth="1"/>
  </cols>
  <sheetData>
    <row r="1" spans="1:22" ht="15.75" customHeight="1">
      <c r="A1" s="2"/>
      <c r="B1" s="3"/>
      <c r="C1" s="4"/>
      <c r="D1" s="4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ht="24" customHeight="1">
      <c r="A2" s="4"/>
      <c r="B2" s="245" t="s">
        <v>1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5"/>
    </row>
    <row r="3" spans="1:22" ht="15.75" customHeight="1">
      <c r="A3" s="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246" t="s">
        <v>2</v>
      </c>
      <c r="O3" s="211"/>
      <c r="P3" s="207"/>
      <c r="Q3" s="246" t="s">
        <v>3</v>
      </c>
      <c r="R3" s="211"/>
      <c r="S3" s="207"/>
      <c r="T3" s="246" t="s">
        <v>4</v>
      </c>
      <c r="U3" s="207"/>
      <c r="V3" s="5"/>
    </row>
    <row r="4" spans="1:22" ht="27.5" customHeight="1">
      <c r="A4" s="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47" t="s">
        <v>5</v>
      </c>
      <c r="O4" s="211"/>
      <c r="P4" s="207"/>
      <c r="Q4" s="248" t="s">
        <v>7</v>
      </c>
      <c r="R4" s="211"/>
      <c r="S4" s="207"/>
      <c r="T4" s="249">
        <v>2027</v>
      </c>
      <c r="U4" s="207"/>
      <c r="V4" s="5"/>
    </row>
    <row r="5" spans="1:22" ht="15.75" customHeight="1">
      <c r="A5" s="4"/>
      <c r="B5" s="253"/>
      <c r="C5" s="226"/>
      <c r="D5" s="4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</row>
    <row r="6" spans="1:22" ht="15.75" customHeight="1">
      <c r="A6" s="4"/>
      <c r="B6" s="254" t="s">
        <v>8</v>
      </c>
      <c r="C6" s="254" t="s">
        <v>9</v>
      </c>
      <c r="D6" s="254" t="s">
        <v>10</v>
      </c>
      <c r="E6" s="254" t="s">
        <v>11</v>
      </c>
      <c r="F6" s="254" t="s">
        <v>12</v>
      </c>
      <c r="G6" s="301" t="s">
        <v>13</v>
      </c>
      <c r="H6" s="251" t="s">
        <v>14</v>
      </c>
      <c r="I6" s="211"/>
      <c r="J6" s="211"/>
      <c r="K6" s="207"/>
      <c r="L6" s="251" t="s">
        <v>15</v>
      </c>
      <c r="M6" s="211"/>
      <c r="N6" s="211"/>
      <c r="O6" s="207"/>
      <c r="P6" s="251" t="s">
        <v>16</v>
      </c>
      <c r="Q6" s="211"/>
      <c r="R6" s="211"/>
      <c r="S6" s="207"/>
      <c r="T6" s="252" t="s">
        <v>17</v>
      </c>
      <c r="U6" s="252" t="s">
        <v>18</v>
      </c>
      <c r="V6" s="5"/>
    </row>
    <row r="7" spans="1:22" ht="15.75" customHeight="1">
      <c r="A7" s="4"/>
      <c r="B7" s="213"/>
      <c r="C7" s="213"/>
      <c r="D7" s="213"/>
      <c r="E7" s="213"/>
      <c r="F7" s="213"/>
      <c r="G7" s="302"/>
      <c r="H7" s="250" t="s">
        <v>19</v>
      </c>
      <c r="I7" s="207"/>
      <c r="J7" s="250" t="s">
        <v>20</v>
      </c>
      <c r="K7" s="207"/>
      <c r="L7" s="250" t="s">
        <v>19</v>
      </c>
      <c r="M7" s="207"/>
      <c r="N7" s="250" t="s">
        <v>20</v>
      </c>
      <c r="O7" s="207"/>
      <c r="P7" s="250" t="s">
        <v>19</v>
      </c>
      <c r="Q7" s="207"/>
      <c r="R7" s="250" t="s">
        <v>20</v>
      </c>
      <c r="S7" s="207"/>
      <c r="T7" s="213"/>
      <c r="U7" s="213"/>
      <c r="V7" s="5"/>
    </row>
    <row r="8" spans="1:22" ht="15.75" customHeight="1">
      <c r="A8" s="4"/>
      <c r="B8" s="209"/>
      <c r="C8" s="209"/>
      <c r="D8" s="209"/>
      <c r="E8" s="209"/>
      <c r="F8" s="209"/>
      <c r="G8" s="303"/>
      <c r="H8" s="304" t="s">
        <v>21</v>
      </c>
      <c r="I8" s="304" t="s">
        <v>22</v>
      </c>
      <c r="J8" s="304" t="s">
        <v>21</v>
      </c>
      <c r="K8" s="304" t="s">
        <v>22</v>
      </c>
      <c r="L8" s="304" t="s">
        <v>21</v>
      </c>
      <c r="M8" s="304" t="s">
        <v>22</v>
      </c>
      <c r="N8" s="304" t="s">
        <v>21</v>
      </c>
      <c r="O8" s="304" t="s">
        <v>22</v>
      </c>
      <c r="P8" s="304" t="s">
        <v>21</v>
      </c>
      <c r="Q8" s="304" t="s">
        <v>22</v>
      </c>
      <c r="R8" s="304" t="s">
        <v>21</v>
      </c>
      <c r="S8" s="304" t="s">
        <v>22</v>
      </c>
      <c r="T8" s="209"/>
      <c r="U8" s="209"/>
      <c r="V8" s="5"/>
    </row>
    <row r="9" spans="1:22" ht="15.75" customHeight="1">
      <c r="A9" s="7"/>
      <c r="B9" s="255" t="s">
        <v>23</v>
      </c>
      <c r="C9" s="255">
        <v>8</v>
      </c>
      <c r="D9" s="8" t="s">
        <v>24</v>
      </c>
      <c r="E9" s="8" t="s">
        <v>25</v>
      </c>
      <c r="F9" s="8">
        <v>16</v>
      </c>
      <c r="G9" s="9">
        <v>3</v>
      </c>
      <c r="H9" s="9">
        <v>1</v>
      </c>
      <c r="I9" s="9">
        <v>16</v>
      </c>
      <c r="J9" s="10"/>
      <c r="K9" s="10"/>
      <c r="L9" s="10"/>
      <c r="M9" s="10"/>
      <c r="N9" s="10"/>
      <c r="O9" s="10"/>
      <c r="P9" s="11"/>
      <c r="Q9" s="11"/>
      <c r="R9" s="10"/>
      <c r="S9" s="10"/>
      <c r="T9" s="12">
        <v>1</v>
      </c>
      <c r="U9" s="12">
        <v>16</v>
      </c>
      <c r="V9" s="5"/>
    </row>
    <row r="10" spans="1:22" ht="15.75" customHeight="1">
      <c r="A10" s="5"/>
      <c r="B10" s="213"/>
      <c r="C10" s="213"/>
      <c r="D10" s="13" t="s">
        <v>26</v>
      </c>
      <c r="E10" s="13" t="s">
        <v>27</v>
      </c>
      <c r="F10" s="8">
        <v>16</v>
      </c>
      <c r="G10" s="9">
        <v>3</v>
      </c>
      <c r="H10" s="9">
        <v>1</v>
      </c>
      <c r="I10" s="9">
        <v>16</v>
      </c>
      <c r="J10" s="10"/>
      <c r="K10" s="10"/>
      <c r="L10" s="10"/>
      <c r="M10" s="10"/>
      <c r="N10" s="10"/>
      <c r="O10" s="10"/>
      <c r="P10" s="10"/>
      <c r="Q10" s="10"/>
      <c r="R10" s="11"/>
      <c r="S10" s="11"/>
      <c r="T10" s="12">
        <v>1</v>
      </c>
      <c r="U10" s="12">
        <v>16</v>
      </c>
      <c r="V10" s="5"/>
    </row>
    <row r="11" spans="1:22" ht="15.75" customHeight="1">
      <c r="A11" s="5"/>
      <c r="B11" s="213"/>
      <c r="C11" s="213"/>
      <c r="D11" s="13" t="s">
        <v>28</v>
      </c>
      <c r="E11" s="13" t="s">
        <v>29</v>
      </c>
      <c r="F11" s="8">
        <v>24</v>
      </c>
      <c r="G11" s="9">
        <v>4</v>
      </c>
      <c r="H11" s="9">
        <v>1</v>
      </c>
      <c r="I11" s="9">
        <v>16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>
        <v>1</v>
      </c>
      <c r="U11" s="12">
        <v>16</v>
      </c>
      <c r="V11" s="5" t="str">
        <f>IF(C60=T62,"","오류")</f>
        <v/>
      </c>
    </row>
    <row r="12" spans="1:22" ht="15.75" customHeight="1">
      <c r="A12" s="5"/>
      <c r="B12" s="213"/>
      <c r="C12" s="213"/>
      <c r="D12" s="13" t="s">
        <v>30</v>
      </c>
      <c r="E12" s="13" t="s">
        <v>31</v>
      </c>
      <c r="F12" s="8">
        <v>24</v>
      </c>
      <c r="G12" s="9">
        <v>4</v>
      </c>
      <c r="H12" s="9">
        <v>1</v>
      </c>
      <c r="I12" s="9">
        <v>16</v>
      </c>
      <c r="J12" s="12"/>
      <c r="K12" s="12"/>
      <c r="L12" s="11"/>
      <c r="M12" s="10"/>
      <c r="N12" s="11"/>
      <c r="O12" s="10"/>
      <c r="P12" s="10"/>
      <c r="Q12" s="10"/>
      <c r="R12" s="10"/>
      <c r="S12" s="10"/>
      <c r="T12" s="12">
        <v>2</v>
      </c>
      <c r="U12" s="12">
        <v>32</v>
      </c>
      <c r="V12" s="5"/>
    </row>
    <row r="13" spans="1:22" ht="15.75" customHeight="1">
      <c r="A13" s="5"/>
      <c r="B13" s="213"/>
      <c r="C13" s="213"/>
      <c r="D13" s="13" t="s">
        <v>32</v>
      </c>
      <c r="E13" s="13" t="s">
        <v>33</v>
      </c>
      <c r="F13" s="8">
        <v>16</v>
      </c>
      <c r="G13" s="9">
        <v>3</v>
      </c>
      <c r="H13" s="10"/>
      <c r="I13" s="10"/>
      <c r="J13" s="9">
        <v>2</v>
      </c>
      <c r="K13" s="9">
        <v>32</v>
      </c>
      <c r="L13" s="11"/>
      <c r="M13" s="10"/>
      <c r="N13" s="11"/>
      <c r="O13" s="10"/>
      <c r="P13" s="10"/>
      <c r="Q13" s="10"/>
      <c r="R13" s="10"/>
      <c r="S13" s="10"/>
      <c r="T13" s="12">
        <v>1</v>
      </c>
      <c r="U13" s="12">
        <v>16</v>
      </c>
      <c r="V13" s="5"/>
    </row>
    <row r="14" spans="1:22" ht="15.75" customHeight="1">
      <c r="A14" s="5"/>
      <c r="B14" s="213"/>
      <c r="C14" s="213"/>
      <c r="D14" s="297" t="s">
        <v>34</v>
      </c>
      <c r="E14" s="13" t="s">
        <v>35</v>
      </c>
      <c r="F14" s="8">
        <v>16</v>
      </c>
      <c r="G14" s="9">
        <v>2</v>
      </c>
      <c r="H14" s="10"/>
      <c r="I14" s="10"/>
      <c r="J14" s="9">
        <v>1</v>
      </c>
      <c r="K14" s="9">
        <v>16</v>
      </c>
      <c r="L14" s="11"/>
      <c r="M14" s="11"/>
      <c r="N14" s="11"/>
      <c r="O14" s="11"/>
      <c r="P14" s="11"/>
      <c r="Q14" s="11"/>
      <c r="R14" s="11"/>
      <c r="S14" s="11"/>
      <c r="T14" s="12">
        <v>1</v>
      </c>
      <c r="U14" s="12">
        <v>16</v>
      </c>
      <c r="V14" s="5"/>
    </row>
    <row r="15" spans="1:22" ht="15.75" customHeight="1">
      <c r="A15" s="5"/>
      <c r="B15" s="213"/>
      <c r="C15" s="213"/>
      <c r="D15" s="13" t="s">
        <v>36</v>
      </c>
      <c r="E15" s="13" t="s">
        <v>37</v>
      </c>
      <c r="F15" s="8">
        <v>16</v>
      </c>
      <c r="G15" s="9">
        <v>3</v>
      </c>
      <c r="H15" s="10"/>
      <c r="I15" s="10"/>
      <c r="J15" s="9">
        <v>1</v>
      </c>
      <c r="K15" s="9">
        <v>16</v>
      </c>
      <c r="L15" s="11"/>
      <c r="M15" s="10"/>
      <c r="N15" s="11"/>
      <c r="O15" s="10"/>
      <c r="P15" s="10"/>
      <c r="Q15" s="10"/>
      <c r="R15" s="10"/>
      <c r="S15" s="10"/>
      <c r="T15" s="12">
        <v>1</v>
      </c>
      <c r="U15" s="12">
        <v>16</v>
      </c>
      <c r="V15" s="5"/>
    </row>
    <row r="16" spans="1:22" ht="15.75" customHeight="1">
      <c r="A16" s="5"/>
      <c r="B16" s="213"/>
      <c r="C16" s="213"/>
      <c r="D16" s="14" t="s">
        <v>38</v>
      </c>
      <c r="E16" s="14" t="s">
        <v>39</v>
      </c>
      <c r="F16" s="15">
        <v>24</v>
      </c>
      <c r="G16" s="16">
        <v>4</v>
      </c>
      <c r="H16" s="17"/>
      <c r="I16" s="17"/>
      <c r="J16" s="17"/>
      <c r="K16" s="17"/>
      <c r="L16" s="17"/>
      <c r="M16" s="17"/>
      <c r="N16" s="17"/>
      <c r="O16" s="17"/>
      <c r="P16" s="16"/>
      <c r="Q16" s="16"/>
      <c r="R16" s="16"/>
      <c r="S16" s="16"/>
      <c r="T16" s="18">
        <f t="shared" ref="T16:T18" si="0">SUM(H16,J16,L16,N16,P16,R16)</f>
        <v>0</v>
      </c>
      <c r="U16" s="16">
        <f t="shared" ref="U16:U18" si="1">T16*16</f>
        <v>0</v>
      </c>
      <c r="V16" s="5"/>
    </row>
    <row r="17" spans="1:22" ht="15.75" customHeight="1">
      <c r="A17" s="5"/>
      <c r="B17" s="213"/>
      <c r="C17" s="213"/>
      <c r="D17" s="14" t="s">
        <v>40</v>
      </c>
      <c r="E17" s="14" t="s">
        <v>41</v>
      </c>
      <c r="F17" s="15">
        <v>16</v>
      </c>
      <c r="G17" s="16">
        <v>3</v>
      </c>
      <c r="H17" s="17"/>
      <c r="I17" s="17"/>
      <c r="J17" s="17"/>
      <c r="K17" s="17"/>
      <c r="L17" s="17"/>
      <c r="M17" s="17"/>
      <c r="N17" s="17"/>
      <c r="O17" s="17"/>
      <c r="P17" s="16"/>
      <c r="Q17" s="16"/>
      <c r="R17" s="16"/>
      <c r="S17" s="16"/>
      <c r="T17" s="18">
        <f t="shared" si="0"/>
        <v>0</v>
      </c>
      <c r="U17" s="16">
        <f t="shared" si="1"/>
        <v>0</v>
      </c>
      <c r="V17" s="5"/>
    </row>
    <row r="18" spans="1:22" ht="15.75" customHeight="1">
      <c r="A18" s="5"/>
      <c r="B18" s="213"/>
      <c r="C18" s="213"/>
      <c r="D18" s="14" t="s">
        <v>42</v>
      </c>
      <c r="E18" s="14" t="s">
        <v>43</v>
      </c>
      <c r="F18" s="15">
        <v>24</v>
      </c>
      <c r="G18" s="16">
        <v>4</v>
      </c>
      <c r="H18" s="17"/>
      <c r="I18" s="17"/>
      <c r="J18" s="17"/>
      <c r="K18" s="17"/>
      <c r="L18" s="17"/>
      <c r="M18" s="17"/>
      <c r="N18" s="17"/>
      <c r="O18" s="17"/>
      <c r="P18" s="16"/>
      <c r="Q18" s="16"/>
      <c r="R18" s="16"/>
      <c r="S18" s="16"/>
      <c r="T18" s="18">
        <f t="shared" si="0"/>
        <v>0</v>
      </c>
      <c r="U18" s="16">
        <f t="shared" si="1"/>
        <v>0</v>
      </c>
      <c r="V18" s="5"/>
    </row>
    <row r="19" spans="1:22" ht="15.75" customHeight="1">
      <c r="A19" s="5"/>
      <c r="B19" s="209"/>
      <c r="C19" s="209"/>
      <c r="D19" s="243" t="s">
        <v>44</v>
      </c>
      <c r="E19" s="207"/>
      <c r="F19" s="19"/>
      <c r="G19" s="20"/>
      <c r="H19" s="21">
        <f t="shared" ref="H19:U19" si="2">SUM(H9:H15)</f>
        <v>4</v>
      </c>
      <c r="I19" s="21">
        <f t="shared" si="2"/>
        <v>64</v>
      </c>
      <c r="J19" s="21">
        <f t="shared" si="2"/>
        <v>4</v>
      </c>
      <c r="K19" s="21">
        <f t="shared" si="2"/>
        <v>64</v>
      </c>
      <c r="L19" s="21">
        <f t="shared" si="2"/>
        <v>0</v>
      </c>
      <c r="M19" s="21">
        <f t="shared" si="2"/>
        <v>0</v>
      </c>
      <c r="N19" s="21">
        <f t="shared" si="2"/>
        <v>0</v>
      </c>
      <c r="O19" s="21">
        <f t="shared" si="2"/>
        <v>0</v>
      </c>
      <c r="P19" s="21">
        <f t="shared" si="2"/>
        <v>0</v>
      </c>
      <c r="Q19" s="21">
        <f t="shared" si="2"/>
        <v>0</v>
      </c>
      <c r="R19" s="21">
        <f t="shared" si="2"/>
        <v>0</v>
      </c>
      <c r="S19" s="21">
        <f t="shared" si="2"/>
        <v>0</v>
      </c>
      <c r="T19" s="21">
        <f t="shared" si="2"/>
        <v>8</v>
      </c>
      <c r="U19" s="21">
        <f t="shared" si="2"/>
        <v>128</v>
      </c>
      <c r="V19" s="5"/>
    </row>
    <row r="20" spans="1:22" ht="15.75" customHeight="1">
      <c r="A20" s="22"/>
      <c r="B20" s="244" t="s">
        <v>60</v>
      </c>
      <c r="C20" s="242">
        <v>17</v>
      </c>
      <c r="D20" s="34" t="s">
        <v>62</v>
      </c>
      <c r="E20" s="36" t="s">
        <v>63</v>
      </c>
      <c r="F20" s="37">
        <v>60</v>
      </c>
      <c r="G20" s="37">
        <v>2</v>
      </c>
      <c r="H20" s="38"/>
      <c r="I20" s="38"/>
      <c r="J20" s="38"/>
      <c r="K20" s="38"/>
      <c r="L20" s="28">
        <v>3</v>
      </c>
      <c r="M20" s="28">
        <f t="shared" ref="M20:M23" si="3">L20*16</f>
        <v>48</v>
      </c>
      <c r="N20" s="37"/>
      <c r="O20" s="37"/>
      <c r="P20" s="27"/>
      <c r="Q20" s="27"/>
      <c r="R20" s="27"/>
      <c r="S20" s="27"/>
      <c r="T20" s="29">
        <f t="shared" ref="T20:T25" si="4">SUM(H20,J20,L20,N20,P20,R20)</f>
        <v>3</v>
      </c>
      <c r="U20" s="26">
        <f t="shared" ref="U20:U25" si="5">T20*16</f>
        <v>48</v>
      </c>
      <c r="V20" s="5"/>
    </row>
    <row r="21" spans="1:22" ht="15.75" customHeight="1">
      <c r="A21" s="4"/>
      <c r="B21" s="213"/>
      <c r="C21" s="213"/>
      <c r="D21" s="34" t="s">
        <v>68</v>
      </c>
      <c r="E21" s="36" t="s">
        <v>69</v>
      </c>
      <c r="F21" s="37">
        <v>60</v>
      </c>
      <c r="G21" s="37">
        <v>3</v>
      </c>
      <c r="H21" s="38"/>
      <c r="I21" s="38"/>
      <c r="J21" s="38"/>
      <c r="K21" s="38"/>
      <c r="L21" s="28">
        <v>3</v>
      </c>
      <c r="M21" s="28">
        <f t="shared" si="3"/>
        <v>48</v>
      </c>
      <c r="N21" s="37"/>
      <c r="O21" s="37"/>
      <c r="P21" s="27"/>
      <c r="Q21" s="27"/>
      <c r="R21" s="27"/>
      <c r="S21" s="27"/>
      <c r="T21" s="29">
        <f t="shared" si="4"/>
        <v>3</v>
      </c>
      <c r="U21" s="26">
        <f t="shared" si="5"/>
        <v>48</v>
      </c>
      <c r="V21" s="5" t="str">
        <f>IF(C20=T26,"","오류")</f>
        <v/>
      </c>
    </row>
    <row r="22" spans="1:22" ht="15.75" customHeight="1">
      <c r="A22" s="4"/>
      <c r="B22" s="213"/>
      <c r="C22" s="213"/>
      <c r="D22" s="34" t="s">
        <v>64</v>
      </c>
      <c r="E22" s="36" t="s">
        <v>72</v>
      </c>
      <c r="F22" s="37">
        <v>60</v>
      </c>
      <c r="G22" s="37">
        <v>3</v>
      </c>
      <c r="H22" s="38"/>
      <c r="I22" s="38"/>
      <c r="J22" s="38"/>
      <c r="K22" s="38"/>
      <c r="L22" s="28">
        <v>3</v>
      </c>
      <c r="M22" s="28">
        <f t="shared" si="3"/>
        <v>48</v>
      </c>
      <c r="N22" s="37"/>
      <c r="O22" s="37"/>
      <c r="P22" s="27"/>
      <c r="Q22" s="27"/>
      <c r="R22" s="27"/>
      <c r="S22" s="27"/>
      <c r="T22" s="29">
        <f t="shared" si="4"/>
        <v>3</v>
      </c>
      <c r="U22" s="26">
        <f t="shared" si="5"/>
        <v>48</v>
      </c>
      <c r="V22" s="5"/>
    </row>
    <row r="23" spans="1:22" ht="15.75" customHeight="1">
      <c r="A23" s="4"/>
      <c r="B23" s="213"/>
      <c r="C23" s="213"/>
      <c r="D23" s="34" t="s">
        <v>77</v>
      </c>
      <c r="E23" s="36" t="s">
        <v>78</v>
      </c>
      <c r="F23" s="37">
        <v>30</v>
      </c>
      <c r="G23" s="37">
        <v>2</v>
      </c>
      <c r="H23" s="38"/>
      <c r="I23" s="38"/>
      <c r="J23" s="38"/>
      <c r="K23" s="38"/>
      <c r="L23" s="28">
        <v>1</v>
      </c>
      <c r="M23" s="28">
        <f t="shared" si="3"/>
        <v>16</v>
      </c>
      <c r="N23" s="37"/>
      <c r="O23" s="37"/>
      <c r="P23" s="27"/>
      <c r="Q23" s="27"/>
      <c r="R23" s="27"/>
      <c r="S23" s="27"/>
      <c r="T23" s="29">
        <f t="shared" si="4"/>
        <v>1</v>
      </c>
      <c r="U23" s="26">
        <f t="shared" si="5"/>
        <v>16</v>
      </c>
      <c r="V23" s="5"/>
    </row>
    <row r="24" spans="1:22" ht="15.75" customHeight="1">
      <c r="A24" s="4"/>
      <c r="B24" s="213"/>
      <c r="C24" s="213"/>
      <c r="D24" s="34" t="s">
        <v>73</v>
      </c>
      <c r="E24" s="36" t="s">
        <v>74</v>
      </c>
      <c r="F24" s="37">
        <v>60</v>
      </c>
      <c r="G24" s="37">
        <v>3</v>
      </c>
      <c r="H24" s="38"/>
      <c r="I24" s="38"/>
      <c r="J24" s="38"/>
      <c r="K24" s="38"/>
      <c r="L24" s="37"/>
      <c r="M24" s="37"/>
      <c r="N24" s="28">
        <v>5</v>
      </c>
      <c r="O24" s="28">
        <f t="shared" ref="O24:O25" si="6">N24*16</f>
        <v>80</v>
      </c>
      <c r="P24" s="27"/>
      <c r="Q24" s="27"/>
      <c r="R24" s="27"/>
      <c r="S24" s="27"/>
      <c r="T24" s="29">
        <f t="shared" si="4"/>
        <v>5</v>
      </c>
      <c r="U24" s="26">
        <f t="shared" si="5"/>
        <v>80</v>
      </c>
      <c r="V24" s="5"/>
    </row>
    <row r="25" spans="1:22" ht="15.75" customHeight="1">
      <c r="A25" s="4"/>
      <c r="B25" s="213"/>
      <c r="C25" s="213"/>
      <c r="D25" s="36" t="s">
        <v>75</v>
      </c>
      <c r="E25" s="36" t="s">
        <v>76</v>
      </c>
      <c r="F25" s="37">
        <v>60</v>
      </c>
      <c r="G25" s="37">
        <v>3</v>
      </c>
      <c r="H25" s="38"/>
      <c r="I25" s="38"/>
      <c r="J25" s="38"/>
      <c r="K25" s="38"/>
      <c r="L25" s="37"/>
      <c r="M25" s="37"/>
      <c r="N25" s="37">
        <v>2</v>
      </c>
      <c r="O25" s="37">
        <f t="shared" si="6"/>
        <v>32</v>
      </c>
      <c r="P25" s="27"/>
      <c r="Q25" s="27"/>
      <c r="R25" s="27"/>
      <c r="S25" s="27"/>
      <c r="T25" s="29">
        <f t="shared" si="4"/>
        <v>2</v>
      </c>
      <c r="U25" s="26">
        <f t="shared" si="5"/>
        <v>32</v>
      </c>
      <c r="V25" s="5"/>
    </row>
    <row r="26" spans="1:22" ht="15.75" customHeight="1">
      <c r="A26" s="4"/>
      <c r="B26" s="209"/>
      <c r="C26" s="209"/>
      <c r="D26" s="243" t="s">
        <v>44</v>
      </c>
      <c r="E26" s="207"/>
      <c r="F26" s="20"/>
      <c r="G26" s="20"/>
      <c r="H26" s="21">
        <f t="shared" ref="H26:U26" si="7">SUM(H20:H25)</f>
        <v>0</v>
      </c>
      <c r="I26" s="21">
        <f t="shared" si="7"/>
        <v>0</v>
      </c>
      <c r="J26" s="21">
        <f t="shared" si="7"/>
        <v>0</v>
      </c>
      <c r="K26" s="21">
        <f t="shared" si="7"/>
        <v>0</v>
      </c>
      <c r="L26" s="21">
        <f t="shared" si="7"/>
        <v>10</v>
      </c>
      <c r="M26" s="21">
        <f t="shared" si="7"/>
        <v>160</v>
      </c>
      <c r="N26" s="21">
        <f t="shared" si="7"/>
        <v>7</v>
      </c>
      <c r="O26" s="21">
        <f t="shared" si="7"/>
        <v>112</v>
      </c>
      <c r="P26" s="21">
        <f t="shared" si="7"/>
        <v>0</v>
      </c>
      <c r="Q26" s="21">
        <f t="shared" si="7"/>
        <v>0</v>
      </c>
      <c r="R26" s="21">
        <f t="shared" si="7"/>
        <v>0</v>
      </c>
      <c r="S26" s="21">
        <f t="shared" si="7"/>
        <v>0</v>
      </c>
      <c r="T26" s="21">
        <f t="shared" si="7"/>
        <v>17</v>
      </c>
      <c r="U26" s="21">
        <f t="shared" si="7"/>
        <v>272</v>
      </c>
      <c r="V26" s="5"/>
    </row>
    <row r="27" spans="1:22" ht="15.75" customHeight="1">
      <c r="A27" s="22"/>
      <c r="B27" s="244" t="s">
        <v>82</v>
      </c>
      <c r="C27" s="242">
        <v>3</v>
      </c>
      <c r="D27" s="23" t="s">
        <v>85</v>
      </c>
      <c r="E27" s="51" t="s">
        <v>86</v>
      </c>
      <c r="F27" s="52">
        <v>30</v>
      </c>
      <c r="G27" s="37">
        <v>3</v>
      </c>
      <c r="H27" s="38"/>
      <c r="I27" s="38"/>
      <c r="J27" s="38"/>
      <c r="K27" s="38"/>
      <c r="L27" s="37"/>
      <c r="M27" s="37"/>
      <c r="N27" s="28">
        <v>2</v>
      </c>
      <c r="O27" s="28">
        <f t="shared" ref="O27:O28" si="8">N27*16</f>
        <v>32</v>
      </c>
      <c r="P27" s="27"/>
      <c r="Q27" s="27"/>
      <c r="R27" s="27"/>
      <c r="S27" s="27"/>
      <c r="T27" s="29">
        <f t="shared" ref="T27:T28" si="9">SUM(H27,J27,L27,N27,P27,R27)</f>
        <v>2</v>
      </c>
      <c r="U27" s="26">
        <f t="shared" ref="U27:U28" si="10">T27*16</f>
        <v>32</v>
      </c>
      <c r="V27" s="5"/>
    </row>
    <row r="28" spans="1:22" ht="15.75" customHeight="1">
      <c r="A28" s="4"/>
      <c r="B28" s="213"/>
      <c r="C28" s="213"/>
      <c r="D28" s="12" t="s">
        <v>93</v>
      </c>
      <c r="E28" s="41" t="s">
        <v>94</v>
      </c>
      <c r="F28" s="25">
        <v>30</v>
      </c>
      <c r="G28" s="26">
        <v>2</v>
      </c>
      <c r="H28" s="27"/>
      <c r="I28" s="27"/>
      <c r="J28" s="27"/>
      <c r="K28" s="27"/>
      <c r="L28" s="27"/>
      <c r="M28" s="27"/>
      <c r="N28" s="26">
        <v>1</v>
      </c>
      <c r="O28" s="37">
        <f t="shared" si="8"/>
        <v>16</v>
      </c>
      <c r="P28" s="43"/>
      <c r="Q28" s="27"/>
      <c r="R28" s="27"/>
      <c r="S28" s="27"/>
      <c r="T28" s="29">
        <f t="shared" si="9"/>
        <v>1</v>
      </c>
      <c r="U28" s="26">
        <f t="shared" si="10"/>
        <v>16</v>
      </c>
      <c r="V28" s="5" t="str">
        <f>IF(C30=T36,"","오류")</f>
        <v/>
      </c>
    </row>
    <row r="29" spans="1:22" ht="15.75" customHeight="1">
      <c r="A29" s="4"/>
      <c r="B29" s="209"/>
      <c r="C29" s="209"/>
      <c r="D29" s="243" t="s">
        <v>44</v>
      </c>
      <c r="E29" s="207"/>
      <c r="F29" s="20"/>
      <c r="G29" s="35"/>
      <c r="H29" s="21">
        <f t="shared" ref="H29:U29" si="11">SUM(H27:H28)</f>
        <v>0</v>
      </c>
      <c r="I29" s="21">
        <f t="shared" si="11"/>
        <v>0</v>
      </c>
      <c r="J29" s="21">
        <f t="shared" si="11"/>
        <v>0</v>
      </c>
      <c r="K29" s="21">
        <f t="shared" si="11"/>
        <v>0</v>
      </c>
      <c r="L29" s="21">
        <f t="shared" si="11"/>
        <v>0</v>
      </c>
      <c r="M29" s="21">
        <f t="shared" si="11"/>
        <v>0</v>
      </c>
      <c r="N29" s="21">
        <f t="shared" si="11"/>
        <v>3</v>
      </c>
      <c r="O29" s="21">
        <f t="shared" si="11"/>
        <v>48</v>
      </c>
      <c r="P29" s="21">
        <f t="shared" si="11"/>
        <v>0</v>
      </c>
      <c r="Q29" s="21">
        <f t="shared" si="11"/>
        <v>0</v>
      </c>
      <c r="R29" s="21">
        <f t="shared" si="11"/>
        <v>0</v>
      </c>
      <c r="S29" s="21">
        <f t="shared" si="11"/>
        <v>0</v>
      </c>
      <c r="T29" s="21">
        <f t="shared" si="11"/>
        <v>3</v>
      </c>
      <c r="U29" s="21">
        <f t="shared" si="11"/>
        <v>48</v>
      </c>
      <c r="V29" s="5"/>
    </row>
    <row r="30" spans="1:22" ht="15.75" customHeight="1">
      <c r="A30" s="22"/>
      <c r="B30" s="244" t="s">
        <v>102</v>
      </c>
      <c r="C30" s="242">
        <v>11</v>
      </c>
      <c r="D30" s="55" t="s">
        <v>103</v>
      </c>
      <c r="E30" s="56" t="s">
        <v>104</v>
      </c>
      <c r="F30" s="57">
        <v>70</v>
      </c>
      <c r="G30" s="16">
        <v>3</v>
      </c>
      <c r="H30" s="58"/>
      <c r="I30" s="58"/>
      <c r="J30" s="58"/>
      <c r="K30" s="58"/>
      <c r="L30" s="59"/>
      <c r="M30" s="59"/>
      <c r="N30" s="59"/>
      <c r="O30" s="58"/>
      <c r="P30" s="58"/>
      <c r="Q30" s="58"/>
      <c r="R30" s="58"/>
      <c r="S30" s="58"/>
      <c r="T30" s="61">
        <f t="shared" ref="T30:T35" si="12">SUM(H30,J30,L30,N30,P30,R30)</f>
        <v>0</v>
      </c>
      <c r="U30" s="59">
        <f t="shared" ref="U30:U35" si="13">T30*16</f>
        <v>0</v>
      </c>
      <c r="V30" s="5"/>
    </row>
    <row r="31" spans="1:22" ht="15.75" customHeight="1">
      <c r="A31" s="4"/>
      <c r="B31" s="213"/>
      <c r="C31" s="213"/>
      <c r="D31" s="62" t="s">
        <v>117</v>
      </c>
      <c r="E31" s="12" t="s">
        <v>119</v>
      </c>
      <c r="F31" s="52">
        <v>40</v>
      </c>
      <c r="G31" s="37">
        <v>3</v>
      </c>
      <c r="H31" s="38"/>
      <c r="I31" s="38"/>
      <c r="J31" s="38"/>
      <c r="K31" s="38"/>
      <c r="L31" s="37"/>
      <c r="M31" s="37"/>
      <c r="N31" s="28">
        <v>1</v>
      </c>
      <c r="O31" s="39">
        <f t="shared" ref="O31:O33" si="14">N31*16</f>
        <v>16</v>
      </c>
      <c r="P31" s="27"/>
      <c r="Q31" s="27"/>
      <c r="R31" s="27"/>
      <c r="S31" s="27"/>
      <c r="T31" s="29">
        <f t="shared" si="12"/>
        <v>1</v>
      </c>
      <c r="U31" s="26">
        <f t="shared" si="13"/>
        <v>16</v>
      </c>
      <c r="V31" s="5" t="str">
        <f>IF(C27=T29,"","오류")</f>
        <v/>
      </c>
    </row>
    <row r="32" spans="1:22" ht="15.75" customHeight="1">
      <c r="A32" s="4"/>
      <c r="B32" s="213"/>
      <c r="C32" s="213"/>
      <c r="D32" s="309" t="s">
        <v>125</v>
      </c>
      <c r="E32" s="65" t="s">
        <v>127</v>
      </c>
      <c r="F32" s="52">
        <v>20</v>
      </c>
      <c r="G32" s="37">
        <v>6</v>
      </c>
      <c r="H32" s="38"/>
      <c r="I32" s="38"/>
      <c r="J32" s="38"/>
      <c r="K32" s="38"/>
      <c r="L32" s="37"/>
      <c r="M32" s="37"/>
      <c r="N32" s="28">
        <v>1</v>
      </c>
      <c r="O32" s="39">
        <f t="shared" si="14"/>
        <v>16</v>
      </c>
      <c r="P32" s="26"/>
      <c r="Q32" s="27"/>
      <c r="R32" s="27"/>
      <c r="S32" s="27"/>
      <c r="T32" s="29">
        <f t="shared" si="12"/>
        <v>1</v>
      </c>
      <c r="U32" s="26">
        <f t="shared" si="13"/>
        <v>16</v>
      </c>
      <c r="V32" s="5"/>
    </row>
    <row r="33" spans="1:22" ht="15.75" customHeight="1">
      <c r="A33" s="4"/>
      <c r="B33" s="213"/>
      <c r="C33" s="213"/>
      <c r="D33" s="66" t="s">
        <v>132</v>
      </c>
      <c r="E33" s="51" t="s">
        <v>134</v>
      </c>
      <c r="F33" s="25">
        <v>30</v>
      </c>
      <c r="G33" s="26">
        <v>4</v>
      </c>
      <c r="H33" s="27"/>
      <c r="I33" s="27"/>
      <c r="J33" s="27"/>
      <c r="K33" s="27"/>
      <c r="L33" s="27"/>
      <c r="M33" s="27"/>
      <c r="N33" s="26">
        <v>1</v>
      </c>
      <c r="O33" s="27">
        <f t="shared" si="14"/>
        <v>16</v>
      </c>
      <c r="P33" s="26"/>
      <c r="Q33" s="27"/>
      <c r="R33" s="27"/>
      <c r="S33" s="27"/>
      <c r="T33" s="29">
        <f t="shared" si="12"/>
        <v>1</v>
      </c>
      <c r="U33" s="26">
        <f t="shared" si="13"/>
        <v>16</v>
      </c>
      <c r="V33" s="5"/>
    </row>
    <row r="34" spans="1:22" ht="15.75" customHeight="1">
      <c r="A34" s="4"/>
      <c r="B34" s="213"/>
      <c r="C34" s="213"/>
      <c r="D34" s="66" t="s">
        <v>141</v>
      </c>
      <c r="E34" s="51" t="s">
        <v>142</v>
      </c>
      <c r="F34" s="52">
        <v>50</v>
      </c>
      <c r="G34" s="37">
        <v>3</v>
      </c>
      <c r="H34" s="27"/>
      <c r="I34" s="27"/>
      <c r="J34" s="27"/>
      <c r="K34" s="27"/>
      <c r="L34" s="27"/>
      <c r="M34" s="27"/>
      <c r="N34" s="26"/>
      <c r="O34" s="26"/>
      <c r="P34" s="26">
        <v>4</v>
      </c>
      <c r="Q34" s="27">
        <f t="shared" ref="Q34:Q35" si="15">P34*16</f>
        <v>64</v>
      </c>
      <c r="R34" s="27"/>
      <c r="S34" s="27"/>
      <c r="T34" s="29">
        <f t="shared" si="12"/>
        <v>4</v>
      </c>
      <c r="U34" s="26">
        <f t="shared" si="13"/>
        <v>64</v>
      </c>
      <c r="V34" s="5"/>
    </row>
    <row r="35" spans="1:22" ht="15.75" customHeight="1">
      <c r="A35" s="4"/>
      <c r="B35" s="213"/>
      <c r="C35" s="213"/>
      <c r="D35" s="66" t="s">
        <v>147</v>
      </c>
      <c r="E35" s="33" t="s">
        <v>148</v>
      </c>
      <c r="F35" s="42">
        <v>70</v>
      </c>
      <c r="G35" s="26">
        <v>4</v>
      </c>
      <c r="H35" s="27"/>
      <c r="I35" s="27"/>
      <c r="J35" s="27"/>
      <c r="K35" s="27"/>
      <c r="L35" s="27"/>
      <c r="M35" s="43"/>
      <c r="N35" s="44"/>
      <c r="O35" s="44"/>
      <c r="P35" s="25">
        <v>4</v>
      </c>
      <c r="Q35" s="27">
        <f t="shared" si="15"/>
        <v>64</v>
      </c>
      <c r="R35" s="27"/>
      <c r="S35" s="27"/>
      <c r="T35" s="29">
        <f t="shared" si="12"/>
        <v>4</v>
      </c>
      <c r="U35" s="26">
        <f t="shared" si="13"/>
        <v>64</v>
      </c>
      <c r="V35" s="5"/>
    </row>
    <row r="36" spans="1:22" ht="15.75" customHeight="1">
      <c r="A36" s="4"/>
      <c r="B36" s="209"/>
      <c r="C36" s="209"/>
      <c r="D36" s="243" t="s">
        <v>44</v>
      </c>
      <c r="E36" s="207"/>
      <c r="F36" s="19"/>
      <c r="G36" s="20"/>
      <c r="H36" s="21">
        <f t="shared" ref="H36:M36" si="16">SUM(H30:H35)</f>
        <v>0</v>
      </c>
      <c r="I36" s="21">
        <f t="shared" si="16"/>
        <v>0</v>
      </c>
      <c r="J36" s="21">
        <f t="shared" si="16"/>
        <v>0</v>
      </c>
      <c r="K36" s="21">
        <f t="shared" si="16"/>
        <v>0</v>
      </c>
      <c r="L36" s="21">
        <f t="shared" si="16"/>
        <v>0</v>
      </c>
      <c r="M36" s="21">
        <f t="shared" si="16"/>
        <v>0</v>
      </c>
      <c r="N36" s="21">
        <f t="shared" ref="N36:O36" si="17">SUM(N30:N34)</f>
        <v>3</v>
      </c>
      <c r="O36" s="21">
        <f t="shared" si="17"/>
        <v>48</v>
      </c>
      <c r="P36" s="21">
        <f t="shared" ref="P36:U36" si="18">SUM(P30:P35)</f>
        <v>8</v>
      </c>
      <c r="Q36" s="21">
        <f t="shared" si="18"/>
        <v>128</v>
      </c>
      <c r="R36" s="21">
        <f t="shared" si="18"/>
        <v>0</v>
      </c>
      <c r="S36" s="21">
        <f t="shared" si="18"/>
        <v>0</v>
      </c>
      <c r="T36" s="21">
        <f t="shared" si="18"/>
        <v>11</v>
      </c>
      <c r="U36" s="21">
        <f t="shared" si="18"/>
        <v>176</v>
      </c>
      <c r="V36" s="5"/>
    </row>
    <row r="37" spans="1:22" ht="15.75" customHeight="1">
      <c r="A37" s="22"/>
      <c r="B37" s="244" t="s">
        <v>159</v>
      </c>
      <c r="C37" s="242">
        <v>12</v>
      </c>
      <c r="D37" s="40" t="s">
        <v>160</v>
      </c>
      <c r="E37" s="53" t="s">
        <v>161</v>
      </c>
      <c r="F37" s="54">
        <v>70</v>
      </c>
      <c r="G37" s="26">
        <v>3</v>
      </c>
      <c r="H37" s="27"/>
      <c r="I37" s="27"/>
      <c r="J37" s="27"/>
      <c r="K37" s="27"/>
      <c r="L37" s="27"/>
      <c r="M37" s="27"/>
      <c r="N37" s="27"/>
      <c r="O37" s="27"/>
      <c r="P37" s="26">
        <v>4</v>
      </c>
      <c r="Q37" s="26">
        <f t="shared" ref="Q37:Q43" si="19">P37*16</f>
        <v>64</v>
      </c>
      <c r="R37" s="26"/>
      <c r="S37" s="26"/>
      <c r="T37" s="29">
        <f t="shared" ref="T37:T43" si="20">SUM(H37,J37,L37,N37,P37,R37)</f>
        <v>4</v>
      </c>
      <c r="U37" s="26">
        <f t="shared" ref="U37:U43" si="21">T37*16</f>
        <v>64</v>
      </c>
      <c r="V37" s="5"/>
    </row>
    <row r="38" spans="1:22" ht="15.75" customHeight="1">
      <c r="A38" s="4"/>
      <c r="B38" s="213"/>
      <c r="C38" s="213"/>
      <c r="D38" s="85" t="s">
        <v>163</v>
      </c>
      <c r="E38" s="53" t="s">
        <v>164</v>
      </c>
      <c r="F38" s="86">
        <v>70</v>
      </c>
      <c r="G38" s="64">
        <v>3</v>
      </c>
      <c r="H38" s="27"/>
      <c r="I38" s="27"/>
      <c r="J38" s="27"/>
      <c r="K38" s="27"/>
      <c r="L38" s="27"/>
      <c r="M38" s="27"/>
      <c r="N38" s="27"/>
      <c r="O38" s="27"/>
      <c r="P38" s="26">
        <v>4</v>
      </c>
      <c r="Q38" s="26">
        <f t="shared" si="19"/>
        <v>64</v>
      </c>
      <c r="R38" s="26"/>
      <c r="S38" s="26"/>
      <c r="T38" s="29">
        <f t="shared" si="20"/>
        <v>4</v>
      </c>
      <c r="U38" s="26">
        <f t="shared" si="21"/>
        <v>64</v>
      </c>
      <c r="V38" s="5"/>
    </row>
    <row r="39" spans="1:22" ht="15.75" customHeight="1">
      <c r="A39" s="4"/>
      <c r="B39" s="213"/>
      <c r="C39" s="213"/>
      <c r="D39" s="40" t="s">
        <v>170</v>
      </c>
      <c r="E39" s="53" t="s">
        <v>171</v>
      </c>
      <c r="F39" s="54">
        <v>70</v>
      </c>
      <c r="G39" s="26">
        <v>4</v>
      </c>
      <c r="H39" s="27"/>
      <c r="I39" s="27"/>
      <c r="J39" s="27"/>
      <c r="K39" s="27"/>
      <c r="L39" s="27"/>
      <c r="M39" s="27"/>
      <c r="N39" s="27"/>
      <c r="O39" s="27"/>
      <c r="P39" s="26">
        <v>4</v>
      </c>
      <c r="Q39" s="26">
        <f t="shared" si="19"/>
        <v>64</v>
      </c>
      <c r="R39" s="26"/>
      <c r="S39" s="26"/>
      <c r="T39" s="29">
        <f t="shared" si="20"/>
        <v>4</v>
      </c>
      <c r="U39" s="26">
        <f t="shared" si="21"/>
        <v>64</v>
      </c>
      <c r="V39" s="5" t="str">
        <f>IF(C37=T44,"","오류")</f>
        <v/>
      </c>
    </row>
    <row r="40" spans="1:22" ht="15.75" hidden="1" customHeight="1">
      <c r="A40" s="4"/>
      <c r="B40" s="213"/>
      <c r="C40" s="213"/>
      <c r="D40" s="87" t="s">
        <v>174</v>
      </c>
      <c r="E40" s="88" t="s">
        <v>176</v>
      </c>
      <c r="F40" s="89">
        <v>30</v>
      </c>
      <c r="G40" s="90">
        <v>4</v>
      </c>
      <c r="H40" s="27"/>
      <c r="I40" s="27"/>
      <c r="J40" s="27"/>
      <c r="K40" s="27"/>
      <c r="L40" s="27"/>
      <c r="M40" s="27"/>
      <c r="N40" s="27"/>
      <c r="O40" s="27"/>
      <c r="P40" s="26"/>
      <c r="Q40" s="90">
        <f t="shared" si="19"/>
        <v>0</v>
      </c>
      <c r="R40" s="90"/>
      <c r="S40" s="90"/>
      <c r="T40" s="91">
        <f t="shared" si="20"/>
        <v>0</v>
      </c>
      <c r="U40" s="90">
        <f t="shared" si="21"/>
        <v>0</v>
      </c>
      <c r="V40" s="5"/>
    </row>
    <row r="41" spans="1:22" ht="15.75" hidden="1" customHeight="1">
      <c r="A41" s="4"/>
      <c r="B41" s="213"/>
      <c r="C41" s="213"/>
      <c r="D41" s="87" t="s">
        <v>179</v>
      </c>
      <c r="E41" s="92" t="s">
        <v>181</v>
      </c>
      <c r="F41" s="93">
        <v>12</v>
      </c>
      <c r="G41" s="90">
        <v>3</v>
      </c>
      <c r="H41" s="27"/>
      <c r="I41" s="27"/>
      <c r="J41" s="27"/>
      <c r="K41" s="27"/>
      <c r="L41" s="27"/>
      <c r="M41" s="27"/>
      <c r="N41" s="27"/>
      <c r="O41" s="27"/>
      <c r="P41" s="26"/>
      <c r="Q41" s="90">
        <f t="shared" si="19"/>
        <v>0</v>
      </c>
      <c r="R41" s="90"/>
      <c r="S41" s="90"/>
      <c r="T41" s="91">
        <f t="shared" si="20"/>
        <v>0</v>
      </c>
      <c r="U41" s="90">
        <f t="shared" si="21"/>
        <v>0</v>
      </c>
      <c r="V41" s="5"/>
    </row>
    <row r="42" spans="1:22" ht="15.75" hidden="1" customHeight="1">
      <c r="A42" s="4"/>
      <c r="B42" s="213"/>
      <c r="C42" s="213"/>
      <c r="D42" s="87" t="s">
        <v>184</v>
      </c>
      <c r="E42" s="92" t="s">
        <v>185</v>
      </c>
      <c r="F42" s="93">
        <v>20</v>
      </c>
      <c r="G42" s="90">
        <v>3</v>
      </c>
      <c r="H42" s="27"/>
      <c r="I42" s="27"/>
      <c r="J42" s="27"/>
      <c r="K42" s="27"/>
      <c r="L42" s="27"/>
      <c r="M42" s="27"/>
      <c r="N42" s="27"/>
      <c r="O42" s="27"/>
      <c r="P42" s="26"/>
      <c r="Q42" s="90">
        <f t="shared" si="19"/>
        <v>0</v>
      </c>
      <c r="R42" s="90"/>
      <c r="S42" s="90"/>
      <c r="T42" s="91">
        <f t="shared" si="20"/>
        <v>0</v>
      </c>
      <c r="U42" s="90">
        <f t="shared" si="21"/>
        <v>0</v>
      </c>
      <c r="V42" s="5"/>
    </row>
    <row r="43" spans="1:22" ht="15.75" hidden="1" customHeight="1">
      <c r="A43" s="4"/>
      <c r="B43" s="213"/>
      <c r="C43" s="213"/>
      <c r="D43" s="87" t="s">
        <v>189</v>
      </c>
      <c r="E43" s="94" t="s">
        <v>190</v>
      </c>
      <c r="F43" s="95">
        <v>20</v>
      </c>
      <c r="G43" s="96">
        <v>4</v>
      </c>
      <c r="H43" s="27"/>
      <c r="I43" s="27"/>
      <c r="J43" s="27"/>
      <c r="K43" s="27"/>
      <c r="L43" s="27"/>
      <c r="M43" s="27"/>
      <c r="N43" s="27"/>
      <c r="O43" s="27"/>
      <c r="P43" s="26"/>
      <c r="Q43" s="90">
        <f t="shared" si="19"/>
        <v>0</v>
      </c>
      <c r="R43" s="90"/>
      <c r="S43" s="90"/>
      <c r="T43" s="91">
        <f t="shared" si="20"/>
        <v>0</v>
      </c>
      <c r="U43" s="90">
        <f t="shared" si="21"/>
        <v>0</v>
      </c>
      <c r="V43" s="5"/>
    </row>
    <row r="44" spans="1:22" ht="15.75" customHeight="1">
      <c r="A44" s="4"/>
      <c r="B44" s="209"/>
      <c r="C44" s="209"/>
      <c r="D44" s="243" t="s">
        <v>44</v>
      </c>
      <c r="E44" s="207"/>
      <c r="F44" s="20"/>
      <c r="G44" s="20"/>
      <c r="H44" s="21">
        <f t="shared" ref="H44:O44" si="22">SUM(H37:H39)</f>
        <v>0</v>
      </c>
      <c r="I44" s="21">
        <f t="shared" si="22"/>
        <v>0</v>
      </c>
      <c r="J44" s="21">
        <f t="shared" si="22"/>
        <v>0</v>
      </c>
      <c r="K44" s="21">
        <f t="shared" si="22"/>
        <v>0</v>
      </c>
      <c r="L44" s="21">
        <f t="shared" si="22"/>
        <v>0</v>
      </c>
      <c r="M44" s="21">
        <f t="shared" si="22"/>
        <v>0</v>
      </c>
      <c r="N44" s="21">
        <f t="shared" si="22"/>
        <v>0</v>
      </c>
      <c r="O44" s="21">
        <f t="shared" si="22"/>
        <v>0</v>
      </c>
      <c r="P44" s="21">
        <f t="shared" ref="P44:U44" si="23">SUM(P37:P43)</f>
        <v>12</v>
      </c>
      <c r="Q44" s="21">
        <f t="shared" si="23"/>
        <v>192</v>
      </c>
      <c r="R44" s="21">
        <f t="shared" si="23"/>
        <v>0</v>
      </c>
      <c r="S44" s="21">
        <f t="shared" si="23"/>
        <v>0</v>
      </c>
      <c r="T44" s="21">
        <f t="shared" si="23"/>
        <v>12</v>
      </c>
      <c r="U44" s="21">
        <f t="shared" si="23"/>
        <v>192</v>
      </c>
      <c r="V44" s="5"/>
    </row>
    <row r="45" spans="1:22" ht="15.75" customHeight="1">
      <c r="A45" s="22"/>
      <c r="B45" s="244" t="s">
        <v>191</v>
      </c>
      <c r="C45" s="242">
        <v>12</v>
      </c>
      <c r="D45" s="305" t="s">
        <v>192</v>
      </c>
      <c r="E45" s="33" t="s">
        <v>193</v>
      </c>
      <c r="F45" s="25">
        <v>50</v>
      </c>
      <c r="G45" s="26">
        <v>3</v>
      </c>
      <c r="H45" s="27"/>
      <c r="I45" s="27"/>
      <c r="J45" s="27"/>
      <c r="K45" s="27"/>
      <c r="L45" s="27"/>
      <c r="M45" s="27"/>
      <c r="N45" s="27"/>
      <c r="O45" s="27"/>
      <c r="P45" s="27"/>
      <c r="Q45" s="26"/>
      <c r="R45" s="26">
        <v>4</v>
      </c>
      <c r="S45" s="26">
        <f t="shared" ref="S45:S51" si="24">R45*16</f>
        <v>64</v>
      </c>
      <c r="T45" s="29">
        <f t="shared" ref="T45:T51" si="25">SUM(H45,J45,L45,N45,P45,R45)</f>
        <v>4</v>
      </c>
      <c r="U45" s="26">
        <f t="shared" ref="U45:U51" si="26">T45*16</f>
        <v>64</v>
      </c>
      <c r="V45" s="5"/>
    </row>
    <row r="46" spans="1:22" ht="15.75" customHeight="1">
      <c r="A46" s="4"/>
      <c r="B46" s="213"/>
      <c r="C46" s="213"/>
      <c r="D46" s="305" t="s">
        <v>194</v>
      </c>
      <c r="E46" s="33" t="s">
        <v>195</v>
      </c>
      <c r="F46" s="25">
        <v>50</v>
      </c>
      <c r="G46" s="26">
        <v>4</v>
      </c>
      <c r="H46" s="27"/>
      <c r="I46" s="27"/>
      <c r="J46" s="27"/>
      <c r="K46" s="27"/>
      <c r="L46" s="27"/>
      <c r="M46" s="27"/>
      <c r="N46" s="27"/>
      <c r="O46" s="27"/>
      <c r="P46" s="27"/>
      <c r="Q46" s="26"/>
      <c r="R46" s="26">
        <v>4</v>
      </c>
      <c r="S46" s="26">
        <f t="shared" si="24"/>
        <v>64</v>
      </c>
      <c r="T46" s="29">
        <f t="shared" si="25"/>
        <v>4</v>
      </c>
      <c r="U46" s="26">
        <f t="shared" si="26"/>
        <v>64</v>
      </c>
      <c r="V46" s="5"/>
    </row>
    <row r="47" spans="1:22" ht="15.75" customHeight="1">
      <c r="A47" s="4"/>
      <c r="B47" s="213"/>
      <c r="C47" s="213"/>
      <c r="D47" s="305" t="s">
        <v>196</v>
      </c>
      <c r="E47" s="97" t="s">
        <v>197</v>
      </c>
      <c r="F47" s="98">
        <v>50</v>
      </c>
      <c r="G47" s="64">
        <v>3</v>
      </c>
      <c r="H47" s="27"/>
      <c r="I47" s="27"/>
      <c r="J47" s="27"/>
      <c r="K47" s="27"/>
      <c r="L47" s="27"/>
      <c r="M47" s="27"/>
      <c r="N47" s="27"/>
      <c r="O47" s="27"/>
      <c r="P47" s="27"/>
      <c r="Q47" s="26"/>
      <c r="R47" s="26">
        <v>4</v>
      </c>
      <c r="S47" s="26">
        <f t="shared" si="24"/>
        <v>64</v>
      </c>
      <c r="T47" s="29">
        <f t="shared" si="25"/>
        <v>4</v>
      </c>
      <c r="U47" s="26">
        <f t="shared" si="26"/>
        <v>64</v>
      </c>
      <c r="V47" s="5" t="str">
        <f>IF(C45=T52,"","오류")</f>
        <v/>
      </c>
    </row>
    <row r="48" spans="1:22" ht="15.75" hidden="1" customHeight="1">
      <c r="A48" s="4"/>
      <c r="B48" s="213"/>
      <c r="C48" s="213"/>
      <c r="D48" s="306" t="s">
        <v>198</v>
      </c>
      <c r="E48" s="89" t="s">
        <v>199</v>
      </c>
      <c r="F48" s="89">
        <v>30</v>
      </c>
      <c r="G48" s="90">
        <v>4</v>
      </c>
      <c r="H48" s="27"/>
      <c r="I48" s="27"/>
      <c r="J48" s="27"/>
      <c r="K48" s="27"/>
      <c r="L48" s="27"/>
      <c r="M48" s="27"/>
      <c r="N48" s="27"/>
      <c r="O48" s="27"/>
      <c r="P48" s="26"/>
      <c r="Q48" s="26"/>
      <c r="R48" s="26"/>
      <c r="S48" s="90">
        <f t="shared" si="24"/>
        <v>0</v>
      </c>
      <c r="T48" s="91">
        <f t="shared" si="25"/>
        <v>0</v>
      </c>
      <c r="U48" s="90">
        <f t="shared" si="26"/>
        <v>0</v>
      </c>
      <c r="V48" s="5"/>
    </row>
    <row r="49" spans="1:22" ht="15.75" hidden="1" customHeight="1">
      <c r="A49" s="4"/>
      <c r="B49" s="213"/>
      <c r="C49" s="213"/>
      <c r="D49" s="307" t="s">
        <v>200</v>
      </c>
      <c r="E49" s="89" t="s">
        <v>201</v>
      </c>
      <c r="F49" s="93">
        <v>30</v>
      </c>
      <c r="G49" s="90">
        <v>3</v>
      </c>
      <c r="H49" s="27"/>
      <c r="I49" s="27"/>
      <c r="J49" s="27"/>
      <c r="K49" s="27"/>
      <c r="L49" s="27"/>
      <c r="M49" s="27"/>
      <c r="N49" s="27"/>
      <c r="O49" s="27"/>
      <c r="P49" s="26"/>
      <c r="Q49" s="26"/>
      <c r="R49" s="26"/>
      <c r="S49" s="90">
        <f t="shared" si="24"/>
        <v>0</v>
      </c>
      <c r="T49" s="91">
        <f t="shared" si="25"/>
        <v>0</v>
      </c>
      <c r="U49" s="90">
        <f t="shared" si="26"/>
        <v>0</v>
      </c>
      <c r="V49" s="5"/>
    </row>
    <row r="50" spans="1:22" ht="15.75" hidden="1" customHeight="1">
      <c r="A50" s="4"/>
      <c r="B50" s="213"/>
      <c r="C50" s="213"/>
      <c r="D50" s="308" t="s">
        <v>202</v>
      </c>
      <c r="E50" s="89" t="s">
        <v>203</v>
      </c>
      <c r="F50" s="89">
        <v>30</v>
      </c>
      <c r="G50" s="90">
        <v>3</v>
      </c>
      <c r="H50" s="27"/>
      <c r="I50" s="27"/>
      <c r="J50" s="27"/>
      <c r="K50" s="27"/>
      <c r="L50" s="27"/>
      <c r="M50" s="27"/>
      <c r="N50" s="27"/>
      <c r="O50" s="27"/>
      <c r="P50" s="27"/>
      <c r="Q50" s="26"/>
      <c r="R50" s="26"/>
      <c r="S50" s="90">
        <f t="shared" si="24"/>
        <v>0</v>
      </c>
      <c r="T50" s="91">
        <f t="shared" si="25"/>
        <v>0</v>
      </c>
      <c r="U50" s="90">
        <f t="shared" si="26"/>
        <v>0</v>
      </c>
      <c r="V50" s="5"/>
    </row>
    <row r="51" spans="1:22" ht="15.75" hidden="1" customHeight="1">
      <c r="A51" s="4"/>
      <c r="B51" s="213"/>
      <c r="C51" s="213"/>
      <c r="D51" s="308" t="s">
        <v>204</v>
      </c>
      <c r="E51" s="99" t="s">
        <v>205</v>
      </c>
      <c r="F51" s="99">
        <v>40</v>
      </c>
      <c r="G51" s="96">
        <v>4</v>
      </c>
      <c r="H51" s="27"/>
      <c r="I51" s="27"/>
      <c r="J51" s="27"/>
      <c r="K51" s="27"/>
      <c r="L51" s="27"/>
      <c r="M51" s="27"/>
      <c r="N51" s="27"/>
      <c r="O51" s="27"/>
      <c r="P51" s="27"/>
      <c r="Q51" s="26"/>
      <c r="R51" s="26"/>
      <c r="S51" s="90">
        <f t="shared" si="24"/>
        <v>0</v>
      </c>
      <c r="T51" s="91">
        <f t="shared" si="25"/>
        <v>0</v>
      </c>
      <c r="U51" s="90">
        <f t="shared" si="26"/>
        <v>0</v>
      </c>
      <c r="V51" s="5"/>
    </row>
    <row r="52" spans="1:22" ht="15.75" customHeight="1">
      <c r="A52" s="4"/>
      <c r="B52" s="209"/>
      <c r="C52" s="209"/>
      <c r="D52" s="243" t="s">
        <v>44</v>
      </c>
      <c r="E52" s="207"/>
      <c r="F52" s="19"/>
      <c r="G52" s="20"/>
      <c r="H52" s="21">
        <f t="shared" ref="H52:U52" si="27">SUM(H45:H47)</f>
        <v>0</v>
      </c>
      <c r="I52" s="21">
        <f t="shared" si="27"/>
        <v>0</v>
      </c>
      <c r="J52" s="21">
        <f t="shared" si="27"/>
        <v>0</v>
      </c>
      <c r="K52" s="21">
        <f t="shared" si="27"/>
        <v>0</v>
      </c>
      <c r="L52" s="21">
        <f t="shared" si="27"/>
        <v>0</v>
      </c>
      <c r="M52" s="21">
        <f t="shared" si="27"/>
        <v>0</v>
      </c>
      <c r="N52" s="21">
        <f t="shared" si="27"/>
        <v>0</v>
      </c>
      <c r="O52" s="21">
        <f t="shared" si="27"/>
        <v>0</v>
      </c>
      <c r="P52" s="21">
        <f t="shared" si="27"/>
        <v>0</v>
      </c>
      <c r="Q52" s="21">
        <f t="shared" si="27"/>
        <v>0</v>
      </c>
      <c r="R52" s="21">
        <f t="shared" si="27"/>
        <v>12</v>
      </c>
      <c r="S52" s="21">
        <f t="shared" si="27"/>
        <v>192</v>
      </c>
      <c r="T52" s="21">
        <f t="shared" si="27"/>
        <v>12</v>
      </c>
      <c r="U52" s="21">
        <f t="shared" si="27"/>
        <v>192</v>
      </c>
      <c r="V52" s="5"/>
    </row>
    <row r="53" spans="1:22" ht="15.75" customHeight="1">
      <c r="A53" s="7"/>
      <c r="B53" s="244" t="s">
        <v>206</v>
      </c>
      <c r="C53" s="242">
        <v>11</v>
      </c>
      <c r="D53" s="40" t="s">
        <v>207</v>
      </c>
      <c r="E53" s="33" t="s">
        <v>208</v>
      </c>
      <c r="F53" s="25">
        <v>24</v>
      </c>
      <c r="G53" s="26">
        <v>2</v>
      </c>
      <c r="H53" s="27"/>
      <c r="I53" s="27"/>
      <c r="J53" s="27"/>
      <c r="K53" s="27"/>
      <c r="L53" s="27"/>
      <c r="M53" s="27"/>
      <c r="N53" s="27"/>
      <c r="O53" s="27"/>
      <c r="P53" s="26"/>
      <c r="Q53" s="26"/>
      <c r="R53" s="26">
        <v>2</v>
      </c>
      <c r="S53" s="26">
        <f t="shared" ref="S53:S58" si="28">R53*16</f>
        <v>32</v>
      </c>
      <c r="T53" s="29">
        <f t="shared" ref="T53:T58" si="29">SUM(H53,J53,L53,N53,P53,R53)</f>
        <v>2</v>
      </c>
      <c r="U53" s="26">
        <f t="shared" ref="U53:U58" si="30">T53*16</f>
        <v>32</v>
      </c>
      <c r="V53" s="5"/>
    </row>
    <row r="54" spans="1:22" ht="14">
      <c r="A54" s="5"/>
      <c r="B54" s="213"/>
      <c r="C54" s="213"/>
      <c r="D54" s="40" t="s">
        <v>209</v>
      </c>
      <c r="E54" s="33" t="s">
        <v>210</v>
      </c>
      <c r="F54" s="54">
        <v>20</v>
      </c>
      <c r="G54" s="26">
        <v>4</v>
      </c>
      <c r="H54" s="27"/>
      <c r="I54" s="27"/>
      <c r="J54" s="27"/>
      <c r="K54" s="27"/>
      <c r="L54" s="27"/>
      <c r="M54" s="27"/>
      <c r="N54" s="27"/>
      <c r="O54" s="27"/>
      <c r="P54" s="26"/>
      <c r="Q54" s="26"/>
      <c r="R54" s="26">
        <v>2</v>
      </c>
      <c r="S54" s="26">
        <f t="shared" si="28"/>
        <v>32</v>
      </c>
      <c r="T54" s="29">
        <f t="shared" si="29"/>
        <v>2</v>
      </c>
      <c r="U54" s="26">
        <f t="shared" si="30"/>
        <v>32</v>
      </c>
      <c r="V54" s="5" t="str">
        <f>IF(C53=T59,"","오류")</f>
        <v/>
      </c>
    </row>
    <row r="55" spans="1:22" ht="14">
      <c r="A55" s="5"/>
      <c r="B55" s="213"/>
      <c r="C55" s="213"/>
      <c r="D55" s="40" t="s">
        <v>211</v>
      </c>
      <c r="E55" s="33" t="s">
        <v>212</v>
      </c>
      <c r="F55" s="54">
        <v>20</v>
      </c>
      <c r="G55" s="26">
        <v>2</v>
      </c>
      <c r="H55" s="27"/>
      <c r="I55" s="27"/>
      <c r="J55" s="27"/>
      <c r="K55" s="27"/>
      <c r="L55" s="27"/>
      <c r="M55" s="27"/>
      <c r="N55" s="27"/>
      <c r="O55" s="27"/>
      <c r="P55" s="27"/>
      <c r="Q55" s="26"/>
      <c r="R55" s="26">
        <v>1</v>
      </c>
      <c r="S55" s="26">
        <f t="shared" si="28"/>
        <v>16</v>
      </c>
      <c r="T55" s="29">
        <f t="shared" si="29"/>
        <v>1</v>
      </c>
      <c r="U55" s="26">
        <f t="shared" si="30"/>
        <v>16</v>
      </c>
      <c r="V55" s="5"/>
    </row>
    <row r="56" spans="1:22" ht="14">
      <c r="A56" s="5"/>
      <c r="B56" s="213"/>
      <c r="C56" s="213"/>
      <c r="D56" s="40" t="s">
        <v>213</v>
      </c>
      <c r="E56" s="33" t="s">
        <v>214</v>
      </c>
      <c r="F56" s="25">
        <v>20</v>
      </c>
      <c r="G56" s="25">
        <v>3</v>
      </c>
      <c r="H56" s="27"/>
      <c r="I56" s="27"/>
      <c r="J56" s="27"/>
      <c r="K56" s="27"/>
      <c r="L56" s="27"/>
      <c r="M56" s="27"/>
      <c r="N56" s="27"/>
      <c r="O56" s="27"/>
      <c r="P56" s="27"/>
      <c r="Q56" s="26"/>
      <c r="R56" s="26">
        <v>2</v>
      </c>
      <c r="S56" s="26">
        <f t="shared" si="28"/>
        <v>32</v>
      </c>
      <c r="T56" s="29">
        <f t="shared" si="29"/>
        <v>2</v>
      </c>
      <c r="U56" s="26">
        <f t="shared" si="30"/>
        <v>32</v>
      </c>
      <c r="V56" s="5"/>
    </row>
    <row r="57" spans="1:22" ht="14">
      <c r="A57" s="5"/>
      <c r="B57" s="213"/>
      <c r="C57" s="213"/>
      <c r="D57" s="40" t="s">
        <v>215</v>
      </c>
      <c r="E57" s="33" t="s">
        <v>216</v>
      </c>
      <c r="F57" s="25">
        <v>20</v>
      </c>
      <c r="G57" s="25">
        <v>3</v>
      </c>
      <c r="H57" s="27"/>
      <c r="I57" s="27"/>
      <c r="J57" s="27"/>
      <c r="K57" s="27"/>
      <c r="L57" s="27"/>
      <c r="M57" s="27"/>
      <c r="N57" s="27"/>
      <c r="O57" s="27"/>
      <c r="P57" s="27"/>
      <c r="Q57" s="26"/>
      <c r="R57" s="26">
        <v>2</v>
      </c>
      <c r="S57" s="26">
        <f t="shared" si="28"/>
        <v>32</v>
      </c>
      <c r="T57" s="29">
        <f t="shared" si="29"/>
        <v>2</v>
      </c>
      <c r="U57" s="26">
        <f t="shared" si="30"/>
        <v>32</v>
      </c>
      <c r="V57" s="5"/>
    </row>
    <row r="58" spans="1:22" ht="14">
      <c r="A58" s="5"/>
      <c r="B58" s="213"/>
      <c r="C58" s="213"/>
      <c r="D58" s="100" t="s">
        <v>217</v>
      </c>
      <c r="E58" s="33" t="s">
        <v>218</v>
      </c>
      <c r="F58" s="25">
        <v>20</v>
      </c>
      <c r="G58" s="25">
        <v>3</v>
      </c>
      <c r="H58" s="27"/>
      <c r="I58" s="27"/>
      <c r="J58" s="27"/>
      <c r="K58" s="27"/>
      <c r="L58" s="27"/>
      <c r="M58" s="27"/>
      <c r="N58" s="27"/>
      <c r="O58" s="27"/>
      <c r="P58" s="27"/>
      <c r="Q58" s="26"/>
      <c r="R58" s="26">
        <v>2</v>
      </c>
      <c r="S58" s="26">
        <f t="shared" si="28"/>
        <v>32</v>
      </c>
      <c r="T58" s="29">
        <f t="shared" si="29"/>
        <v>2</v>
      </c>
      <c r="U58" s="26">
        <f t="shared" si="30"/>
        <v>32</v>
      </c>
      <c r="V58" s="5"/>
    </row>
    <row r="59" spans="1:22" ht="14">
      <c r="A59" s="5"/>
      <c r="B59" s="209"/>
      <c r="C59" s="209"/>
      <c r="D59" s="243" t="s">
        <v>44</v>
      </c>
      <c r="E59" s="207"/>
      <c r="F59" s="19"/>
      <c r="G59" s="20"/>
      <c r="H59" s="21">
        <f t="shared" ref="H59:Q59" si="31">SUM(H53:H57)</f>
        <v>0</v>
      </c>
      <c r="I59" s="21">
        <f t="shared" si="31"/>
        <v>0</v>
      </c>
      <c r="J59" s="21">
        <f t="shared" si="31"/>
        <v>0</v>
      </c>
      <c r="K59" s="21">
        <f t="shared" si="31"/>
        <v>0</v>
      </c>
      <c r="L59" s="21">
        <f t="shared" si="31"/>
        <v>0</v>
      </c>
      <c r="M59" s="21">
        <f t="shared" si="31"/>
        <v>0</v>
      </c>
      <c r="N59" s="21">
        <f t="shared" si="31"/>
        <v>0</v>
      </c>
      <c r="O59" s="21">
        <f t="shared" si="31"/>
        <v>0</v>
      </c>
      <c r="P59" s="21">
        <f t="shared" si="31"/>
        <v>0</v>
      </c>
      <c r="Q59" s="21">
        <f t="shared" si="31"/>
        <v>0</v>
      </c>
      <c r="R59" s="21">
        <f t="shared" ref="R59:U59" si="32">SUM(R53:R58)</f>
        <v>11</v>
      </c>
      <c r="S59" s="21">
        <f t="shared" si="32"/>
        <v>176</v>
      </c>
      <c r="T59" s="21">
        <f t="shared" si="32"/>
        <v>11</v>
      </c>
      <c r="U59" s="21">
        <f t="shared" si="32"/>
        <v>176</v>
      </c>
      <c r="V59" s="5"/>
    </row>
    <row r="60" spans="1:22" ht="14">
      <c r="A60" s="22"/>
      <c r="B60" s="244" t="s">
        <v>150</v>
      </c>
      <c r="C60" s="242">
        <v>12</v>
      </c>
      <c r="D60" s="26" t="s">
        <v>151</v>
      </c>
      <c r="E60" s="26" t="s">
        <v>152</v>
      </c>
      <c r="F60" s="26">
        <v>60</v>
      </c>
      <c r="G60" s="26">
        <v>4</v>
      </c>
      <c r="H60" s="27"/>
      <c r="I60" s="27"/>
      <c r="J60" s="27"/>
      <c r="K60" s="27"/>
      <c r="L60" s="27"/>
      <c r="M60" s="27"/>
      <c r="N60" s="27"/>
      <c r="O60" s="27"/>
      <c r="P60" s="26">
        <v>6</v>
      </c>
      <c r="Q60" s="26">
        <f t="shared" ref="Q60:Q61" si="33">P60*16</f>
        <v>96</v>
      </c>
      <c r="R60" s="26"/>
      <c r="S60" s="26">
        <f t="shared" ref="S60:S61" si="34">R60*16</f>
        <v>0</v>
      </c>
      <c r="T60" s="29">
        <f t="shared" ref="T60:T61" si="35">SUM(H60,J60,L60,N60,P60,R60)</f>
        <v>6</v>
      </c>
      <c r="U60" s="26">
        <f t="shared" ref="U60:U61" si="36">T60*16</f>
        <v>96</v>
      </c>
    </row>
    <row r="61" spans="1:22" ht="14">
      <c r="A61" s="4"/>
      <c r="B61" s="213"/>
      <c r="C61" s="213"/>
      <c r="D61" s="26" t="s">
        <v>157</v>
      </c>
      <c r="E61" s="26" t="s">
        <v>158</v>
      </c>
      <c r="F61" s="26">
        <v>40</v>
      </c>
      <c r="G61" s="26">
        <v>5</v>
      </c>
      <c r="H61" s="27"/>
      <c r="I61" s="27"/>
      <c r="J61" s="27"/>
      <c r="K61" s="27"/>
      <c r="L61" s="27"/>
      <c r="M61" s="27"/>
      <c r="N61" s="27"/>
      <c r="O61" s="27"/>
      <c r="P61" s="26"/>
      <c r="Q61" s="26">
        <f t="shared" si="33"/>
        <v>0</v>
      </c>
      <c r="R61" s="26">
        <v>6</v>
      </c>
      <c r="S61" s="26">
        <f t="shared" si="34"/>
        <v>96</v>
      </c>
      <c r="T61" s="29">
        <f t="shared" si="35"/>
        <v>6</v>
      </c>
      <c r="U61" s="26">
        <f t="shared" si="36"/>
        <v>96</v>
      </c>
      <c r="V61" s="5"/>
    </row>
    <row r="62" spans="1:22" ht="14">
      <c r="A62" s="4"/>
      <c r="B62" s="209"/>
      <c r="C62" s="209"/>
      <c r="D62" s="243" t="s">
        <v>44</v>
      </c>
      <c r="E62" s="207"/>
      <c r="F62" s="20"/>
      <c r="G62" s="20"/>
      <c r="H62" s="21">
        <f t="shared" ref="H62:U62" si="37">SUM(H60:H61)</f>
        <v>0</v>
      </c>
      <c r="I62" s="21">
        <f t="shared" si="37"/>
        <v>0</v>
      </c>
      <c r="J62" s="21">
        <f t="shared" si="37"/>
        <v>0</v>
      </c>
      <c r="K62" s="21">
        <f t="shared" si="37"/>
        <v>0</v>
      </c>
      <c r="L62" s="21">
        <f t="shared" si="37"/>
        <v>0</v>
      </c>
      <c r="M62" s="21">
        <f t="shared" si="37"/>
        <v>0</v>
      </c>
      <c r="N62" s="21">
        <f t="shared" si="37"/>
        <v>0</v>
      </c>
      <c r="O62" s="21">
        <f t="shared" si="37"/>
        <v>0</v>
      </c>
      <c r="P62" s="21">
        <f t="shared" si="37"/>
        <v>6</v>
      </c>
      <c r="Q62" s="21">
        <f t="shared" si="37"/>
        <v>96</v>
      </c>
      <c r="R62" s="21">
        <f t="shared" si="37"/>
        <v>6</v>
      </c>
      <c r="S62" s="21">
        <f t="shared" si="37"/>
        <v>96</v>
      </c>
      <c r="T62" s="21">
        <f t="shared" si="37"/>
        <v>12</v>
      </c>
      <c r="U62" s="21">
        <f t="shared" si="37"/>
        <v>192</v>
      </c>
      <c r="V62" s="5" t="str">
        <f>IF(C9=T19,"","오류")</f>
        <v/>
      </c>
    </row>
    <row r="63" spans="1:22" ht="12.5">
      <c r="V63" s="5"/>
    </row>
    <row r="64" spans="1:22" ht="12.5">
      <c r="V64" s="5"/>
    </row>
    <row r="65" spans="22:22" ht="12.5">
      <c r="V65" s="5"/>
    </row>
    <row r="66" spans="22:22" ht="12.5">
      <c r="V66" s="5"/>
    </row>
    <row r="67" spans="22:22" ht="12.5">
      <c r="V67" s="5"/>
    </row>
    <row r="68" spans="22:22" ht="12.5">
      <c r="V68" s="5"/>
    </row>
    <row r="69" spans="22:22" ht="12.5">
      <c r="V69" s="5"/>
    </row>
    <row r="70" spans="22:22" ht="12.5">
      <c r="V70" s="5"/>
    </row>
    <row r="71" spans="22:22" ht="12.5">
      <c r="V71" s="5"/>
    </row>
    <row r="72" spans="22:22" ht="12.5">
      <c r="V72" s="5"/>
    </row>
    <row r="73" spans="22:22" ht="12.5">
      <c r="V73" s="5"/>
    </row>
    <row r="74" spans="22:22" ht="12.5">
      <c r="V74" s="5"/>
    </row>
    <row r="75" spans="22:22" ht="12.5">
      <c r="V75" s="5"/>
    </row>
    <row r="76" spans="22:22" ht="12.5">
      <c r="V76" s="5"/>
    </row>
    <row r="77" spans="22:22" ht="12.5">
      <c r="V77" s="5"/>
    </row>
    <row r="78" spans="22:22" ht="12.5">
      <c r="V78" s="5"/>
    </row>
    <row r="79" spans="22:22" ht="12.5">
      <c r="V79" s="5"/>
    </row>
    <row r="80" spans="22:22" ht="12.5">
      <c r="V80" s="5"/>
    </row>
    <row r="81" spans="22:22" ht="12.5">
      <c r="V81" s="5"/>
    </row>
    <row r="82" spans="22:22" ht="12.5">
      <c r="V82" s="5"/>
    </row>
    <row r="83" spans="22:22" ht="12.5">
      <c r="V83" s="5"/>
    </row>
    <row r="84" spans="22:22" ht="12.5">
      <c r="V84" s="5"/>
    </row>
    <row r="85" spans="22:22" ht="12.5">
      <c r="V85" s="5"/>
    </row>
    <row r="86" spans="22:22" ht="12.5">
      <c r="V86" s="5"/>
    </row>
    <row r="87" spans="22:22" ht="12.5">
      <c r="V87" s="5"/>
    </row>
    <row r="88" spans="22:22" ht="12.5">
      <c r="V88" s="5"/>
    </row>
    <row r="89" spans="22:22" ht="12.5">
      <c r="V89" s="5"/>
    </row>
    <row r="90" spans="22:22" ht="12.5">
      <c r="V90" s="5"/>
    </row>
    <row r="91" spans="22:22" ht="12.5">
      <c r="V91" s="5"/>
    </row>
    <row r="92" spans="22:22" ht="12.5">
      <c r="V92" s="5"/>
    </row>
    <row r="93" spans="22:22" ht="12.5">
      <c r="V93" s="5"/>
    </row>
    <row r="94" spans="22:22" ht="12.5">
      <c r="V94" s="5"/>
    </row>
    <row r="95" spans="22:22" ht="12.5">
      <c r="V95" s="5"/>
    </row>
    <row r="96" spans="22:22" ht="12.5">
      <c r="V96" s="5"/>
    </row>
    <row r="97" spans="1:22" ht="12.5">
      <c r="V97" s="5"/>
    </row>
    <row r="98" spans="1:22" ht="12.5">
      <c r="V98" s="5"/>
    </row>
    <row r="99" spans="1:22" ht="12.5">
      <c r="V99" s="5"/>
    </row>
    <row r="100" spans="1:22" ht="12.5">
      <c r="V100" s="5"/>
    </row>
    <row r="101" spans="1:22" ht="12.5">
      <c r="V101" s="5"/>
    </row>
    <row r="102" spans="1:22" ht="12.5">
      <c r="V102" s="5"/>
    </row>
    <row r="103" spans="1:22" ht="12.5">
      <c r="V103" s="5"/>
    </row>
    <row r="104" spans="1:22" ht="12.5">
      <c r="V104" s="5"/>
    </row>
    <row r="105" spans="1:22" ht="12.5">
      <c r="V105" s="5"/>
    </row>
    <row r="106" spans="1:22" ht="12.5">
      <c r="A106" s="5"/>
      <c r="B106" s="8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2.5">
      <c r="A107" s="5"/>
      <c r="B107" s="8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2.5">
      <c r="A108" s="5"/>
      <c r="B108" s="8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2.5">
      <c r="A109" s="5"/>
      <c r="B109" s="8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2.5">
      <c r="A110" s="5"/>
      <c r="B110" s="8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2.5">
      <c r="A111" s="5"/>
      <c r="B111" s="8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2.5">
      <c r="A112" s="5"/>
      <c r="B112" s="8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2.5">
      <c r="A113" s="5"/>
      <c r="B113" s="8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2.5">
      <c r="A114" s="5"/>
      <c r="B114" s="8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2.5">
      <c r="A115" s="5"/>
      <c r="B115" s="8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2.5">
      <c r="A116" s="5"/>
      <c r="B116" s="8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2.5">
      <c r="A117" s="5"/>
      <c r="B117" s="8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2.5">
      <c r="A118" s="5"/>
      <c r="B118" s="8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2.5">
      <c r="A119" s="5"/>
      <c r="B119" s="8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.5">
      <c r="A120" s="5"/>
      <c r="B120" s="8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2.5">
      <c r="A121" s="5"/>
      <c r="B121" s="8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2.5">
      <c r="A122" s="5"/>
      <c r="B122" s="8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2.5">
      <c r="A123" s="5"/>
      <c r="B123" s="8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2.5">
      <c r="A124" s="5"/>
      <c r="B124" s="8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.5">
      <c r="A125" s="5"/>
      <c r="B125" s="8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2.5">
      <c r="A126" s="5"/>
      <c r="B126" s="8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2.5">
      <c r="A127" s="5"/>
      <c r="B127" s="8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2.5">
      <c r="A128" s="5"/>
      <c r="B128" s="8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2.5">
      <c r="A129" s="5"/>
      <c r="B129" s="8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2.5">
      <c r="A130" s="5"/>
      <c r="B130" s="8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2.5">
      <c r="A131" s="5"/>
      <c r="B131" s="8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2.5">
      <c r="A132" s="5"/>
      <c r="B132" s="8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2.5">
      <c r="A133" s="5"/>
      <c r="B133" s="8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2.5">
      <c r="A134" s="5"/>
      <c r="B134" s="8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2.5">
      <c r="A135" s="5"/>
      <c r="B135" s="8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2.5">
      <c r="A136" s="5"/>
      <c r="B136" s="8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2.5">
      <c r="A137" s="5"/>
      <c r="B137" s="8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2.5">
      <c r="A138" s="5"/>
      <c r="B138" s="8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2.5">
      <c r="A139" s="5"/>
      <c r="B139" s="8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2.5">
      <c r="A140" s="5"/>
      <c r="B140" s="8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2.5">
      <c r="A141" s="5"/>
      <c r="B141" s="8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2.5">
      <c r="A142" s="5"/>
      <c r="B142" s="8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2.5">
      <c r="A143" s="5"/>
      <c r="B143" s="8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2.5">
      <c r="A144" s="5"/>
      <c r="B144" s="8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2.5">
      <c r="A145" s="5"/>
      <c r="B145" s="8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2.5">
      <c r="A146" s="5"/>
      <c r="B146" s="8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2.5">
      <c r="A147" s="5"/>
      <c r="B147" s="8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2.5">
      <c r="A148" s="5"/>
      <c r="B148" s="8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2.5">
      <c r="A149" s="5"/>
      <c r="B149" s="8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2.5">
      <c r="A150" s="5"/>
      <c r="B150" s="8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2.5">
      <c r="A151" s="5"/>
      <c r="B151" s="8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2.5">
      <c r="A152" s="5"/>
      <c r="B152" s="8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2.5">
      <c r="A153" s="5"/>
      <c r="B153" s="8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2.5">
      <c r="A154" s="5"/>
      <c r="B154" s="8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2.5">
      <c r="A155" s="5"/>
      <c r="B155" s="8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2.5">
      <c r="A156" s="5"/>
      <c r="B156" s="8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2.5">
      <c r="A157" s="5"/>
      <c r="B157" s="8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2.5">
      <c r="A158" s="5"/>
      <c r="B158" s="8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2.5">
      <c r="A159" s="5"/>
      <c r="B159" s="8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2.5">
      <c r="A160" s="5"/>
      <c r="B160" s="8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2.5">
      <c r="A161" s="5"/>
      <c r="B161" s="8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2.5">
      <c r="A162" s="5"/>
      <c r="B162" s="8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2.5">
      <c r="A163" s="5"/>
      <c r="B163" s="8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2.5">
      <c r="A164" s="5"/>
      <c r="B164" s="8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2.5">
      <c r="A165" s="5"/>
      <c r="B165" s="8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2.5">
      <c r="A166" s="5"/>
      <c r="B166" s="8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2.5">
      <c r="A167" s="5"/>
      <c r="B167" s="8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2.5">
      <c r="A168" s="5"/>
      <c r="B168" s="8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2.5">
      <c r="A169" s="5"/>
      <c r="B169" s="8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2.5">
      <c r="A170" s="5"/>
      <c r="B170" s="8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2.5">
      <c r="A171" s="5"/>
      <c r="B171" s="8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2.5">
      <c r="A172" s="5"/>
      <c r="B172" s="8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2.5">
      <c r="A173" s="5"/>
      <c r="B173" s="8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2.5">
      <c r="A174" s="5"/>
      <c r="B174" s="8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2.5">
      <c r="A175" s="5"/>
      <c r="B175" s="8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2.5">
      <c r="A176" s="5"/>
      <c r="B176" s="8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2.5">
      <c r="A177" s="5"/>
      <c r="B177" s="8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2.5">
      <c r="A178" s="5"/>
      <c r="B178" s="8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2.5">
      <c r="A179" s="5"/>
      <c r="B179" s="8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2.5">
      <c r="A180" s="5"/>
      <c r="B180" s="8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2.5">
      <c r="A181" s="5"/>
      <c r="B181" s="8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2.5">
      <c r="A182" s="5"/>
      <c r="B182" s="8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2.5">
      <c r="A183" s="5"/>
      <c r="B183" s="8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2.5">
      <c r="A184" s="5"/>
      <c r="B184" s="8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2.5">
      <c r="A185" s="5"/>
      <c r="B185" s="8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2.5">
      <c r="A186" s="5"/>
      <c r="B186" s="8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2.5">
      <c r="A187" s="5"/>
      <c r="B187" s="8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2.5">
      <c r="A188" s="5"/>
      <c r="B188" s="8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2.5">
      <c r="A189" s="5"/>
      <c r="B189" s="8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2.5">
      <c r="A190" s="5"/>
      <c r="B190" s="8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2.5">
      <c r="A191" s="5"/>
      <c r="B191" s="8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2.5">
      <c r="A192" s="5"/>
      <c r="B192" s="8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2.5">
      <c r="A193" s="5"/>
      <c r="B193" s="8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2.5">
      <c r="A194" s="5"/>
      <c r="B194" s="8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2.5">
      <c r="A195" s="5"/>
      <c r="B195" s="8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2.5">
      <c r="A196" s="5"/>
      <c r="B196" s="8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2.5">
      <c r="A197" s="5"/>
      <c r="B197" s="8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2.5">
      <c r="A198" s="5"/>
      <c r="B198" s="8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2.5">
      <c r="A199" s="5"/>
      <c r="B199" s="8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2.5">
      <c r="A200" s="5"/>
      <c r="B200" s="8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2.5">
      <c r="A201" s="5"/>
      <c r="B201" s="8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2.5">
      <c r="A202" s="5"/>
      <c r="B202" s="8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2.5">
      <c r="A203" s="5"/>
      <c r="B203" s="8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2.5">
      <c r="A204" s="5"/>
      <c r="B204" s="8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2.5">
      <c r="A205" s="5"/>
      <c r="B205" s="8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2.5">
      <c r="A206" s="5"/>
      <c r="B206" s="8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2.5">
      <c r="A207" s="5"/>
      <c r="B207" s="8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2.5">
      <c r="A208" s="5"/>
      <c r="B208" s="8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2.5">
      <c r="A209" s="5"/>
      <c r="B209" s="8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2.5">
      <c r="A210" s="5"/>
      <c r="B210" s="8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2.5">
      <c r="A211" s="5"/>
      <c r="B211" s="8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2.5">
      <c r="A212" s="5"/>
      <c r="B212" s="8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2.5">
      <c r="A213" s="5"/>
      <c r="B213" s="8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2.5">
      <c r="A214" s="5"/>
      <c r="B214" s="8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2.5">
      <c r="A215" s="5"/>
      <c r="B215" s="8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2.5">
      <c r="A216" s="5"/>
      <c r="B216" s="8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2.5">
      <c r="A217" s="5"/>
      <c r="B217" s="8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2.5">
      <c r="A218" s="5"/>
      <c r="B218" s="8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2.5">
      <c r="A219" s="5"/>
      <c r="B219" s="8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2.5">
      <c r="A220" s="5"/>
      <c r="B220" s="8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2.5">
      <c r="A221" s="5"/>
      <c r="B221" s="8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2.5">
      <c r="A222" s="5"/>
      <c r="B222" s="8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2.5">
      <c r="A223" s="5"/>
      <c r="B223" s="8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2.5">
      <c r="A224" s="5"/>
      <c r="B224" s="8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2.5">
      <c r="A225" s="5"/>
      <c r="B225" s="8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2.5">
      <c r="A226" s="5"/>
      <c r="B226" s="8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2.5">
      <c r="A227" s="5"/>
      <c r="B227" s="8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2.5">
      <c r="A228" s="5"/>
      <c r="B228" s="8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2.5">
      <c r="A229" s="5"/>
      <c r="B229" s="8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2.5">
      <c r="A230" s="5"/>
      <c r="B230" s="8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2.5">
      <c r="A231" s="5"/>
      <c r="B231" s="8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2.5">
      <c r="A232" s="5"/>
      <c r="B232" s="8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2.5">
      <c r="A233" s="5"/>
      <c r="B233" s="8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2.5">
      <c r="A234" s="5"/>
      <c r="B234" s="8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2.5">
      <c r="A235" s="5"/>
      <c r="B235" s="8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2.5">
      <c r="A236" s="5"/>
      <c r="B236" s="8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2.5">
      <c r="A237" s="5"/>
      <c r="B237" s="8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2.5">
      <c r="A238" s="5"/>
      <c r="B238" s="8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2.5">
      <c r="A239" s="5"/>
      <c r="B239" s="8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2.5">
      <c r="A240" s="5"/>
      <c r="B240" s="8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2.5">
      <c r="A241" s="5"/>
      <c r="B241" s="8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2.5">
      <c r="A242" s="5"/>
      <c r="B242" s="8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2.5">
      <c r="A243" s="5"/>
      <c r="B243" s="8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2.5">
      <c r="A244" s="5"/>
      <c r="B244" s="8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2.5">
      <c r="A245" s="5"/>
      <c r="B245" s="8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2.5">
      <c r="A246" s="5"/>
      <c r="B246" s="8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2.5">
      <c r="A247" s="5"/>
      <c r="B247" s="8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2.5">
      <c r="A248" s="5"/>
      <c r="B248" s="8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2.5">
      <c r="A249" s="5"/>
      <c r="B249" s="8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2.5">
      <c r="A250" s="5"/>
      <c r="B250" s="8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2.5">
      <c r="A251" s="5"/>
      <c r="B251" s="8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2.5">
      <c r="A252" s="5"/>
      <c r="B252" s="8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2.5">
      <c r="A253" s="5"/>
      <c r="B253" s="8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2.5">
      <c r="A254" s="5"/>
      <c r="B254" s="8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2.5">
      <c r="A255" s="5"/>
      <c r="B255" s="8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2.5">
      <c r="A256" s="5"/>
      <c r="B256" s="8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2.5">
      <c r="A257" s="5"/>
      <c r="B257" s="8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2.5">
      <c r="A258" s="5"/>
      <c r="B258" s="8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2.5">
      <c r="A259" s="5"/>
      <c r="B259" s="8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2.5">
      <c r="A260" s="5"/>
      <c r="B260" s="8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2.5">
      <c r="A261" s="5"/>
      <c r="B261" s="8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2.5">
      <c r="A262" s="5"/>
      <c r="B262" s="8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2.5">
      <c r="A263" s="5"/>
      <c r="B263" s="8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2.5">
      <c r="A264" s="5"/>
      <c r="B264" s="8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2.5">
      <c r="A265" s="5"/>
      <c r="B265" s="8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2.5">
      <c r="A266" s="5"/>
      <c r="B266" s="8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2.5">
      <c r="A267" s="5"/>
      <c r="B267" s="8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2.5">
      <c r="A268" s="5"/>
      <c r="B268" s="8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2.5">
      <c r="A269" s="5"/>
      <c r="B269" s="8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2.5">
      <c r="A270" s="5"/>
      <c r="B270" s="8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2.5">
      <c r="A271" s="5"/>
      <c r="B271" s="8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2.5">
      <c r="A272" s="5"/>
      <c r="B272" s="8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2.5">
      <c r="A273" s="5"/>
      <c r="B273" s="8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2.5">
      <c r="A274" s="5"/>
      <c r="B274" s="8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2.5">
      <c r="A275" s="5"/>
      <c r="B275" s="8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2.5">
      <c r="A276" s="5"/>
      <c r="B276" s="8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2.5">
      <c r="A277" s="5"/>
      <c r="B277" s="8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2.5">
      <c r="A278" s="5"/>
      <c r="B278" s="8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2.5">
      <c r="A279" s="5"/>
      <c r="B279" s="8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2.5">
      <c r="A280" s="5"/>
      <c r="B280" s="8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2.5">
      <c r="A281" s="5"/>
      <c r="B281" s="8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2.5">
      <c r="A282" s="5"/>
      <c r="B282" s="8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2.5">
      <c r="A283" s="5"/>
      <c r="B283" s="8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2.5">
      <c r="A284" s="5"/>
      <c r="B284" s="8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2.5">
      <c r="A285" s="5"/>
      <c r="B285" s="8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2.5">
      <c r="A286" s="5"/>
      <c r="B286" s="8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2.5">
      <c r="A287" s="5"/>
      <c r="B287" s="8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2.5">
      <c r="A288" s="5"/>
      <c r="B288" s="8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2.5">
      <c r="A289" s="5"/>
      <c r="B289" s="8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2.5">
      <c r="A290" s="5"/>
      <c r="B290" s="8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2.5">
      <c r="A291" s="5"/>
      <c r="B291" s="8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2.5">
      <c r="A292" s="5"/>
      <c r="B292" s="8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2.5">
      <c r="A293" s="5"/>
      <c r="B293" s="8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2.5">
      <c r="A294" s="5"/>
      <c r="B294" s="8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2.5">
      <c r="A295" s="5"/>
      <c r="B295" s="8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2.5">
      <c r="A296" s="5"/>
      <c r="B296" s="8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2.5">
      <c r="A297" s="5"/>
      <c r="B297" s="8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2.5">
      <c r="A298" s="5"/>
      <c r="B298" s="8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2.5">
      <c r="A299" s="5"/>
      <c r="B299" s="8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2.5">
      <c r="A300" s="5"/>
      <c r="B300" s="8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2.5">
      <c r="A301" s="5"/>
      <c r="B301" s="8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2.5">
      <c r="A302" s="5"/>
      <c r="B302" s="8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2.5">
      <c r="A303" s="5"/>
      <c r="B303" s="8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2.5">
      <c r="A304" s="5"/>
      <c r="B304" s="8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2.5">
      <c r="A305" s="5"/>
      <c r="B305" s="8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2.5">
      <c r="A306" s="5"/>
      <c r="B306" s="8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2.5">
      <c r="A307" s="5"/>
      <c r="B307" s="8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2.5">
      <c r="A308" s="5"/>
      <c r="B308" s="8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2.5">
      <c r="A309" s="5"/>
      <c r="B309" s="8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2.5">
      <c r="A310" s="5"/>
      <c r="B310" s="8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2.5">
      <c r="A311" s="5"/>
      <c r="B311" s="8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2.5">
      <c r="A312" s="5"/>
      <c r="B312" s="8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2.5">
      <c r="A313" s="5"/>
      <c r="B313" s="8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2.5">
      <c r="A314" s="5"/>
      <c r="B314" s="8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2.5">
      <c r="A315" s="5"/>
      <c r="B315" s="8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2.5">
      <c r="A316" s="5"/>
      <c r="B316" s="8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2.5">
      <c r="A317" s="5"/>
      <c r="B317" s="8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2.5">
      <c r="A318" s="5"/>
      <c r="B318" s="8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2.5">
      <c r="A319" s="5"/>
      <c r="B319" s="8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2.5">
      <c r="A320" s="5"/>
      <c r="B320" s="8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2.5">
      <c r="A321" s="5"/>
      <c r="B321" s="8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2.5">
      <c r="A322" s="5"/>
      <c r="B322" s="8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2.5">
      <c r="A323" s="5"/>
      <c r="B323" s="8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2.5">
      <c r="A324" s="5"/>
      <c r="B324" s="8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2.5">
      <c r="A325" s="5"/>
      <c r="B325" s="8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2.5">
      <c r="A326" s="5"/>
      <c r="B326" s="8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2.5">
      <c r="A327" s="5"/>
      <c r="B327" s="8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2.5">
      <c r="A328" s="5"/>
      <c r="B328" s="8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2.5">
      <c r="A329" s="5"/>
      <c r="B329" s="8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2.5">
      <c r="A330" s="5"/>
      <c r="B330" s="8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2.5">
      <c r="A331" s="5"/>
      <c r="B331" s="8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2.5">
      <c r="A332" s="5"/>
      <c r="B332" s="8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2.5">
      <c r="A333" s="5"/>
      <c r="B333" s="8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2.5">
      <c r="A334" s="5"/>
      <c r="B334" s="8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2.5">
      <c r="A335" s="5"/>
      <c r="B335" s="8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2.5">
      <c r="A336" s="5"/>
      <c r="B336" s="8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2.5">
      <c r="A337" s="5"/>
      <c r="B337" s="8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2.5">
      <c r="A338" s="5"/>
      <c r="B338" s="8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2.5">
      <c r="A339" s="5"/>
      <c r="B339" s="8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2.5">
      <c r="A340" s="5"/>
      <c r="B340" s="8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2.5">
      <c r="A341" s="5"/>
      <c r="B341" s="8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2.5">
      <c r="A342" s="5"/>
      <c r="B342" s="8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2.5">
      <c r="A343" s="5"/>
      <c r="B343" s="8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2.5">
      <c r="A344" s="5"/>
      <c r="B344" s="8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2.5">
      <c r="A345" s="5"/>
      <c r="B345" s="8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2.5">
      <c r="A346" s="5"/>
      <c r="B346" s="8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2.5">
      <c r="A347" s="5"/>
      <c r="B347" s="8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2.5">
      <c r="A348" s="5"/>
      <c r="B348" s="8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2.5">
      <c r="A349" s="5"/>
      <c r="B349" s="8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2.5">
      <c r="A350" s="5"/>
      <c r="B350" s="8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2.5">
      <c r="A351" s="5"/>
      <c r="B351" s="8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2.5">
      <c r="A352" s="5"/>
      <c r="B352" s="8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2.5">
      <c r="A353" s="5"/>
      <c r="B353" s="8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2.5">
      <c r="A354" s="5"/>
      <c r="B354" s="8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2.5">
      <c r="A355" s="5"/>
      <c r="B355" s="8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2.5">
      <c r="A356" s="5"/>
      <c r="B356" s="8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2.5">
      <c r="A357" s="5"/>
      <c r="B357" s="8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2.5">
      <c r="A358" s="5"/>
      <c r="B358" s="8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2.5">
      <c r="A359" s="5"/>
      <c r="B359" s="8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2.5">
      <c r="A360" s="5"/>
      <c r="B360" s="8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2.5">
      <c r="A361" s="5"/>
      <c r="B361" s="8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2.5">
      <c r="A362" s="5"/>
      <c r="B362" s="8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2.5">
      <c r="A363" s="5"/>
      <c r="B363" s="8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2.5">
      <c r="A364" s="5"/>
      <c r="B364" s="8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2.5">
      <c r="A365" s="5"/>
      <c r="B365" s="8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2.5">
      <c r="A366" s="5"/>
      <c r="B366" s="8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2.5">
      <c r="A367" s="5"/>
      <c r="B367" s="8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2.5">
      <c r="A368" s="5"/>
      <c r="B368" s="8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2.5">
      <c r="A369" s="5"/>
      <c r="B369" s="8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2.5">
      <c r="A370" s="5"/>
      <c r="B370" s="8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2.5">
      <c r="A371" s="5"/>
      <c r="B371" s="8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2.5">
      <c r="A372" s="5"/>
      <c r="B372" s="8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2.5">
      <c r="A373" s="5"/>
      <c r="B373" s="8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2.5">
      <c r="A374" s="5"/>
      <c r="B374" s="8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2.5">
      <c r="A375" s="5"/>
      <c r="B375" s="8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2.5">
      <c r="A376" s="5"/>
      <c r="B376" s="8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2.5">
      <c r="A377" s="5"/>
      <c r="B377" s="8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2.5">
      <c r="A378" s="5"/>
      <c r="B378" s="8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2.5">
      <c r="A379" s="5"/>
      <c r="B379" s="8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2.5">
      <c r="A380" s="5"/>
      <c r="B380" s="8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2.5">
      <c r="A381" s="5"/>
      <c r="B381" s="8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2.5">
      <c r="A382" s="5"/>
      <c r="B382" s="8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2.5">
      <c r="A383" s="5"/>
      <c r="B383" s="8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2.5">
      <c r="A384" s="5"/>
      <c r="B384" s="8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2.5">
      <c r="A385" s="5"/>
      <c r="B385" s="8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2.5">
      <c r="A386" s="5"/>
      <c r="B386" s="8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2.5">
      <c r="A387" s="5"/>
      <c r="B387" s="8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2.5">
      <c r="A388" s="5"/>
      <c r="B388" s="8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2.5">
      <c r="A389" s="5"/>
      <c r="B389" s="8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2.5">
      <c r="A390" s="5"/>
      <c r="B390" s="8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2.5">
      <c r="A391" s="5"/>
      <c r="B391" s="8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2.5">
      <c r="A392" s="5"/>
      <c r="B392" s="8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2.5">
      <c r="A393" s="5"/>
      <c r="B393" s="8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2.5">
      <c r="A394" s="5"/>
      <c r="B394" s="8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2.5">
      <c r="A395" s="5"/>
      <c r="B395" s="8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2.5">
      <c r="A396" s="5"/>
      <c r="B396" s="8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2.5">
      <c r="A397" s="5"/>
      <c r="B397" s="8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2.5">
      <c r="A398" s="5"/>
      <c r="B398" s="8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2.5">
      <c r="A399" s="5"/>
      <c r="B399" s="8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2.5">
      <c r="A400" s="5"/>
      <c r="B400" s="8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2.5">
      <c r="A401" s="5"/>
      <c r="B401" s="8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2.5">
      <c r="A402" s="5"/>
      <c r="B402" s="8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2.5">
      <c r="A403" s="5"/>
      <c r="B403" s="8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2.5">
      <c r="A404" s="5"/>
      <c r="B404" s="8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2.5">
      <c r="A405" s="5"/>
      <c r="B405" s="8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2.5">
      <c r="A406" s="5"/>
      <c r="B406" s="8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2.5">
      <c r="A407" s="5"/>
      <c r="B407" s="8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2.5">
      <c r="A408" s="5"/>
      <c r="B408" s="8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2.5">
      <c r="A409" s="5"/>
      <c r="B409" s="8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2.5">
      <c r="A410" s="5"/>
      <c r="B410" s="8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2.5">
      <c r="A411" s="5"/>
      <c r="B411" s="8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2.5">
      <c r="A412" s="5"/>
      <c r="B412" s="8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2.5">
      <c r="A413" s="5"/>
      <c r="B413" s="8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2.5">
      <c r="A414" s="5"/>
      <c r="B414" s="8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2.5">
      <c r="A415" s="5"/>
      <c r="B415" s="8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2.5">
      <c r="A416" s="5"/>
      <c r="B416" s="8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2.5">
      <c r="A417" s="5"/>
      <c r="B417" s="8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2.5">
      <c r="A418" s="5"/>
      <c r="B418" s="8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2.5">
      <c r="A419" s="5"/>
      <c r="B419" s="8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2.5">
      <c r="A420" s="5"/>
      <c r="B420" s="8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2.5">
      <c r="A421" s="5"/>
      <c r="B421" s="8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2.5">
      <c r="A422" s="5"/>
      <c r="B422" s="8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2.5">
      <c r="A423" s="5"/>
      <c r="B423" s="8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2.5">
      <c r="A424" s="5"/>
      <c r="B424" s="8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2.5">
      <c r="A425" s="5"/>
      <c r="B425" s="8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2.5">
      <c r="A426" s="5"/>
      <c r="B426" s="8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2.5">
      <c r="A427" s="5"/>
      <c r="B427" s="8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2.5">
      <c r="A428" s="5"/>
      <c r="B428" s="8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2.5">
      <c r="A429" s="5"/>
      <c r="B429" s="8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2.5">
      <c r="A430" s="5"/>
      <c r="B430" s="8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2.5">
      <c r="A431" s="5"/>
      <c r="B431" s="8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2.5">
      <c r="A432" s="5"/>
      <c r="B432" s="8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2.5">
      <c r="A433" s="5"/>
      <c r="B433" s="8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2.5">
      <c r="A434" s="5"/>
      <c r="B434" s="8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2.5">
      <c r="A435" s="5"/>
      <c r="B435" s="8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2.5">
      <c r="A436" s="5"/>
      <c r="B436" s="8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2.5">
      <c r="A437" s="5"/>
      <c r="B437" s="8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2.5">
      <c r="A438" s="5"/>
      <c r="B438" s="8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2.5">
      <c r="A439" s="5"/>
      <c r="B439" s="8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2.5">
      <c r="A440" s="5"/>
      <c r="B440" s="8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2.5">
      <c r="A441" s="5"/>
      <c r="B441" s="8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2.5">
      <c r="A442" s="5"/>
      <c r="B442" s="8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2.5">
      <c r="A443" s="5"/>
      <c r="B443" s="8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2.5">
      <c r="A444" s="5"/>
      <c r="B444" s="8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2.5">
      <c r="A445" s="5"/>
      <c r="B445" s="8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2.5">
      <c r="A446" s="5"/>
      <c r="B446" s="8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2.5">
      <c r="A447" s="5"/>
      <c r="B447" s="8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2.5">
      <c r="A448" s="5"/>
      <c r="B448" s="8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2.5">
      <c r="A449" s="5"/>
      <c r="B449" s="8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2.5">
      <c r="A450" s="5"/>
      <c r="B450" s="8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2.5">
      <c r="A451" s="5"/>
      <c r="B451" s="8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2.5">
      <c r="A452" s="5"/>
      <c r="B452" s="8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2.5">
      <c r="A453" s="5"/>
      <c r="B453" s="8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2.5">
      <c r="A454" s="5"/>
      <c r="B454" s="8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2.5">
      <c r="A455" s="5"/>
      <c r="B455" s="8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2.5">
      <c r="A456" s="5"/>
      <c r="B456" s="8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2.5">
      <c r="A457" s="5"/>
      <c r="B457" s="8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2.5">
      <c r="A458" s="5"/>
      <c r="B458" s="8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2.5">
      <c r="A459" s="5"/>
      <c r="B459" s="8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2.5">
      <c r="A460" s="5"/>
      <c r="B460" s="8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2.5">
      <c r="A461" s="5"/>
      <c r="B461" s="8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2.5">
      <c r="A462" s="5"/>
      <c r="B462" s="8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2.5">
      <c r="A463" s="5"/>
      <c r="B463" s="8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2.5">
      <c r="A464" s="5"/>
      <c r="B464" s="8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2.5">
      <c r="A465" s="5"/>
      <c r="B465" s="8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2.5">
      <c r="A466" s="5"/>
      <c r="B466" s="8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2.5">
      <c r="A467" s="5"/>
      <c r="B467" s="8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2.5">
      <c r="A468" s="5"/>
      <c r="B468" s="8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2.5">
      <c r="A469" s="5"/>
      <c r="B469" s="8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2.5">
      <c r="A470" s="5"/>
      <c r="B470" s="8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2.5">
      <c r="A471" s="5"/>
      <c r="B471" s="8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2.5">
      <c r="A472" s="5"/>
      <c r="B472" s="8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2.5">
      <c r="A473" s="5"/>
      <c r="B473" s="8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2.5">
      <c r="A474" s="5"/>
      <c r="B474" s="8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2.5">
      <c r="A475" s="5"/>
      <c r="B475" s="8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2.5">
      <c r="A476" s="5"/>
      <c r="B476" s="8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2.5">
      <c r="A477" s="5"/>
      <c r="B477" s="8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2.5">
      <c r="A478" s="5"/>
      <c r="B478" s="8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2.5">
      <c r="A479" s="5"/>
      <c r="B479" s="8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2.5">
      <c r="A480" s="5"/>
      <c r="B480" s="8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2.5">
      <c r="A481" s="5"/>
      <c r="B481" s="8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2.5">
      <c r="A482" s="5"/>
      <c r="B482" s="8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2.5">
      <c r="A483" s="5"/>
      <c r="B483" s="8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2.5">
      <c r="A484" s="5"/>
      <c r="B484" s="8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2.5">
      <c r="A485" s="5"/>
      <c r="B485" s="8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2.5">
      <c r="A486" s="5"/>
      <c r="B486" s="8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2.5">
      <c r="A487" s="5"/>
      <c r="B487" s="8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2.5">
      <c r="A488" s="5"/>
      <c r="B488" s="8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2.5">
      <c r="A489" s="5"/>
      <c r="B489" s="8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2.5">
      <c r="A490" s="5"/>
      <c r="B490" s="8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2.5">
      <c r="A491" s="5"/>
      <c r="B491" s="8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2.5">
      <c r="A492" s="5"/>
      <c r="B492" s="8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2.5">
      <c r="A493" s="5"/>
      <c r="B493" s="8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2.5">
      <c r="A494" s="5"/>
      <c r="B494" s="8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2.5">
      <c r="A495" s="5"/>
      <c r="B495" s="8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2.5">
      <c r="A496" s="5"/>
      <c r="B496" s="8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2.5">
      <c r="A497" s="5"/>
      <c r="B497" s="8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2.5">
      <c r="A498" s="5"/>
      <c r="B498" s="8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2.5">
      <c r="A499" s="5"/>
      <c r="B499" s="8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2.5">
      <c r="A500" s="5"/>
      <c r="B500" s="8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2.5">
      <c r="A501" s="5"/>
      <c r="B501" s="8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2.5">
      <c r="A502" s="5"/>
      <c r="B502" s="8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2.5">
      <c r="A503" s="5"/>
      <c r="B503" s="8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2.5">
      <c r="A504" s="5"/>
      <c r="B504" s="8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2.5">
      <c r="A505" s="5"/>
      <c r="B505" s="8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2.5">
      <c r="A506" s="5"/>
      <c r="B506" s="8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2.5">
      <c r="A507" s="5"/>
      <c r="B507" s="8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2.5">
      <c r="A508" s="5"/>
      <c r="B508" s="8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2.5">
      <c r="A509" s="5"/>
      <c r="B509" s="8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2.5">
      <c r="A510" s="5"/>
      <c r="B510" s="8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2.5">
      <c r="A511" s="5"/>
      <c r="B511" s="8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2.5">
      <c r="A512" s="5"/>
      <c r="B512" s="8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2.5">
      <c r="A513" s="5"/>
      <c r="B513" s="8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2.5">
      <c r="A514" s="5"/>
      <c r="B514" s="8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2.5">
      <c r="A515" s="5"/>
      <c r="B515" s="8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2.5">
      <c r="A516" s="5"/>
      <c r="B516" s="8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2.5">
      <c r="A517" s="5"/>
      <c r="B517" s="8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2.5">
      <c r="A518" s="5"/>
      <c r="B518" s="8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2.5">
      <c r="A519" s="5"/>
      <c r="B519" s="8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2.5">
      <c r="A520" s="5"/>
      <c r="B520" s="8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2.5">
      <c r="A521" s="5"/>
      <c r="B521" s="8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2.5">
      <c r="A522" s="5"/>
      <c r="B522" s="8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2.5">
      <c r="A523" s="5"/>
      <c r="B523" s="8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2.5">
      <c r="A524" s="5"/>
      <c r="B524" s="8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2.5">
      <c r="A525" s="5"/>
      <c r="B525" s="8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2.5">
      <c r="A526" s="5"/>
      <c r="B526" s="8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2.5">
      <c r="A527" s="5"/>
      <c r="B527" s="8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2.5">
      <c r="A528" s="5"/>
      <c r="B528" s="8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2.5">
      <c r="A529" s="5"/>
      <c r="B529" s="8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2.5">
      <c r="A530" s="5"/>
      <c r="B530" s="8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2.5">
      <c r="A531" s="5"/>
      <c r="B531" s="8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2.5">
      <c r="A532" s="5"/>
      <c r="B532" s="8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2.5">
      <c r="A533" s="5"/>
      <c r="B533" s="8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2.5">
      <c r="A534" s="5"/>
      <c r="B534" s="8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2.5">
      <c r="A535" s="5"/>
      <c r="B535" s="8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2.5">
      <c r="A536" s="5"/>
      <c r="B536" s="8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2.5">
      <c r="A537" s="5"/>
      <c r="B537" s="8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2.5">
      <c r="A538" s="5"/>
      <c r="B538" s="8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2.5">
      <c r="A539" s="5"/>
      <c r="B539" s="8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2.5">
      <c r="A540" s="5"/>
      <c r="B540" s="8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2.5">
      <c r="A541" s="5"/>
      <c r="B541" s="8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2.5">
      <c r="A542" s="5"/>
      <c r="B542" s="8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2.5">
      <c r="A543" s="5"/>
      <c r="B543" s="8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2.5">
      <c r="A544" s="5"/>
      <c r="B544" s="8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2.5">
      <c r="A545" s="5"/>
      <c r="B545" s="8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2.5">
      <c r="A546" s="5"/>
      <c r="B546" s="8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2.5">
      <c r="A547" s="5"/>
      <c r="B547" s="8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2.5">
      <c r="A548" s="5"/>
      <c r="B548" s="8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2.5">
      <c r="A549" s="5"/>
      <c r="B549" s="8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2.5">
      <c r="A550" s="5"/>
      <c r="B550" s="8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2.5">
      <c r="A551" s="5"/>
      <c r="B551" s="8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2.5">
      <c r="A552" s="5"/>
      <c r="B552" s="8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2.5">
      <c r="A553" s="5"/>
      <c r="B553" s="8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2.5">
      <c r="A554" s="5"/>
      <c r="B554" s="8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2.5">
      <c r="A555" s="5"/>
      <c r="B555" s="8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2.5">
      <c r="A556" s="5"/>
      <c r="B556" s="8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2.5">
      <c r="A557" s="5"/>
      <c r="B557" s="8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2.5">
      <c r="A558" s="5"/>
      <c r="B558" s="8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2.5">
      <c r="A559" s="5"/>
      <c r="B559" s="8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2.5">
      <c r="A560" s="5"/>
      <c r="B560" s="8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2.5">
      <c r="A561" s="5"/>
      <c r="B561" s="8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2.5">
      <c r="A562" s="5"/>
      <c r="B562" s="8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2.5">
      <c r="A563" s="5"/>
      <c r="B563" s="8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2.5">
      <c r="A564" s="5"/>
      <c r="B564" s="8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2.5">
      <c r="A565" s="5"/>
      <c r="B565" s="8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2.5">
      <c r="A566" s="5"/>
      <c r="B566" s="8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2.5">
      <c r="A567" s="5"/>
      <c r="B567" s="8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2.5">
      <c r="A568" s="5"/>
      <c r="B568" s="8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2.5">
      <c r="A569" s="5"/>
      <c r="B569" s="8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2.5">
      <c r="A570" s="5"/>
      <c r="B570" s="8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2.5">
      <c r="A571" s="5"/>
      <c r="B571" s="8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2.5">
      <c r="A572" s="5"/>
      <c r="B572" s="8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2.5">
      <c r="A573" s="5"/>
      <c r="B573" s="8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2.5">
      <c r="A574" s="5"/>
      <c r="B574" s="8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2.5">
      <c r="A575" s="5"/>
      <c r="B575" s="8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2.5">
      <c r="A576" s="5"/>
      <c r="B576" s="8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2.5">
      <c r="A577" s="5"/>
      <c r="B577" s="8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2.5">
      <c r="A578" s="5"/>
      <c r="B578" s="8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2.5">
      <c r="A579" s="5"/>
      <c r="B579" s="8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2.5">
      <c r="A580" s="5"/>
      <c r="B580" s="8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2.5">
      <c r="A581" s="5"/>
      <c r="B581" s="8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2.5">
      <c r="A582" s="5"/>
      <c r="B582" s="8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2.5">
      <c r="A583" s="5"/>
      <c r="B583" s="8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2.5">
      <c r="A584" s="5"/>
      <c r="B584" s="8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2.5">
      <c r="A585" s="5"/>
      <c r="B585" s="8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2.5">
      <c r="A586" s="5"/>
      <c r="B586" s="8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2.5">
      <c r="A587" s="5"/>
      <c r="B587" s="8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2.5">
      <c r="A588" s="5"/>
      <c r="B588" s="8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2.5">
      <c r="A589" s="5"/>
      <c r="B589" s="8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2.5">
      <c r="A590" s="5"/>
      <c r="B590" s="8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2.5">
      <c r="A591" s="5"/>
      <c r="B591" s="8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2.5">
      <c r="A592" s="5"/>
      <c r="B592" s="8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2.5">
      <c r="A593" s="5"/>
      <c r="B593" s="8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2.5">
      <c r="A594" s="5"/>
      <c r="B594" s="8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2.5">
      <c r="A595" s="5"/>
      <c r="B595" s="8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2.5">
      <c r="A596" s="5"/>
      <c r="B596" s="8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2.5">
      <c r="A597" s="5"/>
      <c r="B597" s="8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2.5">
      <c r="A598" s="5"/>
      <c r="B598" s="8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2.5">
      <c r="A599" s="5"/>
      <c r="B599" s="8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2.5">
      <c r="A600" s="5"/>
      <c r="B600" s="8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2.5">
      <c r="A601" s="5"/>
      <c r="B601" s="8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2.5">
      <c r="A602" s="5"/>
      <c r="B602" s="8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2.5">
      <c r="A603" s="5"/>
      <c r="B603" s="8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2.5">
      <c r="A604" s="5"/>
      <c r="B604" s="8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2.5">
      <c r="A605" s="5"/>
      <c r="B605" s="8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2.5">
      <c r="A606" s="5"/>
      <c r="B606" s="8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2.5">
      <c r="A607" s="5"/>
      <c r="B607" s="8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2.5">
      <c r="A608" s="5"/>
      <c r="B608" s="8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2.5">
      <c r="A609" s="5"/>
      <c r="B609" s="8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2.5">
      <c r="A610" s="5"/>
      <c r="B610" s="8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2.5">
      <c r="A611" s="5"/>
      <c r="B611" s="8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2.5">
      <c r="A612" s="5"/>
      <c r="B612" s="8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2.5">
      <c r="A613" s="5"/>
      <c r="B613" s="8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2.5">
      <c r="A614" s="5"/>
      <c r="B614" s="8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2.5">
      <c r="A615" s="5"/>
      <c r="B615" s="8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2.5">
      <c r="A616" s="5"/>
      <c r="B616" s="8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2.5">
      <c r="A617" s="5"/>
      <c r="B617" s="8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2.5">
      <c r="A618" s="5"/>
      <c r="B618" s="8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2.5">
      <c r="A619" s="5"/>
      <c r="B619" s="8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2.5">
      <c r="A620" s="5"/>
      <c r="B620" s="8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2.5">
      <c r="A621" s="5"/>
      <c r="B621" s="8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2.5">
      <c r="A622" s="5"/>
      <c r="B622" s="8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2.5">
      <c r="A623" s="5"/>
      <c r="B623" s="8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2.5">
      <c r="A624" s="5"/>
      <c r="B624" s="8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2.5">
      <c r="A625" s="5"/>
      <c r="B625" s="8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2.5">
      <c r="A626" s="5"/>
      <c r="B626" s="8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2.5">
      <c r="A627" s="5"/>
      <c r="B627" s="8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2.5">
      <c r="A628" s="5"/>
      <c r="B628" s="8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2.5">
      <c r="A629" s="5"/>
      <c r="B629" s="8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2.5">
      <c r="A630" s="5"/>
      <c r="B630" s="8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2.5">
      <c r="A631" s="5"/>
      <c r="B631" s="8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2.5">
      <c r="A632" s="5"/>
      <c r="B632" s="8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2.5">
      <c r="A633" s="5"/>
      <c r="B633" s="8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2.5">
      <c r="A634" s="5"/>
      <c r="B634" s="8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2.5">
      <c r="A635" s="5"/>
      <c r="B635" s="8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2.5">
      <c r="A636" s="5"/>
      <c r="B636" s="8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2.5">
      <c r="A637" s="5"/>
      <c r="B637" s="8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2.5">
      <c r="A638" s="5"/>
      <c r="B638" s="8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2.5">
      <c r="A639" s="5"/>
      <c r="B639" s="8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2.5">
      <c r="A640" s="5"/>
      <c r="B640" s="8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2.5">
      <c r="A641" s="5"/>
      <c r="B641" s="8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2.5">
      <c r="A642" s="5"/>
      <c r="B642" s="8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2.5">
      <c r="A643" s="5"/>
      <c r="B643" s="8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2.5">
      <c r="A644" s="5"/>
      <c r="B644" s="8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2.5">
      <c r="A645" s="5"/>
      <c r="B645" s="8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2.5">
      <c r="A646" s="5"/>
      <c r="B646" s="8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2.5">
      <c r="A647" s="5"/>
      <c r="B647" s="8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2.5">
      <c r="A648" s="5"/>
      <c r="B648" s="8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2.5">
      <c r="A649" s="5"/>
      <c r="B649" s="8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2.5">
      <c r="A650" s="5"/>
      <c r="B650" s="8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2.5">
      <c r="A651" s="5"/>
      <c r="B651" s="8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2.5">
      <c r="A652" s="5"/>
      <c r="B652" s="8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2.5">
      <c r="A653" s="5"/>
      <c r="B653" s="8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2.5">
      <c r="A654" s="5"/>
      <c r="B654" s="8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2.5">
      <c r="A655" s="5"/>
      <c r="B655" s="8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2.5">
      <c r="A656" s="5"/>
      <c r="B656" s="8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2.5">
      <c r="A657" s="5"/>
      <c r="B657" s="8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2.5">
      <c r="A658" s="5"/>
      <c r="B658" s="8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2.5">
      <c r="A659" s="5"/>
      <c r="B659" s="8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2.5">
      <c r="A660" s="5"/>
      <c r="B660" s="8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2.5">
      <c r="A661" s="5"/>
      <c r="B661" s="8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2.5">
      <c r="A662" s="5"/>
      <c r="B662" s="8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2.5">
      <c r="A663" s="5"/>
      <c r="B663" s="8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2.5">
      <c r="A664" s="5"/>
      <c r="B664" s="8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2.5">
      <c r="A665" s="5"/>
      <c r="B665" s="8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2.5">
      <c r="A666" s="5"/>
      <c r="B666" s="8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2.5">
      <c r="A667" s="5"/>
      <c r="B667" s="8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2.5">
      <c r="A668" s="5"/>
      <c r="B668" s="8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2.5">
      <c r="A669" s="5"/>
      <c r="B669" s="8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2.5">
      <c r="A670" s="5"/>
      <c r="B670" s="8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2.5">
      <c r="A671" s="5"/>
      <c r="B671" s="8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2.5">
      <c r="A672" s="5"/>
      <c r="B672" s="8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2.5">
      <c r="A673" s="5"/>
      <c r="B673" s="8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2.5">
      <c r="A674" s="5"/>
      <c r="B674" s="8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2.5">
      <c r="A675" s="5"/>
      <c r="B675" s="8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2.5">
      <c r="A676" s="5"/>
      <c r="B676" s="8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2.5">
      <c r="A677" s="5"/>
      <c r="B677" s="8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2.5">
      <c r="A678" s="5"/>
      <c r="B678" s="8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2.5">
      <c r="A679" s="5"/>
      <c r="B679" s="8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2.5">
      <c r="A680" s="5"/>
      <c r="B680" s="8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2.5">
      <c r="A681" s="5"/>
      <c r="B681" s="8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2.5">
      <c r="A682" s="5"/>
      <c r="B682" s="8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2.5">
      <c r="A683" s="5"/>
      <c r="B683" s="8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2.5">
      <c r="A684" s="5"/>
      <c r="B684" s="8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2.5">
      <c r="A685" s="5"/>
      <c r="B685" s="8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2.5">
      <c r="A686" s="5"/>
      <c r="B686" s="8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2.5">
      <c r="A687" s="5"/>
      <c r="B687" s="8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2.5">
      <c r="A688" s="5"/>
      <c r="B688" s="8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2.5">
      <c r="A689" s="5"/>
      <c r="B689" s="8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2.5">
      <c r="A690" s="5"/>
      <c r="B690" s="8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2.5">
      <c r="A691" s="5"/>
      <c r="B691" s="8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2.5">
      <c r="A692" s="5"/>
      <c r="B692" s="8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2.5">
      <c r="A693" s="5"/>
      <c r="B693" s="8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2.5">
      <c r="A694" s="5"/>
      <c r="B694" s="8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2.5">
      <c r="A695" s="5"/>
      <c r="B695" s="8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2.5">
      <c r="A696" s="5"/>
      <c r="B696" s="8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2.5">
      <c r="A697" s="5"/>
      <c r="B697" s="8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2.5">
      <c r="A698" s="5"/>
      <c r="B698" s="8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2.5">
      <c r="A699" s="5"/>
      <c r="B699" s="8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2.5">
      <c r="A700" s="5"/>
      <c r="B700" s="8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2.5">
      <c r="A701" s="5"/>
      <c r="B701" s="8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2.5">
      <c r="A702" s="5"/>
      <c r="B702" s="8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2.5">
      <c r="A703" s="5"/>
      <c r="B703" s="8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2.5">
      <c r="A704" s="5"/>
      <c r="B704" s="8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2.5">
      <c r="A705" s="5"/>
      <c r="B705" s="8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2.5">
      <c r="A706" s="5"/>
      <c r="B706" s="8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2.5">
      <c r="A707" s="5"/>
      <c r="B707" s="8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2.5">
      <c r="A708" s="5"/>
      <c r="B708" s="8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2.5">
      <c r="A709" s="5"/>
      <c r="B709" s="8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2.5">
      <c r="A710" s="5"/>
      <c r="B710" s="8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2.5">
      <c r="A711" s="5"/>
      <c r="B711" s="8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2.5">
      <c r="A712" s="5"/>
      <c r="B712" s="8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2.5">
      <c r="A713" s="5"/>
      <c r="B713" s="8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2.5">
      <c r="A714" s="5"/>
      <c r="B714" s="8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2.5">
      <c r="A715" s="5"/>
      <c r="B715" s="8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2.5">
      <c r="A716" s="5"/>
      <c r="B716" s="8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2.5">
      <c r="A717" s="5"/>
      <c r="B717" s="8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2.5">
      <c r="A718" s="5"/>
      <c r="B718" s="8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2.5">
      <c r="A719" s="5"/>
      <c r="B719" s="8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2.5">
      <c r="A720" s="5"/>
      <c r="B720" s="8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2.5">
      <c r="A721" s="5"/>
      <c r="B721" s="8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2.5">
      <c r="A722" s="5"/>
      <c r="B722" s="8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2.5">
      <c r="A723" s="5"/>
      <c r="B723" s="8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2.5">
      <c r="A724" s="5"/>
      <c r="B724" s="8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2.5">
      <c r="A725" s="5"/>
      <c r="B725" s="8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2.5">
      <c r="A726" s="5"/>
      <c r="B726" s="8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2.5">
      <c r="A727" s="5"/>
      <c r="B727" s="8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2.5">
      <c r="A728" s="5"/>
      <c r="B728" s="8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2.5">
      <c r="A729" s="5"/>
      <c r="B729" s="8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2.5">
      <c r="A730" s="5"/>
      <c r="B730" s="8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2.5">
      <c r="A731" s="5"/>
      <c r="B731" s="8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2.5">
      <c r="A732" s="5"/>
      <c r="B732" s="8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2.5">
      <c r="A733" s="5"/>
      <c r="B733" s="8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2.5">
      <c r="A734" s="5"/>
      <c r="B734" s="8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2.5">
      <c r="A735" s="5"/>
      <c r="B735" s="8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2.5">
      <c r="A736" s="5"/>
      <c r="B736" s="8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2.5">
      <c r="A737" s="5"/>
      <c r="B737" s="8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2.5">
      <c r="A738" s="5"/>
      <c r="B738" s="8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2.5">
      <c r="A739" s="5"/>
      <c r="B739" s="8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2.5">
      <c r="A740" s="5"/>
      <c r="B740" s="8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2.5">
      <c r="A741" s="5"/>
      <c r="B741" s="8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2.5">
      <c r="A742" s="5"/>
      <c r="B742" s="8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2.5">
      <c r="A743" s="5"/>
      <c r="B743" s="8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2.5">
      <c r="A744" s="5"/>
      <c r="B744" s="8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2.5">
      <c r="A745" s="5"/>
      <c r="B745" s="8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2.5">
      <c r="A746" s="5"/>
      <c r="B746" s="8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2.5">
      <c r="A747" s="5"/>
      <c r="B747" s="8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2.5">
      <c r="A748" s="5"/>
      <c r="B748" s="8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2.5">
      <c r="A749" s="5"/>
      <c r="B749" s="8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2.5">
      <c r="A750" s="5"/>
      <c r="B750" s="8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2.5">
      <c r="A751" s="5"/>
      <c r="B751" s="8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2.5">
      <c r="A752" s="5"/>
      <c r="B752" s="8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2.5">
      <c r="A753" s="5"/>
      <c r="B753" s="8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2.5">
      <c r="A754" s="5"/>
      <c r="B754" s="8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2.5">
      <c r="A755" s="5"/>
      <c r="B755" s="8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2.5">
      <c r="A756" s="5"/>
      <c r="B756" s="8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2.5">
      <c r="A757" s="5"/>
      <c r="B757" s="8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2.5">
      <c r="A758" s="5"/>
      <c r="B758" s="8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2.5">
      <c r="A759" s="5"/>
      <c r="B759" s="8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2.5">
      <c r="A760" s="5"/>
      <c r="B760" s="8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2.5">
      <c r="A761" s="5"/>
      <c r="B761" s="8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2.5">
      <c r="A762" s="5"/>
      <c r="B762" s="8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2.5">
      <c r="A763" s="5"/>
      <c r="B763" s="8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2.5">
      <c r="A764" s="5"/>
      <c r="B764" s="8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2.5">
      <c r="A765" s="5"/>
      <c r="B765" s="8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2.5">
      <c r="A766" s="5"/>
      <c r="B766" s="8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2.5">
      <c r="A767" s="5"/>
      <c r="B767" s="8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2.5">
      <c r="A768" s="5"/>
      <c r="B768" s="8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2.5">
      <c r="A769" s="5"/>
      <c r="B769" s="8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2.5">
      <c r="A770" s="5"/>
      <c r="B770" s="8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2.5">
      <c r="A771" s="5"/>
      <c r="B771" s="8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2.5">
      <c r="A772" s="5"/>
      <c r="B772" s="8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2.5">
      <c r="A773" s="5"/>
      <c r="B773" s="8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2.5">
      <c r="A774" s="5"/>
      <c r="B774" s="8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2.5">
      <c r="A775" s="5"/>
      <c r="B775" s="8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2.5">
      <c r="A776" s="5"/>
      <c r="B776" s="8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2.5">
      <c r="A777" s="5"/>
      <c r="B777" s="8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2.5">
      <c r="A778" s="5"/>
      <c r="B778" s="8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2.5">
      <c r="A779" s="5"/>
      <c r="B779" s="8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2.5">
      <c r="A780" s="5"/>
      <c r="B780" s="8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2.5">
      <c r="A781" s="5"/>
      <c r="B781" s="8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2.5">
      <c r="A782" s="5"/>
      <c r="B782" s="8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2.5">
      <c r="A783" s="5"/>
      <c r="B783" s="8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2.5">
      <c r="A784" s="5"/>
      <c r="B784" s="8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2.5">
      <c r="A785" s="5"/>
      <c r="B785" s="8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2.5">
      <c r="A786" s="5"/>
      <c r="B786" s="8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2.5">
      <c r="A787" s="5"/>
      <c r="B787" s="8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2.5">
      <c r="A788" s="5"/>
      <c r="B788" s="8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2.5">
      <c r="A789" s="5"/>
      <c r="B789" s="8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2.5">
      <c r="A790" s="5"/>
      <c r="B790" s="8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2.5">
      <c r="A791" s="5"/>
      <c r="B791" s="8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2.5">
      <c r="A792" s="5"/>
      <c r="B792" s="8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2.5">
      <c r="A793" s="5"/>
      <c r="B793" s="8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2.5">
      <c r="A794" s="5"/>
      <c r="B794" s="8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2.5">
      <c r="A795" s="5"/>
      <c r="B795" s="8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2.5">
      <c r="A796" s="5"/>
      <c r="B796" s="8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2.5">
      <c r="A797" s="5"/>
      <c r="B797" s="8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2.5">
      <c r="A798" s="5"/>
      <c r="B798" s="8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2.5">
      <c r="A799" s="5"/>
      <c r="B799" s="8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2.5">
      <c r="A800" s="5"/>
      <c r="B800" s="8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2.5">
      <c r="A801" s="5"/>
      <c r="B801" s="8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2.5">
      <c r="A802" s="5"/>
      <c r="B802" s="8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2.5">
      <c r="A803" s="5"/>
      <c r="B803" s="8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2.5">
      <c r="A804" s="5"/>
      <c r="B804" s="8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2.5">
      <c r="A805" s="5"/>
      <c r="B805" s="8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2.5">
      <c r="A806" s="5"/>
      <c r="B806" s="8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2.5">
      <c r="A807" s="5"/>
      <c r="B807" s="8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2.5">
      <c r="A808" s="5"/>
      <c r="B808" s="8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2.5">
      <c r="A809" s="5"/>
      <c r="B809" s="8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2.5">
      <c r="A810" s="5"/>
      <c r="B810" s="8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2.5">
      <c r="A811" s="5"/>
      <c r="B811" s="8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2.5">
      <c r="A812" s="5"/>
      <c r="B812" s="8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2.5">
      <c r="A813" s="5"/>
      <c r="B813" s="8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2.5">
      <c r="A814" s="5"/>
      <c r="B814" s="8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2.5">
      <c r="A815" s="5"/>
      <c r="B815" s="8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2.5">
      <c r="A816" s="5"/>
      <c r="B816" s="8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2.5">
      <c r="A817" s="5"/>
      <c r="B817" s="8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2.5">
      <c r="A818" s="5"/>
      <c r="B818" s="8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2.5">
      <c r="A819" s="5"/>
      <c r="B819" s="8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2.5">
      <c r="A820" s="5"/>
      <c r="B820" s="8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2.5">
      <c r="A821" s="5"/>
      <c r="B821" s="8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2.5">
      <c r="A822" s="5"/>
      <c r="B822" s="8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2.5">
      <c r="A823" s="5"/>
      <c r="B823" s="8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2.5">
      <c r="A824" s="5"/>
      <c r="B824" s="8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2.5">
      <c r="A825" s="5"/>
      <c r="B825" s="8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2.5">
      <c r="A826" s="5"/>
      <c r="B826" s="8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2.5">
      <c r="A827" s="5"/>
      <c r="B827" s="8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2.5">
      <c r="A828" s="5"/>
      <c r="B828" s="8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2.5">
      <c r="A829" s="5"/>
      <c r="B829" s="8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2.5">
      <c r="A830" s="5"/>
      <c r="B830" s="8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2.5">
      <c r="A831" s="5"/>
      <c r="B831" s="8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2.5">
      <c r="A832" s="5"/>
      <c r="B832" s="8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2.5">
      <c r="A833" s="5"/>
      <c r="B833" s="8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2.5">
      <c r="A834" s="5"/>
      <c r="B834" s="8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2.5">
      <c r="A835" s="5"/>
      <c r="B835" s="8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2.5">
      <c r="A836" s="5"/>
      <c r="B836" s="8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2.5">
      <c r="A837" s="5"/>
      <c r="B837" s="8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2.5">
      <c r="A838" s="5"/>
      <c r="B838" s="8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2.5">
      <c r="A839" s="5"/>
      <c r="B839" s="8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2.5">
      <c r="A840" s="5"/>
      <c r="B840" s="8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2.5">
      <c r="A841" s="5"/>
      <c r="B841" s="8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2.5">
      <c r="A842" s="5"/>
      <c r="B842" s="8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2.5">
      <c r="A843" s="5"/>
      <c r="B843" s="8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2.5">
      <c r="A844" s="5"/>
      <c r="B844" s="8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2.5">
      <c r="A845" s="5"/>
      <c r="B845" s="8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2.5">
      <c r="A846" s="5"/>
      <c r="B846" s="8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2.5">
      <c r="A847" s="5"/>
      <c r="B847" s="8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2.5">
      <c r="A848" s="5"/>
      <c r="B848" s="8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2.5">
      <c r="A849" s="5"/>
      <c r="B849" s="8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2.5">
      <c r="A850" s="5"/>
      <c r="B850" s="8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2.5">
      <c r="A851" s="5"/>
      <c r="B851" s="8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2.5">
      <c r="A852" s="5"/>
      <c r="B852" s="8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2.5">
      <c r="A853" s="5"/>
      <c r="B853" s="8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2.5">
      <c r="A854" s="5"/>
      <c r="B854" s="8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2.5">
      <c r="A855" s="5"/>
      <c r="B855" s="8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2.5">
      <c r="A856" s="5"/>
      <c r="B856" s="8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2.5">
      <c r="A857" s="5"/>
      <c r="B857" s="8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2.5">
      <c r="A858" s="5"/>
      <c r="B858" s="8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2.5">
      <c r="A859" s="5"/>
      <c r="B859" s="8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2.5">
      <c r="A860" s="5"/>
      <c r="B860" s="8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2.5">
      <c r="A861" s="5"/>
      <c r="B861" s="8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2.5">
      <c r="A862" s="5"/>
      <c r="B862" s="8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2.5">
      <c r="A863" s="5"/>
      <c r="B863" s="8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2.5">
      <c r="A864" s="5"/>
      <c r="B864" s="8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2.5">
      <c r="A865" s="5"/>
      <c r="B865" s="8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2.5">
      <c r="A866" s="5"/>
      <c r="B866" s="8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2.5">
      <c r="A867" s="5"/>
      <c r="B867" s="8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2.5">
      <c r="A868" s="5"/>
      <c r="B868" s="8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2.5">
      <c r="A869" s="5"/>
      <c r="B869" s="8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2.5">
      <c r="A870" s="5"/>
      <c r="B870" s="8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2.5">
      <c r="A871" s="5"/>
      <c r="B871" s="8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2.5">
      <c r="A872" s="5"/>
      <c r="B872" s="8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2.5">
      <c r="A873" s="5"/>
      <c r="B873" s="8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2.5">
      <c r="A874" s="5"/>
      <c r="B874" s="8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2.5">
      <c r="A875" s="5"/>
      <c r="B875" s="8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2.5">
      <c r="A876" s="5"/>
      <c r="B876" s="8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2.5">
      <c r="A877" s="5"/>
      <c r="B877" s="8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2.5">
      <c r="A878" s="5"/>
      <c r="B878" s="8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2.5">
      <c r="A879" s="5"/>
      <c r="B879" s="8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2.5">
      <c r="A880" s="5"/>
      <c r="B880" s="8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2.5">
      <c r="A881" s="5"/>
      <c r="B881" s="8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2.5">
      <c r="A882" s="5"/>
      <c r="B882" s="8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2.5">
      <c r="A883" s="5"/>
      <c r="B883" s="8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2.5">
      <c r="A884" s="5"/>
      <c r="B884" s="8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2.5">
      <c r="A885" s="5"/>
      <c r="B885" s="8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2.5">
      <c r="A886" s="5"/>
      <c r="B886" s="8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2.5">
      <c r="A887" s="5"/>
      <c r="B887" s="8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2.5">
      <c r="A888" s="5"/>
      <c r="B888" s="8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2.5">
      <c r="A889" s="5"/>
      <c r="B889" s="8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2.5">
      <c r="A890" s="5"/>
      <c r="B890" s="8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2.5">
      <c r="A891" s="5"/>
      <c r="B891" s="8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2.5">
      <c r="A892" s="5"/>
      <c r="B892" s="8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2.5">
      <c r="A893" s="5"/>
      <c r="B893" s="8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2.5">
      <c r="A894" s="5"/>
      <c r="B894" s="8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2.5">
      <c r="A895" s="5"/>
      <c r="B895" s="8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2.5">
      <c r="A896" s="5"/>
      <c r="B896" s="8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2.5">
      <c r="A897" s="5"/>
      <c r="B897" s="8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2.5">
      <c r="A898" s="5"/>
      <c r="B898" s="8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2.5">
      <c r="A899" s="5"/>
      <c r="B899" s="8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2.5">
      <c r="A900" s="5"/>
      <c r="B900" s="8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2.5">
      <c r="A901" s="5"/>
      <c r="B901" s="8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2.5">
      <c r="A902" s="5"/>
      <c r="B902" s="8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2.5">
      <c r="A903" s="5"/>
      <c r="B903" s="8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2.5">
      <c r="A904" s="5"/>
      <c r="B904" s="8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2.5">
      <c r="A905" s="5"/>
      <c r="B905" s="8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2.5">
      <c r="A906" s="5"/>
      <c r="B906" s="8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2.5">
      <c r="A907" s="5"/>
      <c r="B907" s="8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2.5">
      <c r="A908" s="5"/>
      <c r="B908" s="8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2.5">
      <c r="A909" s="5"/>
      <c r="B909" s="8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2.5">
      <c r="A910" s="5"/>
      <c r="B910" s="8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2.5">
      <c r="A911" s="5"/>
      <c r="B911" s="8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2.5">
      <c r="A912" s="5"/>
      <c r="B912" s="8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2.5">
      <c r="A913" s="5"/>
      <c r="B913" s="8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2.5">
      <c r="A914" s="5"/>
      <c r="B914" s="8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2.5">
      <c r="A915" s="5"/>
      <c r="B915" s="8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2.5">
      <c r="A916" s="5"/>
      <c r="B916" s="8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2.5">
      <c r="A917" s="5"/>
      <c r="B917" s="8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2.5">
      <c r="A918" s="5"/>
      <c r="B918" s="8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2.5">
      <c r="A919" s="5"/>
      <c r="B919" s="8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2.5">
      <c r="A920" s="5"/>
      <c r="B920" s="8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2.5">
      <c r="A921" s="5"/>
      <c r="B921" s="8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2.5">
      <c r="A922" s="5"/>
      <c r="B922" s="8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2.5">
      <c r="A923" s="5"/>
      <c r="B923" s="8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2.5">
      <c r="A924" s="5"/>
      <c r="B924" s="8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2.5">
      <c r="A925" s="5"/>
      <c r="B925" s="8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2.5">
      <c r="A926" s="5"/>
      <c r="B926" s="8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2.5">
      <c r="A927" s="5"/>
      <c r="B927" s="8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2.5">
      <c r="A928" s="5"/>
      <c r="B928" s="8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2.5">
      <c r="A929" s="5"/>
      <c r="B929" s="8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2.5">
      <c r="A930" s="5"/>
      <c r="B930" s="8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2.5">
      <c r="A931" s="5"/>
      <c r="B931" s="8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2.5">
      <c r="A932" s="5"/>
      <c r="B932" s="8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2.5">
      <c r="A933" s="5"/>
      <c r="B933" s="8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2.5">
      <c r="A934" s="5"/>
      <c r="B934" s="8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2.5">
      <c r="A935" s="5"/>
      <c r="B935" s="8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2.5">
      <c r="A936" s="5"/>
      <c r="B936" s="8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2.5">
      <c r="A937" s="5"/>
      <c r="B937" s="8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2.5">
      <c r="A938" s="5"/>
      <c r="B938" s="8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2.5">
      <c r="A939" s="5"/>
      <c r="B939" s="8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2.5">
      <c r="A940" s="5"/>
      <c r="B940" s="8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2.5">
      <c r="A941" s="5"/>
      <c r="B941" s="8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2.5">
      <c r="A942" s="5"/>
      <c r="B942" s="8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2.5">
      <c r="A943" s="5"/>
      <c r="B943" s="8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2.5">
      <c r="A944" s="5"/>
      <c r="B944" s="8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2.5">
      <c r="A945" s="5"/>
      <c r="B945" s="8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2.5">
      <c r="A946" s="5"/>
      <c r="B946" s="8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2.5">
      <c r="A947" s="5"/>
      <c r="B947" s="8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2.5">
      <c r="A948" s="5"/>
      <c r="B948" s="8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2.5">
      <c r="A949" s="5"/>
      <c r="B949" s="8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2.5">
      <c r="A950" s="5"/>
      <c r="B950" s="8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2.5">
      <c r="A951" s="5"/>
      <c r="B951" s="8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2.5">
      <c r="A952" s="5"/>
      <c r="B952" s="8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2.5">
      <c r="A953" s="5"/>
      <c r="B953" s="8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2.5">
      <c r="A954" s="5"/>
      <c r="B954" s="8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2.5">
      <c r="A955" s="5"/>
      <c r="B955" s="8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2.5">
      <c r="A956" s="5"/>
      <c r="B956" s="8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2.5">
      <c r="A957" s="5"/>
      <c r="B957" s="8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2.5">
      <c r="A958" s="5"/>
      <c r="B958" s="8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2.5">
      <c r="A959" s="5"/>
      <c r="B959" s="8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2.5">
      <c r="A960" s="5"/>
      <c r="B960" s="8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2.5">
      <c r="A961" s="5"/>
      <c r="B961" s="8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2.5">
      <c r="A962" s="5"/>
      <c r="B962" s="8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2.5">
      <c r="A963" s="5"/>
      <c r="B963" s="8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2.5">
      <c r="A964" s="5"/>
      <c r="B964" s="8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2.5">
      <c r="A965" s="5"/>
      <c r="B965" s="8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2.5">
      <c r="A966" s="5"/>
      <c r="B966" s="8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2.5">
      <c r="A967" s="5"/>
      <c r="B967" s="8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2.5">
      <c r="A968" s="5"/>
      <c r="B968" s="8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2.5">
      <c r="A969" s="5"/>
      <c r="B969" s="8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2.5">
      <c r="A970" s="5"/>
      <c r="B970" s="8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2.5">
      <c r="A971" s="5"/>
      <c r="B971" s="8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2.5">
      <c r="A972" s="5"/>
      <c r="B972" s="8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2.5">
      <c r="A973" s="5"/>
      <c r="B973" s="8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2.5">
      <c r="A974" s="5"/>
      <c r="B974" s="8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2.5">
      <c r="A975" s="5"/>
      <c r="B975" s="8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2.5">
      <c r="A976" s="5"/>
      <c r="B976" s="8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2.5">
      <c r="A977" s="5"/>
      <c r="B977" s="8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2.5">
      <c r="A978" s="5"/>
      <c r="B978" s="8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2.5">
      <c r="A979" s="5"/>
      <c r="B979" s="8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2.5">
      <c r="A980" s="5"/>
      <c r="B980" s="8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2.5">
      <c r="A981" s="5"/>
      <c r="B981" s="8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2.5">
      <c r="A982" s="5"/>
      <c r="B982" s="8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2.5">
      <c r="A983" s="5"/>
      <c r="B983" s="8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2.5">
      <c r="A984" s="5"/>
      <c r="B984" s="8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2.5">
      <c r="A985" s="5"/>
      <c r="B985" s="8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2.5">
      <c r="A986" s="5"/>
      <c r="B986" s="8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2.5">
      <c r="A987" s="5"/>
      <c r="B987" s="8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2.5">
      <c r="A988" s="5"/>
      <c r="B988" s="8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2.5">
      <c r="A989" s="5"/>
      <c r="B989" s="8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2.5">
      <c r="A990" s="5"/>
      <c r="B990" s="8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2.5">
      <c r="A991" s="5"/>
      <c r="B991" s="8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2.5">
      <c r="A992" s="5"/>
      <c r="B992" s="8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2.5">
      <c r="A993" s="5"/>
      <c r="B993" s="8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2.5">
      <c r="A994" s="5"/>
      <c r="B994" s="8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2.5">
      <c r="A995" s="5"/>
      <c r="B995" s="8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2.5">
      <c r="A996" s="5"/>
      <c r="B996" s="8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2.5">
      <c r="A997" s="5"/>
      <c r="B997" s="8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2.5">
      <c r="A998" s="5"/>
      <c r="B998" s="8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2.5">
      <c r="A999" s="5"/>
      <c r="B999" s="8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12.5">
      <c r="A1000" s="5"/>
      <c r="B1000" s="8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ht="12.5">
      <c r="A1001" s="5"/>
      <c r="B1001" s="84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ht="12.5">
      <c r="A1002" s="5"/>
      <c r="B1002" s="84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ht="12.5">
      <c r="A1003" s="5"/>
      <c r="B1003" s="84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ht="12.5">
      <c r="A1004" s="5"/>
      <c r="B1004" s="84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ht="12.5">
      <c r="A1005" s="5"/>
      <c r="B1005" s="84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ht="12.5">
      <c r="A1006" s="5"/>
      <c r="B1006" s="84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</sheetData>
  <mergeCells count="49">
    <mergeCell ref="C27:C29"/>
    <mergeCell ref="D29:E29"/>
    <mergeCell ref="B9:B19"/>
    <mergeCell ref="C9:C19"/>
    <mergeCell ref="D19:E19"/>
    <mergeCell ref="B20:B26"/>
    <mergeCell ref="C20:C26"/>
    <mergeCell ref="D26:E26"/>
    <mergeCell ref="B27:B29"/>
    <mergeCell ref="T6:T8"/>
    <mergeCell ref="U6:U8"/>
    <mergeCell ref="H7:I7"/>
    <mergeCell ref="J7:K7"/>
    <mergeCell ref="B5:C5"/>
    <mergeCell ref="B6:B8"/>
    <mergeCell ref="C6:C8"/>
    <mergeCell ref="D6:D8"/>
    <mergeCell ref="E6:E8"/>
    <mergeCell ref="F6:F8"/>
    <mergeCell ref="G6:G8"/>
    <mergeCell ref="L7:M7"/>
    <mergeCell ref="N7:O7"/>
    <mergeCell ref="P7:Q7"/>
    <mergeCell ref="R7:S7"/>
    <mergeCell ref="H6:K6"/>
    <mergeCell ref="L6:O6"/>
    <mergeCell ref="P6:S6"/>
    <mergeCell ref="B2:U2"/>
    <mergeCell ref="N3:P3"/>
    <mergeCell ref="Q3:S3"/>
    <mergeCell ref="T3:U3"/>
    <mergeCell ref="N4:P4"/>
    <mergeCell ref="Q4:S4"/>
    <mergeCell ref="T4:U4"/>
    <mergeCell ref="B60:B62"/>
    <mergeCell ref="C60:C62"/>
    <mergeCell ref="D62:E62"/>
    <mergeCell ref="B30:B36"/>
    <mergeCell ref="C30:C36"/>
    <mergeCell ref="D36:E36"/>
    <mergeCell ref="B37:B44"/>
    <mergeCell ref="C37:C44"/>
    <mergeCell ref="D44:E44"/>
    <mergeCell ref="B45:B52"/>
    <mergeCell ref="C45:C52"/>
    <mergeCell ref="D52:E52"/>
    <mergeCell ref="B53:B59"/>
    <mergeCell ref="C53:C59"/>
    <mergeCell ref="D59:E59"/>
  </mergeCells>
  <phoneticPr fontId="64" type="noConversion"/>
  <printOptions horizontalCentered="1" gridLines="1"/>
  <pageMargins left="0.7" right="0.7" top="0.75" bottom="0.75" header="0" footer="0"/>
  <pageSetup paperSize="9" pageOrder="overThenDown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  <pageSetUpPr fitToPage="1"/>
  </sheetPr>
  <dimension ref="A1:V993"/>
  <sheetViews>
    <sheetView workbookViewId="0">
      <selection activeCell="A4" sqref="A4:XFD4"/>
    </sheetView>
  </sheetViews>
  <sheetFormatPr defaultColWidth="12.6328125" defaultRowHeight="15.75" customHeight="1"/>
  <cols>
    <col min="1" max="1" width="4" customWidth="1"/>
    <col min="3" max="3" width="5.08984375" customWidth="1"/>
    <col min="4" max="4" width="27.36328125" customWidth="1"/>
    <col min="5" max="5" width="16.7265625" customWidth="1"/>
    <col min="6" max="6" width="5.6328125" customWidth="1"/>
    <col min="7" max="7" width="4.6328125" customWidth="1"/>
    <col min="8" max="19" width="7.08984375" customWidth="1"/>
    <col min="20" max="21" width="7.26953125" customWidth="1"/>
    <col min="22" max="22" width="4" customWidth="1"/>
  </cols>
  <sheetData>
    <row r="1" spans="1:22" ht="15.75" customHeight="1">
      <c r="A1" s="2"/>
      <c r="B1" s="3"/>
      <c r="C1" s="4"/>
      <c r="D1" s="4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ht="15.75" customHeight="1">
      <c r="A2" s="4"/>
      <c r="B2" s="245" t="s">
        <v>1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5"/>
    </row>
    <row r="3" spans="1:22" ht="15.75" customHeight="1">
      <c r="A3" s="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246" t="s">
        <v>2</v>
      </c>
      <c r="O3" s="211"/>
      <c r="P3" s="207"/>
      <c r="Q3" s="246" t="s">
        <v>3</v>
      </c>
      <c r="R3" s="211"/>
      <c r="S3" s="207"/>
      <c r="T3" s="246" t="s">
        <v>4</v>
      </c>
      <c r="U3" s="207"/>
      <c r="V3" s="5"/>
    </row>
    <row r="4" spans="1:22" ht="30" customHeight="1">
      <c r="A4" s="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47" t="s">
        <v>5</v>
      </c>
      <c r="O4" s="211"/>
      <c r="P4" s="207"/>
      <c r="Q4" s="248" t="s">
        <v>110</v>
      </c>
      <c r="R4" s="211"/>
      <c r="S4" s="207"/>
      <c r="T4" s="249">
        <v>2027</v>
      </c>
      <c r="U4" s="207"/>
      <c r="V4" s="5"/>
    </row>
    <row r="5" spans="1:22" ht="15.75" customHeight="1">
      <c r="A5" s="4"/>
      <c r="B5" s="253"/>
      <c r="C5" s="226"/>
      <c r="D5" s="4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22"/>
      <c r="R5" s="4"/>
      <c r="S5" s="4"/>
      <c r="T5" s="4"/>
      <c r="U5" s="4"/>
      <c r="V5" s="5"/>
    </row>
    <row r="6" spans="1:22" ht="15.75" customHeight="1">
      <c r="A6" s="4"/>
      <c r="B6" s="254" t="s">
        <v>8</v>
      </c>
      <c r="C6" s="254" t="s">
        <v>9</v>
      </c>
      <c r="D6" s="254" t="s">
        <v>10</v>
      </c>
      <c r="E6" s="254" t="s">
        <v>11</v>
      </c>
      <c r="F6" s="254" t="s">
        <v>12</v>
      </c>
      <c r="G6" s="301" t="s">
        <v>13</v>
      </c>
      <c r="H6" s="251" t="s">
        <v>14</v>
      </c>
      <c r="I6" s="211"/>
      <c r="J6" s="211"/>
      <c r="K6" s="207"/>
      <c r="L6" s="251" t="s">
        <v>15</v>
      </c>
      <c r="M6" s="211"/>
      <c r="N6" s="211"/>
      <c r="O6" s="207"/>
      <c r="P6" s="251" t="s">
        <v>16</v>
      </c>
      <c r="Q6" s="211"/>
      <c r="R6" s="211"/>
      <c r="S6" s="207"/>
      <c r="T6" s="252" t="s">
        <v>17</v>
      </c>
      <c r="U6" s="252" t="s">
        <v>18</v>
      </c>
      <c r="V6" s="5"/>
    </row>
    <row r="7" spans="1:22" ht="15.75" customHeight="1">
      <c r="A7" s="4"/>
      <c r="B7" s="213"/>
      <c r="C7" s="213"/>
      <c r="D7" s="213"/>
      <c r="E7" s="213"/>
      <c r="F7" s="213"/>
      <c r="G7" s="302"/>
      <c r="H7" s="250" t="s">
        <v>19</v>
      </c>
      <c r="I7" s="207"/>
      <c r="J7" s="250" t="s">
        <v>20</v>
      </c>
      <c r="K7" s="207"/>
      <c r="L7" s="250" t="s">
        <v>19</v>
      </c>
      <c r="M7" s="207"/>
      <c r="N7" s="250" t="s">
        <v>20</v>
      </c>
      <c r="O7" s="207"/>
      <c r="P7" s="250" t="s">
        <v>19</v>
      </c>
      <c r="Q7" s="207"/>
      <c r="R7" s="250" t="s">
        <v>20</v>
      </c>
      <c r="S7" s="207"/>
      <c r="T7" s="213"/>
      <c r="U7" s="213"/>
      <c r="V7" s="5"/>
    </row>
    <row r="8" spans="1:22" ht="15.75" customHeight="1">
      <c r="A8" s="4"/>
      <c r="B8" s="209"/>
      <c r="C8" s="209"/>
      <c r="D8" s="209"/>
      <c r="E8" s="209"/>
      <c r="F8" s="209"/>
      <c r="G8" s="303"/>
      <c r="H8" s="304" t="s">
        <v>21</v>
      </c>
      <c r="I8" s="304" t="s">
        <v>22</v>
      </c>
      <c r="J8" s="304" t="s">
        <v>21</v>
      </c>
      <c r="K8" s="304" t="s">
        <v>22</v>
      </c>
      <c r="L8" s="304" t="s">
        <v>21</v>
      </c>
      <c r="M8" s="304" t="s">
        <v>22</v>
      </c>
      <c r="N8" s="304" t="s">
        <v>21</v>
      </c>
      <c r="O8" s="304" t="s">
        <v>22</v>
      </c>
      <c r="P8" s="304" t="s">
        <v>21</v>
      </c>
      <c r="Q8" s="304" t="s">
        <v>22</v>
      </c>
      <c r="R8" s="304" t="s">
        <v>21</v>
      </c>
      <c r="S8" s="304" t="s">
        <v>22</v>
      </c>
      <c r="T8" s="209"/>
      <c r="U8" s="209"/>
      <c r="V8" s="5"/>
    </row>
    <row r="9" spans="1:22" ht="15.75" customHeight="1">
      <c r="A9" s="7"/>
      <c r="B9" s="255" t="s">
        <v>23</v>
      </c>
      <c r="C9" s="255">
        <v>8</v>
      </c>
      <c r="D9" s="8" t="s">
        <v>24</v>
      </c>
      <c r="E9" s="8" t="s">
        <v>25</v>
      </c>
      <c r="F9" s="8">
        <v>16</v>
      </c>
      <c r="G9" s="9">
        <v>3</v>
      </c>
      <c r="H9" s="9">
        <v>1</v>
      </c>
      <c r="I9" s="9">
        <v>16</v>
      </c>
      <c r="J9" s="10"/>
      <c r="K9" s="10"/>
      <c r="L9" s="10"/>
      <c r="M9" s="10"/>
      <c r="N9" s="10"/>
      <c r="O9" s="10"/>
      <c r="P9" s="11"/>
      <c r="Q9" s="11"/>
      <c r="R9" s="10"/>
      <c r="S9" s="10"/>
      <c r="T9" s="12">
        <v>1</v>
      </c>
      <c r="U9" s="12">
        <v>16</v>
      </c>
      <c r="V9" s="5"/>
    </row>
    <row r="10" spans="1:22" ht="15.75" customHeight="1">
      <c r="A10" s="5"/>
      <c r="B10" s="213"/>
      <c r="C10" s="213"/>
      <c r="D10" s="13" t="s">
        <v>26</v>
      </c>
      <c r="E10" s="13" t="s">
        <v>27</v>
      </c>
      <c r="F10" s="8">
        <v>16</v>
      </c>
      <c r="G10" s="9">
        <v>3</v>
      </c>
      <c r="H10" s="9">
        <v>1</v>
      </c>
      <c r="I10" s="9">
        <v>16</v>
      </c>
      <c r="J10" s="10"/>
      <c r="K10" s="10"/>
      <c r="L10" s="10"/>
      <c r="M10" s="10"/>
      <c r="N10" s="10"/>
      <c r="O10" s="10"/>
      <c r="P10" s="10"/>
      <c r="Q10" s="10"/>
      <c r="R10" s="11"/>
      <c r="S10" s="11"/>
      <c r="T10" s="12">
        <v>1</v>
      </c>
      <c r="U10" s="12">
        <v>16</v>
      </c>
      <c r="V10" s="5"/>
    </row>
    <row r="11" spans="1:22" ht="15.75" customHeight="1">
      <c r="A11" s="5"/>
      <c r="B11" s="213"/>
      <c r="C11" s="213"/>
      <c r="D11" s="13" t="s">
        <v>28</v>
      </c>
      <c r="E11" s="13" t="s">
        <v>29</v>
      </c>
      <c r="F11" s="8">
        <v>24</v>
      </c>
      <c r="G11" s="9">
        <v>4</v>
      </c>
      <c r="H11" s="9">
        <v>1</v>
      </c>
      <c r="I11" s="9">
        <v>16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>
        <v>1</v>
      </c>
      <c r="U11" s="12">
        <v>16</v>
      </c>
      <c r="V11" s="5"/>
    </row>
    <row r="12" spans="1:22" ht="15.75" customHeight="1">
      <c r="A12" s="5"/>
      <c r="B12" s="213"/>
      <c r="C12" s="213"/>
      <c r="D12" s="13" t="s">
        <v>30</v>
      </c>
      <c r="E12" s="13" t="s">
        <v>31</v>
      </c>
      <c r="F12" s="8">
        <v>24</v>
      </c>
      <c r="G12" s="9">
        <v>4</v>
      </c>
      <c r="H12" s="9">
        <v>1</v>
      </c>
      <c r="I12" s="9">
        <v>16</v>
      </c>
      <c r="J12" s="12"/>
      <c r="K12" s="12"/>
      <c r="L12" s="11"/>
      <c r="M12" s="10"/>
      <c r="N12" s="11"/>
      <c r="O12" s="10"/>
      <c r="P12" s="10"/>
      <c r="Q12" s="10"/>
      <c r="R12" s="10"/>
      <c r="S12" s="10"/>
      <c r="T12" s="12">
        <v>2</v>
      </c>
      <c r="U12" s="12">
        <v>32</v>
      </c>
      <c r="V12" s="5"/>
    </row>
    <row r="13" spans="1:22" ht="15.75" customHeight="1">
      <c r="A13" s="5"/>
      <c r="B13" s="213"/>
      <c r="C13" s="213"/>
      <c r="D13" s="13" t="s">
        <v>32</v>
      </c>
      <c r="E13" s="13" t="s">
        <v>33</v>
      </c>
      <c r="F13" s="8">
        <v>16</v>
      </c>
      <c r="G13" s="9">
        <v>3</v>
      </c>
      <c r="H13" s="10"/>
      <c r="I13" s="10"/>
      <c r="J13" s="9">
        <v>2</v>
      </c>
      <c r="K13" s="9">
        <v>32</v>
      </c>
      <c r="L13" s="11"/>
      <c r="M13" s="10"/>
      <c r="N13" s="11"/>
      <c r="O13" s="10"/>
      <c r="P13" s="10"/>
      <c r="Q13" s="10"/>
      <c r="R13" s="10"/>
      <c r="S13" s="10"/>
      <c r="T13" s="12">
        <v>1</v>
      </c>
      <c r="U13" s="12">
        <v>16</v>
      </c>
      <c r="V13" s="5"/>
    </row>
    <row r="14" spans="1:22" ht="15.75" customHeight="1">
      <c r="A14" s="5"/>
      <c r="B14" s="213"/>
      <c r="C14" s="213"/>
      <c r="D14" s="297" t="s">
        <v>34</v>
      </c>
      <c r="E14" s="13" t="s">
        <v>35</v>
      </c>
      <c r="F14" s="8">
        <v>16</v>
      </c>
      <c r="G14" s="9">
        <v>2</v>
      </c>
      <c r="H14" s="10"/>
      <c r="I14" s="10"/>
      <c r="J14" s="9">
        <v>1</v>
      </c>
      <c r="K14" s="9">
        <v>16</v>
      </c>
      <c r="L14" s="11"/>
      <c r="M14" s="11"/>
      <c r="N14" s="11"/>
      <c r="O14" s="11"/>
      <c r="P14" s="11"/>
      <c r="Q14" s="11"/>
      <c r="R14" s="11"/>
      <c r="S14" s="11"/>
      <c r="T14" s="12">
        <v>1</v>
      </c>
      <c r="U14" s="12">
        <v>16</v>
      </c>
      <c r="V14" s="5" t="str">
        <f>IF(C41=T46,"","오류")</f>
        <v/>
      </c>
    </row>
    <row r="15" spans="1:22" ht="15.75" customHeight="1">
      <c r="A15" s="5"/>
      <c r="B15" s="213"/>
      <c r="C15" s="213"/>
      <c r="D15" s="13" t="s">
        <v>36</v>
      </c>
      <c r="E15" s="13" t="s">
        <v>37</v>
      </c>
      <c r="F15" s="8">
        <v>16</v>
      </c>
      <c r="G15" s="9">
        <v>3</v>
      </c>
      <c r="H15" s="10"/>
      <c r="I15" s="10"/>
      <c r="J15" s="9">
        <v>1</v>
      </c>
      <c r="K15" s="9">
        <v>16</v>
      </c>
      <c r="L15" s="11"/>
      <c r="M15" s="10"/>
      <c r="N15" s="11"/>
      <c r="O15" s="10"/>
      <c r="P15" s="10"/>
      <c r="Q15" s="10"/>
      <c r="R15" s="10"/>
      <c r="S15" s="10"/>
      <c r="T15" s="12">
        <v>1</v>
      </c>
      <c r="U15" s="12">
        <v>16</v>
      </c>
      <c r="V15" s="5"/>
    </row>
    <row r="16" spans="1:22" ht="15.75" customHeight="1">
      <c r="A16" s="5"/>
      <c r="B16" s="213"/>
      <c r="C16" s="213"/>
      <c r="D16" s="14" t="s">
        <v>38</v>
      </c>
      <c r="E16" s="14" t="s">
        <v>39</v>
      </c>
      <c r="F16" s="15">
        <v>24</v>
      </c>
      <c r="G16" s="16">
        <v>4</v>
      </c>
      <c r="H16" s="17"/>
      <c r="I16" s="17"/>
      <c r="J16" s="17"/>
      <c r="K16" s="17"/>
      <c r="L16" s="17"/>
      <c r="M16" s="17"/>
      <c r="N16" s="17"/>
      <c r="O16" s="17"/>
      <c r="P16" s="16"/>
      <c r="Q16" s="16"/>
      <c r="R16" s="16"/>
      <c r="S16" s="16"/>
      <c r="T16" s="18">
        <f t="shared" ref="T16:T18" si="0">SUM(H16,J16,L16,N16,P16,R16)</f>
        <v>0</v>
      </c>
      <c r="U16" s="16">
        <f t="shared" ref="U16:U18" si="1">T16*16</f>
        <v>0</v>
      </c>
      <c r="V16" s="5"/>
    </row>
    <row r="17" spans="1:22" ht="15.75" customHeight="1">
      <c r="A17" s="5"/>
      <c r="B17" s="213"/>
      <c r="C17" s="213"/>
      <c r="D17" s="14" t="s">
        <v>40</v>
      </c>
      <c r="E17" s="14" t="s">
        <v>41</v>
      </c>
      <c r="F17" s="15">
        <v>16</v>
      </c>
      <c r="G17" s="16">
        <v>3</v>
      </c>
      <c r="H17" s="17"/>
      <c r="I17" s="17"/>
      <c r="J17" s="17"/>
      <c r="K17" s="17"/>
      <c r="L17" s="17"/>
      <c r="M17" s="17"/>
      <c r="N17" s="17"/>
      <c r="O17" s="17"/>
      <c r="P17" s="16"/>
      <c r="Q17" s="16"/>
      <c r="R17" s="16"/>
      <c r="S17" s="16"/>
      <c r="T17" s="18">
        <f t="shared" si="0"/>
        <v>0</v>
      </c>
      <c r="U17" s="16">
        <f t="shared" si="1"/>
        <v>0</v>
      </c>
      <c r="V17" s="5"/>
    </row>
    <row r="18" spans="1:22" ht="15.75" customHeight="1">
      <c r="A18" s="5"/>
      <c r="B18" s="213"/>
      <c r="C18" s="213"/>
      <c r="D18" s="14" t="s">
        <v>42</v>
      </c>
      <c r="E18" s="14" t="s">
        <v>43</v>
      </c>
      <c r="F18" s="15">
        <v>24</v>
      </c>
      <c r="G18" s="16">
        <v>4</v>
      </c>
      <c r="H18" s="17"/>
      <c r="I18" s="17"/>
      <c r="J18" s="17"/>
      <c r="K18" s="17"/>
      <c r="L18" s="17"/>
      <c r="M18" s="17"/>
      <c r="N18" s="17"/>
      <c r="O18" s="17"/>
      <c r="P18" s="16"/>
      <c r="Q18" s="16"/>
      <c r="R18" s="16"/>
      <c r="S18" s="16"/>
      <c r="T18" s="18">
        <f t="shared" si="0"/>
        <v>0</v>
      </c>
      <c r="U18" s="16">
        <f t="shared" si="1"/>
        <v>0</v>
      </c>
      <c r="V18" s="5"/>
    </row>
    <row r="19" spans="1:22" ht="15.75" customHeight="1">
      <c r="A19" s="5"/>
      <c r="B19" s="209"/>
      <c r="C19" s="209"/>
      <c r="D19" s="243" t="s">
        <v>44</v>
      </c>
      <c r="E19" s="207"/>
      <c r="F19" s="19"/>
      <c r="G19" s="20"/>
      <c r="H19" s="21">
        <f t="shared" ref="H19:U19" si="2">SUM(H9:H15)</f>
        <v>4</v>
      </c>
      <c r="I19" s="21">
        <f t="shared" si="2"/>
        <v>64</v>
      </c>
      <c r="J19" s="21">
        <f t="shared" si="2"/>
        <v>4</v>
      </c>
      <c r="K19" s="21">
        <f t="shared" si="2"/>
        <v>64</v>
      </c>
      <c r="L19" s="21">
        <f t="shared" si="2"/>
        <v>0</v>
      </c>
      <c r="M19" s="21">
        <f t="shared" si="2"/>
        <v>0</v>
      </c>
      <c r="N19" s="21">
        <f t="shared" si="2"/>
        <v>0</v>
      </c>
      <c r="O19" s="21">
        <f t="shared" si="2"/>
        <v>0</v>
      </c>
      <c r="P19" s="21">
        <f t="shared" si="2"/>
        <v>0</v>
      </c>
      <c r="Q19" s="21">
        <f t="shared" si="2"/>
        <v>0</v>
      </c>
      <c r="R19" s="21">
        <f t="shared" si="2"/>
        <v>0</v>
      </c>
      <c r="S19" s="21">
        <f t="shared" si="2"/>
        <v>0</v>
      </c>
      <c r="T19" s="21">
        <f t="shared" si="2"/>
        <v>8</v>
      </c>
      <c r="U19" s="21">
        <f t="shared" si="2"/>
        <v>128</v>
      </c>
      <c r="V19" s="5"/>
    </row>
    <row r="20" spans="1:22" ht="15.75" customHeight="1">
      <c r="A20" s="22"/>
      <c r="B20" s="244" t="s">
        <v>79</v>
      </c>
      <c r="C20" s="242">
        <v>19</v>
      </c>
      <c r="D20" s="62" t="s">
        <v>80</v>
      </c>
      <c r="E20" s="101" t="s">
        <v>81</v>
      </c>
      <c r="F20" s="25">
        <v>30</v>
      </c>
      <c r="G20" s="26">
        <v>3</v>
      </c>
      <c r="H20" s="27"/>
      <c r="I20" s="27"/>
      <c r="J20" s="27"/>
      <c r="K20" s="27"/>
      <c r="L20" s="28">
        <v>3</v>
      </c>
      <c r="M20" s="39">
        <f t="shared" ref="M20:M23" si="3">L20*16</f>
        <v>48</v>
      </c>
      <c r="N20" s="27"/>
      <c r="O20" s="27"/>
      <c r="P20" s="37"/>
      <c r="Q20" s="37"/>
      <c r="R20" s="37"/>
      <c r="S20" s="37"/>
      <c r="T20" s="29">
        <f t="shared" ref="T20:T27" si="4">SUM(H20,J20,L20,N20,P20,R20)</f>
        <v>3</v>
      </c>
      <c r="U20" s="26">
        <f t="shared" ref="U20:U27" si="5">T20*16</f>
        <v>48</v>
      </c>
      <c r="V20" s="5"/>
    </row>
    <row r="21" spans="1:22" ht="15.75" customHeight="1">
      <c r="A21" s="4"/>
      <c r="B21" s="213"/>
      <c r="C21" s="213"/>
      <c r="D21" s="62" t="s">
        <v>87</v>
      </c>
      <c r="E21" s="53" t="s">
        <v>88</v>
      </c>
      <c r="F21" s="54">
        <v>50</v>
      </c>
      <c r="G21" s="26">
        <v>2</v>
      </c>
      <c r="H21" s="27"/>
      <c r="I21" s="27"/>
      <c r="J21" s="27"/>
      <c r="K21" s="27"/>
      <c r="L21" s="28">
        <v>3</v>
      </c>
      <c r="M21" s="39">
        <f t="shared" si="3"/>
        <v>48</v>
      </c>
      <c r="N21" s="27"/>
      <c r="O21" s="27"/>
      <c r="P21" s="37"/>
      <c r="Q21" s="37"/>
      <c r="R21" s="37"/>
      <c r="S21" s="37"/>
      <c r="T21" s="29">
        <f t="shared" si="4"/>
        <v>3</v>
      </c>
      <c r="U21" s="26">
        <f t="shared" si="5"/>
        <v>48</v>
      </c>
      <c r="V21" s="5"/>
    </row>
    <row r="22" spans="1:22" ht="15.75" customHeight="1">
      <c r="A22" s="4"/>
      <c r="B22" s="213"/>
      <c r="C22" s="213"/>
      <c r="D22" s="62" t="s">
        <v>89</v>
      </c>
      <c r="E22" s="53" t="s">
        <v>90</v>
      </c>
      <c r="F22" s="54">
        <v>40</v>
      </c>
      <c r="G22" s="26">
        <v>3</v>
      </c>
      <c r="H22" s="27"/>
      <c r="I22" s="27"/>
      <c r="J22" s="27"/>
      <c r="K22" s="27"/>
      <c r="L22" s="28">
        <v>3</v>
      </c>
      <c r="M22" s="39">
        <f t="shared" si="3"/>
        <v>48</v>
      </c>
      <c r="N22" s="27"/>
      <c r="O22" s="27"/>
      <c r="P22" s="37"/>
      <c r="Q22" s="37"/>
      <c r="R22" s="37"/>
      <c r="S22" s="37"/>
      <c r="T22" s="29">
        <f t="shared" si="4"/>
        <v>3</v>
      </c>
      <c r="U22" s="26">
        <f t="shared" si="5"/>
        <v>48</v>
      </c>
      <c r="V22" s="5"/>
    </row>
    <row r="23" spans="1:22" ht="15.75" customHeight="1">
      <c r="A23" s="4"/>
      <c r="B23" s="213"/>
      <c r="C23" s="213"/>
      <c r="D23" s="62" t="s">
        <v>91</v>
      </c>
      <c r="E23" s="53" t="s">
        <v>92</v>
      </c>
      <c r="F23" s="54">
        <v>40</v>
      </c>
      <c r="G23" s="26">
        <v>3</v>
      </c>
      <c r="H23" s="27"/>
      <c r="I23" s="27"/>
      <c r="J23" s="27"/>
      <c r="K23" s="27"/>
      <c r="L23" s="28">
        <v>3</v>
      </c>
      <c r="M23" s="39">
        <f t="shared" si="3"/>
        <v>48</v>
      </c>
      <c r="N23" s="27"/>
      <c r="O23" s="27"/>
      <c r="P23" s="37"/>
      <c r="Q23" s="37"/>
      <c r="R23" s="37"/>
      <c r="S23" s="37"/>
      <c r="T23" s="29">
        <f t="shared" si="4"/>
        <v>3</v>
      </c>
      <c r="U23" s="26">
        <f t="shared" si="5"/>
        <v>48</v>
      </c>
      <c r="V23" s="5" t="str">
        <f>IF(C35=T40,"","오류")</f>
        <v/>
      </c>
    </row>
    <row r="24" spans="1:22" ht="15.75" customHeight="1">
      <c r="A24" s="4"/>
      <c r="B24" s="213"/>
      <c r="C24" s="213"/>
      <c r="D24" s="62" t="s">
        <v>243</v>
      </c>
      <c r="E24" s="53" t="s">
        <v>244</v>
      </c>
      <c r="F24" s="54">
        <v>60</v>
      </c>
      <c r="G24" s="26">
        <v>4</v>
      </c>
      <c r="H24" s="27"/>
      <c r="I24" s="27"/>
      <c r="J24" s="27"/>
      <c r="K24" s="27"/>
      <c r="L24" s="27"/>
      <c r="M24" s="27"/>
      <c r="N24" s="28">
        <v>2</v>
      </c>
      <c r="O24" s="39">
        <f t="shared" ref="O24:O26" si="6">N24*16</f>
        <v>32</v>
      </c>
      <c r="P24" s="37"/>
      <c r="Q24" s="37"/>
      <c r="R24" s="37"/>
      <c r="S24" s="37"/>
      <c r="T24" s="29">
        <f t="shared" si="4"/>
        <v>2</v>
      </c>
      <c r="U24" s="26">
        <f t="shared" si="5"/>
        <v>32</v>
      </c>
      <c r="V24" s="5"/>
    </row>
    <row r="25" spans="1:22" ht="15.75" customHeight="1">
      <c r="A25" s="4"/>
      <c r="B25" s="213"/>
      <c r="C25" s="213"/>
      <c r="D25" s="62" t="s">
        <v>245</v>
      </c>
      <c r="E25" s="53" t="s">
        <v>246</v>
      </c>
      <c r="F25" s="54">
        <v>30</v>
      </c>
      <c r="G25" s="26">
        <v>3</v>
      </c>
      <c r="H25" s="27"/>
      <c r="I25" s="27"/>
      <c r="J25" s="27"/>
      <c r="K25" s="27"/>
      <c r="L25" s="27"/>
      <c r="M25" s="27"/>
      <c r="N25" s="28">
        <v>2</v>
      </c>
      <c r="O25" s="39">
        <f t="shared" si="6"/>
        <v>32</v>
      </c>
      <c r="P25" s="37"/>
      <c r="Q25" s="37"/>
      <c r="R25" s="37"/>
      <c r="S25" s="37"/>
      <c r="T25" s="29">
        <f t="shared" si="4"/>
        <v>2</v>
      </c>
      <c r="U25" s="26">
        <f t="shared" si="5"/>
        <v>32</v>
      </c>
      <c r="V25" s="5"/>
    </row>
    <row r="26" spans="1:22" ht="15.75" customHeight="1">
      <c r="A26" s="4"/>
      <c r="B26" s="213"/>
      <c r="C26" s="213"/>
      <c r="D26" s="62" t="s">
        <v>248</v>
      </c>
      <c r="E26" s="53" t="s">
        <v>249</v>
      </c>
      <c r="F26" s="54">
        <v>60</v>
      </c>
      <c r="G26" s="26">
        <v>5</v>
      </c>
      <c r="H26" s="27"/>
      <c r="I26" s="27"/>
      <c r="J26" s="27"/>
      <c r="K26" s="27"/>
      <c r="L26" s="27"/>
      <c r="M26" s="27"/>
      <c r="N26" s="28">
        <v>3</v>
      </c>
      <c r="O26" s="39">
        <f t="shared" si="6"/>
        <v>48</v>
      </c>
      <c r="P26" s="37"/>
      <c r="Q26" s="37"/>
      <c r="R26" s="37"/>
      <c r="S26" s="37"/>
      <c r="T26" s="29">
        <f t="shared" si="4"/>
        <v>3</v>
      </c>
      <c r="U26" s="26">
        <f t="shared" si="5"/>
        <v>48</v>
      </c>
      <c r="V26" s="5"/>
    </row>
    <row r="27" spans="1:22" ht="15.75" customHeight="1">
      <c r="A27" s="4"/>
      <c r="B27" s="213"/>
      <c r="C27" s="213"/>
      <c r="D27" s="45" t="s">
        <v>83</v>
      </c>
      <c r="E27" s="111" t="s">
        <v>84</v>
      </c>
      <c r="F27" s="15">
        <v>30</v>
      </c>
      <c r="G27" s="16">
        <v>3</v>
      </c>
      <c r="H27" s="58"/>
      <c r="I27" s="58"/>
      <c r="J27" s="58"/>
      <c r="K27" s="58"/>
      <c r="L27" s="58"/>
      <c r="M27" s="58"/>
      <c r="N27" s="58"/>
      <c r="O27" s="58"/>
      <c r="P27" s="59"/>
      <c r="Q27" s="59"/>
      <c r="R27" s="59"/>
      <c r="S27" s="59"/>
      <c r="T27" s="61">
        <f t="shared" si="4"/>
        <v>0</v>
      </c>
      <c r="U27" s="59">
        <f t="shared" si="5"/>
        <v>0</v>
      </c>
      <c r="V27" s="5"/>
    </row>
    <row r="28" spans="1:22" ht="15.75" customHeight="1">
      <c r="A28" s="4"/>
      <c r="B28" s="209"/>
      <c r="C28" s="209"/>
      <c r="D28" s="243" t="s">
        <v>44</v>
      </c>
      <c r="E28" s="207"/>
      <c r="F28" s="20"/>
      <c r="G28" s="20"/>
      <c r="H28" s="21">
        <f t="shared" ref="H28:U28" si="7">SUM(H20:H27)</f>
        <v>0</v>
      </c>
      <c r="I28" s="21">
        <f t="shared" si="7"/>
        <v>0</v>
      </c>
      <c r="J28" s="21">
        <f t="shared" si="7"/>
        <v>0</v>
      </c>
      <c r="K28" s="21">
        <f t="shared" si="7"/>
        <v>0</v>
      </c>
      <c r="L28" s="21">
        <f t="shared" si="7"/>
        <v>12</v>
      </c>
      <c r="M28" s="21">
        <f t="shared" si="7"/>
        <v>192</v>
      </c>
      <c r="N28" s="73">
        <f t="shared" si="7"/>
        <v>7</v>
      </c>
      <c r="O28" s="73">
        <f t="shared" si="7"/>
        <v>112</v>
      </c>
      <c r="P28" s="21">
        <f t="shared" si="7"/>
        <v>0</v>
      </c>
      <c r="Q28" s="21">
        <f t="shared" si="7"/>
        <v>0</v>
      </c>
      <c r="R28" s="21">
        <f t="shared" si="7"/>
        <v>0</v>
      </c>
      <c r="S28" s="21">
        <f t="shared" si="7"/>
        <v>0</v>
      </c>
      <c r="T28" s="21">
        <f t="shared" si="7"/>
        <v>19</v>
      </c>
      <c r="U28" s="21">
        <f t="shared" si="7"/>
        <v>304</v>
      </c>
      <c r="V28" s="5"/>
    </row>
    <row r="29" spans="1:22" ht="15.75" customHeight="1">
      <c r="A29" s="22"/>
      <c r="B29" s="244" t="s">
        <v>257</v>
      </c>
      <c r="C29" s="242">
        <v>25</v>
      </c>
      <c r="D29" s="23" t="s">
        <v>259</v>
      </c>
      <c r="E29" s="114" t="s">
        <v>261</v>
      </c>
      <c r="F29" s="25">
        <v>50</v>
      </c>
      <c r="G29" s="26">
        <v>3</v>
      </c>
      <c r="H29" s="27"/>
      <c r="I29" s="27"/>
      <c r="J29" s="27"/>
      <c r="K29" s="27"/>
      <c r="L29" s="37"/>
      <c r="M29" s="38"/>
      <c r="N29" s="28">
        <v>4</v>
      </c>
      <c r="O29" s="39">
        <f t="shared" ref="O29:O30" si="8">N29*16</f>
        <v>64</v>
      </c>
      <c r="P29" s="27"/>
      <c r="Q29" s="27"/>
      <c r="R29" s="27"/>
      <c r="S29" s="27"/>
      <c r="T29" s="29">
        <f t="shared" ref="T29:T33" si="9">SUM(H29,J29,L29,N29,P29,R29)</f>
        <v>4</v>
      </c>
      <c r="U29" s="26">
        <f t="shared" ref="U29:U33" si="10">T29*16</f>
        <v>64</v>
      </c>
      <c r="V29" s="5" t="str">
        <f>IF(C29=T34,"","오류")</f>
        <v/>
      </c>
    </row>
    <row r="30" spans="1:22" ht="15.75" customHeight="1">
      <c r="A30" s="4"/>
      <c r="B30" s="213"/>
      <c r="C30" s="213"/>
      <c r="D30" s="62" t="s">
        <v>283</v>
      </c>
      <c r="E30" s="33" t="s">
        <v>284</v>
      </c>
      <c r="F30" s="25">
        <v>50</v>
      </c>
      <c r="G30" s="26">
        <v>3</v>
      </c>
      <c r="H30" s="27"/>
      <c r="I30" s="27"/>
      <c r="J30" s="27"/>
      <c r="K30" s="27"/>
      <c r="L30" s="37"/>
      <c r="M30" s="38"/>
      <c r="N30" s="28">
        <v>4</v>
      </c>
      <c r="O30" s="39">
        <f t="shared" si="8"/>
        <v>64</v>
      </c>
      <c r="P30" s="27"/>
      <c r="Q30" s="27"/>
      <c r="R30" s="27"/>
      <c r="S30" s="27"/>
      <c r="T30" s="29">
        <f t="shared" si="9"/>
        <v>4</v>
      </c>
      <c r="U30" s="26">
        <f t="shared" si="10"/>
        <v>64</v>
      </c>
      <c r="V30" s="5"/>
    </row>
    <row r="31" spans="1:22" ht="15.75" customHeight="1">
      <c r="A31" s="4"/>
      <c r="B31" s="213"/>
      <c r="C31" s="213"/>
      <c r="D31" s="100" t="s">
        <v>285</v>
      </c>
      <c r="E31" s="144" t="s">
        <v>286</v>
      </c>
      <c r="F31" s="145">
        <v>30</v>
      </c>
      <c r="G31" s="26">
        <v>4</v>
      </c>
      <c r="H31" s="27"/>
      <c r="I31" s="27"/>
      <c r="J31" s="27"/>
      <c r="K31" s="27"/>
      <c r="L31" s="26"/>
      <c r="M31" s="27"/>
      <c r="N31" s="37"/>
      <c r="O31" s="38"/>
      <c r="P31" s="26">
        <v>9</v>
      </c>
      <c r="Q31" s="27">
        <f t="shared" ref="Q31:Q33" si="11">P31*16</f>
        <v>144</v>
      </c>
      <c r="R31" s="27"/>
      <c r="S31" s="27"/>
      <c r="T31" s="29">
        <f t="shared" si="9"/>
        <v>9</v>
      </c>
      <c r="U31" s="26">
        <f t="shared" si="10"/>
        <v>144</v>
      </c>
      <c r="V31" s="5"/>
    </row>
    <row r="32" spans="1:22" ht="15.75" customHeight="1">
      <c r="A32" s="4"/>
      <c r="B32" s="213"/>
      <c r="C32" s="213"/>
      <c r="D32" s="100" t="s">
        <v>289</v>
      </c>
      <c r="E32" s="144" t="s">
        <v>290</v>
      </c>
      <c r="F32" s="145">
        <v>60</v>
      </c>
      <c r="G32" s="26">
        <v>4</v>
      </c>
      <c r="H32" s="27"/>
      <c r="I32" s="27"/>
      <c r="J32" s="27"/>
      <c r="K32" s="27"/>
      <c r="L32" s="26"/>
      <c r="M32" s="27"/>
      <c r="N32" s="37"/>
      <c r="O32" s="38"/>
      <c r="P32" s="26">
        <v>4</v>
      </c>
      <c r="Q32" s="27">
        <f t="shared" si="11"/>
        <v>64</v>
      </c>
      <c r="R32" s="27"/>
      <c r="S32" s="27"/>
      <c r="T32" s="29">
        <f t="shared" si="9"/>
        <v>4</v>
      </c>
      <c r="U32" s="26">
        <f t="shared" si="10"/>
        <v>64</v>
      </c>
      <c r="V32" s="5"/>
    </row>
    <row r="33" spans="1:22" ht="15.75" customHeight="1">
      <c r="A33" s="4"/>
      <c r="B33" s="213"/>
      <c r="C33" s="213"/>
      <c r="D33" s="100" t="s">
        <v>292</v>
      </c>
      <c r="E33" s="144" t="s">
        <v>293</v>
      </c>
      <c r="F33" s="145">
        <v>40</v>
      </c>
      <c r="G33" s="26">
        <v>5</v>
      </c>
      <c r="H33" s="27"/>
      <c r="I33" s="27"/>
      <c r="J33" s="27"/>
      <c r="K33" s="27"/>
      <c r="L33" s="26"/>
      <c r="M33" s="27"/>
      <c r="N33" s="37"/>
      <c r="O33" s="38"/>
      <c r="P33" s="26">
        <v>4</v>
      </c>
      <c r="Q33" s="27">
        <f t="shared" si="11"/>
        <v>64</v>
      </c>
      <c r="R33" s="27"/>
      <c r="S33" s="27"/>
      <c r="T33" s="29">
        <f t="shared" si="9"/>
        <v>4</v>
      </c>
      <c r="U33" s="26">
        <f t="shared" si="10"/>
        <v>64</v>
      </c>
      <c r="V33" s="5"/>
    </row>
    <row r="34" spans="1:22" ht="15.75" customHeight="1">
      <c r="A34" s="4"/>
      <c r="B34" s="209"/>
      <c r="C34" s="209"/>
      <c r="D34" s="243" t="s">
        <v>44</v>
      </c>
      <c r="E34" s="207"/>
      <c r="F34" s="19"/>
      <c r="G34" s="20"/>
      <c r="H34" s="21">
        <f t="shared" ref="H34:M34" si="12">SUM(H29:H30)</f>
        <v>0</v>
      </c>
      <c r="I34" s="21">
        <f t="shared" si="12"/>
        <v>0</v>
      </c>
      <c r="J34" s="21">
        <f t="shared" si="12"/>
        <v>0</v>
      </c>
      <c r="K34" s="21">
        <f t="shared" si="12"/>
        <v>0</v>
      </c>
      <c r="L34" s="21">
        <f t="shared" si="12"/>
        <v>0</v>
      </c>
      <c r="M34" s="21">
        <f t="shared" si="12"/>
        <v>0</v>
      </c>
      <c r="N34" s="21">
        <f t="shared" ref="N34:U34" si="13">SUM(N29:N33)</f>
        <v>8</v>
      </c>
      <c r="O34" s="21">
        <f t="shared" si="13"/>
        <v>128</v>
      </c>
      <c r="P34" s="21">
        <f t="shared" si="13"/>
        <v>17</v>
      </c>
      <c r="Q34" s="21">
        <f t="shared" si="13"/>
        <v>272</v>
      </c>
      <c r="R34" s="21">
        <f t="shared" si="13"/>
        <v>0</v>
      </c>
      <c r="S34" s="21">
        <f t="shared" si="13"/>
        <v>0</v>
      </c>
      <c r="T34" s="21">
        <f t="shared" si="13"/>
        <v>25</v>
      </c>
      <c r="U34" s="21">
        <f t="shared" si="13"/>
        <v>400</v>
      </c>
      <c r="V34" s="5"/>
    </row>
    <row r="35" spans="1:22" ht="15.75" customHeight="1">
      <c r="A35" s="22"/>
      <c r="B35" s="244" t="s">
        <v>281</v>
      </c>
      <c r="C35" s="242">
        <v>17</v>
      </c>
      <c r="D35" s="64" t="s">
        <v>298</v>
      </c>
      <c r="E35" s="64" t="s">
        <v>300</v>
      </c>
      <c r="F35" s="26">
        <v>40</v>
      </c>
      <c r="G35" s="26">
        <v>3</v>
      </c>
      <c r="H35" s="27"/>
      <c r="I35" s="27"/>
      <c r="J35" s="27"/>
      <c r="K35" s="27"/>
      <c r="L35" s="26"/>
      <c r="M35" s="27"/>
      <c r="N35" s="26"/>
      <c r="O35" s="27"/>
      <c r="P35" s="26">
        <v>3</v>
      </c>
      <c r="Q35" s="27">
        <f t="shared" ref="Q35:Q36" si="14">P35*16</f>
        <v>48</v>
      </c>
      <c r="R35" s="27"/>
      <c r="S35" s="27"/>
      <c r="T35" s="29">
        <f t="shared" ref="T35:T39" si="15">SUM(H35,J35,L35,N35,P35,R35)</f>
        <v>3</v>
      </c>
      <c r="U35" s="26">
        <f t="shared" ref="U35:U39" si="16">T35*16</f>
        <v>48</v>
      </c>
      <c r="V35" s="5"/>
    </row>
    <row r="36" spans="1:22" ht="15.75" customHeight="1">
      <c r="A36" s="4"/>
      <c r="B36" s="213"/>
      <c r="C36" s="213"/>
      <c r="D36" s="64" t="s">
        <v>304</v>
      </c>
      <c r="E36" s="64" t="s">
        <v>305</v>
      </c>
      <c r="F36" s="26">
        <v>30</v>
      </c>
      <c r="G36" s="26">
        <v>2</v>
      </c>
      <c r="H36" s="27"/>
      <c r="I36" s="27"/>
      <c r="J36" s="27"/>
      <c r="K36" s="27"/>
      <c r="L36" s="26"/>
      <c r="M36" s="27"/>
      <c r="N36" s="26"/>
      <c r="O36" s="27"/>
      <c r="P36" s="26">
        <v>2</v>
      </c>
      <c r="Q36" s="27">
        <f t="shared" si="14"/>
        <v>32</v>
      </c>
      <c r="R36" s="27"/>
      <c r="S36" s="27"/>
      <c r="T36" s="29">
        <f t="shared" si="15"/>
        <v>2</v>
      </c>
      <c r="U36" s="26">
        <f t="shared" si="16"/>
        <v>32</v>
      </c>
      <c r="V36" s="5"/>
    </row>
    <row r="37" spans="1:22" ht="15.75" customHeight="1">
      <c r="A37" s="4"/>
      <c r="B37" s="213"/>
      <c r="C37" s="213"/>
      <c r="D37" s="64" t="s">
        <v>306</v>
      </c>
      <c r="E37" s="64" t="s">
        <v>307</v>
      </c>
      <c r="F37" s="26">
        <v>20</v>
      </c>
      <c r="G37" s="26">
        <v>2</v>
      </c>
      <c r="H37" s="27"/>
      <c r="I37" s="27"/>
      <c r="J37" s="27"/>
      <c r="K37" s="27"/>
      <c r="L37" s="26"/>
      <c r="M37" s="27"/>
      <c r="N37" s="26"/>
      <c r="O37" s="27"/>
      <c r="P37" s="27"/>
      <c r="Q37" s="27"/>
      <c r="R37" s="26">
        <v>4</v>
      </c>
      <c r="S37" s="27">
        <f t="shared" ref="S37:S39" si="17">R37*16</f>
        <v>64</v>
      </c>
      <c r="T37" s="29">
        <f t="shared" si="15"/>
        <v>4</v>
      </c>
      <c r="U37" s="26">
        <f t="shared" si="16"/>
        <v>64</v>
      </c>
      <c r="V37" s="5"/>
    </row>
    <row r="38" spans="1:22" ht="15.75" customHeight="1">
      <c r="A38" s="4"/>
      <c r="B38" s="213"/>
      <c r="C38" s="213"/>
      <c r="D38" s="64" t="s">
        <v>308</v>
      </c>
      <c r="E38" s="64" t="s">
        <v>309</v>
      </c>
      <c r="F38" s="26">
        <v>30</v>
      </c>
      <c r="G38" s="26">
        <v>5</v>
      </c>
      <c r="H38" s="27"/>
      <c r="I38" s="27"/>
      <c r="J38" s="27"/>
      <c r="K38" s="27"/>
      <c r="L38" s="26"/>
      <c r="M38" s="27"/>
      <c r="N38" s="26"/>
      <c r="O38" s="27"/>
      <c r="P38" s="27"/>
      <c r="Q38" s="27"/>
      <c r="R38" s="26">
        <v>4</v>
      </c>
      <c r="S38" s="27">
        <f t="shared" si="17"/>
        <v>64</v>
      </c>
      <c r="T38" s="29">
        <f t="shared" si="15"/>
        <v>4</v>
      </c>
      <c r="U38" s="26">
        <f t="shared" si="16"/>
        <v>64</v>
      </c>
      <c r="V38" s="5" t="str">
        <f>IF(C20=T28,"","오류")</f>
        <v/>
      </c>
    </row>
    <row r="39" spans="1:22" ht="15.75" customHeight="1">
      <c r="A39" s="4"/>
      <c r="B39" s="213"/>
      <c r="C39" s="213"/>
      <c r="D39" s="64" t="s">
        <v>310</v>
      </c>
      <c r="E39" s="64" t="s">
        <v>311</v>
      </c>
      <c r="F39" s="26">
        <v>20</v>
      </c>
      <c r="G39" s="26">
        <v>2</v>
      </c>
      <c r="H39" s="27"/>
      <c r="I39" s="27"/>
      <c r="J39" s="27"/>
      <c r="K39" s="27"/>
      <c r="L39" s="26"/>
      <c r="M39" s="27"/>
      <c r="N39" s="26"/>
      <c r="O39" s="27"/>
      <c r="P39" s="27"/>
      <c r="Q39" s="27"/>
      <c r="R39" s="26">
        <v>4</v>
      </c>
      <c r="S39" s="27">
        <f t="shared" si="17"/>
        <v>64</v>
      </c>
      <c r="T39" s="29">
        <f t="shared" si="15"/>
        <v>4</v>
      </c>
      <c r="U39" s="26">
        <f t="shared" si="16"/>
        <v>64</v>
      </c>
      <c r="V39" s="5"/>
    </row>
    <row r="40" spans="1:22" ht="15.75" customHeight="1">
      <c r="A40" s="4"/>
      <c r="B40" s="209"/>
      <c r="C40" s="209"/>
      <c r="D40" s="243" t="s">
        <v>44</v>
      </c>
      <c r="E40" s="207"/>
      <c r="F40" s="20"/>
      <c r="G40" s="20"/>
      <c r="H40" s="21">
        <f t="shared" ref="H40:O40" si="18">SUM(H35:H36)</f>
        <v>0</v>
      </c>
      <c r="I40" s="21">
        <f t="shared" si="18"/>
        <v>0</v>
      </c>
      <c r="J40" s="21">
        <f t="shared" si="18"/>
        <v>0</v>
      </c>
      <c r="K40" s="21">
        <f t="shared" si="18"/>
        <v>0</v>
      </c>
      <c r="L40" s="21">
        <f t="shared" si="18"/>
        <v>0</v>
      </c>
      <c r="M40" s="21">
        <f t="shared" si="18"/>
        <v>0</v>
      </c>
      <c r="N40" s="21">
        <f t="shared" si="18"/>
        <v>0</v>
      </c>
      <c r="O40" s="21">
        <f t="shared" si="18"/>
        <v>0</v>
      </c>
      <c r="P40" s="21">
        <f t="shared" ref="P40:U40" si="19">SUM(P35:P39)</f>
        <v>5</v>
      </c>
      <c r="Q40" s="21">
        <f t="shared" si="19"/>
        <v>80</v>
      </c>
      <c r="R40" s="21">
        <f t="shared" si="19"/>
        <v>12</v>
      </c>
      <c r="S40" s="21">
        <f t="shared" si="19"/>
        <v>192</v>
      </c>
      <c r="T40" s="21">
        <f t="shared" si="19"/>
        <v>17</v>
      </c>
      <c r="U40" s="21">
        <f t="shared" si="19"/>
        <v>272</v>
      </c>
      <c r="V40" s="5"/>
    </row>
    <row r="41" spans="1:22" ht="15.75" customHeight="1">
      <c r="A41" s="22"/>
      <c r="B41" s="244" t="s">
        <v>122</v>
      </c>
      <c r="C41" s="242">
        <v>21</v>
      </c>
      <c r="D41" s="50" t="s">
        <v>312</v>
      </c>
      <c r="E41" s="50" t="s">
        <v>313</v>
      </c>
      <c r="F41" s="50">
        <v>100</v>
      </c>
      <c r="G41" s="50">
        <v>3</v>
      </c>
      <c r="H41" s="27"/>
      <c r="I41" s="27"/>
      <c r="J41" s="27"/>
      <c r="K41" s="27"/>
      <c r="L41" s="27"/>
      <c r="M41" s="27"/>
      <c r="N41" s="27"/>
      <c r="O41" s="27"/>
      <c r="P41" s="69"/>
      <c r="Q41" s="64"/>
      <c r="R41" s="26">
        <v>7</v>
      </c>
      <c r="S41" s="26">
        <f t="shared" ref="S41:S45" si="20">R41*16</f>
        <v>112</v>
      </c>
      <c r="T41" s="29">
        <f t="shared" ref="T41:T45" si="21">SUM(H41,J41,L41,N41,P41,R41)</f>
        <v>7</v>
      </c>
      <c r="U41" s="26">
        <f t="shared" ref="U41:U45" si="22">T41*16</f>
        <v>112</v>
      </c>
      <c r="V41" s="5"/>
    </row>
    <row r="42" spans="1:22" ht="15.75" customHeight="1">
      <c r="A42" s="4"/>
      <c r="B42" s="213"/>
      <c r="C42" s="213"/>
      <c r="D42" s="50" t="s">
        <v>123</v>
      </c>
      <c r="E42" s="50" t="s">
        <v>124</v>
      </c>
      <c r="F42" s="50">
        <v>40</v>
      </c>
      <c r="G42" s="50">
        <v>2</v>
      </c>
      <c r="H42" s="27"/>
      <c r="I42" s="27"/>
      <c r="J42" s="27"/>
      <c r="K42" s="27"/>
      <c r="L42" s="27"/>
      <c r="M42" s="27"/>
      <c r="N42" s="27"/>
      <c r="O42" s="27"/>
      <c r="P42" s="26">
        <v>2</v>
      </c>
      <c r="Q42" s="64">
        <f t="shared" ref="Q42:Q43" si="23">P42*16</f>
        <v>32</v>
      </c>
      <c r="R42" s="26"/>
      <c r="S42" s="26">
        <f t="shared" si="20"/>
        <v>0</v>
      </c>
      <c r="T42" s="29">
        <f t="shared" si="21"/>
        <v>2</v>
      </c>
      <c r="U42" s="26">
        <f t="shared" si="22"/>
        <v>32</v>
      </c>
      <c r="V42" s="5"/>
    </row>
    <row r="43" spans="1:22" ht="15.75" customHeight="1">
      <c r="A43" s="4"/>
      <c r="B43" s="213"/>
      <c r="C43" s="213"/>
      <c r="D43" s="67" t="s">
        <v>135</v>
      </c>
      <c r="E43" s="67" t="s">
        <v>136</v>
      </c>
      <c r="F43" s="50">
        <v>30</v>
      </c>
      <c r="G43" s="50">
        <v>2</v>
      </c>
      <c r="H43" s="27"/>
      <c r="I43" s="27"/>
      <c r="J43" s="27"/>
      <c r="K43" s="27"/>
      <c r="L43" s="27"/>
      <c r="M43" s="27"/>
      <c r="N43" s="27"/>
      <c r="O43" s="27"/>
      <c r="P43" s="26">
        <v>2</v>
      </c>
      <c r="Q43" s="64">
        <f t="shared" si="23"/>
        <v>32</v>
      </c>
      <c r="R43" s="26"/>
      <c r="S43" s="26">
        <f t="shared" si="20"/>
        <v>0</v>
      </c>
      <c r="T43" s="29">
        <f t="shared" si="21"/>
        <v>2</v>
      </c>
      <c r="U43" s="26">
        <f t="shared" si="22"/>
        <v>32</v>
      </c>
      <c r="V43" s="5"/>
    </row>
    <row r="44" spans="1:22" ht="15.75" customHeight="1">
      <c r="A44" s="4"/>
      <c r="B44" s="213"/>
      <c r="C44" s="213"/>
      <c r="D44" s="68" t="s">
        <v>138</v>
      </c>
      <c r="E44" s="68" t="s">
        <v>140</v>
      </c>
      <c r="F44" s="50">
        <v>30</v>
      </c>
      <c r="G44" s="50">
        <v>2</v>
      </c>
      <c r="H44" s="27"/>
      <c r="I44" s="27"/>
      <c r="J44" s="27"/>
      <c r="K44" s="27"/>
      <c r="L44" s="27"/>
      <c r="M44" s="27"/>
      <c r="N44" s="27"/>
      <c r="O44" s="27"/>
      <c r="P44" s="69"/>
      <c r="Q44" s="64"/>
      <c r="R44" s="26">
        <v>5</v>
      </c>
      <c r="S44" s="26">
        <f t="shared" si="20"/>
        <v>80</v>
      </c>
      <c r="T44" s="29">
        <f t="shared" si="21"/>
        <v>5</v>
      </c>
      <c r="U44" s="26">
        <f t="shared" si="22"/>
        <v>80</v>
      </c>
      <c r="V44" s="5"/>
    </row>
    <row r="45" spans="1:22" ht="15.75" customHeight="1">
      <c r="A45" s="4"/>
      <c r="B45" s="213"/>
      <c r="C45" s="213"/>
      <c r="D45" s="68" t="s">
        <v>143</v>
      </c>
      <c r="E45" s="68" t="s">
        <v>144</v>
      </c>
      <c r="F45" s="50">
        <v>30</v>
      </c>
      <c r="G45" s="50">
        <v>2</v>
      </c>
      <c r="H45" s="27"/>
      <c r="I45" s="27"/>
      <c r="J45" s="27"/>
      <c r="K45" s="27"/>
      <c r="L45" s="27"/>
      <c r="M45" s="27"/>
      <c r="N45" s="27"/>
      <c r="O45" s="27"/>
      <c r="P45" s="64"/>
      <c r="Q45" s="64"/>
      <c r="R45" s="26">
        <v>5</v>
      </c>
      <c r="S45" s="26">
        <f t="shared" si="20"/>
        <v>80</v>
      </c>
      <c r="T45" s="29">
        <f t="shared" si="21"/>
        <v>5</v>
      </c>
      <c r="U45" s="26">
        <f t="shared" si="22"/>
        <v>80</v>
      </c>
      <c r="V45" s="5"/>
    </row>
    <row r="46" spans="1:22" ht="15.75" customHeight="1">
      <c r="A46" s="4"/>
      <c r="B46" s="209"/>
      <c r="C46" s="209"/>
      <c r="D46" s="243" t="s">
        <v>44</v>
      </c>
      <c r="E46" s="207"/>
      <c r="F46" s="20"/>
      <c r="G46" s="20"/>
      <c r="H46" s="21">
        <f t="shared" ref="H46:U46" si="24">SUM(H41:H45)</f>
        <v>0</v>
      </c>
      <c r="I46" s="21">
        <f t="shared" si="24"/>
        <v>0</v>
      </c>
      <c r="J46" s="21">
        <f t="shared" si="24"/>
        <v>0</v>
      </c>
      <c r="K46" s="21">
        <f t="shared" si="24"/>
        <v>0</v>
      </c>
      <c r="L46" s="21">
        <f t="shared" si="24"/>
        <v>0</v>
      </c>
      <c r="M46" s="21">
        <f t="shared" si="24"/>
        <v>0</v>
      </c>
      <c r="N46" s="21">
        <f t="shared" si="24"/>
        <v>0</v>
      </c>
      <c r="O46" s="21">
        <f t="shared" si="24"/>
        <v>0</v>
      </c>
      <c r="P46" s="73">
        <f t="shared" si="24"/>
        <v>4</v>
      </c>
      <c r="Q46" s="73">
        <f t="shared" si="24"/>
        <v>64</v>
      </c>
      <c r="R46" s="21">
        <f t="shared" si="24"/>
        <v>17</v>
      </c>
      <c r="S46" s="21">
        <f t="shared" si="24"/>
        <v>272</v>
      </c>
      <c r="T46" s="21">
        <f t="shared" si="24"/>
        <v>21</v>
      </c>
      <c r="U46" s="21">
        <f t="shared" si="24"/>
        <v>336</v>
      </c>
      <c r="V46" s="5"/>
    </row>
    <row r="47" spans="1:22" ht="15.75" customHeight="1">
      <c r="V47" s="5"/>
    </row>
    <row r="48" spans="1:22" ht="15.75" customHeight="1">
      <c r="V48" s="5"/>
    </row>
    <row r="49" spans="22:22" ht="15.75" customHeight="1">
      <c r="V49" s="5"/>
    </row>
    <row r="50" spans="22:22" ht="15.75" customHeight="1">
      <c r="V50" s="5"/>
    </row>
    <row r="51" spans="22:22" ht="15.75" customHeight="1">
      <c r="V51" s="5"/>
    </row>
    <row r="52" spans="22:22" ht="15.75" customHeight="1">
      <c r="V52" s="5"/>
    </row>
    <row r="53" spans="22:22" ht="15.75" customHeight="1">
      <c r="V53" s="5"/>
    </row>
    <row r="54" spans="22:22" ht="12.5">
      <c r="V54" s="5"/>
    </row>
    <row r="55" spans="22:22" ht="12.5">
      <c r="V55" s="5"/>
    </row>
    <row r="56" spans="22:22" ht="12.5">
      <c r="V56" s="5"/>
    </row>
    <row r="57" spans="22:22" ht="12.5">
      <c r="V57" s="5"/>
    </row>
    <row r="58" spans="22:22" ht="12.5">
      <c r="V58" s="5"/>
    </row>
    <row r="59" spans="22:22" ht="12.5">
      <c r="V59" s="5"/>
    </row>
    <row r="60" spans="22:22" ht="12.5">
      <c r="V60" s="5"/>
    </row>
    <row r="61" spans="22:22" ht="12.5">
      <c r="V61" s="5"/>
    </row>
    <row r="62" spans="22:22" ht="12.5">
      <c r="V62" s="5"/>
    </row>
    <row r="63" spans="22:22" ht="12.5">
      <c r="V63" s="5"/>
    </row>
    <row r="64" spans="22:22" ht="12.5">
      <c r="V64" s="5"/>
    </row>
    <row r="65" spans="1:22" ht="12.5">
      <c r="V65" s="5"/>
    </row>
    <row r="66" spans="1:22" ht="12.5">
      <c r="V66" s="5"/>
    </row>
    <row r="67" spans="1:22" ht="12.5">
      <c r="V67" s="5"/>
    </row>
    <row r="68" spans="1:22" ht="12.5">
      <c r="V68" s="5"/>
    </row>
    <row r="69" spans="1:22" ht="12.5">
      <c r="V69" s="5"/>
    </row>
    <row r="70" spans="1:22" ht="12.5">
      <c r="V70" s="5"/>
    </row>
    <row r="71" spans="1:22" ht="12.5">
      <c r="V71" s="5"/>
    </row>
    <row r="72" spans="1:22" ht="12.5">
      <c r="V72" s="5"/>
    </row>
    <row r="73" spans="1:22" ht="12.5">
      <c r="V73" s="5"/>
    </row>
    <row r="74" spans="1:22" ht="12.5">
      <c r="A74" s="5"/>
      <c r="B74" s="8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2.5">
      <c r="A75" s="5"/>
      <c r="B75" s="8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2.5">
      <c r="A76" s="5"/>
      <c r="B76" s="8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2.5">
      <c r="A77" s="5"/>
      <c r="B77" s="8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2.5">
      <c r="A78" s="5"/>
      <c r="B78" s="8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2.5">
      <c r="A79" s="5"/>
      <c r="B79" s="8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2.5">
      <c r="A80" s="5"/>
      <c r="B80" s="8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2.5">
      <c r="A81" s="5"/>
      <c r="B81" s="8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2.5">
      <c r="A82" s="5"/>
      <c r="B82" s="8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2.5">
      <c r="A83" s="5"/>
      <c r="B83" s="8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2.5">
      <c r="A84" s="5"/>
      <c r="B84" s="8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2.5">
      <c r="A85" s="5"/>
      <c r="B85" s="8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2.5">
      <c r="A86" s="5"/>
      <c r="B86" s="8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2.5">
      <c r="A87" s="5"/>
      <c r="B87" s="8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2.5">
      <c r="A88" s="5"/>
      <c r="B88" s="8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2.5">
      <c r="A89" s="5"/>
      <c r="B89" s="8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2.5">
      <c r="A90" s="5"/>
      <c r="B90" s="8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2.5">
      <c r="A91" s="5"/>
      <c r="B91" s="8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2.5">
      <c r="A92" s="5"/>
      <c r="B92" s="8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2.5">
      <c r="A93" s="5"/>
      <c r="B93" s="8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2.5">
      <c r="A94" s="5"/>
      <c r="B94" s="8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2.5">
      <c r="A95" s="5"/>
      <c r="B95" s="8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2.5">
      <c r="A96" s="5"/>
      <c r="B96" s="8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2.5">
      <c r="A97" s="5"/>
      <c r="B97" s="8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2.5">
      <c r="A98" s="5"/>
      <c r="B98" s="8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2.5">
      <c r="A99" s="5"/>
      <c r="B99" s="8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2.5">
      <c r="A100" s="5"/>
      <c r="B100" s="8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2.5">
      <c r="A101" s="5"/>
      <c r="B101" s="8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2.5">
      <c r="A102" s="5"/>
      <c r="B102" s="8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2.5">
      <c r="A103" s="5"/>
      <c r="B103" s="8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2.5">
      <c r="A104" s="5"/>
      <c r="B104" s="8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2.5">
      <c r="A105" s="5"/>
      <c r="B105" s="8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2.5">
      <c r="A106" s="5"/>
      <c r="B106" s="8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2.5">
      <c r="A107" s="5"/>
      <c r="B107" s="8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2.5">
      <c r="A108" s="5"/>
      <c r="B108" s="8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2.5">
      <c r="A109" s="5"/>
      <c r="B109" s="8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2.5">
      <c r="A110" s="5"/>
      <c r="B110" s="8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2.5">
      <c r="A111" s="5"/>
      <c r="B111" s="8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2.5">
      <c r="A112" s="5"/>
      <c r="B112" s="8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2.5">
      <c r="A113" s="5"/>
      <c r="B113" s="8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2.5">
      <c r="A114" s="5"/>
      <c r="B114" s="8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2.5">
      <c r="A115" s="5"/>
      <c r="B115" s="8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2.5">
      <c r="A116" s="5"/>
      <c r="B116" s="8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2.5">
      <c r="A117" s="5"/>
      <c r="B117" s="8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2.5">
      <c r="A118" s="5"/>
      <c r="B118" s="8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2.5">
      <c r="A119" s="5"/>
      <c r="B119" s="8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.5">
      <c r="A120" s="5"/>
      <c r="B120" s="8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2.5">
      <c r="A121" s="5"/>
      <c r="B121" s="8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2.5">
      <c r="A122" s="5"/>
      <c r="B122" s="8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2.5">
      <c r="A123" s="5"/>
      <c r="B123" s="8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2.5">
      <c r="A124" s="5"/>
      <c r="B124" s="8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.5">
      <c r="A125" s="5"/>
      <c r="B125" s="8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2.5">
      <c r="A126" s="5"/>
      <c r="B126" s="8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2.5">
      <c r="A127" s="5"/>
      <c r="B127" s="8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2.5">
      <c r="A128" s="5"/>
      <c r="B128" s="8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2.5">
      <c r="A129" s="5"/>
      <c r="B129" s="8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2.5">
      <c r="A130" s="5"/>
      <c r="B130" s="8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2.5">
      <c r="A131" s="5"/>
      <c r="B131" s="8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2.5">
      <c r="A132" s="5"/>
      <c r="B132" s="8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2.5">
      <c r="A133" s="5"/>
      <c r="B133" s="8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2.5">
      <c r="A134" s="5"/>
      <c r="B134" s="8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2.5">
      <c r="A135" s="5"/>
      <c r="B135" s="8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2.5">
      <c r="A136" s="5"/>
      <c r="B136" s="8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2.5">
      <c r="A137" s="5"/>
      <c r="B137" s="8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2.5">
      <c r="A138" s="5"/>
      <c r="B138" s="8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2.5">
      <c r="A139" s="5"/>
      <c r="B139" s="8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2.5">
      <c r="A140" s="5"/>
      <c r="B140" s="8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2.5">
      <c r="A141" s="5"/>
      <c r="B141" s="8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2.5">
      <c r="A142" s="5"/>
      <c r="B142" s="8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2.5">
      <c r="A143" s="5"/>
      <c r="B143" s="8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2.5">
      <c r="A144" s="5"/>
      <c r="B144" s="8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2.5">
      <c r="A145" s="5"/>
      <c r="B145" s="8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2.5">
      <c r="A146" s="5"/>
      <c r="B146" s="8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2.5">
      <c r="A147" s="5"/>
      <c r="B147" s="8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2.5">
      <c r="A148" s="5"/>
      <c r="B148" s="8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2.5">
      <c r="A149" s="5"/>
      <c r="B149" s="8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2.5">
      <c r="A150" s="5"/>
      <c r="B150" s="8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2.5">
      <c r="A151" s="5"/>
      <c r="B151" s="8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2.5">
      <c r="A152" s="5"/>
      <c r="B152" s="8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2.5">
      <c r="A153" s="5"/>
      <c r="B153" s="8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2.5">
      <c r="A154" s="5"/>
      <c r="B154" s="8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2.5">
      <c r="A155" s="5"/>
      <c r="B155" s="8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2.5">
      <c r="A156" s="5"/>
      <c r="B156" s="8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2.5">
      <c r="A157" s="5"/>
      <c r="B157" s="8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2.5">
      <c r="A158" s="5"/>
      <c r="B158" s="8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2.5">
      <c r="A159" s="5"/>
      <c r="B159" s="8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2.5">
      <c r="A160" s="5"/>
      <c r="B160" s="8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2.5">
      <c r="A161" s="5"/>
      <c r="B161" s="8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2.5">
      <c r="A162" s="5"/>
      <c r="B162" s="8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2.5">
      <c r="A163" s="5"/>
      <c r="B163" s="8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2.5">
      <c r="A164" s="5"/>
      <c r="B164" s="8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2.5">
      <c r="A165" s="5"/>
      <c r="B165" s="8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2.5">
      <c r="A166" s="5"/>
      <c r="B166" s="8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2.5">
      <c r="A167" s="5"/>
      <c r="B167" s="8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2.5">
      <c r="A168" s="5"/>
      <c r="B168" s="8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2.5">
      <c r="A169" s="5"/>
      <c r="B169" s="8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2.5">
      <c r="A170" s="5"/>
      <c r="B170" s="8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2.5">
      <c r="A171" s="5"/>
      <c r="B171" s="8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2.5">
      <c r="A172" s="5"/>
      <c r="B172" s="8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2.5">
      <c r="A173" s="5"/>
      <c r="B173" s="8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2.5">
      <c r="A174" s="5"/>
      <c r="B174" s="8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2.5">
      <c r="A175" s="5"/>
      <c r="B175" s="8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2.5">
      <c r="A176" s="5"/>
      <c r="B176" s="8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2.5">
      <c r="A177" s="5"/>
      <c r="B177" s="8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2.5">
      <c r="A178" s="5"/>
      <c r="B178" s="8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2.5">
      <c r="A179" s="5"/>
      <c r="B179" s="8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2.5">
      <c r="A180" s="5"/>
      <c r="B180" s="8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2.5">
      <c r="A181" s="5"/>
      <c r="B181" s="8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2.5">
      <c r="A182" s="5"/>
      <c r="B182" s="8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2.5">
      <c r="A183" s="5"/>
      <c r="B183" s="8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2.5">
      <c r="A184" s="5"/>
      <c r="B184" s="8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2.5">
      <c r="A185" s="5"/>
      <c r="B185" s="8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2.5">
      <c r="A186" s="5"/>
      <c r="B186" s="8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2.5">
      <c r="A187" s="5"/>
      <c r="B187" s="8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2.5">
      <c r="A188" s="5"/>
      <c r="B188" s="8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2.5">
      <c r="A189" s="5"/>
      <c r="B189" s="8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2.5">
      <c r="A190" s="5"/>
      <c r="B190" s="8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2.5">
      <c r="A191" s="5"/>
      <c r="B191" s="8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2.5">
      <c r="A192" s="5"/>
      <c r="B192" s="8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2.5">
      <c r="A193" s="5"/>
      <c r="B193" s="8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2.5">
      <c r="A194" s="5"/>
      <c r="B194" s="8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2.5">
      <c r="A195" s="5"/>
      <c r="B195" s="8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2.5">
      <c r="A196" s="5"/>
      <c r="B196" s="8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2.5">
      <c r="A197" s="5"/>
      <c r="B197" s="8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2.5">
      <c r="A198" s="5"/>
      <c r="B198" s="8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2.5">
      <c r="A199" s="5"/>
      <c r="B199" s="8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2.5">
      <c r="A200" s="5"/>
      <c r="B200" s="8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2.5">
      <c r="A201" s="5"/>
      <c r="B201" s="8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2.5">
      <c r="A202" s="5"/>
      <c r="B202" s="8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2.5">
      <c r="A203" s="5"/>
      <c r="B203" s="8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2.5">
      <c r="A204" s="5"/>
      <c r="B204" s="8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2.5">
      <c r="A205" s="5"/>
      <c r="B205" s="8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2.5">
      <c r="A206" s="5"/>
      <c r="B206" s="8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2.5">
      <c r="A207" s="5"/>
      <c r="B207" s="8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2.5">
      <c r="A208" s="5"/>
      <c r="B208" s="8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2.5">
      <c r="A209" s="5"/>
      <c r="B209" s="8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2.5">
      <c r="A210" s="5"/>
      <c r="B210" s="8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2.5">
      <c r="A211" s="5"/>
      <c r="B211" s="8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2.5">
      <c r="A212" s="5"/>
      <c r="B212" s="8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2.5">
      <c r="A213" s="5"/>
      <c r="B213" s="8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2.5">
      <c r="A214" s="5"/>
      <c r="B214" s="8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2.5">
      <c r="A215" s="5"/>
      <c r="B215" s="8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2.5">
      <c r="A216" s="5"/>
      <c r="B216" s="8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2.5">
      <c r="A217" s="5"/>
      <c r="B217" s="8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2.5">
      <c r="A218" s="5"/>
      <c r="B218" s="8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2.5">
      <c r="A219" s="5"/>
      <c r="B219" s="8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2.5">
      <c r="A220" s="5"/>
      <c r="B220" s="8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2.5">
      <c r="A221" s="5"/>
      <c r="B221" s="8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2.5">
      <c r="A222" s="5"/>
      <c r="B222" s="8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2.5">
      <c r="A223" s="5"/>
      <c r="B223" s="8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2.5">
      <c r="A224" s="5"/>
      <c r="B224" s="8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2.5">
      <c r="A225" s="5"/>
      <c r="B225" s="8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2.5">
      <c r="A226" s="5"/>
      <c r="B226" s="8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2.5">
      <c r="A227" s="5"/>
      <c r="B227" s="8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2.5">
      <c r="A228" s="5"/>
      <c r="B228" s="8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2.5">
      <c r="A229" s="5"/>
      <c r="B229" s="8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2.5">
      <c r="A230" s="5"/>
      <c r="B230" s="8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2.5">
      <c r="A231" s="5"/>
      <c r="B231" s="8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2.5">
      <c r="A232" s="5"/>
      <c r="B232" s="8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2.5">
      <c r="A233" s="5"/>
      <c r="B233" s="8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2.5">
      <c r="A234" s="5"/>
      <c r="B234" s="8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2.5">
      <c r="A235" s="5"/>
      <c r="B235" s="8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2.5">
      <c r="A236" s="5"/>
      <c r="B236" s="8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2.5">
      <c r="A237" s="5"/>
      <c r="B237" s="8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2.5">
      <c r="A238" s="5"/>
      <c r="B238" s="8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2.5">
      <c r="A239" s="5"/>
      <c r="B239" s="8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2.5">
      <c r="A240" s="5"/>
      <c r="B240" s="8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2.5">
      <c r="A241" s="5"/>
      <c r="B241" s="8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2.5">
      <c r="A242" s="5"/>
      <c r="B242" s="8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2.5">
      <c r="A243" s="5"/>
      <c r="B243" s="8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2.5">
      <c r="A244" s="5"/>
      <c r="B244" s="8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2.5">
      <c r="A245" s="5"/>
      <c r="B245" s="8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2.5">
      <c r="A246" s="5"/>
      <c r="B246" s="8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2.5">
      <c r="A247" s="5"/>
      <c r="B247" s="8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2.5">
      <c r="A248" s="5"/>
      <c r="B248" s="8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2.5">
      <c r="A249" s="5"/>
      <c r="B249" s="8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2.5">
      <c r="A250" s="5"/>
      <c r="B250" s="8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2.5">
      <c r="A251" s="5"/>
      <c r="B251" s="8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2.5">
      <c r="A252" s="5"/>
      <c r="B252" s="8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2.5">
      <c r="A253" s="5"/>
      <c r="B253" s="8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2.5">
      <c r="A254" s="5"/>
      <c r="B254" s="8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2.5">
      <c r="A255" s="5"/>
      <c r="B255" s="8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2.5">
      <c r="A256" s="5"/>
      <c r="B256" s="8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2.5">
      <c r="A257" s="5"/>
      <c r="B257" s="8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2.5">
      <c r="A258" s="5"/>
      <c r="B258" s="8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2.5">
      <c r="A259" s="5"/>
      <c r="B259" s="8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2.5">
      <c r="A260" s="5"/>
      <c r="B260" s="8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2.5">
      <c r="A261" s="5"/>
      <c r="B261" s="8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2.5">
      <c r="A262" s="5"/>
      <c r="B262" s="8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2.5">
      <c r="A263" s="5"/>
      <c r="B263" s="8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2.5">
      <c r="A264" s="5"/>
      <c r="B264" s="8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2.5">
      <c r="A265" s="5"/>
      <c r="B265" s="8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2.5">
      <c r="A266" s="5"/>
      <c r="B266" s="8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2.5">
      <c r="A267" s="5"/>
      <c r="B267" s="8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2.5">
      <c r="A268" s="5"/>
      <c r="B268" s="8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2.5">
      <c r="A269" s="5"/>
      <c r="B269" s="8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2.5">
      <c r="A270" s="5"/>
      <c r="B270" s="8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2.5">
      <c r="A271" s="5"/>
      <c r="B271" s="8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2.5">
      <c r="A272" s="5"/>
      <c r="B272" s="8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2.5">
      <c r="A273" s="5"/>
      <c r="B273" s="8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2.5">
      <c r="A274" s="5"/>
      <c r="B274" s="8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2.5">
      <c r="A275" s="5"/>
      <c r="B275" s="8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2.5">
      <c r="A276" s="5"/>
      <c r="B276" s="8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2.5">
      <c r="A277" s="5"/>
      <c r="B277" s="8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2.5">
      <c r="A278" s="5"/>
      <c r="B278" s="8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2.5">
      <c r="A279" s="5"/>
      <c r="B279" s="8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2.5">
      <c r="A280" s="5"/>
      <c r="B280" s="8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2.5">
      <c r="A281" s="5"/>
      <c r="B281" s="8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2.5">
      <c r="A282" s="5"/>
      <c r="B282" s="8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2.5">
      <c r="A283" s="5"/>
      <c r="B283" s="8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2.5">
      <c r="A284" s="5"/>
      <c r="B284" s="8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2.5">
      <c r="A285" s="5"/>
      <c r="B285" s="8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2.5">
      <c r="A286" s="5"/>
      <c r="B286" s="8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2.5">
      <c r="A287" s="5"/>
      <c r="B287" s="8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2.5">
      <c r="A288" s="5"/>
      <c r="B288" s="8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2.5">
      <c r="A289" s="5"/>
      <c r="B289" s="8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2.5">
      <c r="A290" s="5"/>
      <c r="B290" s="8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2.5">
      <c r="A291" s="5"/>
      <c r="B291" s="8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2.5">
      <c r="A292" s="5"/>
      <c r="B292" s="8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2.5">
      <c r="A293" s="5"/>
      <c r="B293" s="8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2.5">
      <c r="A294" s="5"/>
      <c r="B294" s="8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2.5">
      <c r="A295" s="5"/>
      <c r="B295" s="8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2.5">
      <c r="A296" s="5"/>
      <c r="B296" s="8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2.5">
      <c r="A297" s="5"/>
      <c r="B297" s="8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2.5">
      <c r="A298" s="5"/>
      <c r="B298" s="8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2.5">
      <c r="A299" s="5"/>
      <c r="B299" s="8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2.5">
      <c r="A300" s="5"/>
      <c r="B300" s="8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2.5">
      <c r="A301" s="5"/>
      <c r="B301" s="8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2.5">
      <c r="A302" s="5"/>
      <c r="B302" s="8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2.5">
      <c r="A303" s="5"/>
      <c r="B303" s="8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2.5">
      <c r="A304" s="5"/>
      <c r="B304" s="8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2.5">
      <c r="A305" s="5"/>
      <c r="B305" s="8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2.5">
      <c r="A306" s="5"/>
      <c r="B306" s="8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2.5">
      <c r="A307" s="5"/>
      <c r="B307" s="8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2.5">
      <c r="A308" s="5"/>
      <c r="B308" s="8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2.5">
      <c r="A309" s="5"/>
      <c r="B309" s="8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2.5">
      <c r="A310" s="5"/>
      <c r="B310" s="8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2.5">
      <c r="A311" s="5"/>
      <c r="B311" s="8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2.5">
      <c r="A312" s="5"/>
      <c r="B312" s="8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2.5">
      <c r="A313" s="5"/>
      <c r="B313" s="8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2.5">
      <c r="A314" s="5"/>
      <c r="B314" s="8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2.5">
      <c r="A315" s="5"/>
      <c r="B315" s="8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2.5">
      <c r="A316" s="5"/>
      <c r="B316" s="8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2.5">
      <c r="A317" s="5"/>
      <c r="B317" s="8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2.5">
      <c r="A318" s="5"/>
      <c r="B318" s="8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2.5">
      <c r="A319" s="5"/>
      <c r="B319" s="8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2.5">
      <c r="A320" s="5"/>
      <c r="B320" s="8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2.5">
      <c r="A321" s="5"/>
      <c r="B321" s="8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2.5">
      <c r="A322" s="5"/>
      <c r="B322" s="8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2.5">
      <c r="A323" s="5"/>
      <c r="B323" s="8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2.5">
      <c r="A324" s="5"/>
      <c r="B324" s="8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2.5">
      <c r="A325" s="5"/>
      <c r="B325" s="8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2.5">
      <c r="A326" s="5"/>
      <c r="B326" s="8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2.5">
      <c r="A327" s="5"/>
      <c r="B327" s="8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2.5">
      <c r="A328" s="5"/>
      <c r="B328" s="8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2.5">
      <c r="A329" s="5"/>
      <c r="B329" s="8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2.5">
      <c r="A330" s="5"/>
      <c r="B330" s="8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2.5">
      <c r="A331" s="5"/>
      <c r="B331" s="8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2.5">
      <c r="A332" s="5"/>
      <c r="B332" s="8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2.5">
      <c r="A333" s="5"/>
      <c r="B333" s="8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2.5">
      <c r="A334" s="5"/>
      <c r="B334" s="8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2.5">
      <c r="A335" s="5"/>
      <c r="B335" s="8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2.5">
      <c r="A336" s="5"/>
      <c r="B336" s="8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2.5">
      <c r="A337" s="5"/>
      <c r="B337" s="8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2.5">
      <c r="A338" s="5"/>
      <c r="B338" s="8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2.5">
      <c r="A339" s="5"/>
      <c r="B339" s="8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2.5">
      <c r="A340" s="5"/>
      <c r="B340" s="8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2.5">
      <c r="A341" s="5"/>
      <c r="B341" s="8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2.5">
      <c r="A342" s="5"/>
      <c r="B342" s="8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2.5">
      <c r="A343" s="5"/>
      <c r="B343" s="8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2.5">
      <c r="A344" s="5"/>
      <c r="B344" s="8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2.5">
      <c r="A345" s="5"/>
      <c r="B345" s="8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2.5">
      <c r="A346" s="5"/>
      <c r="B346" s="8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2.5">
      <c r="A347" s="5"/>
      <c r="B347" s="8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2.5">
      <c r="A348" s="5"/>
      <c r="B348" s="8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2.5">
      <c r="A349" s="5"/>
      <c r="B349" s="8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2.5">
      <c r="A350" s="5"/>
      <c r="B350" s="8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2.5">
      <c r="A351" s="5"/>
      <c r="B351" s="8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2.5">
      <c r="A352" s="5"/>
      <c r="B352" s="8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2.5">
      <c r="A353" s="5"/>
      <c r="B353" s="8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2.5">
      <c r="A354" s="5"/>
      <c r="B354" s="8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2.5">
      <c r="A355" s="5"/>
      <c r="B355" s="8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2.5">
      <c r="A356" s="5"/>
      <c r="B356" s="8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2.5">
      <c r="A357" s="5"/>
      <c r="B357" s="8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2.5">
      <c r="A358" s="5"/>
      <c r="B358" s="8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2.5">
      <c r="A359" s="5"/>
      <c r="B359" s="8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2.5">
      <c r="A360" s="5"/>
      <c r="B360" s="8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2.5">
      <c r="A361" s="5"/>
      <c r="B361" s="8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2.5">
      <c r="A362" s="5"/>
      <c r="B362" s="8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2.5">
      <c r="A363" s="5"/>
      <c r="B363" s="8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2.5">
      <c r="A364" s="5"/>
      <c r="B364" s="8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2.5">
      <c r="A365" s="5"/>
      <c r="B365" s="8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2.5">
      <c r="A366" s="5"/>
      <c r="B366" s="8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2.5">
      <c r="A367" s="5"/>
      <c r="B367" s="8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2.5">
      <c r="A368" s="5"/>
      <c r="B368" s="8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2.5">
      <c r="A369" s="5"/>
      <c r="B369" s="8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2.5">
      <c r="A370" s="5"/>
      <c r="B370" s="8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2.5">
      <c r="A371" s="5"/>
      <c r="B371" s="8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2.5">
      <c r="A372" s="5"/>
      <c r="B372" s="8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2.5">
      <c r="A373" s="5"/>
      <c r="B373" s="8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2.5">
      <c r="A374" s="5"/>
      <c r="B374" s="8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2.5">
      <c r="A375" s="5"/>
      <c r="B375" s="8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2.5">
      <c r="A376" s="5"/>
      <c r="B376" s="8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2.5">
      <c r="A377" s="5"/>
      <c r="B377" s="8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2.5">
      <c r="A378" s="5"/>
      <c r="B378" s="8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2.5">
      <c r="A379" s="5"/>
      <c r="B379" s="8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2.5">
      <c r="A380" s="5"/>
      <c r="B380" s="8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2.5">
      <c r="A381" s="5"/>
      <c r="B381" s="8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2.5">
      <c r="A382" s="5"/>
      <c r="B382" s="8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2.5">
      <c r="A383" s="5"/>
      <c r="B383" s="8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2.5">
      <c r="A384" s="5"/>
      <c r="B384" s="8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2.5">
      <c r="A385" s="5"/>
      <c r="B385" s="8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2.5">
      <c r="A386" s="5"/>
      <c r="B386" s="8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2.5">
      <c r="A387" s="5"/>
      <c r="B387" s="8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2.5">
      <c r="A388" s="5"/>
      <c r="B388" s="8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2.5">
      <c r="A389" s="5"/>
      <c r="B389" s="8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2.5">
      <c r="A390" s="5"/>
      <c r="B390" s="8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2.5">
      <c r="A391" s="5"/>
      <c r="B391" s="8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2.5">
      <c r="A392" s="5"/>
      <c r="B392" s="8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2.5">
      <c r="A393" s="5"/>
      <c r="B393" s="8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2.5">
      <c r="A394" s="5"/>
      <c r="B394" s="8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2.5">
      <c r="A395" s="5"/>
      <c r="B395" s="8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2.5">
      <c r="A396" s="5"/>
      <c r="B396" s="8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2.5">
      <c r="A397" s="5"/>
      <c r="B397" s="8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2.5">
      <c r="A398" s="5"/>
      <c r="B398" s="8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2.5">
      <c r="A399" s="5"/>
      <c r="B399" s="8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2.5">
      <c r="A400" s="5"/>
      <c r="B400" s="8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2.5">
      <c r="A401" s="5"/>
      <c r="B401" s="8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2.5">
      <c r="A402" s="5"/>
      <c r="B402" s="8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2.5">
      <c r="A403" s="5"/>
      <c r="B403" s="8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2.5">
      <c r="A404" s="5"/>
      <c r="B404" s="8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2.5">
      <c r="A405" s="5"/>
      <c r="B405" s="8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2.5">
      <c r="A406" s="5"/>
      <c r="B406" s="8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2.5">
      <c r="A407" s="5"/>
      <c r="B407" s="8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2.5">
      <c r="A408" s="5"/>
      <c r="B408" s="8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2.5">
      <c r="A409" s="5"/>
      <c r="B409" s="8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2.5">
      <c r="A410" s="5"/>
      <c r="B410" s="8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2.5">
      <c r="A411" s="5"/>
      <c r="B411" s="8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2.5">
      <c r="A412" s="5"/>
      <c r="B412" s="8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2.5">
      <c r="A413" s="5"/>
      <c r="B413" s="8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2.5">
      <c r="A414" s="5"/>
      <c r="B414" s="8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2.5">
      <c r="A415" s="5"/>
      <c r="B415" s="8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2.5">
      <c r="A416" s="5"/>
      <c r="B416" s="8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2.5">
      <c r="A417" s="5"/>
      <c r="B417" s="8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2.5">
      <c r="A418" s="5"/>
      <c r="B418" s="8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2.5">
      <c r="A419" s="5"/>
      <c r="B419" s="8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2.5">
      <c r="A420" s="5"/>
      <c r="B420" s="8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2.5">
      <c r="A421" s="5"/>
      <c r="B421" s="8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2.5">
      <c r="A422" s="5"/>
      <c r="B422" s="8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2.5">
      <c r="A423" s="5"/>
      <c r="B423" s="8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2.5">
      <c r="A424" s="5"/>
      <c r="B424" s="8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2.5">
      <c r="A425" s="5"/>
      <c r="B425" s="8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2.5">
      <c r="A426" s="5"/>
      <c r="B426" s="8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2.5">
      <c r="A427" s="5"/>
      <c r="B427" s="8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2.5">
      <c r="A428" s="5"/>
      <c r="B428" s="8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2.5">
      <c r="A429" s="5"/>
      <c r="B429" s="8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2.5">
      <c r="A430" s="5"/>
      <c r="B430" s="8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2.5">
      <c r="A431" s="5"/>
      <c r="B431" s="8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2.5">
      <c r="A432" s="5"/>
      <c r="B432" s="8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2.5">
      <c r="A433" s="5"/>
      <c r="B433" s="8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2.5">
      <c r="A434" s="5"/>
      <c r="B434" s="8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2.5">
      <c r="A435" s="5"/>
      <c r="B435" s="8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2.5">
      <c r="A436" s="5"/>
      <c r="B436" s="8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2.5">
      <c r="A437" s="5"/>
      <c r="B437" s="8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2.5">
      <c r="A438" s="5"/>
      <c r="B438" s="8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2.5">
      <c r="A439" s="5"/>
      <c r="B439" s="8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2.5">
      <c r="A440" s="5"/>
      <c r="B440" s="8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2.5">
      <c r="A441" s="5"/>
      <c r="B441" s="8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2.5">
      <c r="A442" s="5"/>
      <c r="B442" s="8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2.5">
      <c r="A443" s="5"/>
      <c r="B443" s="8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2.5">
      <c r="A444" s="5"/>
      <c r="B444" s="8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2.5">
      <c r="A445" s="5"/>
      <c r="B445" s="8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2.5">
      <c r="A446" s="5"/>
      <c r="B446" s="8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2.5">
      <c r="A447" s="5"/>
      <c r="B447" s="8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2.5">
      <c r="A448" s="5"/>
      <c r="B448" s="8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2.5">
      <c r="A449" s="5"/>
      <c r="B449" s="8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2.5">
      <c r="A450" s="5"/>
      <c r="B450" s="8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2.5">
      <c r="A451" s="5"/>
      <c r="B451" s="8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2.5">
      <c r="A452" s="5"/>
      <c r="B452" s="8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2.5">
      <c r="A453" s="5"/>
      <c r="B453" s="8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2.5">
      <c r="A454" s="5"/>
      <c r="B454" s="8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2.5">
      <c r="A455" s="5"/>
      <c r="B455" s="8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2.5">
      <c r="A456" s="5"/>
      <c r="B456" s="8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2.5">
      <c r="A457" s="5"/>
      <c r="B457" s="8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2.5">
      <c r="A458" s="5"/>
      <c r="B458" s="8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2.5">
      <c r="A459" s="5"/>
      <c r="B459" s="8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2.5">
      <c r="A460" s="5"/>
      <c r="B460" s="8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2.5">
      <c r="A461" s="5"/>
      <c r="B461" s="8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2.5">
      <c r="A462" s="5"/>
      <c r="B462" s="8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2.5">
      <c r="A463" s="5"/>
      <c r="B463" s="8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2.5">
      <c r="A464" s="5"/>
      <c r="B464" s="8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2.5">
      <c r="A465" s="5"/>
      <c r="B465" s="8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2.5">
      <c r="A466" s="5"/>
      <c r="B466" s="8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2.5">
      <c r="A467" s="5"/>
      <c r="B467" s="8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2.5">
      <c r="A468" s="5"/>
      <c r="B468" s="8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2.5">
      <c r="A469" s="5"/>
      <c r="B469" s="8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2.5">
      <c r="A470" s="5"/>
      <c r="B470" s="8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2.5">
      <c r="A471" s="5"/>
      <c r="B471" s="8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2.5">
      <c r="A472" s="5"/>
      <c r="B472" s="8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2.5">
      <c r="A473" s="5"/>
      <c r="B473" s="8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2.5">
      <c r="A474" s="5"/>
      <c r="B474" s="8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2.5">
      <c r="A475" s="5"/>
      <c r="B475" s="8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2.5">
      <c r="A476" s="5"/>
      <c r="B476" s="8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2.5">
      <c r="A477" s="5"/>
      <c r="B477" s="8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2.5">
      <c r="A478" s="5"/>
      <c r="B478" s="8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2.5">
      <c r="A479" s="5"/>
      <c r="B479" s="8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2.5">
      <c r="A480" s="5"/>
      <c r="B480" s="8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2.5">
      <c r="A481" s="5"/>
      <c r="B481" s="8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2.5">
      <c r="A482" s="5"/>
      <c r="B482" s="8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2.5">
      <c r="A483" s="5"/>
      <c r="B483" s="8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2.5">
      <c r="A484" s="5"/>
      <c r="B484" s="8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2.5">
      <c r="A485" s="5"/>
      <c r="B485" s="8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2.5">
      <c r="A486" s="5"/>
      <c r="B486" s="8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2.5">
      <c r="A487" s="5"/>
      <c r="B487" s="8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2.5">
      <c r="A488" s="5"/>
      <c r="B488" s="8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2.5">
      <c r="A489" s="5"/>
      <c r="B489" s="8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2.5">
      <c r="A490" s="5"/>
      <c r="B490" s="8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2.5">
      <c r="A491" s="5"/>
      <c r="B491" s="8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2.5">
      <c r="A492" s="5"/>
      <c r="B492" s="8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2.5">
      <c r="A493" s="5"/>
      <c r="B493" s="8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2.5">
      <c r="A494" s="5"/>
      <c r="B494" s="8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2.5">
      <c r="A495" s="5"/>
      <c r="B495" s="8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2.5">
      <c r="A496" s="5"/>
      <c r="B496" s="8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2.5">
      <c r="A497" s="5"/>
      <c r="B497" s="8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2.5">
      <c r="A498" s="5"/>
      <c r="B498" s="8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2.5">
      <c r="A499" s="5"/>
      <c r="B499" s="8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2.5">
      <c r="A500" s="5"/>
      <c r="B500" s="8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2.5">
      <c r="A501" s="5"/>
      <c r="B501" s="8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2.5">
      <c r="A502" s="5"/>
      <c r="B502" s="8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2.5">
      <c r="A503" s="5"/>
      <c r="B503" s="8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2.5">
      <c r="A504" s="5"/>
      <c r="B504" s="8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2.5">
      <c r="A505" s="5"/>
      <c r="B505" s="8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2.5">
      <c r="A506" s="5"/>
      <c r="B506" s="8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2.5">
      <c r="A507" s="5"/>
      <c r="B507" s="8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2.5">
      <c r="A508" s="5"/>
      <c r="B508" s="8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2.5">
      <c r="A509" s="5"/>
      <c r="B509" s="8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2.5">
      <c r="A510" s="5"/>
      <c r="B510" s="8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2.5">
      <c r="A511" s="5"/>
      <c r="B511" s="8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2.5">
      <c r="A512" s="5"/>
      <c r="B512" s="8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2.5">
      <c r="A513" s="5"/>
      <c r="B513" s="8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2.5">
      <c r="A514" s="5"/>
      <c r="B514" s="8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2.5">
      <c r="A515" s="5"/>
      <c r="B515" s="8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2.5">
      <c r="A516" s="5"/>
      <c r="B516" s="8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2.5">
      <c r="A517" s="5"/>
      <c r="B517" s="8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2.5">
      <c r="A518" s="5"/>
      <c r="B518" s="8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2.5">
      <c r="A519" s="5"/>
      <c r="B519" s="8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2.5">
      <c r="A520" s="5"/>
      <c r="B520" s="8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2.5">
      <c r="A521" s="5"/>
      <c r="B521" s="8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2.5">
      <c r="A522" s="5"/>
      <c r="B522" s="8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2.5">
      <c r="A523" s="5"/>
      <c r="B523" s="8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2.5">
      <c r="A524" s="5"/>
      <c r="B524" s="8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2.5">
      <c r="A525" s="5"/>
      <c r="B525" s="8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2.5">
      <c r="A526" s="5"/>
      <c r="B526" s="8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2.5">
      <c r="A527" s="5"/>
      <c r="B527" s="8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2.5">
      <c r="A528" s="5"/>
      <c r="B528" s="8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2.5">
      <c r="A529" s="5"/>
      <c r="B529" s="8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2.5">
      <c r="A530" s="5"/>
      <c r="B530" s="8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2.5">
      <c r="A531" s="5"/>
      <c r="B531" s="8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2.5">
      <c r="A532" s="5"/>
      <c r="B532" s="8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2.5">
      <c r="A533" s="5"/>
      <c r="B533" s="8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2.5">
      <c r="A534" s="5"/>
      <c r="B534" s="8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2.5">
      <c r="A535" s="5"/>
      <c r="B535" s="8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2.5">
      <c r="A536" s="5"/>
      <c r="B536" s="8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2.5">
      <c r="A537" s="5"/>
      <c r="B537" s="8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2.5">
      <c r="A538" s="5"/>
      <c r="B538" s="8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2.5">
      <c r="A539" s="5"/>
      <c r="B539" s="8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2.5">
      <c r="A540" s="5"/>
      <c r="B540" s="8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2.5">
      <c r="A541" s="5"/>
      <c r="B541" s="8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2.5">
      <c r="A542" s="5"/>
      <c r="B542" s="8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2.5">
      <c r="A543" s="5"/>
      <c r="B543" s="8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2.5">
      <c r="A544" s="5"/>
      <c r="B544" s="8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2.5">
      <c r="A545" s="5"/>
      <c r="B545" s="8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2.5">
      <c r="A546" s="5"/>
      <c r="B546" s="8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2.5">
      <c r="A547" s="5"/>
      <c r="B547" s="8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2.5">
      <c r="A548" s="5"/>
      <c r="B548" s="8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2.5">
      <c r="A549" s="5"/>
      <c r="B549" s="8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2.5">
      <c r="A550" s="5"/>
      <c r="B550" s="8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2.5">
      <c r="A551" s="5"/>
      <c r="B551" s="8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2.5">
      <c r="A552" s="5"/>
      <c r="B552" s="8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2.5">
      <c r="A553" s="5"/>
      <c r="B553" s="8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2.5">
      <c r="A554" s="5"/>
      <c r="B554" s="8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2.5">
      <c r="A555" s="5"/>
      <c r="B555" s="8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2.5">
      <c r="A556" s="5"/>
      <c r="B556" s="8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2.5">
      <c r="A557" s="5"/>
      <c r="B557" s="8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2.5">
      <c r="A558" s="5"/>
      <c r="B558" s="8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2.5">
      <c r="A559" s="5"/>
      <c r="B559" s="8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2.5">
      <c r="A560" s="5"/>
      <c r="B560" s="8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2.5">
      <c r="A561" s="5"/>
      <c r="B561" s="8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2.5">
      <c r="A562" s="5"/>
      <c r="B562" s="8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2.5">
      <c r="A563" s="5"/>
      <c r="B563" s="8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2.5">
      <c r="A564" s="5"/>
      <c r="B564" s="8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2.5">
      <c r="A565" s="5"/>
      <c r="B565" s="8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2.5">
      <c r="A566" s="5"/>
      <c r="B566" s="8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2.5">
      <c r="A567" s="5"/>
      <c r="B567" s="8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2.5">
      <c r="A568" s="5"/>
      <c r="B568" s="8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2.5">
      <c r="A569" s="5"/>
      <c r="B569" s="8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2.5">
      <c r="A570" s="5"/>
      <c r="B570" s="8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2.5">
      <c r="A571" s="5"/>
      <c r="B571" s="8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2.5">
      <c r="A572" s="5"/>
      <c r="B572" s="8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2.5">
      <c r="A573" s="5"/>
      <c r="B573" s="8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2.5">
      <c r="A574" s="5"/>
      <c r="B574" s="8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2.5">
      <c r="A575" s="5"/>
      <c r="B575" s="8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2.5">
      <c r="A576" s="5"/>
      <c r="B576" s="8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2.5">
      <c r="A577" s="5"/>
      <c r="B577" s="8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2.5">
      <c r="A578" s="5"/>
      <c r="B578" s="8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2.5">
      <c r="A579" s="5"/>
      <c r="B579" s="8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2.5">
      <c r="A580" s="5"/>
      <c r="B580" s="8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2.5">
      <c r="A581" s="5"/>
      <c r="B581" s="8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2.5">
      <c r="A582" s="5"/>
      <c r="B582" s="8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2.5">
      <c r="A583" s="5"/>
      <c r="B583" s="8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2.5">
      <c r="A584" s="5"/>
      <c r="B584" s="8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2.5">
      <c r="A585" s="5"/>
      <c r="B585" s="8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2.5">
      <c r="A586" s="5"/>
      <c r="B586" s="8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2.5">
      <c r="A587" s="5"/>
      <c r="B587" s="8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2.5">
      <c r="A588" s="5"/>
      <c r="B588" s="8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2.5">
      <c r="A589" s="5"/>
      <c r="B589" s="8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2.5">
      <c r="A590" s="5"/>
      <c r="B590" s="8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2.5">
      <c r="A591" s="5"/>
      <c r="B591" s="8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2.5">
      <c r="A592" s="5"/>
      <c r="B592" s="8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2.5">
      <c r="A593" s="5"/>
      <c r="B593" s="8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2.5">
      <c r="A594" s="5"/>
      <c r="B594" s="8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2.5">
      <c r="A595" s="5"/>
      <c r="B595" s="8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2.5">
      <c r="A596" s="5"/>
      <c r="B596" s="8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2.5">
      <c r="A597" s="5"/>
      <c r="B597" s="8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2.5">
      <c r="A598" s="5"/>
      <c r="B598" s="8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2.5">
      <c r="A599" s="5"/>
      <c r="B599" s="8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2.5">
      <c r="A600" s="5"/>
      <c r="B600" s="8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2.5">
      <c r="A601" s="5"/>
      <c r="B601" s="8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2.5">
      <c r="A602" s="5"/>
      <c r="B602" s="8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2.5">
      <c r="A603" s="5"/>
      <c r="B603" s="8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2.5">
      <c r="A604" s="5"/>
      <c r="B604" s="8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2.5">
      <c r="A605" s="5"/>
      <c r="B605" s="8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2.5">
      <c r="A606" s="5"/>
      <c r="B606" s="8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2.5">
      <c r="A607" s="5"/>
      <c r="B607" s="8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2.5">
      <c r="A608" s="5"/>
      <c r="B608" s="8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2.5">
      <c r="A609" s="5"/>
      <c r="B609" s="8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2.5">
      <c r="A610" s="5"/>
      <c r="B610" s="8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2.5">
      <c r="A611" s="5"/>
      <c r="B611" s="8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2.5">
      <c r="A612" s="5"/>
      <c r="B612" s="8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2.5">
      <c r="A613" s="5"/>
      <c r="B613" s="8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2.5">
      <c r="A614" s="5"/>
      <c r="B614" s="8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2.5">
      <c r="A615" s="5"/>
      <c r="B615" s="8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2.5">
      <c r="A616" s="5"/>
      <c r="B616" s="8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2.5">
      <c r="A617" s="5"/>
      <c r="B617" s="8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2.5">
      <c r="A618" s="5"/>
      <c r="B618" s="8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2.5">
      <c r="A619" s="5"/>
      <c r="B619" s="8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2.5">
      <c r="A620" s="5"/>
      <c r="B620" s="8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2.5">
      <c r="A621" s="5"/>
      <c r="B621" s="8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2.5">
      <c r="A622" s="5"/>
      <c r="B622" s="8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2.5">
      <c r="A623" s="5"/>
      <c r="B623" s="8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2.5">
      <c r="A624" s="5"/>
      <c r="B624" s="8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2.5">
      <c r="A625" s="5"/>
      <c r="B625" s="8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2.5">
      <c r="A626" s="5"/>
      <c r="B626" s="8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2.5">
      <c r="A627" s="5"/>
      <c r="B627" s="8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2.5">
      <c r="A628" s="5"/>
      <c r="B628" s="8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2.5">
      <c r="A629" s="5"/>
      <c r="B629" s="8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2.5">
      <c r="A630" s="5"/>
      <c r="B630" s="8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2.5">
      <c r="A631" s="5"/>
      <c r="B631" s="8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2.5">
      <c r="A632" s="5"/>
      <c r="B632" s="8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2.5">
      <c r="A633" s="5"/>
      <c r="B633" s="8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2.5">
      <c r="A634" s="5"/>
      <c r="B634" s="8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2.5">
      <c r="A635" s="5"/>
      <c r="B635" s="8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2.5">
      <c r="A636" s="5"/>
      <c r="B636" s="8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2.5">
      <c r="A637" s="5"/>
      <c r="B637" s="8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2.5">
      <c r="A638" s="5"/>
      <c r="B638" s="8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2.5">
      <c r="A639" s="5"/>
      <c r="B639" s="8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2.5">
      <c r="A640" s="5"/>
      <c r="B640" s="8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2.5">
      <c r="A641" s="5"/>
      <c r="B641" s="8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2.5">
      <c r="A642" s="5"/>
      <c r="B642" s="8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2.5">
      <c r="A643" s="5"/>
      <c r="B643" s="8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2.5">
      <c r="A644" s="5"/>
      <c r="B644" s="8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2.5">
      <c r="A645" s="5"/>
      <c r="B645" s="8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2.5">
      <c r="A646" s="5"/>
      <c r="B646" s="8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2.5">
      <c r="A647" s="5"/>
      <c r="B647" s="8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2.5">
      <c r="A648" s="5"/>
      <c r="B648" s="8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2.5">
      <c r="A649" s="5"/>
      <c r="B649" s="8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2.5">
      <c r="A650" s="5"/>
      <c r="B650" s="8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2.5">
      <c r="A651" s="5"/>
      <c r="B651" s="8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2.5">
      <c r="A652" s="5"/>
      <c r="B652" s="8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2.5">
      <c r="A653" s="5"/>
      <c r="B653" s="8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2.5">
      <c r="A654" s="5"/>
      <c r="B654" s="8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2.5">
      <c r="A655" s="5"/>
      <c r="B655" s="8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2.5">
      <c r="A656" s="5"/>
      <c r="B656" s="8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2.5">
      <c r="A657" s="5"/>
      <c r="B657" s="8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2.5">
      <c r="A658" s="5"/>
      <c r="B658" s="8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2.5">
      <c r="A659" s="5"/>
      <c r="B659" s="8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2.5">
      <c r="A660" s="5"/>
      <c r="B660" s="8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2.5">
      <c r="A661" s="5"/>
      <c r="B661" s="8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2.5">
      <c r="A662" s="5"/>
      <c r="B662" s="8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2.5">
      <c r="A663" s="5"/>
      <c r="B663" s="8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2.5">
      <c r="A664" s="5"/>
      <c r="B664" s="8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2.5">
      <c r="A665" s="5"/>
      <c r="B665" s="8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2.5">
      <c r="A666" s="5"/>
      <c r="B666" s="8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2.5">
      <c r="A667" s="5"/>
      <c r="B667" s="8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2.5">
      <c r="A668" s="5"/>
      <c r="B668" s="8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2.5">
      <c r="A669" s="5"/>
      <c r="B669" s="8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2.5">
      <c r="A670" s="5"/>
      <c r="B670" s="8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2.5">
      <c r="A671" s="5"/>
      <c r="B671" s="8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2.5">
      <c r="A672" s="5"/>
      <c r="B672" s="8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2.5">
      <c r="A673" s="5"/>
      <c r="B673" s="8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2.5">
      <c r="A674" s="5"/>
      <c r="B674" s="8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2.5">
      <c r="A675" s="5"/>
      <c r="B675" s="8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2.5">
      <c r="A676" s="5"/>
      <c r="B676" s="8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2.5">
      <c r="A677" s="5"/>
      <c r="B677" s="8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2.5">
      <c r="A678" s="5"/>
      <c r="B678" s="8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2.5">
      <c r="A679" s="5"/>
      <c r="B679" s="8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2.5">
      <c r="A680" s="5"/>
      <c r="B680" s="8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2.5">
      <c r="A681" s="5"/>
      <c r="B681" s="8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2.5">
      <c r="A682" s="5"/>
      <c r="B682" s="8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2.5">
      <c r="A683" s="5"/>
      <c r="B683" s="8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2.5">
      <c r="A684" s="5"/>
      <c r="B684" s="8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2.5">
      <c r="A685" s="5"/>
      <c r="B685" s="8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2.5">
      <c r="A686" s="5"/>
      <c r="B686" s="8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2.5">
      <c r="A687" s="5"/>
      <c r="B687" s="8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2.5">
      <c r="A688" s="5"/>
      <c r="B688" s="8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2.5">
      <c r="A689" s="5"/>
      <c r="B689" s="8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2.5">
      <c r="A690" s="5"/>
      <c r="B690" s="8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2.5">
      <c r="A691" s="5"/>
      <c r="B691" s="8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2.5">
      <c r="A692" s="5"/>
      <c r="B692" s="8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2.5">
      <c r="A693" s="5"/>
      <c r="B693" s="8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2.5">
      <c r="A694" s="5"/>
      <c r="B694" s="8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2.5">
      <c r="A695" s="5"/>
      <c r="B695" s="8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2.5">
      <c r="A696" s="5"/>
      <c r="B696" s="8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2.5">
      <c r="A697" s="5"/>
      <c r="B697" s="8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2.5">
      <c r="A698" s="5"/>
      <c r="B698" s="8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2.5">
      <c r="A699" s="5"/>
      <c r="B699" s="8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2.5">
      <c r="A700" s="5"/>
      <c r="B700" s="8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2.5">
      <c r="A701" s="5"/>
      <c r="B701" s="8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2.5">
      <c r="A702" s="5"/>
      <c r="B702" s="8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2.5">
      <c r="A703" s="5"/>
      <c r="B703" s="8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2.5">
      <c r="A704" s="5"/>
      <c r="B704" s="8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2.5">
      <c r="A705" s="5"/>
      <c r="B705" s="8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2.5">
      <c r="A706" s="5"/>
      <c r="B706" s="8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2.5">
      <c r="A707" s="5"/>
      <c r="B707" s="8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2.5">
      <c r="A708" s="5"/>
      <c r="B708" s="8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2.5">
      <c r="A709" s="5"/>
      <c r="B709" s="8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2.5">
      <c r="A710" s="5"/>
      <c r="B710" s="8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2.5">
      <c r="A711" s="5"/>
      <c r="B711" s="8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2.5">
      <c r="A712" s="5"/>
      <c r="B712" s="8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2.5">
      <c r="A713" s="5"/>
      <c r="B713" s="8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2.5">
      <c r="A714" s="5"/>
      <c r="B714" s="8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2.5">
      <c r="A715" s="5"/>
      <c r="B715" s="8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2.5">
      <c r="A716" s="5"/>
      <c r="B716" s="8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2.5">
      <c r="A717" s="5"/>
      <c r="B717" s="8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2.5">
      <c r="A718" s="5"/>
      <c r="B718" s="8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2.5">
      <c r="A719" s="5"/>
      <c r="B719" s="8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2.5">
      <c r="A720" s="5"/>
      <c r="B720" s="8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2.5">
      <c r="A721" s="5"/>
      <c r="B721" s="8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2.5">
      <c r="A722" s="5"/>
      <c r="B722" s="8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2.5">
      <c r="A723" s="5"/>
      <c r="B723" s="8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2.5">
      <c r="A724" s="5"/>
      <c r="B724" s="8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2.5">
      <c r="A725" s="5"/>
      <c r="B725" s="8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2.5">
      <c r="A726" s="5"/>
      <c r="B726" s="8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2.5">
      <c r="A727" s="5"/>
      <c r="B727" s="8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2.5">
      <c r="A728" s="5"/>
      <c r="B728" s="8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2.5">
      <c r="A729" s="5"/>
      <c r="B729" s="8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2.5">
      <c r="A730" s="5"/>
      <c r="B730" s="8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2.5">
      <c r="A731" s="5"/>
      <c r="B731" s="8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2.5">
      <c r="A732" s="5"/>
      <c r="B732" s="8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2.5">
      <c r="A733" s="5"/>
      <c r="B733" s="8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2.5">
      <c r="A734" s="5"/>
      <c r="B734" s="8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2.5">
      <c r="A735" s="5"/>
      <c r="B735" s="8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2.5">
      <c r="A736" s="5"/>
      <c r="B736" s="8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2.5">
      <c r="A737" s="5"/>
      <c r="B737" s="8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2.5">
      <c r="A738" s="5"/>
      <c r="B738" s="8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2.5">
      <c r="A739" s="5"/>
      <c r="B739" s="8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2.5">
      <c r="A740" s="5"/>
      <c r="B740" s="8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2.5">
      <c r="A741" s="5"/>
      <c r="B741" s="8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2.5">
      <c r="A742" s="5"/>
      <c r="B742" s="8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2.5">
      <c r="A743" s="5"/>
      <c r="B743" s="8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2.5">
      <c r="A744" s="5"/>
      <c r="B744" s="8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2.5">
      <c r="A745" s="5"/>
      <c r="B745" s="8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2.5">
      <c r="A746" s="5"/>
      <c r="B746" s="8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2.5">
      <c r="A747" s="5"/>
      <c r="B747" s="8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2.5">
      <c r="A748" s="5"/>
      <c r="B748" s="8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2.5">
      <c r="A749" s="5"/>
      <c r="B749" s="8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2.5">
      <c r="A750" s="5"/>
      <c r="B750" s="8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2.5">
      <c r="A751" s="5"/>
      <c r="B751" s="8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2.5">
      <c r="A752" s="5"/>
      <c r="B752" s="8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2.5">
      <c r="A753" s="5"/>
      <c r="B753" s="8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2.5">
      <c r="A754" s="5"/>
      <c r="B754" s="8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2.5">
      <c r="A755" s="5"/>
      <c r="B755" s="8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2.5">
      <c r="A756" s="5"/>
      <c r="B756" s="8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2.5">
      <c r="A757" s="5"/>
      <c r="B757" s="8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2.5">
      <c r="A758" s="5"/>
      <c r="B758" s="8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2.5">
      <c r="A759" s="5"/>
      <c r="B759" s="8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2.5">
      <c r="A760" s="5"/>
      <c r="B760" s="8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2.5">
      <c r="A761" s="5"/>
      <c r="B761" s="8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2.5">
      <c r="A762" s="5"/>
      <c r="B762" s="8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2.5">
      <c r="A763" s="5"/>
      <c r="B763" s="8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2.5">
      <c r="A764" s="5"/>
      <c r="B764" s="8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2.5">
      <c r="A765" s="5"/>
      <c r="B765" s="8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2.5">
      <c r="A766" s="5"/>
      <c r="B766" s="8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2.5">
      <c r="A767" s="5"/>
      <c r="B767" s="8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2.5">
      <c r="A768" s="5"/>
      <c r="B768" s="8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2.5">
      <c r="A769" s="5"/>
      <c r="B769" s="8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2.5">
      <c r="A770" s="5"/>
      <c r="B770" s="8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2.5">
      <c r="A771" s="5"/>
      <c r="B771" s="8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2.5">
      <c r="A772" s="5"/>
      <c r="B772" s="8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2.5">
      <c r="A773" s="5"/>
      <c r="B773" s="8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2.5">
      <c r="A774" s="5"/>
      <c r="B774" s="8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2.5">
      <c r="A775" s="5"/>
      <c r="B775" s="8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2.5">
      <c r="A776" s="5"/>
      <c r="B776" s="8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2.5">
      <c r="A777" s="5"/>
      <c r="B777" s="8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2.5">
      <c r="A778" s="5"/>
      <c r="B778" s="8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2.5">
      <c r="A779" s="5"/>
      <c r="B779" s="8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2.5">
      <c r="A780" s="5"/>
      <c r="B780" s="8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2.5">
      <c r="A781" s="5"/>
      <c r="B781" s="8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2.5">
      <c r="A782" s="5"/>
      <c r="B782" s="8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2.5">
      <c r="A783" s="5"/>
      <c r="B783" s="8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2.5">
      <c r="A784" s="5"/>
      <c r="B784" s="8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2.5">
      <c r="A785" s="5"/>
      <c r="B785" s="8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2.5">
      <c r="A786" s="5"/>
      <c r="B786" s="8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2.5">
      <c r="A787" s="5"/>
      <c r="B787" s="8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2.5">
      <c r="A788" s="5"/>
      <c r="B788" s="8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2.5">
      <c r="A789" s="5"/>
      <c r="B789" s="8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2.5">
      <c r="A790" s="5"/>
      <c r="B790" s="8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2.5">
      <c r="A791" s="5"/>
      <c r="B791" s="8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2.5">
      <c r="A792" s="5"/>
      <c r="B792" s="8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2.5">
      <c r="A793" s="5"/>
      <c r="B793" s="8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2.5">
      <c r="A794" s="5"/>
      <c r="B794" s="8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2.5">
      <c r="A795" s="5"/>
      <c r="B795" s="8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2.5">
      <c r="A796" s="5"/>
      <c r="B796" s="8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2.5">
      <c r="A797" s="5"/>
      <c r="B797" s="8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2.5">
      <c r="A798" s="5"/>
      <c r="B798" s="8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2.5">
      <c r="A799" s="5"/>
      <c r="B799" s="8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2.5">
      <c r="A800" s="5"/>
      <c r="B800" s="8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2.5">
      <c r="A801" s="5"/>
      <c r="B801" s="8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2.5">
      <c r="A802" s="5"/>
      <c r="B802" s="8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2.5">
      <c r="A803" s="5"/>
      <c r="B803" s="8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2.5">
      <c r="A804" s="5"/>
      <c r="B804" s="8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2.5">
      <c r="A805" s="5"/>
      <c r="B805" s="8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2.5">
      <c r="A806" s="5"/>
      <c r="B806" s="8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2.5">
      <c r="A807" s="5"/>
      <c r="B807" s="8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2.5">
      <c r="A808" s="5"/>
      <c r="B808" s="8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2.5">
      <c r="A809" s="5"/>
      <c r="B809" s="8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2.5">
      <c r="A810" s="5"/>
      <c r="B810" s="8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2.5">
      <c r="A811" s="5"/>
      <c r="B811" s="8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2.5">
      <c r="A812" s="5"/>
      <c r="B812" s="8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2.5">
      <c r="A813" s="5"/>
      <c r="B813" s="8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2.5">
      <c r="A814" s="5"/>
      <c r="B814" s="8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2.5">
      <c r="A815" s="5"/>
      <c r="B815" s="8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2.5">
      <c r="A816" s="5"/>
      <c r="B816" s="8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2.5">
      <c r="A817" s="5"/>
      <c r="B817" s="8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2.5">
      <c r="A818" s="5"/>
      <c r="B818" s="8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2.5">
      <c r="A819" s="5"/>
      <c r="B819" s="8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2.5">
      <c r="A820" s="5"/>
      <c r="B820" s="8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2.5">
      <c r="A821" s="5"/>
      <c r="B821" s="8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2.5">
      <c r="A822" s="5"/>
      <c r="B822" s="8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2.5">
      <c r="A823" s="5"/>
      <c r="B823" s="8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2.5">
      <c r="A824" s="5"/>
      <c r="B824" s="8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2.5">
      <c r="A825" s="5"/>
      <c r="B825" s="8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2.5">
      <c r="A826" s="5"/>
      <c r="B826" s="8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2.5">
      <c r="A827" s="5"/>
      <c r="B827" s="8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2.5">
      <c r="A828" s="5"/>
      <c r="B828" s="8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2.5">
      <c r="A829" s="5"/>
      <c r="B829" s="8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2.5">
      <c r="A830" s="5"/>
      <c r="B830" s="8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2.5">
      <c r="A831" s="5"/>
      <c r="B831" s="8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2.5">
      <c r="A832" s="5"/>
      <c r="B832" s="8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2.5">
      <c r="A833" s="5"/>
      <c r="B833" s="8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2.5">
      <c r="A834" s="5"/>
      <c r="B834" s="8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2.5">
      <c r="A835" s="5"/>
      <c r="B835" s="8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2.5">
      <c r="A836" s="5"/>
      <c r="B836" s="8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2.5">
      <c r="A837" s="5"/>
      <c r="B837" s="8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2.5">
      <c r="A838" s="5"/>
      <c r="B838" s="8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2.5">
      <c r="A839" s="5"/>
      <c r="B839" s="8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2.5">
      <c r="A840" s="5"/>
      <c r="B840" s="8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2.5">
      <c r="A841" s="5"/>
      <c r="B841" s="8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2.5">
      <c r="A842" s="5"/>
      <c r="B842" s="8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2.5">
      <c r="A843" s="5"/>
      <c r="B843" s="8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2.5">
      <c r="A844" s="5"/>
      <c r="B844" s="8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2.5">
      <c r="A845" s="5"/>
      <c r="B845" s="8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2.5">
      <c r="A846" s="5"/>
      <c r="B846" s="8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2.5">
      <c r="A847" s="5"/>
      <c r="B847" s="8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2.5">
      <c r="A848" s="5"/>
      <c r="B848" s="8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2.5">
      <c r="A849" s="5"/>
      <c r="B849" s="8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2.5">
      <c r="A850" s="5"/>
      <c r="B850" s="8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2.5">
      <c r="A851" s="5"/>
      <c r="B851" s="8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2.5">
      <c r="A852" s="5"/>
      <c r="B852" s="8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2.5">
      <c r="A853" s="5"/>
      <c r="B853" s="8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2.5">
      <c r="A854" s="5"/>
      <c r="B854" s="8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2.5">
      <c r="A855" s="5"/>
      <c r="B855" s="8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2.5">
      <c r="A856" s="5"/>
      <c r="B856" s="8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2.5">
      <c r="A857" s="5"/>
      <c r="B857" s="8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2.5">
      <c r="A858" s="5"/>
      <c r="B858" s="8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2.5">
      <c r="A859" s="5"/>
      <c r="B859" s="8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2.5">
      <c r="A860" s="5"/>
      <c r="B860" s="8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2.5">
      <c r="A861" s="5"/>
      <c r="B861" s="8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2.5">
      <c r="A862" s="5"/>
      <c r="B862" s="8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2.5">
      <c r="A863" s="5"/>
      <c r="B863" s="8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2.5">
      <c r="A864" s="5"/>
      <c r="B864" s="8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2.5">
      <c r="A865" s="5"/>
      <c r="B865" s="8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2.5">
      <c r="A866" s="5"/>
      <c r="B866" s="8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2.5">
      <c r="A867" s="5"/>
      <c r="B867" s="8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2.5">
      <c r="A868" s="5"/>
      <c r="B868" s="8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2.5">
      <c r="A869" s="5"/>
      <c r="B869" s="8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2.5">
      <c r="A870" s="5"/>
      <c r="B870" s="8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2.5">
      <c r="A871" s="5"/>
      <c r="B871" s="8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2.5">
      <c r="A872" s="5"/>
      <c r="B872" s="8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2.5">
      <c r="A873" s="5"/>
      <c r="B873" s="8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2.5">
      <c r="A874" s="5"/>
      <c r="B874" s="8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2.5">
      <c r="A875" s="5"/>
      <c r="B875" s="8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2.5">
      <c r="A876" s="5"/>
      <c r="B876" s="8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2.5">
      <c r="A877" s="5"/>
      <c r="B877" s="8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2.5">
      <c r="A878" s="5"/>
      <c r="B878" s="8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2.5">
      <c r="A879" s="5"/>
      <c r="B879" s="8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2.5">
      <c r="A880" s="5"/>
      <c r="B880" s="8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2.5">
      <c r="A881" s="5"/>
      <c r="B881" s="8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2.5">
      <c r="A882" s="5"/>
      <c r="B882" s="8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2.5">
      <c r="A883" s="5"/>
      <c r="B883" s="8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2.5">
      <c r="A884" s="5"/>
      <c r="B884" s="8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2.5">
      <c r="A885" s="5"/>
      <c r="B885" s="8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2.5">
      <c r="A886" s="5"/>
      <c r="B886" s="8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2.5">
      <c r="A887" s="5"/>
      <c r="B887" s="8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2.5">
      <c r="A888" s="5"/>
      <c r="B888" s="8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2.5">
      <c r="A889" s="5"/>
      <c r="B889" s="8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2.5">
      <c r="A890" s="5"/>
      <c r="B890" s="8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2.5">
      <c r="A891" s="5"/>
      <c r="B891" s="8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2.5">
      <c r="A892" s="5"/>
      <c r="B892" s="8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2.5">
      <c r="A893" s="5"/>
      <c r="B893" s="8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2.5">
      <c r="A894" s="5"/>
      <c r="B894" s="8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2.5">
      <c r="A895" s="5"/>
      <c r="B895" s="8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2.5">
      <c r="A896" s="5"/>
      <c r="B896" s="8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2.5">
      <c r="A897" s="5"/>
      <c r="B897" s="8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2.5">
      <c r="A898" s="5"/>
      <c r="B898" s="8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2.5">
      <c r="A899" s="5"/>
      <c r="B899" s="8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2.5">
      <c r="A900" s="5"/>
      <c r="B900" s="8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2.5">
      <c r="A901" s="5"/>
      <c r="B901" s="8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2.5">
      <c r="A902" s="5"/>
      <c r="B902" s="8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2.5">
      <c r="A903" s="5"/>
      <c r="B903" s="8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2.5">
      <c r="A904" s="5"/>
      <c r="B904" s="8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2.5">
      <c r="A905" s="5"/>
      <c r="B905" s="8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2.5">
      <c r="A906" s="5"/>
      <c r="B906" s="8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2.5">
      <c r="A907" s="5"/>
      <c r="B907" s="8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2.5">
      <c r="A908" s="5"/>
      <c r="B908" s="8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2.5">
      <c r="A909" s="5"/>
      <c r="B909" s="8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2.5">
      <c r="A910" s="5"/>
      <c r="B910" s="8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2.5">
      <c r="A911" s="5"/>
      <c r="B911" s="8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2.5">
      <c r="A912" s="5"/>
      <c r="B912" s="8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2.5">
      <c r="A913" s="5"/>
      <c r="B913" s="8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2.5">
      <c r="A914" s="5"/>
      <c r="B914" s="8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2.5">
      <c r="A915" s="5"/>
      <c r="B915" s="8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2.5">
      <c r="A916" s="5"/>
      <c r="B916" s="8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2.5">
      <c r="A917" s="5"/>
      <c r="B917" s="8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2.5">
      <c r="A918" s="5"/>
      <c r="B918" s="8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2.5">
      <c r="A919" s="5"/>
      <c r="B919" s="8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2.5">
      <c r="A920" s="5"/>
      <c r="B920" s="8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2.5">
      <c r="A921" s="5"/>
      <c r="B921" s="8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2.5">
      <c r="A922" s="5"/>
      <c r="B922" s="8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2.5">
      <c r="A923" s="5"/>
      <c r="B923" s="8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2.5">
      <c r="A924" s="5"/>
      <c r="B924" s="8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2.5">
      <c r="A925" s="5"/>
      <c r="B925" s="8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2.5">
      <c r="A926" s="5"/>
      <c r="B926" s="8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2.5">
      <c r="A927" s="5"/>
      <c r="B927" s="8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2.5">
      <c r="A928" s="5"/>
      <c r="B928" s="8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2.5">
      <c r="A929" s="5"/>
      <c r="B929" s="8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2.5">
      <c r="A930" s="5"/>
      <c r="B930" s="8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2.5">
      <c r="A931" s="5"/>
      <c r="B931" s="8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2.5">
      <c r="A932" s="5"/>
      <c r="B932" s="8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2.5">
      <c r="A933" s="5"/>
      <c r="B933" s="8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2.5">
      <c r="A934" s="5"/>
      <c r="B934" s="8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2.5">
      <c r="A935" s="5"/>
      <c r="B935" s="8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2.5">
      <c r="A936" s="5"/>
      <c r="B936" s="8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2.5">
      <c r="A937" s="5"/>
      <c r="B937" s="8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2.5">
      <c r="A938" s="5"/>
      <c r="B938" s="8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2.5">
      <c r="A939" s="5"/>
      <c r="B939" s="8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2.5">
      <c r="A940" s="5"/>
      <c r="B940" s="8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2.5">
      <c r="A941" s="5"/>
      <c r="B941" s="8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2.5">
      <c r="A942" s="5"/>
      <c r="B942" s="8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2.5">
      <c r="A943" s="5"/>
      <c r="B943" s="8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2.5">
      <c r="A944" s="5"/>
      <c r="B944" s="8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2.5">
      <c r="A945" s="5"/>
      <c r="B945" s="8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2.5">
      <c r="A946" s="5"/>
      <c r="B946" s="8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2.5">
      <c r="A947" s="5"/>
      <c r="B947" s="8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2.5">
      <c r="A948" s="5"/>
      <c r="B948" s="8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2.5">
      <c r="A949" s="5"/>
      <c r="B949" s="8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2.5">
      <c r="A950" s="5"/>
      <c r="B950" s="8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2.5">
      <c r="A951" s="5"/>
      <c r="B951" s="8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2.5">
      <c r="A952" s="5"/>
      <c r="B952" s="8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2.5">
      <c r="A953" s="5"/>
      <c r="B953" s="8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2.5">
      <c r="A954" s="5"/>
      <c r="B954" s="8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2.5">
      <c r="A955" s="5"/>
      <c r="B955" s="8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2.5">
      <c r="A956" s="5"/>
      <c r="B956" s="8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2.5">
      <c r="A957" s="5"/>
      <c r="B957" s="8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2.5">
      <c r="A958" s="5"/>
      <c r="B958" s="8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2.5">
      <c r="A959" s="5"/>
      <c r="B959" s="8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2.5">
      <c r="A960" s="5"/>
      <c r="B960" s="8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2.5">
      <c r="A961" s="5"/>
      <c r="B961" s="8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2.5">
      <c r="A962" s="5"/>
      <c r="B962" s="8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2.5">
      <c r="A963" s="5"/>
      <c r="B963" s="8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2.5">
      <c r="A964" s="5"/>
      <c r="B964" s="8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2.5">
      <c r="A965" s="5"/>
      <c r="B965" s="8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2.5">
      <c r="A966" s="5"/>
      <c r="B966" s="8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2.5">
      <c r="A967" s="5"/>
      <c r="B967" s="8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2.5">
      <c r="A968" s="5"/>
      <c r="B968" s="8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2.5">
      <c r="A969" s="5"/>
      <c r="B969" s="8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2.5">
      <c r="A970" s="5"/>
      <c r="B970" s="8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2.5">
      <c r="A971" s="5"/>
      <c r="B971" s="8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2.5">
      <c r="A972" s="5"/>
      <c r="B972" s="8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2.5">
      <c r="A973" s="5"/>
      <c r="B973" s="8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2.5">
      <c r="A974" s="5"/>
      <c r="B974" s="8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2.5">
      <c r="A975" s="5"/>
      <c r="B975" s="8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2.5">
      <c r="A976" s="5"/>
      <c r="B976" s="8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2.5">
      <c r="A977" s="5"/>
      <c r="B977" s="8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2.5">
      <c r="A978" s="5"/>
      <c r="B978" s="8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2.5">
      <c r="A979" s="5"/>
      <c r="B979" s="8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2.5">
      <c r="A980" s="5"/>
      <c r="B980" s="8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2.5">
      <c r="A981" s="5"/>
      <c r="B981" s="8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2.5">
      <c r="A982" s="5"/>
      <c r="B982" s="8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2.5">
      <c r="A983" s="5"/>
      <c r="B983" s="8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2.5">
      <c r="A984" s="5"/>
      <c r="B984" s="8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2.5">
      <c r="A985" s="5"/>
      <c r="B985" s="8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2.5">
      <c r="A986" s="5"/>
      <c r="B986" s="8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2.5">
      <c r="A987" s="5"/>
      <c r="B987" s="8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2.5">
      <c r="A988" s="5"/>
      <c r="B988" s="8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2.5">
      <c r="A989" s="5"/>
      <c r="B989" s="8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2.5">
      <c r="A990" s="5"/>
      <c r="B990" s="8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2.5">
      <c r="A991" s="5"/>
      <c r="B991" s="8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2.5">
      <c r="A992" s="5"/>
      <c r="B992" s="8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2.5">
      <c r="A993" s="5"/>
      <c r="B993" s="8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</sheetData>
  <mergeCells count="40">
    <mergeCell ref="B41:B46"/>
    <mergeCell ref="C41:C46"/>
    <mergeCell ref="D46:E46"/>
    <mergeCell ref="B9:B19"/>
    <mergeCell ref="C9:C19"/>
    <mergeCell ref="D19:E19"/>
    <mergeCell ref="B20:B28"/>
    <mergeCell ref="C20:C28"/>
    <mergeCell ref="D28:E28"/>
    <mergeCell ref="B29:B34"/>
    <mergeCell ref="C29:C34"/>
    <mergeCell ref="D34:E34"/>
    <mergeCell ref="B35:B40"/>
    <mergeCell ref="C35:C40"/>
    <mergeCell ref="D40:E40"/>
    <mergeCell ref="T6:T8"/>
    <mergeCell ref="U6:U8"/>
    <mergeCell ref="H7:I7"/>
    <mergeCell ref="J7:K7"/>
    <mergeCell ref="B5:C5"/>
    <mergeCell ref="B6:B8"/>
    <mergeCell ref="C6:C8"/>
    <mergeCell ref="D6:D8"/>
    <mergeCell ref="E6:E8"/>
    <mergeCell ref="F6:F8"/>
    <mergeCell ref="G6:G8"/>
    <mergeCell ref="L7:M7"/>
    <mergeCell ref="N7:O7"/>
    <mergeCell ref="P7:Q7"/>
    <mergeCell ref="R7:S7"/>
    <mergeCell ref="H6:K6"/>
    <mergeCell ref="L6:O6"/>
    <mergeCell ref="P6:S6"/>
    <mergeCell ref="B2:U2"/>
    <mergeCell ref="N3:P3"/>
    <mergeCell ref="Q3:S3"/>
    <mergeCell ref="T3:U3"/>
    <mergeCell ref="N4:P4"/>
    <mergeCell ref="Q4:S4"/>
    <mergeCell ref="T4:U4"/>
  </mergeCells>
  <phoneticPr fontId="64" type="noConversion"/>
  <printOptions horizontalCentered="1" gridLines="1"/>
  <pageMargins left="0.7" right="0.7" top="0.75" bottom="0.75" header="0" footer="0"/>
  <pageSetup paperSize="9" pageOrder="overThenDown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  <outlinePr summaryBelow="0" summaryRight="0"/>
    <pageSetUpPr fitToPage="1"/>
  </sheetPr>
  <dimension ref="A1:X1001"/>
  <sheetViews>
    <sheetView workbookViewId="0">
      <selection activeCell="V5" sqref="V3:X5"/>
    </sheetView>
  </sheetViews>
  <sheetFormatPr defaultColWidth="12.6328125" defaultRowHeight="15.75" customHeight="1"/>
  <cols>
    <col min="1" max="1" width="4.08984375" customWidth="1"/>
    <col min="2" max="2" width="6" customWidth="1"/>
    <col min="3" max="3" width="4" customWidth="1"/>
    <col min="4" max="4" width="8.08984375" customWidth="1"/>
    <col min="5" max="5" width="8.7265625" customWidth="1"/>
    <col min="6" max="6" width="23.54296875" customWidth="1"/>
    <col min="7" max="7" width="10" customWidth="1"/>
    <col min="8" max="10" width="5.08984375" customWidth="1"/>
    <col min="11" max="16" width="10" customWidth="1"/>
    <col min="17" max="18" width="6.26953125" customWidth="1"/>
    <col min="19" max="19" width="6.6328125" customWidth="1"/>
    <col min="20" max="20" width="4.7265625" customWidth="1"/>
  </cols>
  <sheetData>
    <row r="1" spans="1:24" ht="14.2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ht="25.5" customHeight="1">
      <c r="A2" s="1"/>
      <c r="B2" s="237" t="s">
        <v>0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07"/>
      <c r="Q2" s="32"/>
      <c r="R2" s="238">
        <v>2027</v>
      </c>
      <c r="S2" s="207"/>
      <c r="T2" s="1"/>
      <c r="U2" s="328" t="s">
        <v>537</v>
      </c>
      <c r="V2" s="329" t="s">
        <v>538</v>
      </c>
      <c r="W2" s="330" t="s">
        <v>539</v>
      </c>
      <c r="X2" s="331" t="s">
        <v>540</v>
      </c>
    </row>
    <row r="3" spans="1:24" ht="14">
      <c r="A3" s="1"/>
      <c r="B3" s="239" t="s">
        <v>53</v>
      </c>
      <c r="C3" s="234" t="s">
        <v>2</v>
      </c>
      <c r="D3" s="225"/>
      <c r="E3" s="217"/>
      <c r="F3" s="234" t="s">
        <v>98</v>
      </c>
      <c r="G3" s="217"/>
      <c r="H3" s="234" t="s">
        <v>99</v>
      </c>
      <c r="I3" s="225"/>
      <c r="J3" s="217"/>
      <c r="K3" s="234" t="s">
        <v>100</v>
      </c>
      <c r="L3" s="225"/>
      <c r="M3" s="235" t="s">
        <v>101</v>
      </c>
      <c r="N3" s="211"/>
      <c r="O3" s="211"/>
      <c r="P3" s="211"/>
      <c r="Q3" s="211"/>
      <c r="R3" s="211"/>
      <c r="S3" s="207"/>
      <c r="T3" s="1"/>
      <c r="U3" s="332"/>
      <c r="V3" s="336" t="s">
        <v>541</v>
      </c>
      <c r="W3" s="337" t="s">
        <v>544</v>
      </c>
      <c r="X3" s="334" t="s">
        <v>545</v>
      </c>
    </row>
    <row r="4" spans="1:24" ht="14">
      <c r="A4" s="1"/>
      <c r="B4" s="209"/>
      <c r="C4" s="220"/>
      <c r="D4" s="227"/>
      <c r="E4" s="221"/>
      <c r="F4" s="220"/>
      <c r="G4" s="221"/>
      <c r="H4" s="220"/>
      <c r="I4" s="227"/>
      <c r="J4" s="221"/>
      <c r="K4" s="220"/>
      <c r="L4" s="227"/>
      <c r="M4" s="235" t="s">
        <v>3</v>
      </c>
      <c r="N4" s="211"/>
      <c r="O4" s="235" t="s">
        <v>105</v>
      </c>
      <c r="P4" s="207"/>
      <c r="Q4" s="235" t="s">
        <v>106</v>
      </c>
      <c r="R4" s="211"/>
      <c r="S4" s="207"/>
      <c r="T4" s="1"/>
      <c r="U4" s="332"/>
      <c r="V4" s="338" t="s">
        <v>542</v>
      </c>
      <c r="W4" s="339" t="s">
        <v>546</v>
      </c>
      <c r="X4" s="334" t="s">
        <v>547</v>
      </c>
    </row>
    <row r="5" spans="1:24" ht="35.5" customHeight="1" thickBot="1">
      <c r="A5" s="1"/>
      <c r="B5" s="60" t="s">
        <v>109</v>
      </c>
      <c r="C5" s="240" t="s">
        <v>5</v>
      </c>
      <c r="D5" s="211"/>
      <c r="E5" s="207"/>
      <c r="F5" s="240" t="s">
        <v>255</v>
      </c>
      <c r="G5" s="207"/>
      <c r="H5" s="240" t="s">
        <v>301</v>
      </c>
      <c r="I5" s="211"/>
      <c r="J5" s="207"/>
      <c r="K5" s="240"/>
      <c r="L5" s="211"/>
      <c r="M5" s="240" t="s">
        <v>302</v>
      </c>
      <c r="N5" s="211"/>
      <c r="O5" s="240" t="s">
        <v>120</v>
      </c>
      <c r="P5" s="211"/>
      <c r="Q5" s="325" t="s">
        <v>303</v>
      </c>
      <c r="R5" s="326"/>
      <c r="S5" s="327"/>
      <c r="T5" s="1"/>
      <c r="U5" s="333"/>
      <c r="V5" s="340" t="s">
        <v>543</v>
      </c>
      <c r="W5" s="341" t="s">
        <v>550</v>
      </c>
      <c r="X5" s="335" t="s">
        <v>551</v>
      </c>
    </row>
    <row r="6" spans="1:24" ht="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36"/>
      <c r="Q6" s="226"/>
      <c r="R6" s="226"/>
      <c r="S6" s="226"/>
      <c r="T6" s="1"/>
    </row>
    <row r="7" spans="1:24" ht="20.25" customHeight="1">
      <c r="A7" s="63"/>
      <c r="B7" s="230" t="s">
        <v>126</v>
      </c>
      <c r="C7" s="217"/>
      <c r="D7" s="208" t="s">
        <v>128</v>
      </c>
      <c r="E7" s="210" t="s">
        <v>129</v>
      </c>
      <c r="F7" s="211"/>
      <c r="G7" s="207"/>
      <c r="H7" s="290" t="s">
        <v>527</v>
      </c>
      <c r="I7" s="290" t="s">
        <v>525</v>
      </c>
      <c r="J7" s="290" t="s">
        <v>526</v>
      </c>
      <c r="K7" s="210" t="s">
        <v>14</v>
      </c>
      <c r="L7" s="207"/>
      <c r="M7" s="210" t="s">
        <v>15</v>
      </c>
      <c r="N7" s="207"/>
      <c r="O7" s="210" t="s">
        <v>16</v>
      </c>
      <c r="P7" s="207"/>
      <c r="Q7" s="291" t="s">
        <v>528</v>
      </c>
      <c r="R7" s="217"/>
      <c r="S7" s="290" t="s">
        <v>529</v>
      </c>
      <c r="T7" s="70"/>
    </row>
    <row r="8" spans="1:24" ht="20.25" customHeight="1">
      <c r="A8" s="63"/>
      <c r="B8" s="220"/>
      <c r="C8" s="221"/>
      <c r="D8" s="209"/>
      <c r="E8" s="72" t="s">
        <v>145</v>
      </c>
      <c r="F8" s="210" t="s">
        <v>146</v>
      </c>
      <c r="G8" s="207"/>
      <c r="H8" s="209"/>
      <c r="I8" s="209"/>
      <c r="J8" s="209"/>
      <c r="K8" s="72" t="s">
        <v>19</v>
      </c>
      <c r="L8" s="72" t="s">
        <v>20</v>
      </c>
      <c r="M8" s="72" t="s">
        <v>19</v>
      </c>
      <c r="N8" s="72" t="s">
        <v>20</v>
      </c>
      <c r="O8" s="72" t="s">
        <v>19</v>
      </c>
      <c r="P8" s="72" t="s">
        <v>20</v>
      </c>
      <c r="Q8" s="220"/>
      <c r="R8" s="221"/>
      <c r="S8" s="209"/>
      <c r="T8" s="63"/>
    </row>
    <row r="9" spans="1:24" ht="14">
      <c r="A9" s="1"/>
      <c r="B9" s="216" t="s">
        <v>149</v>
      </c>
      <c r="C9" s="217"/>
      <c r="D9" s="212" t="s">
        <v>153</v>
      </c>
      <c r="E9" s="74" t="s">
        <v>154</v>
      </c>
      <c r="F9" s="206" t="s">
        <v>155</v>
      </c>
      <c r="G9" s="207"/>
      <c r="H9" s="74">
        <v>4</v>
      </c>
      <c r="I9" s="74" t="s">
        <v>156</v>
      </c>
      <c r="J9" s="74">
        <f t="shared" ref="J9:J35" si="0">SUM(K9:P9)</f>
        <v>3</v>
      </c>
      <c r="K9" s="75">
        <v>3</v>
      </c>
      <c r="L9" s="76"/>
      <c r="M9" s="76"/>
      <c r="N9" s="76"/>
      <c r="O9" s="76"/>
      <c r="P9" s="76"/>
      <c r="Q9" s="74">
        <f t="shared" ref="Q9:Q28" si="1">J9</f>
        <v>3</v>
      </c>
      <c r="R9" s="212">
        <f>SUM(Q9:Q11)</f>
        <v>9</v>
      </c>
      <c r="S9" s="215">
        <v>24</v>
      </c>
      <c r="T9" s="1"/>
    </row>
    <row r="10" spans="1:24" ht="14">
      <c r="A10" s="1"/>
      <c r="B10" s="218"/>
      <c r="C10" s="219"/>
      <c r="D10" s="213"/>
      <c r="E10" s="74" t="s">
        <v>154</v>
      </c>
      <c r="F10" s="206" t="s">
        <v>162</v>
      </c>
      <c r="G10" s="207"/>
      <c r="H10" s="74">
        <v>4</v>
      </c>
      <c r="I10" s="74" t="s">
        <v>156</v>
      </c>
      <c r="J10" s="74">
        <f t="shared" si="0"/>
        <v>3</v>
      </c>
      <c r="K10" s="76"/>
      <c r="L10" s="75">
        <v>3</v>
      </c>
      <c r="M10" s="76"/>
      <c r="N10" s="76"/>
      <c r="O10" s="76"/>
      <c r="P10" s="76"/>
      <c r="Q10" s="74">
        <f t="shared" si="1"/>
        <v>3</v>
      </c>
      <c r="R10" s="213"/>
      <c r="S10" s="213"/>
      <c r="T10" s="1"/>
    </row>
    <row r="11" spans="1:24" ht="14">
      <c r="A11" s="1"/>
      <c r="B11" s="218"/>
      <c r="C11" s="219"/>
      <c r="D11" s="209"/>
      <c r="E11" s="74" t="s">
        <v>165</v>
      </c>
      <c r="F11" s="206" t="s">
        <v>166</v>
      </c>
      <c r="G11" s="207"/>
      <c r="H11" s="74">
        <v>4</v>
      </c>
      <c r="I11" s="74" t="s">
        <v>167</v>
      </c>
      <c r="J11" s="74">
        <f t="shared" si="0"/>
        <v>3</v>
      </c>
      <c r="K11" s="76"/>
      <c r="L11" s="76"/>
      <c r="M11" s="75"/>
      <c r="N11" s="75">
        <v>3</v>
      </c>
      <c r="O11" s="76"/>
      <c r="P11" s="76"/>
      <c r="Q11" s="74">
        <f t="shared" si="1"/>
        <v>3</v>
      </c>
      <c r="R11" s="209"/>
      <c r="S11" s="213"/>
      <c r="T11" s="1"/>
    </row>
    <row r="12" spans="1:24" ht="14">
      <c r="A12" s="1"/>
      <c r="B12" s="218"/>
      <c r="C12" s="219"/>
      <c r="D12" s="212" t="s">
        <v>168</v>
      </c>
      <c r="E12" s="74" t="s">
        <v>154</v>
      </c>
      <c r="F12" s="206" t="s">
        <v>169</v>
      </c>
      <c r="G12" s="207"/>
      <c r="H12" s="74">
        <v>4</v>
      </c>
      <c r="I12" s="74" t="s">
        <v>156</v>
      </c>
      <c r="J12" s="74">
        <f t="shared" si="0"/>
        <v>3</v>
      </c>
      <c r="K12" s="75">
        <v>3</v>
      </c>
      <c r="L12" s="76"/>
      <c r="M12" s="76"/>
      <c r="N12" s="76"/>
      <c r="O12" s="76"/>
      <c r="P12" s="76"/>
      <c r="Q12" s="74">
        <f t="shared" si="1"/>
        <v>3</v>
      </c>
      <c r="R12" s="212">
        <f>SUM(Q12:Q14)</f>
        <v>9</v>
      </c>
      <c r="S12" s="213"/>
      <c r="T12" s="1"/>
    </row>
    <row r="13" spans="1:24" ht="14">
      <c r="A13" s="1"/>
      <c r="B13" s="218"/>
      <c r="C13" s="219"/>
      <c r="D13" s="213"/>
      <c r="E13" s="74" t="s">
        <v>154</v>
      </c>
      <c r="F13" s="206" t="s">
        <v>172</v>
      </c>
      <c r="G13" s="207"/>
      <c r="H13" s="74">
        <v>4</v>
      </c>
      <c r="I13" s="74" t="s">
        <v>156</v>
      </c>
      <c r="J13" s="74">
        <f t="shared" si="0"/>
        <v>3</v>
      </c>
      <c r="K13" s="76"/>
      <c r="L13" s="75">
        <v>3</v>
      </c>
      <c r="M13" s="76"/>
      <c r="N13" s="76"/>
      <c r="O13" s="76"/>
      <c r="P13" s="76"/>
      <c r="Q13" s="74">
        <f t="shared" si="1"/>
        <v>3</v>
      </c>
      <c r="R13" s="213"/>
      <c r="S13" s="213"/>
      <c r="T13" s="1"/>
    </row>
    <row r="14" spans="1:24" ht="14">
      <c r="A14" s="1"/>
      <c r="B14" s="218"/>
      <c r="C14" s="219"/>
      <c r="D14" s="209"/>
      <c r="E14" s="74" t="s">
        <v>165</v>
      </c>
      <c r="F14" s="206" t="s">
        <v>173</v>
      </c>
      <c r="G14" s="207"/>
      <c r="H14" s="74">
        <v>4</v>
      </c>
      <c r="I14" s="74" t="s">
        <v>167</v>
      </c>
      <c r="J14" s="74">
        <f t="shared" si="0"/>
        <v>3</v>
      </c>
      <c r="K14" s="76"/>
      <c r="L14" s="76"/>
      <c r="M14" s="75"/>
      <c r="N14" s="75">
        <v>3</v>
      </c>
      <c r="O14" s="76"/>
      <c r="P14" s="76"/>
      <c r="Q14" s="74">
        <f t="shared" si="1"/>
        <v>3</v>
      </c>
      <c r="R14" s="209"/>
      <c r="S14" s="213"/>
      <c r="T14" s="1"/>
    </row>
    <row r="15" spans="1:24" ht="14">
      <c r="A15" s="1"/>
      <c r="B15" s="218"/>
      <c r="C15" s="219"/>
      <c r="D15" s="212" t="s">
        <v>175</v>
      </c>
      <c r="E15" s="74" t="s">
        <v>154</v>
      </c>
      <c r="F15" s="206" t="s">
        <v>177</v>
      </c>
      <c r="G15" s="207"/>
      <c r="H15" s="74">
        <v>4</v>
      </c>
      <c r="I15" s="74" t="s">
        <v>156</v>
      </c>
      <c r="J15" s="74">
        <f t="shared" si="0"/>
        <v>3</v>
      </c>
      <c r="K15" s="75">
        <v>3</v>
      </c>
      <c r="L15" s="76"/>
      <c r="M15" s="76"/>
      <c r="N15" s="76"/>
      <c r="O15" s="76"/>
      <c r="P15" s="76"/>
      <c r="Q15" s="74">
        <f t="shared" si="1"/>
        <v>3</v>
      </c>
      <c r="R15" s="212">
        <f>SUM(Q15:Q17)</f>
        <v>9</v>
      </c>
      <c r="S15" s="213"/>
      <c r="T15" s="1"/>
    </row>
    <row r="16" spans="1:24" ht="14">
      <c r="A16" s="1"/>
      <c r="B16" s="218"/>
      <c r="C16" s="219"/>
      <c r="D16" s="213"/>
      <c r="E16" s="74" t="s">
        <v>154</v>
      </c>
      <c r="F16" s="206" t="s">
        <v>178</v>
      </c>
      <c r="G16" s="207"/>
      <c r="H16" s="74">
        <v>4</v>
      </c>
      <c r="I16" s="74" t="s">
        <v>156</v>
      </c>
      <c r="J16" s="74">
        <f t="shared" si="0"/>
        <v>3</v>
      </c>
      <c r="K16" s="76"/>
      <c r="L16" s="75">
        <v>3</v>
      </c>
      <c r="M16" s="76"/>
      <c r="N16" s="76"/>
      <c r="O16" s="76"/>
      <c r="P16" s="76"/>
      <c r="Q16" s="74">
        <f t="shared" si="1"/>
        <v>3</v>
      </c>
      <c r="R16" s="213"/>
      <c r="S16" s="213"/>
      <c r="T16" s="1"/>
    </row>
    <row r="17" spans="1:20" ht="14">
      <c r="A17" s="1"/>
      <c r="B17" s="218"/>
      <c r="C17" s="219"/>
      <c r="D17" s="209"/>
      <c r="E17" s="74" t="s">
        <v>165</v>
      </c>
      <c r="F17" s="206" t="s">
        <v>180</v>
      </c>
      <c r="G17" s="207"/>
      <c r="H17" s="74">
        <v>4</v>
      </c>
      <c r="I17" s="74" t="s">
        <v>167</v>
      </c>
      <c r="J17" s="74">
        <f t="shared" si="0"/>
        <v>3</v>
      </c>
      <c r="K17" s="76"/>
      <c r="L17" s="76"/>
      <c r="M17" s="75">
        <v>3</v>
      </c>
      <c r="N17" s="75"/>
      <c r="O17" s="76"/>
      <c r="P17" s="76"/>
      <c r="Q17" s="74">
        <f t="shared" si="1"/>
        <v>3</v>
      </c>
      <c r="R17" s="209"/>
      <c r="S17" s="209"/>
      <c r="T17" s="1"/>
    </row>
    <row r="18" spans="1:20" ht="14">
      <c r="A18" s="1"/>
      <c r="B18" s="218"/>
      <c r="C18" s="219"/>
      <c r="D18" s="214" t="s">
        <v>182</v>
      </c>
      <c r="E18" s="74" t="s">
        <v>154</v>
      </c>
      <c r="F18" s="206" t="s">
        <v>183</v>
      </c>
      <c r="G18" s="207"/>
      <c r="H18" s="74">
        <v>3</v>
      </c>
      <c r="I18" s="74" t="s">
        <v>186</v>
      </c>
      <c r="J18" s="74">
        <f t="shared" si="0"/>
        <v>3</v>
      </c>
      <c r="K18" s="75">
        <v>3</v>
      </c>
      <c r="L18" s="76"/>
      <c r="M18" s="76"/>
      <c r="N18" s="76"/>
      <c r="O18" s="76"/>
      <c r="P18" s="76"/>
      <c r="Q18" s="74">
        <f t="shared" si="1"/>
        <v>3</v>
      </c>
      <c r="R18" s="212">
        <f>SUM(Q18:Q19)</f>
        <v>6</v>
      </c>
      <c r="S18" s="215">
        <v>6</v>
      </c>
      <c r="T18" s="1"/>
    </row>
    <row r="19" spans="1:20" ht="14">
      <c r="A19" s="1"/>
      <c r="B19" s="218"/>
      <c r="C19" s="219"/>
      <c r="D19" s="213"/>
      <c r="E19" s="74" t="s">
        <v>154</v>
      </c>
      <c r="F19" s="206" t="s">
        <v>187</v>
      </c>
      <c r="G19" s="207"/>
      <c r="H19" s="74">
        <v>3</v>
      </c>
      <c r="I19" s="74" t="s">
        <v>186</v>
      </c>
      <c r="J19" s="74">
        <f t="shared" si="0"/>
        <v>3</v>
      </c>
      <c r="K19" s="76"/>
      <c r="L19" s="75">
        <v>3</v>
      </c>
      <c r="M19" s="76"/>
      <c r="N19" s="76"/>
      <c r="O19" s="76"/>
      <c r="P19" s="76"/>
      <c r="Q19" s="74">
        <f t="shared" si="1"/>
        <v>3</v>
      </c>
      <c r="R19" s="209"/>
      <c r="S19" s="209"/>
      <c r="T19" s="1"/>
    </row>
    <row r="20" spans="1:20" ht="14">
      <c r="A20" s="1"/>
      <c r="B20" s="218"/>
      <c r="C20" s="219"/>
      <c r="D20" s="213"/>
      <c r="E20" s="74" t="s">
        <v>154</v>
      </c>
      <c r="F20" s="206" t="s">
        <v>188</v>
      </c>
      <c r="G20" s="207"/>
      <c r="H20" s="74">
        <v>4</v>
      </c>
      <c r="I20" s="74" t="s">
        <v>156</v>
      </c>
      <c r="J20" s="74">
        <f t="shared" si="0"/>
        <v>3</v>
      </c>
      <c r="K20" s="76"/>
      <c r="L20" s="76"/>
      <c r="M20" s="75">
        <v>3</v>
      </c>
      <c r="N20" s="76"/>
      <c r="O20" s="76"/>
      <c r="P20" s="76"/>
      <c r="Q20" s="74">
        <f t="shared" si="1"/>
        <v>3</v>
      </c>
      <c r="R20" s="212">
        <f>SUM(Q20:Q21)</f>
        <v>6</v>
      </c>
      <c r="S20" s="215">
        <v>12</v>
      </c>
      <c r="T20" s="1"/>
    </row>
    <row r="21" spans="1:20" ht="14">
      <c r="A21" s="1"/>
      <c r="B21" s="218"/>
      <c r="C21" s="219"/>
      <c r="D21" s="209"/>
      <c r="E21" s="74" t="s">
        <v>154</v>
      </c>
      <c r="F21" s="206" t="s">
        <v>219</v>
      </c>
      <c r="G21" s="207"/>
      <c r="H21" s="74">
        <v>4</v>
      </c>
      <c r="I21" s="74" t="s">
        <v>156</v>
      </c>
      <c r="J21" s="74">
        <f t="shared" si="0"/>
        <v>3</v>
      </c>
      <c r="K21" s="76"/>
      <c r="L21" s="76"/>
      <c r="M21" s="76"/>
      <c r="N21" s="75">
        <v>3</v>
      </c>
      <c r="O21" s="76"/>
      <c r="P21" s="76"/>
      <c r="Q21" s="74">
        <f t="shared" si="1"/>
        <v>3</v>
      </c>
      <c r="R21" s="209"/>
      <c r="S21" s="213"/>
      <c r="T21" s="1"/>
    </row>
    <row r="22" spans="1:20" ht="14">
      <c r="A22" s="1"/>
      <c r="B22" s="218"/>
      <c r="C22" s="219"/>
      <c r="D22" s="212" t="s">
        <v>220</v>
      </c>
      <c r="E22" s="74" t="s">
        <v>154</v>
      </c>
      <c r="F22" s="206" t="s">
        <v>221</v>
      </c>
      <c r="G22" s="207"/>
      <c r="H22" s="74">
        <v>4</v>
      </c>
      <c r="I22" s="74" t="s">
        <v>156</v>
      </c>
      <c r="J22" s="74">
        <f t="shared" si="0"/>
        <v>3</v>
      </c>
      <c r="K22" s="75">
        <v>3</v>
      </c>
      <c r="L22" s="76"/>
      <c r="M22" s="76"/>
      <c r="N22" s="76"/>
      <c r="O22" s="76"/>
      <c r="P22" s="76"/>
      <c r="Q22" s="74">
        <f t="shared" si="1"/>
        <v>3</v>
      </c>
      <c r="R22" s="212">
        <f>SUM(Q22:Q23)</f>
        <v>6</v>
      </c>
      <c r="S22" s="213"/>
      <c r="T22" s="1"/>
    </row>
    <row r="23" spans="1:20" ht="14">
      <c r="A23" s="1"/>
      <c r="B23" s="218"/>
      <c r="C23" s="219"/>
      <c r="D23" s="209"/>
      <c r="E23" s="74" t="s">
        <v>154</v>
      </c>
      <c r="F23" s="206" t="s">
        <v>222</v>
      </c>
      <c r="G23" s="207"/>
      <c r="H23" s="74">
        <v>4</v>
      </c>
      <c r="I23" s="74" t="s">
        <v>156</v>
      </c>
      <c r="J23" s="74">
        <f t="shared" si="0"/>
        <v>3</v>
      </c>
      <c r="K23" s="76"/>
      <c r="L23" s="75">
        <v>3</v>
      </c>
      <c r="M23" s="76"/>
      <c r="N23" s="76"/>
      <c r="O23" s="76"/>
      <c r="P23" s="76"/>
      <c r="Q23" s="74">
        <f t="shared" si="1"/>
        <v>3</v>
      </c>
      <c r="R23" s="209"/>
      <c r="S23" s="209"/>
      <c r="T23" s="1"/>
    </row>
    <row r="24" spans="1:20" ht="14">
      <c r="A24" s="1"/>
      <c r="B24" s="218"/>
      <c r="C24" s="219"/>
      <c r="D24" s="212" t="s">
        <v>223</v>
      </c>
      <c r="E24" s="74" t="s">
        <v>224</v>
      </c>
      <c r="F24" s="206" t="s">
        <v>225</v>
      </c>
      <c r="G24" s="207"/>
      <c r="H24" s="74">
        <v>3</v>
      </c>
      <c r="I24" s="74" t="s">
        <v>226</v>
      </c>
      <c r="J24" s="74">
        <f t="shared" si="0"/>
        <v>2</v>
      </c>
      <c r="K24" s="75">
        <v>2</v>
      </c>
      <c r="L24" s="76"/>
      <c r="M24" s="76"/>
      <c r="N24" s="76"/>
      <c r="O24" s="76"/>
      <c r="P24" s="76"/>
      <c r="Q24" s="74">
        <f t="shared" si="1"/>
        <v>2</v>
      </c>
      <c r="R24" s="212">
        <f>SUM(Q24:Q28)</f>
        <v>9</v>
      </c>
      <c r="S24" s="215">
        <v>8</v>
      </c>
      <c r="T24" s="1"/>
    </row>
    <row r="25" spans="1:20" ht="14">
      <c r="A25" s="1"/>
      <c r="B25" s="218"/>
      <c r="C25" s="219"/>
      <c r="D25" s="213"/>
      <c r="E25" s="74" t="s">
        <v>224</v>
      </c>
      <c r="F25" s="206" t="s">
        <v>227</v>
      </c>
      <c r="G25" s="207"/>
      <c r="H25" s="74">
        <v>3</v>
      </c>
      <c r="I25" s="74" t="s">
        <v>226</v>
      </c>
      <c r="J25" s="74">
        <f t="shared" si="0"/>
        <v>2</v>
      </c>
      <c r="K25" s="76"/>
      <c r="L25" s="75">
        <v>2</v>
      </c>
      <c r="M25" s="76"/>
      <c r="N25" s="76"/>
      <c r="O25" s="76"/>
      <c r="P25" s="76"/>
      <c r="Q25" s="74">
        <f t="shared" si="1"/>
        <v>2</v>
      </c>
      <c r="R25" s="213"/>
      <c r="S25" s="213"/>
      <c r="T25" s="1"/>
    </row>
    <row r="26" spans="1:20" ht="14">
      <c r="A26" s="1"/>
      <c r="B26" s="218"/>
      <c r="C26" s="219"/>
      <c r="D26" s="213"/>
      <c r="E26" s="74" t="s">
        <v>228</v>
      </c>
      <c r="F26" s="206" t="s">
        <v>229</v>
      </c>
      <c r="G26" s="207"/>
      <c r="H26" s="74">
        <v>3</v>
      </c>
      <c r="I26" s="74" t="s">
        <v>226</v>
      </c>
      <c r="J26" s="74">
        <f t="shared" si="0"/>
        <v>2</v>
      </c>
      <c r="K26" s="76"/>
      <c r="L26" s="76"/>
      <c r="M26" s="75">
        <v>2</v>
      </c>
      <c r="N26" s="76"/>
      <c r="O26" s="76"/>
      <c r="P26" s="76"/>
      <c r="Q26" s="74">
        <f t="shared" si="1"/>
        <v>2</v>
      </c>
      <c r="R26" s="213"/>
      <c r="S26" s="213"/>
      <c r="T26" s="1"/>
    </row>
    <row r="27" spans="1:20" ht="14">
      <c r="A27" s="1"/>
      <c r="B27" s="218"/>
      <c r="C27" s="219"/>
      <c r="D27" s="213"/>
      <c r="E27" s="74" t="s">
        <v>228</v>
      </c>
      <c r="F27" s="206" t="s">
        <v>230</v>
      </c>
      <c r="G27" s="207"/>
      <c r="H27" s="74">
        <v>3</v>
      </c>
      <c r="I27" s="74" t="s">
        <v>226</v>
      </c>
      <c r="J27" s="74">
        <f t="shared" si="0"/>
        <v>2</v>
      </c>
      <c r="K27" s="76"/>
      <c r="L27" s="76"/>
      <c r="M27" s="76"/>
      <c r="N27" s="75">
        <v>2</v>
      </c>
      <c r="O27" s="76"/>
      <c r="P27" s="76"/>
      <c r="Q27" s="74">
        <f t="shared" si="1"/>
        <v>2</v>
      </c>
      <c r="R27" s="213"/>
      <c r="S27" s="213"/>
      <c r="T27" s="1"/>
    </row>
    <row r="28" spans="1:20" ht="14">
      <c r="A28" s="1"/>
      <c r="B28" s="218"/>
      <c r="C28" s="219"/>
      <c r="D28" s="209"/>
      <c r="E28" s="74" t="s">
        <v>165</v>
      </c>
      <c r="F28" s="206" t="s">
        <v>231</v>
      </c>
      <c r="G28" s="207"/>
      <c r="H28" s="74">
        <v>2</v>
      </c>
      <c r="I28" s="74" t="s">
        <v>232</v>
      </c>
      <c r="J28" s="74">
        <f t="shared" si="0"/>
        <v>1</v>
      </c>
      <c r="K28" s="76"/>
      <c r="L28" s="76"/>
      <c r="M28" s="76"/>
      <c r="N28" s="76"/>
      <c r="O28" s="75">
        <v>1</v>
      </c>
      <c r="P28" s="76"/>
      <c r="Q28" s="74">
        <f t="shared" si="1"/>
        <v>1</v>
      </c>
      <c r="R28" s="209"/>
      <c r="S28" s="209"/>
      <c r="T28" s="1"/>
    </row>
    <row r="29" spans="1:20" ht="14">
      <c r="A29" s="1"/>
      <c r="B29" s="218"/>
      <c r="C29" s="219"/>
      <c r="D29" s="212" t="s">
        <v>233</v>
      </c>
      <c r="E29" s="74" t="s">
        <v>224</v>
      </c>
      <c r="F29" s="206" t="s">
        <v>234</v>
      </c>
      <c r="G29" s="207"/>
      <c r="H29" s="74">
        <v>3</v>
      </c>
      <c r="I29" s="74" t="s">
        <v>226</v>
      </c>
      <c r="J29" s="74">
        <f t="shared" si="0"/>
        <v>3</v>
      </c>
      <c r="K29" s="75"/>
      <c r="L29" s="75">
        <v>3</v>
      </c>
      <c r="M29" s="76"/>
      <c r="N29" s="76"/>
      <c r="O29" s="102"/>
      <c r="P29" s="102"/>
      <c r="Q29" s="216">
        <f>SUM(J29:J32)</f>
        <v>10</v>
      </c>
      <c r="R29" s="217"/>
      <c r="S29" s="215">
        <v>6</v>
      </c>
      <c r="T29" s="1"/>
    </row>
    <row r="30" spans="1:20" ht="14">
      <c r="A30" s="1"/>
      <c r="B30" s="218"/>
      <c r="C30" s="219"/>
      <c r="D30" s="213"/>
      <c r="E30" s="74" t="s">
        <v>165</v>
      </c>
      <c r="F30" s="206" t="s">
        <v>235</v>
      </c>
      <c r="G30" s="207"/>
      <c r="H30" s="74">
        <v>3</v>
      </c>
      <c r="I30" s="74" t="s">
        <v>226</v>
      </c>
      <c r="J30" s="74">
        <f t="shared" si="0"/>
        <v>2</v>
      </c>
      <c r="K30" s="76"/>
      <c r="L30" s="76"/>
      <c r="M30" s="75"/>
      <c r="N30" s="75">
        <v>2</v>
      </c>
      <c r="O30" s="76"/>
      <c r="P30" s="76"/>
      <c r="Q30" s="218"/>
      <c r="R30" s="219"/>
      <c r="S30" s="213"/>
      <c r="T30" s="1"/>
    </row>
    <row r="31" spans="1:20" ht="14">
      <c r="A31" s="1"/>
      <c r="B31" s="218"/>
      <c r="C31" s="219"/>
      <c r="D31" s="213"/>
      <c r="E31" s="74" t="s">
        <v>224</v>
      </c>
      <c r="F31" s="206" t="s">
        <v>236</v>
      </c>
      <c r="G31" s="207"/>
      <c r="H31" s="74">
        <v>3</v>
      </c>
      <c r="I31" s="74" t="s">
        <v>226</v>
      </c>
      <c r="J31" s="74">
        <f t="shared" si="0"/>
        <v>3</v>
      </c>
      <c r="K31" s="75">
        <v>3</v>
      </c>
      <c r="L31" s="75"/>
      <c r="M31" s="76"/>
      <c r="N31" s="75"/>
      <c r="O31" s="76"/>
      <c r="P31" s="76"/>
      <c r="Q31" s="218"/>
      <c r="R31" s="219"/>
      <c r="S31" s="213"/>
      <c r="T31" s="1"/>
    </row>
    <row r="32" spans="1:20" ht="14">
      <c r="A32" s="1"/>
      <c r="B32" s="218"/>
      <c r="C32" s="219"/>
      <c r="D32" s="209"/>
      <c r="E32" s="74" t="s">
        <v>165</v>
      </c>
      <c r="F32" s="206" t="s">
        <v>237</v>
      </c>
      <c r="G32" s="207"/>
      <c r="H32" s="74">
        <v>3</v>
      </c>
      <c r="I32" s="74" t="s">
        <v>226</v>
      </c>
      <c r="J32" s="74">
        <f t="shared" si="0"/>
        <v>2</v>
      </c>
      <c r="K32" s="76"/>
      <c r="L32" s="76"/>
      <c r="M32" s="75">
        <v>2</v>
      </c>
      <c r="N32" s="75"/>
      <c r="O32" s="102"/>
      <c r="P32" s="102"/>
      <c r="Q32" s="220"/>
      <c r="R32" s="221"/>
      <c r="S32" s="209"/>
      <c r="T32" s="1"/>
    </row>
    <row r="33" spans="1:20" ht="14">
      <c r="A33" s="1"/>
      <c r="B33" s="218"/>
      <c r="C33" s="219"/>
      <c r="D33" s="228" t="s">
        <v>238</v>
      </c>
      <c r="E33" s="74" t="s">
        <v>165</v>
      </c>
      <c r="F33" s="206" t="s">
        <v>239</v>
      </c>
      <c r="G33" s="207"/>
      <c r="H33" s="74">
        <v>3</v>
      </c>
      <c r="I33" s="74" t="s">
        <v>226</v>
      </c>
      <c r="J33" s="74">
        <f t="shared" si="0"/>
        <v>2</v>
      </c>
      <c r="K33" s="75"/>
      <c r="L33" s="75">
        <v>2</v>
      </c>
      <c r="M33" s="102"/>
      <c r="N33" s="102"/>
      <c r="O33" s="102"/>
      <c r="P33" s="102"/>
      <c r="Q33" s="216">
        <f>SUM(J33:J35)</f>
        <v>8</v>
      </c>
      <c r="R33" s="217"/>
      <c r="S33" s="215">
        <v>8</v>
      </c>
      <c r="T33" s="1"/>
    </row>
    <row r="34" spans="1:20" ht="14">
      <c r="A34" s="1"/>
      <c r="B34" s="218"/>
      <c r="C34" s="219"/>
      <c r="D34" s="213"/>
      <c r="E34" s="74" t="s">
        <v>224</v>
      </c>
      <c r="F34" s="229" t="s">
        <v>240</v>
      </c>
      <c r="G34" s="207"/>
      <c r="H34" s="74">
        <v>4</v>
      </c>
      <c r="I34" s="74" t="s">
        <v>167</v>
      </c>
      <c r="J34" s="74">
        <f t="shared" si="0"/>
        <v>3</v>
      </c>
      <c r="K34" s="75"/>
      <c r="L34" s="103">
        <v>3</v>
      </c>
      <c r="M34" s="102"/>
      <c r="N34" s="102"/>
      <c r="O34" s="102"/>
      <c r="P34" s="102"/>
      <c r="Q34" s="218"/>
      <c r="R34" s="219"/>
      <c r="S34" s="213"/>
      <c r="T34" s="1"/>
    </row>
    <row r="35" spans="1:20" ht="14">
      <c r="A35" s="1"/>
      <c r="B35" s="220"/>
      <c r="C35" s="221"/>
      <c r="D35" s="209"/>
      <c r="E35" s="74" t="s">
        <v>224</v>
      </c>
      <c r="F35" s="206" t="s">
        <v>314</v>
      </c>
      <c r="G35" s="207"/>
      <c r="H35" s="74">
        <v>4</v>
      </c>
      <c r="I35" s="74" t="s">
        <v>167</v>
      </c>
      <c r="J35" s="74">
        <f t="shared" si="0"/>
        <v>3</v>
      </c>
      <c r="K35" s="75">
        <v>3</v>
      </c>
      <c r="L35" s="75"/>
      <c r="M35" s="102"/>
      <c r="N35" s="102"/>
      <c r="O35" s="102"/>
      <c r="P35" s="102"/>
      <c r="Q35" s="220"/>
      <c r="R35" s="221"/>
      <c r="S35" s="209"/>
      <c r="T35" s="1"/>
    </row>
    <row r="36" spans="1:20" ht="14">
      <c r="A36" s="1"/>
      <c r="B36" s="223" t="s">
        <v>242</v>
      </c>
      <c r="C36" s="211"/>
      <c r="D36" s="211"/>
      <c r="E36" s="211"/>
      <c r="F36" s="211"/>
      <c r="G36" s="207"/>
      <c r="H36" s="104"/>
      <c r="I36" s="105"/>
      <c r="J36" s="104">
        <f t="shared" ref="J36:Q36" si="2">SUM(J9:J35)</f>
        <v>72</v>
      </c>
      <c r="K36" s="104">
        <f t="shared" si="2"/>
        <v>23</v>
      </c>
      <c r="L36" s="104">
        <f t="shared" si="2"/>
        <v>25</v>
      </c>
      <c r="M36" s="104">
        <f t="shared" si="2"/>
        <v>10</v>
      </c>
      <c r="N36" s="104">
        <f t="shared" si="2"/>
        <v>13</v>
      </c>
      <c r="O36" s="104">
        <f t="shared" si="2"/>
        <v>1</v>
      </c>
      <c r="P36" s="104">
        <f t="shared" si="2"/>
        <v>0</v>
      </c>
      <c r="Q36" s="223">
        <f t="shared" si="2"/>
        <v>72</v>
      </c>
      <c r="R36" s="207"/>
      <c r="S36" s="106">
        <v>64</v>
      </c>
      <c r="T36" s="1"/>
    </row>
    <row r="37" spans="1:20" ht="14">
      <c r="A37" s="1"/>
      <c r="B37" s="224" t="s">
        <v>247</v>
      </c>
      <c r="C37" s="217"/>
      <c r="D37" s="107" t="s">
        <v>113</v>
      </c>
      <c r="E37" s="74" t="s">
        <v>253</v>
      </c>
      <c r="F37" s="229" t="s">
        <v>254</v>
      </c>
      <c r="G37" s="207"/>
      <c r="H37" s="154"/>
      <c r="I37" s="74" t="s">
        <v>252</v>
      </c>
      <c r="J37" s="74">
        <f t="shared" ref="J37:J55" si="3">SUM(K37:P37)</f>
        <v>2</v>
      </c>
      <c r="K37" s="119">
        <v>2</v>
      </c>
      <c r="L37" s="146"/>
      <c r="M37" s="155"/>
      <c r="N37" s="155"/>
      <c r="O37" s="146"/>
      <c r="P37" s="155"/>
      <c r="Q37" s="216">
        <f>SUM(J37:J46)+(SUM(J47:J55)/2)</f>
        <v>102</v>
      </c>
      <c r="R37" s="217"/>
      <c r="S37" s="215">
        <v>80</v>
      </c>
      <c r="T37" s="1"/>
    </row>
    <row r="38" spans="1:20" ht="14">
      <c r="A38" s="1"/>
      <c r="B38" s="218"/>
      <c r="C38" s="219"/>
      <c r="D38" s="107" t="s">
        <v>255</v>
      </c>
      <c r="E38" s="74" t="s">
        <v>260</v>
      </c>
      <c r="F38" s="232" t="s">
        <v>23</v>
      </c>
      <c r="G38" s="207"/>
      <c r="H38" s="154"/>
      <c r="I38" s="74" t="s">
        <v>252</v>
      </c>
      <c r="J38" s="74">
        <f t="shared" si="3"/>
        <v>8</v>
      </c>
      <c r="K38" s="125">
        <v>4</v>
      </c>
      <c r="L38" s="125">
        <v>4</v>
      </c>
      <c r="M38" s="155"/>
      <c r="N38" s="155"/>
      <c r="O38" s="155"/>
      <c r="P38" s="155"/>
      <c r="Q38" s="218"/>
      <c r="R38" s="219"/>
      <c r="S38" s="213"/>
      <c r="T38" s="1"/>
    </row>
    <row r="39" spans="1:20" ht="14">
      <c r="A39" s="1"/>
      <c r="B39" s="218"/>
      <c r="C39" s="219"/>
      <c r="D39" s="107" t="s">
        <v>255</v>
      </c>
      <c r="E39" s="74" t="s">
        <v>253</v>
      </c>
      <c r="F39" s="229" t="s">
        <v>258</v>
      </c>
      <c r="G39" s="207"/>
      <c r="H39" s="154"/>
      <c r="I39" s="74" t="s">
        <v>252</v>
      </c>
      <c r="J39" s="74">
        <f t="shared" si="3"/>
        <v>5</v>
      </c>
      <c r="K39" s="155"/>
      <c r="L39" s="146"/>
      <c r="M39" s="119">
        <v>5</v>
      </c>
      <c r="N39" s="155"/>
      <c r="O39" s="155"/>
      <c r="P39" s="155"/>
      <c r="Q39" s="218"/>
      <c r="R39" s="219"/>
      <c r="S39" s="213"/>
      <c r="T39" s="1"/>
    </row>
    <row r="40" spans="1:20" ht="14">
      <c r="A40" s="1"/>
      <c r="B40" s="218"/>
      <c r="C40" s="219"/>
      <c r="D40" s="107" t="s">
        <v>255</v>
      </c>
      <c r="E40" s="74" t="s">
        <v>253</v>
      </c>
      <c r="F40" s="231" t="s">
        <v>256</v>
      </c>
      <c r="G40" s="207"/>
      <c r="H40" s="154"/>
      <c r="I40" s="74" t="s">
        <v>252</v>
      </c>
      <c r="J40" s="74">
        <f t="shared" si="3"/>
        <v>4</v>
      </c>
      <c r="K40" s="155"/>
      <c r="L40" s="155"/>
      <c r="M40" s="119">
        <v>4</v>
      </c>
      <c r="N40" s="146"/>
      <c r="O40" s="155"/>
      <c r="P40" s="155"/>
      <c r="Q40" s="218"/>
      <c r="R40" s="219"/>
      <c r="S40" s="213"/>
      <c r="T40" s="1"/>
    </row>
    <row r="41" spans="1:20" ht="14">
      <c r="A41" s="1"/>
      <c r="B41" s="218"/>
      <c r="C41" s="219"/>
      <c r="D41" s="107" t="s">
        <v>255</v>
      </c>
      <c r="E41" s="74" t="s">
        <v>253</v>
      </c>
      <c r="F41" s="206" t="s">
        <v>315</v>
      </c>
      <c r="G41" s="207"/>
      <c r="H41" s="74"/>
      <c r="I41" s="74" t="s">
        <v>252</v>
      </c>
      <c r="J41" s="74">
        <f t="shared" si="3"/>
        <v>4</v>
      </c>
      <c r="K41" s="146"/>
      <c r="L41" s="146"/>
      <c r="M41" s="146">
        <v>4</v>
      </c>
      <c r="N41" s="155"/>
      <c r="O41" s="155"/>
      <c r="P41" s="146"/>
      <c r="Q41" s="218"/>
      <c r="R41" s="219"/>
      <c r="S41" s="213"/>
      <c r="T41" s="1"/>
    </row>
    <row r="42" spans="1:20" ht="14">
      <c r="A42" s="1"/>
      <c r="B42" s="218"/>
      <c r="C42" s="219"/>
      <c r="D42" s="107" t="s">
        <v>255</v>
      </c>
      <c r="E42" s="74" t="s">
        <v>253</v>
      </c>
      <c r="F42" s="206" t="s">
        <v>316</v>
      </c>
      <c r="G42" s="207"/>
      <c r="H42" s="154"/>
      <c r="I42" s="74" t="s">
        <v>252</v>
      </c>
      <c r="J42" s="74">
        <f t="shared" si="3"/>
        <v>3</v>
      </c>
      <c r="K42" s="155"/>
      <c r="L42" s="155"/>
      <c r="M42" s="146">
        <v>3</v>
      </c>
      <c r="N42" s="146"/>
      <c r="O42" s="146"/>
      <c r="P42" s="155"/>
      <c r="Q42" s="218"/>
      <c r="R42" s="219"/>
      <c r="S42" s="213"/>
      <c r="T42" s="1"/>
    </row>
    <row r="43" spans="1:20" ht="14">
      <c r="A43" s="1"/>
      <c r="B43" s="218"/>
      <c r="C43" s="219"/>
      <c r="D43" s="107" t="s">
        <v>277</v>
      </c>
      <c r="E43" s="74" t="s">
        <v>253</v>
      </c>
      <c r="F43" s="229" t="s">
        <v>317</v>
      </c>
      <c r="G43" s="207"/>
      <c r="H43" s="154"/>
      <c r="I43" s="74" t="s">
        <v>252</v>
      </c>
      <c r="J43" s="74">
        <f t="shared" si="3"/>
        <v>3</v>
      </c>
      <c r="K43" s="146"/>
      <c r="L43" s="146"/>
      <c r="M43" s="119">
        <v>3</v>
      </c>
      <c r="N43" s="146"/>
      <c r="O43" s="146"/>
      <c r="P43" s="155"/>
      <c r="Q43" s="218"/>
      <c r="R43" s="219"/>
      <c r="S43" s="213"/>
      <c r="T43" s="1"/>
    </row>
    <row r="44" spans="1:20" ht="14">
      <c r="A44" s="1"/>
      <c r="B44" s="218"/>
      <c r="C44" s="219"/>
      <c r="D44" s="107" t="s">
        <v>255</v>
      </c>
      <c r="E44" s="74" t="s">
        <v>253</v>
      </c>
      <c r="F44" s="229" t="s">
        <v>318</v>
      </c>
      <c r="G44" s="207"/>
      <c r="H44" s="154"/>
      <c r="I44" s="74" t="s">
        <v>252</v>
      </c>
      <c r="J44" s="74">
        <f t="shared" si="3"/>
        <v>6</v>
      </c>
      <c r="K44" s="155"/>
      <c r="L44" s="155"/>
      <c r="M44" s="155"/>
      <c r="N44" s="119">
        <v>6</v>
      </c>
      <c r="O44" s="146"/>
      <c r="P44" s="146"/>
      <c r="Q44" s="218"/>
      <c r="R44" s="219"/>
      <c r="S44" s="213"/>
      <c r="T44" s="1"/>
    </row>
    <row r="45" spans="1:20" ht="14">
      <c r="A45" s="1"/>
      <c r="B45" s="218"/>
      <c r="C45" s="219"/>
      <c r="D45" s="107" t="s">
        <v>255</v>
      </c>
      <c r="E45" s="74" t="s">
        <v>253</v>
      </c>
      <c r="F45" s="256" t="s">
        <v>319</v>
      </c>
      <c r="G45" s="207"/>
      <c r="H45" s="154"/>
      <c r="I45" s="74" t="s">
        <v>252</v>
      </c>
      <c r="J45" s="74">
        <f t="shared" si="3"/>
        <v>5</v>
      </c>
      <c r="K45" s="155"/>
      <c r="L45" s="155"/>
      <c r="M45" s="146"/>
      <c r="N45" s="146">
        <v>5</v>
      </c>
      <c r="O45" s="146"/>
      <c r="P45" s="146"/>
      <c r="Q45" s="218"/>
      <c r="R45" s="219"/>
      <c r="S45" s="213"/>
      <c r="T45" s="1"/>
    </row>
    <row r="46" spans="1:20" ht="14">
      <c r="A46" s="1"/>
      <c r="B46" s="218"/>
      <c r="C46" s="219"/>
      <c r="D46" s="107" t="s">
        <v>255</v>
      </c>
      <c r="E46" s="74" t="s">
        <v>253</v>
      </c>
      <c r="F46" s="229" t="s">
        <v>262</v>
      </c>
      <c r="G46" s="207"/>
      <c r="H46" s="154"/>
      <c r="I46" s="74" t="s">
        <v>252</v>
      </c>
      <c r="J46" s="74">
        <f t="shared" si="3"/>
        <v>5</v>
      </c>
      <c r="K46" s="155"/>
      <c r="L46" s="155"/>
      <c r="M46" s="146"/>
      <c r="N46" s="119">
        <v>5</v>
      </c>
      <c r="O46" s="146"/>
      <c r="P46" s="155"/>
      <c r="Q46" s="218"/>
      <c r="R46" s="219"/>
      <c r="S46" s="213"/>
      <c r="T46" s="1"/>
    </row>
    <row r="47" spans="1:20" ht="14">
      <c r="A47" s="1"/>
      <c r="B47" s="218"/>
      <c r="C47" s="219"/>
      <c r="D47" s="122" t="s">
        <v>255</v>
      </c>
      <c r="E47" s="74" t="s">
        <v>260</v>
      </c>
      <c r="F47" s="123" t="s">
        <v>320</v>
      </c>
      <c r="G47" s="257" t="s">
        <v>533</v>
      </c>
      <c r="H47" s="74"/>
      <c r="I47" s="74" t="s">
        <v>252</v>
      </c>
      <c r="J47" s="74">
        <f t="shared" si="3"/>
        <v>12</v>
      </c>
      <c r="K47" s="156"/>
      <c r="L47" s="156"/>
      <c r="M47" s="156"/>
      <c r="N47" s="157"/>
      <c r="O47" s="119">
        <v>6</v>
      </c>
      <c r="P47" s="119">
        <v>6</v>
      </c>
      <c r="Q47" s="218"/>
      <c r="R47" s="219"/>
      <c r="S47" s="213"/>
      <c r="T47" s="1"/>
    </row>
    <row r="48" spans="1:20" ht="14">
      <c r="A48" s="1"/>
      <c r="B48" s="218"/>
      <c r="C48" s="219"/>
      <c r="D48" s="107" t="s">
        <v>255</v>
      </c>
      <c r="E48" s="74" t="s">
        <v>253</v>
      </c>
      <c r="F48" s="126" t="s">
        <v>321</v>
      </c>
      <c r="G48" s="213"/>
      <c r="H48" s="74"/>
      <c r="I48" s="74" t="s">
        <v>252</v>
      </c>
      <c r="J48" s="74">
        <f t="shared" si="3"/>
        <v>5</v>
      </c>
      <c r="K48" s="156"/>
      <c r="L48" s="156"/>
      <c r="M48" s="157"/>
      <c r="N48" s="157"/>
      <c r="O48" s="157">
        <v>5</v>
      </c>
      <c r="P48" s="157"/>
      <c r="Q48" s="218"/>
      <c r="R48" s="219"/>
      <c r="S48" s="213"/>
      <c r="T48" s="1"/>
    </row>
    <row r="49" spans="1:20" ht="14">
      <c r="A49" s="1"/>
      <c r="B49" s="218"/>
      <c r="C49" s="219"/>
      <c r="D49" s="107" t="s">
        <v>255</v>
      </c>
      <c r="E49" s="74" t="s">
        <v>253</v>
      </c>
      <c r="F49" s="158" t="s">
        <v>322</v>
      </c>
      <c r="G49" s="213"/>
      <c r="H49" s="74"/>
      <c r="I49" s="74" t="s">
        <v>252</v>
      </c>
      <c r="J49" s="74">
        <f t="shared" si="3"/>
        <v>5</v>
      </c>
      <c r="K49" s="156"/>
      <c r="L49" s="156"/>
      <c r="M49" s="157"/>
      <c r="N49" s="157"/>
      <c r="O49" s="157"/>
      <c r="P49" s="157">
        <v>5</v>
      </c>
      <c r="Q49" s="218"/>
      <c r="R49" s="219"/>
      <c r="S49" s="213"/>
      <c r="T49" s="1"/>
    </row>
    <row r="50" spans="1:20" ht="14">
      <c r="A50" s="1"/>
      <c r="B50" s="218"/>
      <c r="C50" s="219"/>
      <c r="D50" s="122" t="s">
        <v>255</v>
      </c>
      <c r="E50" s="109" t="s">
        <v>260</v>
      </c>
      <c r="F50" s="60" t="s">
        <v>323</v>
      </c>
      <c r="G50" s="213"/>
      <c r="H50" s="74"/>
      <c r="I50" s="74" t="s">
        <v>252</v>
      </c>
      <c r="J50" s="74">
        <f t="shared" si="3"/>
        <v>12</v>
      </c>
      <c r="K50" s="156"/>
      <c r="L50" s="156"/>
      <c r="M50" s="157"/>
      <c r="N50" s="157"/>
      <c r="O50" s="157">
        <v>4</v>
      </c>
      <c r="P50" s="157">
        <v>8</v>
      </c>
      <c r="Q50" s="218"/>
      <c r="R50" s="219"/>
      <c r="S50" s="213"/>
      <c r="T50" s="1"/>
    </row>
    <row r="51" spans="1:20" ht="14">
      <c r="A51" s="1"/>
      <c r="B51" s="218"/>
      <c r="C51" s="219"/>
      <c r="D51" s="107" t="s">
        <v>255</v>
      </c>
      <c r="E51" s="74" t="s">
        <v>260</v>
      </c>
      <c r="F51" s="126" t="s">
        <v>324</v>
      </c>
      <c r="G51" s="213"/>
      <c r="H51" s="74"/>
      <c r="I51" s="74" t="s">
        <v>252</v>
      </c>
      <c r="J51" s="74">
        <f t="shared" si="3"/>
        <v>5</v>
      </c>
      <c r="K51" s="156"/>
      <c r="L51" s="156"/>
      <c r="M51" s="156"/>
      <c r="N51" s="157"/>
      <c r="O51" s="157">
        <v>5</v>
      </c>
      <c r="P51" s="157"/>
      <c r="Q51" s="218"/>
      <c r="R51" s="219"/>
      <c r="S51" s="213"/>
      <c r="T51" s="1"/>
    </row>
    <row r="52" spans="1:20" ht="14">
      <c r="A52" s="1"/>
      <c r="B52" s="218"/>
      <c r="C52" s="219"/>
      <c r="D52" s="159" t="s">
        <v>325</v>
      </c>
      <c r="E52" s="74" t="s">
        <v>260</v>
      </c>
      <c r="F52" s="126" t="s">
        <v>326</v>
      </c>
      <c r="G52" s="213"/>
      <c r="H52" s="212" t="s">
        <v>327</v>
      </c>
      <c r="I52" s="74" t="s">
        <v>252</v>
      </c>
      <c r="J52" s="74">
        <f t="shared" si="3"/>
        <v>18</v>
      </c>
      <c r="K52" s="156"/>
      <c r="L52" s="156"/>
      <c r="M52" s="157"/>
      <c r="N52" s="157"/>
      <c r="O52" s="157">
        <v>8</v>
      </c>
      <c r="P52" s="157">
        <v>10</v>
      </c>
      <c r="Q52" s="218"/>
      <c r="R52" s="219"/>
      <c r="S52" s="213"/>
      <c r="T52" s="1"/>
    </row>
    <row r="53" spans="1:20" ht="14">
      <c r="A53" s="1"/>
      <c r="B53" s="218"/>
      <c r="C53" s="219"/>
      <c r="D53" s="159" t="s">
        <v>325</v>
      </c>
      <c r="E53" s="74" t="s">
        <v>260</v>
      </c>
      <c r="F53" s="126" t="s">
        <v>328</v>
      </c>
      <c r="G53" s="209"/>
      <c r="H53" s="209"/>
      <c r="I53" s="74" t="s">
        <v>252</v>
      </c>
      <c r="J53" s="74">
        <f t="shared" si="3"/>
        <v>0</v>
      </c>
      <c r="K53" s="156"/>
      <c r="L53" s="156"/>
      <c r="M53" s="156"/>
      <c r="N53" s="157"/>
      <c r="O53" s="160" t="s">
        <v>329</v>
      </c>
      <c r="P53" s="160" t="s">
        <v>274</v>
      </c>
      <c r="Q53" s="218"/>
      <c r="R53" s="219"/>
      <c r="S53" s="213"/>
      <c r="T53" s="1"/>
    </row>
    <row r="54" spans="1:20" ht="14">
      <c r="A54" s="1"/>
      <c r="B54" s="218"/>
      <c r="C54" s="219"/>
      <c r="D54" s="107" t="s">
        <v>255</v>
      </c>
      <c r="E54" s="74" t="s">
        <v>260</v>
      </c>
      <c r="F54" s="126" t="s">
        <v>324</v>
      </c>
      <c r="G54" s="258" t="s">
        <v>330</v>
      </c>
      <c r="H54" s="74"/>
      <c r="I54" s="74" t="s">
        <v>252</v>
      </c>
      <c r="J54" s="74">
        <f t="shared" si="3"/>
        <v>32</v>
      </c>
      <c r="K54" s="161"/>
      <c r="L54" s="161"/>
      <c r="M54" s="162"/>
      <c r="N54" s="162"/>
      <c r="O54" s="162">
        <v>24</v>
      </c>
      <c r="P54" s="162">
        <v>8</v>
      </c>
      <c r="Q54" s="218"/>
      <c r="R54" s="219"/>
      <c r="S54" s="213"/>
      <c r="T54" s="1"/>
    </row>
    <row r="55" spans="1:20" ht="14">
      <c r="A55" s="1"/>
      <c r="B55" s="220"/>
      <c r="C55" s="221"/>
      <c r="D55" s="107" t="s">
        <v>255</v>
      </c>
      <c r="E55" s="74" t="s">
        <v>260</v>
      </c>
      <c r="F55" s="126" t="s">
        <v>331</v>
      </c>
      <c r="G55" s="209"/>
      <c r="H55" s="74"/>
      <c r="I55" s="74" t="s">
        <v>252</v>
      </c>
      <c r="J55" s="74">
        <f t="shared" si="3"/>
        <v>25</v>
      </c>
      <c r="K55" s="161"/>
      <c r="L55" s="161"/>
      <c r="M55" s="161"/>
      <c r="N55" s="162"/>
      <c r="O55" s="162">
        <v>4</v>
      </c>
      <c r="P55" s="162">
        <v>21</v>
      </c>
      <c r="Q55" s="220"/>
      <c r="R55" s="221"/>
      <c r="S55" s="209"/>
      <c r="T55" s="1"/>
    </row>
    <row r="56" spans="1:20" ht="14">
      <c r="A56" s="1"/>
      <c r="B56" s="223" t="s">
        <v>282</v>
      </c>
      <c r="C56" s="211"/>
      <c r="D56" s="211"/>
      <c r="E56" s="211"/>
      <c r="F56" s="211"/>
      <c r="G56" s="207"/>
      <c r="H56" s="104"/>
      <c r="I56" s="104"/>
      <c r="J56" s="104">
        <f>SUM(J37:J46)+(SUM(J47:J55)/2)</f>
        <v>102</v>
      </c>
      <c r="K56" s="104">
        <f t="shared" ref="K56:L56" si="4">SUM(K37:K46)</f>
        <v>6</v>
      </c>
      <c r="L56" s="104">
        <f t="shared" si="4"/>
        <v>4</v>
      </c>
      <c r="M56" s="104">
        <f t="shared" ref="M56:P56" si="5">SUM(M37:M46)+(SUM(M47:M53))</f>
        <v>19</v>
      </c>
      <c r="N56" s="104">
        <f t="shared" si="5"/>
        <v>16</v>
      </c>
      <c r="O56" s="104">
        <f t="shared" si="5"/>
        <v>28</v>
      </c>
      <c r="P56" s="104">
        <f t="shared" si="5"/>
        <v>29</v>
      </c>
      <c r="Q56" s="223">
        <f>SUM(Q37:Q55)</f>
        <v>102</v>
      </c>
      <c r="R56" s="207"/>
      <c r="S56" s="106">
        <v>80</v>
      </c>
      <c r="T56" s="1"/>
    </row>
    <row r="57" spans="1:20" ht="14">
      <c r="A57" s="1"/>
      <c r="B57" s="223"/>
      <c r="C57" s="211"/>
      <c r="D57" s="211"/>
      <c r="E57" s="211"/>
      <c r="F57" s="211"/>
      <c r="G57" s="207"/>
      <c r="H57" s="104"/>
      <c r="I57" s="104"/>
      <c r="J57" s="104"/>
      <c r="K57" s="104">
        <f t="shared" ref="K57:Q57" si="6">SUM(K36,K56)</f>
        <v>29</v>
      </c>
      <c r="L57" s="104">
        <f t="shared" si="6"/>
        <v>29</v>
      </c>
      <c r="M57" s="104">
        <f t="shared" si="6"/>
        <v>29</v>
      </c>
      <c r="N57" s="104">
        <f t="shared" si="6"/>
        <v>29</v>
      </c>
      <c r="O57" s="104">
        <f t="shared" si="6"/>
        <v>29</v>
      </c>
      <c r="P57" s="104">
        <f t="shared" si="6"/>
        <v>29</v>
      </c>
      <c r="Q57" s="223">
        <f t="shared" si="6"/>
        <v>174</v>
      </c>
      <c r="R57" s="207"/>
      <c r="S57" s="106">
        <v>144</v>
      </c>
      <c r="T57" s="1"/>
    </row>
    <row r="58" spans="1:20" ht="14">
      <c r="A58" s="1"/>
      <c r="B58" s="216" t="s">
        <v>287</v>
      </c>
      <c r="C58" s="225"/>
      <c r="D58" s="225"/>
      <c r="E58" s="217"/>
      <c r="F58" s="222" t="s">
        <v>288</v>
      </c>
      <c r="G58" s="211"/>
      <c r="H58" s="211"/>
      <c r="I58" s="211"/>
      <c r="J58" s="207"/>
      <c r="K58" s="146">
        <v>16</v>
      </c>
      <c r="L58" s="146">
        <v>16</v>
      </c>
      <c r="M58" s="146">
        <v>16</v>
      </c>
      <c r="N58" s="146">
        <v>16</v>
      </c>
      <c r="O58" s="146">
        <v>16</v>
      </c>
      <c r="P58" s="146">
        <v>16</v>
      </c>
      <c r="Q58" s="216">
        <f>SUM(K58:P60)</f>
        <v>288</v>
      </c>
      <c r="R58" s="217"/>
      <c r="S58" s="215">
        <v>288</v>
      </c>
      <c r="T58" s="1"/>
    </row>
    <row r="59" spans="1:20" ht="14">
      <c r="A59" s="1"/>
      <c r="B59" s="218"/>
      <c r="C59" s="226"/>
      <c r="D59" s="226"/>
      <c r="E59" s="219"/>
      <c r="F59" s="222" t="s">
        <v>291</v>
      </c>
      <c r="G59" s="211"/>
      <c r="H59" s="211"/>
      <c r="I59" s="211"/>
      <c r="J59" s="207"/>
      <c r="K59" s="146">
        <v>16</v>
      </c>
      <c r="L59" s="146">
        <v>16</v>
      </c>
      <c r="M59" s="146">
        <v>16</v>
      </c>
      <c r="N59" s="146">
        <v>16</v>
      </c>
      <c r="O59" s="146">
        <v>16</v>
      </c>
      <c r="P59" s="146">
        <v>16</v>
      </c>
      <c r="Q59" s="218"/>
      <c r="R59" s="219"/>
      <c r="S59" s="213"/>
      <c r="T59" s="1"/>
    </row>
    <row r="60" spans="1:20" ht="14">
      <c r="A60" s="1"/>
      <c r="B60" s="218"/>
      <c r="C60" s="226"/>
      <c r="D60" s="226"/>
      <c r="E60" s="219"/>
      <c r="F60" s="222" t="s">
        <v>294</v>
      </c>
      <c r="G60" s="211"/>
      <c r="H60" s="211"/>
      <c r="I60" s="211"/>
      <c r="J60" s="207"/>
      <c r="K60" s="146">
        <v>16</v>
      </c>
      <c r="L60" s="146">
        <v>16</v>
      </c>
      <c r="M60" s="146">
        <v>16</v>
      </c>
      <c r="N60" s="146">
        <v>16</v>
      </c>
      <c r="O60" s="146">
        <v>16</v>
      </c>
      <c r="P60" s="146">
        <v>16</v>
      </c>
      <c r="Q60" s="220"/>
      <c r="R60" s="221"/>
      <c r="S60" s="209"/>
      <c r="T60" s="1"/>
    </row>
    <row r="61" spans="1:20" ht="14">
      <c r="A61" s="1"/>
      <c r="B61" s="220"/>
      <c r="C61" s="227"/>
      <c r="D61" s="227"/>
      <c r="E61" s="221"/>
      <c r="F61" s="222" t="s">
        <v>295</v>
      </c>
      <c r="G61" s="211"/>
      <c r="H61" s="211"/>
      <c r="I61" s="211"/>
      <c r="J61" s="207"/>
      <c r="K61" s="74">
        <v>3</v>
      </c>
      <c r="L61" s="74">
        <v>3</v>
      </c>
      <c r="M61" s="74">
        <v>3</v>
      </c>
      <c r="N61" s="74">
        <v>3</v>
      </c>
      <c r="O61" s="74">
        <v>3</v>
      </c>
      <c r="P61" s="74">
        <v>3</v>
      </c>
      <c r="Q61" s="222">
        <f t="shared" ref="Q61:Q63" si="7">SUM(K61:P61)</f>
        <v>18</v>
      </c>
      <c r="R61" s="207"/>
      <c r="S61" s="106">
        <v>18</v>
      </c>
      <c r="T61" s="1"/>
    </row>
    <row r="62" spans="1:20" ht="14">
      <c r="A62" s="1"/>
      <c r="B62" s="223"/>
      <c r="C62" s="211"/>
      <c r="D62" s="211"/>
      <c r="E62" s="211"/>
      <c r="F62" s="211"/>
      <c r="G62" s="211"/>
      <c r="H62" s="211"/>
      <c r="I62" s="211"/>
      <c r="J62" s="207"/>
      <c r="K62" s="104">
        <f t="shared" ref="K62:P62" si="8">SUM(K57,K61)</f>
        <v>32</v>
      </c>
      <c r="L62" s="104">
        <f t="shared" si="8"/>
        <v>32</v>
      </c>
      <c r="M62" s="104">
        <f t="shared" si="8"/>
        <v>32</v>
      </c>
      <c r="N62" s="104">
        <f t="shared" si="8"/>
        <v>32</v>
      </c>
      <c r="O62" s="104">
        <f t="shared" si="8"/>
        <v>32</v>
      </c>
      <c r="P62" s="104">
        <f t="shared" si="8"/>
        <v>32</v>
      </c>
      <c r="Q62" s="223">
        <f t="shared" si="7"/>
        <v>192</v>
      </c>
      <c r="R62" s="207"/>
      <c r="S62" s="106">
        <v>192</v>
      </c>
      <c r="T62" s="1"/>
    </row>
    <row r="63" spans="1:20" ht="14">
      <c r="A63" s="1"/>
      <c r="B63" s="223"/>
      <c r="C63" s="211"/>
      <c r="D63" s="211"/>
      <c r="E63" s="211"/>
      <c r="F63" s="211"/>
      <c r="G63" s="211"/>
      <c r="H63" s="211"/>
      <c r="I63" s="211"/>
      <c r="J63" s="207"/>
      <c r="K63" s="223">
        <f>SUM(K62:L62)</f>
        <v>64</v>
      </c>
      <c r="L63" s="207"/>
      <c r="M63" s="223">
        <f>SUM(M62:N62)</f>
        <v>64</v>
      </c>
      <c r="N63" s="207"/>
      <c r="O63" s="223">
        <f>SUM(O62:P62)</f>
        <v>64</v>
      </c>
      <c r="P63" s="207"/>
      <c r="Q63" s="223">
        <f t="shared" si="7"/>
        <v>192</v>
      </c>
      <c r="R63" s="207"/>
      <c r="S63" s="141"/>
      <c r="T63" s="1"/>
    </row>
    <row r="64" spans="1:20" ht="14">
      <c r="A64" s="1"/>
      <c r="B64" s="1"/>
      <c r="C64" s="1"/>
      <c r="D64" s="147" t="s">
        <v>296</v>
      </c>
      <c r="E64" s="148"/>
      <c r="F64" s="149" t="s">
        <v>297</v>
      </c>
      <c r="G64" s="148"/>
      <c r="H64" s="15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2.5">
      <c r="A65" s="151"/>
      <c r="B65" s="151"/>
      <c r="C65" s="151"/>
      <c r="D65" s="151"/>
      <c r="E65" s="152"/>
      <c r="F65" s="153" t="s">
        <v>299</v>
      </c>
      <c r="G65" s="152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</row>
    <row r="66" spans="1:20" ht="12.5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</row>
    <row r="67" spans="1:20" ht="12.5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</row>
    <row r="68" spans="1:20" ht="12.5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</row>
    <row r="69" spans="1:20" ht="12.5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</row>
    <row r="70" spans="1:20" ht="12.5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</row>
    <row r="71" spans="1:20" ht="12.5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</row>
    <row r="72" spans="1:20" ht="12.5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</row>
    <row r="73" spans="1:20" ht="12.5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</row>
    <row r="74" spans="1:20" ht="12.5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</row>
    <row r="75" spans="1:20" ht="12.5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</row>
    <row r="76" spans="1:20" ht="12.5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</row>
    <row r="77" spans="1:20" ht="12.5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</row>
    <row r="78" spans="1:20" ht="12.5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</row>
    <row r="79" spans="1:20" ht="12.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</row>
    <row r="80" spans="1:20" ht="12.5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</row>
    <row r="81" spans="1:20" ht="12.5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</row>
    <row r="82" spans="1:20" ht="12.5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</row>
    <row r="83" spans="1:20" ht="12.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</row>
    <row r="84" spans="1:20" ht="12.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</row>
    <row r="85" spans="1:20" ht="12.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</row>
    <row r="86" spans="1:20" ht="12.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</row>
    <row r="87" spans="1:20" ht="12.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</row>
    <row r="88" spans="1:20" ht="12.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</row>
    <row r="89" spans="1:20" ht="12.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</row>
    <row r="90" spans="1:20" ht="12.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</row>
    <row r="91" spans="1:20" ht="12.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</row>
    <row r="92" spans="1:20" ht="12.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</row>
    <row r="93" spans="1:20" ht="12.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</row>
    <row r="94" spans="1:20" ht="12.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</row>
    <row r="95" spans="1:20" ht="12.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</row>
    <row r="96" spans="1:20" ht="12.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</row>
    <row r="97" spans="1:20" ht="12.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</row>
    <row r="98" spans="1:20" ht="12.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</row>
    <row r="99" spans="1:20" ht="12.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</row>
    <row r="100" spans="1:20" ht="12.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</row>
    <row r="101" spans="1:20" ht="12.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</row>
    <row r="102" spans="1:20" ht="12.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</row>
    <row r="103" spans="1:20" ht="12.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</row>
    <row r="104" spans="1:20" ht="12.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</row>
    <row r="105" spans="1:20" ht="12.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</row>
    <row r="106" spans="1:20" ht="12.5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</row>
    <row r="107" spans="1:20" ht="12.5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</row>
    <row r="108" spans="1:20" ht="12.5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</row>
    <row r="109" spans="1:20" ht="12.5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</row>
    <row r="110" spans="1:20" ht="12.5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</row>
    <row r="111" spans="1:20" ht="12.5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</row>
    <row r="112" spans="1:20" ht="12.5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</row>
    <row r="113" spans="1:20" ht="12.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</row>
    <row r="114" spans="1:20" ht="12.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</row>
    <row r="115" spans="1:20" ht="12.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</row>
    <row r="116" spans="1:20" ht="12.5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</row>
    <row r="117" spans="1:20" ht="12.5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</row>
    <row r="118" spans="1:20" ht="12.5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</row>
    <row r="119" spans="1:20" ht="12.5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</row>
    <row r="120" spans="1:20" ht="12.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</row>
    <row r="121" spans="1:20" ht="12.5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</row>
    <row r="122" spans="1:20" ht="12.5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</row>
    <row r="123" spans="1:20" ht="12.5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</row>
    <row r="124" spans="1:20" ht="12.5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</row>
    <row r="125" spans="1:20" ht="12.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</row>
    <row r="126" spans="1:20" ht="12.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</row>
    <row r="127" spans="1:20" ht="12.5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</row>
    <row r="128" spans="1:20" ht="12.5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</row>
    <row r="129" spans="1:20" ht="12.5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</row>
    <row r="130" spans="1:20" ht="12.5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</row>
    <row r="131" spans="1:20" ht="12.5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</row>
    <row r="132" spans="1:20" ht="12.5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</row>
    <row r="133" spans="1:20" ht="12.5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</row>
    <row r="134" spans="1:20" ht="12.5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</row>
    <row r="135" spans="1:20" ht="12.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</row>
    <row r="136" spans="1:20" ht="12.5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</row>
    <row r="137" spans="1:20" ht="12.5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</row>
    <row r="138" spans="1:20" ht="12.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</row>
    <row r="139" spans="1:20" ht="12.5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</row>
    <row r="140" spans="1:20" ht="12.5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</row>
    <row r="141" spans="1:20" ht="12.5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</row>
    <row r="142" spans="1:20" ht="12.5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</row>
    <row r="143" spans="1:20" ht="12.5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</row>
    <row r="144" spans="1:20" ht="12.5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</row>
    <row r="145" spans="1:20" ht="12.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</row>
    <row r="146" spans="1:20" ht="12.5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</row>
    <row r="147" spans="1:20" ht="12.5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</row>
    <row r="148" spans="1:20" ht="12.5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</row>
    <row r="149" spans="1:20" ht="12.5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</row>
    <row r="150" spans="1:20" ht="12.5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</row>
    <row r="151" spans="1:20" ht="12.5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</row>
    <row r="152" spans="1:20" ht="12.5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</row>
    <row r="153" spans="1:20" ht="12.5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</row>
    <row r="154" spans="1:20" ht="12.5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</row>
    <row r="155" spans="1:20" ht="12.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</row>
    <row r="156" spans="1:20" ht="12.5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</row>
    <row r="157" spans="1:20" ht="12.5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</row>
    <row r="158" spans="1:20" ht="12.5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</row>
    <row r="159" spans="1:20" ht="12.5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</row>
    <row r="160" spans="1:20" ht="12.5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</row>
    <row r="161" spans="1:20" ht="12.5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</row>
    <row r="162" spans="1:20" ht="12.5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</row>
    <row r="163" spans="1:20" ht="12.5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</row>
    <row r="164" spans="1:20" ht="12.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</row>
    <row r="165" spans="1:20" ht="12.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</row>
    <row r="166" spans="1:20" ht="12.5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</row>
    <row r="167" spans="1:20" ht="12.5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</row>
    <row r="168" spans="1:20" ht="12.5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</row>
    <row r="169" spans="1:20" ht="12.5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</row>
    <row r="170" spans="1:20" ht="12.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</row>
    <row r="171" spans="1:20" ht="12.5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</row>
    <row r="172" spans="1:20" ht="12.5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</row>
    <row r="173" spans="1:20" ht="12.5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</row>
    <row r="174" spans="1:20" ht="12.5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</row>
    <row r="175" spans="1:20" ht="12.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</row>
    <row r="176" spans="1:20" ht="12.5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</row>
    <row r="177" spans="1:20" ht="12.5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</row>
    <row r="178" spans="1:20" ht="12.5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</row>
    <row r="179" spans="1:20" ht="12.5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</row>
    <row r="180" spans="1:20" ht="12.5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</row>
    <row r="181" spans="1:20" ht="12.5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</row>
    <row r="182" spans="1:20" ht="12.5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</row>
    <row r="183" spans="1:20" ht="12.5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</row>
    <row r="184" spans="1:20" ht="12.5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</row>
    <row r="185" spans="1:20" ht="12.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</row>
    <row r="186" spans="1:20" ht="12.5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</row>
    <row r="187" spans="1:20" ht="12.5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</row>
    <row r="188" spans="1:20" ht="12.5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</row>
    <row r="189" spans="1:20" ht="12.5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</row>
    <row r="190" spans="1:20" ht="12.5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</row>
    <row r="191" spans="1:20" ht="12.5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</row>
    <row r="192" spans="1:20" ht="12.5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</row>
    <row r="193" spans="1:20" ht="12.5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</row>
    <row r="194" spans="1:20" ht="12.5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</row>
    <row r="195" spans="1:20" ht="12.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</row>
    <row r="196" spans="1:20" ht="12.5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</row>
    <row r="197" spans="1:20" ht="12.5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</row>
    <row r="198" spans="1:20" ht="12.5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</row>
    <row r="199" spans="1:20" ht="12.5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</row>
    <row r="200" spans="1:20" ht="12.5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</row>
    <row r="201" spans="1:20" ht="12.5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</row>
    <row r="202" spans="1:20" ht="12.5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</row>
    <row r="203" spans="1:20" ht="12.5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</row>
    <row r="204" spans="1:20" ht="12.5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</row>
    <row r="205" spans="1:20" ht="12.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</row>
    <row r="206" spans="1:20" ht="12.5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</row>
    <row r="207" spans="1:20" ht="12.5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</row>
    <row r="208" spans="1:20" ht="12.5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</row>
    <row r="209" spans="1:20" ht="12.5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</row>
    <row r="210" spans="1:20" ht="12.5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</row>
    <row r="211" spans="1:20" ht="12.5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</row>
    <row r="212" spans="1:20" ht="12.5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</row>
    <row r="213" spans="1:20" ht="12.5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</row>
    <row r="214" spans="1:20" ht="12.5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</row>
    <row r="215" spans="1:20" ht="12.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</row>
    <row r="216" spans="1:20" ht="12.5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</row>
    <row r="217" spans="1:20" ht="12.5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</row>
    <row r="218" spans="1:20" ht="12.5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</row>
    <row r="219" spans="1:20" ht="12.5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</row>
    <row r="220" spans="1:20" ht="12.5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</row>
    <row r="221" spans="1:20" ht="12.5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</row>
    <row r="222" spans="1:20" ht="12.5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</row>
    <row r="223" spans="1:20" ht="12.5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</row>
    <row r="224" spans="1:20" ht="12.5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</row>
    <row r="225" spans="1:20" ht="12.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</row>
    <row r="226" spans="1:20" ht="12.5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</row>
    <row r="227" spans="1:20" ht="12.5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</row>
    <row r="228" spans="1:20" ht="12.5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</row>
    <row r="229" spans="1:20" ht="12.5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</row>
    <row r="230" spans="1:20" ht="12.5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</row>
    <row r="231" spans="1:20" ht="12.5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</row>
    <row r="232" spans="1:20" ht="12.5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</row>
    <row r="233" spans="1:20" ht="12.5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</row>
    <row r="234" spans="1:20" ht="12.5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</row>
    <row r="235" spans="1:20" ht="12.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</row>
    <row r="236" spans="1:20" ht="12.5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</row>
    <row r="237" spans="1:20" ht="12.5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</row>
    <row r="238" spans="1:20" ht="12.5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</row>
    <row r="239" spans="1:20" ht="12.5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</row>
    <row r="240" spans="1:20" ht="12.5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</row>
    <row r="241" spans="1:20" ht="12.5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</row>
    <row r="242" spans="1:20" ht="12.5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</row>
    <row r="243" spans="1:20" ht="12.5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</row>
    <row r="244" spans="1:20" ht="12.5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</row>
    <row r="245" spans="1:20" ht="12.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</row>
    <row r="246" spans="1:20" ht="12.5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</row>
    <row r="247" spans="1:20" ht="12.5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</row>
    <row r="248" spans="1:20" ht="12.5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</row>
    <row r="249" spans="1:20" ht="12.5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</row>
    <row r="250" spans="1:20" ht="12.5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</row>
    <row r="251" spans="1:20" ht="12.5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</row>
    <row r="252" spans="1:20" ht="12.5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</row>
    <row r="253" spans="1:20" ht="12.5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</row>
    <row r="254" spans="1:20" ht="12.5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</row>
    <row r="255" spans="1:20" ht="12.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</row>
    <row r="256" spans="1:20" ht="12.5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</row>
    <row r="257" spans="1:20" ht="12.5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</row>
    <row r="258" spans="1:20" ht="12.5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</row>
    <row r="259" spans="1:20" ht="12.5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</row>
    <row r="260" spans="1:20" ht="12.5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</row>
    <row r="261" spans="1:20" ht="12.5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</row>
    <row r="262" spans="1:20" ht="12.5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</row>
    <row r="263" spans="1:20" ht="12.5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</row>
    <row r="264" spans="1:20" ht="12.5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</row>
    <row r="265" spans="1:20" ht="12.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</row>
    <row r="266" spans="1:20" ht="12.5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</row>
    <row r="267" spans="1:20" ht="12.5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</row>
    <row r="268" spans="1:20" ht="12.5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</row>
    <row r="269" spans="1:20" ht="12.5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</row>
    <row r="270" spans="1:20" ht="12.5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</row>
    <row r="271" spans="1:20" ht="12.5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</row>
    <row r="272" spans="1:20" ht="12.5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</row>
    <row r="273" spans="1:20" ht="12.5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</row>
    <row r="274" spans="1:20" ht="12.5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</row>
    <row r="275" spans="1:20" ht="12.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</row>
    <row r="276" spans="1:20" ht="12.5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</row>
    <row r="277" spans="1:20" ht="12.5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</row>
    <row r="278" spans="1:20" ht="12.5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</row>
    <row r="279" spans="1:20" ht="12.5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</row>
    <row r="280" spans="1:20" ht="12.5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</row>
    <row r="281" spans="1:20" ht="12.5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</row>
    <row r="282" spans="1:20" ht="12.5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</row>
    <row r="283" spans="1:20" ht="12.5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</row>
    <row r="284" spans="1:20" ht="12.5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</row>
    <row r="285" spans="1:20" ht="12.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</row>
    <row r="286" spans="1:20" ht="12.5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</row>
    <row r="287" spans="1:20" ht="12.5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</row>
    <row r="288" spans="1:20" ht="12.5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</row>
    <row r="289" spans="1:20" ht="12.5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</row>
    <row r="290" spans="1:20" ht="12.5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</row>
    <row r="291" spans="1:20" ht="12.5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</row>
    <row r="292" spans="1:20" ht="12.5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</row>
    <row r="293" spans="1:20" ht="12.5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</row>
    <row r="294" spans="1:20" ht="12.5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</row>
    <row r="295" spans="1:20" ht="12.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</row>
    <row r="296" spans="1:20" ht="12.5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</row>
    <row r="297" spans="1:20" ht="12.5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</row>
    <row r="298" spans="1:20" ht="12.5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</row>
    <row r="299" spans="1:20" ht="12.5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</row>
    <row r="300" spans="1:20" ht="12.5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</row>
    <row r="301" spans="1:20" ht="12.5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</row>
    <row r="302" spans="1:20" ht="12.5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</row>
    <row r="303" spans="1:20" ht="12.5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</row>
    <row r="304" spans="1:20" ht="12.5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</row>
    <row r="305" spans="1:20" ht="12.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</row>
    <row r="306" spans="1:20" ht="12.5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</row>
    <row r="307" spans="1:20" ht="12.5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</row>
    <row r="308" spans="1:20" ht="12.5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</row>
    <row r="309" spans="1:20" ht="12.5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</row>
    <row r="310" spans="1:20" ht="12.5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</row>
    <row r="311" spans="1:20" ht="12.5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</row>
    <row r="312" spans="1:20" ht="12.5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</row>
    <row r="313" spans="1:20" ht="12.5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</row>
    <row r="314" spans="1:20" ht="12.5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</row>
    <row r="315" spans="1:20" ht="12.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</row>
    <row r="316" spans="1:20" ht="12.5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</row>
    <row r="317" spans="1:20" ht="12.5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</row>
    <row r="318" spans="1:20" ht="12.5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</row>
    <row r="319" spans="1:20" ht="12.5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</row>
    <row r="320" spans="1:20" ht="12.5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</row>
    <row r="321" spans="1:20" ht="12.5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</row>
    <row r="322" spans="1:20" ht="12.5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</row>
    <row r="323" spans="1:20" ht="12.5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</row>
    <row r="324" spans="1:20" ht="12.5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</row>
    <row r="325" spans="1:20" ht="12.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</row>
    <row r="326" spans="1:20" ht="12.5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</row>
    <row r="327" spans="1:20" ht="12.5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</row>
    <row r="328" spans="1:20" ht="12.5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</row>
    <row r="329" spans="1:20" ht="12.5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</row>
    <row r="330" spans="1:20" ht="12.5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</row>
    <row r="331" spans="1:20" ht="12.5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</row>
    <row r="332" spans="1:20" ht="12.5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</row>
    <row r="333" spans="1:20" ht="12.5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</row>
    <row r="334" spans="1:20" ht="12.5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</row>
    <row r="335" spans="1:20" ht="12.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</row>
    <row r="336" spans="1:20" ht="12.5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</row>
    <row r="337" spans="1:20" ht="12.5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</row>
    <row r="338" spans="1:20" ht="12.5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</row>
    <row r="339" spans="1:20" ht="12.5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</row>
    <row r="340" spans="1:20" ht="12.5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</row>
    <row r="341" spans="1:20" ht="12.5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</row>
    <row r="342" spans="1:20" ht="12.5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</row>
    <row r="343" spans="1:20" ht="12.5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</row>
    <row r="344" spans="1:20" ht="12.5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</row>
    <row r="345" spans="1:20" ht="12.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</row>
    <row r="346" spans="1:20" ht="12.5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</row>
    <row r="347" spans="1:20" ht="12.5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</row>
    <row r="348" spans="1:20" ht="12.5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</row>
    <row r="349" spans="1:20" ht="12.5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</row>
    <row r="350" spans="1:20" ht="12.5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</row>
    <row r="351" spans="1:20" ht="12.5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</row>
    <row r="352" spans="1:20" ht="12.5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</row>
    <row r="353" spans="1:20" ht="12.5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</row>
    <row r="354" spans="1:20" ht="12.5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</row>
    <row r="355" spans="1:20" ht="12.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</row>
    <row r="356" spans="1:20" ht="12.5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</row>
    <row r="357" spans="1:20" ht="12.5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</row>
    <row r="358" spans="1:20" ht="12.5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</row>
    <row r="359" spans="1:20" ht="12.5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</row>
    <row r="360" spans="1:20" ht="12.5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</row>
    <row r="361" spans="1:20" ht="12.5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</row>
    <row r="362" spans="1:20" ht="12.5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</row>
    <row r="363" spans="1:20" ht="12.5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</row>
    <row r="364" spans="1:20" ht="12.5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</row>
    <row r="365" spans="1:20" ht="12.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</row>
    <row r="366" spans="1:20" ht="12.5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</row>
    <row r="367" spans="1:20" ht="12.5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</row>
    <row r="368" spans="1:20" ht="12.5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</row>
    <row r="369" spans="1:20" ht="12.5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</row>
    <row r="370" spans="1:20" ht="12.5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</row>
    <row r="371" spans="1:20" ht="12.5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</row>
    <row r="372" spans="1:20" ht="12.5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</row>
    <row r="373" spans="1:20" ht="12.5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</row>
    <row r="374" spans="1:20" ht="12.5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</row>
    <row r="375" spans="1:20" ht="12.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</row>
    <row r="376" spans="1:20" ht="12.5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</row>
    <row r="377" spans="1:20" ht="12.5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</row>
    <row r="378" spans="1:20" ht="12.5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</row>
    <row r="379" spans="1:20" ht="12.5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</row>
    <row r="380" spans="1:20" ht="12.5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</row>
    <row r="381" spans="1:20" ht="12.5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</row>
    <row r="382" spans="1:20" ht="12.5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</row>
    <row r="383" spans="1:20" ht="12.5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</row>
    <row r="384" spans="1:20" ht="12.5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</row>
    <row r="385" spans="1:20" ht="12.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</row>
    <row r="386" spans="1:20" ht="12.5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</row>
    <row r="387" spans="1:20" ht="12.5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</row>
    <row r="388" spans="1:20" ht="12.5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</row>
    <row r="389" spans="1:20" ht="12.5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</row>
    <row r="390" spans="1:20" ht="12.5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</row>
    <row r="391" spans="1:20" ht="12.5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</row>
    <row r="392" spans="1:20" ht="12.5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</row>
    <row r="393" spans="1:20" ht="12.5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</row>
    <row r="394" spans="1:20" ht="12.5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</row>
    <row r="395" spans="1:20" ht="12.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</row>
    <row r="396" spans="1:20" ht="12.5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</row>
    <row r="397" spans="1:20" ht="12.5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</row>
    <row r="398" spans="1:20" ht="12.5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</row>
    <row r="399" spans="1:20" ht="12.5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</row>
    <row r="400" spans="1:20" ht="12.5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</row>
    <row r="401" spans="1:20" ht="12.5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</row>
    <row r="402" spans="1:20" ht="12.5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</row>
    <row r="403" spans="1:20" ht="12.5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</row>
    <row r="404" spans="1:20" ht="12.5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</row>
    <row r="405" spans="1:20" ht="12.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</row>
    <row r="406" spans="1:20" ht="12.5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</row>
    <row r="407" spans="1:20" ht="12.5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</row>
    <row r="408" spans="1:20" ht="12.5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</row>
    <row r="409" spans="1:20" ht="12.5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</row>
    <row r="410" spans="1:20" ht="12.5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</row>
    <row r="411" spans="1:20" ht="12.5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</row>
    <row r="412" spans="1:20" ht="12.5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</row>
    <row r="413" spans="1:20" ht="12.5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</row>
    <row r="414" spans="1:20" ht="12.5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</row>
    <row r="415" spans="1:20" ht="12.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</row>
    <row r="416" spans="1:20" ht="12.5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</row>
    <row r="417" spans="1:20" ht="12.5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</row>
    <row r="418" spans="1:20" ht="12.5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</row>
    <row r="419" spans="1:20" ht="12.5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</row>
    <row r="420" spans="1:20" ht="12.5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</row>
    <row r="421" spans="1:20" ht="12.5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</row>
    <row r="422" spans="1:20" ht="12.5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</row>
    <row r="423" spans="1:20" ht="12.5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</row>
    <row r="424" spans="1:20" ht="12.5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</row>
    <row r="425" spans="1:20" ht="12.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</row>
    <row r="426" spans="1:20" ht="12.5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</row>
    <row r="427" spans="1:20" ht="12.5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</row>
    <row r="428" spans="1:20" ht="12.5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</row>
    <row r="429" spans="1:20" ht="12.5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</row>
    <row r="430" spans="1:20" ht="12.5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</row>
    <row r="431" spans="1:20" ht="12.5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</row>
    <row r="432" spans="1:20" ht="12.5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</row>
    <row r="433" spans="1:20" ht="12.5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</row>
    <row r="434" spans="1:20" ht="12.5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</row>
    <row r="435" spans="1:20" ht="12.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</row>
    <row r="436" spans="1:20" ht="12.5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</row>
    <row r="437" spans="1:20" ht="12.5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</row>
    <row r="438" spans="1:20" ht="12.5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</row>
    <row r="439" spans="1:20" ht="12.5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</row>
    <row r="440" spans="1:20" ht="12.5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</row>
    <row r="441" spans="1:20" ht="12.5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</row>
    <row r="442" spans="1:20" ht="12.5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</row>
    <row r="443" spans="1:20" ht="12.5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</row>
    <row r="444" spans="1:20" ht="12.5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</row>
    <row r="445" spans="1:20" ht="12.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</row>
    <row r="446" spans="1:20" ht="12.5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</row>
    <row r="447" spans="1:20" ht="12.5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</row>
    <row r="448" spans="1:20" ht="12.5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</row>
    <row r="449" spans="1:20" ht="12.5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</row>
    <row r="450" spans="1:20" ht="12.5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</row>
    <row r="451" spans="1:20" ht="12.5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</row>
    <row r="452" spans="1:20" ht="12.5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</row>
    <row r="453" spans="1:20" ht="12.5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</row>
    <row r="454" spans="1:20" ht="12.5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</row>
    <row r="455" spans="1:20" ht="12.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</row>
    <row r="456" spans="1:20" ht="12.5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</row>
    <row r="457" spans="1:20" ht="12.5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</row>
    <row r="458" spans="1:20" ht="12.5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</row>
    <row r="459" spans="1:20" ht="12.5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</row>
    <row r="460" spans="1:20" ht="12.5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</row>
    <row r="461" spans="1:20" ht="12.5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</row>
    <row r="462" spans="1:20" ht="12.5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</row>
    <row r="463" spans="1:20" ht="12.5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</row>
    <row r="464" spans="1:20" ht="12.5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</row>
    <row r="465" spans="1:20" ht="12.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</row>
    <row r="466" spans="1:20" ht="12.5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</row>
    <row r="467" spans="1:20" ht="12.5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</row>
    <row r="468" spans="1:20" ht="12.5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</row>
    <row r="469" spans="1:20" ht="12.5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</row>
    <row r="470" spans="1:20" ht="12.5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</row>
    <row r="471" spans="1:20" ht="12.5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</row>
    <row r="472" spans="1:20" ht="12.5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</row>
    <row r="473" spans="1:20" ht="12.5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</row>
    <row r="474" spans="1:20" ht="12.5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</row>
    <row r="475" spans="1:20" ht="12.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</row>
    <row r="476" spans="1:20" ht="12.5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</row>
    <row r="477" spans="1:20" ht="12.5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</row>
    <row r="478" spans="1:20" ht="12.5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</row>
    <row r="479" spans="1:20" ht="12.5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</row>
    <row r="480" spans="1:20" ht="12.5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</row>
    <row r="481" spans="1:20" ht="12.5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</row>
    <row r="482" spans="1:20" ht="12.5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</row>
    <row r="483" spans="1:20" ht="12.5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</row>
    <row r="484" spans="1:20" ht="12.5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</row>
    <row r="485" spans="1:20" ht="12.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</row>
    <row r="486" spans="1:20" ht="12.5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</row>
    <row r="487" spans="1:20" ht="12.5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</row>
    <row r="488" spans="1:20" ht="12.5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</row>
    <row r="489" spans="1:20" ht="12.5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</row>
    <row r="490" spans="1:20" ht="12.5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</row>
    <row r="491" spans="1:20" ht="12.5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</row>
    <row r="492" spans="1:20" ht="12.5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</row>
    <row r="493" spans="1:20" ht="12.5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</row>
    <row r="494" spans="1:20" ht="12.5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</row>
    <row r="495" spans="1:20" ht="12.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</row>
    <row r="496" spans="1:20" ht="12.5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</row>
    <row r="497" spans="1:20" ht="12.5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</row>
    <row r="498" spans="1:20" ht="12.5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</row>
    <row r="499" spans="1:20" ht="12.5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</row>
    <row r="500" spans="1:20" ht="12.5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</row>
    <row r="501" spans="1:20" ht="12.5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</row>
    <row r="502" spans="1:20" ht="12.5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</row>
    <row r="503" spans="1:20" ht="12.5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</row>
    <row r="504" spans="1:20" ht="12.5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</row>
    <row r="505" spans="1:20" ht="12.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</row>
    <row r="506" spans="1:20" ht="12.5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</row>
    <row r="507" spans="1:20" ht="12.5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</row>
    <row r="508" spans="1:20" ht="12.5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</row>
    <row r="509" spans="1:20" ht="12.5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</row>
    <row r="510" spans="1:20" ht="12.5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</row>
    <row r="511" spans="1:20" ht="12.5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</row>
    <row r="512" spans="1:20" ht="12.5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</row>
    <row r="513" spans="1:20" ht="12.5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</row>
    <row r="514" spans="1:20" ht="12.5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</row>
    <row r="515" spans="1:20" ht="12.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</row>
    <row r="516" spans="1:20" ht="12.5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</row>
    <row r="517" spans="1:20" ht="12.5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</row>
    <row r="518" spans="1:20" ht="12.5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</row>
    <row r="519" spans="1:20" ht="12.5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</row>
    <row r="520" spans="1:20" ht="12.5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</row>
    <row r="521" spans="1:20" ht="12.5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</row>
    <row r="522" spans="1:20" ht="12.5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</row>
    <row r="523" spans="1:20" ht="12.5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</row>
    <row r="524" spans="1:20" ht="12.5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</row>
    <row r="525" spans="1:20" ht="12.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</row>
    <row r="526" spans="1:20" ht="12.5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</row>
    <row r="527" spans="1:20" ht="12.5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</row>
    <row r="528" spans="1:20" ht="12.5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</row>
    <row r="529" spans="1:20" ht="12.5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</row>
    <row r="530" spans="1:20" ht="12.5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</row>
    <row r="531" spans="1:20" ht="12.5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</row>
    <row r="532" spans="1:20" ht="12.5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</row>
    <row r="533" spans="1:20" ht="12.5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</row>
    <row r="534" spans="1:20" ht="12.5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</row>
    <row r="535" spans="1:20" ht="12.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</row>
    <row r="536" spans="1:20" ht="12.5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</row>
    <row r="537" spans="1:20" ht="12.5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</row>
    <row r="538" spans="1:20" ht="12.5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</row>
    <row r="539" spans="1:20" ht="12.5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</row>
    <row r="540" spans="1:20" ht="12.5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</row>
    <row r="541" spans="1:20" ht="12.5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</row>
    <row r="542" spans="1:20" ht="12.5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</row>
    <row r="543" spans="1:20" ht="12.5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</row>
    <row r="544" spans="1:20" ht="12.5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</row>
    <row r="545" spans="1:20" ht="12.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</row>
    <row r="546" spans="1:20" ht="12.5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</row>
    <row r="547" spans="1:20" ht="12.5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</row>
    <row r="548" spans="1:20" ht="12.5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</row>
    <row r="549" spans="1:20" ht="12.5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</row>
    <row r="550" spans="1:20" ht="12.5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</row>
    <row r="551" spans="1:20" ht="12.5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</row>
    <row r="552" spans="1:20" ht="12.5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</row>
    <row r="553" spans="1:20" ht="12.5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</row>
    <row r="554" spans="1:20" ht="12.5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</row>
    <row r="555" spans="1:20" ht="12.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</row>
    <row r="556" spans="1:20" ht="12.5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</row>
    <row r="557" spans="1:20" ht="12.5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</row>
    <row r="558" spans="1:20" ht="12.5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</row>
    <row r="559" spans="1:20" ht="12.5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</row>
    <row r="560" spans="1:20" ht="12.5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</row>
    <row r="561" spans="1:20" ht="12.5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</row>
    <row r="562" spans="1:20" ht="12.5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</row>
    <row r="563" spans="1:20" ht="12.5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</row>
    <row r="564" spans="1:20" ht="12.5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</row>
    <row r="565" spans="1:20" ht="12.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</row>
    <row r="566" spans="1:20" ht="12.5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</row>
    <row r="567" spans="1:20" ht="12.5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</row>
    <row r="568" spans="1:20" ht="12.5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</row>
    <row r="569" spans="1:20" ht="12.5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</row>
    <row r="570" spans="1:20" ht="12.5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</row>
    <row r="571" spans="1:20" ht="12.5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</row>
    <row r="572" spans="1:20" ht="12.5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</row>
    <row r="573" spans="1:20" ht="12.5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</row>
    <row r="574" spans="1:20" ht="12.5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</row>
    <row r="575" spans="1:20" ht="12.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</row>
    <row r="576" spans="1:20" ht="12.5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</row>
    <row r="577" spans="1:20" ht="12.5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</row>
    <row r="578" spans="1:20" ht="12.5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</row>
    <row r="579" spans="1:20" ht="12.5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</row>
    <row r="580" spans="1:20" ht="12.5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</row>
    <row r="581" spans="1:20" ht="12.5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</row>
    <row r="582" spans="1:20" ht="12.5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</row>
    <row r="583" spans="1:20" ht="12.5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</row>
    <row r="584" spans="1:20" ht="12.5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</row>
    <row r="585" spans="1:20" ht="12.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</row>
    <row r="586" spans="1:20" ht="12.5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</row>
    <row r="587" spans="1:20" ht="12.5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</row>
    <row r="588" spans="1:20" ht="12.5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</row>
    <row r="589" spans="1:20" ht="12.5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</row>
    <row r="590" spans="1:20" ht="12.5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</row>
    <row r="591" spans="1:20" ht="12.5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</row>
    <row r="592" spans="1:20" ht="12.5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</row>
    <row r="593" spans="1:20" ht="12.5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</row>
    <row r="594" spans="1:20" ht="12.5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</row>
    <row r="595" spans="1:20" ht="12.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</row>
    <row r="596" spans="1:20" ht="12.5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</row>
    <row r="597" spans="1:20" ht="12.5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</row>
    <row r="598" spans="1:20" ht="12.5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</row>
    <row r="599" spans="1:20" ht="12.5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</row>
    <row r="600" spans="1:20" ht="12.5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</row>
    <row r="601" spans="1:20" ht="12.5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</row>
    <row r="602" spans="1:20" ht="12.5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</row>
    <row r="603" spans="1:20" ht="12.5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</row>
    <row r="604" spans="1:20" ht="12.5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</row>
    <row r="605" spans="1:20" ht="12.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</row>
    <row r="606" spans="1:20" ht="12.5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</row>
    <row r="607" spans="1:20" ht="12.5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</row>
    <row r="608" spans="1:20" ht="12.5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</row>
    <row r="609" spans="1:20" ht="12.5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</row>
    <row r="610" spans="1:20" ht="12.5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</row>
    <row r="611" spans="1:20" ht="12.5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</row>
    <row r="612" spans="1:20" ht="12.5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</row>
    <row r="613" spans="1:20" ht="12.5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</row>
    <row r="614" spans="1:20" ht="12.5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</row>
    <row r="615" spans="1:20" ht="12.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</row>
    <row r="616" spans="1:20" ht="12.5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</row>
    <row r="617" spans="1:20" ht="12.5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</row>
    <row r="618" spans="1:20" ht="12.5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</row>
    <row r="619" spans="1:20" ht="12.5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</row>
    <row r="620" spans="1:20" ht="12.5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</row>
    <row r="621" spans="1:20" ht="12.5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</row>
    <row r="622" spans="1:20" ht="12.5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</row>
    <row r="623" spans="1:20" ht="12.5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</row>
    <row r="624" spans="1:20" ht="12.5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</row>
    <row r="625" spans="1:20" ht="12.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</row>
    <row r="626" spans="1:20" ht="12.5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</row>
    <row r="627" spans="1:20" ht="12.5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</row>
    <row r="628" spans="1:20" ht="12.5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</row>
    <row r="629" spans="1:20" ht="12.5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</row>
    <row r="630" spans="1:20" ht="12.5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</row>
    <row r="631" spans="1:20" ht="12.5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</row>
    <row r="632" spans="1:20" ht="12.5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</row>
    <row r="633" spans="1:20" ht="12.5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</row>
    <row r="634" spans="1:20" ht="12.5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</row>
    <row r="635" spans="1:20" ht="12.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</row>
    <row r="636" spans="1:20" ht="12.5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</row>
    <row r="637" spans="1:20" ht="12.5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</row>
    <row r="638" spans="1:20" ht="12.5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</row>
    <row r="639" spans="1:20" ht="12.5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</row>
    <row r="640" spans="1:20" ht="12.5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</row>
    <row r="641" spans="1:20" ht="12.5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</row>
    <row r="642" spans="1:20" ht="12.5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</row>
    <row r="643" spans="1:20" ht="12.5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</row>
    <row r="644" spans="1:20" ht="12.5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</row>
    <row r="645" spans="1:20" ht="12.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</row>
    <row r="646" spans="1:20" ht="12.5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</row>
    <row r="647" spans="1:20" ht="12.5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</row>
    <row r="648" spans="1:20" ht="12.5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</row>
    <row r="649" spans="1:20" ht="12.5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</row>
    <row r="650" spans="1:20" ht="12.5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</row>
    <row r="651" spans="1:20" ht="12.5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</row>
    <row r="652" spans="1:20" ht="12.5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</row>
    <row r="653" spans="1:20" ht="12.5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</row>
    <row r="654" spans="1:20" ht="12.5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</row>
    <row r="655" spans="1:20" ht="12.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</row>
    <row r="656" spans="1:20" ht="12.5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</row>
    <row r="657" spans="1:20" ht="12.5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</row>
    <row r="658" spans="1:20" ht="12.5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</row>
    <row r="659" spans="1:20" ht="12.5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</row>
    <row r="660" spans="1:20" ht="12.5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</row>
    <row r="661" spans="1:20" ht="12.5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</row>
    <row r="662" spans="1:20" ht="12.5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</row>
    <row r="663" spans="1:20" ht="12.5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</row>
    <row r="664" spans="1:20" ht="12.5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</row>
    <row r="665" spans="1:20" ht="12.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</row>
    <row r="666" spans="1:20" ht="12.5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</row>
    <row r="667" spans="1:20" ht="12.5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</row>
    <row r="668" spans="1:20" ht="12.5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</row>
    <row r="669" spans="1:20" ht="12.5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</row>
    <row r="670" spans="1:20" ht="12.5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</row>
    <row r="671" spans="1:20" ht="12.5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</row>
    <row r="672" spans="1:20" ht="12.5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</row>
    <row r="673" spans="1:20" ht="12.5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</row>
    <row r="674" spans="1:20" ht="12.5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</row>
    <row r="675" spans="1:20" ht="12.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</row>
    <row r="676" spans="1:20" ht="12.5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</row>
    <row r="677" spans="1:20" ht="12.5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</row>
    <row r="678" spans="1:20" ht="12.5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</row>
    <row r="679" spans="1:20" ht="12.5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</row>
    <row r="680" spans="1:20" ht="12.5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</row>
    <row r="681" spans="1:20" ht="12.5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</row>
    <row r="682" spans="1:20" ht="12.5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</row>
    <row r="683" spans="1:20" ht="12.5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</row>
    <row r="684" spans="1:20" ht="12.5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</row>
    <row r="685" spans="1:20" ht="12.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</row>
    <row r="686" spans="1:20" ht="12.5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</row>
    <row r="687" spans="1:20" ht="12.5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</row>
    <row r="688" spans="1:20" ht="12.5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</row>
    <row r="689" spans="1:20" ht="12.5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</row>
    <row r="690" spans="1:20" ht="12.5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</row>
    <row r="691" spans="1:20" ht="12.5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</row>
    <row r="692" spans="1:20" ht="12.5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</row>
    <row r="693" spans="1:20" ht="12.5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</row>
    <row r="694" spans="1:20" ht="12.5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</row>
    <row r="695" spans="1:20" ht="12.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</row>
    <row r="696" spans="1:20" ht="12.5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</row>
    <row r="697" spans="1:20" ht="12.5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</row>
    <row r="698" spans="1:20" ht="12.5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</row>
    <row r="699" spans="1:20" ht="12.5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</row>
    <row r="700" spans="1:20" ht="12.5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</row>
    <row r="701" spans="1:20" ht="12.5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</row>
    <row r="702" spans="1:20" ht="12.5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</row>
    <row r="703" spans="1:20" ht="12.5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</row>
    <row r="704" spans="1:20" ht="12.5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</row>
    <row r="705" spans="1:20" ht="12.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</row>
    <row r="706" spans="1:20" ht="12.5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</row>
    <row r="707" spans="1:20" ht="12.5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</row>
    <row r="708" spans="1:20" ht="12.5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</row>
    <row r="709" spans="1:20" ht="12.5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</row>
    <row r="710" spans="1:20" ht="12.5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</row>
    <row r="711" spans="1:20" ht="12.5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</row>
    <row r="712" spans="1:20" ht="12.5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</row>
    <row r="713" spans="1:20" ht="12.5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</row>
    <row r="714" spans="1:20" ht="12.5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</row>
    <row r="715" spans="1:20" ht="12.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</row>
    <row r="716" spans="1:20" ht="12.5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</row>
    <row r="717" spans="1:20" ht="12.5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</row>
    <row r="718" spans="1:20" ht="12.5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</row>
    <row r="719" spans="1:20" ht="12.5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</row>
    <row r="720" spans="1:20" ht="12.5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</row>
    <row r="721" spans="1:20" ht="12.5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</row>
    <row r="722" spans="1:20" ht="12.5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</row>
    <row r="723" spans="1:20" ht="12.5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</row>
    <row r="724" spans="1:20" ht="12.5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</row>
    <row r="725" spans="1:20" ht="12.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</row>
    <row r="726" spans="1:20" ht="12.5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</row>
    <row r="727" spans="1:20" ht="12.5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</row>
    <row r="728" spans="1:20" ht="12.5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</row>
    <row r="729" spans="1:20" ht="12.5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</row>
    <row r="730" spans="1:20" ht="12.5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</row>
    <row r="731" spans="1:20" ht="12.5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</row>
    <row r="732" spans="1:20" ht="12.5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</row>
    <row r="733" spans="1:20" ht="12.5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</row>
    <row r="734" spans="1:20" ht="12.5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</row>
    <row r="735" spans="1:20" ht="12.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</row>
    <row r="736" spans="1:20" ht="12.5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</row>
    <row r="737" spans="1:20" ht="12.5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</row>
    <row r="738" spans="1:20" ht="12.5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</row>
    <row r="739" spans="1:20" ht="12.5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</row>
    <row r="740" spans="1:20" ht="12.5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</row>
    <row r="741" spans="1:20" ht="12.5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</row>
    <row r="742" spans="1:20" ht="12.5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</row>
    <row r="743" spans="1:20" ht="12.5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</row>
    <row r="744" spans="1:20" ht="12.5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</row>
    <row r="745" spans="1:20" ht="12.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</row>
    <row r="746" spans="1:20" ht="12.5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</row>
    <row r="747" spans="1:20" ht="12.5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</row>
    <row r="748" spans="1:20" ht="12.5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</row>
    <row r="749" spans="1:20" ht="12.5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</row>
    <row r="750" spans="1:20" ht="12.5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</row>
    <row r="751" spans="1:20" ht="12.5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</row>
    <row r="752" spans="1:20" ht="12.5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</row>
    <row r="753" spans="1:20" ht="12.5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</row>
    <row r="754" spans="1:20" ht="12.5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</row>
    <row r="755" spans="1:20" ht="12.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</row>
    <row r="756" spans="1:20" ht="12.5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</row>
    <row r="757" spans="1:20" ht="12.5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</row>
    <row r="758" spans="1:20" ht="12.5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</row>
    <row r="759" spans="1:20" ht="12.5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</row>
    <row r="760" spans="1:20" ht="12.5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</row>
    <row r="761" spans="1:20" ht="12.5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</row>
    <row r="762" spans="1:20" ht="12.5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</row>
    <row r="763" spans="1:20" ht="12.5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</row>
    <row r="764" spans="1:20" ht="12.5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</row>
    <row r="765" spans="1:20" ht="12.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</row>
    <row r="766" spans="1:20" ht="12.5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</row>
    <row r="767" spans="1:20" ht="12.5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</row>
    <row r="768" spans="1:20" ht="12.5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</row>
    <row r="769" spans="1:20" ht="12.5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</row>
    <row r="770" spans="1:20" ht="12.5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</row>
    <row r="771" spans="1:20" ht="12.5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</row>
    <row r="772" spans="1:20" ht="12.5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</row>
    <row r="773" spans="1:20" ht="12.5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</row>
    <row r="774" spans="1:20" ht="12.5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</row>
    <row r="775" spans="1:20" ht="12.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</row>
    <row r="776" spans="1:20" ht="12.5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</row>
    <row r="777" spans="1:20" ht="12.5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</row>
    <row r="778" spans="1:20" ht="12.5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</row>
    <row r="779" spans="1:20" ht="12.5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</row>
    <row r="780" spans="1:20" ht="12.5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</row>
    <row r="781" spans="1:20" ht="12.5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</row>
    <row r="782" spans="1:20" ht="12.5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</row>
    <row r="783" spans="1:20" ht="12.5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</row>
    <row r="784" spans="1:20" ht="12.5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</row>
    <row r="785" spans="1:20" ht="12.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</row>
    <row r="786" spans="1:20" ht="12.5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</row>
    <row r="787" spans="1:20" ht="12.5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</row>
    <row r="788" spans="1:20" ht="12.5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</row>
    <row r="789" spans="1:20" ht="12.5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</row>
    <row r="790" spans="1:20" ht="12.5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</row>
    <row r="791" spans="1:20" ht="12.5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</row>
    <row r="792" spans="1:20" ht="12.5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</row>
    <row r="793" spans="1:20" ht="12.5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</row>
    <row r="794" spans="1:20" ht="12.5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</row>
    <row r="795" spans="1:20" ht="12.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</row>
    <row r="796" spans="1:20" ht="12.5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</row>
    <row r="797" spans="1:20" ht="12.5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</row>
    <row r="798" spans="1:20" ht="12.5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</row>
    <row r="799" spans="1:20" ht="12.5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</row>
    <row r="800" spans="1:20" ht="12.5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</row>
    <row r="801" spans="1:20" ht="12.5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</row>
    <row r="802" spans="1:20" ht="12.5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</row>
    <row r="803" spans="1:20" ht="12.5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</row>
    <row r="804" spans="1:20" ht="12.5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</row>
    <row r="805" spans="1:20" ht="12.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</row>
    <row r="806" spans="1:20" ht="12.5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</row>
    <row r="807" spans="1:20" ht="12.5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</row>
    <row r="808" spans="1:20" ht="12.5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</row>
    <row r="809" spans="1:20" ht="12.5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</row>
    <row r="810" spans="1:20" ht="12.5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</row>
    <row r="811" spans="1:20" ht="12.5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</row>
    <row r="812" spans="1:20" ht="12.5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</row>
    <row r="813" spans="1:20" ht="12.5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</row>
    <row r="814" spans="1:20" ht="12.5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</row>
    <row r="815" spans="1:20" ht="12.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</row>
    <row r="816" spans="1:20" ht="12.5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</row>
    <row r="817" spans="1:20" ht="12.5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</row>
    <row r="818" spans="1:20" ht="12.5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</row>
    <row r="819" spans="1:20" ht="12.5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</row>
    <row r="820" spans="1:20" ht="12.5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</row>
    <row r="821" spans="1:20" ht="12.5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</row>
    <row r="822" spans="1:20" ht="12.5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</row>
    <row r="823" spans="1:20" ht="12.5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</row>
    <row r="824" spans="1:20" ht="12.5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</row>
    <row r="825" spans="1:20" ht="12.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</row>
    <row r="826" spans="1:20" ht="12.5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</row>
    <row r="827" spans="1:20" ht="12.5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</row>
    <row r="828" spans="1:20" ht="12.5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</row>
    <row r="829" spans="1:20" ht="12.5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</row>
    <row r="830" spans="1:20" ht="12.5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</row>
    <row r="831" spans="1:20" ht="12.5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</row>
    <row r="832" spans="1:20" ht="12.5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</row>
    <row r="833" spans="1:20" ht="12.5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</row>
    <row r="834" spans="1:20" ht="12.5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</row>
    <row r="835" spans="1:20" ht="12.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</row>
    <row r="836" spans="1:20" ht="12.5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</row>
    <row r="837" spans="1:20" ht="12.5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</row>
    <row r="838" spans="1:20" ht="12.5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</row>
    <row r="839" spans="1:20" ht="12.5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</row>
    <row r="840" spans="1:20" ht="12.5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</row>
    <row r="841" spans="1:20" ht="12.5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</row>
    <row r="842" spans="1:20" ht="12.5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</row>
    <row r="843" spans="1:20" ht="12.5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</row>
    <row r="844" spans="1:20" ht="12.5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</row>
    <row r="845" spans="1:20" ht="12.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</row>
    <row r="846" spans="1:20" ht="12.5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</row>
    <row r="847" spans="1:20" ht="12.5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</row>
    <row r="848" spans="1:20" ht="12.5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</row>
    <row r="849" spans="1:20" ht="12.5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</row>
    <row r="850" spans="1:20" ht="12.5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</row>
    <row r="851" spans="1:20" ht="12.5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</row>
    <row r="852" spans="1:20" ht="12.5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</row>
    <row r="853" spans="1:20" ht="12.5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</row>
    <row r="854" spans="1:20" ht="12.5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</row>
    <row r="855" spans="1:20" ht="12.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</row>
    <row r="856" spans="1:20" ht="12.5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</row>
    <row r="857" spans="1:20" ht="12.5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</row>
    <row r="858" spans="1:20" ht="12.5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</row>
    <row r="859" spans="1:20" ht="12.5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</row>
    <row r="860" spans="1:20" ht="12.5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</row>
    <row r="861" spans="1:20" ht="12.5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</row>
    <row r="862" spans="1:20" ht="12.5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</row>
    <row r="863" spans="1:20" ht="12.5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</row>
    <row r="864" spans="1:20" ht="12.5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</row>
    <row r="865" spans="1:20" ht="12.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</row>
    <row r="866" spans="1:20" ht="12.5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</row>
    <row r="867" spans="1:20" ht="12.5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</row>
    <row r="868" spans="1:20" ht="12.5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</row>
    <row r="869" spans="1:20" ht="12.5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</row>
    <row r="870" spans="1:20" ht="12.5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</row>
    <row r="871" spans="1:20" ht="12.5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</row>
    <row r="872" spans="1:20" ht="12.5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</row>
    <row r="873" spans="1:20" ht="12.5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</row>
    <row r="874" spans="1:20" ht="12.5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</row>
    <row r="875" spans="1:20" ht="12.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</row>
    <row r="876" spans="1:20" ht="12.5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</row>
    <row r="877" spans="1:20" ht="12.5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</row>
    <row r="878" spans="1:20" ht="12.5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</row>
    <row r="879" spans="1:20" ht="12.5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</row>
    <row r="880" spans="1:20" ht="12.5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</row>
    <row r="881" spans="1:20" ht="12.5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</row>
    <row r="882" spans="1:20" ht="12.5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</row>
    <row r="883" spans="1:20" ht="12.5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</row>
    <row r="884" spans="1:20" ht="12.5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</row>
    <row r="885" spans="1:20" ht="12.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</row>
    <row r="886" spans="1:20" ht="12.5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</row>
    <row r="887" spans="1:20" ht="12.5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</row>
    <row r="888" spans="1:20" ht="12.5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</row>
    <row r="889" spans="1:20" ht="12.5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</row>
    <row r="890" spans="1:20" ht="12.5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</row>
    <row r="891" spans="1:20" ht="12.5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</row>
    <row r="892" spans="1:20" ht="12.5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</row>
    <row r="893" spans="1:20" ht="12.5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</row>
    <row r="894" spans="1:20" ht="12.5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</row>
    <row r="895" spans="1:20" ht="12.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</row>
    <row r="896" spans="1:20" ht="12.5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</row>
    <row r="897" spans="1:20" ht="12.5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</row>
    <row r="898" spans="1:20" ht="12.5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</row>
    <row r="899" spans="1:20" ht="12.5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</row>
    <row r="900" spans="1:20" ht="12.5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</row>
    <row r="901" spans="1:20" ht="12.5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</row>
    <row r="902" spans="1:20" ht="12.5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</row>
    <row r="903" spans="1:20" ht="12.5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</row>
    <row r="904" spans="1:20" ht="12.5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</row>
    <row r="905" spans="1:20" ht="12.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</row>
    <row r="906" spans="1:20" ht="12.5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</row>
    <row r="907" spans="1:20" ht="12.5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</row>
    <row r="908" spans="1:20" ht="12.5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</row>
    <row r="909" spans="1:20" ht="12.5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</row>
    <row r="910" spans="1:20" ht="12.5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</row>
    <row r="911" spans="1:20" ht="12.5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</row>
    <row r="912" spans="1:20" ht="12.5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</row>
    <row r="913" spans="1:20" ht="12.5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</row>
    <row r="914" spans="1:20" ht="12.5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</row>
    <row r="915" spans="1:20" ht="12.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</row>
    <row r="916" spans="1:20" ht="12.5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</row>
    <row r="917" spans="1:20" ht="12.5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</row>
    <row r="918" spans="1:20" ht="12.5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</row>
    <row r="919" spans="1:20" ht="12.5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</row>
    <row r="920" spans="1:20" ht="12.5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</row>
    <row r="921" spans="1:20" ht="12.5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</row>
    <row r="922" spans="1:20" ht="12.5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</row>
    <row r="923" spans="1:20" ht="12.5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</row>
    <row r="924" spans="1:20" ht="12.5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</row>
    <row r="925" spans="1:20" ht="12.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</row>
    <row r="926" spans="1:20" ht="12.5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</row>
    <row r="927" spans="1:20" ht="12.5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</row>
    <row r="928" spans="1:20" ht="12.5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</row>
    <row r="929" spans="1:20" ht="12.5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</row>
    <row r="930" spans="1:20" ht="12.5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</row>
    <row r="931" spans="1:20" ht="12.5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</row>
    <row r="932" spans="1:20" ht="12.5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</row>
    <row r="933" spans="1:20" ht="12.5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</row>
    <row r="934" spans="1:20" ht="12.5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</row>
    <row r="935" spans="1:20" ht="12.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</row>
    <row r="936" spans="1:20" ht="12.5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</row>
    <row r="937" spans="1:20" ht="12.5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</row>
    <row r="938" spans="1:20" ht="12.5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</row>
    <row r="939" spans="1:20" ht="12.5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</row>
    <row r="940" spans="1:20" ht="12.5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</row>
    <row r="941" spans="1:20" ht="12.5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</row>
    <row r="942" spans="1:20" ht="12.5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</row>
    <row r="943" spans="1:20" ht="12.5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</row>
    <row r="944" spans="1:20" ht="12.5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</row>
    <row r="945" spans="1:20" ht="12.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</row>
    <row r="946" spans="1:20" ht="12.5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</row>
    <row r="947" spans="1:20" ht="12.5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</row>
    <row r="948" spans="1:20" ht="12.5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</row>
    <row r="949" spans="1:20" ht="12.5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</row>
    <row r="950" spans="1:20" ht="12.5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</row>
    <row r="951" spans="1:20" ht="12.5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</row>
    <row r="952" spans="1:20" ht="12.5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</row>
    <row r="953" spans="1:20" ht="12.5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</row>
    <row r="954" spans="1:20" ht="12.5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</row>
    <row r="955" spans="1:20" ht="12.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</row>
    <row r="956" spans="1:20" ht="12.5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</row>
    <row r="957" spans="1:20" ht="12.5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</row>
    <row r="958" spans="1:20" ht="12.5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</row>
    <row r="959" spans="1:20" ht="12.5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</row>
    <row r="960" spans="1:20" ht="12.5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</row>
    <row r="961" spans="1:20" ht="12.5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</row>
    <row r="962" spans="1:20" ht="12.5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</row>
    <row r="963" spans="1:20" ht="12.5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</row>
    <row r="964" spans="1:20" ht="12.5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</row>
    <row r="965" spans="1:20" ht="12.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</row>
    <row r="966" spans="1:20" ht="12.5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</row>
    <row r="967" spans="1:20" ht="12.5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</row>
    <row r="968" spans="1:20" ht="12.5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</row>
    <row r="969" spans="1:20" ht="12.5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</row>
    <row r="970" spans="1:20" ht="12.5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</row>
    <row r="971" spans="1:20" ht="12.5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</row>
    <row r="972" spans="1:20" ht="12.5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</row>
    <row r="973" spans="1:20" ht="12.5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</row>
    <row r="974" spans="1:20" ht="12.5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</row>
    <row r="975" spans="1:20" ht="12.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</row>
    <row r="976" spans="1:20" ht="12.5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</row>
    <row r="977" spans="1:20" ht="12.5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</row>
    <row r="978" spans="1:20" ht="12.5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</row>
    <row r="979" spans="1:20" ht="12.5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</row>
    <row r="980" spans="1:20" ht="12.5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</row>
    <row r="981" spans="1:20" ht="12.5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</row>
    <row r="982" spans="1:20" ht="12.5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</row>
    <row r="983" spans="1:20" ht="12.5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</row>
    <row r="984" spans="1:20" ht="12.5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</row>
    <row r="985" spans="1:20" ht="12.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</row>
    <row r="986" spans="1:20" ht="12.5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</row>
    <row r="987" spans="1:20" ht="12.5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</row>
    <row r="988" spans="1:20" ht="12.5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</row>
    <row r="989" spans="1:20" ht="12.5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</row>
    <row r="990" spans="1:20" ht="12.5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</row>
    <row r="991" spans="1:20" ht="12.5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</row>
    <row r="992" spans="1:20" ht="12.5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</row>
    <row r="993" spans="1:20" ht="12.5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</row>
    <row r="994" spans="1:20" ht="12.5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</row>
    <row r="995" spans="1:20" ht="12.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</row>
    <row r="996" spans="1:20" ht="12.5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</row>
    <row r="997" spans="1:20" ht="12.5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</row>
    <row r="998" spans="1:20" ht="12.5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</row>
    <row r="999" spans="1:20" ht="12.5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</row>
    <row r="1000" spans="1:20" ht="12.5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</row>
    <row r="1001" spans="1:20" ht="12.5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</row>
  </sheetData>
  <mergeCells count="120">
    <mergeCell ref="F31:G31"/>
    <mergeCell ref="F32:G32"/>
    <mergeCell ref="U2:U5"/>
    <mergeCell ref="M7:N7"/>
    <mergeCell ref="O7:P7"/>
    <mergeCell ref="Q7:R8"/>
    <mergeCell ref="S7:S8"/>
    <mergeCell ref="R9:R11"/>
    <mergeCell ref="S9:S17"/>
    <mergeCell ref="R12:R14"/>
    <mergeCell ref="F29:G29"/>
    <mergeCell ref="F30:G30"/>
    <mergeCell ref="K3:L4"/>
    <mergeCell ref="M4:N4"/>
    <mergeCell ref="O4:P4"/>
    <mergeCell ref="Q4:S4"/>
    <mergeCell ref="P6:S6"/>
    <mergeCell ref="B2:P2"/>
    <mergeCell ref="R2:S2"/>
    <mergeCell ref="B3:B4"/>
    <mergeCell ref="C3:E4"/>
    <mergeCell ref="F3:G4"/>
    <mergeCell ref="H3:J4"/>
    <mergeCell ref="M3:S3"/>
    <mergeCell ref="C5:E5"/>
    <mergeCell ref="F5:G5"/>
    <mergeCell ref="H5:J5"/>
    <mergeCell ref="K5:L5"/>
    <mergeCell ref="M5:N5"/>
    <mergeCell ref="O5:P5"/>
    <mergeCell ref="Q5:S5"/>
    <mergeCell ref="F46:G46"/>
    <mergeCell ref="G47:G53"/>
    <mergeCell ref="H52:H53"/>
    <mergeCell ref="G54:G55"/>
    <mergeCell ref="B62:J62"/>
    <mergeCell ref="B63:J63"/>
    <mergeCell ref="K63:L63"/>
    <mergeCell ref="M63:N63"/>
    <mergeCell ref="B56:G56"/>
    <mergeCell ref="B57:G57"/>
    <mergeCell ref="B58:E61"/>
    <mergeCell ref="F58:J58"/>
    <mergeCell ref="F59:J59"/>
    <mergeCell ref="F60:J60"/>
    <mergeCell ref="F61:J61"/>
    <mergeCell ref="D24:D28"/>
    <mergeCell ref="D29:D32"/>
    <mergeCell ref="B37:C55"/>
    <mergeCell ref="D33:D35"/>
    <mergeCell ref="F33:G33"/>
    <mergeCell ref="F34:G34"/>
    <mergeCell ref="F35:G35"/>
    <mergeCell ref="B7:C8"/>
    <mergeCell ref="B9:C35"/>
    <mergeCell ref="F24:G24"/>
    <mergeCell ref="F25:G25"/>
    <mergeCell ref="F26:G26"/>
    <mergeCell ref="F27:G27"/>
    <mergeCell ref="F28:G28"/>
    <mergeCell ref="B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Q61:R61"/>
    <mergeCell ref="Q62:R62"/>
    <mergeCell ref="O63:P63"/>
    <mergeCell ref="Q63:R63"/>
    <mergeCell ref="R24:R28"/>
    <mergeCell ref="Q29:R32"/>
    <mergeCell ref="Q33:R35"/>
    <mergeCell ref="Q36:R36"/>
    <mergeCell ref="Q37:R55"/>
    <mergeCell ref="Q56:R56"/>
    <mergeCell ref="Q57:R57"/>
    <mergeCell ref="S29:S32"/>
    <mergeCell ref="S33:S35"/>
    <mergeCell ref="S37:S55"/>
    <mergeCell ref="S58:S60"/>
    <mergeCell ref="R15:R17"/>
    <mergeCell ref="R18:R19"/>
    <mergeCell ref="S18:S19"/>
    <mergeCell ref="R20:R21"/>
    <mergeCell ref="S20:S23"/>
    <mergeCell ref="R22:R23"/>
    <mergeCell ref="S24:S28"/>
    <mergeCell ref="Q58:R60"/>
    <mergeCell ref="F22:G22"/>
    <mergeCell ref="F23:G23"/>
    <mergeCell ref="D15:D17"/>
    <mergeCell ref="D18:D21"/>
    <mergeCell ref="F18:G18"/>
    <mergeCell ref="F19:G19"/>
    <mergeCell ref="F20:G20"/>
    <mergeCell ref="F21:G21"/>
    <mergeCell ref="D22:D23"/>
    <mergeCell ref="F15:G15"/>
    <mergeCell ref="F16:G16"/>
    <mergeCell ref="F8:G8"/>
    <mergeCell ref="F9:G9"/>
    <mergeCell ref="D12:D14"/>
    <mergeCell ref="F12:G12"/>
    <mergeCell ref="F13:G13"/>
    <mergeCell ref="F14:G14"/>
    <mergeCell ref="F17:G17"/>
    <mergeCell ref="F10:G10"/>
    <mergeCell ref="F11:G11"/>
    <mergeCell ref="D7:D8"/>
    <mergeCell ref="E7:G7"/>
    <mergeCell ref="H7:H8"/>
    <mergeCell ref="I7:I8"/>
    <mergeCell ref="J7:J8"/>
    <mergeCell ref="K7:L7"/>
    <mergeCell ref="D9:D11"/>
  </mergeCells>
  <phoneticPr fontId="64" type="noConversion"/>
  <printOptions horizontalCentered="1" gridLines="1"/>
  <pageMargins left="0.7" right="0.7" top="0.75" bottom="0.75" header="0" footer="0"/>
  <pageSetup paperSize="9" pageOrder="overThenDown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E599"/>
    <outlinePr summaryBelow="0" summaryRight="0"/>
    <pageSetUpPr fitToPage="1"/>
  </sheetPr>
  <dimension ref="A1:AJ989"/>
  <sheetViews>
    <sheetView workbookViewId="0">
      <selection activeCell="A4" sqref="A4:XFD4"/>
    </sheetView>
  </sheetViews>
  <sheetFormatPr defaultColWidth="12.6328125" defaultRowHeight="15.75" customHeight="1"/>
  <cols>
    <col min="1" max="1" width="4" customWidth="1"/>
    <col min="3" max="3" width="5.08984375" customWidth="1"/>
    <col min="4" max="4" width="27.36328125" customWidth="1"/>
    <col min="5" max="5" width="16.7265625" customWidth="1"/>
    <col min="6" max="6" width="5.6328125" customWidth="1"/>
    <col min="7" max="7" width="4.6328125" customWidth="1"/>
    <col min="8" max="19" width="7.08984375" customWidth="1"/>
    <col min="20" max="21" width="7.26953125" customWidth="1"/>
    <col min="22" max="22" width="4.6328125" customWidth="1"/>
    <col min="23" max="23" width="3.36328125" customWidth="1"/>
    <col min="24" max="24" width="3.26953125" customWidth="1"/>
    <col min="25" max="36" width="2.6328125" customWidth="1"/>
  </cols>
  <sheetData>
    <row r="1" spans="1:36" ht="15.75" customHeight="1">
      <c r="A1" s="163"/>
      <c r="B1" s="164"/>
      <c r="C1" s="164"/>
      <c r="D1" s="164"/>
      <c r="E1" s="165"/>
      <c r="F1" s="165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ht="15.75" customHeight="1">
      <c r="A2" s="164"/>
      <c r="B2" s="262" t="s">
        <v>1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ht="15.75" customHeight="1">
      <c r="A3" s="164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263" t="s">
        <v>2</v>
      </c>
      <c r="O3" s="211"/>
      <c r="P3" s="207"/>
      <c r="Q3" s="263" t="s">
        <v>3</v>
      </c>
      <c r="R3" s="211"/>
      <c r="S3" s="207"/>
      <c r="T3" s="263" t="s">
        <v>4</v>
      </c>
      <c r="U3" s="20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ht="38.5" customHeight="1">
      <c r="A4" s="164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264" t="s">
        <v>5</v>
      </c>
      <c r="O4" s="211"/>
      <c r="P4" s="207"/>
      <c r="Q4" s="248" t="s">
        <v>535</v>
      </c>
      <c r="R4" s="211"/>
      <c r="S4" s="207"/>
      <c r="T4" s="265">
        <v>2027</v>
      </c>
      <c r="U4" s="20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ht="15.75" customHeight="1">
      <c r="A5" s="164"/>
      <c r="B5" s="266"/>
      <c r="C5" s="226"/>
      <c r="D5" s="164"/>
      <c r="E5" s="165"/>
      <c r="F5" s="165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ht="15.75" customHeight="1">
      <c r="A6" s="164"/>
      <c r="B6" s="254" t="s">
        <v>8</v>
      </c>
      <c r="C6" s="254" t="s">
        <v>9</v>
      </c>
      <c r="D6" s="254" t="s">
        <v>10</v>
      </c>
      <c r="E6" s="254" t="s">
        <v>11</v>
      </c>
      <c r="F6" s="254" t="s">
        <v>12</v>
      </c>
      <c r="G6" s="301" t="s">
        <v>13</v>
      </c>
      <c r="H6" s="251" t="s">
        <v>14</v>
      </c>
      <c r="I6" s="211"/>
      <c r="J6" s="211"/>
      <c r="K6" s="207"/>
      <c r="L6" s="251" t="s">
        <v>15</v>
      </c>
      <c r="M6" s="211"/>
      <c r="N6" s="211"/>
      <c r="O6" s="207"/>
      <c r="P6" s="251" t="s">
        <v>16</v>
      </c>
      <c r="Q6" s="211"/>
      <c r="R6" s="211"/>
      <c r="S6" s="207"/>
      <c r="T6" s="252" t="s">
        <v>17</v>
      </c>
      <c r="U6" s="252" t="s">
        <v>18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ht="15.75" customHeight="1">
      <c r="A7" s="164"/>
      <c r="B7" s="213"/>
      <c r="C7" s="213"/>
      <c r="D7" s="213"/>
      <c r="E7" s="213"/>
      <c r="F7" s="213"/>
      <c r="G7" s="302"/>
      <c r="H7" s="250" t="s">
        <v>19</v>
      </c>
      <c r="I7" s="207"/>
      <c r="J7" s="250" t="s">
        <v>20</v>
      </c>
      <c r="K7" s="207"/>
      <c r="L7" s="250" t="s">
        <v>19</v>
      </c>
      <c r="M7" s="207"/>
      <c r="N7" s="250" t="s">
        <v>20</v>
      </c>
      <c r="O7" s="207"/>
      <c r="P7" s="250" t="s">
        <v>19</v>
      </c>
      <c r="Q7" s="207"/>
      <c r="R7" s="250" t="s">
        <v>20</v>
      </c>
      <c r="S7" s="207"/>
      <c r="T7" s="213"/>
      <c r="U7" s="213"/>
      <c r="V7" s="5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</row>
    <row r="8" spans="1:36" ht="15.75" customHeight="1">
      <c r="A8" s="164"/>
      <c r="B8" s="209"/>
      <c r="C8" s="209"/>
      <c r="D8" s="209"/>
      <c r="E8" s="209"/>
      <c r="F8" s="209"/>
      <c r="G8" s="303"/>
      <c r="H8" s="304" t="s">
        <v>21</v>
      </c>
      <c r="I8" s="304" t="s">
        <v>22</v>
      </c>
      <c r="J8" s="304" t="s">
        <v>21</v>
      </c>
      <c r="K8" s="304" t="s">
        <v>22</v>
      </c>
      <c r="L8" s="304" t="s">
        <v>21</v>
      </c>
      <c r="M8" s="304" t="s">
        <v>22</v>
      </c>
      <c r="N8" s="304" t="s">
        <v>21</v>
      </c>
      <c r="O8" s="304" t="s">
        <v>22</v>
      </c>
      <c r="P8" s="304" t="s">
        <v>21</v>
      </c>
      <c r="Q8" s="304" t="s">
        <v>22</v>
      </c>
      <c r="R8" s="304" t="s">
        <v>21</v>
      </c>
      <c r="S8" s="304" t="s">
        <v>22</v>
      </c>
      <c r="T8" s="209"/>
      <c r="U8" s="209"/>
      <c r="V8" s="5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</row>
    <row r="9" spans="1:36" ht="15.75" customHeight="1">
      <c r="A9" s="168"/>
      <c r="B9" s="255" t="s">
        <v>23</v>
      </c>
      <c r="C9" s="255">
        <v>8</v>
      </c>
      <c r="D9" s="8" t="s">
        <v>24</v>
      </c>
      <c r="E9" s="8" t="s">
        <v>25</v>
      </c>
      <c r="F9" s="8">
        <v>16</v>
      </c>
      <c r="G9" s="9">
        <v>3</v>
      </c>
      <c r="H9" s="9">
        <v>1</v>
      </c>
      <c r="I9" s="9">
        <v>16</v>
      </c>
      <c r="J9" s="10"/>
      <c r="K9" s="10"/>
      <c r="L9" s="10"/>
      <c r="M9" s="10"/>
      <c r="N9" s="10"/>
      <c r="O9" s="10"/>
      <c r="P9" s="11"/>
      <c r="Q9" s="11"/>
      <c r="R9" s="10"/>
      <c r="S9" s="10"/>
      <c r="T9" s="12">
        <f t="shared" ref="T9:U9" si="0">SUM(R9,P9,N9,L9,J9,H9)</f>
        <v>1</v>
      </c>
      <c r="U9" s="12">
        <f t="shared" si="0"/>
        <v>16</v>
      </c>
      <c r="V9" s="5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</row>
    <row r="10" spans="1:36" ht="15.75" customHeight="1">
      <c r="A10" s="164"/>
      <c r="B10" s="213"/>
      <c r="C10" s="213"/>
      <c r="D10" s="13" t="s">
        <v>26</v>
      </c>
      <c r="E10" s="13" t="s">
        <v>27</v>
      </c>
      <c r="F10" s="8">
        <v>16</v>
      </c>
      <c r="G10" s="9">
        <v>3</v>
      </c>
      <c r="H10" s="9">
        <v>1</v>
      </c>
      <c r="I10" s="9">
        <v>16</v>
      </c>
      <c r="J10" s="10"/>
      <c r="K10" s="10"/>
      <c r="L10" s="10"/>
      <c r="M10" s="10"/>
      <c r="N10" s="10"/>
      <c r="O10" s="10"/>
      <c r="P10" s="10"/>
      <c r="Q10" s="10"/>
      <c r="R10" s="11"/>
      <c r="S10" s="11"/>
      <c r="T10" s="12">
        <f t="shared" ref="T10:U10" si="1">SUM(R10,P10,N10,L10,J10,H10)</f>
        <v>1</v>
      </c>
      <c r="U10" s="12">
        <f t="shared" si="1"/>
        <v>16</v>
      </c>
      <c r="V10" s="5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</row>
    <row r="11" spans="1:36" ht="15.75" customHeight="1">
      <c r="A11" s="164"/>
      <c r="B11" s="213"/>
      <c r="C11" s="213"/>
      <c r="D11" s="13" t="s">
        <v>28</v>
      </c>
      <c r="E11" s="13" t="s">
        <v>29</v>
      </c>
      <c r="F11" s="8">
        <v>24</v>
      </c>
      <c r="G11" s="9">
        <v>4</v>
      </c>
      <c r="H11" s="9">
        <v>1</v>
      </c>
      <c r="I11" s="9">
        <v>16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>
        <f t="shared" ref="T11:U11" si="2">SUM(R11,P11,N11,L11,J11,H11)</f>
        <v>1</v>
      </c>
      <c r="U11" s="12">
        <f t="shared" si="2"/>
        <v>16</v>
      </c>
      <c r="V11" s="5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</row>
    <row r="12" spans="1:36" ht="15.75" customHeight="1">
      <c r="A12" s="164"/>
      <c r="B12" s="213"/>
      <c r="C12" s="213"/>
      <c r="D12" s="13" t="s">
        <v>30</v>
      </c>
      <c r="E12" s="13" t="s">
        <v>31</v>
      </c>
      <c r="F12" s="8">
        <v>24</v>
      </c>
      <c r="G12" s="9">
        <v>4</v>
      </c>
      <c r="H12" s="9">
        <v>1</v>
      </c>
      <c r="I12" s="9">
        <v>16</v>
      </c>
      <c r="J12" s="12"/>
      <c r="K12" s="12"/>
      <c r="L12" s="11"/>
      <c r="M12" s="10"/>
      <c r="N12" s="11"/>
      <c r="O12" s="10"/>
      <c r="P12" s="10"/>
      <c r="Q12" s="10"/>
      <c r="R12" s="10"/>
      <c r="S12" s="10"/>
      <c r="T12" s="12">
        <f t="shared" ref="T12:U12" si="3">SUM(R12,P12,N12,L12,J12,H12)</f>
        <v>1</v>
      </c>
      <c r="U12" s="12">
        <f t="shared" si="3"/>
        <v>16</v>
      </c>
      <c r="V12" s="5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</row>
    <row r="13" spans="1:36" ht="15.75" customHeight="1">
      <c r="A13" s="164"/>
      <c r="B13" s="213"/>
      <c r="C13" s="213"/>
      <c r="D13" s="13" t="s">
        <v>32</v>
      </c>
      <c r="E13" s="13" t="s">
        <v>33</v>
      </c>
      <c r="F13" s="8">
        <v>16</v>
      </c>
      <c r="G13" s="9">
        <v>3</v>
      </c>
      <c r="H13" s="10"/>
      <c r="I13" s="10"/>
      <c r="J13" s="9">
        <v>2</v>
      </c>
      <c r="K13" s="9">
        <v>32</v>
      </c>
      <c r="L13" s="11"/>
      <c r="M13" s="10"/>
      <c r="N13" s="11"/>
      <c r="O13" s="10"/>
      <c r="P13" s="10"/>
      <c r="Q13" s="10"/>
      <c r="R13" s="10"/>
      <c r="S13" s="10"/>
      <c r="T13" s="12">
        <f t="shared" ref="T13:U13" si="4">SUM(R13,P13,N13,L13,J13,H13)</f>
        <v>2</v>
      </c>
      <c r="U13" s="12">
        <f t="shared" si="4"/>
        <v>32</v>
      </c>
      <c r="V13" s="5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</row>
    <row r="14" spans="1:36" ht="15.75" customHeight="1">
      <c r="A14" s="164"/>
      <c r="B14" s="213"/>
      <c r="C14" s="213"/>
      <c r="D14" s="297" t="s">
        <v>34</v>
      </c>
      <c r="E14" s="13" t="s">
        <v>35</v>
      </c>
      <c r="F14" s="8">
        <v>16</v>
      </c>
      <c r="G14" s="9">
        <v>2</v>
      </c>
      <c r="H14" s="10"/>
      <c r="I14" s="10"/>
      <c r="J14" s="9">
        <v>1</v>
      </c>
      <c r="K14" s="9">
        <v>16</v>
      </c>
      <c r="L14" s="11"/>
      <c r="M14" s="11"/>
      <c r="N14" s="11"/>
      <c r="O14" s="11"/>
      <c r="P14" s="11"/>
      <c r="Q14" s="11"/>
      <c r="R14" s="11"/>
      <c r="S14" s="11"/>
      <c r="T14" s="12">
        <f t="shared" ref="T14:U14" si="5">SUM(R14,P14,N14,L14,J14,H14)</f>
        <v>1</v>
      </c>
      <c r="U14" s="12">
        <f t="shared" si="5"/>
        <v>16</v>
      </c>
      <c r="V14" s="5"/>
    </row>
    <row r="15" spans="1:36" ht="15.75" customHeight="1">
      <c r="A15" s="164"/>
      <c r="B15" s="213"/>
      <c r="C15" s="213"/>
      <c r="D15" s="13" t="s">
        <v>36</v>
      </c>
      <c r="E15" s="13" t="s">
        <v>37</v>
      </c>
      <c r="F15" s="8">
        <v>16</v>
      </c>
      <c r="G15" s="9">
        <v>3</v>
      </c>
      <c r="H15" s="10"/>
      <c r="I15" s="10"/>
      <c r="J15" s="9">
        <v>1</v>
      </c>
      <c r="K15" s="9">
        <v>16</v>
      </c>
      <c r="L15" s="11"/>
      <c r="M15" s="10"/>
      <c r="N15" s="11"/>
      <c r="O15" s="10"/>
      <c r="P15" s="10"/>
      <c r="Q15" s="10"/>
      <c r="R15" s="10"/>
      <c r="S15" s="10"/>
      <c r="T15" s="12">
        <f t="shared" ref="T15:U15" si="6">SUM(R15,P15,N15,L15,J15,H15)</f>
        <v>1</v>
      </c>
      <c r="U15" s="12">
        <f t="shared" si="6"/>
        <v>16</v>
      </c>
      <c r="V15" s="5"/>
    </row>
    <row r="16" spans="1:36" ht="15.75" customHeight="1">
      <c r="A16" s="164"/>
      <c r="B16" s="213"/>
      <c r="C16" s="213"/>
      <c r="D16" s="14" t="s">
        <v>38</v>
      </c>
      <c r="E16" s="14" t="s">
        <v>39</v>
      </c>
      <c r="F16" s="15">
        <v>24</v>
      </c>
      <c r="G16" s="16">
        <v>4</v>
      </c>
      <c r="H16" s="17"/>
      <c r="I16" s="17"/>
      <c r="J16" s="17"/>
      <c r="K16" s="17"/>
      <c r="L16" s="17"/>
      <c r="M16" s="17"/>
      <c r="N16" s="17"/>
      <c r="O16" s="17"/>
      <c r="P16" s="16"/>
      <c r="Q16" s="16"/>
      <c r="R16" s="16"/>
      <c r="S16" s="16"/>
      <c r="T16" s="18">
        <f t="shared" ref="T16:T18" si="7">SUM(H16,J16,L16,N16,P16,R16)</f>
        <v>0</v>
      </c>
      <c r="U16" s="16">
        <f t="shared" ref="U16:U18" si="8">T16*16</f>
        <v>0</v>
      </c>
      <c r="V16" s="5"/>
    </row>
    <row r="17" spans="1:36" ht="15.75" customHeight="1">
      <c r="A17" s="164"/>
      <c r="B17" s="213"/>
      <c r="C17" s="213"/>
      <c r="D17" s="14" t="s">
        <v>40</v>
      </c>
      <c r="E17" s="14" t="s">
        <v>41</v>
      </c>
      <c r="F17" s="15">
        <v>16</v>
      </c>
      <c r="G17" s="16">
        <v>3</v>
      </c>
      <c r="H17" s="17"/>
      <c r="I17" s="17"/>
      <c r="J17" s="17"/>
      <c r="K17" s="17"/>
      <c r="L17" s="17"/>
      <c r="M17" s="17"/>
      <c r="N17" s="17"/>
      <c r="O17" s="17"/>
      <c r="P17" s="16"/>
      <c r="Q17" s="16"/>
      <c r="R17" s="16"/>
      <c r="S17" s="16"/>
      <c r="T17" s="18">
        <f t="shared" si="7"/>
        <v>0</v>
      </c>
      <c r="U17" s="16">
        <f t="shared" si="8"/>
        <v>0</v>
      </c>
      <c r="V17" s="5"/>
    </row>
    <row r="18" spans="1:36" ht="15.75" customHeight="1">
      <c r="A18" s="164"/>
      <c r="B18" s="213"/>
      <c r="C18" s="213"/>
      <c r="D18" s="14" t="s">
        <v>42</v>
      </c>
      <c r="E18" s="14" t="s">
        <v>43</v>
      </c>
      <c r="F18" s="15">
        <v>24</v>
      </c>
      <c r="G18" s="16">
        <v>4</v>
      </c>
      <c r="H18" s="17"/>
      <c r="I18" s="17"/>
      <c r="J18" s="17"/>
      <c r="K18" s="17"/>
      <c r="L18" s="17"/>
      <c r="M18" s="17"/>
      <c r="N18" s="17"/>
      <c r="O18" s="17"/>
      <c r="P18" s="16"/>
      <c r="Q18" s="16"/>
      <c r="R18" s="16"/>
      <c r="S18" s="16"/>
      <c r="T18" s="18">
        <f t="shared" si="7"/>
        <v>0</v>
      </c>
      <c r="U18" s="16">
        <f t="shared" si="8"/>
        <v>0</v>
      </c>
      <c r="V18" s="5"/>
    </row>
    <row r="19" spans="1:36" ht="15.75" customHeight="1">
      <c r="A19" s="164"/>
      <c r="B19" s="209"/>
      <c r="C19" s="209"/>
      <c r="D19" s="260" t="s">
        <v>44</v>
      </c>
      <c r="E19" s="207"/>
      <c r="F19" s="170"/>
      <c r="G19" s="170"/>
      <c r="H19" s="171">
        <f t="shared" ref="H19:K19" si="9">SUM(H9:H15)</f>
        <v>4</v>
      </c>
      <c r="I19" s="171">
        <f t="shared" si="9"/>
        <v>64</v>
      </c>
      <c r="J19" s="171">
        <f t="shared" si="9"/>
        <v>4</v>
      </c>
      <c r="K19" s="171">
        <f t="shared" si="9"/>
        <v>64</v>
      </c>
      <c r="L19" s="170"/>
      <c r="M19" s="172"/>
      <c r="N19" s="170"/>
      <c r="O19" s="172"/>
      <c r="P19" s="172"/>
      <c r="Q19" s="172"/>
      <c r="R19" s="172"/>
      <c r="S19" s="172"/>
      <c r="T19" s="171">
        <f t="shared" ref="T19:U19" si="10">SUM(T9:T15)</f>
        <v>8</v>
      </c>
      <c r="U19" s="171">
        <f t="shared" si="10"/>
        <v>128</v>
      </c>
      <c r="V19" s="5"/>
    </row>
    <row r="20" spans="1:36" ht="15.75" customHeight="1">
      <c r="A20" s="168"/>
      <c r="B20" s="242" t="s">
        <v>324</v>
      </c>
      <c r="C20" s="261">
        <v>5</v>
      </c>
      <c r="D20" s="25" t="s">
        <v>332</v>
      </c>
      <c r="E20" s="25" t="s">
        <v>333</v>
      </c>
      <c r="F20" s="25">
        <v>90</v>
      </c>
      <c r="G20" s="25">
        <v>2</v>
      </c>
      <c r="H20" s="11"/>
      <c r="I20" s="10"/>
      <c r="J20" s="10"/>
      <c r="K20" s="10"/>
      <c r="L20" s="10"/>
      <c r="M20" s="10"/>
      <c r="N20" s="10"/>
      <c r="O20" s="10"/>
      <c r="P20" s="33">
        <v>2</v>
      </c>
      <c r="Q20" s="27">
        <f t="shared" ref="Q20:Q21" si="11">P20*16</f>
        <v>32</v>
      </c>
      <c r="R20" s="174"/>
      <c r="S20" s="174"/>
      <c r="T20" s="12">
        <f t="shared" ref="T20:U20" si="12">SUM(R20,P20,N20,L20,J20,H20)</f>
        <v>2</v>
      </c>
      <c r="U20" s="12">
        <f t="shared" si="12"/>
        <v>32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ht="15.75" customHeight="1">
      <c r="A21" s="164"/>
      <c r="B21" s="213"/>
      <c r="C21" s="213"/>
      <c r="D21" s="175" t="s">
        <v>334</v>
      </c>
      <c r="E21" s="175" t="s">
        <v>335</v>
      </c>
      <c r="F21" s="25">
        <v>50</v>
      </c>
      <c r="G21" s="175">
        <v>3</v>
      </c>
      <c r="H21" s="11"/>
      <c r="I21" s="10"/>
      <c r="J21" s="10"/>
      <c r="K21" s="10"/>
      <c r="L21" s="10"/>
      <c r="M21" s="10"/>
      <c r="N21" s="10"/>
      <c r="O21" s="10"/>
      <c r="P21" s="33">
        <v>3</v>
      </c>
      <c r="Q21" s="27">
        <f t="shared" si="11"/>
        <v>48</v>
      </c>
      <c r="R21" s="174"/>
      <c r="S21" s="174"/>
      <c r="T21" s="12">
        <f t="shared" ref="T21:U21" si="13">SUM(R21,P21,N21,L21,J21,H21)</f>
        <v>3</v>
      </c>
      <c r="U21" s="12">
        <f t="shared" si="13"/>
        <v>48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ht="15.75" customHeight="1">
      <c r="A22" s="164"/>
      <c r="B22" s="209"/>
      <c r="C22" s="209"/>
      <c r="D22" s="260" t="s">
        <v>44</v>
      </c>
      <c r="E22" s="207"/>
      <c r="F22" s="170"/>
      <c r="G22" s="170"/>
      <c r="H22" s="172"/>
      <c r="I22" s="172"/>
      <c r="J22" s="172"/>
      <c r="K22" s="172"/>
      <c r="L22" s="172"/>
      <c r="M22" s="172"/>
      <c r="N22" s="172"/>
      <c r="O22" s="172"/>
      <c r="P22" s="171">
        <f t="shared" ref="P22:Q22" si="14">SUM(P20:P21)</f>
        <v>5</v>
      </c>
      <c r="Q22" s="171">
        <f t="shared" si="14"/>
        <v>80</v>
      </c>
      <c r="R22" s="171"/>
      <c r="S22" s="171"/>
      <c r="T22" s="171">
        <f t="shared" ref="T22:U22" si="15">SUM(T20:T21)</f>
        <v>5</v>
      </c>
      <c r="U22" s="171">
        <f t="shared" si="15"/>
        <v>80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ht="15.75" customHeight="1">
      <c r="A23" s="168"/>
      <c r="B23" s="242" t="s">
        <v>326</v>
      </c>
      <c r="C23" s="261">
        <v>18</v>
      </c>
      <c r="D23" s="25" t="s">
        <v>336</v>
      </c>
      <c r="E23" s="25" t="s">
        <v>337</v>
      </c>
      <c r="F23" s="25">
        <v>30</v>
      </c>
      <c r="G23" s="25">
        <v>6</v>
      </c>
      <c r="H23" s="10"/>
      <c r="I23" s="10"/>
      <c r="J23" s="10"/>
      <c r="K23" s="10"/>
      <c r="L23" s="10"/>
      <c r="M23" s="10"/>
      <c r="N23" s="10"/>
      <c r="O23" s="10"/>
      <c r="P23" s="33">
        <v>4</v>
      </c>
      <c r="Q23" s="27">
        <f t="shared" ref="Q23:Q24" si="16">P23*16</f>
        <v>64</v>
      </c>
      <c r="R23" s="11"/>
      <c r="S23" s="11"/>
      <c r="T23" s="12">
        <f t="shared" ref="T23:U23" si="17">SUM(R23,P23,N23,L23,J23,H23)</f>
        <v>4</v>
      </c>
      <c r="U23" s="12">
        <f t="shared" si="17"/>
        <v>64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ht="15.75" customHeight="1">
      <c r="A24" s="164"/>
      <c r="B24" s="213"/>
      <c r="C24" s="213"/>
      <c r="D24" s="310" t="s">
        <v>338</v>
      </c>
      <c r="E24" s="175" t="s">
        <v>339</v>
      </c>
      <c r="F24" s="25">
        <v>30</v>
      </c>
      <c r="G24" s="175">
        <v>6</v>
      </c>
      <c r="H24" s="10"/>
      <c r="I24" s="10"/>
      <c r="J24" s="10"/>
      <c r="K24" s="10"/>
      <c r="L24" s="10"/>
      <c r="M24" s="10"/>
      <c r="N24" s="10"/>
      <c r="O24" s="10"/>
      <c r="P24" s="33">
        <v>4</v>
      </c>
      <c r="Q24" s="27">
        <f t="shared" si="16"/>
        <v>64</v>
      </c>
      <c r="R24" s="11"/>
      <c r="S24" s="11"/>
      <c r="T24" s="12">
        <f t="shared" ref="T24:U24" si="18">SUM(R24,P24,N24,L24,J24,H24)</f>
        <v>4</v>
      </c>
      <c r="U24" s="12">
        <f t="shared" si="18"/>
        <v>64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ht="15.75" customHeight="1">
      <c r="A25" s="164"/>
      <c r="B25" s="213"/>
      <c r="C25" s="213"/>
      <c r="D25" s="175" t="s">
        <v>340</v>
      </c>
      <c r="E25" s="175" t="s">
        <v>341</v>
      </c>
      <c r="F25" s="25">
        <v>15</v>
      </c>
      <c r="G25" s="175">
        <v>4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33">
        <v>3</v>
      </c>
      <c r="S25" s="27">
        <f t="shared" ref="S25:S27" si="19">R25*16</f>
        <v>48</v>
      </c>
      <c r="T25" s="12">
        <f t="shared" ref="T25:U25" si="20">SUM(R25,P25,N25,L25,J25,H25)</f>
        <v>3</v>
      </c>
      <c r="U25" s="12">
        <f t="shared" si="20"/>
        <v>48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ht="15.75" customHeight="1">
      <c r="A26" s="164"/>
      <c r="B26" s="213"/>
      <c r="C26" s="213"/>
      <c r="D26" s="175" t="s">
        <v>344</v>
      </c>
      <c r="E26" s="175" t="s">
        <v>345</v>
      </c>
      <c r="F26" s="25">
        <v>15</v>
      </c>
      <c r="G26" s="175">
        <v>5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33">
        <v>3</v>
      </c>
      <c r="S26" s="27">
        <f t="shared" si="19"/>
        <v>48</v>
      </c>
      <c r="T26" s="12">
        <f t="shared" ref="T26:U26" si="21">SUM(R26,P26,N26,L26,J26,H26)</f>
        <v>3</v>
      </c>
      <c r="U26" s="12">
        <f t="shared" si="21"/>
        <v>48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ht="15.75" customHeight="1">
      <c r="A27" s="164"/>
      <c r="B27" s="213"/>
      <c r="C27" s="213"/>
      <c r="D27" s="175" t="s">
        <v>346</v>
      </c>
      <c r="E27" s="175" t="s">
        <v>347</v>
      </c>
      <c r="F27" s="25">
        <v>50</v>
      </c>
      <c r="G27" s="175">
        <v>5</v>
      </c>
      <c r="H27" s="11"/>
      <c r="I27" s="11"/>
      <c r="J27" s="11"/>
      <c r="K27" s="10"/>
      <c r="L27" s="11"/>
      <c r="M27" s="10"/>
      <c r="N27" s="10"/>
      <c r="O27" s="10"/>
      <c r="P27" s="10"/>
      <c r="Q27" s="10"/>
      <c r="R27" s="33">
        <v>4</v>
      </c>
      <c r="S27" s="27">
        <f t="shared" si="19"/>
        <v>64</v>
      </c>
      <c r="T27" s="12">
        <f t="shared" ref="T27:U27" si="22">SUM(R27,P27,N27,L27,J27,H27)</f>
        <v>4</v>
      </c>
      <c r="U27" s="12">
        <f t="shared" si="22"/>
        <v>64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ht="15.75" customHeight="1">
      <c r="A28" s="164"/>
      <c r="B28" s="209"/>
      <c r="C28" s="209"/>
      <c r="D28" s="260" t="s">
        <v>44</v>
      </c>
      <c r="E28" s="207"/>
      <c r="F28" s="170"/>
      <c r="G28" s="172"/>
      <c r="H28" s="170"/>
      <c r="I28" s="172"/>
      <c r="J28" s="172"/>
      <c r="K28" s="172"/>
      <c r="L28" s="172"/>
      <c r="M28" s="172"/>
      <c r="N28" s="172"/>
      <c r="O28" s="172"/>
      <c r="P28" s="171">
        <f t="shared" ref="P28:U28" si="23">SUM(P23:P27)</f>
        <v>8</v>
      </c>
      <c r="Q28" s="171">
        <f t="shared" si="23"/>
        <v>128</v>
      </c>
      <c r="R28" s="171">
        <f t="shared" si="23"/>
        <v>10</v>
      </c>
      <c r="S28" s="171">
        <f t="shared" si="23"/>
        <v>160</v>
      </c>
      <c r="T28" s="171">
        <f t="shared" si="23"/>
        <v>18</v>
      </c>
      <c r="U28" s="171">
        <f t="shared" si="23"/>
        <v>288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ht="15.75" customHeight="1">
      <c r="A29" s="168"/>
      <c r="B29" s="242" t="s">
        <v>328</v>
      </c>
      <c r="C29" s="261">
        <v>18</v>
      </c>
      <c r="D29" s="25" t="s">
        <v>348</v>
      </c>
      <c r="E29" s="25" t="s">
        <v>349</v>
      </c>
      <c r="F29" s="25">
        <v>50</v>
      </c>
      <c r="G29" s="25">
        <v>3</v>
      </c>
      <c r="H29" s="11"/>
      <c r="I29" s="10"/>
      <c r="J29" s="10"/>
      <c r="K29" s="10"/>
      <c r="L29" s="10"/>
      <c r="M29" s="10"/>
      <c r="N29" s="10"/>
      <c r="O29" s="10"/>
      <c r="P29" s="33">
        <v>3</v>
      </c>
      <c r="Q29" s="27">
        <f t="shared" ref="Q29:Q31" si="24">P29*16</f>
        <v>48</v>
      </c>
      <c r="R29" s="10"/>
      <c r="S29" s="10"/>
      <c r="T29" s="12">
        <f t="shared" ref="T29:U29" si="25">SUM(R29,P29,N29,L29,J29,H29)</f>
        <v>3</v>
      </c>
      <c r="U29" s="12">
        <f t="shared" si="25"/>
        <v>48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ht="15.75" customHeight="1">
      <c r="A30" s="164"/>
      <c r="B30" s="213"/>
      <c r="C30" s="213"/>
      <c r="D30" s="25" t="s">
        <v>350</v>
      </c>
      <c r="E30" s="25" t="s">
        <v>351</v>
      </c>
      <c r="F30" s="25">
        <v>30</v>
      </c>
      <c r="G30" s="25">
        <v>3</v>
      </c>
      <c r="H30" s="11"/>
      <c r="I30" s="10"/>
      <c r="J30" s="10"/>
      <c r="K30" s="10"/>
      <c r="L30" s="10"/>
      <c r="M30" s="10"/>
      <c r="N30" s="10"/>
      <c r="O30" s="10"/>
      <c r="P30" s="33">
        <v>2</v>
      </c>
      <c r="Q30" s="27">
        <f t="shared" si="24"/>
        <v>32</v>
      </c>
      <c r="R30" s="10"/>
      <c r="S30" s="10"/>
      <c r="T30" s="12">
        <f t="shared" ref="T30:U30" si="26">SUM(R30,P30,N30,L30,J30,H30)</f>
        <v>2</v>
      </c>
      <c r="U30" s="12">
        <f t="shared" si="26"/>
        <v>32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15.75" customHeight="1">
      <c r="A31" s="164"/>
      <c r="B31" s="213"/>
      <c r="C31" s="213"/>
      <c r="D31" s="175" t="s">
        <v>352</v>
      </c>
      <c r="E31" s="175" t="s">
        <v>353</v>
      </c>
      <c r="F31" s="25">
        <v>50</v>
      </c>
      <c r="G31" s="175">
        <v>3</v>
      </c>
      <c r="H31" s="11"/>
      <c r="I31" s="10"/>
      <c r="J31" s="10"/>
      <c r="K31" s="10"/>
      <c r="L31" s="10"/>
      <c r="M31" s="10"/>
      <c r="N31" s="10"/>
      <c r="O31" s="10"/>
      <c r="P31" s="33">
        <v>3</v>
      </c>
      <c r="Q31" s="27">
        <f t="shared" si="24"/>
        <v>48</v>
      </c>
      <c r="R31" s="10"/>
      <c r="S31" s="10"/>
      <c r="T31" s="12">
        <f t="shared" ref="T31:U31" si="27">SUM(R31,P31,N31,L31,J31,H31)</f>
        <v>3</v>
      </c>
      <c r="U31" s="12">
        <f t="shared" si="27"/>
        <v>48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15.75" customHeight="1">
      <c r="A32" s="164"/>
      <c r="B32" s="213"/>
      <c r="C32" s="213"/>
      <c r="D32" s="175" t="s">
        <v>354</v>
      </c>
      <c r="E32" s="175" t="s">
        <v>355</v>
      </c>
      <c r="F32" s="25">
        <v>50</v>
      </c>
      <c r="G32" s="175">
        <v>4</v>
      </c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33">
        <v>4</v>
      </c>
      <c r="S32" s="27">
        <f t="shared" ref="S32:S34" si="28">R32*16</f>
        <v>64</v>
      </c>
      <c r="T32" s="12">
        <f t="shared" ref="T32:U32" si="29">SUM(R32,P32,N32,L32,J32,H32)</f>
        <v>4</v>
      </c>
      <c r="U32" s="12">
        <f t="shared" si="29"/>
        <v>64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ht="15.75" customHeight="1">
      <c r="A33" s="164"/>
      <c r="B33" s="213"/>
      <c r="C33" s="213"/>
      <c r="D33" s="175" t="s">
        <v>356</v>
      </c>
      <c r="E33" s="175" t="s">
        <v>357</v>
      </c>
      <c r="F33" s="25">
        <v>40</v>
      </c>
      <c r="G33" s="175">
        <v>6</v>
      </c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33">
        <v>3</v>
      </c>
      <c r="S33" s="27">
        <f t="shared" si="28"/>
        <v>48</v>
      </c>
      <c r="T33" s="12">
        <f t="shared" ref="T33:U33" si="30">SUM(R33,P33,N33,L33,J33,H33)</f>
        <v>3</v>
      </c>
      <c r="U33" s="12">
        <f t="shared" si="30"/>
        <v>48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15.75" customHeight="1">
      <c r="A34" s="164"/>
      <c r="B34" s="213"/>
      <c r="C34" s="213"/>
      <c r="D34" s="175" t="s">
        <v>359</v>
      </c>
      <c r="E34" s="175" t="s">
        <v>360</v>
      </c>
      <c r="F34" s="25">
        <v>40</v>
      </c>
      <c r="G34" s="175">
        <v>6</v>
      </c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33">
        <v>3</v>
      </c>
      <c r="S34" s="27">
        <f t="shared" si="28"/>
        <v>48</v>
      </c>
      <c r="T34" s="12">
        <f t="shared" ref="T34:U34" si="31">SUM(R34,P34,N34,L34,J34,H34)</f>
        <v>3</v>
      </c>
      <c r="U34" s="12">
        <f t="shared" si="31"/>
        <v>48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15.75" customHeight="1">
      <c r="A35" s="164"/>
      <c r="B35" s="209"/>
      <c r="C35" s="209"/>
      <c r="D35" s="260" t="s">
        <v>44</v>
      </c>
      <c r="E35" s="207"/>
      <c r="F35" s="170"/>
      <c r="G35" s="170"/>
      <c r="H35" s="170"/>
      <c r="I35" s="172"/>
      <c r="J35" s="172"/>
      <c r="K35" s="172"/>
      <c r="L35" s="172"/>
      <c r="M35" s="172"/>
      <c r="N35" s="172"/>
      <c r="O35" s="172"/>
      <c r="P35" s="171">
        <f t="shared" ref="P35:U35" si="32">SUM(P29:P34)</f>
        <v>8</v>
      </c>
      <c r="Q35" s="171">
        <f t="shared" si="32"/>
        <v>128</v>
      </c>
      <c r="R35" s="171">
        <f t="shared" si="32"/>
        <v>10</v>
      </c>
      <c r="S35" s="171">
        <f t="shared" si="32"/>
        <v>160</v>
      </c>
      <c r="T35" s="171">
        <f t="shared" si="32"/>
        <v>18</v>
      </c>
      <c r="U35" s="171">
        <f t="shared" si="32"/>
        <v>288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ht="15.75" customHeight="1">
      <c r="A36" s="168"/>
      <c r="B36" s="242" t="s">
        <v>323</v>
      </c>
      <c r="C36" s="261">
        <v>12</v>
      </c>
      <c r="D36" s="311" t="s">
        <v>371</v>
      </c>
      <c r="E36" s="25" t="s">
        <v>374</v>
      </c>
      <c r="F36" s="25">
        <v>20</v>
      </c>
      <c r="G36" s="25">
        <v>5</v>
      </c>
      <c r="H36" s="10"/>
      <c r="I36" s="10"/>
      <c r="J36" s="10"/>
      <c r="K36" s="10"/>
      <c r="L36" s="10"/>
      <c r="M36" s="10"/>
      <c r="N36" s="10"/>
      <c r="O36" s="10"/>
      <c r="P36" s="33">
        <v>4</v>
      </c>
      <c r="Q36" s="27">
        <f>P36*16</f>
        <v>64</v>
      </c>
      <c r="R36" s="33"/>
      <c r="S36" s="27"/>
      <c r="T36" s="12">
        <f t="shared" ref="T36:U36" si="33">SUM(R36,P36,N36,L36,J36,H36)</f>
        <v>4</v>
      </c>
      <c r="U36" s="12">
        <f t="shared" si="33"/>
        <v>64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ht="15.75" customHeight="1">
      <c r="A37" s="164"/>
      <c r="B37" s="213"/>
      <c r="C37" s="213"/>
      <c r="D37" s="175" t="s">
        <v>377</v>
      </c>
      <c r="E37" s="175" t="s">
        <v>378</v>
      </c>
      <c r="F37" s="25">
        <v>20</v>
      </c>
      <c r="G37" s="175">
        <v>5</v>
      </c>
      <c r="H37" s="10"/>
      <c r="I37" s="10"/>
      <c r="J37" s="10"/>
      <c r="K37" s="10"/>
      <c r="L37" s="10"/>
      <c r="M37" s="10"/>
      <c r="N37" s="10"/>
      <c r="O37" s="10"/>
      <c r="P37" s="33"/>
      <c r="Q37" s="27"/>
      <c r="R37" s="33">
        <v>2</v>
      </c>
      <c r="S37" s="27">
        <f t="shared" ref="S37:S39" si="34">R37*16</f>
        <v>32</v>
      </c>
      <c r="T37" s="12">
        <f t="shared" ref="T37:U37" si="35">SUM(R37,P37,N37,L37,J37,H37)</f>
        <v>2</v>
      </c>
      <c r="U37" s="12">
        <f t="shared" si="35"/>
        <v>32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ht="15.75" customHeight="1">
      <c r="A38" s="164"/>
      <c r="B38" s="213"/>
      <c r="C38" s="213"/>
      <c r="D38" s="175" t="s">
        <v>383</v>
      </c>
      <c r="E38" s="175" t="s">
        <v>384</v>
      </c>
      <c r="F38" s="25">
        <v>32</v>
      </c>
      <c r="G38" s="175">
        <v>5</v>
      </c>
      <c r="H38" s="10"/>
      <c r="I38" s="10"/>
      <c r="J38" s="10"/>
      <c r="K38" s="10"/>
      <c r="L38" s="10"/>
      <c r="M38" s="10"/>
      <c r="N38" s="10"/>
      <c r="O38" s="10"/>
      <c r="P38" s="33"/>
      <c r="Q38" s="27"/>
      <c r="R38" s="33">
        <v>2</v>
      </c>
      <c r="S38" s="27">
        <f t="shared" si="34"/>
        <v>32</v>
      </c>
      <c r="T38" s="12">
        <f t="shared" ref="T38:U38" si="36">SUM(R38,P38,N38,L38,J38,H38)</f>
        <v>2</v>
      </c>
      <c r="U38" s="12">
        <f t="shared" si="36"/>
        <v>32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ht="15.75" customHeight="1">
      <c r="A39" s="164"/>
      <c r="B39" s="213"/>
      <c r="C39" s="213"/>
      <c r="D39" s="175" t="s">
        <v>393</v>
      </c>
      <c r="E39" s="175" t="s">
        <v>394</v>
      </c>
      <c r="F39" s="25">
        <v>20</v>
      </c>
      <c r="G39" s="175">
        <v>4</v>
      </c>
      <c r="H39" s="10"/>
      <c r="I39" s="10"/>
      <c r="J39" s="10"/>
      <c r="K39" s="10"/>
      <c r="L39" s="10"/>
      <c r="M39" s="10"/>
      <c r="N39" s="10"/>
      <c r="O39" s="10"/>
      <c r="P39" s="33"/>
      <c r="Q39" s="27"/>
      <c r="R39" s="33">
        <v>4</v>
      </c>
      <c r="S39" s="27">
        <f t="shared" si="34"/>
        <v>64</v>
      </c>
      <c r="T39" s="12">
        <f t="shared" ref="T39:U39" si="37">SUM(R39,P39,N39,L39,J39,H39)</f>
        <v>4</v>
      </c>
      <c r="U39" s="12">
        <f t="shared" si="37"/>
        <v>64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ht="15.75" customHeight="1">
      <c r="A40" s="164"/>
      <c r="B40" s="209"/>
      <c r="C40" s="209"/>
      <c r="D40" s="260" t="s">
        <v>44</v>
      </c>
      <c r="E40" s="207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1">
        <f t="shared" ref="P40:U40" si="38">SUM(P36:P39)</f>
        <v>4</v>
      </c>
      <c r="Q40" s="171">
        <f t="shared" si="38"/>
        <v>64</v>
      </c>
      <c r="R40" s="171">
        <f t="shared" si="38"/>
        <v>8</v>
      </c>
      <c r="S40" s="171">
        <f t="shared" si="38"/>
        <v>128</v>
      </c>
      <c r="T40" s="171">
        <f t="shared" si="38"/>
        <v>12</v>
      </c>
      <c r="U40" s="171">
        <f t="shared" si="38"/>
        <v>192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ht="15.75" customHeight="1">
      <c r="A41" s="168"/>
      <c r="B41" s="259" t="s">
        <v>320</v>
      </c>
      <c r="C41" s="259">
        <v>12</v>
      </c>
      <c r="D41" s="25" t="s">
        <v>395</v>
      </c>
      <c r="E41" s="25" t="s">
        <v>396</v>
      </c>
      <c r="F41" s="25">
        <v>16</v>
      </c>
      <c r="G41" s="25">
        <v>3</v>
      </c>
      <c r="H41" s="11"/>
      <c r="I41" s="11"/>
      <c r="J41" s="11"/>
      <c r="K41" s="11"/>
      <c r="L41" s="11"/>
      <c r="M41" s="11"/>
      <c r="N41" s="11"/>
      <c r="O41" s="11"/>
      <c r="P41" s="33">
        <v>3</v>
      </c>
      <c r="Q41" s="27">
        <f t="shared" ref="Q41:Q42" si="39">P41*16</f>
        <v>48</v>
      </c>
      <c r="R41" s="11"/>
      <c r="S41" s="11"/>
      <c r="T41" s="12">
        <f t="shared" ref="T41:U41" si="40">SUM(R41,P41,N41,L41,J41,H41)</f>
        <v>3</v>
      </c>
      <c r="U41" s="12">
        <f t="shared" si="40"/>
        <v>48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ht="15.75" customHeight="1">
      <c r="A42" s="5"/>
      <c r="B42" s="213"/>
      <c r="C42" s="213"/>
      <c r="D42" s="175" t="s">
        <v>397</v>
      </c>
      <c r="E42" s="175" t="s">
        <v>398</v>
      </c>
      <c r="F42" s="25">
        <v>20</v>
      </c>
      <c r="G42" s="175">
        <v>3</v>
      </c>
      <c r="H42" s="10"/>
      <c r="I42" s="10"/>
      <c r="J42" s="10"/>
      <c r="K42" s="10"/>
      <c r="L42" s="10"/>
      <c r="M42" s="10"/>
      <c r="N42" s="10"/>
      <c r="O42" s="10"/>
      <c r="P42" s="33">
        <v>3</v>
      </c>
      <c r="Q42" s="27">
        <f t="shared" si="39"/>
        <v>48</v>
      </c>
      <c r="R42" s="11"/>
      <c r="S42" s="11"/>
      <c r="T42" s="12">
        <f t="shared" ref="T42:U42" si="41">SUM(R42,P42,N42,L42,J42,H42)</f>
        <v>3</v>
      </c>
      <c r="U42" s="12">
        <f t="shared" si="41"/>
        <v>48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ht="15.75" customHeight="1">
      <c r="A43" s="5"/>
      <c r="B43" s="213"/>
      <c r="C43" s="213"/>
      <c r="D43" s="175" t="s">
        <v>399</v>
      </c>
      <c r="E43" s="175" t="s">
        <v>400</v>
      </c>
      <c r="F43" s="25">
        <v>20</v>
      </c>
      <c r="G43" s="175">
        <v>3</v>
      </c>
      <c r="H43" s="10"/>
      <c r="I43" s="10"/>
      <c r="J43" s="10"/>
      <c r="K43" s="10"/>
      <c r="L43" s="10"/>
      <c r="M43" s="10"/>
      <c r="N43" s="10"/>
      <c r="O43" s="10"/>
      <c r="P43" s="33"/>
      <c r="Q43" s="33"/>
      <c r="R43" s="33">
        <v>3</v>
      </c>
      <c r="S43" s="27">
        <f t="shared" ref="S43:S44" si="42">R43*16</f>
        <v>48</v>
      </c>
      <c r="T43" s="12">
        <f t="shared" ref="T43:U43" si="43">SUM(R43,P43,N43,L43,J43,H43)</f>
        <v>3</v>
      </c>
      <c r="U43" s="12">
        <f t="shared" si="43"/>
        <v>48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ht="15.75" customHeight="1">
      <c r="A44" s="5"/>
      <c r="B44" s="213"/>
      <c r="C44" s="213"/>
      <c r="D44" s="175" t="s">
        <v>401</v>
      </c>
      <c r="E44" s="175" t="s">
        <v>402</v>
      </c>
      <c r="F44" s="25">
        <v>16</v>
      </c>
      <c r="G44" s="175">
        <v>4</v>
      </c>
      <c r="H44" s="10"/>
      <c r="I44" s="10"/>
      <c r="J44" s="10"/>
      <c r="K44" s="10"/>
      <c r="L44" s="10"/>
      <c r="M44" s="10"/>
      <c r="N44" s="10"/>
      <c r="O44" s="10"/>
      <c r="P44" s="11"/>
      <c r="Q44" s="11"/>
      <c r="R44" s="33">
        <v>3</v>
      </c>
      <c r="S44" s="27">
        <f t="shared" si="42"/>
        <v>48</v>
      </c>
      <c r="T44" s="12">
        <f t="shared" ref="T44:U44" si="44">SUM(R44,P44,N44,L44,J44,H44)</f>
        <v>3</v>
      </c>
      <c r="U44" s="12">
        <f t="shared" si="44"/>
        <v>48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ht="15.75" customHeight="1">
      <c r="A45" s="5"/>
      <c r="B45" s="209"/>
      <c r="C45" s="209"/>
      <c r="D45" s="260" t="s">
        <v>44</v>
      </c>
      <c r="E45" s="207"/>
      <c r="F45" s="170"/>
      <c r="G45" s="170"/>
      <c r="H45" s="172"/>
      <c r="I45" s="172"/>
      <c r="J45" s="172"/>
      <c r="K45" s="172"/>
      <c r="L45" s="172"/>
      <c r="M45" s="172"/>
      <c r="N45" s="172"/>
      <c r="O45" s="172"/>
      <c r="P45" s="171">
        <f t="shared" ref="P45:U45" si="45">SUM(P41:P44)</f>
        <v>6</v>
      </c>
      <c r="Q45" s="171">
        <f t="shared" si="45"/>
        <v>96</v>
      </c>
      <c r="R45" s="171">
        <f t="shared" si="45"/>
        <v>6</v>
      </c>
      <c r="S45" s="171">
        <f t="shared" si="45"/>
        <v>96</v>
      </c>
      <c r="T45" s="171">
        <f t="shared" si="45"/>
        <v>12</v>
      </c>
      <c r="U45" s="171">
        <f t="shared" si="45"/>
        <v>192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ht="15.75" customHeight="1"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ht="15.75" customHeight="1"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ht="15.75" customHeight="1">
      <c r="B48" s="312"/>
      <c r="C48" s="313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  <c r="U48" s="313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ht="15.75" customHeight="1">
      <c r="B49" s="319"/>
      <c r="C49" s="321"/>
      <c r="D49" s="314"/>
      <c r="E49" s="315"/>
      <c r="F49" s="315"/>
      <c r="G49" s="315"/>
      <c r="H49" s="316"/>
      <c r="I49" s="316"/>
      <c r="J49" s="316"/>
      <c r="K49" s="316"/>
      <c r="L49" s="316"/>
      <c r="M49" s="316"/>
      <c r="N49" s="316"/>
      <c r="O49" s="316"/>
      <c r="P49" s="317"/>
      <c r="Q49" s="315"/>
      <c r="R49" s="317"/>
      <c r="S49" s="317"/>
      <c r="T49" s="316"/>
      <c r="U49" s="316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ht="15.75" customHeight="1">
      <c r="B50" s="320"/>
      <c r="C50" s="320"/>
      <c r="D50" s="318"/>
      <c r="E50" s="318"/>
      <c r="F50" s="315"/>
      <c r="G50" s="318"/>
      <c r="H50" s="316"/>
      <c r="I50" s="316"/>
      <c r="J50" s="316"/>
      <c r="K50" s="316"/>
      <c r="L50" s="316"/>
      <c r="M50" s="316"/>
      <c r="N50" s="316"/>
      <c r="O50" s="316"/>
      <c r="P50" s="317"/>
      <c r="Q50" s="317"/>
      <c r="R50" s="317"/>
      <c r="S50" s="315"/>
      <c r="T50" s="316"/>
      <c r="U50" s="316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ht="15.75" customHeight="1">
      <c r="A51" s="5"/>
      <c r="B51" s="320"/>
      <c r="C51" s="320"/>
      <c r="D51" s="318"/>
      <c r="E51" s="318"/>
      <c r="F51" s="315"/>
      <c r="G51" s="318"/>
      <c r="H51" s="316"/>
      <c r="I51" s="316"/>
      <c r="J51" s="316"/>
      <c r="K51" s="316"/>
      <c r="L51" s="316"/>
      <c r="M51" s="316"/>
      <c r="N51" s="316"/>
      <c r="O51" s="316"/>
      <c r="P51" s="317"/>
      <c r="Q51" s="315"/>
      <c r="R51" s="317"/>
      <c r="S51" s="315"/>
      <c r="T51" s="316"/>
      <c r="U51" s="316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ht="15.75" customHeight="1">
      <c r="A52" s="5"/>
      <c r="B52" s="320"/>
      <c r="C52" s="320"/>
      <c r="D52" s="318"/>
      <c r="E52" s="318"/>
      <c r="F52" s="315"/>
      <c r="G52" s="318"/>
      <c r="H52" s="316"/>
      <c r="I52" s="316"/>
      <c r="J52" s="316"/>
      <c r="K52" s="316"/>
      <c r="L52" s="316"/>
      <c r="M52" s="316"/>
      <c r="N52" s="316"/>
      <c r="O52" s="316"/>
      <c r="P52" s="317"/>
      <c r="Q52" s="317"/>
      <c r="R52" s="317"/>
      <c r="S52" s="315"/>
      <c r="T52" s="316"/>
      <c r="U52" s="316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ht="15.75" customHeight="1">
      <c r="A53" s="5"/>
      <c r="B53" s="320"/>
      <c r="C53" s="320"/>
      <c r="D53" s="322"/>
      <c r="E53" s="320"/>
      <c r="F53" s="316"/>
      <c r="G53" s="316"/>
      <c r="H53" s="316"/>
      <c r="I53" s="316"/>
      <c r="J53" s="316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ht="12.5">
      <c r="A54" s="5"/>
      <c r="B54" s="8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ht="12.5">
      <c r="A55" s="5"/>
      <c r="B55" s="8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ht="12.5">
      <c r="A56" s="5"/>
      <c r="B56" s="8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ht="12.5">
      <c r="A57" s="5"/>
      <c r="B57" s="8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ht="12.5">
      <c r="A58" s="5"/>
      <c r="B58" s="8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ht="12.5">
      <c r="A59" s="5"/>
      <c r="B59" s="8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ht="12.5">
      <c r="A60" s="5"/>
      <c r="B60" s="8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1:36" ht="12.5">
      <c r="A61" s="5"/>
      <c r="B61" s="8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ht="12.5">
      <c r="A62" s="5"/>
      <c r="B62" s="8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ht="12.5">
      <c r="A63" s="5"/>
      <c r="B63" s="8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2.5">
      <c r="A64" s="5"/>
      <c r="B64" s="8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1:36" ht="12.5">
      <c r="A65" s="5"/>
      <c r="B65" s="8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:36" ht="12.5">
      <c r="A66" s="5"/>
      <c r="B66" s="8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:36" ht="12.5">
      <c r="A67" s="5"/>
      <c r="B67" s="8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1:36" ht="12.5">
      <c r="A68" s="5"/>
      <c r="B68" s="8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1:36" ht="12.5">
      <c r="A69" s="5"/>
      <c r="B69" s="8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36" ht="12.5">
      <c r="A70" s="5"/>
      <c r="B70" s="8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ht="12.5">
      <c r="A71" s="5"/>
      <c r="B71" s="8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ht="12.5">
      <c r="A72" s="5"/>
      <c r="B72" s="8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ht="12.5">
      <c r="A73" s="5"/>
      <c r="B73" s="8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ht="12.5">
      <c r="A74" s="5"/>
      <c r="B74" s="8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36" ht="12.5">
      <c r="A75" s="5"/>
      <c r="B75" s="8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ht="12.5">
      <c r="A76" s="5"/>
      <c r="B76" s="8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:36" ht="12.5">
      <c r="A77" s="5"/>
      <c r="B77" s="8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:36" ht="12.5">
      <c r="A78" s="5"/>
      <c r="B78" s="8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ht="12.5">
      <c r="A79" s="5"/>
      <c r="B79" s="8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1:36" ht="12.5">
      <c r="A80" s="5"/>
      <c r="B80" s="8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1:36" ht="12.5">
      <c r="A81" s="5"/>
      <c r="B81" s="8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:36" ht="12.5">
      <c r="A82" s="5"/>
      <c r="B82" s="8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1:36" ht="12.5">
      <c r="A83" s="5"/>
      <c r="B83" s="8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:36" ht="12.5">
      <c r="A84" s="5"/>
      <c r="B84" s="8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1:36" ht="12.5">
      <c r="A85" s="5"/>
      <c r="B85" s="8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:36" ht="12.5">
      <c r="A86" s="5"/>
      <c r="B86" s="8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36" ht="12.5">
      <c r="A87" s="5"/>
      <c r="B87" s="8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1:36" ht="12.5">
      <c r="A88" s="5"/>
      <c r="B88" s="8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ht="12.5">
      <c r="A89" s="5"/>
      <c r="B89" s="8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:36" ht="12.5">
      <c r="A90" s="5"/>
      <c r="B90" s="8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ht="12.5">
      <c r="A91" s="5"/>
      <c r="B91" s="8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:36" ht="12.5">
      <c r="A92" s="5"/>
      <c r="B92" s="8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1:36" ht="12.5">
      <c r="A93" s="5"/>
      <c r="B93" s="8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:36" ht="12.5">
      <c r="A94" s="5"/>
      <c r="B94" s="8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1:36" ht="12.5">
      <c r="A95" s="5"/>
      <c r="B95" s="8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1:36" ht="12.5">
      <c r="A96" s="5"/>
      <c r="B96" s="8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1:36" ht="12.5">
      <c r="A97" s="5"/>
      <c r="B97" s="8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spans="1:36" ht="12.5">
      <c r="A98" s="5"/>
      <c r="B98" s="8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1:36" ht="12.5">
      <c r="A99" s="5"/>
      <c r="B99" s="8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spans="1:36" ht="12.5">
      <c r="A100" s="5"/>
      <c r="B100" s="8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spans="1:36" ht="12.5">
      <c r="A101" s="5"/>
      <c r="B101" s="8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1:36" ht="12.5">
      <c r="A102" s="5"/>
      <c r="B102" s="8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:36" ht="12.5">
      <c r="A103" s="5"/>
      <c r="B103" s="8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1:36" ht="12.5">
      <c r="A104" s="5"/>
      <c r="B104" s="8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2.5">
      <c r="A105" s="5"/>
      <c r="B105" s="8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1:36" ht="12.5">
      <c r="A106" s="5"/>
      <c r="B106" s="8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spans="1:36" ht="12.5">
      <c r="A107" s="5"/>
      <c r="B107" s="8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spans="1:36" ht="12.5">
      <c r="A108" s="5"/>
      <c r="B108" s="8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spans="1:36" ht="12.5">
      <c r="A109" s="5"/>
      <c r="B109" s="8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spans="1:36" ht="12.5">
      <c r="A110" s="5"/>
      <c r="B110" s="8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spans="1:36" ht="12.5">
      <c r="A111" s="5"/>
      <c r="B111" s="8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spans="1:36" ht="12.5">
      <c r="A112" s="5"/>
      <c r="B112" s="8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spans="1:36" ht="12.5">
      <c r="A113" s="5"/>
      <c r="B113" s="8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spans="1:36" ht="12.5">
      <c r="A114" s="5"/>
      <c r="B114" s="8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spans="1:36" ht="12.5">
      <c r="A115" s="5"/>
      <c r="B115" s="8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spans="1:36" ht="12.5">
      <c r="A116" s="5"/>
      <c r="B116" s="8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1:36" ht="12.5">
      <c r="A117" s="5"/>
      <c r="B117" s="8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1:36" ht="12.5">
      <c r="A118" s="5"/>
      <c r="B118" s="8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spans="1:36" ht="12.5">
      <c r="A119" s="5"/>
      <c r="B119" s="8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spans="1:36" ht="12.5">
      <c r="A120" s="5"/>
      <c r="B120" s="8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spans="1:36" ht="12.5">
      <c r="A121" s="5"/>
      <c r="B121" s="8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spans="1:36" ht="12.5">
      <c r="A122" s="5"/>
      <c r="B122" s="8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spans="1:36" ht="12.5">
      <c r="A123" s="5"/>
      <c r="B123" s="8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spans="1:36" ht="12.5">
      <c r="A124" s="5"/>
      <c r="B124" s="8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spans="1:36" ht="12.5">
      <c r="A125" s="5"/>
      <c r="B125" s="8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spans="1:36" ht="12.5">
      <c r="A126" s="5"/>
      <c r="B126" s="8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spans="1:36" ht="12.5">
      <c r="A127" s="5"/>
      <c r="B127" s="8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spans="1:36" ht="12.5">
      <c r="A128" s="5"/>
      <c r="B128" s="8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spans="1:36" ht="12.5">
      <c r="A129" s="5"/>
      <c r="B129" s="8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spans="1:36" ht="12.5">
      <c r="A130" s="5"/>
      <c r="B130" s="8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spans="1:36" ht="12.5">
      <c r="A131" s="5"/>
      <c r="B131" s="8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spans="1:36" ht="12.5">
      <c r="A132" s="5"/>
      <c r="B132" s="8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spans="1:36" ht="12.5">
      <c r="A133" s="5"/>
      <c r="B133" s="8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spans="1:36" ht="12.5">
      <c r="A134" s="5"/>
      <c r="B134" s="8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spans="1:36" ht="12.5">
      <c r="A135" s="5"/>
      <c r="B135" s="8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spans="1:36" ht="12.5">
      <c r="A136" s="5"/>
      <c r="B136" s="8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spans="1:36" ht="12.5">
      <c r="A137" s="5"/>
      <c r="B137" s="8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spans="1:36" ht="12.5">
      <c r="A138" s="5"/>
      <c r="B138" s="8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spans="1:36" ht="12.5">
      <c r="A139" s="5"/>
      <c r="B139" s="8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spans="1:36" ht="12.5">
      <c r="A140" s="5"/>
      <c r="B140" s="8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spans="1:36" ht="12.5">
      <c r="A141" s="5"/>
      <c r="B141" s="8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spans="1:36" ht="12.5">
      <c r="A142" s="5"/>
      <c r="B142" s="8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spans="1:36" ht="12.5">
      <c r="A143" s="5"/>
      <c r="B143" s="8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spans="1:36" ht="12.5">
      <c r="A144" s="5"/>
      <c r="B144" s="8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spans="1:36" ht="12.5">
      <c r="A145" s="5"/>
      <c r="B145" s="8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spans="1:36" ht="12.5">
      <c r="A146" s="5"/>
      <c r="B146" s="8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spans="1:36" ht="12.5">
      <c r="A147" s="5"/>
      <c r="B147" s="8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spans="1:36" ht="12.5">
      <c r="A148" s="5"/>
      <c r="B148" s="8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spans="1:36" ht="12.5">
      <c r="A149" s="5"/>
      <c r="B149" s="8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spans="1:36" ht="12.5">
      <c r="A150" s="5"/>
      <c r="B150" s="8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spans="1:36" ht="12.5">
      <c r="A151" s="5"/>
      <c r="B151" s="8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spans="1:36" ht="12.5">
      <c r="A152" s="5"/>
      <c r="B152" s="8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spans="1:36" ht="12.5">
      <c r="A153" s="5"/>
      <c r="B153" s="8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spans="1:36" ht="12.5">
      <c r="A154" s="5"/>
      <c r="B154" s="8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spans="1:36" ht="12.5">
      <c r="A155" s="5"/>
      <c r="B155" s="8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spans="1:36" ht="12.5">
      <c r="A156" s="5"/>
      <c r="B156" s="8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spans="1:36" ht="12.5">
      <c r="A157" s="5"/>
      <c r="B157" s="8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spans="1:36" ht="12.5">
      <c r="A158" s="5"/>
      <c r="B158" s="8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spans="1:36" ht="12.5">
      <c r="A159" s="5"/>
      <c r="B159" s="8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spans="1:36" ht="12.5">
      <c r="A160" s="5"/>
      <c r="B160" s="8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spans="1:36" ht="12.5">
      <c r="A161" s="5"/>
      <c r="B161" s="8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spans="1:36" ht="12.5">
      <c r="A162" s="5"/>
      <c r="B162" s="8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spans="1:36" ht="12.5">
      <c r="A163" s="5"/>
      <c r="B163" s="8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spans="1:36" ht="12.5">
      <c r="A164" s="5"/>
      <c r="B164" s="8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spans="1:36" ht="12.5">
      <c r="A165" s="5"/>
      <c r="B165" s="8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spans="1:36" ht="12.5">
      <c r="A166" s="5"/>
      <c r="B166" s="8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spans="1:36" ht="12.5">
      <c r="A167" s="5"/>
      <c r="B167" s="8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spans="1:36" ht="12.5">
      <c r="A168" s="5"/>
      <c r="B168" s="8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spans="1:36" ht="12.5">
      <c r="A169" s="5"/>
      <c r="B169" s="8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spans="1:36" ht="12.5">
      <c r="A170" s="5"/>
      <c r="B170" s="8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spans="1:36" ht="12.5">
      <c r="A171" s="5"/>
      <c r="B171" s="8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spans="1:36" ht="12.5">
      <c r="A172" s="5"/>
      <c r="B172" s="8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spans="1:36" ht="12.5">
      <c r="A173" s="5"/>
      <c r="B173" s="8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spans="1:36" ht="12.5">
      <c r="A174" s="5"/>
      <c r="B174" s="8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spans="1:36" ht="12.5">
      <c r="A175" s="5"/>
      <c r="B175" s="8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spans="1:36" ht="12.5">
      <c r="A176" s="5"/>
      <c r="B176" s="8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spans="1:36" ht="12.5">
      <c r="A177" s="5"/>
      <c r="B177" s="8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spans="1:36" ht="12.5">
      <c r="A178" s="5"/>
      <c r="B178" s="8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spans="1:36" ht="12.5">
      <c r="A179" s="5"/>
      <c r="B179" s="8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spans="1:36" ht="12.5">
      <c r="A180" s="5"/>
      <c r="B180" s="8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spans="1:36" ht="12.5">
      <c r="A181" s="5"/>
      <c r="B181" s="8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spans="1:36" ht="12.5">
      <c r="A182" s="5"/>
      <c r="B182" s="8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spans="1:36" ht="12.5">
      <c r="A183" s="5"/>
      <c r="B183" s="8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spans="1:36" ht="12.5">
      <c r="A184" s="5"/>
      <c r="B184" s="8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spans="1:36" ht="12.5">
      <c r="A185" s="5"/>
      <c r="B185" s="8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spans="1:36" ht="12.5">
      <c r="A186" s="5"/>
      <c r="B186" s="8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spans="1:36" ht="12.5">
      <c r="A187" s="5"/>
      <c r="B187" s="8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spans="1:36" ht="12.5">
      <c r="A188" s="5"/>
      <c r="B188" s="8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spans="1:36" ht="12.5">
      <c r="A189" s="5"/>
      <c r="B189" s="8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spans="1:36" ht="12.5">
      <c r="A190" s="5"/>
      <c r="B190" s="8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spans="1:36" ht="12.5">
      <c r="A191" s="5"/>
      <c r="B191" s="8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spans="1:36" ht="12.5">
      <c r="A192" s="5"/>
      <c r="B192" s="8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spans="1:36" ht="12.5">
      <c r="A193" s="5"/>
      <c r="B193" s="8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spans="1:36" ht="12.5">
      <c r="A194" s="5"/>
      <c r="B194" s="8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spans="1:36" ht="12.5">
      <c r="A195" s="5"/>
      <c r="B195" s="8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spans="1:36" ht="12.5">
      <c r="A196" s="5"/>
      <c r="B196" s="8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spans="1:36" ht="12.5">
      <c r="A197" s="5"/>
      <c r="B197" s="8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spans="1:36" ht="12.5">
      <c r="A198" s="5"/>
      <c r="B198" s="8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spans="1:36" ht="12.5">
      <c r="A199" s="5"/>
      <c r="B199" s="8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spans="1:36" ht="12.5">
      <c r="A200" s="5"/>
      <c r="B200" s="8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spans="1:36" ht="12.5">
      <c r="A201" s="5"/>
      <c r="B201" s="8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spans="1:36" ht="12.5">
      <c r="A202" s="5"/>
      <c r="B202" s="8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spans="1:36" ht="12.5">
      <c r="A203" s="5"/>
      <c r="B203" s="8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spans="1:36" ht="12.5">
      <c r="A204" s="5"/>
      <c r="B204" s="8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spans="1:36" ht="12.5">
      <c r="A205" s="5"/>
      <c r="B205" s="8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spans="1:36" ht="12.5">
      <c r="A206" s="5"/>
      <c r="B206" s="8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spans="1:36" ht="12.5">
      <c r="A207" s="5"/>
      <c r="B207" s="8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spans="1:36" ht="12.5">
      <c r="A208" s="5"/>
      <c r="B208" s="8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spans="1:36" ht="12.5">
      <c r="A209" s="5"/>
      <c r="B209" s="8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spans="1:36" ht="12.5">
      <c r="A210" s="5"/>
      <c r="B210" s="8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spans="1:36" ht="12.5">
      <c r="A211" s="5"/>
      <c r="B211" s="8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 spans="1:36" ht="12.5">
      <c r="A212" s="5"/>
      <c r="B212" s="8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spans="1:36" ht="12.5">
      <c r="A213" s="5"/>
      <c r="B213" s="8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spans="1:36" ht="12.5">
      <c r="A214" s="5"/>
      <c r="B214" s="8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 spans="1:36" ht="12.5">
      <c r="A215" s="5"/>
      <c r="B215" s="8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 spans="1:36" ht="12.5">
      <c r="A216" s="5"/>
      <c r="B216" s="8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 spans="1:36" ht="12.5">
      <c r="A217" s="5"/>
      <c r="B217" s="8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 spans="1:36" ht="12.5">
      <c r="A218" s="5"/>
      <c r="B218" s="8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 spans="1:36" ht="12.5">
      <c r="A219" s="5"/>
      <c r="B219" s="8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 spans="1:36" ht="12.5">
      <c r="A220" s="5"/>
      <c r="B220" s="8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spans="1:36" ht="12.5">
      <c r="A221" s="5"/>
      <c r="B221" s="8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 spans="1:36" ht="12.5">
      <c r="A222" s="5"/>
      <c r="B222" s="8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 spans="1:36" ht="12.5">
      <c r="A223" s="5"/>
      <c r="B223" s="8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 spans="1:36" ht="12.5">
      <c r="A224" s="5"/>
      <c r="B224" s="8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</row>
    <row r="225" spans="1:36" ht="12.5">
      <c r="A225" s="5"/>
      <c r="B225" s="8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</row>
    <row r="226" spans="1:36" ht="12.5">
      <c r="A226" s="5"/>
      <c r="B226" s="8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</row>
    <row r="227" spans="1:36" ht="12.5">
      <c r="A227" s="5"/>
      <c r="B227" s="8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</row>
    <row r="228" spans="1:36" ht="12.5">
      <c r="A228" s="5"/>
      <c r="B228" s="8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</row>
    <row r="229" spans="1:36" ht="12.5">
      <c r="A229" s="5"/>
      <c r="B229" s="8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</row>
    <row r="230" spans="1:36" ht="12.5">
      <c r="A230" s="5"/>
      <c r="B230" s="8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</row>
    <row r="231" spans="1:36" ht="12.5">
      <c r="A231" s="5"/>
      <c r="B231" s="8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</row>
    <row r="232" spans="1:36" ht="12.5">
      <c r="A232" s="5"/>
      <c r="B232" s="8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</row>
    <row r="233" spans="1:36" ht="12.5">
      <c r="A233" s="5"/>
      <c r="B233" s="8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</row>
    <row r="234" spans="1:36" ht="12.5">
      <c r="A234" s="5"/>
      <c r="B234" s="8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</row>
    <row r="235" spans="1:36" ht="12.5">
      <c r="A235" s="5"/>
      <c r="B235" s="8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</row>
    <row r="236" spans="1:36" ht="12.5">
      <c r="A236" s="5"/>
      <c r="B236" s="8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</row>
    <row r="237" spans="1:36" ht="12.5">
      <c r="A237" s="5"/>
      <c r="B237" s="8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</row>
    <row r="238" spans="1:36" ht="12.5">
      <c r="A238" s="5"/>
      <c r="B238" s="8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</row>
    <row r="239" spans="1:36" ht="12.5">
      <c r="A239" s="5"/>
      <c r="B239" s="8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</row>
    <row r="240" spans="1:36" ht="12.5">
      <c r="A240" s="5"/>
      <c r="B240" s="8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</row>
    <row r="241" spans="1:36" ht="12.5">
      <c r="A241" s="5"/>
      <c r="B241" s="8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</row>
    <row r="242" spans="1:36" ht="12.5">
      <c r="A242" s="5"/>
      <c r="B242" s="8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</row>
    <row r="243" spans="1:36" ht="12.5">
      <c r="A243" s="5"/>
      <c r="B243" s="8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</row>
    <row r="244" spans="1:36" ht="12.5">
      <c r="A244" s="5"/>
      <c r="B244" s="8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</row>
    <row r="245" spans="1:36" ht="12.5">
      <c r="A245" s="5"/>
      <c r="B245" s="8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</row>
    <row r="246" spans="1:36" ht="12.5">
      <c r="A246" s="5"/>
      <c r="B246" s="8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</row>
    <row r="247" spans="1:36" ht="12.5">
      <c r="A247" s="5"/>
      <c r="B247" s="8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</row>
    <row r="248" spans="1:36" ht="12.5">
      <c r="A248" s="5"/>
      <c r="B248" s="8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</row>
    <row r="249" spans="1:36" ht="12.5">
      <c r="A249" s="5"/>
      <c r="B249" s="8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</row>
    <row r="250" spans="1:36" ht="12.5">
      <c r="A250" s="5"/>
      <c r="B250" s="8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</row>
    <row r="251" spans="1:36" ht="12.5">
      <c r="A251" s="5"/>
      <c r="B251" s="8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</row>
    <row r="252" spans="1:36" ht="12.5">
      <c r="A252" s="5"/>
      <c r="B252" s="8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</row>
    <row r="253" spans="1:36" ht="12.5">
      <c r="A253" s="5"/>
      <c r="B253" s="8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</row>
    <row r="254" spans="1:36" ht="12.5">
      <c r="A254" s="5"/>
      <c r="B254" s="8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</row>
    <row r="255" spans="1:36" ht="12.5">
      <c r="A255" s="5"/>
      <c r="B255" s="8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</row>
    <row r="256" spans="1:36" ht="12.5">
      <c r="A256" s="5"/>
      <c r="B256" s="8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</row>
    <row r="257" spans="1:36" ht="12.5">
      <c r="A257" s="5"/>
      <c r="B257" s="8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</row>
    <row r="258" spans="1:36" ht="12.5">
      <c r="A258" s="5"/>
      <c r="B258" s="8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</row>
    <row r="259" spans="1:36" ht="12.5">
      <c r="A259" s="5"/>
      <c r="B259" s="8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</row>
    <row r="260" spans="1:36" ht="12.5">
      <c r="A260" s="5"/>
      <c r="B260" s="8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</row>
    <row r="261" spans="1:36" ht="12.5">
      <c r="A261" s="5"/>
      <c r="B261" s="8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</row>
    <row r="262" spans="1:36" ht="12.5">
      <c r="A262" s="5"/>
      <c r="B262" s="8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</row>
    <row r="263" spans="1:36" ht="12.5">
      <c r="A263" s="5"/>
      <c r="B263" s="8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</row>
    <row r="264" spans="1:36" ht="12.5">
      <c r="A264" s="5"/>
      <c r="B264" s="8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</row>
    <row r="265" spans="1:36" ht="12.5">
      <c r="A265" s="5"/>
      <c r="B265" s="8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</row>
    <row r="266" spans="1:36" ht="12.5">
      <c r="A266" s="5"/>
      <c r="B266" s="8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</row>
    <row r="267" spans="1:36" ht="12.5">
      <c r="A267" s="5"/>
      <c r="B267" s="8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</row>
    <row r="268" spans="1:36" ht="12.5">
      <c r="A268" s="5"/>
      <c r="B268" s="8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</row>
    <row r="269" spans="1:36" ht="12.5">
      <c r="A269" s="5"/>
      <c r="B269" s="8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</row>
    <row r="270" spans="1:36" ht="12.5">
      <c r="A270" s="5"/>
      <c r="B270" s="8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</row>
    <row r="271" spans="1:36" ht="12.5">
      <c r="A271" s="5"/>
      <c r="B271" s="8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</row>
    <row r="272" spans="1:36" ht="12.5">
      <c r="A272" s="5"/>
      <c r="B272" s="8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</row>
    <row r="273" spans="1:36" ht="12.5">
      <c r="A273" s="5"/>
      <c r="B273" s="8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</row>
    <row r="274" spans="1:36" ht="12.5">
      <c r="A274" s="5"/>
      <c r="B274" s="8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</row>
    <row r="275" spans="1:36" ht="12.5">
      <c r="A275" s="5"/>
      <c r="B275" s="8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</row>
    <row r="276" spans="1:36" ht="12.5">
      <c r="A276" s="5"/>
      <c r="B276" s="8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</row>
    <row r="277" spans="1:36" ht="12.5">
      <c r="A277" s="5"/>
      <c r="B277" s="8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</row>
    <row r="278" spans="1:36" ht="12.5">
      <c r="A278" s="5"/>
      <c r="B278" s="8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</row>
    <row r="279" spans="1:36" ht="12.5">
      <c r="A279" s="5"/>
      <c r="B279" s="8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</row>
    <row r="280" spans="1:36" ht="12.5">
      <c r="A280" s="5"/>
      <c r="B280" s="8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</row>
    <row r="281" spans="1:36" ht="12.5">
      <c r="A281" s="5"/>
      <c r="B281" s="8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</row>
    <row r="282" spans="1:36" ht="12.5">
      <c r="A282" s="5"/>
      <c r="B282" s="8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</row>
    <row r="283" spans="1:36" ht="12.5">
      <c r="A283" s="5"/>
      <c r="B283" s="8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</row>
    <row r="284" spans="1:36" ht="12.5">
      <c r="A284" s="5"/>
      <c r="B284" s="8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</row>
    <row r="285" spans="1:36" ht="12.5">
      <c r="A285" s="5"/>
      <c r="B285" s="8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</row>
    <row r="286" spans="1:36" ht="12.5">
      <c r="A286" s="5"/>
      <c r="B286" s="8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</row>
    <row r="287" spans="1:36" ht="12.5">
      <c r="A287" s="5"/>
      <c r="B287" s="8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</row>
    <row r="288" spans="1:36" ht="12.5">
      <c r="A288" s="5"/>
      <c r="B288" s="8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</row>
    <row r="289" spans="1:36" ht="12.5">
      <c r="A289" s="5"/>
      <c r="B289" s="8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</row>
    <row r="290" spans="1:36" ht="12.5">
      <c r="A290" s="5"/>
      <c r="B290" s="8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</row>
    <row r="291" spans="1:36" ht="12.5">
      <c r="A291" s="5"/>
      <c r="B291" s="8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</row>
    <row r="292" spans="1:36" ht="12.5">
      <c r="A292" s="5"/>
      <c r="B292" s="8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</row>
    <row r="293" spans="1:36" ht="12.5">
      <c r="A293" s="5"/>
      <c r="B293" s="8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</row>
    <row r="294" spans="1:36" ht="12.5">
      <c r="A294" s="5"/>
      <c r="B294" s="8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</row>
    <row r="295" spans="1:36" ht="12.5">
      <c r="A295" s="5"/>
      <c r="B295" s="8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</row>
    <row r="296" spans="1:36" ht="12.5">
      <c r="A296" s="5"/>
      <c r="B296" s="8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</row>
    <row r="297" spans="1:36" ht="12.5">
      <c r="A297" s="5"/>
      <c r="B297" s="8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</row>
    <row r="298" spans="1:36" ht="12.5">
      <c r="A298" s="5"/>
      <c r="B298" s="8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</row>
    <row r="299" spans="1:36" ht="12.5">
      <c r="A299" s="5"/>
      <c r="B299" s="8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</row>
    <row r="300" spans="1:36" ht="12.5">
      <c r="A300" s="5"/>
      <c r="B300" s="8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</row>
    <row r="301" spans="1:36" ht="12.5">
      <c r="A301" s="5"/>
      <c r="B301" s="8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</row>
    <row r="302" spans="1:36" ht="12.5">
      <c r="A302" s="5"/>
      <c r="B302" s="8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</row>
    <row r="303" spans="1:36" ht="12.5">
      <c r="A303" s="5"/>
      <c r="B303" s="8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</row>
    <row r="304" spans="1:36" ht="12.5">
      <c r="A304" s="5"/>
      <c r="B304" s="8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</row>
    <row r="305" spans="1:36" ht="12.5">
      <c r="A305" s="5"/>
      <c r="B305" s="8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</row>
    <row r="306" spans="1:36" ht="12.5">
      <c r="A306" s="5"/>
      <c r="B306" s="8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</row>
    <row r="307" spans="1:36" ht="12.5">
      <c r="A307" s="5"/>
      <c r="B307" s="8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</row>
    <row r="308" spans="1:36" ht="12.5">
      <c r="A308" s="5"/>
      <c r="B308" s="8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</row>
    <row r="309" spans="1:36" ht="12.5">
      <c r="A309" s="5"/>
      <c r="B309" s="8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</row>
    <row r="310" spans="1:36" ht="12.5">
      <c r="A310" s="5"/>
      <c r="B310" s="8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</row>
    <row r="311" spans="1:36" ht="12.5">
      <c r="A311" s="5"/>
      <c r="B311" s="8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</row>
    <row r="312" spans="1:36" ht="12.5">
      <c r="A312" s="5"/>
      <c r="B312" s="8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</row>
    <row r="313" spans="1:36" ht="12.5">
      <c r="A313" s="5"/>
      <c r="B313" s="8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</row>
    <row r="314" spans="1:36" ht="12.5">
      <c r="A314" s="5"/>
      <c r="B314" s="8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</row>
    <row r="315" spans="1:36" ht="12.5">
      <c r="A315" s="5"/>
      <c r="B315" s="8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</row>
    <row r="316" spans="1:36" ht="12.5">
      <c r="A316" s="5"/>
      <c r="B316" s="8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</row>
    <row r="317" spans="1:36" ht="12.5">
      <c r="A317" s="5"/>
      <c r="B317" s="8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</row>
    <row r="318" spans="1:36" ht="12.5">
      <c r="A318" s="5"/>
      <c r="B318" s="8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</row>
    <row r="319" spans="1:36" ht="12.5">
      <c r="A319" s="5"/>
      <c r="B319" s="8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</row>
    <row r="320" spans="1:36" ht="12.5">
      <c r="A320" s="5"/>
      <c r="B320" s="8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</row>
    <row r="321" spans="1:36" ht="12.5">
      <c r="A321" s="5"/>
      <c r="B321" s="8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</row>
    <row r="322" spans="1:36" ht="12.5">
      <c r="A322" s="5"/>
      <c r="B322" s="8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</row>
    <row r="323" spans="1:36" ht="12.5">
      <c r="A323" s="5"/>
      <c r="B323" s="8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</row>
    <row r="324" spans="1:36" ht="12.5">
      <c r="A324" s="5"/>
      <c r="B324" s="8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</row>
    <row r="325" spans="1:36" ht="12.5">
      <c r="A325" s="5"/>
      <c r="B325" s="8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</row>
    <row r="326" spans="1:36" ht="12.5">
      <c r="A326" s="5"/>
      <c r="B326" s="8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</row>
    <row r="327" spans="1:36" ht="12.5">
      <c r="A327" s="5"/>
      <c r="B327" s="8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</row>
    <row r="328" spans="1:36" ht="12.5">
      <c r="A328" s="5"/>
      <c r="B328" s="8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</row>
    <row r="329" spans="1:36" ht="12.5">
      <c r="A329" s="5"/>
      <c r="B329" s="8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</row>
    <row r="330" spans="1:36" ht="12.5">
      <c r="A330" s="5"/>
      <c r="B330" s="8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</row>
    <row r="331" spans="1:36" ht="12.5">
      <c r="A331" s="5"/>
      <c r="B331" s="8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</row>
    <row r="332" spans="1:36" ht="12.5">
      <c r="A332" s="5"/>
      <c r="B332" s="8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</row>
    <row r="333" spans="1:36" ht="12.5">
      <c r="A333" s="5"/>
      <c r="B333" s="8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</row>
    <row r="334" spans="1:36" ht="12.5">
      <c r="A334" s="5"/>
      <c r="B334" s="8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</row>
    <row r="335" spans="1:36" ht="12.5">
      <c r="A335" s="5"/>
      <c r="B335" s="8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</row>
    <row r="336" spans="1:36" ht="12.5">
      <c r="A336" s="5"/>
      <c r="B336" s="8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</row>
    <row r="337" spans="1:36" ht="12.5">
      <c r="A337" s="5"/>
      <c r="B337" s="8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</row>
    <row r="338" spans="1:36" ht="12.5">
      <c r="A338" s="5"/>
      <c r="B338" s="8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</row>
    <row r="339" spans="1:36" ht="12.5">
      <c r="A339" s="5"/>
      <c r="B339" s="8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</row>
    <row r="340" spans="1:36" ht="12.5">
      <c r="A340" s="5"/>
      <c r="B340" s="8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</row>
    <row r="341" spans="1:36" ht="12.5">
      <c r="A341" s="5"/>
      <c r="B341" s="8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</row>
    <row r="342" spans="1:36" ht="12.5">
      <c r="A342" s="5"/>
      <c r="B342" s="8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</row>
    <row r="343" spans="1:36" ht="12.5">
      <c r="A343" s="5"/>
      <c r="B343" s="8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</row>
    <row r="344" spans="1:36" ht="12.5">
      <c r="A344" s="5"/>
      <c r="B344" s="8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</row>
    <row r="345" spans="1:36" ht="12.5">
      <c r="A345" s="5"/>
      <c r="B345" s="8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</row>
    <row r="346" spans="1:36" ht="12.5">
      <c r="A346" s="5"/>
      <c r="B346" s="8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</row>
    <row r="347" spans="1:36" ht="12.5">
      <c r="A347" s="5"/>
      <c r="B347" s="8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</row>
    <row r="348" spans="1:36" ht="12.5">
      <c r="A348" s="5"/>
      <c r="B348" s="8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</row>
    <row r="349" spans="1:36" ht="12.5">
      <c r="A349" s="5"/>
      <c r="B349" s="8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</row>
    <row r="350" spans="1:36" ht="12.5">
      <c r="A350" s="5"/>
      <c r="B350" s="8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</row>
    <row r="351" spans="1:36" ht="12.5">
      <c r="A351" s="5"/>
      <c r="B351" s="8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</row>
    <row r="352" spans="1:36" ht="12.5">
      <c r="A352" s="5"/>
      <c r="B352" s="8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</row>
    <row r="353" spans="1:36" ht="12.5">
      <c r="A353" s="5"/>
      <c r="B353" s="8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</row>
    <row r="354" spans="1:36" ht="12.5">
      <c r="A354" s="5"/>
      <c r="B354" s="8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</row>
    <row r="355" spans="1:36" ht="12.5">
      <c r="A355" s="5"/>
      <c r="B355" s="8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</row>
    <row r="356" spans="1:36" ht="12.5">
      <c r="A356" s="5"/>
      <c r="B356" s="8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</row>
    <row r="357" spans="1:36" ht="12.5">
      <c r="A357" s="5"/>
      <c r="B357" s="8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</row>
    <row r="358" spans="1:36" ht="12.5">
      <c r="A358" s="5"/>
      <c r="B358" s="8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</row>
    <row r="359" spans="1:36" ht="12.5">
      <c r="A359" s="5"/>
      <c r="B359" s="8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</row>
    <row r="360" spans="1:36" ht="12.5">
      <c r="A360" s="5"/>
      <c r="B360" s="8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</row>
    <row r="361" spans="1:36" ht="12.5">
      <c r="A361" s="5"/>
      <c r="B361" s="8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</row>
    <row r="362" spans="1:36" ht="12.5">
      <c r="A362" s="5"/>
      <c r="B362" s="8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</row>
    <row r="363" spans="1:36" ht="12.5">
      <c r="A363" s="5"/>
      <c r="B363" s="8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</row>
    <row r="364" spans="1:36" ht="12.5">
      <c r="A364" s="5"/>
      <c r="B364" s="8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</row>
    <row r="365" spans="1:36" ht="12.5">
      <c r="A365" s="5"/>
      <c r="B365" s="8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</row>
    <row r="366" spans="1:36" ht="12.5">
      <c r="A366" s="5"/>
      <c r="B366" s="8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</row>
    <row r="367" spans="1:36" ht="12.5">
      <c r="A367" s="5"/>
      <c r="B367" s="8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</row>
    <row r="368" spans="1:36" ht="12.5">
      <c r="A368" s="5"/>
      <c r="B368" s="8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</row>
    <row r="369" spans="1:36" ht="12.5">
      <c r="A369" s="5"/>
      <c r="B369" s="8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</row>
    <row r="370" spans="1:36" ht="12.5">
      <c r="A370" s="5"/>
      <c r="B370" s="8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</row>
    <row r="371" spans="1:36" ht="12.5">
      <c r="A371" s="5"/>
      <c r="B371" s="8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</row>
    <row r="372" spans="1:36" ht="12.5">
      <c r="A372" s="5"/>
      <c r="B372" s="8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</row>
    <row r="373" spans="1:36" ht="12.5">
      <c r="A373" s="5"/>
      <c r="B373" s="8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</row>
    <row r="374" spans="1:36" ht="12.5">
      <c r="A374" s="5"/>
      <c r="B374" s="8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</row>
    <row r="375" spans="1:36" ht="12.5">
      <c r="A375" s="5"/>
      <c r="B375" s="8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</row>
    <row r="376" spans="1:36" ht="12.5">
      <c r="A376" s="5"/>
      <c r="B376" s="8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</row>
    <row r="377" spans="1:36" ht="12.5">
      <c r="A377" s="5"/>
      <c r="B377" s="8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</row>
    <row r="378" spans="1:36" ht="12.5">
      <c r="A378" s="5"/>
      <c r="B378" s="8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</row>
    <row r="379" spans="1:36" ht="12.5">
      <c r="A379" s="5"/>
      <c r="B379" s="8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</row>
    <row r="380" spans="1:36" ht="12.5">
      <c r="A380" s="5"/>
      <c r="B380" s="8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</row>
    <row r="381" spans="1:36" ht="12.5">
      <c r="A381" s="5"/>
      <c r="B381" s="8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</row>
    <row r="382" spans="1:36" ht="12.5">
      <c r="A382" s="5"/>
      <c r="B382" s="8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</row>
    <row r="383" spans="1:36" ht="12.5">
      <c r="A383" s="5"/>
      <c r="B383" s="8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</row>
    <row r="384" spans="1:36" ht="12.5">
      <c r="A384" s="5"/>
      <c r="B384" s="8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</row>
    <row r="385" spans="1:36" ht="12.5">
      <c r="A385" s="5"/>
      <c r="B385" s="8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</row>
    <row r="386" spans="1:36" ht="12.5">
      <c r="A386" s="5"/>
      <c r="B386" s="8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</row>
    <row r="387" spans="1:36" ht="12.5">
      <c r="A387" s="5"/>
      <c r="B387" s="8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</row>
    <row r="388" spans="1:36" ht="12.5">
      <c r="A388" s="5"/>
      <c r="B388" s="8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</row>
    <row r="389" spans="1:36" ht="12.5">
      <c r="A389" s="5"/>
      <c r="B389" s="8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</row>
    <row r="390" spans="1:36" ht="12.5">
      <c r="A390" s="5"/>
      <c r="B390" s="8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</row>
    <row r="391" spans="1:36" ht="12.5">
      <c r="A391" s="5"/>
      <c r="B391" s="8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</row>
    <row r="392" spans="1:36" ht="12.5">
      <c r="A392" s="5"/>
      <c r="B392" s="8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</row>
    <row r="393" spans="1:36" ht="12.5">
      <c r="A393" s="5"/>
      <c r="B393" s="8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</row>
    <row r="394" spans="1:36" ht="12.5">
      <c r="A394" s="5"/>
      <c r="B394" s="8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</row>
    <row r="395" spans="1:36" ht="12.5">
      <c r="A395" s="5"/>
      <c r="B395" s="8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</row>
    <row r="396" spans="1:36" ht="12.5">
      <c r="A396" s="5"/>
      <c r="B396" s="8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</row>
    <row r="397" spans="1:36" ht="12.5">
      <c r="A397" s="5"/>
      <c r="B397" s="8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</row>
    <row r="398" spans="1:36" ht="12.5">
      <c r="A398" s="5"/>
      <c r="B398" s="8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</row>
    <row r="399" spans="1:36" ht="12.5">
      <c r="A399" s="5"/>
      <c r="B399" s="8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</row>
    <row r="400" spans="1:36" ht="12.5">
      <c r="A400" s="5"/>
      <c r="B400" s="8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</row>
    <row r="401" spans="1:36" ht="12.5">
      <c r="A401" s="5"/>
      <c r="B401" s="8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</row>
    <row r="402" spans="1:36" ht="12.5">
      <c r="A402" s="5"/>
      <c r="B402" s="8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</row>
    <row r="403" spans="1:36" ht="12.5">
      <c r="A403" s="5"/>
      <c r="B403" s="8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</row>
    <row r="404" spans="1:36" ht="12.5">
      <c r="A404" s="5"/>
      <c r="B404" s="8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</row>
    <row r="405" spans="1:36" ht="12.5">
      <c r="A405" s="5"/>
      <c r="B405" s="8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</row>
    <row r="406" spans="1:36" ht="12.5">
      <c r="A406" s="5"/>
      <c r="B406" s="8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</row>
    <row r="407" spans="1:36" ht="12.5">
      <c r="A407" s="5"/>
      <c r="B407" s="8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</row>
    <row r="408" spans="1:36" ht="12.5">
      <c r="A408" s="5"/>
      <c r="B408" s="8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</row>
    <row r="409" spans="1:36" ht="12.5">
      <c r="A409" s="5"/>
      <c r="B409" s="8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</row>
    <row r="410" spans="1:36" ht="12.5">
      <c r="A410" s="5"/>
      <c r="B410" s="8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</row>
    <row r="411" spans="1:36" ht="12.5">
      <c r="A411" s="5"/>
      <c r="B411" s="8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</row>
    <row r="412" spans="1:36" ht="12.5">
      <c r="A412" s="5"/>
      <c r="B412" s="8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</row>
    <row r="413" spans="1:36" ht="12.5">
      <c r="A413" s="5"/>
      <c r="B413" s="8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</row>
    <row r="414" spans="1:36" ht="12.5">
      <c r="A414" s="5"/>
      <c r="B414" s="8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</row>
    <row r="415" spans="1:36" ht="12.5">
      <c r="A415" s="5"/>
      <c r="B415" s="8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</row>
    <row r="416" spans="1:36" ht="12.5">
      <c r="A416" s="5"/>
      <c r="B416" s="8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</row>
    <row r="417" spans="1:36" ht="12.5">
      <c r="A417" s="5"/>
      <c r="B417" s="8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</row>
    <row r="418" spans="1:36" ht="12.5">
      <c r="A418" s="5"/>
      <c r="B418" s="8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</row>
    <row r="419" spans="1:36" ht="12.5">
      <c r="A419" s="5"/>
      <c r="B419" s="8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</row>
    <row r="420" spans="1:36" ht="12.5">
      <c r="A420" s="5"/>
      <c r="B420" s="8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</row>
    <row r="421" spans="1:36" ht="12.5">
      <c r="A421" s="5"/>
      <c r="B421" s="8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</row>
    <row r="422" spans="1:36" ht="12.5">
      <c r="A422" s="5"/>
      <c r="B422" s="8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</row>
    <row r="423" spans="1:36" ht="12.5">
      <c r="A423" s="5"/>
      <c r="B423" s="8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</row>
    <row r="424" spans="1:36" ht="12.5">
      <c r="A424" s="5"/>
      <c r="B424" s="8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</row>
    <row r="425" spans="1:36" ht="12.5">
      <c r="A425" s="5"/>
      <c r="B425" s="8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</row>
    <row r="426" spans="1:36" ht="12.5">
      <c r="A426" s="5"/>
      <c r="B426" s="8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</row>
    <row r="427" spans="1:36" ht="12.5">
      <c r="A427" s="5"/>
      <c r="B427" s="8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</row>
    <row r="428" spans="1:36" ht="12.5">
      <c r="A428" s="5"/>
      <c r="B428" s="8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</row>
    <row r="429" spans="1:36" ht="12.5">
      <c r="A429" s="5"/>
      <c r="B429" s="8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</row>
    <row r="430" spans="1:36" ht="12.5">
      <c r="A430" s="5"/>
      <c r="B430" s="8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</row>
    <row r="431" spans="1:36" ht="12.5">
      <c r="A431" s="5"/>
      <c r="B431" s="8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</row>
    <row r="432" spans="1:36" ht="12.5">
      <c r="A432" s="5"/>
      <c r="B432" s="8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</row>
    <row r="433" spans="1:36" ht="12.5">
      <c r="A433" s="5"/>
      <c r="B433" s="8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</row>
    <row r="434" spans="1:36" ht="12.5">
      <c r="A434" s="5"/>
      <c r="B434" s="8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</row>
    <row r="435" spans="1:36" ht="12.5">
      <c r="A435" s="5"/>
      <c r="B435" s="8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</row>
    <row r="436" spans="1:36" ht="12.5">
      <c r="A436" s="5"/>
      <c r="B436" s="8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</row>
    <row r="437" spans="1:36" ht="12.5">
      <c r="A437" s="5"/>
      <c r="B437" s="8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</row>
    <row r="438" spans="1:36" ht="12.5">
      <c r="A438" s="5"/>
      <c r="B438" s="8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</row>
    <row r="439" spans="1:36" ht="12.5">
      <c r="A439" s="5"/>
      <c r="B439" s="8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</row>
    <row r="440" spans="1:36" ht="12.5">
      <c r="A440" s="5"/>
      <c r="B440" s="8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</row>
    <row r="441" spans="1:36" ht="12.5">
      <c r="A441" s="5"/>
      <c r="B441" s="8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</row>
    <row r="442" spans="1:36" ht="12.5">
      <c r="A442" s="5"/>
      <c r="B442" s="8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</row>
    <row r="443" spans="1:36" ht="12.5">
      <c r="A443" s="5"/>
      <c r="B443" s="8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</row>
    <row r="444" spans="1:36" ht="12.5">
      <c r="A444" s="5"/>
      <c r="B444" s="8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</row>
    <row r="445" spans="1:36" ht="12.5">
      <c r="A445" s="5"/>
      <c r="B445" s="8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</row>
    <row r="446" spans="1:36" ht="12.5">
      <c r="A446" s="5"/>
      <c r="B446" s="8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</row>
    <row r="447" spans="1:36" ht="12.5">
      <c r="A447" s="5"/>
      <c r="B447" s="8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</row>
    <row r="448" spans="1:36" ht="12.5">
      <c r="A448" s="5"/>
      <c r="B448" s="8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</row>
    <row r="449" spans="1:36" ht="12.5">
      <c r="A449" s="5"/>
      <c r="B449" s="8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</row>
    <row r="450" spans="1:36" ht="12.5">
      <c r="A450" s="5"/>
      <c r="B450" s="8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</row>
    <row r="451" spans="1:36" ht="12.5">
      <c r="A451" s="5"/>
      <c r="B451" s="8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</row>
    <row r="452" spans="1:36" ht="12.5">
      <c r="A452" s="5"/>
      <c r="B452" s="8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</row>
    <row r="453" spans="1:36" ht="12.5">
      <c r="A453" s="5"/>
      <c r="B453" s="8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</row>
    <row r="454" spans="1:36" ht="12.5">
      <c r="A454" s="5"/>
      <c r="B454" s="8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</row>
    <row r="455" spans="1:36" ht="12.5">
      <c r="A455" s="5"/>
      <c r="B455" s="8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</row>
    <row r="456" spans="1:36" ht="12.5">
      <c r="A456" s="5"/>
      <c r="B456" s="8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</row>
    <row r="457" spans="1:36" ht="12.5">
      <c r="A457" s="5"/>
      <c r="B457" s="8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</row>
    <row r="458" spans="1:36" ht="12.5">
      <c r="A458" s="5"/>
      <c r="B458" s="8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</row>
    <row r="459" spans="1:36" ht="12.5">
      <c r="A459" s="5"/>
      <c r="B459" s="8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</row>
    <row r="460" spans="1:36" ht="12.5">
      <c r="A460" s="5"/>
      <c r="B460" s="8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</row>
    <row r="461" spans="1:36" ht="12.5">
      <c r="A461" s="5"/>
      <c r="B461" s="8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</row>
    <row r="462" spans="1:36" ht="12.5">
      <c r="A462" s="5"/>
      <c r="B462" s="8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</row>
    <row r="463" spans="1:36" ht="12.5">
      <c r="A463" s="5"/>
      <c r="B463" s="8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</row>
    <row r="464" spans="1:36" ht="12.5">
      <c r="A464" s="5"/>
      <c r="B464" s="8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</row>
    <row r="465" spans="1:36" ht="12.5">
      <c r="A465" s="5"/>
      <c r="B465" s="8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</row>
    <row r="466" spans="1:36" ht="12.5">
      <c r="A466" s="5"/>
      <c r="B466" s="8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</row>
    <row r="467" spans="1:36" ht="12.5">
      <c r="A467" s="5"/>
      <c r="B467" s="8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</row>
    <row r="468" spans="1:36" ht="12.5">
      <c r="A468" s="5"/>
      <c r="B468" s="8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</row>
    <row r="469" spans="1:36" ht="12.5">
      <c r="A469" s="5"/>
      <c r="B469" s="8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</row>
    <row r="470" spans="1:36" ht="12.5">
      <c r="A470" s="5"/>
      <c r="B470" s="8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</row>
    <row r="471" spans="1:36" ht="12.5">
      <c r="A471" s="5"/>
      <c r="B471" s="8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</row>
    <row r="472" spans="1:36" ht="12.5">
      <c r="A472" s="5"/>
      <c r="B472" s="8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</row>
    <row r="473" spans="1:36" ht="12.5">
      <c r="A473" s="5"/>
      <c r="B473" s="8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</row>
    <row r="474" spans="1:36" ht="12.5">
      <c r="A474" s="5"/>
      <c r="B474" s="8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</row>
    <row r="475" spans="1:36" ht="12.5">
      <c r="A475" s="5"/>
      <c r="B475" s="8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</row>
    <row r="476" spans="1:36" ht="12.5">
      <c r="A476" s="5"/>
      <c r="B476" s="8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</row>
    <row r="477" spans="1:36" ht="12.5">
      <c r="A477" s="5"/>
      <c r="B477" s="8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</row>
    <row r="478" spans="1:36" ht="12.5">
      <c r="A478" s="5"/>
      <c r="B478" s="8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</row>
    <row r="479" spans="1:36" ht="12.5">
      <c r="A479" s="5"/>
      <c r="B479" s="8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</row>
    <row r="480" spans="1:36" ht="12.5">
      <c r="A480" s="5"/>
      <c r="B480" s="8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</row>
    <row r="481" spans="1:36" ht="12.5">
      <c r="A481" s="5"/>
      <c r="B481" s="8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</row>
    <row r="482" spans="1:36" ht="12.5">
      <c r="A482" s="5"/>
      <c r="B482" s="8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</row>
    <row r="483" spans="1:36" ht="12.5">
      <c r="A483" s="5"/>
      <c r="B483" s="8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</row>
    <row r="484" spans="1:36" ht="12.5">
      <c r="A484" s="5"/>
      <c r="B484" s="8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</row>
    <row r="485" spans="1:36" ht="12.5">
      <c r="A485" s="5"/>
      <c r="B485" s="8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</row>
    <row r="486" spans="1:36" ht="12.5">
      <c r="A486" s="5"/>
      <c r="B486" s="8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</row>
    <row r="487" spans="1:36" ht="12.5">
      <c r="A487" s="5"/>
      <c r="B487" s="8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</row>
    <row r="488" spans="1:36" ht="12.5">
      <c r="A488" s="5"/>
      <c r="B488" s="8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</row>
    <row r="489" spans="1:36" ht="12.5">
      <c r="A489" s="5"/>
      <c r="B489" s="8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</row>
    <row r="490" spans="1:36" ht="12.5">
      <c r="A490" s="5"/>
      <c r="B490" s="8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</row>
    <row r="491" spans="1:36" ht="12.5">
      <c r="A491" s="5"/>
      <c r="B491" s="8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</row>
    <row r="492" spans="1:36" ht="12.5">
      <c r="A492" s="5"/>
      <c r="B492" s="8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</row>
    <row r="493" spans="1:36" ht="12.5">
      <c r="A493" s="5"/>
      <c r="B493" s="8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</row>
    <row r="494" spans="1:36" ht="12.5">
      <c r="A494" s="5"/>
      <c r="B494" s="8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</row>
    <row r="495" spans="1:36" ht="12.5">
      <c r="A495" s="5"/>
      <c r="B495" s="8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</row>
    <row r="496" spans="1:36" ht="12.5">
      <c r="A496" s="5"/>
      <c r="B496" s="8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</row>
    <row r="497" spans="1:36" ht="12.5">
      <c r="A497" s="5"/>
      <c r="B497" s="8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</row>
    <row r="498" spans="1:36" ht="12.5">
      <c r="A498" s="5"/>
      <c r="B498" s="8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</row>
    <row r="499" spans="1:36" ht="12.5">
      <c r="A499" s="5"/>
      <c r="B499" s="8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</row>
    <row r="500" spans="1:36" ht="12.5">
      <c r="A500" s="5"/>
      <c r="B500" s="8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</row>
    <row r="501" spans="1:36" ht="12.5">
      <c r="A501" s="5"/>
      <c r="B501" s="8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</row>
    <row r="502" spans="1:36" ht="12.5">
      <c r="A502" s="5"/>
      <c r="B502" s="8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</row>
    <row r="503" spans="1:36" ht="12.5">
      <c r="A503" s="5"/>
      <c r="B503" s="8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</row>
    <row r="504" spans="1:36" ht="12.5">
      <c r="A504" s="5"/>
      <c r="B504" s="8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</row>
    <row r="505" spans="1:36" ht="12.5">
      <c r="A505" s="5"/>
      <c r="B505" s="8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</row>
    <row r="506" spans="1:36" ht="12.5">
      <c r="A506" s="5"/>
      <c r="B506" s="8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</row>
    <row r="507" spans="1:36" ht="12.5">
      <c r="A507" s="5"/>
      <c r="B507" s="8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</row>
    <row r="508" spans="1:36" ht="12.5">
      <c r="A508" s="5"/>
      <c r="B508" s="8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</row>
    <row r="509" spans="1:36" ht="12.5">
      <c r="A509" s="5"/>
      <c r="B509" s="8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</row>
    <row r="510" spans="1:36" ht="12.5">
      <c r="A510" s="5"/>
      <c r="B510" s="8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</row>
    <row r="511" spans="1:36" ht="12.5">
      <c r="A511" s="5"/>
      <c r="B511" s="8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</row>
    <row r="512" spans="1:36" ht="12.5">
      <c r="A512" s="5"/>
      <c r="B512" s="8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</row>
    <row r="513" spans="1:36" ht="12.5">
      <c r="A513" s="5"/>
      <c r="B513" s="8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</row>
    <row r="514" spans="1:36" ht="12.5">
      <c r="A514" s="5"/>
      <c r="B514" s="8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</row>
    <row r="515" spans="1:36" ht="12.5">
      <c r="A515" s="5"/>
      <c r="B515" s="8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</row>
    <row r="516" spans="1:36" ht="12.5">
      <c r="A516" s="5"/>
      <c r="B516" s="8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</row>
    <row r="517" spans="1:36" ht="12.5">
      <c r="A517" s="5"/>
      <c r="B517" s="8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</row>
    <row r="518" spans="1:36" ht="12.5">
      <c r="A518" s="5"/>
      <c r="B518" s="8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</row>
    <row r="519" spans="1:36" ht="12.5">
      <c r="A519" s="5"/>
      <c r="B519" s="8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</row>
    <row r="520" spans="1:36" ht="12.5">
      <c r="A520" s="5"/>
      <c r="B520" s="8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</row>
    <row r="521" spans="1:36" ht="12.5">
      <c r="A521" s="5"/>
      <c r="B521" s="8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</row>
    <row r="522" spans="1:36" ht="12.5">
      <c r="A522" s="5"/>
      <c r="B522" s="8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</row>
    <row r="523" spans="1:36" ht="12.5">
      <c r="A523" s="5"/>
      <c r="B523" s="8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</row>
    <row r="524" spans="1:36" ht="12.5">
      <c r="A524" s="5"/>
      <c r="B524" s="8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</row>
    <row r="525" spans="1:36" ht="12.5">
      <c r="A525" s="5"/>
      <c r="B525" s="8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</row>
    <row r="526" spans="1:36" ht="12.5">
      <c r="A526" s="5"/>
      <c r="B526" s="8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</row>
    <row r="527" spans="1:36" ht="12.5">
      <c r="A527" s="5"/>
      <c r="B527" s="8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</row>
    <row r="528" spans="1:36" ht="12.5">
      <c r="A528" s="5"/>
      <c r="B528" s="8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</row>
    <row r="529" spans="1:36" ht="12.5">
      <c r="A529" s="5"/>
      <c r="B529" s="8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</row>
    <row r="530" spans="1:36" ht="12.5">
      <c r="A530" s="5"/>
      <c r="B530" s="8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</row>
    <row r="531" spans="1:36" ht="12.5">
      <c r="A531" s="5"/>
      <c r="B531" s="8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</row>
    <row r="532" spans="1:36" ht="12.5">
      <c r="A532" s="5"/>
      <c r="B532" s="8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</row>
    <row r="533" spans="1:36" ht="12.5">
      <c r="A533" s="5"/>
      <c r="B533" s="8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</row>
    <row r="534" spans="1:36" ht="12.5">
      <c r="A534" s="5"/>
      <c r="B534" s="8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</row>
    <row r="535" spans="1:36" ht="12.5">
      <c r="A535" s="5"/>
      <c r="B535" s="8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</row>
    <row r="536" spans="1:36" ht="12.5">
      <c r="A536" s="5"/>
      <c r="B536" s="8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</row>
    <row r="537" spans="1:36" ht="12.5">
      <c r="A537" s="5"/>
      <c r="B537" s="8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</row>
    <row r="538" spans="1:36" ht="12.5">
      <c r="A538" s="5"/>
      <c r="B538" s="8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</row>
    <row r="539" spans="1:36" ht="12.5">
      <c r="A539" s="5"/>
      <c r="B539" s="8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</row>
    <row r="540" spans="1:36" ht="12.5">
      <c r="A540" s="5"/>
      <c r="B540" s="8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</row>
    <row r="541" spans="1:36" ht="12.5">
      <c r="A541" s="5"/>
      <c r="B541" s="8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</row>
    <row r="542" spans="1:36" ht="12.5">
      <c r="A542" s="5"/>
      <c r="B542" s="8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</row>
    <row r="543" spans="1:36" ht="12.5">
      <c r="A543" s="5"/>
      <c r="B543" s="8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</row>
    <row r="544" spans="1:36" ht="12.5">
      <c r="A544" s="5"/>
      <c r="B544" s="8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</row>
    <row r="545" spans="1:36" ht="12.5">
      <c r="A545" s="5"/>
      <c r="B545" s="8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</row>
    <row r="546" spans="1:36" ht="12.5">
      <c r="A546" s="5"/>
      <c r="B546" s="8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</row>
    <row r="547" spans="1:36" ht="12.5">
      <c r="A547" s="5"/>
      <c r="B547" s="8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</row>
    <row r="548" spans="1:36" ht="12.5">
      <c r="A548" s="5"/>
      <c r="B548" s="8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</row>
    <row r="549" spans="1:36" ht="12.5">
      <c r="A549" s="5"/>
      <c r="B549" s="8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</row>
    <row r="550" spans="1:36" ht="12.5">
      <c r="A550" s="5"/>
      <c r="B550" s="8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</row>
    <row r="551" spans="1:36" ht="12.5">
      <c r="A551" s="5"/>
      <c r="B551" s="8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</row>
    <row r="552" spans="1:36" ht="12.5">
      <c r="A552" s="5"/>
      <c r="B552" s="8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</row>
    <row r="553" spans="1:36" ht="12.5">
      <c r="A553" s="5"/>
      <c r="B553" s="8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</row>
    <row r="554" spans="1:36" ht="12.5">
      <c r="A554" s="5"/>
      <c r="B554" s="8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</row>
    <row r="555" spans="1:36" ht="12.5">
      <c r="A555" s="5"/>
      <c r="B555" s="8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</row>
    <row r="556" spans="1:36" ht="12.5">
      <c r="A556" s="5"/>
      <c r="B556" s="8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</row>
    <row r="557" spans="1:36" ht="12.5">
      <c r="A557" s="5"/>
      <c r="B557" s="8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</row>
    <row r="558" spans="1:36" ht="12.5">
      <c r="A558" s="5"/>
      <c r="B558" s="8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</row>
    <row r="559" spans="1:36" ht="12.5">
      <c r="A559" s="5"/>
      <c r="B559" s="8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</row>
    <row r="560" spans="1:36" ht="12.5">
      <c r="A560" s="5"/>
      <c r="B560" s="8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</row>
    <row r="561" spans="1:36" ht="12.5">
      <c r="A561" s="5"/>
      <c r="B561" s="8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</row>
    <row r="562" spans="1:36" ht="12.5">
      <c r="A562" s="5"/>
      <c r="B562" s="8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</row>
    <row r="563" spans="1:36" ht="12.5">
      <c r="A563" s="5"/>
      <c r="B563" s="8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</row>
    <row r="564" spans="1:36" ht="12.5">
      <c r="A564" s="5"/>
      <c r="B564" s="8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</row>
    <row r="565" spans="1:36" ht="12.5">
      <c r="A565" s="5"/>
      <c r="B565" s="8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</row>
    <row r="566" spans="1:36" ht="12.5">
      <c r="A566" s="5"/>
      <c r="B566" s="8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</row>
    <row r="567" spans="1:36" ht="12.5">
      <c r="A567" s="5"/>
      <c r="B567" s="8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</row>
    <row r="568" spans="1:36" ht="12.5">
      <c r="A568" s="5"/>
      <c r="B568" s="8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</row>
    <row r="569" spans="1:36" ht="12.5">
      <c r="A569" s="5"/>
      <c r="B569" s="8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</row>
    <row r="570" spans="1:36" ht="12.5">
      <c r="A570" s="5"/>
      <c r="B570" s="8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</row>
    <row r="571" spans="1:36" ht="12.5">
      <c r="A571" s="5"/>
      <c r="B571" s="8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</row>
    <row r="572" spans="1:36" ht="12.5">
      <c r="A572" s="5"/>
      <c r="B572" s="8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</row>
    <row r="573" spans="1:36" ht="12.5">
      <c r="A573" s="5"/>
      <c r="B573" s="8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</row>
    <row r="574" spans="1:36" ht="12.5">
      <c r="A574" s="5"/>
      <c r="B574" s="8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</row>
    <row r="575" spans="1:36" ht="12.5">
      <c r="A575" s="5"/>
      <c r="B575" s="8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</row>
    <row r="576" spans="1:36" ht="12.5">
      <c r="A576" s="5"/>
      <c r="B576" s="8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</row>
    <row r="577" spans="1:36" ht="12.5">
      <c r="A577" s="5"/>
      <c r="B577" s="8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</row>
    <row r="578" spans="1:36" ht="12.5">
      <c r="A578" s="5"/>
      <c r="B578" s="8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</row>
    <row r="579" spans="1:36" ht="12.5">
      <c r="A579" s="5"/>
      <c r="B579" s="8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</row>
    <row r="580" spans="1:36" ht="12.5">
      <c r="A580" s="5"/>
      <c r="B580" s="8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</row>
    <row r="581" spans="1:36" ht="12.5">
      <c r="A581" s="5"/>
      <c r="B581" s="8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</row>
    <row r="582" spans="1:36" ht="12.5">
      <c r="A582" s="5"/>
      <c r="B582" s="8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</row>
    <row r="583" spans="1:36" ht="12.5">
      <c r="A583" s="5"/>
      <c r="B583" s="8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</row>
    <row r="584" spans="1:36" ht="12.5">
      <c r="A584" s="5"/>
      <c r="B584" s="8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</row>
    <row r="585" spans="1:36" ht="12.5">
      <c r="A585" s="5"/>
      <c r="B585" s="8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</row>
    <row r="586" spans="1:36" ht="12.5">
      <c r="A586" s="5"/>
      <c r="B586" s="8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</row>
    <row r="587" spans="1:36" ht="12.5">
      <c r="A587" s="5"/>
      <c r="B587" s="8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</row>
    <row r="588" spans="1:36" ht="12.5">
      <c r="A588" s="5"/>
      <c r="B588" s="8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</row>
    <row r="589" spans="1:36" ht="12.5">
      <c r="A589" s="5"/>
      <c r="B589" s="8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</row>
    <row r="590" spans="1:36" ht="12.5">
      <c r="A590" s="5"/>
      <c r="B590" s="8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</row>
    <row r="591" spans="1:36" ht="12.5">
      <c r="A591" s="5"/>
      <c r="B591" s="8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</row>
    <row r="592" spans="1:36" ht="12.5">
      <c r="A592" s="5"/>
      <c r="B592" s="8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</row>
    <row r="593" spans="1:36" ht="12.5">
      <c r="A593" s="5"/>
      <c r="B593" s="8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</row>
    <row r="594" spans="1:36" ht="12.5">
      <c r="A594" s="5"/>
      <c r="B594" s="8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</row>
    <row r="595" spans="1:36" ht="12.5">
      <c r="A595" s="5"/>
      <c r="B595" s="8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</row>
    <row r="596" spans="1:36" ht="12.5">
      <c r="A596" s="5"/>
      <c r="B596" s="8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</row>
    <row r="597" spans="1:36" ht="12.5">
      <c r="A597" s="5"/>
      <c r="B597" s="8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</row>
    <row r="598" spans="1:36" ht="12.5">
      <c r="A598" s="5"/>
      <c r="B598" s="8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</row>
    <row r="599" spans="1:36" ht="12.5">
      <c r="A599" s="5"/>
      <c r="B599" s="8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</row>
    <row r="600" spans="1:36" ht="12.5">
      <c r="A600" s="5"/>
      <c r="B600" s="8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</row>
    <row r="601" spans="1:36" ht="12.5">
      <c r="A601" s="5"/>
      <c r="B601" s="8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</row>
    <row r="602" spans="1:36" ht="12.5">
      <c r="A602" s="5"/>
      <c r="B602" s="8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</row>
    <row r="603" spans="1:36" ht="12.5">
      <c r="A603" s="5"/>
      <c r="B603" s="8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</row>
    <row r="604" spans="1:36" ht="12.5">
      <c r="A604" s="5"/>
      <c r="B604" s="8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</row>
    <row r="605" spans="1:36" ht="12.5">
      <c r="A605" s="5"/>
      <c r="B605" s="8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</row>
    <row r="606" spans="1:36" ht="12.5">
      <c r="A606" s="5"/>
      <c r="B606" s="8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</row>
    <row r="607" spans="1:36" ht="12.5">
      <c r="A607" s="5"/>
      <c r="B607" s="8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</row>
    <row r="608" spans="1:36" ht="12.5">
      <c r="A608" s="5"/>
      <c r="B608" s="8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</row>
    <row r="609" spans="1:36" ht="12.5">
      <c r="A609" s="5"/>
      <c r="B609" s="8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</row>
    <row r="610" spans="1:36" ht="12.5">
      <c r="A610" s="5"/>
      <c r="B610" s="8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</row>
    <row r="611" spans="1:36" ht="12.5">
      <c r="A611" s="5"/>
      <c r="B611" s="8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</row>
    <row r="612" spans="1:36" ht="12.5">
      <c r="A612" s="5"/>
      <c r="B612" s="8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</row>
    <row r="613" spans="1:36" ht="12.5">
      <c r="A613" s="5"/>
      <c r="B613" s="8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</row>
    <row r="614" spans="1:36" ht="12.5">
      <c r="A614" s="5"/>
      <c r="B614" s="8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</row>
    <row r="615" spans="1:36" ht="12.5">
      <c r="A615" s="5"/>
      <c r="B615" s="8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</row>
    <row r="616" spans="1:36" ht="12.5">
      <c r="A616" s="5"/>
      <c r="B616" s="8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</row>
    <row r="617" spans="1:36" ht="12.5">
      <c r="A617" s="5"/>
      <c r="B617" s="8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</row>
    <row r="618" spans="1:36" ht="12.5">
      <c r="A618" s="5"/>
      <c r="B618" s="8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</row>
    <row r="619" spans="1:36" ht="12.5">
      <c r="A619" s="5"/>
      <c r="B619" s="8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</row>
    <row r="620" spans="1:36" ht="12.5">
      <c r="A620" s="5"/>
      <c r="B620" s="8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</row>
    <row r="621" spans="1:36" ht="12.5">
      <c r="A621" s="5"/>
      <c r="B621" s="8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</row>
    <row r="622" spans="1:36" ht="12.5">
      <c r="A622" s="5"/>
      <c r="B622" s="8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</row>
    <row r="623" spans="1:36" ht="12.5">
      <c r="A623" s="5"/>
      <c r="B623" s="8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</row>
    <row r="624" spans="1:36" ht="12.5">
      <c r="A624" s="5"/>
      <c r="B624" s="8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</row>
    <row r="625" spans="1:36" ht="12.5">
      <c r="A625" s="5"/>
      <c r="B625" s="8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</row>
    <row r="626" spans="1:36" ht="12.5">
      <c r="A626" s="5"/>
      <c r="B626" s="8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</row>
    <row r="627" spans="1:36" ht="12.5">
      <c r="A627" s="5"/>
      <c r="B627" s="8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</row>
    <row r="628" spans="1:36" ht="12.5">
      <c r="A628" s="5"/>
      <c r="B628" s="8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</row>
    <row r="629" spans="1:36" ht="12.5">
      <c r="A629" s="5"/>
      <c r="B629" s="8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</row>
    <row r="630" spans="1:36" ht="12.5">
      <c r="A630" s="5"/>
      <c r="B630" s="8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</row>
    <row r="631" spans="1:36" ht="12.5">
      <c r="A631" s="5"/>
      <c r="B631" s="8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</row>
    <row r="632" spans="1:36" ht="12.5">
      <c r="A632" s="5"/>
      <c r="B632" s="8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</row>
    <row r="633" spans="1:36" ht="12.5">
      <c r="A633" s="5"/>
      <c r="B633" s="8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</row>
    <row r="634" spans="1:36" ht="12.5">
      <c r="A634" s="5"/>
      <c r="B634" s="8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</row>
    <row r="635" spans="1:36" ht="12.5">
      <c r="A635" s="5"/>
      <c r="B635" s="8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</row>
    <row r="636" spans="1:36" ht="12.5">
      <c r="A636" s="5"/>
      <c r="B636" s="8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</row>
    <row r="637" spans="1:36" ht="12.5">
      <c r="A637" s="5"/>
      <c r="B637" s="8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</row>
    <row r="638" spans="1:36" ht="12.5">
      <c r="A638" s="5"/>
      <c r="B638" s="8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</row>
    <row r="639" spans="1:36" ht="12.5">
      <c r="A639" s="5"/>
      <c r="B639" s="8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</row>
    <row r="640" spans="1:36" ht="12.5">
      <c r="A640" s="5"/>
      <c r="B640" s="8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</row>
    <row r="641" spans="1:36" ht="12.5">
      <c r="A641" s="5"/>
      <c r="B641" s="8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</row>
    <row r="642" spans="1:36" ht="12.5">
      <c r="A642" s="5"/>
      <c r="B642" s="8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</row>
    <row r="643" spans="1:36" ht="12.5">
      <c r="A643" s="5"/>
      <c r="B643" s="8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</row>
    <row r="644" spans="1:36" ht="12.5">
      <c r="A644" s="5"/>
      <c r="B644" s="8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</row>
    <row r="645" spans="1:36" ht="12.5">
      <c r="A645" s="5"/>
      <c r="B645" s="8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</row>
    <row r="646" spans="1:36" ht="12.5">
      <c r="A646" s="5"/>
      <c r="B646" s="8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</row>
    <row r="647" spans="1:36" ht="12.5">
      <c r="A647" s="5"/>
      <c r="B647" s="8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</row>
    <row r="648" spans="1:36" ht="12.5">
      <c r="A648" s="5"/>
      <c r="B648" s="8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</row>
    <row r="649" spans="1:36" ht="12.5">
      <c r="A649" s="5"/>
      <c r="B649" s="8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</row>
    <row r="650" spans="1:36" ht="12.5">
      <c r="A650" s="5"/>
      <c r="B650" s="8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</row>
    <row r="651" spans="1:36" ht="12.5">
      <c r="A651" s="5"/>
      <c r="B651" s="8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</row>
    <row r="652" spans="1:36" ht="12.5">
      <c r="A652" s="5"/>
      <c r="B652" s="8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</row>
    <row r="653" spans="1:36" ht="12.5">
      <c r="A653" s="5"/>
      <c r="B653" s="8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</row>
    <row r="654" spans="1:36" ht="12.5">
      <c r="A654" s="5"/>
      <c r="B654" s="8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</row>
    <row r="655" spans="1:36" ht="12.5">
      <c r="A655" s="5"/>
      <c r="B655" s="8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</row>
    <row r="656" spans="1:36" ht="12.5">
      <c r="A656" s="5"/>
      <c r="B656" s="8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</row>
    <row r="657" spans="1:36" ht="12.5">
      <c r="A657" s="5"/>
      <c r="B657" s="8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</row>
    <row r="658" spans="1:36" ht="12.5">
      <c r="A658" s="5"/>
      <c r="B658" s="8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</row>
    <row r="659" spans="1:36" ht="12.5">
      <c r="A659" s="5"/>
      <c r="B659" s="8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</row>
    <row r="660" spans="1:36" ht="12.5">
      <c r="A660" s="5"/>
      <c r="B660" s="8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</row>
    <row r="661" spans="1:36" ht="12.5">
      <c r="A661" s="5"/>
      <c r="B661" s="8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</row>
    <row r="662" spans="1:36" ht="12.5">
      <c r="A662" s="5"/>
      <c r="B662" s="8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</row>
    <row r="663" spans="1:36" ht="12.5">
      <c r="A663" s="5"/>
      <c r="B663" s="8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</row>
    <row r="664" spans="1:36" ht="12.5">
      <c r="A664" s="5"/>
      <c r="B664" s="8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</row>
    <row r="665" spans="1:36" ht="12.5">
      <c r="A665" s="5"/>
      <c r="B665" s="8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</row>
    <row r="666" spans="1:36" ht="12.5">
      <c r="A666" s="5"/>
      <c r="B666" s="8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</row>
    <row r="667" spans="1:36" ht="12.5">
      <c r="A667" s="5"/>
      <c r="B667" s="8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</row>
    <row r="668" spans="1:36" ht="12.5">
      <c r="A668" s="5"/>
      <c r="B668" s="8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</row>
    <row r="669" spans="1:36" ht="12.5">
      <c r="A669" s="5"/>
      <c r="B669" s="8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</row>
    <row r="670" spans="1:36" ht="12.5">
      <c r="A670" s="5"/>
      <c r="B670" s="8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</row>
    <row r="671" spans="1:36" ht="12.5">
      <c r="A671" s="5"/>
      <c r="B671" s="8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</row>
    <row r="672" spans="1:36" ht="12.5">
      <c r="A672" s="5"/>
      <c r="B672" s="8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</row>
    <row r="673" spans="1:36" ht="12.5">
      <c r="A673" s="5"/>
      <c r="B673" s="8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</row>
    <row r="674" spans="1:36" ht="12.5">
      <c r="A674" s="5"/>
      <c r="B674" s="8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</row>
    <row r="675" spans="1:36" ht="12.5">
      <c r="A675" s="5"/>
      <c r="B675" s="8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</row>
    <row r="676" spans="1:36" ht="12.5">
      <c r="A676" s="5"/>
      <c r="B676" s="8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</row>
    <row r="677" spans="1:36" ht="12.5">
      <c r="A677" s="5"/>
      <c r="B677" s="8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</row>
    <row r="678" spans="1:36" ht="12.5">
      <c r="A678" s="5"/>
      <c r="B678" s="8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</row>
    <row r="679" spans="1:36" ht="12.5">
      <c r="A679" s="5"/>
      <c r="B679" s="8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</row>
    <row r="680" spans="1:36" ht="12.5">
      <c r="A680" s="5"/>
      <c r="B680" s="8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</row>
    <row r="681" spans="1:36" ht="12.5">
      <c r="A681" s="5"/>
      <c r="B681" s="8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</row>
    <row r="682" spans="1:36" ht="12.5">
      <c r="A682" s="5"/>
      <c r="B682" s="8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</row>
    <row r="683" spans="1:36" ht="12.5">
      <c r="A683" s="5"/>
      <c r="B683" s="8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</row>
    <row r="684" spans="1:36" ht="12.5">
      <c r="A684" s="5"/>
      <c r="B684" s="8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</row>
    <row r="685" spans="1:36" ht="12.5">
      <c r="A685" s="5"/>
      <c r="B685" s="8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</row>
    <row r="686" spans="1:36" ht="12.5">
      <c r="A686" s="5"/>
      <c r="B686" s="8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</row>
    <row r="687" spans="1:36" ht="12.5">
      <c r="A687" s="5"/>
      <c r="B687" s="8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</row>
    <row r="688" spans="1:36" ht="12.5">
      <c r="A688" s="5"/>
      <c r="B688" s="8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</row>
    <row r="689" spans="1:36" ht="12.5">
      <c r="A689" s="5"/>
      <c r="B689" s="8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</row>
    <row r="690" spans="1:36" ht="12.5">
      <c r="A690" s="5"/>
      <c r="B690" s="8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</row>
    <row r="691" spans="1:36" ht="12.5">
      <c r="A691" s="5"/>
      <c r="B691" s="8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</row>
    <row r="692" spans="1:36" ht="12.5">
      <c r="A692" s="5"/>
      <c r="B692" s="8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</row>
    <row r="693" spans="1:36" ht="12.5">
      <c r="A693" s="5"/>
      <c r="B693" s="8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</row>
    <row r="694" spans="1:36" ht="12.5">
      <c r="A694" s="5"/>
      <c r="B694" s="8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</row>
    <row r="695" spans="1:36" ht="12.5">
      <c r="A695" s="5"/>
      <c r="B695" s="8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</row>
    <row r="696" spans="1:36" ht="12.5">
      <c r="A696" s="5"/>
      <c r="B696" s="8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</row>
    <row r="697" spans="1:36" ht="12.5">
      <c r="A697" s="5"/>
      <c r="B697" s="8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</row>
    <row r="698" spans="1:36" ht="12.5">
      <c r="A698" s="5"/>
      <c r="B698" s="8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</row>
    <row r="699" spans="1:36" ht="12.5">
      <c r="A699" s="5"/>
      <c r="B699" s="8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</row>
    <row r="700" spans="1:36" ht="12.5">
      <c r="A700" s="5"/>
      <c r="B700" s="8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</row>
    <row r="701" spans="1:36" ht="12.5">
      <c r="A701" s="5"/>
      <c r="B701" s="8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</row>
    <row r="702" spans="1:36" ht="12.5">
      <c r="A702" s="5"/>
      <c r="B702" s="8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</row>
    <row r="703" spans="1:36" ht="12.5">
      <c r="A703" s="5"/>
      <c r="B703" s="8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</row>
    <row r="704" spans="1:36" ht="12.5">
      <c r="A704" s="5"/>
      <c r="B704" s="8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</row>
    <row r="705" spans="1:36" ht="12.5">
      <c r="A705" s="5"/>
      <c r="B705" s="8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</row>
    <row r="706" spans="1:36" ht="12.5">
      <c r="A706" s="5"/>
      <c r="B706" s="8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</row>
    <row r="707" spans="1:36" ht="12.5">
      <c r="A707" s="5"/>
      <c r="B707" s="8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</row>
    <row r="708" spans="1:36" ht="12.5">
      <c r="A708" s="5"/>
      <c r="B708" s="8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</row>
    <row r="709" spans="1:36" ht="12.5">
      <c r="A709" s="5"/>
      <c r="B709" s="8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</row>
    <row r="710" spans="1:36" ht="12.5">
      <c r="A710" s="5"/>
      <c r="B710" s="8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</row>
    <row r="711" spans="1:36" ht="12.5">
      <c r="A711" s="5"/>
      <c r="B711" s="8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</row>
    <row r="712" spans="1:36" ht="12.5">
      <c r="A712" s="5"/>
      <c r="B712" s="8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</row>
    <row r="713" spans="1:36" ht="12.5">
      <c r="A713" s="5"/>
      <c r="B713" s="8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</row>
    <row r="714" spans="1:36" ht="12.5">
      <c r="A714" s="5"/>
      <c r="B714" s="8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</row>
    <row r="715" spans="1:36" ht="12.5">
      <c r="A715" s="5"/>
      <c r="B715" s="8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</row>
    <row r="716" spans="1:36" ht="12.5">
      <c r="A716" s="5"/>
      <c r="B716" s="8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</row>
    <row r="717" spans="1:36" ht="12.5">
      <c r="A717" s="5"/>
      <c r="B717" s="8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</row>
    <row r="718" spans="1:36" ht="12.5">
      <c r="A718" s="5"/>
      <c r="B718" s="8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</row>
    <row r="719" spans="1:36" ht="12.5">
      <c r="A719" s="5"/>
      <c r="B719" s="8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</row>
    <row r="720" spans="1:36" ht="12.5">
      <c r="A720" s="5"/>
      <c r="B720" s="8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</row>
    <row r="721" spans="1:36" ht="12.5">
      <c r="A721" s="5"/>
      <c r="B721" s="8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</row>
    <row r="722" spans="1:36" ht="12.5">
      <c r="A722" s="5"/>
      <c r="B722" s="8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</row>
    <row r="723" spans="1:36" ht="12.5">
      <c r="A723" s="5"/>
      <c r="B723" s="8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</row>
    <row r="724" spans="1:36" ht="12.5">
      <c r="A724" s="5"/>
      <c r="B724" s="8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</row>
    <row r="725" spans="1:36" ht="12.5">
      <c r="A725" s="5"/>
      <c r="B725" s="8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</row>
    <row r="726" spans="1:36" ht="12.5">
      <c r="A726" s="5"/>
      <c r="B726" s="8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</row>
    <row r="727" spans="1:36" ht="12.5">
      <c r="A727" s="5"/>
      <c r="B727" s="8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</row>
    <row r="728" spans="1:36" ht="12.5">
      <c r="A728" s="5"/>
      <c r="B728" s="8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</row>
    <row r="729" spans="1:36" ht="12.5">
      <c r="A729" s="5"/>
      <c r="B729" s="8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</row>
    <row r="730" spans="1:36" ht="12.5">
      <c r="A730" s="5"/>
      <c r="B730" s="8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</row>
    <row r="731" spans="1:36" ht="12.5">
      <c r="A731" s="5"/>
      <c r="B731" s="8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</row>
    <row r="732" spans="1:36" ht="12.5">
      <c r="A732" s="5"/>
      <c r="B732" s="8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</row>
    <row r="733" spans="1:36" ht="12.5">
      <c r="A733" s="5"/>
      <c r="B733" s="8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</row>
    <row r="734" spans="1:36" ht="12.5">
      <c r="A734" s="5"/>
      <c r="B734" s="8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</row>
    <row r="735" spans="1:36" ht="12.5">
      <c r="A735" s="5"/>
      <c r="B735" s="8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</row>
    <row r="736" spans="1:36" ht="12.5">
      <c r="A736" s="5"/>
      <c r="B736" s="8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</row>
    <row r="737" spans="1:36" ht="12.5">
      <c r="A737" s="5"/>
      <c r="B737" s="8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</row>
    <row r="738" spans="1:36" ht="12.5">
      <c r="A738" s="5"/>
      <c r="B738" s="8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</row>
    <row r="739" spans="1:36" ht="12.5">
      <c r="A739" s="5"/>
      <c r="B739" s="8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</row>
    <row r="740" spans="1:36" ht="12.5">
      <c r="A740" s="5"/>
      <c r="B740" s="8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</row>
    <row r="741" spans="1:36" ht="12.5">
      <c r="A741" s="5"/>
      <c r="B741" s="8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</row>
    <row r="742" spans="1:36" ht="12.5">
      <c r="A742" s="5"/>
      <c r="B742" s="8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</row>
    <row r="743" spans="1:36" ht="12.5">
      <c r="A743" s="5"/>
      <c r="B743" s="8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</row>
    <row r="744" spans="1:36" ht="12.5">
      <c r="A744" s="5"/>
      <c r="B744" s="8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</row>
    <row r="745" spans="1:36" ht="12.5">
      <c r="A745" s="5"/>
      <c r="B745" s="8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</row>
    <row r="746" spans="1:36" ht="12.5">
      <c r="A746" s="5"/>
      <c r="B746" s="8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</row>
    <row r="747" spans="1:36" ht="12.5">
      <c r="A747" s="5"/>
      <c r="B747" s="8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</row>
    <row r="748" spans="1:36" ht="12.5">
      <c r="A748" s="5"/>
      <c r="B748" s="8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</row>
    <row r="749" spans="1:36" ht="12.5">
      <c r="A749" s="5"/>
      <c r="B749" s="8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</row>
    <row r="750" spans="1:36" ht="12.5">
      <c r="A750" s="5"/>
      <c r="B750" s="8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</row>
    <row r="751" spans="1:36" ht="12.5">
      <c r="A751" s="5"/>
      <c r="B751" s="8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</row>
    <row r="752" spans="1:36" ht="12.5">
      <c r="A752" s="5"/>
      <c r="B752" s="8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</row>
    <row r="753" spans="1:36" ht="12.5">
      <c r="A753" s="5"/>
      <c r="B753" s="8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</row>
    <row r="754" spans="1:36" ht="12.5">
      <c r="A754" s="5"/>
      <c r="B754" s="8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</row>
    <row r="755" spans="1:36" ht="12.5">
      <c r="A755" s="5"/>
      <c r="B755" s="8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</row>
    <row r="756" spans="1:36" ht="12.5">
      <c r="A756" s="5"/>
      <c r="B756" s="8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</row>
    <row r="757" spans="1:36" ht="12.5">
      <c r="A757" s="5"/>
      <c r="B757" s="8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</row>
    <row r="758" spans="1:36" ht="12.5">
      <c r="A758" s="5"/>
      <c r="B758" s="8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</row>
    <row r="759" spans="1:36" ht="12.5">
      <c r="A759" s="5"/>
      <c r="B759" s="8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</row>
    <row r="760" spans="1:36" ht="12.5">
      <c r="A760" s="5"/>
      <c r="B760" s="8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</row>
    <row r="761" spans="1:36" ht="12.5">
      <c r="A761" s="5"/>
      <c r="B761" s="8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</row>
    <row r="762" spans="1:36" ht="12.5">
      <c r="A762" s="5"/>
      <c r="B762" s="8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</row>
    <row r="763" spans="1:36" ht="12.5">
      <c r="A763" s="5"/>
      <c r="B763" s="8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</row>
    <row r="764" spans="1:36" ht="12.5">
      <c r="A764" s="5"/>
      <c r="B764" s="8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</row>
    <row r="765" spans="1:36" ht="12.5">
      <c r="A765" s="5"/>
      <c r="B765" s="8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</row>
    <row r="766" spans="1:36" ht="12.5">
      <c r="A766" s="5"/>
      <c r="B766" s="8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</row>
    <row r="767" spans="1:36" ht="12.5">
      <c r="A767" s="5"/>
      <c r="B767" s="8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</row>
    <row r="768" spans="1:36" ht="12.5">
      <c r="A768" s="5"/>
      <c r="B768" s="8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</row>
    <row r="769" spans="1:36" ht="12.5">
      <c r="A769" s="5"/>
      <c r="B769" s="8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</row>
    <row r="770" spans="1:36" ht="12.5">
      <c r="A770" s="5"/>
      <c r="B770" s="8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</row>
    <row r="771" spans="1:36" ht="12.5">
      <c r="A771" s="5"/>
      <c r="B771" s="8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</row>
    <row r="772" spans="1:36" ht="12.5">
      <c r="A772" s="5"/>
      <c r="B772" s="8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</row>
    <row r="773" spans="1:36" ht="12.5">
      <c r="A773" s="5"/>
      <c r="B773" s="8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</row>
    <row r="774" spans="1:36" ht="12.5">
      <c r="A774" s="5"/>
      <c r="B774" s="8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</row>
    <row r="775" spans="1:36" ht="12.5">
      <c r="A775" s="5"/>
      <c r="B775" s="8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</row>
    <row r="776" spans="1:36" ht="12.5">
      <c r="A776" s="5"/>
      <c r="B776" s="8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</row>
    <row r="777" spans="1:36" ht="12.5">
      <c r="A777" s="5"/>
      <c r="B777" s="8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</row>
    <row r="778" spans="1:36" ht="12.5">
      <c r="A778" s="5"/>
      <c r="B778" s="8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</row>
    <row r="779" spans="1:36" ht="12.5">
      <c r="A779" s="5"/>
      <c r="B779" s="8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</row>
    <row r="780" spans="1:36" ht="12.5">
      <c r="A780" s="5"/>
      <c r="B780" s="8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</row>
    <row r="781" spans="1:36" ht="12.5">
      <c r="A781" s="5"/>
      <c r="B781" s="8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</row>
    <row r="782" spans="1:36" ht="12.5">
      <c r="A782" s="5"/>
      <c r="B782" s="8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</row>
    <row r="783" spans="1:36" ht="12.5">
      <c r="A783" s="5"/>
      <c r="B783" s="8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</row>
    <row r="784" spans="1:36" ht="12.5">
      <c r="A784" s="5"/>
      <c r="B784" s="8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</row>
    <row r="785" spans="1:36" ht="12.5">
      <c r="A785" s="5"/>
      <c r="B785" s="8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</row>
    <row r="786" spans="1:36" ht="12.5">
      <c r="A786" s="5"/>
      <c r="B786" s="8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</row>
    <row r="787" spans="1:36" ht="12.5">
      <c r="A787" s="5"/>
      <c r="B787" s="8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</row>
    <row r="788" spans="1:36" ht="12.5">
      <c r="A788" s="5"/>
      <c r="B788" s="8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</row>
    <row r="789" spans="1:36" ht="12.5">
      <c r="A789" s="5"/>
      <c r="B789" s="8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</row>
    <row r="790" spans="1:36" ht="12.5">
      <c r="A790" s="5"/>
      <c r="B790" s="8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</row>
    <row r="791" spans="1:36" ht="12.5">
      <c r="A791" s="5"/>
      <c r="B791" s="8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</row>
    <row r="792" spans="1:36" ht="12.5">
      <c r="A792" s="5"/>
      <c r="B792" s="8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</row>
    <row r="793" spans="1:36" ht="12.5">
      <c r="A793" s="5"/>
      <c r="B793" s="8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</row>
    <row r="794" spans="1:36" ht="12.5">
      <c r="A794" s="5"/>
      <c r="B794" s="8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</row>
    <row r="795" spans="1:36" ht="12.5">
      <c r="A795" s="5"/>
      <c r="B795" s="8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</row>
    <row r="796" spans="1:36" ht="12.5">
      <c r="A796" s="5"/>
      <c r="B796" s="8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</row>
    <row r="797" spans="1:36" ht="12.5">
      <c r="A797" s="5"/>
      <c r="B797" s="8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</row>
    <row r="798" spans="1:36" ht="12.5">
      <c r="A798" s="5"/>
      <c r="B798" s="8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</row>
    <row r="799" spans="1:36" ht="12.5">
      <c r="A799" s="5"/>
      <c r="B799" s="8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</row>
    <row r="800" spans="1:36" ht="12.5">
      <c r="A800" s="5"/>
      <c r="B800" s="8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</row>
    <row r="801" spans="1:36" ht="12.5">
      <c r="A801" s="5"/>
      <c r="B801" s="8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</row>
    <row r="802" spans="1:36" ht="12.5">
      <c r="A802" s="5"/>
      <c r="B802" s="8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</row>
    <row r="803" spans="1:36" ht="12.5">
      <c r="A803" s="5"/>
      <c r="B803" s="8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</row>
    <row r="804" spans="1:36" ht="12.5">
      <c r="A804" s="5"/>
      <c r="B804" s="8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</row>
    <row r="805" spans="1:36" ht="12.5">
      <c r="A805" s="5"/>
      <c r="B805" s="8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</row>
    <row r="806" spans="1:36" ht="12.5">
      <c r="A806" s="5"/>
      <c r="B806" s="8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</row>
    <row r="807" spans="1:36" ht="12.5">
      <c r="A807" s="5"/>
      <c r="B807" s="8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</row>
    <row r="808" spans="1:36" ht="12.5">
      <c r="A808" s="5"/>
      <c r="B808" s="8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</row>
    <row r="809" spans="1:36" ht="12.5">
      <c r="A809" s="5"/>
      <c r="B809" s="8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</row>
    <row r="810" spans="1:36" ht="12.5">
      <c r="A810" s="5"/>
      <c r="B810" s="8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</row>
    <row r="811" spans="1:36" ht="12.5">
      <c r="A811" s="5"/>
      <c r="B811" s="8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</row>
    <row r="812" spans="1:36" ht="12.5">
      <c r="A812" s="5"/>
      <c r="B812" s="8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</row>
    <row r="813" spans="1:36" ht="12.5">
      <c r="A813" s="5"/>
      <c r="B813" s="8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</row>
    <row r="814" spans="1:36" ht="12.5">
      <c r="A814" s="5"/>
      <c r="B814" s="8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</row>
    <row r="815" spans="1:36" ht="12.5">
      <c r="A815" s="5"/>
      <c r="B815" s="8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</row>
    <row r="816" spans="1:36" ht="12.5">
      <c r="A816" s="5"/>
      <c r="B816" s="8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</row>
    <row r="817" spans="1:36" ht="12.5">
      <c r="A817" s="5"/>
      <c r="B817" s="8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</row>
    <row r="818" spans="1:36" ht="12.5">
      <c r="A818" s="5"/>
      <c r="B818" s="8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</row>
    <row r="819" spans="1:36" ht="12.5">
      <c r="A819" s="5"/>
      <c r="B819" s="8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</row>
    <row r="820" spans="1:36" ht="12.5">
      <c r="A820" s="5"/>
      <c r="B820" s="8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</row>
    <row r="821" spans="1:36" ht="12.5">
      <c r="A821" s="5"/>
      <c r="B821" s="8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</row>
    <row r="822" spans="1:36" ht="12.5">
      <c r="A822" s="5"/>
      <c r="B822" s="8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</row>
    <row r="823" spans="1:36" ht="12.5">
      <c r="A823" s="5"/>
      <c r="B823" s="8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</row>
    <row r="824" spans="1:36" ht="12.5">
      <c r="A824" s="5"/>
      <c r="B824" s="8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</row>
    <row r="825" spans="1:36" ht="12.5">
      <c r="A825" s="5"/>
      <c r="B825" s="8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</row>
    <row r="826" spans="1:36" ht="12.5">
      <c r="A826" s="5"/>
      <c r="B826" s="8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</row>
    <row r="827" spans="1:36" ht="12.5">
      <c r="A827" s="5"/>
      <c r="B827" s="8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</row>
    <row r="828" spans="1:36" ht="12.5">
      <c r="A828" s="5"/>
      <c r="B828" s="8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</row>
    <row r="829" spans="1:36" ht="12.5">
      <c r="A829" s="5"/>
      <c r="B829" s="8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</row>
    <row r="830" spans="1:36" ht="12.5">
      <c r="A830" s="5"/>
      <c r="B830" s="8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</row>
    <row r="831" spans="1:36" ht="12.5">
      <c r="A831" s="5"/>
      <c r="B831" s="8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</row>
    <row r="832" spans="1:36" ht="12.5">
      <c r="A832" s="5"/>
      <c r="B832" s="8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</row>
    <row r="833" spans="1:36" ht="12.5">
      <c r="A833" s="5"/>
      <c r="B833" s="8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</row>
    <row r="834" spans="1:36" ht="12.5">
      <c r="A834" s="5"/>
      <c r="B834" s="8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</row>
    <row r="835" spans="1:36" ht="12.5">
      <c r="A835" s="5"/>
      <c r="B835" s="8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</row>
    <row r="836" spans="1:36" ht="12.5">
      <c r="A836" s="5"/>
      <c r="B836" s="8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</row>
    <row r="837" spans="1:36" ht="12.5">
      <c r="A837" s="5"/>
      <c r="B837" s="8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</row>
    <row r="838" spans="1:36" ht="12.5">
      <c r="A838" s="5"/>
      <c r="B838" s="8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</row>
    <row r="839" spans="1:36" ht="12.5">
      <c r="A839" s="5"/>
      <c r="B839" s="8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</row>
    <row r="840" spans="1:36" ht="12.5">
      <c r="A840" s="5"/>
      <c r="B840" s="8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</row>
    <row r="841" spans="1:36" ht="12.5">
      <c r="A841" s="5"/>
      <c r="B841" s="8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</row>
    <row r="842" spans="1:36" ht="12.5">
      <c r="A842" s="5"/>
      <c r="B842" s="8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</row>
    <row r="843" spans="1:36" ht="12.5">
      <c r="A843" s="5"/>
      <c r="B843" s="8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</row>
    <row r="844" spans="1:36" ht="12.5">
      <c r="A844" s="5"/>
      <c r="B844" s="8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</row>
    <row r="845" spans="1:36" ht="12.5">
      <c r="A845" s="5"/>
      <c r="B845" s="8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</row>
    <row r="846" spans="1:36" ht="12.5">
      <c r="A846" s="5"/>
      <c r="B846" s="8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</row>
    <row r="847" spans="1:36" ht="12.5">
      <c r="A847" s="5"/>
      <c r="B847" s="8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</row>
    <row r="848" spans="1:36" ht="12.5">
      <c r="A848" s="5"/>
      <c r="B848" s="8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</row>
    <row r="849" spans="1:36" ht="12.5">
      <c r="A849" s="5"/>
      <c r="B849" s="8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</row>
    <row r="850" spans="1:36" ht="12.5">
      <c r="A850" s="5"/>
      <c r="B850" s="8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</row>
    <row r="851" spans="1:36" ht="12.5">
      <c r="A851" s="5"/>
      <c r="B851" s="8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</row>
    <row r="852" spans="1:36" ht="12.5">
      <c r="A852" s="5"/>
      <c r="B852" s="8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</row>
    <row r="853" spans="1:36" ht="12.5">
      <c r="A853" s="5"/>
      <c r="B853" s="8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</row>
    <row r="854" spans="1:36" ht="12.5">
      <c r="A854" s="5"/>
      <c r="B854" s="8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</row>
    <row r="855" spans="1:36" ht="12.5">
      <c r="A855" s="5"/>
      <c r="B855" s="8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</row>
    <row r="856" spans="1:36" ht="12.5">
      <c r="A856" s="5"/>
      <c r="B856" s="8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</row>
    <row r="857" spans="1:36" ht="12.5">
      <c r="A857" s="5"/>
      <c r="B857" s="8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</row>
    <row r="858" spans="1:36" ht="12.5">
      <c r="A858" s="5"/>
      <c r="B858" s="8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</row>
    <row r="859" spans="1:36" ht="12.5">
      <c r="A859" s="5"/>
      <c r="B859" s="8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</row>
    <row r="860" spans="1:36" ht="12.5">
      <c r="A860" s="5"/>
      <c r="B860" s="8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</row>
    <row r="861" spans="1:36" ht="12.5">
      <c r="A861" s="5"/>
      <c r="B861" s="8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</row>
    <row r="862" spans="1:36" ht="12.5">
      <c r="A862" s="5"/>
      <c r="B862" s="8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</row>
    <row r="863" spans="1:36" ht="12.5">
      <c r="A863" s="5"/>
      <c r="B863" s="8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</row>
    <row r="864" spans="1:36" ht="12.5">
      <c r="A864" s="5"/>
      <c r="B864" s="8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</row>
    <row r="865" spans="1:36" ht="12.5">
      <c r="A865" s="5"/>
      <c r="B865" s="8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</row>
    <row r="866" spans="1:36" ht="12.5">
      <c r="A866" s="5"/>
      <c r="B866" s="8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</row>
    <row r="867" spans="1:36" ht="12.5">
      <c r="A867" s="5"/>
      <c r="B867" s="8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</row>
    <row r="868" spans="1:36" ht="12.5">
      <c r="A868" s="5"/>
      <c r="B868" s="8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</row>
    <row r="869" spans="1:36" ht="12.5">
      <c r="A869" s="5"/>
      <c r="B869" s="8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</row>
    <row r="870" spans="1:36" ht="12.5">
      <c r="A870" s="5"/>
      <c r="B870" s="8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</row>
    <row r="871" spans="1:36" ht="12.5">
      <c r="A871" s="5"/>
      <c r="B871" s="8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</row>
    <row r="872" spans="1:36" ht="12.5">
      <c r="A872" s="5"/>
      <c r="B872" s="8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</row>
    <row r="873" spans="1:36" ht="12.5">
      <c r="A873" s="5"/>
      <c r="B873" s="8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</row>
    <row r="874" spans="1:36" ht="12.5">
      <c r="A874" s="5"/>
      <c r="B874" s="8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</row>
    <row r="875" spans="1:36" ht="12.5">
      <c r="A875" s="5"/>
      <c r="B875" s="8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</row>
    <row r="876" spans="1:36" ht="12.5">
      <c r="A876" s="5"/>
      <c r="B876" s="8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</row>
    <row r="877" spans="1:36" ht="12.5">
      <c r="A877" s="5"/>
      <c r="B877" s="8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</row>
    <row r="878" spans="1:36" ht="12.5">
      <c r="A878" s="5"/>
      <c r="B878" s="8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</row>
    <row r="879" spans="1:36" ht="12.5">
      <c r="A879" s="5"/>
      <c r="B879" s="8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</row>
    <row r="880" spans="1:36" ht="12.5">
      <c r="A880" s="5"/>
      <c r="B880" s="8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</row>
    <row r="881" spans="1:36" ht="12.5">
      <c r="A881" s="5"/>
      <c r="B881" s="8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</row>
    <row r="882" spans="1:36" ht="12.5">
      <c r="A882" s="5"/>
      <c r="B882" s="8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</row>
    <row r="883" spans="1:36" ht="12.5">
      <c r="A883" s="5"/>
      <c r="B883" s="8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</row>
    <row r="884" spans="1:36" ht="12.5">
      <c r="A884" s="5"/>
      <c r="B884" s="8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</row>
    <row r="885" spans="1:36" ht="12.5">
      <c r="A885" s="5"/>
      <c r="B885" s="8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</row>
    <row r="886" spans="1:36" ht="12.5">
      <c r="A886" s="5"/>
      <c r="B886" s="8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</row>
    <row r="887" spans="1:36" ht="12.5">
      <c r="A887" s="5"/>
      <c r="B887" s="8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</row>
    <row r="888" spans="1:36" ht="12.5">
      <c r="A888" s="5"/>
      <c r="B888" s="8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</row>
    <row r="889" spans="1:36" ht="12.5">
      <c r="A889" s="5"/>
      <c r="B889" s="8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</row>
    <row r="890" spans="1:36" ht="12.5">
      <c r="A890" s="5"/>
      <c r="B890" s="8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</row>
    <row r="891" spans="1:36" ht="12.5">
      <c r="A891" s="5"/>
      <c r="B891" s="8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</row>
    <row r="892" spans="1:36" ht="12.5">
      <c r="A892" s="5"/>
      <c r="B892" s="8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</row>
    <row r="893" spans="1:36" ht="12.5">
      <c r="A893" s="5"/>
      <c r="B893" s="8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</row>
    <row r="894" spans="1:36" ht="12.5">
      <c r="A894" s="5"/>
      <c r="B894" s="8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</row>
    <row r="895" spans="1:36" ht="12.5">
      <c r="A895" s="5"/>
      <c r="B895" s="8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</row>
    <row r="896" spans="1:36" ht="12.5">
      <c r="A896" s="5"/>
      <c r="B896" s="8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</row>
    <row r="897" spans="1:36" ht="12.5">
      <c r="A897" s="5"/>
      <c r="B897" s="8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</row>
    <row r="898" spans="1:36" ht="12.5">
      <c r="A898" s="5"/>
      <c r="B898" s="8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</row>
    <row r="899" spans="1:36" ht="12.5">
      <c r="A899" s="5"/>
      <c r="B899" s="8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</row>
    <row r="900" spans="1:36" ht="12.5">
      <c r="A900" s="5"/>
      <c r="B900" s="8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</row>
    <row r="901" spans="1:36" ht="12.5">
      <c r="A901" s="5"/>
      <c r="B901" s="8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</row>
    <row r="902" spans="1:36" ht="12.5">
      <c r="A902" s="5"/>
      <c r="B902" s="8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</row>
    <row r="903" spans="1:36" ht="12.5">
      <c r="A903" s="5"/>
      <c r="B903" s="8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</row>
    <row r="904" spans="1:36" ht="12.5">
      <c r="A904" s="5"/>
      <c r="B904" s="8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</row>
    <row r="905" spans="1:36" ht="12.5">
      <c r="A905" s="5"/>
      <c r="B905" s="8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</row>
    <row r="906" spans="1:36" ht="12.5">
      <c r="A906" s="5"/>
      <c r="B906" s="8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</row>
    <row r="907" spans="1:36" ht="12.5">
      <c r="A907" s="5"/>
      <c r="B907" s="8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</row>
    <row r="908" spans="1:36" ht="12.5">
      <c r="A908" s="5"/>
      <c r="B908" s="8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</row>
    <row r="909" spans="1:36" ht="12.5">
      <c r="A909" s="5"/>
      <c r="B909" s="8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</row>
    <row r="910" spans="1:36" ht="12.5">
      <c r="A910" s="5"/>
      <c r="B910" s="8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</row>
    <row r="911" spans="1:36" ht="12.5">
      <c r="A911" s="5"/>
      <c r="B911" s="8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</row>
    <row r="912" spans="1:36" ht="12.5">
      <c r="A912" s="5"/>
      <c r="B912" s="8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</row>
    <row r="913" spans="1:36" ht="12.5">
      <c r="A913" s="5"/>
      <c r="B913" s="8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</row>
    <row r="914" spans="1:36" ht="12.5">
      <c r="A914" s="5"/>
      <c r="B914" s="8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</row>
    <row r="915" spans="1:36" ht="12.5">
      <c r="A915" s="5"/>
      <c r="B915" s="8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</row>
    <row r="916" spans="1:36" ht="12.5">
      <c r="A916" s="5"/>
      <c r="B916" s="8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</row>
    <row r="917" spans="1:36" ht="12.5">
      <c r="A917" s="5"/>
      <c r="B917" s="8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</row>
    <row r="918" spans="1:36" ht="12.5">
      <c r="A918" s="5"/>
      <c r="B918" s="8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</row>
    <row r="919" spans="1:36" ht="12.5">
      <c r="A919" s="5"/>
      <c r="B919" s="8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</row>
    <row r="920" spans="1:36" ht="12.5">
      <c r="A920" s="5"/>
      <c r="B920" s="8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</row>
    <row r="921" spans="1:36" ht="12.5">
      <c r="A921" s="5"/>
      <c r="B921" s="8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</row>
    <row r="922" spans="1:36" ht="12.5">
      <c r="A922" s="5"/>
      <c r="B922" s="8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</row>
    <row r="923" spans="1:36" ht="12.5">
      <c r="A923" s="5"/>
      <c r="B923" s="8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</row>
    <row r="924" spans="1:36" ht="12.5">
      <c r="A924" s="5"/>
      <c r="B924" s="8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</row>
    <row r="925" spans="1:36" ht="12.5">
      <c r="A925" s="5"/>
      <c r="B925" s="8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</row>
    <row r="926" spans="1:36" ht="12.5">
      <c r="A926" s="5"/>
      <c r="B926" s="8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</row>
    <row r="927" spans="1:36" ht="12.5">
      <c r="A927" s="5"/>
      <c r="B927" s="8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</row>
    <row r="928" spans="1:36" ht="12.5">
      <c r="A928" s="5"/>
      <c r="B928" s="8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</row>
    <row r="929" spans="1:36" ht="12.5">
      <c r="A929" s="5"/>
      <c r="B929" s="8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</row>
    <row r="930" spans="1:36" ht="12.5">
      <c r="A930" s="5"/>
      <c r="B930" s="8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</row>
    <row r="931" spans="1:36" ht="12.5">
      <c r="A931" s="5"/>
      <c r="B931" s="8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</row>
    <row r="932" spans="1:36" ht="12.5">
      <c r="A932" s="5"/>
      <c r="B932" s="8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</row>
    <row r="933" spans="1:36" ht="12.5">
      <c r="A933" s="5"/>
      <c r="B933" s="8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</row>
    <row r="934" spans="1:36" ht="12.5">
      <c r="A934" s="5"/>
      <c r="B934" s="8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</row>
    <row r="935" spans="1:36" ht="12.5">
      <c r="A935" s="5"/>
      <c r="B935" s="8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</row>
    <row r="936" spans="1:36" ht="12.5">
      <c r="A936" s="5"/>
      <c r="B936" s="8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</row>
    <row r="937" spans="1:36" ht="12.5">
      <c r="A937" s="5"/>
      <c r="B937" s="8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</row>
    <row r="938" spans="1:36" ht="12.5">
      <c r="A938" s="5"/>
      <c r="B938" s="8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</row>
    <row r="939" spans="1:36" ht="12.5">
      <c r="A939" s="5"/>
      <c r="B939" s="8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</row>
    <row r="940" spans="1:36" ht="12.5">
      <c r="A940" s="5"/>
      <c r="B940" s="8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</row>
    <row r="941" spans="1:36" ht="12.5">
      <c r="A941" s="5"/>
      <c r="B941" s="8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</row>
    <row r="942" spans="1:36" ht="12.5">
      <c r="A942" s="5"/>
      <c r="B942" s="8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</row>
    <row r="943" spans="1:36" ht="12.5">
      <c r="A943" s="5"/>
      <c r="B943" s="8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</row>
    <row r="944" spans="1:36" ht="12.5">
      <c r="A944" s="5"/>
      <c r="B944" s="8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</row>
    <row r="945" spans="1:36" ht="12.5">
      <c r="A945" s="5"/>
      <c r="B945" s="8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</row>
    <row r="946" spans="1:36" ht="12.5">
      <c r="A946" s="5"/>
      <c r="B946" s="8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</row>
    <row r="947" spans="1:36" ht="12.5">
      <c r="A947" s="5"/>
      <c r="B947" s="8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</row>
    <row r="948" spans="1:36" ht="12.5">
      <c r="A948" s="5"/>
      <c r="B948" s="8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</row>
    <row r="949" spans="1:36" ht="12.5">
      <c r="A949" s="5"/>
      <c r="B949" s="8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</row>
    <row r="950" spans="1:36" ht="12.5">
      <c r="A950" s="5"/>
      <c r="B950" s="8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</row>
    <row r="951" spans="1:36" ht="12.5">
      <c r="A951" s="5"/>
      <c r="B951" s="8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</row>
    <row r="952" spans="1:36" ht="12.5">
      <c r="A952" s="5"/>
      <c r="B952" s="8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</row>
    <row r="953" spans="1:36" ht="12.5">
      <c r="A953" s="5"/>
      <c r="B953" s="8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</row>
    <row r="954" spans="1:36" ht="12.5">
      <c r="A954" s="5"/>
      <c r="B954" s="8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</row>
    <row r="955" spans="1:36" ht="12.5">
      <c r="A955" s="5"/>
      <c r="B955" s="8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</row>
    <row r="956" spans="1:36" ht="12.5">
      <c r="A956" s="5"/>
      <c r="B956" s="8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</row>
    <row r="957" spans="1:36" ht="12.5">
      <c r="A957" s="5"/>
      <c r="B957" s="8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</row>
    <row r="958" spans="1:36" ht="12.5">
      <c r="A958" s="5"/>
      <c r="B958" s="8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</row>
    <row r="959" spans="1:36" ht="12.5">
      <c r="A959" s="5"/>
      <c r="B959" s="8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</row>
    <row r="960" spans="1:36" ht="12.5">
      <c r="A960" s="5"/>
      <c r="B960" s="8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</row>
    <row r="961" spans="1:36" ht="12.5">
      <c r="A961" s="5"/>
      <c r="B961" s="8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</row>
    <row r="962" spans="1:36" ht="12.5">
      <c r="A962" s="5"/>
      <c r="B962" s="8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</row>
    <row r="963" spans="1:36" ht="12.5">
      <c r="A963" s="5"/>
      <c r="B963" s="8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</row>
    <row r="964" spans="1:36" ht="12.5">
      <c r="A964" s="5"/>
      <c r="B964" s="8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</row>
    <row r="965" spans="1:36" ht="12.5">
      <c r="A965" s="5"/>
      <c r="B965" s="8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</row>
    <row r="966" spans="1:36" ht="12.5">
      <c r="A966" s="5"/>
      <c r="B966" s="8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</row>
    <row r="967" spans="1:36" ht="12.5">
      <c r="A967" s="5"/>
      <c r="B967" s="8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</row>
    <row r="968" spans="1:36" ht="12.5">
      <c r="A968" s="5"/>
      <c r="B968" s="8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</row>
    <row r="969" spans="1:36" ht="12.5">
      <c r="A969" s="5"/>
      <c r="B969" s="8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</row>
    <row r="970" spans="1:36" ht="12.5">
      <c r="A970" s="5"/>
      <c r="B970" s="8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</row>
    <row r="971" spans="1:36" ht="12.5">
      <c r="A971" s="5"/>
      <c r="B971" s="8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</row>
    <row r="972" spans="1:36" ht="12.5">
      <c r="A972" s="5"/>
      <c r="B972" s="8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</row>
    <row r="973" spans="1:36" ht="12.5">
      <c r="A973" s="5"/>
      <c r="B973" s="8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</row>
    <row r="974" spans="1:36" ht="12.5">
      <c r="A974" s="5"/>
      <c r="B974" s="8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</row>
    <row r="975" spans="1:36" ht="12.5">
      <c r="A975" s="5"/>
      <c r="B975" s="8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</row>
    <row r="976" spans="1:36" ht="12.5">
      <c r="A976" s="5"/>
      <c r="B976" s="8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</row>
    <row r="977" spans="1:36" ht="12.5">
      <c r="A977" s="5"/>
      <c r="B977" s="8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</row>
    <row r="978" spans="1:36" ht="12.5">
      <c r="A978" s="5"/>
      <c r="B978" s="8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</row>
    <row r="979" spans="1:36" ht="12.5">
      <c r="A979" s="5"/>
      <c r="B979" s="8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</row>
    <row r="980" spans="1:36" ht="12.5">
      <c r="A980" s="5"/>
      <c r="B980" s="8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</row>
    <row r="981" spans="1:36" ht="12.5">
      <c r="A981" s="5"/>
      <c r="B981" s="8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</row>
    <row r="982" spans="1:36" ht="12.5">
      <c r="A982" s="5"/>
      <c r="B982" s="8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</row>
    <row r="983" spans="1:36" ht="12.5">
      <c r="A983" s="5"/>
      <c r="B983" s="8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</row>
    <row r="984" spans="1:36" ht="12.5">
      <c r="A984" s="5"/>
      <c r="B984" s="8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</row>
    <row r="985" spans="1:36" ht="12.5">
      <c r="A985" s="5"/>
      <c r="B985" s="8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</row>
    <row r="986" spans="1:36" ht="12.5">
      <c r="A986" s="5"/>
      <c r="B986" s="8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</row>
    <row r="987" spans="1:36" ht="12.5">
      <c r="A987" s="5"/>
      <c r="B987" s="8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</row>
    <row r="988" spans="1:36" ht="12.5">
      <c r="A988" s="5"/>
      <c r="B988" s="8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</row>
    <row r="989" spans="1:36" ht="12.5">
      <c r="A989" s="5"/>
      <c r="B989" s="8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</row>
  </sheetData>
  <mergeCells count="43">
    <mergeCell ref="C23:C28"/>
    <mergeCell ref="D28:E28"/>
    <mergeCell ref="B9:B19"/>
    <mergeCell ref="C9:C19"/>
    <mergeCell ref="D19:E19"/>
    <mergeCell ref="B20:B22"/>
    <mergeCell ref="C20:C22"/>
    <mergeCell ref="D22:E22"/>
    <mergeCell ref="B23:B28"/>
    <mergeCell ref="T6:T8"/>
    <mergeCell ref="U6:U8"/>
    <mergeCell ref="H7:I7"/>
    <mergeCell ref="J7:K7"/>
    <mergeCell ref="B5:C5"/>
    <mergeCell ref="B6:B8"/>
    <mergeCell ref="C6:C8"/>
    <mergeCell ref="D6:D8"/>
    <mergeCell ref="E6:E8"/>
    <mergeCell ref="F6:F8"/>
    <mergeCell ref="G6:G8"/>
    <mergeCell ref="L7:M7"/>
    <mergeCell ref="N7:O7"/>
    <mergeCell ref="P7:Q7"/>
    <mergeCell ref="R7:S7"/>
    <mergeCell ref="H6:K6"/>
    <mergeCell ref="L6:O6"/>
    <mergeCell ref="P6:S6"/>
    <mergeCell ref="B2:U2"/>
    <mergeCell ref="N3:P3"/>
    <mergeCell ref="Q3:S3"/>
    <mergeCell ref="T3:U3"/>
    <mergeCell ref="N4:P4"/>
    <mergeCell ref="Q4:S4"/>
    <mergeCell ref="T4:U4"/>
    <mergeCell ref="B29:B35"/>
    <mergeCell ref="C29:C35"/>
    <mergeCell ref="D35:E35"/>
    <mergeCell ref="B36:B40"/>
    <mergeCell ref="C36:C40"/>
    <mergeCell ref="D40:E40"/>
    <mergeCell ref="C41:C45"/>
    <mergeCell ref="D45:E45"/>
    <mergeCell ref="B41:B45"/>
  </mergeCells>
  <phoneticPr fontId="64" type="noConversion"/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AJ992"/>
  <sheetViews>
    <sheetView workbookViewId="0">
      <selection activeCell="U12" sqref="U12"/>
    </sheetView>
  </sheetViews>
  <sheetFormatPr defaultColWidth="12.6328125" defaultRowHeight="15.75" customHeight="1"/>
  <cols>
    <col min="1" max="1" width="4" customWidth="1"/>
    <col min="3" max="3" width="5.08984375" customWidth="1"/>
    <col min="4" max="4" width="27.36328125" customWidth="1"/>
    <col min="5" max="5" width="16.7265625" customWidth="1"/>
    <col min="6" max="6" width="5.6328125" customWidth="1"/>
    <col min="7" max="7" width="4.6328125" customWidth="1"/>
    <col min="8" max="19" width="7.08984375" customWidth="1"/>
    <col min="20" max="21" width="7.26953125" customWidth="1"/>
    <col min="23" max="23" width="16.6328125" customWidth="1"/>
    <col min="24" max="24" width="6.7265625" customWidth="1"/>
    <col min="25" max="36" width="2.6328125" customWidth="1"/>
  </cols>
  <sheetData>
    <row r="1" spans="1:36" ht="15.75" customHeight="1">
      <c r="A1" s="163"/>
      <c r="B1" s="163"/>
      <c r="C1" s="163"/>
      <c r="D1" s="163"/>
      <c r="E1" s="169"/>
      <c r="F1" s="169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5.75" customHeight="1">
      <c r="A2" s="163"/>
      <c r="B2" s="262" t="s">
        <v>1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5.75" customHeight="1">
      <c r="A3" s="16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263" t="s">
        <v>2</v>
      </c>
      <c r="O3" s="211"/>
      <c r="P3" s="207"/>
      <c r="Q3" s="263" t="s">
        <v>3</v>
      </c>
      <c r="R3" s="211"/>
      <c r="S3" s="207"/>
      <c r="T3" s="263" t="s">
        <v>4</v>
      </c>
      <c r="U3" s="207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41" customHeight="1">
      <c r="A4" s="16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264" t="s">
        <v>5</v>
      </c>
      <c r="O4" s="211"/>
      <c r="P4" s="207"/>
      <c r="Q4" s="248" t="s">
        <v>534</v>
      </c>
      <c r="R4" s="211"/>
      <c r="S4" s="207"/>
      <c r="T4" s="265">
        <v>2027</v>
      </c>
      <c r="U4" s="207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5.75" customHeight="1">
      <c r="A5" s="163"/>
      <c r="B5" s="269"/>
      <c r="C5" s="226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5.75" customHeight="1">
      <c r="A6" s="163"/>
      <c r="B6" s="254" t="s">
        <v>8</v>
      </c>
      <c r="C6" s="254" t="s">
        <v>9</v>
      </c>
      <c r="D6" s="254" t="s">
        <v>10</v>
      </c>
      <c r="E6" s="254" t="s">
        <v>11</v>
      </c>
      <c r="F6" s="254" t="s">
        <v>12</v>
      </c>
      <c r="G6" s="301" t="s">
        <v>13</v>
      </c>
      <c r="H6" s="251" t="s">
        <v>14</v>
      </c>
      <c r="I6" s="211"/>
      <c r="J6" s="211"/>
      <c r="K6" s="207"/>
      <c r="L6" s="251" t="s">
        <v>15</v>
      </c>
      <c r="M6" s="211"/>
      <c r="N6" s="211"/>
      <c r="O6" s="207"/>
      <c r="P6" s="251" t="s">
        <v>16</v>
      </c>
      <c r="Q6" s="211"/>
      <c r="R6" s="211"/>
      <c r="S6" s="207"/>
      <c r="T6" s="252" t="s">
        <v>536</v>
      </c>
      <c r="U6" s="252" t="s">
        <v>18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5.75" customHeight="1">
      <c r="A7" s="163"/>
      <c r="B7" s="213"/>
      <c r="C7" s="213"/>
      <c r="D7" s="213"/>
      <c r="E7" s="213"/>
      <c r="F7" s="213"/>
      <c r="G7" s="302"/>
      <c r="H7" s="250" t="s">
        <v>19</v>
      </c>
      <c r="I7" s="207"/>
      <c r="J7" s="250" t="s">
        <v>20</v>
      </c>
      <c r="K7" s="207"/>
      <c r="L7" s="250" t="s">
        <v>19</v>
      </c>
      <c r="M7" s="207"/>
      <c r="N7" s="250" t="s">
        <v>20</v>
      </c>
      <c r="O7" s="207"/>
      <c r="P7" s="250" t="s">
        <v>19</v>
      </c>
      <c r="Q7" s="207"/>
      <c r="R7" s="250" t="s">
        <v>20</v>
      </c>
      <c r="S7" s="207"/>
      <c r="T7" s="213"/>
      <c r="U7" s="21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5.75" customHeight="1">
      <c r="A8" s="163"/>
      <c r="B8" s="209"/>
      <c r="C8" s="209"/>
      <c r="D8" s="209"/>
      <c r="E8" s="209"/>
      <c r="F8" s="209"/>
      <c r="G8" s="303"/>
      <c r="H8" s="304" t="s">
        <v>21</v>
      </c>
      <c r="I8" s="304" t="s">
        <v>22</v>
      </c>
      <c r="J8" s="304" t="s">
        <v>21</v>
      </c>
      <c r="K8" s="304" t="s">
        <v>22</v>
      </c>
      <c r="L8" s="304" t="s">
        <v>21</v>
      </c>
      <c r="M8" s="304" t="s">
        <v>22</v>
      </c>
      <c r="N8" s="304" t="s">
        <v>21</v>
      </c>
      <c r="O8" s="304" t="s">
        <v>22</v>
      </c>
      <c r="P8" s="304" t="s">
        <v>21</v>
      </c>
      <c r="Q8" s="304" t="s">
        <v>22</v>
      </c>
      <c r="R8" s="304" t="s">
        <v>21</v>
      </c>
      <c r="S8" s="304" t="s">
        <v>22</v>
      </c>
      <c r="T8" s="209"/>
      <c r="U8" s="209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15.75" customHeight="1">
      <c r="A9" s="168" t="s">
        <v>342</v>
      </c>
      <c r="B9" s="259" t="s">
        <v>343</v>
      </c>
      <c r="C9" s="259">
        <v>8</v>
      </c>
      <c r="D9" s="8" t="s">
        <v>24</v>
      </c>
      <c r="E9" s="8" t="s">
        <v>25</v>
      </c>
      <c r="F9" s="8">
        <v>16</v>
      </c>
      <c r="G9" s="9">
        <v>3</v>
      </c>
      <c r="H9" s="9">
        <v>1</v>
      </c>
      <c r="I9" s="176">
        <f t="shared" ref="I9:I12" si="0">H9*16</f>
        <v>16</v>
      </c>
      <c r="J9" s="10"/>
      <c r="K9" s="10"/>
      <c r="L9" s="11"/>
      <c r="M9" s="11"/>
      <c r="N9" s="11"/>
      <c r="O9" s="11"/>
      <c r="P9" s="11"/>
      <c r="Q9" s="11"/>
      <c r="R9" s="11"/>
      <c r="S9" s="11"/>
      <c r="T9" s="12">
        <f t="shared" ref="T9:U9" si="1">SUM(R9,P9,N9,L9,J9,H9)</f>
        <v>1</v>
      </c>
      <c r="U9" s="12">
        <f t="shared" si="1"/>
        <v>16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5.75" customHeight="1">
      <c r="A10" s="163"/>
      <c r="B10" s="213"/>
      <c r="C10" s="213"/>
      <c r="D10" s="13" t="s">
        <v>26</v>
      </c>
      <c r="E10" s="13" t="s">
        <v>27</v>
      </c>
      <c r="F10" s="8">
        <v>16</v>
      </c>
      <c r="G10" s="9">
        <v>3</v>
      </c>
      <c r="H10" s="9">
        <v>1</v>
      </c>
      <c r="I10" s="176">
        <f t="shared" si="0"/>
        <v>16</v>
      </c>
      <c r="J10" s="10"/>
      <c r="K10" s="10"/>
      <c r="L10" s="11"/>
      <c r="M10" s="11"/>
      <c r="N10" s="11"/>
      <c r="O10" s="11"/>
      <c r="P10" s="11"/>
      <c r="Q10" s="11"/>
      <c r="R10" s="11"/>
      <c r="S10" s="11"/>
      <c r="T10" s="12">
        <f t="shared" ref="T10:U10" si="2">SUM(R10,P10,N10,L10,J10,H10)</f>
        <v>1</v>
      </c>
      <c r="U10" s="12">
        <f t="shared" si="2"/>
        <v>16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5.75" customHeight="1">
      <c r="A11" s="163"/>
      <c r="B11" s="213"/>
      <c r="C11" s="213"/>
      <c r="D11" s="13" t="s">
        <v>28</v>
      </c>
      <c r="E11" s="13" t="s">
        <v>29</v>
      </c>
      <c r="F11" s="8">
        <v>24</v>
      </c>
      <c r="G11" s="9">
        <v>4</v>
      </c>
      <c r="H11" s="9">
        <v>1</v>
      </c>
      <c r="I11" s="176">
        <f t="shared" si="0"/>
        <v>16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>
        <f t="shared" ref="T11:U11" si="3">SUM(R11,P11,N11,L11,J11,H11)</f>
        <v>1</v>
      </c>
      <c r="U11" s="12">
        <f t="shared" si="3"/>
        <v>16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5.75" customHeight="1">
      <c r="A12" s="163"/>
      <c r="B12" s="213"/>
      <c r="C12" s="213"/>
      <c r="D12" s="13" t="s">
        <v>30</v>
      </c>
      <c r="E12" s="13" t="s">
        <v>31</v>
      </c>
      <c r="F12" s="8">
        <v>24</v>
      </c>
      <c r="G12" s="9">
        <v>4</v>
      </c>
      <c r="H12" s="9">
        <v>1</v>
      </c>
      <c r="I12" s="176">
        <f t="shared" si="0"/>
        <v>16</v>
      </c>
      <c r="J12" s="12"/>
      <c r="K12" s="12"/>
      <c r="L12" s="11"/>
      <c r="M12" s="11"/>
      <c r="N12" s="11"/>
      <c r="O12" s="11"/>
      <c r="P12" s="11"/>
      <c r="Q12" s="11"/>
      <c r="R12" s="11"/>
      <c r="S12" s="11"/>
      <c r="T12" s="12">
        <f t="shared" ref="T12:U12" si="4">SUM(R12,P12,N12,L12,J12,H12)</f>
        <v>1</v>
      </c>
      <c r="U12" s="12">
        <f t="shared" si="4"/>
        <v>16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5.75" customHeight="1">
      <c r="A13" s="163"/>
      <c r="B13" s="213"/>
      <c r="C13" s="213"/>
      <c r="D13" s="13" t="s">
        <v>32</v>
      </c>
      <c r="E13" s="13" t="s">
        <v>33</v>
      </c>
      <c r="F13" s="8">
        <v>16</v>
      </c>
      <c r="G13" s="9">
        <v>3</v>
      </c>
      <c r="H13" s="10"/>
      <c r="I13" s="10"/>
      <c r="J13" s="9">
        <v>2</v>
      </c>
      <c r="K13" s="176">
        <f t="shared" ref="K13:K15" si="5">J13*16</f>
        <v>32</v>
      </c>
      <c r="L13" s="11"/>
      <c r="M13" s="11"/>
      <c r="N13" s="11"/>
      <c r="O13" s="11"/>
      <c r="P13" s="11"/>
      <c r="Q13" s="11"/>
      <c r="R13" s="11"/>
      <c r="S13" s="11"/>
      <c r="T13" s="12">
        <f t="shared" ref="T13:U13" si="6">SUM(R13,P13,N13,L13,J13,H13)</f>
        <v>2</v>
      </c>
      <c r="U13" s="12">
        <f t="shared" si="6"/>
        <v>32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5.75" customHeight="1">
      <c r="A14" s="163"/>
      <c r="B14" s="213"/>
      <c r="C14" s="213"/>
      <c r="D14" s="297" t="s">
        <v>34</v>
      </c>
      <c r="E14" s="13" t="s">
        <v>35</v>
      </c>
      <c r="F14" s="8">
        <v>16</v>
      </c>
      <c r="G14" s="9">
        <v>2</v>
      </c>
      <c r="H14" s="10"/>
      <c r="I14" s="10"/>
      <c r="J14" s="9">
        <v>1</v>
      </c>
      <c r="K14" s="176">
        <f t="shared" si="5"/>
        <v>16</v>
      </c>
      <c r="L14" s="11"/>
      <c r="M14" s="11"/>
      <c r="N14" s="11"/>
      <c r="O14" s="11"/>
      <c r="P14" s="11"/>
      <c r="Q14" s="11"/>
      <c r="R14" s="11"/>
      <c r="S14" s="11"/>
      <c r="T14" s="12">
        <f t="shared" ref="T14:U14" si="7">SUM(R14,P14,N14,L14,J14,H14)</f>
        <v>1</v>
      </c>
      <c r="U14" s="12">
        <f t="shared" si="7"/>
        <v>16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5.75" customHeight="1">
      <c r="A15" s="163"/>
      <c r="B15" s="213"/>
      <c r="C15" s="213"/>
      <c r="D15" s="13" t="s">
        <v>36</v>
      </c>
      <c r="E15" s="13" t="s">
        <v>37</v>
      </c>
      <c r="F15" s="8">
        <v>16</v>
      </c>
      <c r="G15" s="9">
        <v>3</v>
      </c>
      <c r="H15" s="10"/>
      <c r="I15" s="10"/>
      <c r="J15" s="9">
        <v>1</v>
      </c>
      <c r="K15" s="176">
        <f t="shared" si="5"/>
        <v>16</v>
      </c>
      <c r="L15" s="11"/>
      <c r="M15" s="11"/>
      <c r="N15" s="11"/>
      <c r="O15" s="11"/>
      <c r="P15" s="11"/>
      <c r="Q15" s="11"/>
      <c r="R15" s="11"/>
      <c r="S15" s="11"/>
      <c r="T15" s="12">
        <f t="shared" ref="T15:U15" si="8">SUM(R15,P15,N15,L15,J15,H15)</f>
        <v>1</v>
      </c>
      <c r="U15" s="12">
        <f t="shared" si="8"/>
        <v>16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5.75" customHeight="1">
      <c r="A16" s="163"/>
      <c r="B16" s="213"/>
      <c r="C16" s="213"/>
      <c r="D16" s="14" t="s">
        <v>38</v>
      </c>
      <c r="E16" s="14" t="s">
        <v>39</v>
      </c>
      <c r="F16" s="15">
        <v>24</v>
      </c>
      <c r="G16" s="16">
        <v>4</v>
      </c>
      <c r="H16" s="17"/>
      <c r="I16" s="17"/>
      <c r="J16" s="17"/>
      <c r="K16" s="17"/>
      <c r="L16" s="17"/>
      <c r="M16" s="17"/>
      <c r="N16" s="17"/>
      <c r="O16" s="17"/>
      <c r="P16" s="16"/>
      <c r="Q16" s="16"/>
      <c r="R16" s="16"/>
      <c r="S16" s="16"/>
      <c r="T16" s="18">
        <f t="shared" ref="T16:T18" si="9">SUM(H16,J16,L16,N16,P16,R16)</f>
        <v>0</v>
      </c>
      <c r="U16" s="16">
        <f t="shared" ref="U16:U18" si="10">T16*16</f>
        <v>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.75" customHeight="1">
      <c r="A17" s="163"/>
      <c r="B17" s="213"/>
      <c r="C17" s="213"/>
      <c r="D17" s="14" t="s">
        <v>40</v>
      </c>
      <c r="E17" s="14" t="s">
        <v>41</v>
      </c>
      <c r="F17" s="15">
        <v>16</v>
      </c>
      <c r="G17" s="16">
        <v>3</v>
      </c>
      <c r="H17" s="17"/>
      <c r="I17" s="17"/>
      <c r="J17" s="17"/>
      <c r="K17" s="17"/>
      <c r="L17" s="17"/>
      <c r="M17" s="17"/>
      <c r="N17" s="17"/>
      <c r="O17" s="17"/>
      <c r="P17" s="16"/>
      <c r="Q17" s="16"/>
      <c r="R17" s="16"/>
      <c r="S17" s="16"/>
      <c r="T17" s="18">
        <f t="shared" si="9"/>
        <v>0</v>
      </c>
      <c r="U17" s="16">
        <f t="shared" si="10"/>
        <v>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15.75" customHeight="1">
      <c r="A18" s="163"/>
      <c r="B18" s="213"/>
      <c r="C18" s="213"/>
      <c r="D18" s="14" t="s">
        <v>42</v>
      </c>
      <c r="E18" s="14" t="s">
        <v>43</v>
      </c>
      <c r="F18" s="15">
        <v>24</v>
      </c>
      <c r="G18" s="16">
        <v>4</v>
      </c>
      <c r="H18" s="17"/>
      <c r="I18" s="17"/>
      <c r="J18" s="17"/>
      <c r="K18" s="17"/>
      <c r="L18" s="17"/>
      <c r="M18" s="17"/>
      <c r="N18" s="17"/>
      <c r="O18" s="17"/>
      <c r="P18" s="16"/>
      <c r="Q18" s="16"/>
      <c r="R18" s="16"/>
      <c r="S18" s="16"/>
      <c r="T18" s="18">
        <f t="shared" si="9"/>
        <v>0</v>
      </c>
      <c r="U18" s="16">
        <f t="shared" si="10"/>
        <v>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5.75" customHeight="1">
      <c r="A19" s="163"/>
      <c r="B19" s="209"/>
      <c r="C19" s="209"/>
      <c r="D19" s="260" t="s">
        <v>44</v>
      </c>
      <c r="E19" s="207"/>
      <c r="F19" s="170"/>
      <c r="G19" s="170"/>
      <c r="H19" s="171">
        <v>4</v>
      </c>
      <c r="I19" s="171">
        <v>64</v>
      </c>
      <c r="J19" s="171">
        <v>4</v>
      </c>
      <c r="K19" s="171">
        <v>64</v>
      </c>
      <c r="L19" s="170"/>
      <c r="M19" s="170"/>
      <c r="N19" s="170"/>
      <c r="O19" s="170"/>
      <c r="P19" s="170"/>
      <c r="Q19" s="170"/>
      <c r="R19" s="170"/>
      <c r="S19" s="170"/>
      <c r="T19" s="171">
        <f t="shared" ref="T19:U19" si="11">SUM(T9:T15)</f>
        <v>8</v>
      </c>
      <c r="U19" s="171">
        <f t="shared" si="11"/>
        <v>128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15.75" customHeight="1">
      <c r="A20" s="168"/>
      <c r="B20" s="267" t="s">
        <v>324</v>
      </c>
      <c r="C20" s="268">
        <v>32</v>
      </c>
      <c r="D20" s="177" t="s">
        <v>334</v>
      </c>
      <c r="E20" s="178" t="s">
        <v>358</v>
      </c>
      <c r="F20" s="179">
        <v>90</v>
      </c>
      <c r="G20" s="179">
        <v>3</v>
      </c>
      <c r="H20" s="180"/>
      <c r="I20" s="180"/>
      <c r="J20" s="180"/>
      <c r="K20" s="180"/>
      <c r="L20" s="180"/>
      <c r="M20" s="180"/>
      <c r="N20" s="180"/>
      <c r="O20" s="180"/>
      <c r="P20" s="179">
        <v>5</v>
      </c>
      <c r="Q20" s="179">
        <f t="shared" ref="Q20:Q25" si="12">P20*16</f>
        <v>80</v>
      </c>
      <c r="R20" s="180"/>
      <c r="S20" s="180"/>
      <c r="T20" s="12">
        <f t="shared" ref="T20:U20" si="13">SUM(R20,P20,N20,L20,J20,H20)</f>
        <v>5</v>
      </c>
      <c r="U20" s="12">
        <f t="shared" si="13"/>
        <v>80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5.75" customHeight="1">
      <c r="A21" s="163"/>
      <c r="B21" s="213"/>
      <c r="C21" s="213"/>
      <c r="D21" s="181" t="s">
        <v>361</v>
      </c>
      <c r="E21" s="178" t="s">
        <v>362</v>
      </c>
      <c r="F21" s="179">
        <v>90</v>
      </c>
      <c r="G21" s="179">
        <v>3</v>
      </c>
      <c r="H21" s="180"/>
      <c r="I21" s="180"/>
      <c r="J21" s="180"/>
      <c r="K21" s="180"/>
      <c r="L21" s="180"/>
      <c r="M21" s="180"/>
      <c r="N21" s="180"/>
      <c r="O21" s="180"/>
      <c r="P21" s="179">
        <v>6</v>
      </c>
      <c r="Q21" s="179">
        <f t="shared" si="12"/>
        <v>96</v>
      </c>
      <c r="R21" s="180"/>
      <c r="S21" s="182"/>
      <c r="T21" s="12">
        <f t="shared" ref="T21:U21" si="14">SUM(R21,P21,N21,L21,J21,H21)</f>
        <v>6</v>
      </c>
      <c r="U21" s="12">
        <f t="shared" si="14"/>
        <v>96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5.75" customHeight="1">
      <c r="A22" s="163"/>
      <c r="B22" s="213"/>
      <c r="C22" s="213"/>
      <c r="D22" s="181" t="s">
        <v>363</v>
      </c>
      <c r="E22" s="178" t="s">
        <v>364</v>
      </c>
      <c r="F22" s="179">
        <v>30</v>
      </c>
      <c r="G22" s="179">
        <v>3</v>
      </c>
      <c r="H22" s="180"/>
      <c r="I22" s="180"/>
      <c r="J22" s="180"/>
      <c r="K22" s="180"/>
      <c r="L22" s="180"/>
      <c r="M22" s="180"/>
      <c r="N22" s="180"/>
      <c r="O22" s="180"/>
      <c r="P22" s="179">
        <v>4</v>
      </c>
      <c r="Q22" s="179">
        <f t="shared" si="12"/>
        <v>64</v>
      </c>
      <c r="R22" s="180"/>
      <c r="S22" s="182"/>
      <c r="T22" s="12">
        <f t="shared" ref="T22:U22" si="15">SUM(R22,P22,N22,L22,J22,H22)</f>
        <v>4</v>
      </c>
      <c r="U22" s="12">
        <f t="shared" si="15"/>
        <v>64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customHeight="1">
      <c r="A23" s="163"/>
      <c r="B23" s="213"/>
      <c r="C23" s="213"/>
      <c r="D23" s="181" t="s">
        <v>365</v>
      </c>
      <c r="E23" s="183" t="s">
        <v>366</v>
      </c>
      <c r="F23" s="179">
        <v>60</v>
      </c>
      <c r="G23" s="179">
        <v>2</v>
      </c>
      <c r="H23" s="180"/>
      <c r="I23" s="180"/>
      <c r="J23" s="180"/>
      <c r="K23" s="180"/>
      <c r="L23" s="180"/>
      <c r="M23" s="180"/>
      <c r="N23" s="180"/>
      <c r="O23" s="180"/>
      <c r="P23" s="179">
        <v>4</v>
      </c>
      <c r="Q23" s="179">
        <f t="shared" si="12"/>
        <v>64</v>
      </c>
      <c r="R23" s="180"/>
      <c r="S23" s="180"/>
      <c r="T23" s="12">
        <f t="shared" ref="T23:U23" si="16">SUM(R23,P23,N23,L23,J23,H23)</f>
        <v>4</v>
      </c>
      <c r="U23" s="12">
        <f t="shared" si="16"/>
        <v>64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15.75" customHeight="1">
      <c r="A24" s="163"/>
      <c r="B24" s="213"/>
      <c r="C24" s="213"/>
      <c r="D24" s="181" t="s">
        <v>367</v>
      </c>
      <c r="E24" s="178" t="s">
        <v>368</v>
      </c>
      <c r="F24" s="179">
        <v>30</v>
      </c>
      <c r="G24" s="179">
        <v>2</v>
      </c>
      <c r="H24" s="180"/>
      <c r="I24" s="180"/>
      <c r="J24" s="180"/>
      <c r="K24" s="180"/>
      <c r="L24" s="180"/>
      <c r="M24" s="180"/>
      <c r="N24" s="180"/>
      <c r="O24" s="180"/>
      <c r="P24" s="179">
        <v>2</v>
      </c>
      <c r="Q24" s="179">
        <f t="shared" si="12"/>
        <v>32</v>
      </c>
      <c r="R24" s="180"/>
      <c r="S24" s="180"/>
      <c r="T24" s="12">
        <f t="shared" ref="T24:U24" si="17">SUM(R24,P24,N24,L24,J24,H24)</f>
        <v>2</v>
      </c>
      <c r="U24" s="12">
        <f t="shared" si="17"/>
        <v>32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.75" customHeight="1">
      <c r="A25" s="163"/>
      <c r="B25" s="213"/>
      <c r="C25" s="213"/>
      <c r="D25" s="181" t="s">
        <v>369</v>
      </c>
      <c r="E25" s="178" t="s">
        <v>370</v>
      </c>
      <c r="F25" s="179">
        <v>45</v>
      </c>
      <c r="G25" s="179">
        <v>3</v>
      </c>
      <c r="H25" s="180"/>
      <c r="I25" s="180"/>
      <c r="J25" s="180"/>
      <c r="K25" s="180"/>
      <c r="L25" s="180"/>
      <c r="M25" s="180"/>
      <c r="N25" s="180"/>
      <c r="O25" s="180"/>
      <c r="P25" s="179">
        <v>3</v>
      </c>
      <c r="Q25" s="179">
        <f t="shared" si="12"/>
        <v>48</v>
      </c>
      <c r="R25" s="180"/>
      <c r="S25" s="180"/>
      <c r="T25" s="12">
        <f t="shared" ref="T25:U25" si="18">SUM(R25,P25,N25,L25,J25,H25)</f>
        <v>3</v>
      </c>
      <c r="U25" s="12">
        <f t="shared" si="18"/>
        <v>48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5.75" customHeight="1">
      <c r="A26" s="163"/>
      <c r="B26" s="213"/>
      <c r="C26" s="213"/>
      <c r="D26" s="181" t="s">
        <v>372</v>
      </c>
      <c r="E26" s="178" t="s">
        <v>373</v>
      </c>
      <c r="F26" s="179">
        <v>45</v>
      </c>
      <c r="G26" s="179">
        <v>4</v>
      </c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79">
        <v>4</v>
      </c>
      <c r="S26" s="179">
        <f t="shared" ref="S26:S27" si="19">R26*16</f>
        <v>64</v>
      </c>
      <c r="T26" s="12">
        <f t="shared" ref="T26:U26" si="20">SUM(R26,P26,N26,L26,J26,H26)</f>
        <v>4</v>
      </c>
      <c r="U26" s="12">
        <f t="shared" si="20"/>
        <v>64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.75" customHeight="1">
      <c r="A27" s="163"/>
      <c r="B27" s="213"/>
      <c r="C27" s="213"/>
      <c r="D27" s="184" t="s">
        <v>375</v>
      </c>
      <c r="E27" s="178" t="s">
        <v>376</v>
      </c>
      <c r="F27" s="179">
        <v>50</v>
      </c>
      <c r="G27" s="179">
        <v>3</v>
      </c>
      <c r="H27" s="180"/>
      <c r="I27" s="180"/>
      <c r="J27" s="180"/>
      <c r="K27" s="180"/>
      <c r="L27" s="180"/>
      <c r="M27" s="180"/>
      <c r="N27" s="180"/>
      <c r="O27" s="180"/>
      <c r="P27" s="180"/>
      <c r="Q27" s="182"/>
      <c r="R27" s="179">
        <v>4</v>
      </c>
      <c r="S27" s="179">
        <f t="shared" si="19"/>
        <v>64</v>
      </c>
      <c r="T27" s="12">
        <f t="shared" ref="T27:U27" si="21">SUM(R27,P27,N27,L27,J27,H27)</f>
        <v>4</v>
      </c>
      <c r="U27" s="12">
        <f t="shared" si="21"/>
        <v>64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5.75" customHeight="1">
      <c r="A28" s="2"/>
      <c r="B28" s="209"/>
      <c r="C28" s="209"/>
      <c r="D28" s="185" t="s">
        <v>44</v>
      </c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5">
        <f t="shared" ref="P28:U28" si="22">SUM(P20:P27)</f>
        <v>24</v>
      </c>
      <c r="Q28" s="185">
        <f t="shared" si="22"/>
        <v>384</v>
      </c>
      <c r="R28" s="185">
        <f t="shared" si="22"/>
        <v>8</v>
      </c>
      <c r="S28" s="185">
        <f t="shared" si="22"/>
        <v>128</v>
      </c>
      <c r="T28" s="185">
        <f t="shared" si="22"/>
        <v>32</v>
      </c>
      <c r="U28" s="185">
        <f t="shared" si="22"/>
        <v>512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5.75" customHeight="1">
      <c r="A29" s="2"/>
      <c r="B29" s="268" t="s">
        <v>331</v>
      </c>
      <c r="C29" s="268">
        <v>25</v>
      </c>
      <c r="D29" s="323" t="s">
        <v>379</v>
      </c>
      <c r="E29" s="179" t="s">
        <v>380</v>
      </c>
      <c r="F29" s="179">
        <v>30</v>
      </c>
      <c r="G29" s="179">
        <v>2</v>
      </c>
      <c r="H29" s="180"/>
      <c r="I29" s="180"/>
      <c r="J29" s="180"/>
      <c r="K29" s="180"/>
      <c r="L29" s="180"/>
      <c r="M29" s="180"/>
      <c r="N29" s="180"/>
      <c r="O29" s="180"/>
      <c r="P29" s="179">
        <v>2</v>
      </c>
      <c r="Q29" s="179">
        <f t="shared" ref="Q29:Q30" si="23">P29*16</f>
        <v>32</v>
      </c>
      <c r="R29" s="180"/>
      <c r="S29" s="180"/>
      <c r="T29" s="12">
        <f t="shared" ref="T29:U29" si="24">SUM(R29,P29,N29,L29,J29,H29)</f>
        <v>2</v>
      </c>
      <c r="U29" s="12">
        <f t="shared" si="24"/>
        <v>32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5.75" customHeight="1">
      <c r="A30" s="2"/>
      <c r="B30" s="213"/>
      <c r="C30" s="213"/>
      <c r="D30" s="181" t="s">
        <v>381</v>
      </c>
      <c r="E30" s="179" t="s">
        <v>382</v>
      </c>
      <c r="F30" s="179">
        <v>30</v>
      </c>
      <c r="G30" s="179">
        <v>2</v>
      </c>
      <c r="H30" s="180"/>
      <c r="I30" s="180"/>
      <c r="J30" s="180"/>
      <c r="K30" s="180"/>
      <c r="L30" s="180"/>
      <c r="M30" s="180"/>
      <c r="N30" s="180"/>
      <c r="O30" s="180"/>
      <c r="P30" s="179">
        <v>2</v>
      </c>
      <c r="Q30" s="179">
        <f t="shared" si="23"/>
        <v>32</v>
      </c>
      <c r="R30" s="180"/>
      <c r="S30" s="180"/>
      <c r="T30" s="12">
        <f t="shared" ref="T30:U30" si="25">SUM(R30,P30,N30,L30,J30,H30)</f>
        <v>2</v>
      </c>
      <c r="U30" s="12">
        <f t="shared" si="25"/>
        <v>32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.75" customHeight="1">
      <c r="A31" s="2"/>
      <c r="B31" s="213"/>
      <c r="C31" s="213"/>
      <c r="D31" s="187" t="s">
        <v>385</v>
      </c>
      <c r="E31" s="188" t="s">
        <v>386</v>
      </c>
      <c r="F31" s="179">
        <v>50</v>
      </c>
      <c r="G31" s="179">
        <v>3</v>
      </c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79">
        <v>6</v>
      </c>
      <c r="S31" s="179">
        <f t="shared" ref="S31:S34" si="26">R31*16</f>
        <v>96</v>
      </c>
      <c r="T31" s="12">
        <f t="shared" ref="T31:U31" si="27">SUM(R31,P31,N31,L31,J31,H31)</f>
        <v>6</v>
      </c>
      <c r="U31" s="12">
        <f t="shared" si="27"/>
        <v>96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5.75" customHeight="1">
      <c r="A32" s="2"/>
      <c r="B32" s="213"/>
      <c r="C32" s="213"/>
      <c r="D32" s="189" t="s">
        <v>387</v>
      </c>
      <c r="E32" s="188" t="s">
        <v>388</v>
      </c>
      <c r="F32" s="179">
        <v>30</v>
      </c>
      <c r="G32" s="179">
        <v>2</v>
      </c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79">
        <v>3</v>
      </c>
      <c r="S32" s="179">
        <f t="shared" si="26"/>
        <v>48</v>
      </c>
      <c r="T32" s="12">
        <f t="shared" ref="T32:U32" si="28">SUM(R32,P32,N32,L32,J32,H32)</f>
        <v>3</v>
      </c>
      <c r="U32" s="12">
        <f t="shared" si="28"/>
        <v>48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.75" customHeight="1">
      <c r="A33" s="2"/>
      <c r="B33" s="213"/>
      <c r="C33" s="213"/>
      <c r="D33" s="188" t="s">
        <v>389</v>
      </c>
      <c r="E33" s="188" t="s">
        <v>390</v>
      </c>
      <c r="F33" s="179">
        <v>50</v>
      </c>
      <c r="G33" s="179">
        <v>3</v>
      </c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79">
        <v>6</v>
      </c>
      <c r="S33" s="179">
        <f t="shared" si="26"/>
        <v>96</v>
      </c>
      <c r="T33" s="12">
        <f t="shared" ref="T33:U33" si="29">SUM(R33,P33,N33,L33,J33,H33)</f>
        <v>6</v>
      </c>
      <c r="U33" s="12">
        <f t="shared" si="29"/>
        <v>96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.75" customHeight="1">
      <c r="A34" s="2"/>
      <c r="B34" s="213"/>
      <c r="C34" s="213"/>
      <c r="D34" s="188" t="s">
        <v>391</v>
      </c>
      <c r="E34" s="187" t="s">
        <v>392</v>
      </c>
      <c r="F34" s="179">
        <v>50</v>
      </c>
      <c r="G34" s="179">
        <v>3</v>
      </c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79">
        <v>6</v>
      </c>
      <c r="S34" s="179">
        <f t="shared" si="26"/>
        <v>96</v>
      </c>
      <c r="T34" s="12">
        <f t="shared" ref="T34:U34" si="30">SUM(R34,P34,N34,L34,J34,H34)</f>
        <v>6</v>
      </c>
      <c r="U34" s="12">
        <f t="shared" si="30"/>
        <v>96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.75" customHeight="1">
      <c r="A35" s="2"/>
      <c r="B35" s="209"/>
      <c r="C35" s="209"/>
      <c r="D35" s="185" t="s">
        <v>44</v>
      </c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5">
        <f t="shared" ref="P35:U35" si="31">SUM(P29:P34)</f>
        <v>4</v>
      </c>
      <c r="Q35" s="185">
        <f t="shared" si="31"/>
        <v>64</v>
      </c>
      <c r="R35" s="185">
        <f t="shared" si="31"/>
        <v>21</v>
      </c>
      <c r="S35" s="185">
        <f t="shared" si="31"/>
        <v>336</v>
      </c>
      <c r="T35" s="185">
        <f t="shared" si="31"/>
        <v>25</v>
      </c>
      <c r="U35" s="185">
        <f t="shared" si="31"/>
        <v>400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5.75" customHeight="1">
      <c r="A37" s="2"/>
      <c r="B37" s="2"/>
      <c r="C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ht="1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ht="1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ht="1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ht="1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ht="1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ht="1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ht="1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ht="1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ht="1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ht="1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ht="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ht="1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ht="1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ht="1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ht="1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ht="1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ht="1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ht="1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ht="1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ht="1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ht="1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ht="1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ht="1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ht="1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ht="1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ht="1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ht="1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ht="1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ht="1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ht="1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ht="1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ht="1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ht="1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ht="1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ht="1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ht="1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ht="1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ht="1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ht="1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ht="1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ht="1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ht="1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ht="1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ht="1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ht="1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ht="1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ht="1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ht="1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ht="1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ht="1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ht="1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ht="1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ht="1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ht="1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ht="1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ht="1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ht="1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ht="1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ht="1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ht="1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ht="1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ht="1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ht="1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ht="1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ht="1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ht="1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ht="1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ht="1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ht="1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ht="1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ht="1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ht="1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ht="1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ht="1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ht="1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ht="1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ht="1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ht="1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ht="1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ht="1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ht="1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ht="1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ht="1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ht="1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ht="1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ht="1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ht="1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ht="1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ht="1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ht="1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ht="1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ht="1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ht="1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ht="1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ht="1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ht="1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ht="1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ht="1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ht="1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ht="1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ht="1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ht="1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ht="1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ht="1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ht="1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ht="1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ht="1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ht="1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ht="1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ht="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ht="1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ht="1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ht="1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ht="1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ht="1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ht="1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ht="1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ht="1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ht="1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ht="1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ht="1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ht="1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ht="1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ht="1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ht="1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ht="1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ht="1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ht="1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ht="1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ht="1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ht="1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ht="1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ht="1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ht="1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ht="1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ht="1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ht="1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ht="1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ht="1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ht="1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ht="1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ht="1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ht="1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ht="1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ht="1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ht="1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ht="1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ht="1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ht="1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ht="1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ht="1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ht="1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ht="1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ht="1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ht="1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ht="1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ht="1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ht="1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ht="1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ht="1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ht="1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ht="1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ht="1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ht="1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ht="1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ht="1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ht="1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ht="1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ht="1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ht="1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ht="1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ht="1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ht="1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ht="1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ht="1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ht="1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ht="1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ht="1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ht="1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ht="1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ht="1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ht="1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ht="1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ht="1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ht="1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ht="1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ht="1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ht="1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</sheetData>
  <mergeCells count="32">
    <mergeCell ref="B20:B28"/>
    <mergeCell ref="C20:C28"/>
    <mergeCell ref="B29:B35"/>
    <mergeCell ref="C29:C35"/>
    <mergeCell ref="B5:C5"/>
    <mergeCell ref="B6:B8"/>
    <mergeCell ref="C6:C8"/>
    <mergeCell ref="T6:T8"/>
    <mergeCell ref="U6:U8"/>
    <mergeCell ref="H7:I7"/>
    <mergeCell ref="J7:K7"/>
    <mergeCell ref="B9:B19"/>
    <mergeCell ref="C9:C19"/>
    <mergeCell ref="D19:E19"/>
    <mergeCell ref="D6:D8"/>
    <mergeCell ref="E6:E8"/>
    <mergeCell ref="F6:F8"/>
    <mergeCell ref="G6:G8"/>
    <mergeCell ref="L7:M7"/>
    <mergeCell ref="N7:O7"/>
    <mergeCell ref="P7:Q7"/>
    <mergeCell ref="R7:S7"/>
    <mergeCell ref="H6:K6"/>
    <mergeCell ref="L6:O6"/>
    <mergeCell ref="P6:S6"/>
    <mergeCell ref="B2:U2"/>
    <mergeCell ref="N3:P3"/>
    <mergeCell ref="Q3:S3"/>
    <mergeCell ref="T3:U3"/>
    <mergeCell ref="N4:P4"/>
    <mergeCell ref="Q4:S4"/>
    <mergeCell ref="T4:U4"/>
  </mergeCells>
  <phoneticPr fontId="64" type="noConversion"/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13"/>
  <sheetViews>
    <sheetView workbookViewId="0"/>
  </sheetViews>
  <sheetFormatPr defaultColWidth="12.6328125" defaultRowHeight="15.75" customHeight="1"/>
  <cols>
    <col min="1" max="1" width="4.08984375" customWidth="1"/>
    <col min="2" max="2" width="6" customWidth="1"/>
    <col min="3" max="3" width="4" customWidth="1"/>
    <col min="4" max="4" width="7" customWidth="1"/>
    <col min="5" max="5" width="8.7265625" customWidth="1"/>
    <col min="6" max="6" width="17.36328125" customWidth="1"/>
    <col min="7" max="7" width="10" customWidth="1"/>
    <col min="8" max="10" width="5.08984375" customWidth="1"/>
    <col min="11" max="22" width="5" customWidth="1"/>
    <col min="23" max="24" width="6.26953125" customWidth="1"/>
    <col min="25" max="25" width="6.63281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>
      <c r="A2" s="1"/>
      <c r="B2" s="237" t="s">
        <v>0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07"/>
      <c r="V2" s="238" t="s">
        <v>4</v>
      </c>
      <c r="W2" s="207"/>
      <c r="X2" s="238">
        <v>2027</v>
      </c>
      <c r="Y2" s="207"/>
      <c r="Z2" s="1"/>
    </row>
    <row r="3" spans="1:26" ht="14">
      <c r="A3" s="1"/>
      <c r="B3" s="239" t="s">
        <v>53</v>
      </c>
      <c r="C3" s="234" t="s">
        <v>2</v>
      </c>
      <c r="D3" s="225"/>
      <c r="E3" s="217"/>
      <c r="F3" s="234" t="s">
        <v>98</v>
      </c>
      <c r="G3" s="217"/>
      <c r="H3" s="234" t="s">
        <v>99</v>
      </c>
      <c r="I3" s="225"/>
      <c r="J3" s="217"/>
      <c r="K3" s="234" t="s">
        <v>100</v>
      </c>
      <c r="L3" s="225"/>
      <c r="M3" s="225"/>
      <c r="N3" s="225"/>
      <c r="O3" s="217"/>
      <c r="P3" s="235" t="s">
        <v>101</v>
      </c>
      <c r="Q3" s="211"/>
      <c r="R3" s="211"/>
      <c r="S3" s="211"/>
      <c r="T3" s="211"/>
      <c r="U3" s="211"/>
      <c r="V3" s="211"/>
      <c r="W3" s="211"/>
      <c r="X3" s="211"/>
      <c r="Y3" s="207"/>
      <c r="Z3" s="1"/>
    </row>
    <row r="4" spans="1:26" ht="14">
      <c r="A4" s="1"/>
      <c r="B4" s="209"/>
      <c r="C4" s="220"/>
      <c r="D4" s="227"/>
      <c r="E4" s="221"/>
      <c r="F4" s="220"/>
      <c r="G4" s="221"/>
      <c r="H4" s="220"/>
      <c r="I4" s="227"/>
      <c r="J4" s="221"/>
      <c r="K4" s="220"/>
      <c r="L4" s="227"/>
      <c r="M4" s="227"/>
      <c r="N4" s="227"/>
      <c r="O4" s="221"/>
      <c r="P4" s="235" t="s">
        <v>3</v>
      </c>
      <c r="Q4" s="211"/>
      <c r="R4" s="211"/>
      <c r="S4" s="207"/>
      <c r="T4" s="235" t="s">
        <v>105</v>
      </c>
      <c r="U4" s="211"/>
      <c r="V4" s="207"/>
      <c r="W4" s="235" t="s">
        <v>106</v>
      </c>
      <c r="X4" s="211"/>
      <c r="Y4" s="207"/>
      <c r="Z4" s="1"/>
    </row>
    <row r="5" spans="1:26" ht="32.25" customHeight="1">
      <c r="A5" s="1"/>
      <c r="B5" s="60" t="s">
        <v>109</v>
      </c>
      <c r="C5" s="240" t="s">
        <v>5</v>
      </c>
      <c r="D5" s="211"/>
      <c r="E5" s="207"/>
      <c r="F5" s="240" t="s">
        <v>113</v>
      </c>
      <c r="G5" s="207"/>
      <c r="H5" s="240" t="s">
        <v>114</v>
      </c>
      <c r="I5" s="211"/>
      <c r="J5" s="207"/>
      <c r="K5" s="240" t="s">
        <v>406</v>
      </c>
      <c r="L5" s="211"/>
      <c r="M5" s="211"/>
      <c r="N5" s="211"/>
      <c r="O5" s="207"/>
      <c r="P5" s="240" t="s">
        <v>118</v>
      </c>
      <c r="Q5" s="211"/>
      <c r="R5" s="211"/>
      <c r="S5" s="207"/>
      <c r="T5" s="240" t="s">
        <v>120</v>
      </c>
      <c r="U5" s="211"/>
      <c r="V5" s="207"/>
      <c r="W5" s="277" t="s">
        <v>407</v>
      </c>
      <c r="X5" s="211"/>
      <c r="Y5" s="207"/>
      <c r="Z5" s="1"/>
    </row>
    <row r="6" spans="1:26" ht="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36"/>
      <c r="V6" s="226"/>
      <c r="W6" s="226"/>
      <c r="X6" s="226"/>
      <c r="Y6" s="226"/>
      <c r="Z6" s="1"/>
    </row>
    <row r="7" spans="1:26" ht="20.25" customHeight="1">
      <c r="A7" s="63"/>
      <c r="B7" s="230" t="s">
        <v>126</v>
      </c>
      <c r="C7" s="217"/>
      <c r="D7" s="208" t="s">
        <v>128</v>
      </c>
      <c r="E7" s="210" t="s">
        <v>129</v>
      </c>
      <c r="F7" s="211"/>
      <c r="G7" s="207"/>
      <c r="H7" s="208" t="s">
        <v>130</v>
      </c>
      <c r="I7" s="208" t="s">
        <v>131</v>
      </c>
      <c r="J7" s="208" t="s">
        <v>133</v>
      </c>
      <c r="K7" s="210" t="s">
        <v>14</v>
      </c>
      <c r="L7" s="211"/>
      <c r="M7" s="211"/>
      <c r="N7" s="207"/>
      <c r="O7" s="210" t="s">
        <v>15</v>
      </c>
      <c r="P7" s="211"/>
      <c r="Q7" s="211"/>
      <c r="R7" s="207"/>
      <c r="S7" s="210" t="s">
        <v>16</v>
      </c>
      <c r="T7" s="211"/>
      <c r="U7" s="211"/>
      <c r="V7" s="207"/>
      <c r="W7" s="230" t="s">
        <v>137</v>
      </c>
      <c r="X7" s="217"/>
      <c r="Y7" s="208" t="s">
        <v>139</v>
      </c>
      <c r="Z7" s="70"/>
    </row>
    <row r="8" spans="1:26" ht="20.25" customHeight="1">
      <c r="A8" s="63"/>
      <c r="B8" s="220"/>
      <c r="C8" s="221"/>
      <c r="D8" s="209"/>
      <c r="E8" s="71" t="s">
        <v>145</v>
      </c>
      <c r="F8" s="210" t="s">
        <v>146</v>
      </c>
      <c r="G8" s="207"/>
      <c r="H8" s="209"/>
      <c r="I8" s="209"/>
      <c r="J8" s="209"/>
      <c r="K8" s="210" t="s">
        <v>19</v>
      </c>
      <c r="L8" s="207"/>
      <c r="M8" s="210" t="s">
        <v>20</v>
      </c>
      <c r="N8" s="207"/>
      <c r="O8" s="210" t="s">
        <v>19</v>
      </c>
      <c r="P8" s="207"/>
      <c r="Q8" s="210" t="s">
        <v>20</v>
      </c>
      <c r="R8" s="207"/>
      <c r="S8" s="210" t="s">
        <v>19</v>
      </c>
      <c r="T8" s="207"/>
      <c r="U8" s="210" t="s">
        <v>20</v>
      </c>
      <c r="V8" s="207"/>
      <c r="W8" s="220"/>
      <c r="X8" s="221"/>
      <c r="Y8" s="209"/>
      <c r="Z8" s="63"/>
    </row>
    <row r="9" spans="1:26" ht="14">
      <c r="A9" s="1"/>
      <c r="B9" s="216" t="s">
        <v>149</v>
      </c>
      <c r="C9" s="217"/>
      <c r="D9" s="212" t="s">
        <v>153</v>
      </c>
      <c r="E9" s="74" t="s">
        <v>154</v>
      </c>
      <c r="F9" s="206" t="s">
        <v>155</v>
      </c>
      <c r="G9" s="207"/>
      <c r="H9" s="74">
        <v>4</v>
      </c>
      <c r="I9" s="74" t="s">
        <v>156</v>
      </c>
      <c r="J9" s="74">
        <f t="shared" ref="J9:J35" si="0">SUM(K9:V9)</f>
        <v>3</v>
      </c>
      <c r="K9" s="206">
        <v>3</v>
      </c>
      <c r="L9" s="207"/>
      <c r="M9" s="206"/>
      <c r="N9" s="207"/>
      <c r="O9" s="206"/>
      <c r="P9" s="207"/>
      <c r="Q9" s="206"/>
      <c r="R9" s="207"/>
      <c r="S9" s="206"/>
      <c r="T9" s="207"/>
      <c r="U9" s="206"/>
      <c r="V9" s="207"/>
      <c r="W9" s="74">
        <f t="shared" ref="W9:W28" si="1">J9</f>
        <v>3</v>
      </c>
      <c r="X9" s="212">
        <f>SUM(W9:W11)</f>
        <v>9</v>
      </c>
      <c r="Y9" s="215">
        <v>24</v>
      </c>
      <c r="Z9" s="1"/>
    </row>
    <row r="10" spans="1:26" ht="14">
      <c r="A10" s="1"/>
      <c r="B10" s="218"/>
      <c r="C10" s="219"/>
      <c r="D10" s="213"/>
      <c r="E10" s="74" t="s">
        <v>154</v>
      </c>
      <c r="F10" s="206" t="s">
        <v>162</v>
      </c>
      <c r="G10" s="207"/>
      <c r="H10" s="74">
        <v>4</v>
      </c>
      <c r="I10" s="74" t="s">
        <v>156</v>
      </c>
      <c r="J10" s="74">
        <f t="shared" si="0"/>
        <v>3</v>
      </c>
      <c r="K10" s="206"/>
      <c r="L10" s="207"/>
      <c r="M10" s="206">
        <v>3</v>
      </c>
      <c r="N10" s="207"/>
      <c r="O10" s="206"/>
      <c r="P10" s="207"/>
      <c r="Q10" s="206"/>
      <c r="R10" s="207"/>
      <c r="S10" s="206"/>
      <c r="T10" s="207"/>
      <c r="U10" s="206"/>
      <c r="V10" s="207"/>
      <c r="W10" s="74">
        <f t="shared" si="1"/>
        <v>3</v>
      </c>
      <c r="X10" s="213"/>
      <c r="Y10" s="213"/>
      <c r="Z10" s="1"/>
    </row>
    <row r="11" spans="1:26" ht="14">
      <c r="A11" s="1"/>
      <c r="B11" s="218"/>
      <c r="C11" s="219"/>
      <c r="D11" s="209"/>
      <c r="E11" s="74" t="s">
        <v>224</v>
      </c>
      <c r="F11" s="206" t="s">
        <v>404</v>
      </c>
      <c r="G11" s="207"/>
      <c r="H11" s="74">
        <v>4</v>
      </c>
      <c r="I11" s="74" t="s">
        <v>167</v>
      </c>
      <c r="J11" s="74">
        <f t="shared" si="0"/>
        <v>3</v>
      </c>
      <c r="K11" s="206"/>
      <c r="L11" s="207"/>
      <c r="M11" s="206"/>
      <c r="N11" s="207"/>
      <c r="O11" s="206">
        <v>3</v>
      </c>
      <c r="P11" s="207"/>
      <c r="Q11" s="206"/>
      <c r="R11" s="207"/>
      <c r="S11" s="206"/>
      <c r="T11" s="207"/>
      <c r="U11" s="206"/>
      <c r="V11" s="207"/>
      <c r="W11" s="74">
        <f t="shared" si="1"/>
        <v>3</v>
      </c>
      <c r="X11" s="209"/>
      <c r="Y11" s="213"/>
      <c r="Z11" s="1"/>
    </row>
    <row r="12" spans="1:26" ht="14">
      <c r="A12" s="1"/>
      <c r="B12" s="218"/>
      <c r="C12" s="219"/>
      <c r="D12" s="212" t="s">
        <v>168</v>
      </c>
      <c r="E12" s="74" t="s">
        <v>154</v>
      </c>
      <c r="F12" s="206" t="s">
        <v>169</v>
      </c>
      <c r="G12" s="207"/>
      <c r="H12" s="74">
        <v>4</v>
      </c>
      <c r="I12" s="74" t="s">
        <v>156</v>
      </c>
      <c r="J12" s="74">
        <f t="shared" si="0"/>
        <v>3</v>
      </c>
      <c r="K12" s="206">
        <v>3</v>
      </c>
      <c r="L12" s="207"/>
      <c r="M12" s="206"/>
      <c r="N12" s="207"/>
      <c r="O12" s="206"/>
      <c r="P12" s="207"/>
      <c r="Q12" s="206"/>
      <c r="R12" s="207"/>
      <c r="S12" s="206"/>
      <c r="T12" s="207"/>
      <c r="U12" s="206"/>
      <c r="V12" s="207"/>
      <c r="W12" s="74">
        <f t="shared" si="1"/>
        <v>3</v>
      </c>
      <c r="X12" s="212">
        <f>SUM(W12:W14)</f>
        <v>9</v>
      </c>
      <c r="Y12" s="213"/>
      <c r="Z12" s="1"/>
    </row>
    <row r="13" spans="1:26" ht="14">
      <c r="A13" s="1"/>
      <c r="B13" s="218"/>
      <c r="C13" s="219"/>
      <c r="D13" s="213"/>
      <c r="E13" s="74" t="s">
        <v>154</v>
      </c>
      <c r="F13" s="206" t="s">
        <v>172</v>
      </c>
      <c r="G13" s="207"/>
      <c r="H13" s="74">
        <v>4</v>
      </c>
      <c r="I13" s="74" t="s">
        <v>156</v>
      </c>
      <c r="J13" s="74">
        <f t="shared" si="0"/>
        <v>3</v>
      </c>
      <c r="K13" s="206"/>
      <c r="L13" s="207"/>
      <c r="M13" s="206">
        <v>3</v>
      </c>
      <c r="N13" s="207"/>
      <c r="O13" s="206"/>
      <c r="P13" s="207"/>
      <c r="Q13" s="206"/>
      <c r="R13" s="207"/>
      <c r="S13" s="206"/>
      <c r="T13" s="207"/>
      <c r="U13" s="206"/>
      <c r="V13" s="207"/>
      <c r="W13" s="74">
        <f t="shared" si="1"/>
        <v>3</v>
      </c>
      <c r="X13" s="213"/>
      <c r="Y13" s="213"/>
      <c r="Z13" s="1"/>
    </row>
    <row r="14" spans="1:26" ht="14">
      <c r="A14" s="1"/>
      <c r="B14" s="218"/>
      <c r="C14" s="219"/>
      <c r="D14" s="209"/>
      <c r="E14" s="74" t="s">
        <v>165</v>
      </c>
      <c r="F14" s="206" t="s">
        <v>173</v>
      </c>
      <c r="G14" s="207"/>
      <c r="H14" s="74">
        <v>4</v>
      </c>
      <c r="I14" s="74" t="s">
        <v>167</v>
      </c>
      <c r="J14" s="74">
        <f t="shared" si="0"/>
        <v>3</v>
      </c>
      <c r="K14" s="206"/>
      <c r="L14" s="207"/>
      <c r="M14" s="206"/>
      <c r="N14" s="207"/>
      <c r="O14" s="206">
        <v>3</v>
      </c>
      <c r="P14" s="207"/>
      <c r="Q14" s="206"/>
      <c r="R14" s="207"/>
      <c r="S14" s="206"/>
      <c r="T14" s="207"/>
      <c r="U14" s="206"/>
      <c r="V14" s="207"/>
      <c r="W14" s="74">
        <f t="shared" si="1"/>
        <v>3</v>
      </c>
      <c r="X14" s="209"/>
      <c r="Y14" s="213"/>
      <c r="Z14" s="1"/>
    </row>
    <row r="15" spans="1:26" ht="14">
      <c r="A15" s="1"/>
      <c r="B15" s="218"/>
      <c r="C15" s="219"/>
      <c r="D15" s="212" t="s">
        <v>175</v>
      </c>
      <c r="E15" s="74" t="s">
        <v>154</v>
      </c>
      <c r="F15" s="206" t="s">
        <v>177</v>
      </c>
      <c r="G15" s="207"/>
      <c r="H15" s="74">
        <v>4</v>
      </c>
      <c r="I15" s="74" t="s">
        <v>156</v>
      </c>
      <c r="J15" s="74">
        <f t="shared" si="0"/>
        <v>3</v>
      </c>
      <c r="K15" s="206">
        <v>3</v>
      </c>
      <c r="L15" s="207"/>
      <c r="M15" s="206"/>
      <c r="N15" s="207"/>
      <c r="O15" s="206"/>
      <c r="P15" s="207"/>
      <c r="Q15" s="206"/>
      <c r="R15" s="207"/>
      <c r="S15" s="206"/>
      <c r="T15" s="207"/>
      <c r="U15" s="206"/>
      <c r="V15" s="207"/>
      <c r="W15" s="74">
        <f t="shared" si="1"/>
        <v>3</v>
      </c>
      <c r="X15" s="212">
        <f>SUM(W15:W17)</f>
        <v>9</v>
      </c>
      <c r="Y15" s="213"/>
      <c r="Z15" s="1"/>
    </row>
    <row r="16" spans="1:26" ht="14">
      <c r="A16" s="1"/>
      <c r="B16" s="218"/>
      <c r="C16" s="219"/>
      <c r="D16" s="213"/>
      <c r="E16" s="74" t="s">
        <v>154</v>
      </c>
      <c r="F16" s="206" t="s">
        <v>178</v>
      </c>
      <c r="G16" s="207"/>
      <c r="H16" s="74">
        <v>4</v>
      </c>
      <c r="I16" s="74" t="s">
        <v>156</v>
      </c>
      <c r="J16" s="74">
        <f t="shared" si="0"/>
        <v>3</v>
      </c>
      <c r="K16" s="206"/>
      <c r="L16" s="207"/>
      <c r="M16" s="206">
        <v>3</v>
      </c>
      <c r="N16" s="207"/>
      <c r="O16" s="206"/>
      <c r="P16" s="207"/>
      <c r="Q16" s="206"/>
      <c r="R16" s="207"/>
      <c r="S16" s="206"/>
      <c r="T16" s="207"/>
      <c r="U16" s="206"/>
      <c r="V16" s="207"/>
      <c r="W16" s="74">
        <f t="shared" si="1"/>
        <v>3</v>
      </c>
      <c r="X16" s="213"/>
      <c r="Y16" s="213"/>
      <c r="Z16" s="1"/>
    </row>
    <row r="17" spans="1:26" ht="14">
      <c r="A17" s="1"/>
      <c r="B17" s="218"/>
      <c r="C17" s="219"/>
      <c r="D17" s="209"/>
      <c r="E17" s="74" t="s">
        <v>165</v>
      </c>
      <c r="F17" s="206" t="s">
        <v>180</v>
      </c>
      <c r="G17" s="207"/>
      <c r="H17" s="74">
        <v>4</v>
      </c>
      <c r="I17" s="74" t="s">
        <v>167</v>
      </c>
      <c r="J17" s="74">
        <f t="shared" si="0"/>
        <v>3</v>
      </c>
      <c r="K17" s="206"/>
      <c r="L17" s="207"/>
      <c r="M17" s="206"/>
      <c r="N17" s="207"/>
      <c r="O17" s="206"/>
      <c r="P17" s="207"/>
      <c r="Q17" s="206">
        <v>3</v>
      </c>
      <c r="R17" s="207"/>
      <c r="S17" s="206"/>
      <c r="T17" s="207"/>
      <c r="U17" s="206"/>
      <c r="V17" s="207"/>
      <c r="W17" s="74">
        <f t="shared" si="1"/>
        <v>3</v>
      </c>
      <c r="X17" s="209"/>
      <c r="Y17" s="209"/>
      <c r="Z17" s="1"/>
    </row>
    <row r="18" spans="1:26" ht="14">
      <c r="A18" s="1"/>
      <c r="B18" s="218"/>
      <c r="C18" s="219"/>
      <c r="D18" s="212" t="s">
        <v>182</v>
      </c>
      <c r="E18" s="74" t="s">
        <v>154</v>
      </c>
      <c r="F18" s="206" t="s">
        <v>183</v>
      </c>
      <c r="G18" s="207"/>
      <c r="H18" s="74">
        <v>3</v>
      </c>
      <c r="I18" s="74" t="s">
        <v>186</v>
      </c>
      <c r="J18" s="74">
        <f t="shared" si="0"/>
        <v>3</v>
      </c>
      <c r="K18" s="206">
        <v>3</v>
      </c>
      <c r="L18" s="207"/>
      <c r="M18" s="206"/>
      <c r="N18" s="207"/>
      <c r="O18" s="206"/>
      <c r="P18" s="207"/>
      <c r="Q18" s="206"/>
      <c r="R18" s="207"/>
      <c r="S18" s="206"/>
      <c r="T18" s="207"/>
      <c r="U18" s="206"/>
      <c r="V18" s="207"/>
      <c r="W18" s="74">
        <f t="shared" si="1"/>
        <v>3</v>
      </c>
      <c r="X18" s="212">
        <f>SUM(W18:W19)</f>
        <v>6</v>
      </c>
      <c r="Y18" s="215">
        <v>6</v>
      </c>
      <c r="Z18" s="1"/>
    </row>
    <row r="19" spans="1:26" ht="14">
      <c r="A19" s="1"/>
      <c r="B19" s="218"/>
      <c r="C19" s="219"/>
      <c r="D19" s="213"/>
      <c r="E19" s="74" t="s">
        <v>154</v>
      </c>
      <c r="F19" s="206" t="s">
        <v>187</v>
      </c>
      <c r="G19" s="207"/>
      <c r="H19" s="74">
        <v>3</v>
      </c>
      <c r="I19" s="74" t="s">
        <v>186</v>
      </c>
      <c r="J19" s="74">
        <f t="shared" si="0"/>
        <v>3</v>
      </c>
      <c r="K19" s="206"/>
      <c r="L19" s="207"/>
      <c r="M19" s="206">
        <v>3</v>
      </c>
      <c r="N19" s="207"/>
      <c r="O19" s="206"/>
      <c r="P19" s="207"/>
      <c r="Q19" s="206"/>
      <c r="R19" s="207"/>
      <c r="S19" s="206"/>
      <c r="T19" s="207"/>
      <c r="U19" s="206"/>
      <c r="V19" s="207"/>
      <c r="W19" s="74">
        <f t="shared" si="1"/>
        <v>3</v>
      </c>
      <c r="X19" s="209"/>
      <c r="Y19" s="209"/>
      <c r="Z19" s="1"/>
    </row>
    <row r="20" spans="1:26" ht="14">
      <c r="A20" s="1"/>
      <c r="B20" s="218"/>
      <c r="C20" s="219"/>
      <c r="D20" s="213"/>
      <c r="E20" s="74" t="s">
        <v>154</v>
      </c>
      <c r="F20" s="206" t="s">
        <v>188</v>
      </c>
      <c r="G20" s="207"/>
      <c r="H20" s="74">
        <v>4</v>
      </c>
      <c r="I20" s="74" t="s">
        <v>156</v>
      </c>
      <c r="J20" s="74">
        <f t="shared" si="0"/>
        <v>3</v>
      </c>
      <c r="K20" s="206"/>
      <c r="L20" s="207"/>
      <c r="M20" s="206"/>
      <c r="N20" s="207"/>
      <c r="O20" s="206">
        <v>3</v>
      </c>
      <c r="P20" s="207"/>
      <c r="Q20" s="206"/>
      <c r="R20" s="207"/>
      <c r="S20" s="206"/>
      <c r="T20" s="207"/>
      <c r="U20" s="206"/>
      <c r="V20" s="207"/>
      <c r="W20" s="74">
        <f t="shared" si="1"/>
        <v>3</v>
      </c>
      <c r="X20" s="212">
        <f>SUM(W20:W21)</f>
        <v>6</v>
      </c>
      <c r="Y20" s="215">
        <v>12</v>
      </c>
      <c r="Z20" s="1"/>
    </row>
    <row r="21" spans="1:26" ht="14">
      <c r="A21" s="1"/>
      <c r="B21" s="218"/>
      <c r="C21" s="219"/>
      <c r="D21" s="209"/>
      <c r="E21" s="74" t="s">
        <v>154</v>
      </c>
      <c r="F21" s="206" t="s">
        <v>219</v>
      </c>
      <c r="G21" s="207"/>
      <c r="H21" s="74">
        <v>4</v>
      </c>
      <c r="I21" s="74" t="s">
        <v>156</v>
      </c>
      <c r="J21" s="74">
        <f t="shared" si="0"/>
        <v>3</v>
      </c>
      <c r="K21" s="206"/>
      <c r="L21" s="207"/>
      <c r="M21" s="206"/>
      <c r="N21" s="207"/>
      <c r="O21" s="206"/>
      <c r="P21" s="207"/>
      <c r="Q21" s="206">
        <v>3</v>
      </c>
      <c r="R21" s="207"/>
      <c r="S21" s="206"/>
      <c r="T21" s="207"/>
      <c r="U21" s="206"/>
      <c r="V21" s="207"/>
      <c r="W21" s="74">
        <f t="shared" si="1"/>
        <v>3</v>
      </c>
      <c r="X21" s="209"/>
      <c r="Y21" s="213"/>
      <c r="Z21" s="1"/>
    </row>
    <row r="22" spans="1:26" ht="14">
      <c r="A22" s="1"/>
      <c r="B22" s="218"/>
      <c r="C22" s="219"/>
      <c r="D22" s="212" t="s">
        <v>220</v>
      </c>
      <c r="E22" s="74" t="s">
        <v>154</v>
      </c>
      <c r="F22" s="206" t="s">
        <v>221</v>
      </c>
      <c r="G22" s="207"/>
      <c r="H22" s="74">
        <v>4</v>
      </c>
      <c r="I22" s="74" t="s">
        <v>156</v>
      </c>
      <c r="J22" s="74">
        <f t="shared" si="0"/>
        <v>3</v>
      </c>
      <c r="K22" s="206">
        <v>3</v>
      </c>
      <c r="L22" s="207"/>
      <c r="M22" s="206"/>
      <c r="N22" s="207"/>
      <c r="O22" s="206"/>
      <c r="P22" s="207"/>
      <c r="Q22" s="206"/>
      <c r="R22" s="207"/>
      <c r="S22" s="206"/>
      <c r="T22" s="207"/>
      <c r="U22" s="206"/>
      <c r="V22" s="207"/>
      <c r="W22" s="74">
        <f t="shared" si="1"/>
        <v>3</v>
      </c>
      <c r="X22" s="212">
        <f>SUM(W22:W23)</f>
        <v>6</v>
      </c>
      <c r="Y22" s="213"/>
      <c r="Z22" s="1"/>
    </row>
    <row r="23" spans="1:26" ht="14">
      <c r="A23" s="1"/>
      <c r="B23" s="218"/>
      <c r="C23" s="219"/>
      <c r="D23" s="209"/>
      <c r="E23" s="74" t="s">
        <v>154</v>
      </c>
      <c r="F23" s="206" t="s">
        <v>222</v>
      </c>
      <c r="G23" s="207"/>
      <c r="H23" s="74">
        <v>4</v>
      </c>
      <c r="I23" s="74" t="s">
        <v>156</v>
      </c>
      <c r="J23" s="74">
        <f t="shared" si="0"/>
        <v>3</v>
      </c>
      <c r="K23" s="206"/>
      <c r="L23" s="207"/>
      <c r="M23" s="206">
        <v>3</v>
      </c>
      <c r="N23" s="207"/>
      <c r="O23" s="206"/>
      <c r="P23" s="207"/>
      <c r="Q23" s="206"/>
      <c r="R23" s="207"/>
      <c r="S23" s="206"/>
      <c r="T23" s="207"/>
      <c r="U23" s="206"/>
      <c r="V23" s="207"/>
      <c r="W23" s="74">
        <f t="shared" si="1"/>
        <v>3</v>
      </c>
      <c r="X23" s="209"/>
      <c r="Y23" s="209"/>
      <c r="Z23" s="1"/>
    </row>
    <row r="24" spans="1:26" ht="14">
      <c r="A24" s="1"/>
      <c r="B24" s="218"/>
      <c r="C24" s="219"/>
      <c r="D24" s="212" t="s">
        <v>223</v>
      </c>
      <c r="E24" s="74" t="s">
        <v>224</v>
      </c>
      <c r="F24" s="206" t="s">
        <v>225</v>
      </c>
      <c r="G24" s="207"/>
      <c r="H24" s="74">
        <v>3</v>
      </c>
      <c r="I24" s="74" t="s">
        <v>226</v>
      </c>
      <c r="J24" s="74">
        <f t="shared" si="0"/>
        <v>2</v>
      </c>
      <c r="K24" s="206">
        <v>2</v>
      </c>
      <c r="L24" s="207"/>
      <c r="M24" s="206"/>
      <c r="N24" s="207"/>
      <c r="O24" s="206"/>
      <c r="P24" s="207"/>
      <c r="Q24" s="206"/>
      <c r="R24" s="207"/>
      <c r="S24" s="206"/>
      <c r="T24" s="207"/>
      <c r="U24" s="206"/>
      <c r="V24" s="207"/>
      <c r="W24" s="74">
        <f t="shared" si="1"/>
        <v>2</v>
      </c>
      <c r="X24" s="212">
        <f>SUM(W24:W28)</f>
        <v>9</v>
      </c>
      <c r="Y24" s="215">
        <v>8</v>
      </c>
      <c r="Z24" s="1"/>
    </row>
    <row r="25" spans="1:26" ht="14">
      <c r="A25" s="1"/>
      <c r="B25" s="218"/>
      <c r="C25" s="219"/>
      <c r="D25" s="213"/>
      <c r="E25" s="74" t="s">
        <v>224</v>
      </c>
      <c r="F25" s="206" t="s">
        <v>227</v>
      </c>
      <c r="G25" s="207"/>
      <c r="H25" s="74">
        <v>3</v>
      </c>
      <c r="I25" s="74" t="s">
        <v>226</v>
      </c>
      <c r="J25" s="74">
        <f t="shared" si="0"/>
        <v>2</v>
      </c>
      <c r="K25" s="206"/>
      <c r="L25" s="207"/>
      <c r="M25" s="206">
        <v>2</v>
      </c>
      <c r="N25" s="207"/>
      <c r="O25" s="206"/>
      <c r="P25" s="207"/>
      <c r="Q25" s="206"/>
      <c r="R25" s="207"/>
      <c r="S25" s="206"/>
      <c r="T25" s="207"/>
      <c r="U25" s="206"/>
      <c r="V25" s="207"/>
      <c r="W25" s="74">
        <f t="shared" si="1"/>
        <v>2</v>
      </c>
      <c r="X25" s="213"/>
      <c r="Y25" s="213"/>
      <c r="Z25" s="1"/>
    </row>
    <row r="26" spans="1:26" ht="14">
      <c r="A26" s="1"/>
      <c r="B26" s="218"/>
      <c r="C26" s="219"/>
      <c r="D26" s="213"/>
      <c r="E26" s="74" t="s">
        <v>228</v>
      </c>
      <c r="F26" s="206" t="s">
        <v>229</v>
      </c>
      <c r="G26" s="207"/>
      <c r="H26" s="74">
        <v>3</v>
      </c>
      <c r="I26" s="74" t="s">
        <v>226</v>
      </c>
      <c r="J26" s="74">
        <f t="shared" si="0"/>
        <v>2</v>
      </c>
      <c r="K26" s="206"/>
      <c r="L26" s="207"/>
      <c r="M26" s="206"/>
      <c r="N26" s="207"/>
      <c r="O26" s="206">
        <v>2</v>
      </c>
      <c r="P26" s="207"/>
      <c r="Q26" s="206"/>
      <c r="R26" s="207"/>
      <c r="S26" s="206"/>
      <c r="T26" s="207"/>
      <c r="U26" s="206"/>
      <c r="V26" s="207"/>
      <c r="W26" s="74">
        <f t="shared" si="1"/>
        <v>2</v>
      </c>
      <c r="X26" s="213"/>
      <c r="Y26" s="213"/>
      <c r="Z26" s="1"/>
    </row>
    <row r="27" spans="1:26" ht="14">
      <c r="A27" s="1"/>
      <c r="B27" s="218"/>
      <c r="C27" s="219"/>
      <c r="D27" s="213"/>
      <c r="E27" s="74" t="s">
        <v>228</v>
      </c>
      <c r="F27" s="206" t="s">
        <v>230</v>
      </c>
      <c r="G27" s="207"/>
      <c r="H27" s="74">
        <v>3</v>
      </c>
      <c r="I27" s="74" t="s">
        <v>226</v>
      </c>
      <c r="J27" s="74">
        <f t="shared" si="0"/>
        <v>2</v>
      </c>
      <c r="K27" s="206"/>
      <c r="L27" s="207"/>
      <c r="M27" s="206"/>
      <c r="N27" s="207"/>
      <c r="O27" s="206"/>
      <c r="P27" s="207"/>
      <c r="Q27" s="206">
        <v>2</v>
      </c>
      <c r="R27" s="207"/>
      <c r="S27" s="206"/>
      <c r="T27" s="207"/>
      <c r="U27" s="206"/>
      <c r="V27" s="207"/>
      <c r="W27" s="74">
        <f t="shared" si="1"/>
        <v>2</v>
      </c>
      <c r="X27" s="213"/>
      <c r="Y27" s="213"/>
      <c r="Z27" s="1"/>
    </row>
    <row r="28" spans="1:26" ht="14">
      <c r="A28" s="1"/>
      <c r="B28" s="218"/>
      <c r="C28" s="219"/>
      <c r="D28" s="209"/>
      <c r="E28" s="74" t="s">
        <v>165</v>
      </c>
      <c r="F28" s="206" t="s">
        <v>231</v>
      </c>
      <c r="G28" s="207"/>
      <c r="H28" s="74">
        <v>2</v>
      </c>
      <c r="I28" s="74" t="s">
        <v>232</v>
      </c>
      <c r="J28" s="74">
        <f t="shared" si="0"/>
        <v>1</v>
      </c>
      <c r="K28" s="206"/>
      <c r="L28" s="207"/>
      <c r="M28" s="206"/>
      <c r="N28" s="207"/>
      <c r="O28" s="206"/>
      <c r="P28" s="207"/>
      <c r="Q28" s="206"/>
      <c r="R28" s="207"/>
      <c r="S28" s="206">
        <v>1</v>
      </c>
      <c r="T28" s="207"/>
      <c r="U28" s="206"/>
      <c r="V28" s="207"/>
      <c r="W28" s="74">
        <f t="shared" si="1"/>
        <v>1</v>
      </c>
      <c r="X28" s="209"/>
      <c r="Y28" s="209"/>
      <c r="Z28" s="1"/>
    </row>
    <row r="29" spans="1:26" ht="14">
      <c r="A29" s="1"/>
      <c r="B29" s="218"/>
      <c r="C29" s="219"/>
      <c r="D29" s="212" t="s">
        <v>233</v>
      </c>
      <c r="E29" s="74" t="s">
        <v>224</v>
      </c>
      <c r="F29" s="206" t="s">
        <v>234</v>
      </c>
      <c r="G29" s="207"/>
      <c r="H29" s="74">
        <v>3</v>
      </c>
      <c r="I29" s="74" t="s">
        <v>226</v>
      </c>
      <c r="J29" s="74">
        <f t="shared" si="0"/>
        <v>3</v>
      </c>
      <c r="K29" s="206">
        <v>3</v>
      </c>
      <c r="L29" s="207"/>
      <c r="M29" s="206"/>
      <c r="N29" s="207"/>
      <c r="O29" s="206"/>
      <c r="P29" s="207"/>
      <c r="Q29" s="206"/>
      <c r="R29" s="207"/>
      <c r="S29" s="270"/>
      <c r="T29" s="207"/>
      <c r="U29" s="270"/>
      <c r="V29" s="207"/>
      <c r="W29" s="216">
        <f>SUM(J29:J32)</f>
        <v>10</v>
      </c>
      <c r="X29" s="217"/>
      <c r="Y29" s="215">
        <v>6</v>
      </c>
      <c r="Z29" s="1"/>
    </row>
    <row r="30" spans="1:26" ht="14">
      <c r="A30" s="1"/>
      <c r="B30" s="218"/>
      <c r="C30" s="219"/>
      <c r="D30" s="213"/>
      <c r="E30" s="74" t="s">
        <v>165</v>
      </c>
      <c r="F30" s="206" t="s">
        <v>235</v>
      </c>
      <c r="G30" s="207"/>
      <c r="H30" s="74">
        <v>3</v>
      </c>
      <c r="I30" s="74" t="s">
        <v>226</v>
      </c>
      <c r="J30" s="74">
        <f t="shared" si="0"/>
        <v>2</v>
      </c>
      <c r="K30" s="206"/>
      <c r="L30" s="207"/>
      <c r="M30" s="206"/>
      <c r="N30" s="207"/>
      <c r="O30" s="206">
        <v>2</v>
      </c>
      <c r="P30" s="207"/>
      <c r="Q30" s="206"/>
      <c r="R30" s="207"/>
      <c r="S30" s="206"/>
      <c r="T30" s="207"/>
      <c r="U30" s="206"/>
      <c r="V30" s="207"/>
      <c r="W30" s="218"/>
      <c r="X30" s="219"/>
      <c r="Y30" s="213"/>
      <c r="Z30" s="1"/>
    </row>
    <row r="31" spans="1:26" ht="14">
      <c r="A31" s="1"/>
      <c r="B31" s="218"/>
      <c r="C31" s="219"/>
      <c r="D31" s="213"/>
      <c r="E31" s="74" t="s">
        <v>224</v>
      </c>
      <c r="F31" s="206" t="s">
        <v>236</v>
      </c>
      <c r="G31" s="207"/>
      <c r="H31" s="74">
        <v>3</v>
      </c>
      <c r="I31" s="74" t="s">
        <v>226</v>
      </c>
      <c r="J31" s="74">
        <f t="shared" si="0"/>
        <v>3</v>
      </c>
      <c r="K31" s="206"/>
      <c r="L31" s="207"/>
      <c r="M31" s="206">
        <v>3</v>
      </c>
      <c r="N31" s="207"/>
      <c r="O31" s="206"/>
      <c r="P31" s="207"/>
      <c r="Q31" s="206"/>
      <c r="R31" s="207"/>
      <c r="S31" s="206"/>
      <c r="T31" s="207"/>
      <c r="U31" s="206"/>
      <c r="V31" s="207"/>
      <c r="W31" s="218"/>
      <c r="X31" s="219"/>
      <c r="Y31" s="213"/>
      <c r="Z31" s="1"/>
    </row>
    <row r="32" spans="1:26" ht="14">
      <c r="A32" s="1"/>
      <c r="B32" s="218"/>
      <c r="C32" s="219"/>
      <c r="D32" s="209"/>
      <c r="E32" s="74" t="s">
        <v>165</v>
      </c>
      <c r="F32" s="206" t="s">
        <v>237</v>
      </c>
      <c r="G32" s="207"/>
      <c r="H32" s="74">
        <v>3</v>
      </c>
      <c r="I32" s="74" t="s">
        <v>226</v>
      </c>
      <c r="J32" s="74">
        <f t="shared" si="0"/>
        <v>2</v>
      </c>
      <c r="K32" s="206"/>
      <c r="L32" s="207"/>
      <c r="M32" s="206"/>
      <c r="N32" s="207"/>
      <c r="O32" s="206"/>
      <c r="P32" s="207"/>
      <c r="Q32" s="206">
        <v>2</v>
      </c>
      <c r="R32" s="207"/>
      <c r="S32" s="270"/>
      <c r="T32" s="207"/>
      <c r="U32" s="270"/>
      <c r="V32" s="207"/>
      <c r="W32" s="220"/>
      <c r="X32" s="221"/>
      <c r="Y32" s="209"/>
      <c r="Z32" s="1"/>
    </row>
    <row r="33" spans="1:26" ht="14">
      <c r="A33" s="1"/>
      <c r="B33" s="218"/>
      <c r="C33" s="219"/>
      <c r="D33" s="228" t="s">
        <v>238</v>
      </c>
      <c r="E33" s="74" t="s">
        <v>224</v>
      </c>
      <c r="F33" s="206" t="s">
        <v>239</v>
      </c>
      <c r="G33" s="207"/>
      <c r="H33" s="74">
        <v>3</v>
      </c>
      <c r="I33" s="74" t="s">
        <v>226</v>
      </c>
      <c r="J33" s="74">
        <f t="shared" si="0"/>
        <v>2</v>
      </c>
      <c r="K33" s="206">
        <v>2</v>
      </c>
      <c r="L33" s="207"/>
      <c r="M33" s="206"/>
      <c r="N33" s="207"/>
      <c r="O33" s="270"/>
      <c r="P33" s="207"/>
      <c r="Q33" s="270"/>
      <c r="R33" s="207"/>
      <c r="S33" s="270"/>
      <c r="T33" s="207"/>
      <c r="U33" s="270"/>
      <c r="V33" s="207"/>
      <c r="W33" s="216">
        <f>SUM(J33:J35)</f>
        <v>8</v>
      </c>
      <c r="X33" s="217"/>
      <c r="Y33" s="215">
        <v>8</v>
      </c>
      <c r="Z33" s="1"/>
    </row>
    <row r="34" spans="1:26" ht="14">
      <c r="A34" s="1"/>
      <c r="B34" s="218"/>
      <c r="C34" s="219"/>
      <c r="D34" s="213"/>
      <c r="E34" s="74" t="s">
        <v>224</v>
      </c>
      <c r="F34" s="206" t="s">
        <v>240</v>
      </c>
      <c r="G34" s="207"/>
      <c r="H34" s="74">
        <v>4</v>
      </c>
      <c r="I34" s="74" t="s">
        <v>167</v>
      </c>
      <c r="J34" s="74">
        <f t="shared" si="0"/>
        <v>3</v>
      </c>
      <c r="K34" s="206">
        <v>3</v>
      </c>
      <c r="L34" s="207"/>
      <c r="M34" s="206"/>
      <c r="N34" s="207"/>
      <c r="O34" s="270"/>
      <c r="P34" s="207"/>
      <c r="Q34" s="270"/>
      <c r="R34" s="207"/>
      <c r="S34" s="270"/>
      <c r="T34" s="207"/>
      <c r="U34" s="270"/>
      <c r="V34" s="207"/>
      <c r="W34" s="218"/>
      <c r="X34" s="219"/>
      <c r="Y34" s="213"/>
      <c r="Z34" s="1"/>
    </row>
    <row r="35" spans="1:26" ht="14">
      <c r="A35" s="1"/>
      <c r="B35" s="220"/>
      <c r="C35" s="221"/>
      <c r="D35" s="209"/>
      <c r="E35" s="74" t="s">
        <v>224</v>
      </c>
      <c r="F35" s="206" t="s">
        <v>241</v>
      </c>
      <c r="G35" s="207"/>
      <c r="H35" s="74">
        <v>4</v>
      </c>
      <c r="I35" s="74" t="s">
        <v>167</v>
      </c>
      <c r="J35" s="74">
        <f t="shared" si="0"/>
        <v>3</v>
      </c>
      <c r="K35" s="206"/>
      <c r="L35" s="207"/>
      <c r="M35" s="206">
        <v>3</v>
      </c>
      <c r="N35" s="207"/>
      <c r="O35" s="270"/>
      <c r="P35" s="207"/>
      <c r="Q35" s="270"/>
      <c r="R35" s="207"/>
      <c r="S35" s="270"/>
      <c r="T35" s="207"/>
      <c r="U35" s="270"/>
      <c r="V35" s="207"/>
      <c r="W35" s="220"/>
      <c r="X35" s="221"/>
      <c r="Y35" s="209"/>
      <c r="Z35" s="1"/>
    </row>
    <row r="36" spans="1:26" ht="14">
      <c r="A36" s="1"/>
      <c r="B36" s="223" t="s">
        <v>242</v>
      </c>
      <c r="C36" s="211"/>
      <c r="D36" s="211"/>
      <c r="E36" s="211"/>
      <c r="F36" s="211"/>
      <c r="G36" s="207"/>
      <c r="H36" s="104"/>
      <c r="I36" s="105"/>
      <c r="J36" s="104">
        <f t="shared" ref="J36:K36" si="2">SUM(J9:J35)</f>
        <v>72</v>
      </c>
      <c r="K36" s="223">
        <f t="shared" si="2"/>
        <v>25</v>
      </c>
      <c r="L36" s="207"/>
      <c r="M36" s="223">
        <f>SUM(M9:M35)</f>
        <v>23</v>
      </c>
      <c r="N36" s="207"/>
      <c r="O36" s="223">
        <f>SUM(O9:O35)</f>
        <v>13</v>
      </c>
      <c r="P36" s="207"/>
      <c r="Q36" s="223">
        <f>SUM(Q9:Q35)</f>
        <v>10</v>
      </c>
      <c r="R36" s="207"/>
      <c r="S36" s="223">
        <f>SUM(S9:S35)</f>
        <v>1</v>
      </c>
      <c r="T36" s="207"/>
      <c r="U36" s="223">
        <f>SUM(U9:U35)</f>
        <v>0</v>
      </c>
      <c r="V36" s="207"/>
      <c r="W36" s="223">
        <f>SUM(W9:W35)</f>
        <v>72</v>
      </c>
      <c r="X36" s="207"/>
      <c r="Y36" s="106">
        <v>64</v>
      </c>
      <c r="Z36" s="1"/>
    </row>
    <row r="37" spans="1:26" ht="14">
      <c r="A37" s="1"/>
      <c r="B37" s="224" t="s">
        <v>247</v>
      </c>
      <c r="C37" s="217"/>
      <c r="D37" s="107"/>
      <c r="E37" s="74" t="s">
        <v>250</v>
      </c>
      <c r="F37" s="206" t="s">
        <v>251</v>
      </c>
      <c r="G37" s="207"/>
      <c r="H37" s="108"/>
      <c r="I37" s="109" t="s">
        <v>252</v>
      </c>
      <c r="J37" s="74">
        <f t="shared" ref="J37:J66" si="3">SUM(K37:V37)</f>
        <v>2</v>
      </c>
      <c r="K37" s="240"/>
      <c r="L37" s="207"/>
      <c r="M37" s="240"/>
      <c r="N37" s="207"/>
      <c r="O37" s="240"/>
      <c r="P37" s="207"/>
      <c r="Q37" s="240"/>
      <c r="R37" s="207"/>
      <c r="S37" s="240">
        <v>2</v>
      </c>
      <c r="T37" s="207"/>
      <c r="U37" s="240"/>
      <c r="V37" s="207"/>
      <c r="W37" s="216">
        <f>SUM(J37:J41)+(SUM(J42:J66)/3)</f>
        <v>102</v>
      </c>
      <c r="X37" s="217"/>
      <c r="Y37" s="215">
        <v>80</v>
      </c>
      <c r="Z37" s="1"/>
    </row>
    <row r="38" spans="1:26" ht="14">
      <c r="A38" s="1"/>
      <c r="B38" s="218"/>
      <c r="C38" s="219"/>
      <c r="D38" s="107" t="s">
        <v>113</v>
      </c>
      <c r="E38" s="74" t="s">
        <v>253</v>
      </c>
      <c r="F38" s="206" t="s">
        <v>408</v>
      </c>
      <c r="G38" s="207"/>
      <c r="H38" s="108"/>
      <c r="I38" s="109" t="s">
        <v>252</v>
      </c>
      <c r="J38" s="74">
        <f t="shared" si="3"/>
        <v>2</v>
      </c>
      <c r="K38" s="240"/>
      <c r="L38" s="207"/>
      <c r="M38" s="240">
        <v>2</v>
      </c>
      <c r="N38" s="207"/>
      <c r="O38" s="240"/>
      <c r="P38" s="207"/>
      <c r="Q38" s="240"/>
      <c r="R38" s="207"/>
      <c r="S38" s="240"/>
      <c r="T38" s="207"/>
      <c r="U38" s="240"/>
      <c r="V38" s="207"/>
      <c r="W38" s="218"/>
      <c r="X38" s="219"/>
      <c r="Y38" s="213"/>
      <c r="Z38" s="1"/>
    </row>
    <row r="39" spans="1:26" ht="14">
      <c r="A39" s="1"/>
      <c r="B39" s="218"/>
      <c r="C39" s="219"/>
      <c r="D39" s="107" t="s">
        <v>255</v>
      </c>
      <c r="E39" s="74" t="s">
        <v>253</v>
      </c>
      <c r="F39" s="206" t="s">
        <v>256</v>
      </c>
      <c r="G39" s="207"/>
      <c r="H39" s="108"/>
      <c r="I39" s="109" t="s">
        <v>252</v>
      </c>
      <c r="J39" s="74">
        <f t="shared" si="3"/>
        <v>2</v>
      </c>
      <c r="K39" s="240"/>
      <c r="L39" s="207"/>
      <c r="M39" s="240"/>
      <c r="N39" s="207"/>
      <c r="O39" s="240">
        <v>2</v>
      </c>
      <c r="P39" s="207"/>
      <c r="Q39" s="240"/>
      <c r="R39" s="207"/>
      <c r="S39" s="240"/>
      <c r="T39" s="207"/>
      <c r="U39" s="240"/>
      <c r="V39" s="207"/>
      <c r="W39" s="218"/>
      <c r="X39" s="219"/>
      <c r="Y39" s="213"/>
      <c r="Z39" s="1"/>
    </row>
    <row r="40" spans="1:26" ht="14">
      <c r="A40" s="1"/>
      <c r="B40" s="218"/>
      <c r="C40" s="219"/>
      <c r="D40" s="107" t="s">
        <v>255</v>
      </c>
      <c r="E40" s="74" t="s">
        <v>253</v>
      </c>
      <c r="F40" s="206" t="s">
        <v>258</v>
      </c>
      <c r="G40" s="207"/>
      <c r="H40" s="108"/>
      <c r="I40" s="109" t="s">
        <v>252</v>
      </c>
      <c r="J40" s="74">
        <f t="shared" si="3"/>
        <v>2</v>
      </c>
      <c r="K40" s="240"/>
      <c r="L40" s="207"/>
      <c r="M40" s="240"/>
      <c r="N40" s="207"/>
      <c r="O40" s="240">
        <v>2</v>
      </c>
      <c r="P40" s="207"/>
      <c r="Q40" s="240"/>
      <c r="R40" s="207"/>
      <c r="S40" s="240"/>
      <c r="T40" s="207"/>
      <c r="U40" s="240"/>
      <c r="V40" s="207"/>
      <c r="W40" s="218"/>
      <c r="X40" s="219"/>
      <c r="Y40" s="213"/>
      <c r="Z40" s="1"/>
    </row>
    <row r="41" spans="1:26" ht="14">
      <c r="A41" s="1"/>
      <c r="B41" s="218"/>
      <c r="C41" s="219"/>
      <c r="D41" s="107" t="s">
        <v>255</v>
      </c>
      <c r="E41" s="74" t="s">
        <v>260</v>
      </c>
      <c r="F41" s="206" t="s">
        <v>409</v>
      </c>
      <c r="G41" s="207"/>
      <c r="H41" s="115"/>
      <c r="I41" s="109" t="s">
        <v>252</v>
      </c>
      <c r="J41" s="74">
        <f t="shared" si="3"/>
        <v>8</v>
      </c>
      <c r="K41" s="240">
        <v>4</v>
      </c>
      <c r="L41" s="207"/>
      <c r="M41" s="240">
        <v>4</v>
      </c>
      <c r="N41" s="207"/>
      <c r="O41" s="240"/>
      <c r="P41" s="207"/>
      <c r="Q41" s="240"/>
      <c r="R41" s="207"/>
      <c r="S41" s="240"/>
      <c r="T41" s="207"/>
      <c r="U41" s="240"/>
      <c r="V41" s="207"/>
      <c r="W41" s="218"/>
      <c r="X41" s="219"/>
      <c r="Y41" s="213"/>
      <c r="Z41" s="1"/>
    </row>
    <row r="42" spans="1:26" ht="14">
      <c r="A42" s="1"/>
      <c r="B42" s="218"/>
      <c r="C42" s="219"/>
      <c r="D42" s="107" t="s">
        <v>255</v>
      </c>
      <c r="E42" s="74" t="s">
        <v>253</v>
      </c>
      <c r="F42" s="117" t="s">
        <v>410</v>
      </c>
      <c r="G42" s="276" t="s">
        <v>411</v>
      </c>
      <c r="H42" s="108"/>
      <c r="I42" s="109" t="s">
        <v>252</v>
      </c>
      <c r="J42" s="74">
        <f t="shared" si="3"/>
        <v>2</v>
      </c>
      <c r="K42" s="274"/>
      <c r="L42" s="207"/>
      <c r="M42" s="274"/>
      <c r="N42" s="207"/>
      <c r="O42" s="229">
        <v>2</v>
      </c>
      <c r="P42" s="207"/>
      <c r="Q42" s="229"/>
      <c r="R42" s="207"/>
      <c r="S42" s="229"/>
      <c r="T42" s="207"/>
      <c r="U42" s="229"/>
      <c r="V42" s="207"/>
      <c r="W42" s="218"/>
      <c r="X42" s="219"/>
      <c r="Y42" s="213"/>
      <c r="Z42" s="1"/>
    </row>
    <row r="43" spans="1:26" ht="14">
      <c r="A43" s="1"/>
      <c r="B43" s="218"/>
      <c r="C43" s="219"/>
      <c r="D43" s="107" t="s">
        <v>255</v>
      </c>
      <c r="E43" s="74" t="s">
        <v>253</v>
      </c>
      <c r="F43" s="117" t="s">
        <v>263</v>
      </c>
      <c r="G43" s="213"/>
      <c r="H43" s="108"/>
      <c r="I43" s="109" t="s">
        <v>252</v>
      </c>
      <c r="J43" s="74">
        <f t="shared" si="3"/>
        <v>6</v>
      </c>
      <c r="K43" s="274"/>
      <c r="L43" s="207"/>
      <c r="M43" s="274"/>
      <c r="N43" s="207"/>
      <c r="O43" s="229"/>
      <c r="P43" s="207"/>
      <c r="Q43" s="229">
        <v>6</v>
      </c>
      <c r="R43" s="207"/>
      <c r="S43" s="229"/>
      <c r="T43" s="207"/>
      <c r="U43" s="229"/>
      <c r="V43" s="207"/>
      <c r="W43" s="218"/>
      <c r="X43" s="219"/>
      <c r="Y43" s="213"/>
      <c r="Z43" s="1"/>
    </row>
    <row r="44" spans="1:26" ht="14">
      <c r="A44" s="1"/>
      <c r="B44" s="218"/>
      <c r="C44" s="219"/>
      <c r="D44" s="107"/>
      <c r="E44" s="74" t="s">
        <v>260</v>
      </c>
      <c r="F44" s="117" t="s">
        <v>412</v>
      </c>
      <c r="G44" s="213"/>
      <c r="H44" s="108"/>
      <c r="I44" s="109" t="s">
        <v>252</v>
      </c>
      <c r="J44" s="74">
        <f t="shared" si="3"/>
        <v>19</v>
      </c>
      <c r="K44" s="274"/>
      <c r="L44" s="207"/>
      <c r="M44" s="274"/>
      <c r="N44" s="207"/>
      <c r="O44" s="229"/>
      <c r="P44" s="207"/>
      <c r="Q44" s="229"/>
      <c r="R44" s="207"/>
      <c r="S44" s="229">
        <v>6</v>
      </c>
      <c r="T44" s="207"/>
      <c r="U44" s="229">
        <v>13</v>
      </c>
      <c r="V44" s="207"/>
      <c r="W44" s="218"/>
      <c r="X44" s="219"/>
      <c r="Y44" s="213"/>
      <c r="Z44" s="1"/>
    </row>
    <row r="45" spans="1:26" ht="14">
      <c r="A45" s="1"/>
      <c r="B45" s="218"/>
      <c r="C45" s="219"/>
      <c r="D45" s="107" t="s">
        <v>113</v>
      </c>
      <c r="E45" s="74" t="s">
        <v>260</v>
      </c>
      <c r="F45" s="126" t="s">
        <v>281</v>
      </c>
      <c r="G45" s="213"/>
      <c r="H45" s="108"/>
      <c r="I45" s="109" t="s">
        <v>252</v>
      </c>
      <c r="J45" s="74">
        <f t="shared" si="3"/>
        <v>4</v>
      </c>
      <c r="K45" s="270"/>
      <c r="L45" s="207"/>
      <c r="M45" s="270"/>
      <c r="N45" s="207"/>
      <c r="O45" s="206"/>
      <c r="P45" s="207"/>
      <c r="Q45" s="206"/>
      <c r="R45" s="207"/>
      <c r="S45" s="206"/>
      <c r="T45" s="207"/>
      <c r="U45" s="206">
        <v>4</v>
      </c>
      <c r="V45" s="207"/>
      <c r="W45" s="218"/>
      <c r="X45" s="219"/>
      <c r="Y45" s="213"/>
      <c r="Z45" s="1"/>
    </row>
    <row r="46" spans="1:26" ht="14">
      <c r="A46" s="1"/>
      <c r="B46" s="218"/>
      <c r="C46" s="219"/>
      <c r="D46" s="107" t="s">
        <v>113</v>
      </c>
      <c r="E46" s="74" t="s">
        <v>260</v>
      </c>
      <c r="F46" s="126" t="s">
        <v>60</v>
      </c>
      <c r="G46" s="213"/>
      <c r="H46" s="108"/>
      <c r="I46" s="109" t="s">
        <v>252</v>
      </c>
      <c r="J46" s="74">
        <f t="shared" si="3"/>
        <v>13</v>
      </c>
      <c r="K46" s="270"/>
      <c r="L46" s="207"/>
      <c r="M46" s="270"/>
      <c r="N46" s="207"/>
      <c r="O46" s="206">
        <v>10</v>
      </c>
      <c r="P46" s="207"/>
      <c r="Q46" s="206">
        <v>3</v>
      </c>
      <c r="R46" s="207"/>
      <c r="S46" s="206"/>
      <c r="T46" s="207"/>
      <c r="U46" s="206"/>
      <c r="V46" s="207"/>
      <c r="W46" s="218"/>
      <c r="X46" s="219"/>
      <c r="Y46" s="213"/>
      <c r="Z46" s="1"/>
    </row>
    <row r="47" spans="1:26" ht="14">
      <c r="A47" s="1"/>
      <c r="B47" s="218"/>
      <c r="C47" s="219"/>
      <c r="D47" s="107" t="s">
        <v>113</v>
      </c>
      <c r="E47" s="74" t="s">
        <v>260</v>
      </c>
      <c r="F47" s="126" t="s">
        <v>79</v>
      </c>
      <c r="G47" s="213"/>
      <c r="H47" s="108"/>
      <c r="I47" s="109" t="s">
        <v>252</v>
      </c>
      <c r="J47" s="74">
        <f t="shared" si="3"/>
        <v>16</v>
      </c>
      <c r="K47" s="270"/>
      <c r="L47" s="207"/>
      <c r="M47" s="270"/>
      <c r="N47" s="207"/>
      <c r="O47" s="206"/>
      <c r="P47" s="207"/>
      <c r="Q47" s="206">
        <v>6</v>
      </c>
      <c r="R47" s="207"/>
      <c r="S47" s="206">
        <v>10</v>
      </c>
      <c r="T47" s="207"/>
      <c r="U47" s="206"/>
      <c r="V47" s="207"/>
      <c r="W47" s="218"/>
      <c r="X47" s="219"/>
      <c r="Y47" s="213"/>
      <c r="Z47" s="1"/>
    </row>
    <row r="48" spans="1:26" ht="14">
      <c r="A48" s="1"/>
      <c r="B48" s="218"/>
      <c r="C48" s="219"/>
      <c r="D48" s="107" t="s">
        <v>413</v>
      </c>
      <c r="E48" s="74" t="s">
        <v>260</v>
      </c>
      <c r="F48" s="126" t="s">
        <v>414</v>
      </c>
      <c r="G48" s="213"/>
      <c r="H48" s="108"/>
      <c r="I48" s="109" t="s">
        <v>252</v>
      </c>
      <c r="J48" s="74">
        <f t="shared" si="3"/>
        <v>6</v>
      </c>
      <c r="K48" s="270"/>
      <c r="L48" s="207"/>
      <c r="M48" s="270"/>
      <c r="N48" s="207"/>
      <c r="O48" s="206"/>
      <c r="P48" s="207"/>
      <c r="Q48" s="206"/>
      <c r="R48" s="207"/>
      <c r="S48" s="206"/>
      <c r="T48" s="207"/>
      <c r="U48" s="206">
        <v>6</v>
      </c>
      <c r="V48" s="207"/>
      <c r="W48" s="218"/>
      <c r="X48" s="219"/>
      <c r="Y48" s="213"/>
      <c r="Z48" s="1"/>
    </row>
    <row r="49" spans="1:26" ht="14">
      <c r="A49" s="1"/>
      <c r="B49" s="218"/>
      <c r="C49" s="219"/>
      <c r="D49" s="107" t="s">
        <v>113</v>
      </c>
      <c r="E49" s="74" t="s">
        <v>260</v>
      </c>
      <c r="F49" s="126" t="s">
        <v>95</v>
      </c>
      <c r="G49" s="213"/>
      <c r="H49" s="108"/>
      <c r="I49" s="109" t="s">
        <v>252</v>
      </c>
      <c r="J49" s="74">
        <f t="shared" si="3"/>
        <v>8</v>
      </c>
      <c r="K49" s="270"/>
      <c r="L49" s="207"/>
      <c r="M49" s="270"/>
      <c r="N49" s="207"/>
      <c r="O49" s="206"/>
      <c r="P49" s="207"/>
      <c r="Q49" s="206"/>
      <c r="R49" s="207"/>
      <c r="S49" s="206">
        <v>2</v>
      </c>
      <c r="T49" s="207"/>
      <c r="U49" s="206">
        <v>6</v>
      </c>
      <c r="V49" s="207"/>
      <c r="W49" s="218"/>
      <c r="X49" s="219"/>
      <c r="Y49" s="213"/>
      <c r="Z49" s="1"/>
    </row>
    <row r="50" spans="1:26" ht="14">
      <c r="A50" s="1"/>
      <c r="B50" s="218"/>
      <c r="C50" s="219"/>
      <c r="D50" s="107" t="s">
        <v>113</v>
      </c>
      <c r="E50" s="74" t="s">
        <v>260</v>
      </c>
      <c r="F50" s="126" t="s">
        <v>45</v>
      </c>
      <c r="G50" s="209"/>
      <c r="H50" s="108"/>
      <c r="I50" s="109" t="s">
        <v>252</v>
      </c>
      <c r="J50" s="74">
        <f t="shared" si="3"/>
        <v>12</v>
      </c>
      <c r="K50" s="270"/>
      <c r="L50" s="207"/>
      <c r="M50" s="270"/>
      <c r="N50" s="207"/>
      <c r="O50" s="206"/>
      <c r="P50" s="207"/>
      <c r="Q50" s="206">
        <v>4</v>
      </c>
      <c r="R50" s="207"/>
      <c r="S50" s="206">
        <v>8</v>
      </c>
      <c r="T50" s="207"/>
      <c r="U50" s="206"/>
      <c r="V50" s="207"/>
      <c r="W50" s="218"/>
      <c r="X50" s="219"/>
      <c r="Y50" s="213"/>
      <c r="Z50" s="1"/>
    </row>
    <row r="51" spans="1:26" ht="14">
      <c r="A51" s="1"/>
      <c r="B51" s="218"/>
      <c r="C51" s="219"/>
      <c r="D51" s="107" t="s">
        <v>255</v>
      </c>
      <c r="E51" s="74" t="s">
        <v>253</v>
      </c>
      <c r="F51" s="117" t="s">
        <v>410</v>
      </c>
      <c r="G51" s="276" t="s">
        <v>415</v>
      </c>
      <c r="H51" s="108"/>
      <c r="I51" s="109" t="s">
        <v>252</v>
      </c>
      <c r="J51" s="74">
        <f t="shared" si="3"/>
        <v>2</v>
      </c>
      <c r="K51" s="274"/>
      <c r="L51" s="207"/>
      <c r="M51" s="274"/>
      <c r="N51" s="207"/>
      <c r="O51" s="229">
        <v>2</v>
      </c>
      <c r="P51" s="207"/>
      <c r="Q51" s="229"/>
      <c r="R51" s="207"/>
      <c r="S51" s="229"/>
      <c r="T51" s="207"/>
      <c r="U51" s="229"/>
      <c r="V51" s="207"/>
      <c r="W51" s="218"/>
      <c r="X51" s="219"/>
      <c r="Y51" s="213"/>
      <c r="Z51" s="1"/>
    </row>
    <row r="52" spans="1:26" ht="14">
      <c r="A52" s="1"/>
      <c r="B52" s="218"/>
      <c r="C52" s="219"/>
      <c r="D52" s="107" t="s">
        <v>255</v>
      </c>
      <c r="E52" s="74" t="s">
        <v>253</v>
      </c>
      <c r="F52" s="117" t="s">
        <v>263</v>
      </c>
      <c r="G52" s="213"/>
      <c r="H52" s="108"/>
      <c r="I52" s="109" t="s">
        <v>252</v>
      </c>
      <c r="J52" s="74">
        <f t="shared" si="3"/>
        <v>6</v>
      </c>
      <c r="K52" s="274"/>
      <c r="L52" s="207"/>
      <c r="M52" s="274"/>
      <c r="N52" s="207"/>
      <c r="O52" s="229"/>
      <c r="P52" s="207"/>
      <c r="Q52" s="229">
        <v>6</v>
      </c>
      <c r="R52" s="207"/>
      <c r="S52" s="229"/>
      <c r="T52" s="207"/>
      <c r="U52" s="229"/>
      <c r="V52" s="207"/>
      <c r="W52" s="218"/>
      <c r="X52" s="219"/>
      <c r="Y52" s="213"/>
      <c r="Z52" s="1"/>
    </row>
    <row r="53" spans="1:26" ht="14">
      <c r="A53" s="1"/>
      <c r="B53" s="218"/>
      <c r="C53" s="219"/>
      <c r="D53" s="107"/>
      <c r="E53" s="74" t="s">
        <v>260</v>
      </c>
      <c r="F53" s="117" t="s">
        <v>412</v>
      </c>
      <c r="G53" s="213"/>
      <c r="H53" s="108"/>
      <c r="I53" s="109" t="s">
        <v>252</v>
      </c>
      <c r="J53" s="74">
        <f t="shared" si="3"/>
        <v>19</v>
      </c>
      <c r="K53" s="274"/>
      <c r="L53" s="207"/>
      <c r="M53" s="274"/>
      <c r="N53" s="207"/>
      <c r="O53" s="229"/>
      <c r="P53" s="207"/>
      <c r="Q53" s="229"/>
      <c r="R53" s="207"/>
      <c r="S53" s="229">
        <v>6</v>
      </c>
      <c r="T53" s="207"/>
      <c r="U53" s="229">
        <v>13</v>
      </c>
      <c r="V53" s="207"/>
      <c r="W53" s="218"/>
      <c r="X53" s="219"/>
      <c r="Y53" s="213"/>
      <c r="Z53" s="1"/>
    </row>
    <row r="54" spans="1:26" ht="14">
      <c r="A54" s="1"/>
      <c r="B54" s="218"/>
      <c r="C54" s="219"/>
      <c r="D54" s="107" t="s">
        <v>113</v>
      </c>
      <c r="E54" s="74" t="s">
        <v>260</v>
      </c>
      <c r="F54" s="126" t="s">
        <v>281</v>
      </c>
      <c r="G54" s="213"/>
      <c r="H54" s="108"/>
      <c r="I54" s="109" t="s">
        <v>252</v>
      </c>
      <c r="J54" s="74">
        <f t="shared" si="3"/>
        <v>4</v>
      </c>
      <c r="K54" s="270"/>
      <c r="L54" s="207"/>
      <c r="M54" s="270"/>
      <c r="N54" s="207"/>
      <c r="O54" s="206"/>
      <c r="P54" s="207"/>
      <c r="Q54" s="206"/>
      <c r="R54" s="207"/>
      <c r="S54" s="206"/>
      <c r="T54" s="207"/>
      <c r="U54" s="206">
        <v>4</v>
      </c>
      <c r="V54" s="207"/>
      <c r="W54" s="218"/>
      <c r="X54" s="219"/>
      <c r="Y54" s="213"/>
      <c r="Z54" s="1"/>
    </row>
    <row r="55" spans="1:26" ht="14">
      <c r="A55" s="1"/>
      <c r="B55" s="218"/>
      <c r="C55" s="219"/>
      <c r="D55" s="107" t="s">
        <v>113</v>
      </c>
      <c r="E55" s="74" t="s">
        <v>260</v>
      </c>
      <c r="F55" s="126" t="s">
        <v>60</v>
      </c>
      <c r="G55" s="213"/>
      <c r="H55" s="108"/>
      <c r="I55" s="109" t="s">
        <v>252</v>
      </c>
      <c r="J55" s="74">
        <f t="shared" si="3"/>
        <v>4</v>
      </c>
      <c r="K55" s="270"/>
      <c r="L55" s="207"/>
      <c r="M55" s="270"/>
      <c r="N55" s="207"/>
      <c r="O55" s="206">
        <v>2</v>
      </c>
      <c r="P55" s="207"/>
      <c r="Q55" s="206">
        <v>2</v>
      </c>
      <c r="R55" s="207"/>
      <c r="S55" s="206"/>
      <c r="T55" s="207"/>
      <c r="U55" s="206"/>
      <c r="V55" s="207"/>
      <c r="W55" s="218"/>
      <c r="X55" s="219"/>
      <c r="Y55" s="213"/>
      <c r="Z55" s="1"/>
    </row>
    <row r="56" spans="1:26" ht="14">
      <c r="A56" s="1"/>
      <c r="B56" s="218"/>
      <c r="C56" s="219"/>
      <c r="D56" s="107" t="s">
        <v>113</v>
      </c>
      <c r="E56" s="74" t="s">
        <v>260</v>
      </c>
      <c r="F56" s="126" t="s">
        <v>79</v>
      </c>
      <c r="G56" s="213"/>
      <c r="H56" s="108"/>
      <c r="I56" s="109" t="s">
        <v>252</v>
      </c>
      <c r="J56" s="74">
        <f t="shared" si="3"/>
        <v>4</v>
      </c>
      <c r="K56" s="270"/>
      <c r="L56" s="207"/>
      <c r="M56" s="270"/>
      <c r="N56" s="207"/>
      <c r="O56" s="206"/>
      <c r="P56" s="207"/>
      <c r="Q56" s="206">
        <v>2</v>
      </c>
      <c r="R56" s="207"/>
      <c r="S56" s="206">
        <v>2</v>
      </c>
      <c r="T56" s="207"/>
      <c r="U56" s="206"/>
      <c r="V56" s="207"/>
      <c r="W56" s="218"/>
      <c r="X56" s="219"/>
      <c r="Y56" s="213"/>
      <c r="Z56" s="1"/>
    </row>
    <row r="57" spans="1:26" ht="14">
      <c r="A57" s="1"/>
      <c r="B57" s="218"/>
      <c r="C57" s="219"/>
      <c r="D57" s="107" t="s">
        <v>113</v>
      </c>
      <c r="E57" s="74" t="s">
        <v>260</v>
      </c>
      <c r="F57" s="126" t="s">
        <v>416</v>
      </c>
      <c r="G57" s="213"/>
      <c r="H57" s="108"/>
      <c r="I57" s="109" t="s">
        <v>252</v>
      </c>
      <c r="J57" s="74">
        <f t="shared" si="3"/>
        <v>12</v>
      </c>
      <c r="K57" s="270"/>
      <c r="L57" s="207"/>
      <c r="M57" s="270"/>
      <c r="N57" s="207"/>
      <c r="O57" s="206">
        <v>8</v>
      </c>
      <c r="P57" s="207"/>
      <c r="Q57" s="206">
        <v>4</v>
      </c>
      <c r="R57" s="207"/>
      <c r="S57" s="206"/>
      <c r="T57" s="207"/>
      <c r="U57" s="206"/>
      <c r="V57" s="207"/>
      <c r="W57" s="218"/>
      <c r="X57" s="219"/>
      <c r="Y57" s="213"/>
      <c r="Z57" s="1"/>
    </row>
    <row r="58" spans="1:26" ht="14">
      <c r="A58" s="1"/>
      <c r="B58" s="218"/>
      <c r="C58" s="219"/>
      <c r="D58" s="107" t="s">
        <v>113</v>
      </c>
      <c r="E58" s="74" t="s">
        <v>260</v>
      </c>
      <c r="F58" s="126" t="s">
        <v>417</v>
      </c>
      <c r="G58" s="213"/>
      <c r="H58" s="108"/>
      <c r="I58" s="109" t="s">
        <v>252</v>
      </c>
      <c r="J58" s="74">
        <f t="shared" si="3"/>
        <v>21</v>
      </c>
      <c r="K58" s="270"/>
      <c r="L58" s="207"/>
      <c r="M58" s="270"/>
      <c r="N58" s="207"/>
      <c r="O58" s="206"/>
      <c r="P58" s="207"/>
      <c r="Q58" s="206">
        <v>5</v>
      </c>
      <c r="R58" s="207"/>
      <c r="S58" s="206">
        <v>16</v>
      </c>
      <c r="T58" s="207"/>
      <c r="U58" s="206"/>
      <c r="V58" s="207"/>
      <c r="W58" s="218"/>
      <c r="X58" s="219"/>
      <c r="Y58" s="213"/>
      <c r="Z58" s="1"/>
    </row>
    <row r="59" spans="1:26" ht="14">
      <c r="A59" s="1"/>
      <c r="B59" s="218"/>
      <c r="C59" s="219"/>
      <c r="D59" s="107" t="s">
        <v>113</v>
      </c>
      <c r="E59" s="74" t="s">
        <v>260</v>
      </c>
      <c r="F59" s="126" t="s">
        <v>95</v>
      </c>
      <c r="G59" s="209"/>
      <c r="H59" s="108"/>
      <c r="I59" s="109" t="s">
        <v>252</v>
      </c>
      <c r="J59" s="74">
        <f t="shared" si="3"/>
        <v>14</v>
      </c>
      <c r="K59" s="270"/>
      <c r="L59" s="207"/>
      <c r="M59" s="270"/>
      <c r="N59" s="207"/>
      <c r="O59" s="206"/>
      <c r="P59" s="207"/>
      <c r="Q59" s="206"/>
      <c r="R59" s="207"/>
      <c r="S59" s="206">
        <v>2</v>
      </c>
      <c r="T59" s="207"/>
      <c r="U59" s="271">
        <v>12</v>
      </c>
      <c r="V59" s="207"/>
      <c r="W59" s="218"/>
      <c r="X59" s="219"/>
      <c r="Y59" s="213"/>
      <c r="Z59" s="1"/>
    </row>
    <row r="60" spans="1:26" ht="14">
      <c r="A60" s="1"/>
      <c r="B60" s="218"/>
      <c r="C60" s="219"/>
      <c r="D60" s="107" t="s">
        <v>255</v>
      </c>
      <c r="E60" s="74" t="s">
        <v>253</v>
      </c>
      <c r="F60" s="117" t="s">
        <v>410</v>
      </c>
      <c r="G60" s="275" t="s">
        <v>418</v>
      </c>
      <c r="H60" s="108"/>
      <c r="I60" s="109" t="s">
        <v>252</v>
      </c>
      <c r="J60" s="74">
        <f t="shared" si="3"/>
        <v>2</v>
      </c>
      <c r="K60" s="274"/>
      <c r="L60" s="207"/>
      <c r="M60" s="274"/>
      <c r="N60" s="207"/>
      <c r="O60" s="229"/>
      <c r="P60" s="207"/>
      <c r="Q60" s="229">
        <v>2</v>
      </c>
      <c r="R60" s="207"/>
      <c r="S60" s="229"/>
      <c r="T60" s="207"/>
      <c r="U60" s="229"/>
      <c r="V60" s="207"/>
      <c r="W60" s="218"/>
      <c r="X60" s="219"/>
      <c r="Y60" s="213"/>
      <c r="Z60" s="1"/>
    </row>
    <row r="61" spans="1:26" ht="14">
      <c r="A61" s="1"/>
      <c r="B61" s="218"/>
      <c r="C61" s="219"/>
      <c r="D61" s="107" t="s">
        <v>255</v>
      </c>
      <c r="E61" s="74" t="s">
        <v>253</v>
      </c>
      <c r="F61" s="117" t="s">
        <v>263</v>
      </c>
      <c r="G61" s="213"/>
      <c r="H61" s="108"/>
      <c r="I61" s="109" t="s">
        <v>252</v>
      </c>
      <c r="J61" s="74">
        <f t="shared" si="3"/>
        <v>2</v>
      </c>
      <c r="K61" s="274"/>
      <c r="L61" s="207"/>
      <c r="M61" s="274"/>
      <c r="N61" s="207"/>
      <c r="O61" s="229"/>
      <c r="P61" s="207"/>
      <c r="Q61" s="229">
        <v>2</v>
      </c>
      <c r="R61" s="207"/>
      <c r="S61" s="229"/>
      <c r="T61" s="207"/>
      <c r="U61" s="229"/>
      <c r="V61" s="207"/>
      <c r="W61" s="218"/>
      <c r="X61" s="219"/>
      <c r="Y61" s="213"/>
      <c r="Z61" s="1"/>
    </row>
    <row r="62" spans="1:26" ht="14">
      <c r="A62" s="1"/>
      <c r="B62" s="218"/>
      <c r="C62" s="219"/>
      <c r="D62" s="107"/>
      <c r="E62" s="74" t="s">
        <v>260</v>
      </c>
      <c r="F62" s="117" t="s">
        <v>412</v>
      </c>
      <c r="G62" s="213"/>
      <c r="H62" s="108"/>
      <c r="I62" s="109" t="s">
        <v>252</v>
      </c>
      <c r="J62" s="74">
        <f t="shared" si="3"/>
        <v>4</v>
      </c>
      <c r="K62" s="274"/>
      <c r="L62" s="207"/>
      <c r="M62" s="274"/>
      <c r="N62" s="207"/>
      <c r="O62" s="229"/>
      <c r="P62" s="207"/>
      <c r="Q62" s="229"/>
      <c r="R62" s="207"/>
      <c r="S62" s="229">
        <v>2</v>
      </c>
      <c r="T62" s="207"/>
      <c r="U62" s="229">
        <v>2</v>
      </c>
      <c r="V62" s="207"/>
      <c r="W62" s="218"/>
      <c r="X62" s="219"/>
      <c r="Y62" s="213"/>
      <c r="Z62" s="1"/>
    </row>
    <row r="63" spans="1:26" ht="14">
      <c r="A63" s="1"/>
      <c r="B63" s="218"/>
      <c r="C63" s="219"/>
      <c r="D63" s="107" t="s">
        <v>113</v>
      </c>
      <c r="E63" s="74" t="s">
        <v>253</v>
      </c>
      <c r="F63" s="191" t="s">
        <v>419</v>
      </c>
      <c r="G63" s="213"/>
      <c r="H63" s="108"/>
      <c r="I63" s="109" t="s">
        <v>252</v>
      </c>
      <c r="J63" s="74">
        <f t="shared" si="3"/>
        <v>0</v>
      </c>
      <c r="K63" s="270"/>
      <c r="L63" s="207"/>
      <c r="M63" s="270"/>
      <c r="N63" s="207"/>
      <c r="O63" s="271"/>
      <c r="P63" s="207"/>
      <c r="Q63" s="206"/>
      <c r="R63" s="207"/>
      <c r="S63" s="206"/>
      <c r="T63" s="207"/>
      <c r="U63" s="206"/>
      <c r="V63" s="207"/>
      <c r="W63" s="218"/>
      <c r="X63" s="219"/>
      <c r="Y63" s="213"/>
      <c r="Z63" s="1"/>
    </row>
    <row r="64" spans="1:26" ht="14">
      <c r="A64" s="1"/>
      <c r="B64" s="218"/>
      <c r="C64" s="219"/>
      <c r="D64" s="107" t="s">
        <v>113</v>
      </c>
      <c r="E64" s="74" t="s">
        <v>260</v>
      </c>
      <c r="F64" s="126" t="s">
        <v>281</v>
      </c>
      <c r="G64" s="213"/>
      <c r="H64" s="108"/>
      <c r="I64" s="109" t="s">
        <v>252</v>
      </c>
      <c r="J64" s="74">
        <f t="shared" si="3"/>
        <v>6</v>
      </c>
      <c r="K64" s="270"/>
      <c r="L64" s="207"/>
      <c r="M64" s="270"/>
      <c r="N64" s="207"/>
      <c r="O64" s="206">
        <v>3</v>
      </c>
      <c r="P64" s="207"/>
      <c r="Q64" s="206">
        <v>3</v>
      </c>
      <c r="R64" s="207"/>
      <c r="S64" s="206"/>
      <c r="T64" s="207"/>
      <c r="U64" s="206"/>
      <c r="V64" s="207"/>
      <c r="W64" s="218"/>
      <c r="X64" s="219"/>
      <c r="Y64" s="213"/>
      <c r="Z64" s="1"/>
    </row>
    <row r="65" spans="1:26" ht="14">
      <c r="A65" s="1"/>
      <c r="B65" s="218"/>
      <c r="C65" s="219"/>
      <c r="D65" s="107" t="s">
        <v>113</v>
      </c>
      <c r="E65" s="74" t="s">
        <v>260</v>
      </c>
      <c r="F65" s="126" t="s">
        <v>420</v>
      </c>
      <c r="G65" s="213"/>
      <c r="H65" s="108"/>
      <c r="I65" s="109" t="s">
        <v>252</v>
      </c>
      <c r="J65" s="74">
        <f t="shared" si="3"/>
        <v>21</v>
      </c>
      <c r="K65" s="270"/>
      <c r="L65" s="207"/>
      <c r="M65" s="270"/>
      <c r="N65" s="207"/>
      <c r="O65" s="206">
        <v>9</v>
      </c>
      <c r="P65" s="207"/>
      <c r="Q65" s="206">
        <v>12</v>
      </c>
      <c r="R65" s="207"/>
      <c r="S65" s="206"/>
      <c r="T65" s="207"/>
      <c r="U65" s="206"/>
      <c r="V65" s="207"/>
      <c r="W65" s="218"/>
      <c r="X65" s="219"/>
      <c r="Y65" s="213"/>
      <c r="Z65" s="1"/>
    </row>
    <row r="66" spans="1:26" ht="14">
      <c r="A66" s="1"/>
      <c r="B66" s="220"/>
      <c r="C66" s="221"/>
      <c r="D66" s="107" t="s">
        <v>113</v>
      </c>
      <c r="E66" s="74" t="s">
        <v>260</v>
      </c>
      <c r="F66" s="126" t="s">
        <v>79</v>
      </c>
      <c r="G66" s="209"/>
      <c r="H66" s="108"/>
      <c r="I66" s="109" t="s">
        <v>252</v>
      </c>
      <c r="J66" s="74">
        <f t="shared" si="3"/>
        <v>51</v>
      </c>
      <c r="K66" s="270"/>
      <c r="L66" s="207"/>
      <c r="M66" s="270"/>
      <c r="N66" s="207"/>
      <c r="O66" s="206"/>
      <c r="P66" s="207"/>
      <c r="Q66" s="206"/>
      <c r="R66" s="207"/>
      <c r="S66" s="271">
        <v>24</v>
      </c>
      <c r="T66" s="207"/>
      <c r="U66" s="206">
        <v>27</v>
      </c>
      <c r="V66" s="207"/>
      <c r="W66" s="220"/>
      <c r="X66" s="221"/>
      <c r="Y66" s="209"/>
      <c r="Z66" s="1"/>
    </row>
    <row r="67" spans="1:26" ht="14">
      <c r="A67" s="1"/>
      <c r="B67" s="272" t="s">
        <v>282</v>
      </c>
      <c r="C67" s="225"/>
      <c r="D67" s="225"/>
      <c r="E67" s="225"/>
      <c r="F67" s="225"/>
      <c r="G67" s="217"/>
      <c r="H67" s="273"/>
      <c r="I67" s="273"/>
      <c r="J67" s="273">
        <f t="shared" ref="J67:K67" si="4">SUM(J37:J66)</f>
        <v>274</v>
      </c>
      <c r="K67" s="272">
        <f t="shared" si="4"/>
        <v>4</v>
      </c>
      <c r="L67" s="217"/>
      <c r="M67" s="272">
        <f>SUM(M37:M66)</f>
        <v>6</v>
      </c>
      <c r="N67" s="217"/>
      <c r="O67" s="272">
        <f>SUM(O37:O41)+(SUM(O60:O66))</f>
        <v>16</v>
      </c>
      <c r="P67" s="217"/>
      <c r="Q67" s="272">
        <f>SUM(Q37:Q41)+(SUM(Q60:Q66))</f>
        <v>19</v>
      </c>
      <c r="R67" s="217"/>
      <c r="S67" s="272">
        <f>SUM(S37:S41)+(SUM(S60:S66))</f>
        <v>28</v>
      </c>
      <c r="T67" s="217"/>
      <c r="U67" s="272">
        <f>SUM(U37:U41)+(SUM(U60:U66))</f>
        <v>29</v>
      </c>
      <c r="V67" s="217"/>
      <c r="W67" s="272">
        <f>SUM(W37:W66)</f>
        <v>102</v>
      </c>
      <c r="X67" s="217"/>
      <c r="Y67" s="215">
        <v>80</v>
      </c>
      <c r="Z67" s="1"/>
    </row>
    <row r="68" spans="1:26" ht="14">
      <c r="A68" s="1"/>
      <c r="B68" s="220"/>
      <c r="C68" s="227"/>
      <c r="D68" s="227"/>
      <c r="E68" s="227"/>
      <c r="F68" s="227"/>
      <c r="G68" s="221"/>
      <c r="H68" s="209"/>
      <c r="I68" s="209"/>
      <c r="J68" s="209"/>
      <c r="K68" s="220"/>
      <c r="L68" s="221"/>
      <c r="M68" s="220"/>
      <c r="N68" s="221"/>
      <c r="O68" s="220"/>
      <c r="P68" s="221"/>
      <c r="Q68" s="220"/>
      <c r="R68" s="221"/>
      <c r="S68" s="220"/>
      <c r="T68" s="221"/>
      <c r="U68" s="220"/>
      <c r="V68" s="221"/>
      <c r="W68" s="220"/>
      <c r="X68" s="221"/>
      <c r="Y68" s="209"/>
      <c r="Z68" s="1"/>
    </row>
    <row r="69" spans="1:26" ht="14">
      <c r="A69" s="1"/>
      <c r="B69" s="223"/>
      <c r="C69" s="211"/>
      <c r="D69" s="211"/>
      <c r="E69" s="211"/>
      <c r="F69" s="211"/>
      <c r="G69" s="207"/>
      <c r="H69" s="104"/>
      <c r="I69" s="104"/>
      <c r="J69" s="104">
        <v>141</v>
      </c>
      <c r="K69" s="223">
        <f>SUM(K36,K67)</f>
        <v>29</v>
      </c>
      <c r="L69" s="207"/>
      <c r="M69" s="223">
        <f>SUM(M36,M67)</f>
        <v>29</v>
      </c>
      <c r="N69" s="207"/>
      <c r="O69" s="223">
        <f>SUM(O36,O67)</f>
        <v>29</v>
      </c>
      <c r="P69" s="207"/>
      <c r="Q69" s="223">
        <f>SUM(Q36,Q67)</f>
        <v>29</v>
      </c>
      <c r="R69" s="207"/>
      <c r="S69" s="223">
        <f>SUM(S36,S67)</f>
        <v>29</v>
      </c>
      <c r="T69" s="207"/>
      <c r="U69" s="223">
        <f>SUM(U36,U67)</f>
        <v>29</v>
      </c>
      <c r="V69" s="207"/>
      <c r="W69" s="223">
        <f>SUM(W36,W67)</f>
        <v>174</v>
      </c>
      <c r="X69" s="207"/>
      <c r="Y69" s="106">
        <v>144</v>
      </c>
      <c r="Z69" s="1"/>
    </row>
    <row r="70" spans="1:26" ht="14">
      <c r="A70" s="1"/>
      <c r="B70" s="216" t="s">
        <v>287</v>
      </c>
      <c r="C70" s="225"/>
      <c r="D70" s="225"/>
      <c r="E70" s="217"/>
      <c r="F70" s="222" t="s">
        <v>405</v>
      </c>
      <c r="G70" s="211"/>
      <c r="H70" s="211"/>
      <c r="I70" s="211"/>
      <c r="J70" s="207"/>
      <c r="K70" s="206">
        <v>16</v>
      </c>
      <c r="L70" s="207"/>
      <c r="M70" s="206">
        <v>16</v>
      </c>
      <c r="N70" s="207"/>
      <c r="O70" s="206">
        <v>16</v>
      </c>
      <c r="P70" s="207"/>
      <c r="Q70" s="206">
        <v>16</v>
      </c>
      <c r="R70" s="207"/>
      <c r="S70" s="206">
        <v>16</v>
      </c>
      <c r="T70" s="207"/>
      <c r="U70" s="206">
        <v>16</v>
      </c>
      <c r="V70" s="207"/>
      <c r="W70" s="216">
        <f>SUM(K70:V72)</f>
        <v>288</v>
      </c>
      <c r="X70" s="217"/>
      <c r="Y70" s="215">
        <v>288</v>
      </c>
      <c r="Z70" s="1"/>
    </row>
    <row r="71" spans="1:26" ht="14">
      <c r="A71" s="1"/>
      <c r="B71" s="218"/>
      <c r="C71" s="226"/>
      <c r="D71" s="226"/>
      <c r="E71" s="219"/>
      <c r="F71" s="222" t="s">
        <v>291</v>
      </c>
      <c r="G71" s="211"/>
      <c r="H71" s="211"/>
      <c r="I71" s="211"/>
      <c r="J71" s="207"/>
      <c r="K71" s="206">
        <v>16</v>
      </c>
      <c r="L71" s="207"/>
      <c r="M71" s="206">
        <v>16</v>
      </c>
      <c r="N71" s="207"/>
      <c r="O71" s="206">
        <v>16</v>
      </c>
      <c r="P71" s="207"/>
      <c r="Q71" s="206">
        <v>16</v>
      </c>
      <c r="R71" s="207"/>
      <c r="S71" s="206">
        <v>16</v>
      </c>
      <c r="T71" s="207"/>
      <c r="U71" s="206">
        <v>16</v>
      </c>
      <c r="V71" s="207"/>
      <c r="W71" s="218"/>
      <c r="X71" s="219"/>
      <c r="Y71" s="213"/>
      <c r="Z71" s="1"/>
    </row>
    <row r="72" spans="1:26" ht="14">
      <c r="A72" s="1"/>
      <c r="B72" s="218"/>
      <c r="C72" s="226"/>
      <c r="D72" s="226"/>
      <c r="E72" s="219"/>
      <c r="F72" s="222" t="s">
        <v>294</v>
      </c>
      <c r="G72" s="211"/>
      <c r="H72" s="211"/>
      <c r="I72" s="211"/>
      <c r="J72" s="207"/>
      <c r="K72" s="206">
        <v>16</v>
      </c>
      <c r="L72" s="207"/>
      <c r="M72" s="206">
        <v>16</v>
      </c>
      <c r="N72" s="207"/>
      <c r="O72" s="206">
        <v>16</v>
      </c>
      <c r="P72" s="207"/>
      <c r="Q72" s="206">
        <v>16</v>
      </c>
      <c r="R72" s="207"/>
      <c r="S72" s="206">
        <v>16</v>
      </c>
      <c r="T72" s="207"/>
      <c r="U72" s="206">
        <v>16</v>
      </c>
      <c r="V72" s="207"/>
      <c r="W72" s="220"/>
      <c r="X72" s="221"/>
      <c r="Y72" s="209"/>
      <c r="Z72" s="1"/>
    </row>
    <row r="73" spans="1:26" ht="14">
      <c r="A73" s="1"/>
      <c r="B73" s="220"/>
      <c r="C73" s="227"/>
      <c r="D73" s="227"/>
      <c r="E73" s="221"/>
      <c r="F73" s="222" t="s">
        <v>295</v>
      </c>
      <c r="G73" s="211"/>
      <c r="H73" s="211"/>
      <c r="I73" s="211"/>
      <c r="J73" s="207"/>
      <c r="K73" s="222">
        <v>3</v>
      </c>
      <c r="L73" s="207"/>
      <c r="M73" s="222">
        <v>3</v>
      </c>
      <c r="N73" s="207"/>
      <c r="O73" s="222">
        <v>3</v>
      </c>
      <c r="P73" s="207"/>
      <c r="Q73" s="222">
        <v>3</v>
      </c>
      <c r="R73" s="207"/>
      <c r="S73" s="222">
        <v>3</v>
      </c>
      <c r="T73" s="207"/>
      <c r="U73" s="222">
        <v>3</v>
      </c>
      <c r="V73" s="207"/>
      <c r="W73" s="222">
        <f t="shared" ref="W73:W75" si="5">SUM(K73:V73)</f>
        <v>18</v>
      </c>
      <c r="X73" s="207"/>
      <c r="Y73" s="106">
        <v>18</v>
      </c>
      <c r="Z73" s="1"/>
    </row>
    <row r="74" spans="1:26" ht="14">
      <c r="A74" s="1"/>
      <c r="B74" s="223"/>
      <c r="C74" s="211"/>
      <c r="D74" s="211"/>
      <c r="E74" s="211"/>
      <c r="F74" s="211"/>
      <c r="G74" s="211"/>
      <c r="H74" s="211"/>
      <c r="I74" s="211"/>
      <c r="J74" s="207"/>
      <c r="K74" s="223">
        <f>SUM(K69,K73)</f>
        <v>32</v>
      </c>
      <c r="L74" s="207"/>
      <c r="M74" s="223">
        <f>SUM(M69,M73)</f>
        <v>32</v>
      </c>
      <c r="N74" s="207"/>
      <c r="O74" s="223">
        <f>SUM(O69,O73)</f>
        <v>32</v>
      </c>
      <c r="P74" s="207"/>
      <c r="Q74" s="223">
        <f>SUM(Q69,Q73)</f>
        <v>32</v>
      </c>
      <c r="R74" s="207"/>
      <c r="S74" s="223">
        <f>SUM(S69,S73)</f>
        <v>32</v>
      </c>
      <c r="T74" s="207"/>
      <c r="U74" s="223">
        <f>SUM(U69,U73)</f>
        <v>32</v>
      </c>
      <c r="V74" s="207"/>
      <c r="W74" s="223">
        <f t="shared" si="5"/>
        <v>192</v>
      </c>
      <c r="X74" s="207"/>
      <c r="Y74" s="106">
        <v>192</v>
      </c>
      <c r="Z74" s="1"/>
    </row>
    <row r="75" spans="1:26" ht="14">
      <c r="A75" s="1"/>
      <c r="B75" s="223"/>
      <c r="C75" s="211"/>
      <c r="D75" s="211"/>
      <c r="E75" s="211"/>
      <c r="F75" s="211"/>
      <c r="G75" s="211"/>
      <c r="H75" s="211"/>
      <c r="I75" s="211"/>
      <c r="J75" s="207"/>
      <c r="K75" s="223">
        <f>SUM(K74:N74)</f>
        <v>64</v>
      </c>
      <c r="L75" s="211"/>
      <c r="M75" s="211"/>
      <c r="N75" s="207"/>
      <c r="O75" s="223">
        <f>SUM(O74:R74)</f>
        <v>64</v>
      </c>
      <c r="P75" s="211"/>
      <c r="Q75" s="211"/>
      <c r="R75" s="207"/>
      <c r="S75" s="223">
        <f>SUM(S74:V74)</f>
        <v>64</v>
      </c>
      <c r="T75" s="211"/>
      <c r="U75" s="211"/>
      <c r="V75" s="207"/>
      <c r="W75" s="223">
        <f t="shared" si="5"/>
        <v>192</v>
      </c>
      <c r="X75" s="207"/>
      <c r="Y75" s="141"/>
      <c r="Z75" s="1"/>
    </row>
    <row r="76" spans="1:26" ht="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spans="1:26" ht="12.5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spans="1:26" ht="12.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spans="1:26" ht="12.5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spans="1:26" ht="12.5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spans="1:26" ht="12.5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spans="1:26" ht="12.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spans="1:26" ht="12.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spans="1:26" ht="12.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spans="1:26" ht="12.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spans="1:26" ht="12.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spans="1:26" ht="12.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spans="1:26" ht="12.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spans="1:26" ht="12.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spans="1:26" ht="12.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spans="1:26" ht="12.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spans="1:26" ht="12.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spans="1:26" ht="12.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spans="1:26" ht="12.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spans="1:26" ht="12.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spans="1:26" ht="12.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spans="1:26" ht="12.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spans="1:26" ht="12.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spans="1:26" ht="12.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spans="1:26" ht="12.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spans="1:26" ht="12.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spans="1:26" ht="12.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spans="1:26" ht="12.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spans="1:26" ht="12.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spans="1:26" ht="12.5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spans="1:26" ht="12.5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spans="1:26" ht="12.5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spans="1:26" ht="12.5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spans="1:26" ht="12.5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spans="1:26" ht="12.5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spans="1:26" ht="12.5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spans="1:26" ht="12.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spans="1:26" ht="12.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spans="1:26" ht="12.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spans="1:26" ht="12.5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spans="1:26" ht="12.5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spans="1:26" ht="12.5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spans="1:26" ht="12.5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spans="1:26" ht="12.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spans="1:26" ht="12.5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spans="1:26" ht="12.5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spans="1:26" ht="12.5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spans="1:26" ht="12.5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spans="1:26" ht="12.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spans="1:26" ht="12.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spans="1:26" ht="12.5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spans="1:26" ht="12.5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spans="1:26" ht="12.5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spans="1:26" ht="12.5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spans="1:26" ht="12.5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spans="1:26" ht="12.5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spans="1:26" ht="12.5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spans="1:26" ht="12.5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spans="1:26" ht="12.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spans="1:26" ht="12.5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spans="1:26" ht="12.5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spans="1:26" ht="12.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spans="1:26" ht="12.5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spans="1:26" ht="12.5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spans="1:26" ht="12.5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spans="1:26" ht="12.5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spans="1:26" ht="12.5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spans="1:26" ht="12.5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spans="1:26" ht="12.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spans="1:26" ht="12.5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spans="1:26" ht="12.5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spans="1:26" ht="12.5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spans="1:26" ht="12.5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spans="1:26" ht="12.5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spans="1:26" ht="12.5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spans="1:26" ht="12.5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spans="1:26" ht="12.5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spans="1:26" ht="12.5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spans="1:26" ht="12.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spans="1:26" ht="12.5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spans="1:26" ht="12.5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spans="1:26" ht="12.5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spans="1:26" ht="12.5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spans="1:26" ht="12.5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spans="1:26" ht="12.5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spans="1:26" ht="12.5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spans="1:26" ht="12.5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spans="1:26" ht="12.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spans="1:26" ht="12.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spans="1:26" ht="12.5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spans="1:26" ht="12.5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spans="1:26" ht="12.5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spans="1:26" ht="12.5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spans="1:26" ht="12.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spans="1:26" ht="12.5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spans="1:26" ht="12.5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spans="1:26" ht="12.5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spans="1:26" ht="12.5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spans="1:26" ht="12.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spans="1:26" ht="12.5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spans="1:26" ht="12.5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spans="1:26" ht="12.5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spans="1:26" ht="12.5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spans="1:26" ht="12.5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spans="1:26" ht="12.5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spans="1:26" ht="12.5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spans="1:26" ht="12.5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spans="1:26" ht="12.5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spans="1:26" ht="12.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spans="1:26" ht="12.5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spans="1:26" ht="12.5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spans="1:26" ht="12.5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spans="1:26" ht="12.5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spans="1:26" ht="12.5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spans="1:26" ht="12.5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spans="1:26" ht="12.5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spans="1:26" ht="12.5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spans="1:26" ht="12.5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spans="1:26" ht="12.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spans="1:26" ht="12.5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spans="1:26" ht="12.5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spans="1:26" ht="12.5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spans="1:26" ht="12.5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spans="1:26" ht="12.5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spans="1:26" ht="12.5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spans="1:26" ht="12.5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spans="1:26" ht="12.5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spans="1:26" ht="12.5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spans="1:26" ht="12.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spans="1:26" ht="12.5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spans="1:26" ht="12.5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spans="1:26" ht="12.5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spans="1:26" ht="12.5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spans="1:26" ht="12.5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spans="1:26" ht="12.5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spans="1:26" ht="12.5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spans="1:26" ht="12.5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spans="1:26" ht="12.5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spans="1:26" ht="12.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spans="1:26" ht="12.5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spans="1:26" ht="12.5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spans="1:26" ht="12.5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spans="1:26" ht="12.5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spans="1:26" ht="12.5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spans="1:26" ht="12.5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spans="1:26" ht="12.5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spans="1:26" ht="12.5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spans="1:26" ht="12.5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spans="1:26" ht="12.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spans="1:26" ht="12.5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spans="1:26" ht="12.5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spans="1:26" ht="12.5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spans="1:26" ht="12.5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spans="1:26" ht="12.5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spans="1:26" ht="12.5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spans="1:26" ht="12.5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spans="1:26" ht="12.5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spans="1:26" ht="12.5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spans="1:26" ht="12.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spans="1:26" ht="12.5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spans="1:26" ht="12.5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spans="1:26" ht="12.5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spans="1:26" ht="12.5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spans="1:26" ht="12.5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spans="1:26" ht="12.5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spans="1:26" ht="12.5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spans="1:26" ht="12.5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spans="1:26" ht="12.5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spans="1:26" ht="12.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spans="1:26" ht="12.5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spans="1:26" ht="12.5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spans="1:26" ht="12.5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spans="1:26" ht="12.5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spans="1:26" ht="12.5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spans="1:26" ht="12.5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spans="1:26" ht="12.5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spans="1:26" ht="12.5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spans="1:26" ht="12.5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spans="1:26" ht="12.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spans="1:26" ht="12.5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spans="1:26" ht="12.5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spans="1:26" ht="12.5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spans="1:26" ht="12.5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spans="1:26" ht="12.5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spans="1:26" ht="12.5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spans="1:26" ht="12.5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spans="1:26" ht="12.5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spans="1:26" ht="12.5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spans="1:26" ht="12.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spans="1:26" ht="12.5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spans="1:26" ht="12.5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spans="1:26" ht="12.5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spans="1:26" ht="12.5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spans="1:26" ht="12.5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spans="1:26" ht="12.5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spans="1:26" ht="12.5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spans="1:26" ht="12.5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spans="1:26" ht="12.5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spans="1:26" ht="12.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spans="1:26" ht="12.5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spans="1:26" ht="12.5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spans="1:26" ht="12.5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spans="1:26" ht="12.5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spans="1:26" ht="12.5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spans="1:26" ht="12.5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spans="1:26" ht="12.5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spans="1:26" ht="12.5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spans="1:26" ht="12.5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spans="1:26" ht="12.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spans="1:26" ht="12.5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spans="1:26" ht="12.5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spans="1:26" ht="12.5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spans="1:26" ht="12.5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spans="1:26" ht="12.5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spans="1:26" ht="12.5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spans="1:26" ht="12.5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spans="1:26" ht="12.5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spans="1:26" ht="12.5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spans="1:26" ht="12.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spans="1:26" ht="12.5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spans="1:26" ht="12.5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spans="1:26" ht="12.5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spans="1:26" ht="12.5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spans="1:26" ht="12.5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spans="1:26" ht="12.5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spans="1:26" ht="12.5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spans="1:26" ht="12.5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spans="1:26" ht="12.5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spans="1:26" ht="12.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spans="1:26" ht="12.5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spans="1:26" ht="12.5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spans="1:26" ht="12.5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spans="1:26" ht="12.5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spans="1:26" ht="12.5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spans="1:26" ht="12.5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spans="1:26" ht="12.5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spans="1:26" ht="12.5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spans="1:26" ht="12.5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spans="1:26" ht="12.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spans="1:26" ht="12.5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spans="1:26" ht="12.5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spans="1:26" ht="12.5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spans="1:26" ht="12.5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spans="1:26" ht="12.5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spans="1:26" ht="12.5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spans="1:26" ht="12.5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spans="1:26" ht="12.5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spans="1:26" ht="12.5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spans="1:26" ht="12.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spans="1:26" ht="12.5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spans="1:26" ht="12.5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spans="1:26" ht="12.5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spans="1:26" ht="12.5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spans="1:26" ht="12.5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spans="1:26" ht="12.5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spans="1:26" ht="12.5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spans="1:26" ht="12.5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spans="1:26" ht="12.5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spans="1:26" ht="12.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spans="1:26" ht="12.5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spans="1:26" ht="12.5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spans="1:26" ht="12.5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spans="1:26" ht="12.5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spans="1:26" ht="12.5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spans="1:26" ht="12.5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spans="1:26" ht="12.5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spans="1:26" ht="12.5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spans="1:26" ht="12.5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spans="1:26" ht="12.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spans="1:26" ht="12.5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spans="1:26" ht="12.5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spans="1:26" ht="12.5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spans="1:26" ht="12.5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spans="1:26" ht="12.5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spans="1:26" ht="12.5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spans="1:26" ht="12.5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spans="1:26" ht="12.5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spans="1:26" ht="12.5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spans="1:26" ht="12.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spans="1:26" ht="12.5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spans="1:26" ht="12.5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spans="1:26" ht="12.5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spans="1:26" ht="12.5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spans="1:26" ht="12.5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spans="1:26" ht="12.5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spans="1:26" ht="12.5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spans="1:26" ht="12.5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spans="1:26" ht="12.5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spans="1:26" ht="12.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spans="1:26" ht="12.5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spans="1:26" ht="12.5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spans="1:26" ht="12.5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spans="1:26" ht="12.5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spans="1:26" ht="12.5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spans="1:26" ht="12.5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spans="1:26" ht="12.5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spans="1:26" ht="12.5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spans="1:26" ht="12.5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spans="1:26" ht="12.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spans="1:26" ht="12.5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spans="1:26" ht="12.5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spans="1:26" ht="12.5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spans="1:26" ht="12.5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spans="1:26" ht="12.5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spans="1:26" ht="12.5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spans="1:26" ht="12.5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spans="1:26" ht="12.5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spans="1:26" ht="12.5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spans="1:26" ht="12.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spans="1:26" ht="12.5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spans="1:26" ht="12.5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spans="1:26" ht="12.5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spans="1:26" ht="12.5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spans="1:26" ht="12.5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spans="1:26" ht="12.5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spans="1:26" ht="12.5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spans="1:26" ht="12.5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spans="1:26" ht="12.5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spans="1:26" ht="12.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spans="1:26" ht="12.5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spans="1:26" ht="12.5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spans="1:26" ht="12.5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spans="1:26" ht="12.5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spans="1:26" ht="12.5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spans="1:26" ht="12.5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spans="1:26" ht="12.5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spans="1:26" ht="12.5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spans="1:26" ht="12.5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spans="1:26" ht="12.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spans="1:26" ht="12.5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spans="1:26" ht="12.5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spans="1:26" ht="12.5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spans="1:26" ht="12.5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spans="1:26" ht="12.5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spans="1:26" ht="12.5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spans="1:26" ht="12.5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spans="1:26" ht="12.5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spans="1:26" ht="12.5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spans="1:26" ht="12.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spans="1:26" ht="12.5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spans="1:26" ht="12.5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spans="1:26" ht="12.5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spans="1:26" ht="12.5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spans="1:26" ht="12.5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spans="1:26" ht="12.5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spans="1:26" ht="12.5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spans="1:26" ht="12.5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spans="1:26" ht="12.5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spans="1:26" ht="12.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spans="1:26" ht="12.5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spans="1:26" ht="12.5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spans="1:26" ht="12.5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spans="1:26" ht="12.5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spans="1:26" ht="12.5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spans="1:26" ht="12.5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spans="1:26" ht="12.5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spans="1:26" ht="12.5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spans="1:26" ht="12.5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spans="1:26" ht="12.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spans="1:26" ht="12.5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spans="1:26" ht="12.5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spans="1:26" ht="12.5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spans="1:26" ht="12.5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spans="1:26" ht="12.5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spans="1:26" ht="12.5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spans="1:26" ht="12.5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spans="1:26" ht="12.5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spans="1:26" ht="12.5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spans="1:26" ht="12.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spans="1:26" ht="12.5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spans="1:26" ht="12.5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spans="1:26" ht="12.5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spans="1:26" ht="12.5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spans="1:26" ht="12.5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spans="1:26" ht="12.5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spans="1:26" ht="12.5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spans="1:26" ht="12.5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spans="1:26" ht="12.5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spans="1:26" ht="12.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spans="1:26" ht="12.5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spans="1:26" ht="12.5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spans="1:26" ht="12.5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spans="1:26" ht="12.5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spans="1:26" ht="12.5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spans="1:26" ht="12.5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spans="1:26" ht="12.5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spans="1:26" ht="12.5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spans="1:26" ht="12.5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spans="1:26" ht="12.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spans="1:26" ht="12.5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spans="1:26" ht="12.5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spans="1:26" ht="12.5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spans="1:26" ht="12.5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spans="1:26" ht="12.5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spans="1:26" ht="12.5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spans="1:26" ht="12.5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spans="1:26" ht="12.5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spans="1:26" ht="12.5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spans="1:26" ht="12.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spans="1:26" ht="12.5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spans="1:26" ht="12.5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spans="1:26" ht="12.5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spans="1:26" ht="12.5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spans="1:26" ht="12.5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spans="1:26" ht="12.5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spans="1:26" ht="12.5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spans="1:26" ht="12.5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spans="1:26" ht="12.5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spans="1:26" ht="12.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spans="1:26" ht="12.5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spans="1:26" ht="12.5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spans="1:26" ht="12.5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spans="1:26" ht="12.5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spans="1:26" ht="12.5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spans="1:26" ht="12.5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spans="1:26" ht="12.5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spans="1:26" ht="12.5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spans="1:26" ht="12.5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spans="1:26" ht="12.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spans="1:26" ht="12.5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spans="1:26" ht="12.5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spans="1:26" ht="12.5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spans="1:26" ht="12.5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spans="1:26" ht="12.5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spans="1:26" ht="12.5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spans="1:26" ht="12.5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spans="1:26" ht="12.5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spans="1:26" ht="12.5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spans="1:26" ht="12.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spans="1:26" ht="12.5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spans="1:26" ht="12.5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spans="1:26" ht="12.5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spans="1:26" ht="12.5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spans="1:26" ht="12.5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spans="1:26" ht="12.5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spans="1:26" ht="12.5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spans="1:26" ht="12.5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spans="1:26" ht="12.5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spans="1:26" ht="12.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spans="1:26" ht="12.5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spans="1:26" ht="12.5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spans="1:26" ht="12.5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spans="1:26" ht="12.5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spans="1:26" ht="12.5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spans="1:26" ht="12.5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spans="1:26" ht="12.5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spans="1:26" ht="12.5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spans="1:26" ht="12.5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ht="12.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ht="12.5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ht="12.5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spans="1:26" ht="12.5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spans="1:26" ht="12.5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spans="1:26" ht="12.5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spans="1:26" ht="12.5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spans="1:26" ht="12.5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spans="1:26" ht="12.5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spans="1:26" ht="12.5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spans="1:26" ht="12.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spans="1:26" ht="12.5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spans="1:26" ht="12.5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spans="1:26" ht="12.5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spans="1:26" ht="12.5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ht="12.5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ht="12.5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ht="12.5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ht="12.5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ht="12.5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ht="12.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ht="12.5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ht="12.5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ht="12.5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ht="12.5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ht="12.5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ht="12.5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ht="12.5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ht="12.5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ht="12.5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ht="12.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ht="12.5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ht="12.5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ht="12.5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ht="12.5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spans="1:26" ht="12.5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spans="1:26" ht="12.5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spans="1:26" ht="12.5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spans="1:26" ht="12.5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ht="12.5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ht="12.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ht="12.5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spans="1:26" ht="12.5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spans="1:26" ht="12.5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spans="1:26" ht="12.5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ht="12.5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ht="12.5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ht="12.5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ht="12.5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ht="12.5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ht="12.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ht="12.5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ht="12.5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ht="12.5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ht="12.5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ht="12.5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ht="12.5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ht="12.5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ht="12.5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ht="12.5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ht="12.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ht="12.5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ht="12.5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ht="12.5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ht="12.5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ht="12.5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ht="12.5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ht="12.5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ht="12.5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ht="12.5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ht="12.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ht="12.5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ht="12.5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ht="12.5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ht="12.5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ht="12.5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ht="12.5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ht="12.5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ht="12.5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ht="12.5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ht="12.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ht="12.5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ht="12.5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ht="12.5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ht="12.5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ht="12.5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ht="12.5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ht="12.5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ht="12.5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ht="12.5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ht="12.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ht="12.5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ht="12.5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ht="12.5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ht="12.5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ht="12.5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ht="12.5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ht="12.5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ht="12.5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ht="12.5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ht="12.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ht="12.5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ht="12.5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ht="12.5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ht="12.5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ht="12.5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ht="12.5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ht="12.5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ht="12.5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ht="12.5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ht="12.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ht="12.5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ht="12.5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ht="12.5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ht="12.5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ht="12.5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ht="12.5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ht="12.5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ht="12.5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ht="12.5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ht="12.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ht="12.5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ht="12.5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ht="12.5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ht="12.5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ht="12.5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ht="12.5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ht="12.5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ht="12.5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ht="12.5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ht="12.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ht="12.5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ht="12.5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ht="12.5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ht="12.5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ht="12.5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ht="12.5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ht="12.5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ht="12.5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ht="12.5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ht="12.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ht="12.5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ht="12.5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ht="12.5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ht="12.5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ht="12.5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ht="12.5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ht="12.5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ht="12.5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ht="12.5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ht="12.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ht="12.5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ht="12.5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ht="12.5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ht="12.5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ht="12.5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ht="12.5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ht="12.5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ht="12.5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ht="12.5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ht="12.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ht="12.5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ht="12.5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ht="12.5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ht="12.5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ht="12.5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ht="12.5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ht="12.5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ht="12.5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ht="12.5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ht="12.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ht="12.5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ht="12.5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ht="12.5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ht="12.5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ht="12.5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ht="12.5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ht="12.5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ht="12.5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ht="12.5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ht="12.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ht="12.5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ht="12.5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ht="12.5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ht="12.5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ht="12.5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ht="12.5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ht="12.5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ht="12.5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ht="12.5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ht="12.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ht="12.5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ht="12.5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ht="12.5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ht="12.5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ht="12.5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ht="12.5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ht="12.5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ht="12.5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ht="12.5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ht="12.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ht="12.5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ht="12.5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ht="12.5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ht="12.5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ht="12.5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ht="12.5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ht="12.5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ht="12.5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ht="12.5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ht="12.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ht="12.5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ht="12.5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ht="12.5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ht="12.5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ht="12.5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ht="12.5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ht="12.5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ht="12.5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ht="12.5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ht="12.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ht="12.5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ht="12.5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ht="12.5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ht="12.5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ht="12.5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ht="12.5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ht="12.5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ht="12.5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ht="12.5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ht="12.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ht="12.5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ht="12.5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ht="12.5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ht="12.5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ht="12.5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ht="12.5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ht="12.5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ht="12.5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ht="12.5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ht="12.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ht="12.5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ht="12.5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ht="12.5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ht="12.5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ht="12.5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ht="12.5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ht="12.5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ht="12.5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ht="12.5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ht="12.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ht="12.5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ht="12.5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ht="12.5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ht="12.5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ht="12.5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ht="12.5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ht="12.5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ht="12.5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ht="12.5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ht="12.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ht="12.5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ht="12.5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ht="12.5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ht="12.5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ht="12.5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ht="12.5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ht="12.5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ht="12.5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ht="12.5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ht="12.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ht="12.5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ht="12.5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ht="12.5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ht="12.5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ht="12.5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ht="12.5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ht="12.5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ht="12.5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ht="12.5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ht="12.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ht="12.5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ht="12.5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ht="12.5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ht="12.5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ht="12.5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ht="12.5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ht="12.5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ht="12.5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ht="12.5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ht="12.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ht="12.5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ht="12.5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ht="12.5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ht="12.5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ht="12.5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ht="12.5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ht="12.5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ht="12.5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ht="12.5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ht="12.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ht="12.5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ht="12.5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ht="12.5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ht="12.5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ht="12.5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ht="12.5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ht="12.5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ht="12.5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ht="12.5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ht="12.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ht="12.5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ht="12.5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ht="12.5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ht="12.5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ht="12.5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ht="12.5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ht="12.5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ht="12.5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ht="12.5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ht="12.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ht="12.5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ht="12.5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ht="12.5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ht="12.5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ht="12.5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ht="12.5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ht="12.5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ht="12.5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ht="12.5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ht="12.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ht="12.5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ht="12.5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ht="12.5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ht="12.5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ht="12.5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ht="12.5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ht="12.5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ht="12.5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ht="12.5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ht="12.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ht="12.5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spans="1:26" ht="12.5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spans="1:26" ht="12.5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spans="1:26" ht="12.5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spans="1:26" ht="12.5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spans="1:26" ht="12.5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spans="1:26" ht="12.5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spans="1:26" ht="12.5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spans="1:26" ht="12.5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spans="1:26" ht="12.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spans="1:26" ht="12.5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spans="1:26" ht="12.5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spans="1:26" ht="12.5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spans="1:26" ht="12.5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spans="1:26" ht="12.5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spans="1:26" ht="12.5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spans="1:26" ht="12.5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spans="1:26" ht="12.5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spans="1:26" ht="12.5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spans="1:26" ht="12.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spans="1:26" ht="12.5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spans="1:26" ht="12.5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spans="1:26" ht="12.5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spans="1:26" ht="12.5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spans="1:26" ht="12.5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spans="1:26" ht="12.5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spans="1:26" ht="12.5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spans="1:26" ht="12.5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spans="1:26" ht="12.5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spans="1:26" ht="12.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spans="1:26" ht="12.5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spans="1:26" ht="12.5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spans="1:26" ht="12.5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spans="1:26" ht="12.5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spans="1:26" ht="12.5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spans="1:26" ht="12.5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spans="1:26" ht="12.5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spans="1:26" ht="12.5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spans="1:26" ht="12.5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spans="1:26" ht="12.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spans="1:26" ht="12.5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spans="1:26" ht="12.5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spans="1:26" ht="12.5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spans="1:26" ht="12.5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spans="1:26" ht="12.5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spans="1:26" ht="12.5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spans="1:26" ht="12.5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spans="1:26" ht="12.5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spans="1:26" ht="12.5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spans="1:26" ht="12.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spans="1:26" ht="12.5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spans="1:26" ht="12.5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spans="1:26" ht="12.5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spans="1:26" ht="12.5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spans="1:26" ht="12.5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spans="1:26" ht="12.5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spans="1:26" ht="12.5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spans="1:26" ht="12.5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spans="1:26" ht="12.5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spans="1:26" ht="12.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spans="1:26" ht="12.5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spans="1:26" ht="12.5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spans="1:26" ht="12.5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spans="1:26" ht="12.5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spans="1:26" ht="12.5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spans="1:26" ht="12.5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spans="1:26" ht="12.5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spans="1:26" ht="12.5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spans="1:26" ht="12.5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spans="1:26" ht="12.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spans="1:26" ht="12.5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spans="1:26" ht="12.5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spans="1:26" ht="12.5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spans="1:26" ht="12.5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spans="1:26" ht="12.5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spans="1:26" ht="12.5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spans="1:26" ht="12.5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spans="1:26" ht="12.5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spans="1:26" ht="12.5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spans="1:26" ht="12.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spans="1:26" ht="12.5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spans="1:26" ht="12.5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spans="1:26" ht="12.5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spans="1:26" ht="12.5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spans="1:26" ht="12.5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spans="1:26" ht="12.5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spans="1:26" ht="12.5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spans="1:26" ht="12.5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spans="1:26" ht="12.5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spans="1:26" ht="12.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spans="1:26" ht="12.5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spans="1:26" ht="12.5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spans="1:26" ht="12.5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spans="1:26" ht="12.5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spans="1:26" ht="12.5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spans="1:26" ht="12.5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spans="1:26" ht="12.5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spans="1:26" ht="12.5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spans="1:26" ht="12.5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spans="1:26" ht="12.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spans="1:26" ht="12.5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spans="1:26" ht="12.5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spans="1:26" ht="12.5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spans="1:26" ht="12.5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spans="1:26" ht="12.5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spans="1:26" ht="12.5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spans="1:26" ht="12.5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spans="1:26" ht="12.5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spans="1:26" ht="12.5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spans="1:26" ht="12.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spans="1:26" ht="12.5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spans="1:26" ht="12.5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spans="1:26" ht="12.5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spans="1:26" ht="12.5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spans="1:26" ht="12.5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spans="1:26" ht="12.5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spans="1:26" ht="12.5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spans="1:26" ht="12.5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spans="1:26" ht="12.5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spans="1:26" ht="12.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spans="1:26" ht="12.5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spans="1:26" ht="12.5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spans="1:26" ht="12.5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spans="1:26" ht="12.5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spans="1:26" ht="12.5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spans="1:26" ht="12.5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spans="1:26" ht="12.5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spans="1:26" ht="12.5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spans="1:26" ht="12.5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spans="1:26" ht="12.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spans="1:26" ht="12.5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spans="1:26" ht="12.5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spans="1:26" ht="12.5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spans="1:26" ht="12.5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spans="1:26" ht="12.5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  <row r="1001" spans="1:26" ht="12.5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</row>
    <row r="1002" spans="1:26" ht="12.5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</row>
    <row r="1003" spans="1:26" ht="12.5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  <c r="X1003" s="151"/>
      <c r="Y1003" s="151"/>
      <c r="Z1003" s="151"/>
    </row>
    <row r="1004" spans="1:26" ht="12.5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  <c r="X1004" s="151"/>
      <c r="Y1004" s="151"/>
      <c r="Z1004" s="151"/>
    </row>
    <row r="1005" spans="1:26" ht="12.5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  <c r="X1005" s="151"/>
      <c r="Y1005" s="151"/>
      <c r="Z1005" s="151"/>
    </row>
    <row r="1006" spans="1:26" ht="12.5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  <c r="V1006" s="151"/>
      <c r="W1006" s="151"/>
      <c r="X1006" s="151"/>
      <c r="Y1006" s="151"/>
      <c r="Z1006" s="151"/>
    </row>
    <row r="1007" spans="1:26" ht="12.5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  <c r="V1007" s="151"/>
      <c r="W1007" s="151"/>
      <c r="X1007" s="151"/>
      <c r="Y1007" s="151"/>
      <c r="Z1007" s="151"/>
    </row>
    <row r="1008" spans="1:26" ht="12.5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  <c r="V1008" s="151"/>
      <c r="W1008" s="151"/>
      <c r="X1008" s="151"/>
      <c r="Y1008" s="151"/>
      <c r="Z1008" s="151"/>
    </row>
    <row r="1009" spans="1:26" ht="12.5">
      <c r="A1009" s="151"/>
      <c r="B1009" s="151"/>
      <c r="C1009" s="151"/>
      <c r="D1009" s="151"/>
      <c r="E1009" s="151"/>
      <c r="F1009" s="151"/>
      <c r="G1009" s="15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  <c r="V1009" s="151"/>
      <c r="W1009" s="151"/>
      <c r="X1009" s="151"/>
      <c r="Y1009" s="151"/>
      <c r="Z1009" s="151"/>
    </row>
    <row r="1010" spans="1:26" ht="12.5">
      <c r="A1010" s="151"/>
      <c r="B1010" s="151"/>
      <c r="C1010" s="151"/>
      <c r="D1010" s="151"/>
      <c r="E1010" s="151"/>
      <c r="F1010" s="151"/>
      <c r="G1010" s="151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  <c r="U1010" s="151"/>
      <c r="V1010" s="151"/>
      <c r="W1010" s="151"/>
      <c r="X1010" s="151"/>
      <c r="Y1010" s="151"/>
      <c r="Z1010" s="151"/>
    </row>
    <row r="1011" spans="1:26" ht="12.5">
      <c r="A1011" s="151"/>
      <c r="B1011" s="151"/>
      <c r="C1011" s="151"/>
      <c r="D1011" s="151"/>
      <c r="E1011" s="151"/>
      <c r="F1011" s="151"/>
      <c r="G1011" s="151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  <c r="U1011" s="151"/>
      <c r="V1011" s="151"/>
      <c r="W1011" s="151"/>
      <c r="X1011" s="151"/>
      <c r="Y1011" s="151"/>
      <c r="Z1011" s="151"/>
    </row>
    <row r="1012" spans="1:26" ht="12.5">
      <c r="A1012" s="151"/>
      <c r="B1012" s="151"/>
      <c r="C1012" s="151"/>
      <c r="D1012" s="151"/>
      <c r="E1012" s="151"/>
      <c r="F1012" s="151"/>
      <c r="G1012" s="151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  <c r="U1012" s="151"/>
      <c r="V1012" s="151"/>
      <c r="W1012" s="151"/>
      <c r="X1012" s="151"/>
      <c r="Y1012" s="151"/>
      <c r="Z1012" s="151"/>
    </row>
    <row r="1013" spans="1:26" ht="12.5">
      <c r="A1013" s="151"/>
      <c r="B1013" s="151"/>
      <c r="C1013" s="151"/>
      <c r="D1013" s="151"/>
      <c r="E1013" s="151"/>
      <c r="F1013" s="151"/>
      <c r="G1013" s="151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  <c r="U1013" s="151"/>
      <c r="V1013" s="151"/>
      <c r="W1013" s="151"/>
      <c r="X1013" s="151"/>
      <c r="Y1013" s="151"/>
      <c r="Z1013" s="151"/>
    </row>
  </sheetData>
  <mergeCells count="515">
    <mergeCell ref="M48:N48"/>
    <mergeCell ref="O48:P48"/>
    <mergeCell ref="Q48:R48"/>
    <mergeCell ref="S48:T48"/>
    <mergeCell ref="O49:P49"/>
    <mergeCell ref="Q49:R49"/>
    <mergeCell ref="S49:T49"/>
    <mergeCell ref="M49:N49"/>
    <mergeCell ref="M50:N50"/>
    <mergeCell ref="O50:P50"/>
    <mergeCell ref="Q50:R50"/>
    <mergeCell ref="S50:T50"/>
    <mergeCell ref="M38:N38"/>
    <mergeCell ref="O38:P38"/>
    <mergeCell ref="Q38:R38"/>
    <mergeCell ref="S38:T38"/>
    <mergeCell ref="K38:L38"/>
    <mergeCell ref="K39:L39"/>
    <mergeCell ref="M39:N39"/>
    <mergeCell ref="O39:P39"/>
    <mergeCell ref="Q39:R39"/>
    <mergeCell ref="S39:T39"/>
    <mergeCell ref="M37:N37"/>
    <mergeCell ref="O37:P37"/>
    <mergeCell ref="Q37:R37"/>
    <mergeCell ref="S37:T37"/>
    <mergeCell ref="U37:V37"/>
    <mergeCell ref="K33:L33"/>
    <mergeCell ref="K34:L34"/>
    <mergeCell ref="M34:N34"/>
    <mergeCell ref="O34:P34"/>
    <mergeCell ref="Q34:R34"/>
    <mergeCell ref="S34:T34"/>
    <mergeCell ref="M33:N33"/>
    <mergeCell ref="O33:P33"/>
    <mergeCell ref="Q33:R33"/>
    <mergeCell ref="S33:T33"/>
    <mergeCell ref="D7:D8"/>
    <mergeCell ref="D9:D11"/>
    <mergeCell ref="B7:C8"/>
    <mergeCell ref="E7:G7"/>
    <mergeCell ref="H7:H8"/>
    <mergeCell ref="I7:I8"/>
    <mergeCell ref="J7:J8"/>
    <mergeCell ref="F8:G8"/>
    <mergeCell ref="B9:C35"/>
    <mergeCell ref="D33:D35"/>
    <mergeCell ref="F33:G33"/>
    <mergeCell ref="F34:G34"/>
    <mergeCell ref="X2:Y2"/>
    <mergeCell ref="P3:Y3"/>
    <mergeCell ref="P4:S4"/>
    <mergeCell ref="T4:V4"/>
    <mergeCell ref="W4:Y4"/>
    <mergeCell ref="U6:Y6"/>
    <mergeCell ref="B2:U2"/>
    <mergeCell ref="V2:W2"/>
    <mergeCell ref="B3:B4"/>
    <mergeCell ref="C3:E4"/>
    <mergeCell ref="F3:G4"/>
    <mergeCell ref="H3:J4"/>
    <mergeCell ref="K3:O4"/>
    <mergeCell ref="C5:E5"/>
    <mergeCell ref="F5:G5"/>
    <mergeCell ref="H5:J5"/>
    <mergeCell ref="K5:O5"/>
    <mergeCell ref="P5:S5"/>
    <mergeCell ref="T5:V5"/>
    <mergeCell ref="W5:Y5"/>
    <mergeCell ref="U36:V36"/>
    <mergeCell ref="W36:X36"/>
    <mergeCell ref="M30:N30"/>
    <mergeCell ref="O30:P30"/>
    <mergeCell ref="U32:V32"/>
    <mergeCell ref="Y33:Y35"/>
    <mergeCell ref="K36:L36"/>
    <mergeCell ref="M36:N36"/>
    <mergeCell ref="O36:P36"/>
    <mergeCell ref="Q36:R36"/>
    <mergeCell ref="S36:T36"/>
    <mergeCell ref="Q35:R35"/>
    <mergeCell ref="S35:T35"/>
    <mergeCell ref="M35:N35"/>
    <mergeCell ref="O35:P35"/>
    <mergeCell ref="Q51:R51"/>
    <mergeCell ref="S51:T51"/>
    <mergeCell ref="O74:P74"/>
    <mergeCell ref="Q74:R74"/>
    <mergeCell ref="Q72:R72"/>
    <mergeCell ref="S72:T72"/>
    <mergeCell ref="M73:N73"/>
    <mergeCell ref="O73:P73"/>
    <mergeCell ref="Q73:R73"/>
    <mergeCell ref="S73:T73"/>
    <mergeCell ref="M74:N74"/>
    <mergeCell ref="S74:T74"/>
    <mergeCell ref="M51:N51"/>
    <mergeCell ref="O51:P51"/>
    <mergeCell ref="O57:P57"/>
    <mergeCell ref="Q57:R57"/>
    <mergeCell ref="Q55:R55"/>
    <mergeCell ref="S55:T55"/>
    <mergeCell ref="M56:N56"/>
    <mergeCell ref="O56:P56"/>
    <mergeCell ref="Q56:R56"/>
    <mergeCell ref="S56:T56"/>
    <mergeCell ref="S57:T57"/>
    <mergeCell ref="Q47:R47"/>
    <mergeCell ref="S47:T47"/>
    <mergeCell ref="M45:N45"/>
    <mergeCell ref="M46:N46"/>
    <mergeCell ref="O46:P46"/>
    <mergeCell ref="Q46:R46"/>
    <mergeCell ref="S46:T46"/>
    <mergeCell ref="M47:N47"/>
    <mergeCell ref="O47:P47"/>
    <mergeCell ref="O40:P40"/>
    <mergeCell ref="Q40:R40"/>
    <mergeCell ref="M41:N41"/>
    <mergeCell ref="O41:P41"/>
    <mergeCell ref="Q41:R41"/>
    <mergeCell ref="S41:T41"/>
    <mergeCell ref="S42:T42"/>
    <mergeCell ref="O45:P45"/>
    <mergeCell ref="Q45:R45"/>
    <mergeCell ref="O42:P42"/>
    <mergeCell ref="Q42:R42"/>
    <mergeCell ref="M44:N44"/>
    <mergeCell ref="O44:P44"/>
    <mergeCell ref="Q44:R44"/>
    <mergeCell ref="S44:T44"/>
    <mergeCell ref="S45:T45"/>
    <mergeCell ref="M40:N40"/>
    <mergeCell ref="S40:T40"/>
    <mergeCell ref="M42:N42"/>
    <mergeCell ref="M43:N43"/>
    <mergeCell ref="O43:P43"/>
    <mergeCell ref="Q43:R43"/>
    <mergeCell ref="S43:T43"/>
    <mergeCell ref="M69:N69"/>
    <mergeCell ref="O69:P69"/>
    <mergeCell ref="Q69:R69"/>
    <mergeCell ref="S69:T69"/>
    <mergeCell ref="O70:P70"/>
    <mergeCell ref="Q70:R70"/>
    <mergeCell ref="S70:T70"/>
    <mergeCell ref="K75:N75"/>
    <mergeCell ref="O75:R75"/>
    <mergeCell ref="S75:V75"/>
    <mergeCell ref="M70:N70"/>
    <mergeCell ref="M71:N71"/>
    <mergeCell ref="O71:P71"/>
    <mergeCell ref="Q71:R71"/>
    <mergeCell ref="S71:T71"/>
    <mergeCell ref="M72:N72"/>
    <mergeCell ref="O72:P72"/>
    <mergeCell ref="Q67:R68"/>
    <mergeCell ref="S67:T68"/>
    <mergeCell ref="M65:N65"/>
    <mergeCell ref="M66:N66"/>
    <mergeCell ref="O66:P66"/>
    <mergeCell ref="Q66:R66"/>
    <mergeCell ref="S66:T66"/>
    <mergeCell ref="M67:N68"/>
    <mergeCell ref="O67:P68"/>
    <mergeCell ref="M62:N62"/>
    <mergeCell ref="O62:P62"/>
    <mergeCell ref="Q62:R62"/>
    <mergeCell ref="S62:T62"/>
    <mergeCell ref="M63:N63"/>
    <mergeCell ref="O63:P63"/>
    <mergeCell ref="O65:P65"/>
    <mergeCell ref="Q65:R65"/>
    <mergeCell ref="Q63:R63"/>
    <mergeCell ref="S63:T63"/>
    <mergeCell ref="M64:N64"/>
    <mergeCell ref="O64:P64"/>
    <mergeCell ref="Q64:R64"/>
    <mergeCell ref="S64:T64"/>
    <mergeCell ref="S65:T65"/>
    <mergeCell ref="M59:N59"/>
    <mergeCell ref="O59:P59"/>
    <mergeCell ref="M60:N60"/>
    <mergeCell ref="O60:P60"/>
    <mergeCell ref="Q60:R60"/>
    <mergeCell ref="S60:T60"/>
    <mergeCell ref="O61:P61"/>
    <mergeCell ref="Q61:R61"/>
    <mergeCell ref="S61:T61"/>
    <mergeCell ref="M61:N61"/>
    <mergeCell ref="W69:X69"/>
    <mergeCell ref="W70:X72"/>
    <mergeCell ref="U73:V73"/>
    <mergeCell ref="W73:X73"/>
    <mergeCell ref="U74:V74"/>
    <mergeCell ref="W74:X74"/>
    <mergeCell ref="W75:X75"/>
    <mergeCell ref="M52:N52"/>
    <mergeCell ref="O52:P52"/>
    <mergeCell ref="Q52:R52"/>
    <mergeCell ref="S52:T52"/>
    <mergeCell ref="O53:P53"/>
    <mergeCell ref="Q53:R53"/>
    <mergeCell ref="S53:T53"/>
    <mergeCell ref="M53:N53"/>
    <mergeCell ref="M54:N54"/>
    <mergeCell ref="O54:P54"/>
    <mergeCell ref="Q54:R54"/>
    <mergeCell ref="S54:T54"/>
    <mergeCell ref="M55:N55"/>
    <mergeCell ref="O55:P55"/>
    <mergeCell ref="Q59:R59"/>
    <mergeCell ref="S59:T59"/>
    <mergeCell ref="M57:N57"/>
    <mergeCell ref="U33:V33"/>
    <mergeCell ref="W33:X35"/>
    <mergeCell ref="U34:V34"/>
    <mergeCell ref="U35:V35"/>
    <mergeCell ref="W37:X66"/>
    <mergeCell ref="Y37:Y66"/>
    <mergeCell ref="U38:V38"/>
    <mergeCell ref="U70:V70"/>
    <mergeCell ref="U71:V71"/>
    <mergeCell ref="U65:V65"/>
    <mergeCell ref="U66:V66"/>
    <mergeCell ref="U67:V68"/>
    <mergeCell ref="W67:X68"/>
    <mergeCell ref="Y67:Y68"/>
    <mergeCell ref="U69:V69"/>
    <mergeCell ref="Y70:Y72"/>
    <mergeCell ref="U72:V72"/>
    <mergeCell ref="U53:V53"/>
    <mergeCell ref="U54:V54"/>
    <mergeCell ref="U55:V55"/>
    <mergeCell ref="U56:V56"/>
    <mergeCell ref="U57:V57"/>
    <mergeCell ref="U58:V58"/>
    <mergeCell ref="U59:V59"/>
    <mergeCell ref="B75:J75"/>
    <mergeCell ref="U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52:V52"/>
    <mergeCell ref="U60:V60"/>
    <mergeCell ref="U61:V61"/>
    <mergeCell ref="U62:V62"/>
    <mergeCell ref="U63:V63"/>
    <mergeCell ref="U64:V64"/>
    <mergeCell ref="M58:N58"/>
    <mergeCell ref="O58:P58"/>
    <mergeCell ref="Q58:R58"/>
    <mergeCell ref="S58:T58"/>
    <mergeCell ref="K74:L74"/>
    <mergeCell ref="K64:L64"/>
    <mergeCell ref="K65:L65"/>
    <mergeCell ref="K66:L66"/>
    <mergeCell ref="K67:L68"/>
    <mergeCell ref="K69:L69"/>
    <mergeCell ref="K70:L70"/>
    <mergeCell ref="K71:L71"/>
    <mergeCell ref="B74:J74"/>
    <mergeCell ref="F35:G35"/>
    <mergeCell ref="B37:C66"/>
    <mergeCell ref="F37:G37"/>
    <mergeCell ref="F38:G38"/>
    <mergeCell ref="F39:G39"/>
    <mergeCell ref="G42:G50"/>
    <mergeCell ref="G51:G59"/>
    <mergeCell ref="F70:J70"/>
    <mergeCell ref="F71:J71"/>
    <mergeCell ref="B36:G36"/>
    <mergeCell ref="K35:L35"/>
    <mergeCell ref="K51:L51"/>
    <mergeCell ref="K52:L52"/>
    <mergeCell ref="K53:L53"/>
    <mergeCell ref="K54:L54"/>
    <mergeCell ref="K55:L55"/>
    <mergeCell ref="K56:L56"/>
    <mergeCell ref="K57:L57"/>
    <mergeCell ref="K58:L58"/>
    <mergeCell ref="K46:L46"/>
    <mergeCell ref="K47:L47"/>
    <mergeCell ref="K48:L48"/>
    <mergeCell ref="K49:L49"/>
    <mergeCell ref="K50:L50"/>
    <mergeCell ref="F72:J72"/>
    <mergeCell ref="F73:J73"/>
    <mergeCell ref="G60:G66"/>
    <mergeCell ref="B67:G68"/>
    <mergeCell ref="H67:H68"/>
    <mergeCell ref="I67:I68"/>
    <mergeCell ref="J67:J68"/>
    <mergeCell ref="B69:G69"/>
    <mergeCell ref="B70:E73"/>
    <mergeCell ref="K59:L59"/>
    <mergeCell ref="K60:L60"/>
    <mergeCell ref="K61:L61"/>
    <mergeCell ref="K62:L62"/>
    <mergeCell ref="K63:L63"/>
    <mergeCell ref="K72:L72"/>
    <mergeCell ref="K73:L73"/>
    <mergeCell ref="F40:G40"/>
    <mergeCell ref="K40:L40"/>
    <mergeCell ref="F41:G41"/>
    <mergeCell ref="K41:L41"/>
    <mergeCell ref="K37:L37"/>
    <mergeCell ref="K42:L42"/>
    <mergeCell ref="K43:L43"/>
    <mergeCell ref="K44:L44"/>
    <mergeCell ref="K45:L45"/>
    <mergeCell ref="K30:L30"/>
    <mergeCell ref="K32:L32"/>
    <mergeCell ref="F28:G28"/>
    <mergeCell ref="D29:D32"/>
    <mergeCell ref="F29:G29"/>
    <mergeCell ref="W29:X32"/>
    <mergeCell ref="Y29:Y32"/>
    <mergeCell ref="U30:V30"/>
    <mergeCell ref="F32:G32"/>
    <mergeCell ref="Q30:R30"/>
    <mergeCell ref="S30:T30"/>
    <mergeCell ref="F30:G30"/>
    <mergeCell ref="F31:G31"/>
    <mergeCell ref="K31:L31"/>
    <mergeCell ref="M31:N31"/>
    <mergeCell ref="O31:P31"/>
    <mergeCell ref="Q31:R31"/>
    <mergeCell ref="S31:T31"/>
    <mergeCell ref="U31:V31"/>
    <mergeCell ref="M32:N32"/>
    <mergeCell ref="O32:P32"/>
    <mergeCell ref="Q32:R32"/>
    <mergeCell ref="S32:T32"/>
    <mergeCell ref="K29:L29"/>
    <mergeCell ref="M29:N29"/>
    <mergeCell ref="O29:P29"/>
    <mergeCell ref="Q29:R29"/>
    <mergeCell ref="S29:T29"/>
    <mergeCell ref="U29:V29"/>
    <mergeCell ref="O25:P25"/>
    <mergeCell ref="Q25:R25"/>
    <mergeCell ref="M28:N28"/>
    <mergeCell ref="O28:P28"/>
    <mergeCell ref="Q28:R28"/>
    <mergeCell ref="S28:T28"/>
    <mergeCell ref="U28:V28"/>
    <mergeCell ref="S27:T27"/>
    <mergeCell ref="U27:V27"/>
    <mergeCell ref="D24:D28"/>
    <mergeCell ref="F24:G24"/>
    <mergeCell ref="X24:X28"/>
    <mergeCell ref="Y24:Y28"/>
    <mergeCell ref="F25:G25"/>
    <mergeCell ref="M25:N25"/>
    <mergeCell ref="U26:V26"/>
    <mergeCell ref="S25:T25"/>
    <mergeCell ref="U25:V25"/>
    <mergeCell ref="K25:L25"/>
    <mergeCell ref="K26:L26"/>
    <mergeCell ref="M26:N26"/>
    <mergeCell ref="O26:P26"/>
    <mergeCell ref="Q26:R26"/>
    <mergeCell ref="S26:T26"/>
    <mergeCell ref="F26:G26"/>
    <mergeCell ref="F27:G27"/>
    <mergeCell ref="K27:L27"/>
    <mergeCell ref="M27:N27"/>
    <mergeCell ref="O27:P27"/>
    <mergeCell ref="Q27:R27"/>
    <mergeCell ref="K28:L28"/>
    <mergeCell ref="S24:T24"/>
    <mergeCell ref="U24:V24"/>
    <mergeCell ref="D22:D23"/>
    <mergeCell ref="F22:G22"/>
    <mergeCell ref="F23:G23"/>
    <mergeCell ref="K24:L24"/>
    <mergeCell ref="M24:N24"/>
    <mergeCell ref="O24:P24"/>
    <mergeCell ref="Q24:R24"/>
    <mergeCell ref="U23:V23"/>
    <mergeCell ref="Y20:Y23"/>
    <mergeCell ref="X22:X23"/>
    <mergeCell ref="K19:L19"/>
    <mergeCell ref="M19:N19"/>
    <mergeCell ref="Q21:R21"/>
    <mergeCell ref="S21:T21"/>
    <mergeCell ref="U21:V21"/>
    <mergeCell ref="K22:L22"/>
    <mergeCell ref="U22:V22"/>
    <mergeCell ref="M22:N22"/>
    <mergeCell ref="O22:P22"/>
    <mergeCell ref="K23:L23"/>
    <mergeCell ref="M23:N23"/>
    <mergeCell ref="O23:P23"/>
    <mergeCell ref="Q22:R22"/>
    <mergeCell ref="S22:T22"/>
    <mergeCell ref="Q23:R23"/>
    <mergeCell ref="S23:T23"/>
    <mergeCell ref="F21:G21"/>
    <mergeCell ref="K21:L21"/>
    <mergeCell ref="D18:D21"/>
    <mergeCell ref="F18:G18"/>
    <mergeCell ref="S18:T18"/>
    <mergeCell ref="U18:V18"/>
    <mergeCell ref="Y18:Y19"/>
    <mergeCell ref="F19:G19"/>
    <mergeCell ref="U20:V20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X18:X19"/>
    <mergeCell ref="X20:X21"/>
    <mergeCell ref="M21:N21"/>
    <mergeCell ref="O21:P21"/>
    <mergeCell ref="K17:L17"/>
    <mergeCell ref="K18:L18"/>
    <mergeCell ref="M18:N18"/>
    <mergeCell ref="O18:P18"/>
    <mergeCell ref="Q18:R18"/>
    <mergeCell ref="D15:D17"/>
    <mergeCell ref="F15:G15"/>
    <mergeCell ref="F16:G16"/>
    <mergeCell ref="F17:G17"/>
    <mergeCell ref="M17:N17"/>
    <mergeCell ref="O17:P17"/>
    <mergeCell ref="Q17:R17"/>
    <mergeCell ref="D12:D14"/>
    <mergeCell ref="F12:G12"/>
    <mergeCell ref="M12:N12"/>
    <mergeCell ref="O12:P12"/>
    <mergeCell ref="Q12:R12"/>
    <mergeCell ref="Q13:R13"/>
    <mergeCell ref="M16:N16"/>
    <mergeCell ref="O16:P16"/>
    <mergeCell ref="K12:L12"/>
    <mergeCell ref="K13:L13"/>
    <mergeCell ref="K15:L15"/>
    <mergeCell ref="M15:N15"/>
    <mergeCell ref="O15:P15"/>
    <mergeCell ref="Q15:R15"/>
    <mergeCell ref="K16:L16"/>
    <mergeCell ref="Q16:R16"/>
    <mergeCell ref="M13:N13"/>
    <mergeCell ref="O13:P13"/>
    <mergeCell ref="F13:G13"/>
    <mergeCell ref="F14:G14"/>
    <mergeCell ref="K14:L14"/>
    <mergeCell ref="M14:N14"/>
    <mergeCell ref="O14:P14"/>
    <mergeCell ref="Q14:R14"/>
    <mergeCell ref="F11:G11"/>
    <mergeCell ref="S16:T16"/>
    <mergeCell ref="U16:V16"/>
    <mergeCell ref="S17:T17"/>
    <mergeCell ref="U17:V17"/>
    <mergeCell ref="S9:T9"/>
    <mergeCell ref="U9:V9"/>
    <mergeCell ref="Y9:Y17"/>
    <mergeCell ref="U10:V10"/>
    <mergeCell ref="U11:V11"/>
    <mergeCell ref="U12:V12"/>
    <mergeCell ref="X15:X17"/>
    <mergeCell ref="S11:T11"/>
    <mergeCell ref="S12:T12"/>
    <mergeCell ref="X9:X11"/>
    <mergeCell ref="X12:X14"/>
    <mergeCell ref="S13:T13"/>
    <mergeCell ref="U13:V13"/>
    <mergeCell ref="S14:T14"/>
    <mergeCell ref="U14:V14"/>
    <mergeCell ref="S15:T15"/>
    <mergeCell ref="U15:V15"/>
    <mergeCell ref="S10:T10"/>
    <mergeCell ref="K9:L9"/>
    <mergeCell ref="M9:N9"/>
    <mergeCell ref="O9:P9"/>
    <mergeCell ref="Q9:R9"/>
    <mergeCell ref="M11:N11"/>
    <mergeCell ref="O11:P11"/>
    <mergeCell ref="F9:G9"/>
    <mergeCell ref="F10:G10"/>
    <mergeCell ref="K10:L10"/>
    <mergeCell ref="M10:N10"/>
    <mergeCell ref="O10:P10"/>
    <mergeCell ref="Q10:R10"/>
    <mergeCell ref="K11:L11"/>
    <mergeCell ref="Q11:R11"/>
    <mergeCell ref="O7:R7"/>
    <mergeCell ref="S7:V7"/>
    <mergeCell ref="W7:X8"/>
    <mergeCell ref="Y7:Y8"/>
    <mergeCell ref="O8:P8"/>
    <mergeCell ref="Q8:R8"/>
    <mergeCell ref="S8:T8"/>
    <mergeCell ref="U8:V8"/>
    <mergeCell ref="K7:N7"/>
    <mergeCell ref="K8:L8"/>
    <mergeCell ref="M8:N8"/>
  </mergeCells>
  <phoneticPr fontId="6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13"/>
  <sheetViews>
    <sheetView workbookViewId="0"/>
  </sheetViews>
  <sheetFormatPr defaultColWidth="12.6328125" defaultRowHeight="15.75" customHeight="1"/>
  <cols>
    <col min="1" max="1" width="4.08984375" customWidth="1"/>
    <col min="2" max="2" width="6" customWidth="1"/>
    <col min="3" max="3" width="4" customWidth="1"/>
    <col min="4" max="4" width="7" customWidth="1"/>
    <col min="5" max="5" width="8.7265625" customWidth="1"/>
    <col min="6" max="6" width="17.36328125" customWidth="1"/>
    <col min="7" max="7" width="10" customWidth="1"/>
    <col min="8" max="10" width="5.08984375" customWidth="1"/>
    <col min="11" max="22" width="5" customWidth="1"/>
    <col min="23" max="24" width="6.26953125" customWidth="1"/>
    <col min="25" max="25" width="6.63281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>
      <c r="A2" s="1"/>
      <c r="B2" s="237" t="s">
        <v>0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07"/>
      <c r="V2" s="238" t="s">
        <v>4</v>
      </c>
      <c r="W2" s="207"/>
      <c r="X2" s="238">
        <v>2027</v>
      </c>
      <c r="Y2" s="207"/>
      <c r="Z2" s="1"/>
    </row>
    <row r="3" spans="1:26" ht="14">
      <c r="A3" s="1"/>
      <c r="B3" s="239" t="s">
        <v>53</v>
      </c>
      <c r="C3" s="234" t="s">
        <v>2</v>
      </c>
      <c r="D3" s="225"/>
      <c r="E3" s="217"/>
      <c r="F3" s="234" t="s">
        <v>98</v>
      </c>
      <c r="G3" s="217"/>
      <c r="H3" s="234" t="s">
        <v>99</v>
      </c>
      <c r="I3" s="225"/>
      <c r="J3" s="217"/>
      <c r="K3" s="234" t="s">
        <v>100</v>
      </c>
      <c r="L3" s="225"/>
      <c r="M3" s="225"/>
      <c r="N3" s="225"/>
      <c r="O3" s="217"/>
      <c r="P3" s="235" t="s">
        <v>101</v>
      </c>
      <c r="Q3" s="211"/>
      <c r="R3" s="211"/>
      <c r="S3" s="211"/>
      <c r="T3" s="211"/>
      <c r="U3" s="211"/>
      <c r="V3" s="211"/>
      <c r="W3" s="211"/>
      <c r="X3" s="211"/>
      <c r="Y3" s="207"/>
      <c r="Z3" s="1"/>
    </row>
    <row r="4" spans="1:26" ht="14">
      <c r="A4" s="1"/>
      <c r="B4" s="209"/>
      <c r="C4" s="220"/>
      <c r="D4" s="227"/>
      <c r="E4" s="221"/>
      <c r="F4" s="220"/>
      <c r="G4" s="221"/>
      <c r="H4" s="220"/>
      <c r="I4" s="227"/>
      <c r="J4" s="221"/>
      <c r="K4" s="220"/>
      <c r="L4" s="227"/>
      <c r="M4" s="227"/>
      <c r="N4" s="227"/>
      <c r="O4" s="221"/>
      <c r="P4" s="235" t="s">
        <v>3</v>
      </c>
      <c r="Q4" s="211"/>
      <c r="R4" s="211"/>
      <c r="S4" s="207"/>
      <c r="T4" s="235" t="s">
        <v>105</v>
      </c>
      <c r="U4" s="211"/>
      <c r="V4" s="207"/>
      <c r="W4" s="235" t="s">
        <v>106</v>
      </c>
      <c r="X4" s="211"/>
      <c r="Y4" s="207"/>
      <c r="Z4" s="1"/>
    </row>
    <row r="5" spans="1:26" ht="32.25" customHeight="1">
      <c r="A5" s="1"/>
      <c r="B5" s="60" t="s">
        <v>109</v>
      </c>
      <c r="C5" s="240" t="s">
        <v>5</v>
      </c>
      <c r="D5" s="211"/>
      <c r="E5" s="207"/>
      <c r="F5" s="240" t="s">
        <v>113</v>
      </c>
      <c r="G5" s="207"/>
      <c r="H5" s="240" t="s">
        <v>114</v>
      </c>
      <c r="I5" s="211"/>
      <c r="J5" s="207"/>
      <c r="K5" s="240" t="s">
        <v>406</v>
      </c>
      <c r="L5" s="211"/>
      <c r="M5" s="211"/>
      <c r="N5" s="211"/>
      <c r="O5" s="207"/>
      <c r="P5" s="240" t="s">
        <v>118</v>
      </c>
      <c r="Q5" s="211"/>
      <c r="R5" s="211"/>
      <c r="S5" s="207"/>
      <c r="T5" s="240" t="s">
        <v>120</v>
      </c>
      <c r="U5" s="211"/>
      <c r="V5" s="207"/>
      <c r="W5" s="277" t="s">
        <v>407</v>
      </c>
      <c r="X5" s="211"/>
      <c r="Y5" s="207"/>
      <c r="Z5" s="1"/>
    </row>
    <row r="6" spans="1:26" ht="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36"/>
      <c r="V6" s="226"/>
      <c r="W6" s="226"/>
      <c r="X6" s="226"/>
      <c r="Y6" s="226"/>
      <c r="Z6" s="1"/>
    </row>
    <row r="7" spans="1:26" ht="20.25" customHeight="1">
      <c r="A7" s="63"/>
      <c r="B7" s="230" t="s">
        <v>126</v>
      </c>
      <c r="C7" s="217"/>
      <c r="D7" s="208" t="s">
        <v>128</v>
      </c>
      <c r="E7" s="210" t="s">
        <v>129</v>
      </c>
      <c r="F7" s="211"/>
      <c r="G7" s="207"/>
      <c r="H7" s="208" t="s">
        <v>130</v>
      </c>
      <c r="I7" s="208" t="s">
        <v>131</v>
      </c>
      <c r="J7" s="208" t="s">
        <v>133</v>
      </c>
      <c r="K7" s="210" t="s">
        <v>14</v>
      </c>
      <c r="L7" s="211"/>
      <c r="M7" s="211"/>
      <c r="N7" s="207"/>
      <c r="O7" s="210" t="s">
        <v>15</v>
      </c>
      <c r="P7" s="211"/>
      <c r="Q7" s="211"/>
      <c r="R7" s="207"/>
      <c r="S7" s="210" t="s">
        <v>16</v>
      </c>
      <c r="T7" s="211"/>
      <c r="U7" s="211"/>
      <c r="V7" s="207"/>
      <c r="W7" s="230" t="s">
        <v>137</v>
      </c>
      <c r="X7" s="217"/>
      <c r="Y7" s="208" t="s">
        <v>139</v>
      </c>
      <c r="Z7" s="70"/>
    </row>
    <row r="8" spans="1:26" ht="20.25" customHeight="1">
      <c r="A8" s="63"/>
      <c r="B8" s="220"/>
      <c r="C8" s="221"/>
      <c r="D8" s="209"/>
      <c r="E8" s="71" t="s">
        <v>145</v>
      </c>
      <c r="F8" s="210" t="s">
        <v>146</v>
      </c>
      <c r="G8" s="207"/>
      <c r="H8" s="209"/>
      <c r="I8" s="209"/>
      <c r="J8" s="209"/>
      <c r="K8" s="210" t="s">
        <v>19</v>
      </c>
      <c r="L8" s="207"/>
      <c r="M8" s="210" t="s">
        <v>20</v>
      </c>
      <c r="N8" s="207"/>
      <c r="O8" s="210" t="s">
        <v>19</v>
      </c>
      <c r="P8" s="207"/>
      <c r="Q8" s="210" t="s">
        <v>20</v>
      </c>
      <c r="R8" s="207"/>
      <c r="S8" s="210" t="s">
        <v>19</v>
      </c>
      <c r="T8" s="207"/>
      <c r="U8" s="210" t="s">
        <v>20</v>
      </c>
      <c r="V8" s="207"/>
      <c r="W8" s="220"/>
      <c r="X8" s="221"/>
      <c r="Y8" s="209"/>
      <c r="Z8" s="63"/>
    </row>
    <row r="9" spans="1:26" ht="14">
      <c r="A9" s="1"/>
      <c r="B9" s="216" t="s">
        <v>149</v>
      </c>
      <c r="C9" s="217"/>
      <c r="D9" s="212" t="s">
        <v>153</v>
      </c>
      <c r="E9" s="74" t="s">
        <v>154</v>
      </c>
      <c r="F9" s="206" t="s">
        <v>155</v>
      </c>
      <c r="G9" s="207"/>
      <c r="H9" s="74">
        <v>4</v>
      </c>
      <c r="I9" s="74" t="s">
        <v>156</v>
      </c>
      <c r="J9" s="74">
        <f t="shared" ref="J9:J35" si="0">SUM(K9:V9)</f>
        <v>3</v>
      </c>
      <c r="K9" s="206">
        <v>3</v>
      </c>
      <c r="L9" s="207"/>
      <c r="M9" s="206"/>
      <c r="N9" s="207"/>
      <c r="O9" s="206"/>
      <c r="P9" s="207"/>
      <c r="Q9" s="206"/>
      <c r="R9" s="207"/>
      <c r="S9" s="206"/>
      <c r="T9" s="207"/>
      <c r="U9" s="206"/>
      <c r="V9" s="207"/>
      <c r="W9" s="74">
        <f t="shared" ref="W9:W28" si="1">J9</f>
        <v>3</v>
      </c>
      <c r="X9" s="212">
        <f>SUM(W9:W11)</f>
        <v>9</v>
      </c>
      <c r="Y9" s="215">
        <v>24</v>
      </c>
      <c r="Z9" s="1"/>
    </row>
    <row r="10" spans="1:26" ht="14">
      <c r="A10" s="1"/>
      <c r="B10" s="218"/>
      <c r="C10" s="219"/>
      <c r="D10" s="213"/>
      <c r="E10" s="74" t="s">
        <v>154</v>
      </c>
      <c r="F10" s="206" t="s">
        <v>162</v>
      </c>
      <c r="G10" s="207"/>
      <c r="H10" s="74">
        <v>4</v>
      </c>
      <c r="I10" s="74" t="s">
        <v>156</v>
      </c>
      <c r="J10" s="74">
        <f t="shared" si="0"/>
        <v>3</v>
      </c>
      <c r="K10" s="206"/>
      <c r="L10" s="207"/>
      <c r="M10" s="206">
        <v>3</v>
      </c>
      <c r="N10" s="207"/>
      <c r="O10" s="206"/>
      <c r="P10" s="207"/>
      <c r="Q10" s="206"/>
      <c r="R10" s="207"/>
      <c r="S10" s="206"/>
      <c r="T10" s="207"/>
      <c r="U10" s="206"/>
      <c r="V10" s="207"/>
      <c r="W10" s="74">
        <f t="shared" si="1"/>
        <v>3</v>
      </c>
      <c r="X10" s="213"/>
      <c r="Y10" s="213"/>
      <c r="Z10" s="1"/>
    </row>
    <row r="11" spans="1:26" ht="14">
      <c r="A11" s="1"/>
      <c r="B11" s="218"/>
      <c r="C11" s="219"/>
      <c r="D11" s="209"/>
      <c r="E11" s="74" t="s">
        <v>224</v>
      </c>
      <c r="F11" s="206" t="s">
        <v>404</v>
      </c>
      <c r="G11" s="207"/>
      <c r="H11" s="74">
        <v>4</v>
      </c>
      <c r="I11" s="74" t="s">
        <v>167</v>
      </c>
      <c r="J11" s="74">
        <f t="shared" si="0"/>
        <v>3</v>
      </c>
      <c r="K11" s="206"/>
      <c r="L11" s="207"/>
      <c r="M11" s="206"/>
      <c r="N11" s="207"/>
      <c r="O11" s="206">
        <v>3</v>
      </c>
      <c r="P11" s="207"/>
      <c r="Q11" s="206"/>
      <c r="R11" s="207"/>
      <c r="S11" s="206"/>
      <c r="T11" s="207"/>
      <c r="U11" s="206"/>
      <c r="V11" s="207"/>
      <c r="W11" s="74">
        <f t="shared" si="1"/>
        <v>3</v>
      </c>
      <c r="X11" s="209"/>
      <c r="Y11" s="213"/>
      <c r="Z11" s="1"/>
    </row>
    <row r="12" spans="1:26" ht="14">
      <c r="A12" s="1"/>
      <c r="B12" s="218"/>
      <c r="C12" s="219"/>
      <c r="D12" s="212" t="s">
        <v>168</v>
      </c>
      <c r="E12" s="74" t="s">
        <v>154</v>
      </c>
      <c r="F12" s="206" t="s">
        <v>169</v>
      </c>
      <c r="G12" s="207"/>
      <c r="H12" s="74">
        <v>4</v>
      </c>
      <c r="I12" s="74" t="s">
        <v>156</v>
      </c>
      <c r="J12" s="74">
        <f t="shared" si="0"/>
        <v>3</v>
      </c>
      <c r="K12" s="206">
        <v>3</v>
      </c>
      <c r="L12" s="207"/>
      <c r="M12" s="206"/>
      <c r="N12" s="207"/>
      <c r="O12" s="206"/>
      <c r="P12" s="207"/>
      <c r="Q12" s="206"/>
      <c r="R12" s="207"/>
      <c r="S12" s="206"/>
      <c r="T12" s="207"/>
      <c r="U12" s="206"/>
      <c r="V12" s="207"/>
      <c r="W12" s="74">
        <f t="shared" si="1"/>
        <v>3</v>
      </c>
      <c r="X12" s="212">
        <f>SUM(W12:W14)</f>
        <v>9</v>
      </c>
      <c r="Y12" s="213"/>
      <c r="Z12" s="1"/>
    </row>
    <row r="13" spans="1:26" ht="14">
      <c r="A13" s="1"/>
      <c r="B13" s="218"/>
      <c r="C13" s="219"/>
      <c r="D13" s="213"/>
      <c r="E13" s="74" t="s">
        <v>154</v>
      </c>
      <c r="F13" s="206" t="s">
        <v>172</v>
      </c>
      <c r="G13" s="207"/>
      <c r="H13" s="74">
        <v>4</v>
      </c>
      <c r="I13" s="74" t="s">
        <v>156</v>
      </c>
      <c r="J13" s="74">
        <f t="shared" si="0"/>
        <v>3</v>
      </c>
      <c r="K13" s="206"/>
      <c r="L13" s="207"/>
      <c r="M13" s="206">
        <v>3</v>
      </c>
      <c r="N13" s="207"/>
      <c r="O13" s="206"/>
      <c r="P13" s="207"/>
      <c r="Q13" s="206"/>
      <c r="R13" s="207"/>
      <c r="S13" s="206"/>
      <c r="T13" s="207"/>
      <c r="U13" s="206"/>
      <c r="V13" s="207"/>
      <c r="W13" s="74">
        <f t="shared" si="1"/>
        <v>3</v>
      </c>
      <c r="X13" s="213"/>
      <c r="Y13" s="213"/>
      <c r="Z13" s="1"/>
    </row>
    <row r="14" spans="1:26" ht="14">
      <c r="A14" s="1"/>
      <c r="B14" s="218"/>
      <c r="C14" s="219"/>
      <c r="D14" s="209"/>
      <c r="E14" s="74" t="s">
        <v>165</v>
      </c>
      <c r="F14" s="206" t="s">
        <v>173</v>
      </c>
      <c r="G14" s="207"/>
      <c r="H14" s="74">
        <v>4</v>
      </c>
      <c r="I14" s="74" t="s">
        <v>167</v>
      </c>
      <c r="J14" s="74">
        <f t="shared" si="0"/>
        <v>3</v>
      </c>
      <c r="K14" s="206"/>
      <c r="L14" s="207"/>
      <c r="M14" s="206"/>
      <c r="N14" s="207"/>
      <c r="O14" s="206">
        <v>3</v>
      </c>
      <c r="P14" s="207"/>
      <c r="Q14" s="206"/>
      <c r="R14" s="207"/>
      <c r="S14" s="206"/>
      <c r="T14" s="207"/>
      <c r="U14" s="206"/>
      <c r="V14" s="207"/>
      <c r="W14" s="74">
        <f t="shared" si="1"/>
        <v>3</v>
      </c>
      <c r="X14" s="209"/>
      <c r="Y14" s="213"/>
      <c r="Z14" s="1"/>
    </row>
    <row r="15" spans="1:26" ht="14">
      <c r="A15" s="1"/>
      <c r="B15" s="218"/>
      <c r="C15" s="219"/>
      <c r="D15" s="212" t="s">
        <v>175</v>
      </c>
      <c r="E15" s="74" t="s">
        <v>154</v>
      </c>
      <c r="F15" s="206" t="s">
        <v>177</v>
      </c>
      <c r="G15" s="207"/>
      <c r="H15" s="74">
        <v>4</v>
      </c>
      <c r="I15" s="74" t="s">
        <v>156</v>
      </c>
      <c r="J15" s="74">
        <f t="shared" si="0"/>
        <v>3</v>
      </c>
      <c r="K15" s="206">
        <v>3</v>
      </c>
      <c r="L15" s="207"/>
      <c r="M15" s="206"/>
      <c r="N15" s="207"/>
      <c r="O15" s="206"/>
      <c r="P15" s="207"/>
      <c r="Q15" s="206"/>
      <c r="R15" s="207"/>
      <c r="S15" s="206"/>
      <c r="T15" s="207"/>
      <c r="U15" s="206"/>
      <c r="V15" s="207"/>
      <c r="W15" s="74">
        <f t="shared" si="1"/>
        <v>3</v>
      </c>
      <c r="X15" s="212">
        <f>SUM(W15:W17)</f>
        <v>9</v>
      </c>
      <c r="Y15" s="213"/>
      <c r="Z15" s="1"/>
    </row>
    <row r="16" spans="1:26" ht="14">
      <c r="A16" s="1"/>
      <c r="B16" s="218"/>
      <c r="C16" s="219"/>
      <c r="D16" s="213"/>
      <c r="E16" s="74" t="s">
        <v>154</v>
      </c>
      <c r="F16" s="206" t="s">
        <v>178</v>
      </c>
      <c r="G16" s="207"/>
      <c r="H16" s="74">
        <v>4</v>
      </c>
      <c r="I16" s="74" t="s">
        <v>156</v>
      </c>
      <c r="J16" s="74">
        <f t="shared" si="0"/>
        <v>3</v>
      </c>
      <c r="K16" s="206"/>
      <c r="L16" s="207"/>
      <c r="M16" s="206">
        <v>3</v>
      </c>
      <c r="N16" s="207"/>
      <c r="O16" s="206"/>
      <c r="P16" s="207"/>
      <c r="Q16" s="206"/>
      <c r="R16" s="207"/>
      <c r="S16" s="206"/>
      <c r="T16" s="207"/>
      <c r="U16" s="206"/>
      <c r="V16" s="207"/>
      <c r="W16" s="74">
        <f t="shared" si="1"/>
        <v>3</v>
      </c>
      <c r="X16" s="213"/>
      <c r="Y16" s="213"/>
      <c r="Z16" s="1"/>
    </row>
    <row r="17" spans="1:26" ht="14">
      <c r="A17" s="1"/>
      <c r="B17" s="218"/>
      <c r="C17" s="219"/>
      <c r="D17" s="209"/>
      <c r="E17" s="74" t="s">
        <v>165</v>
      </c>
      <c r="F17" s="206" t="s">
        <v>180</v>
      </c>
      <c r="G17" s="207"/>
      <c r="H17" s="74">
        <v>4</v>
      </c>
      <c r="I17" s="74" t="s">
        <v>167</v>
      </c>
      <c r="J17" s="74">
        <f t="shared" si="0"/>
        <v>3</v>
      </c>
      <c r="K17" s="206"/>
      <c r="L17" s="207"/>
      <c r="M17" s="206"/>
      <c r="N17" s="207"/>
      <c r="O17" s="206"/>
      <c r="P17" s="207"/>
      <c r="Q17" s="206">
        <v>3</v>
      </c>
      <c r="R17" s="207"/>
      <c r="S17" s="206"/>
      <c r="T17" s="207"/>
      <c r="U17" s="206"/>
      <c r="V17" s="207"/>
      <c r="W17" s="74">
        <f t="shared" si="1"/>
        <v>3</v>
      </c>
      <c r="X17" s="209"/>
      <c r="Y17" s="209"/>
      <c r="Z17" s="1"/>
    </row>
    <row r="18" spans="1:26" ht="14">
      <c r="A18" s="1"/>
      <c r="B18" s="218"/>
      <c r="C18" s="219"/>
      <c r="D18" s="212" t="s">
        <v>182</v>
      </c>
      <c r="E18" s="74" t="s">
        <v>154</v>
      </c>
      <c r="F18" s="206" t="s">
        <v>183</v>
      </c>
      <c r="G18" s="207"/>
      <c r="H18" s="74">
        <v>3</v>
      </c>
      <c r="I18" s="74" t="s">
        <v>186</v>
      </c>
      <c r="J18" s="74">
        <f t="shared" si="0"/>
        <v>3</v>
      </c>
      <c r="K18" s="206">
        <v>3</v>
      </c>
      <c r="L18" s="207"/>
      <c r="M18" s="206"/>
      <c r="N18" s="207"/>
      <c r="O18" s="206"/>
      <c r="P18" s="207"/>
      <c r="Q18" s="206"/>
      <c r="R18" s="207"/>
      <c r="S18" s="206"/>
      <c r="T18" s="207"/>
      <c r="U18" s="206"/>
      <c r="V18" s="207"/>
      <c r="W18" s="74">
        <f t="shared" si="1"/>
        <v>3</v>
      </c>
      <c r="X18" s="212">
        <f>SUM(W18:W19)</f>
        <v>6</v>
      </c>
      <c r="Y18" s="215">
        <v>6</v>
      </c>
      <c r="Z18" s="1"/>
    </row>
    <row r="19" spans="1:26" ht="14">
      <c r="A19" s="1"/>
      <c r="B19" s="218"/>
      <c r="C19" s="219"/>
      <c r="D19" s="213"/>
      <c r="E19" s="74" t="s">
        <v>154</v>
      </c>
      <c r="F19" s="206" t="s">
        <v>187</v>
      </c>
      <c r="G19" s="207"/>
      <c r="H19" s="74">
        <v>3</v>
      </c>
      <c r="I19" s="74" t="s">
        <v>186</v>
      </c>
      <c r="J19" s="74">
        <f t="shared" si="0"/>
        <v>3</v>
      </c>
      <c r="K19" s="206"/>
      <c r="L19" s="207"/>
      <c r="M19" s="206">
        <v>3</v>
      </c>
      <c r="N19" s="207"/>
      <c r="O19" s="206"/>
      <c r="P19" s="207"/>
      <c r="Q19" s="206"/>
      <c r="R19" s="207"/>
      <c r="S19" s="206"/>
      <c r="T19" s="207"/>
      <c r="U19" s="206"/>
      <c r="V19" s="207"/>
      <c r="W19" s="74">
        <f t="shared" si="1"/>
        <v>3</v>
      </c>
      <c r="X19" s="209"/>
      <c r="Y19" s="209"/>
      <c r="Z19" s="1"/>
    </row>
    <row r="20" spans="1:26" ht="14">
      <c r="A20" s="1"/>
      <c r="B20" s="218"/>
      <c r="C20" s="219"/>
      <c r="D20" s="213"/>
      <c r="E20" s="74" t="s">
        <v>154</v>
      </c>
      <c r="F20" s="206" t="s">
        <v>188</v>
      </c>
      <c r="G20" s="207"/>
      <c r="H20" s="74">
        <v>4</v>
      </c>
      <c r="I20" s="74" t="s">
        <v>156</v>
      </c>
      <c r="J20" s="74">
        <f t="shared" si="0"/>
        <v>3</v>
      </c>
      <c r="K20" s="206"/>
      <c r="L20" s="207"/>
      <c r="M20" s="206"/>
      <c r="N20" s="207"/>
      <c r="O20" s="206">
        <v>3</v>
      </c>
      <c r="P20" s="207"/>
      <c r="Q20" s="206"/>
      <c r="R20" s="207"/>
      <c r="S20" s="206"/>
      <c r="T20" s="207"/>
      <c r="U20" s="206"/>
      <c r="V20" s="207"/>
      <c r="W20" s="74">
        <f t="shared" si="1"/>
        <v>3</v>
      </c>
      <c r="X20" s="212">
        <f>SUM(W20:W21)</f>
        <v>6</v>
      </c>
      <c r="Y20" s="215">
        <v>12</v>
      </c>
      <c r="Z20" s="1"/>
    </row>
    <row r="21" spans="1:26" ht="14">
      <c r="A21" s="1"/>
      <c r="B21" s="218"/>
      <c r="C21" s="219"/>
      <c r="D21" s="209"/>
      <c r="E21" s="74" t="s">
        <v>154</v>
      </c>
      <c r="F21" s="206" t="s">
        <v>219</v>
      </c>
      <c r="G21" s="207"/>
      <c r="H21" s="74">
        <v>4</v>
      </c>
      <c r="I21" s="74" t="s">
        <v>156</v>
      </c>
      <c r="J21" s="74">
        <f t="shared" si="0"/>
        <v>3</v>
      </c>
      <c r="K21" s="206"/>
      <c r="L21" s="207"/>
      <c r="M21" s="206"/>
      <c r="N21" s="207"/>
      <c r="O21" s="206"/>
      <c r="P21" s="207"/>
      <c r="Q21" s="206">
        <v>3</v>
      </c>
      <c r="R21" s="207"/>
      <c r="S21" s="206"/>
      <c r="T21" s="207"/>
      <c r="U21" s="206"/>
      <c r="V21" s="207"/>
      <c r="W21" s="74">
        <f t="shared" si="1"/>
        <v>3</v>
      </c>
      <c r="X21" s="209"/>
      <c r="Y21" s="213"/>
      <c r="Z21" s="1"/>
    </row>
    <row r="22" spans="1:26" ht="14">
      <c r="A22" s="1"/>
      <c r="B22" s="218"/>
      <c r="C22" s="219"/>
      <c r="D22" s="212" t="s">
        <v>220</v>
      </c>
      <c r="E22" s="74" t="s">
        <v>154</v>
      </c>
      <c r="F22" s="206" t="s">
        <v>221</v>
      </c>
      <c r="G22" s="207"/>
      <c r="H22" s="74">
        <v>4</v>
      </c>
      <c r="I22" s="74" t="s">
        <v>156</v>
      </c>
      <c r="J22" s="74">
        <f t="shared" si="0"/>
        <v>3</v>
      </c>
      <c r="K22" s="206">
        <v>3</v>
      </c>
      <c r="L22" s="207"/>
      <c r="M22" s="206"/>
      <c r="N22" s="207"/>
      <c r="O22" s="206"/>
      <c r="P22" s="207"/>
      <c r="Q22" s="206"/>
      <c r="R22" s="207"/>
      <c r="S22" s="206"/>
      <c r="T22" s="207"/>
      <c r="U22" s="206"/>
      <c r="V22" s="207"/>
      <c r="W22" s="74">
        <f t="shared" si="1"/>
        <v>3</v>
      </c>
      <c r="X22" s="212">
        <f>SUM(W22:W23)</f>
        <v>6</v>
      </c>
      <c r="Y22" s="213"/>
      <c r="Z22" s="1"/>
    </row>
    <row r="23" spans="1:26" ht="14">
      <c r="A23" s="1"/>
      <c r="B23" s="218"/>
      <c r="C23" s="219"/>
      <c r="D23" s="209"/>
      <c r="E23" s="74" t="s">
        <v>154</v>
      </c>
      <c r="F23" s="206" t="s">
        <v>222</v>
      </c>
      <c r="G23" s="207"/>
      <c r="H23" s="74">
        <v>4</v>
      </c>
      <c r="I23" s="74" t="s">
        <v>156</v>
      </c>
      <c r="J23" s="74">
        <f t="shared" si="0"/>
        <v>3</v>
      </c>
      <c r="K23" s="206"/>
      <c r="L23" s="207"/>
      <c r="M23" s="206">
        <v>3</v>
      </c>
      <c r="N23" s="207"/>
      <c r="O23" s="206"/>
      <c r="P23" s="207"/>
      <c r="Q23" s="206"/>
      <c r="R23" s="207"/>
      <c r="S23" s="206"/>
      <c r="T23" s="207"/>
      <c r="U23" s="206"/>
      <c r="V23" s="207"/>
      <c r="W23" s="74">
        <f t="shared" si="1"/>
        <v>3</v>
      </c>
      <c r="X23" s="209"/>
      <c r="Y23" s="209"/>
      <c r="Z23" s="1"/>
    </row>
    <row r="24" spans="1:26" ht="14">
      <c r="A24" s="1"/>
      <c r="B24" s="218"/>
      <c r="C24" s="219"/>
      <c r="D24" s="212" t="s">
        <v>223</v>
      </c>
      <c r="E24" s="74" t="s">
        <v>224</v>
      </c>
      <c r="F24" s="206" t="s">
        <v>225</v>
      </c>
      <c r="G24" s="207"/>
      <c r="H24" s="74">
        <v>3</v>
      </c>
      <c r="I24" s="74" t="s">
        <v>226</v>
      </c>
      <c r="J24" s="74">
        <f t="shared" si="0"/>
        <v>2</v>
      </c>
      <c r="K24" s="206">
        <v>2</v>
      </c>
      <c r="L24" s="207"/>
      <c r="M24" s="206"/>
      <c r="N24" s="207"/>
      <c r="O24" s="206"/>
      <c r="P24" s="207"/>
      <c r="Q24" s="206"/>
      <c r="R24" s="207"/>
      <c r="S24" s="206"/>
      <c r="T24" s="207"/>
      <c r="U24" s="206"/>
      <c r="V24" s="207"/>
      <c r="W24" s="74">
        <f t="shared" si="1"/>
        <v>2</v>
      </c>
      <c r="X24" s="212">
        <f>SUM(W24:W28)</f>
        <v>9</v>
      </c>
      <c r="Y24" s="215">
        <v>8</v>
      </c>
      <c r="Z24" s="1"/>
    </row>
    <row r="25" spans="1:26" ht="14">
      <c r="A25" s="1"/>
      <c r="B25" s="218"/>
      <c r="C25" s="219"/>
      <c r="D25" s="213"/>
      <c r="E25" s="74" t="s">
        <v>224</v>
      </c>
      <c r="F25" s="206" t="s">
        <v>227</v>
      </c>
      <c r="G25" s="207"/>
      <c r="H25" s="74">
        <v>3</v>
      </c>
      <c r="I25" s="74" t="s">
        <v>226</v>
      </c>
      <c r="J25" s="74">
        <f t="shared" si="0"/>
        <v>2</v>
      </c>
      <c r="K25" s="206"/>
      <c r="L25" s="207"/>
      <c r="M25" s="206">
        <v>2</v>
      </c>
      <c r="N25" s="207"/>
      <c r="O25" s="206"/>
      <c r="P25" s="207"/>
      <c r="Q25" s="206"/>
      <c r="R25" s="207"/>
      <c r="S25" s="206"/>
      <c r="T25" s="207"/>
      <c r="U25" s="206"/>
      <c r="V25" s="207"/>
      <c r="W25" s="74">
        <f t="shared" si="1"/>
        <v>2</v>
      </c>
      <c r="X25" s="213"/>
      <c r="Y25" s="213"/>
      <c r="Z25" s="1"/>
    </row>
    <row r="26" spans="1:26" ht="14">
      <c r="A26" s="1"/>
      <c r="B26" s="218"/>
      <c r="C26" s="219"/>
      <c r="D26" s="213"/>
      <c r="E26" s="74" t="s">
        <v>228</v>
      </c>
      <c r="F26" s="206" t="s">
        <v>229</v>
      </c>
      <c r="G26" s="207"/>
      <c r="H26" s="74">
        <v>3</v>
      </c>
      <c r="I26" s="74" t="s">
        <v>226</v>
      </c>
      <c r="J26" s="74">
        <f t="shared" si="0"/>
        <v>2</v>
      </c>
      <c r="K26" s="206"/>
      <c r="L26" s="207"/>
      <c r="M26" s="206"/>
      <c r="N26" s="207"/>
      <c r="O26" s="206">
        <v>2</v>
      </c>
      <c r="P26" s="207"/>
      <c r="Q26" s="206"/>
      <c r="R26" s="207"/>
      <c r="S26" s="206"/>
      <c r="T26" s="207"/>
      <c r="U26" s="206"/>
      <c r="V26" s="207"/>
      <c r="W26" s="74">
        <f t="shared" si="1"/>
        <v>2</v>
      </c>
      <c r="X26" s="213"/>
      <c r="Y26" s="213"/>
      <c r="Z26" s="1"/>
    </row>
    <row r="27" spans="1:26" ht="14">
      <c r="A27" s="1"/>
      <c r="B27" s="218"/>
      <c r="C27" s="219"/>
      <c r="D27" s="213"/>
      <c r="E27" s="74" t="s">
        <v>228</v>
      </c>
      <c r="F27" s="206" t="s">
        <v>230</v>
      </c>
      <c r="G27" s="207"/>
      <c r="H27" s="74">
        <v>3</v>
      </c>
      <c r="I27" s="74" t="s">
        <v>226</v>
      </c>
      <c r="J27" s="74">
        <f t="shared" si="0"/>
        <v>2</v>
      </c>
      <c r="K27" s="206"/>
      <c r="L27" s="207"/>
      <c r="M27" s="206"/>
      <c r="N27" s="207"/>
      <c r="O27" s="206"/>
      <c r="P27" s="207"/>
      <c r="Q27" s="206">
        <v>2</v>
      </c>
      <c r="R27" s="207"/>
      <c r="S27" s="206"/>
      <c r="T27" s="207"/>
      <c r="U27" s="206"/>
      <c r="V27" s="207"/>
      <c r="W27" s="74">
        <f t="shared" si="1"/>
        <v>2</v>
      </c>
      <c r="X27" s="213"/>
      <c r="Y27" s="213"/>
      <c r="Z27" s="1"/>
    </row>
    <row r="28" spans="1:26" ht="14">
      <c r="A28" s="1"/>
      <c r="B28" s="218"/>
      <c r="C28" s="219"/>
      <c r="D28" s="209"/>
      <c r="E28" s="74" t="s">
        <v>165</v>
      </c>
      <c r="F28" s="206" t="s">
        <v>231</v>
      </c>
      <c r="G28" s="207"/>
      <c r="H28" s="74">
        <v>2</v>
      </c>
      <c r="I28" s="74" t="s">
        <v>232</v>
      </c>
      <c r="J28" s="74">
        <f t="shared" si="0"/>
        <v>1</v>
      </c>
      <c r="K28" s="206"/>
      <c r="L28" s="207"/>
      <c r="M28" s="206"/>
      <c r="N28" s="207"/>
      <c r="O28" s="206"/>
      <c r="P28" s="207"/>
      <c r="Q28" s="206"/>
      <c r="R28" s="207"/>
      <c r="S28" s="206">
        <v>1</v>
      </c>
      <c r="T28" s="207"/>
      <c r="U28" s="206"/>
      <c r="V28" s="207"/>
      <c r="W28" s="74">
        <f t="shared" si="1"/>
        <v>1</v>
      </c>
      <c r="X28" s="209"/>
      <c r="Y28" s="209"/>
      <c r="Z28" s="1"/>
    </row>
    <row r="29" spans="1:26" ht="14">
      <c r="A29" s="1"/>
      <c r="B29" s="218"/>
      <c r="C29" s="219"/>
      <c r="D29" s="212" t="s">
        <v>233</v>
      </c>
      <c r="E29" s="74" t="s">
        <v>224</v>
      </c>
      <c r="F29" s="206" t="s">
        <v>234</v>
      </c>
      <c r="G29" s="207"/>
      <c r="H29" s="74">
        <v>3</v>
      </c>
      <c r="I29" s="74" t="s">
        <v>226</v>
      </c>
      <c r="J29" s="74">
        <f t="shared" si="0"/>
        <v>3</v>
      </c>
      <c r="K29" s="206">
        <v>3</v>
      </c>
      <c r="L29" s="207"/>
      <c r="M29" s="206"/>
      <c r="N29" s="207"/>
      <c r="O29" s="206"/>
      <c r="P29" s="207"/>
      <c r="Q29" s="206"/>
      <c r="R29" s="207"/>
      <c r="S29" s="270"/>
      <c r="T29" s="207"/>
      <c r="U29" s="270"/>
      <c r="V29" s="207"/>
      <c r="W29" s="216">
        <f>SUM(J29:J32)</f>
        <v>10</v>
      </c>
      <c r="X29" s="217"/>
      <c r="Y29" s="215">
        <v>6</v>
      </c>
      <c r="Z29" s="1"/>
    </row>
    <row r="30" spans="1:26" ht="14">
      <c r="A30" s="1"/>
      <c r="B30" s="218"/>
      <c r="C30" s="219"/>
      <c r="D30" s="213"/>
      <c r="E30" s="74" t="s">
        <v>165</v>
      </c>
      <c r="F30" s="206" t="s">
        <v>235</v>
      </c>
      <c r="G30" s="207"/>
      <c r="H30" s="74">
        <v>3</v>
      </c>
      <c r="I30" s="74" t="s">
        <v>226</v>
      </c>
      <c r="J30" s="74">
        <f t="shared" si="0"/>
        <v>2</v>
      </c>
      <c r="K30" s="206"/>
      <c r="L30" s="207"/>
      <c r="M30" s="206"/>
      <c r="N30" s="207"/>
      <c r="O30" s="206">
        <v>2</v>
      </c>
      <c r="P30" s="207"/>
      <c r="Q30" s="206"/>
      <c r="R30" s="207"/>
      <c r="S30" s="206"/>
      <c r="T30" s="207"/>
      <c r="U30" s="206"/>
      <c r="V30" s="207"/>
      <c r="W30" s="218"/>
      <c r="X30" s="219"/>
      <c r="Y30" s="213"/>
      <c r="Z30" s="1"/>
    </row>
    <row r="31" spans="1:26" ht="14">
      <c r="A31" s="1"/>
      <c r="B31" s="218"/>
      <c r="C31" s="219"/>
      <c r="D31" s="213"/>
      <c r="E31" s="74" t="s">
        <v>224</v>
      </c>
      <c r="F31" s="206" t="s">
        <v>236</v>
      </c>
      <c r="G31" s="207"/>
      <c r="H31" s="74">
        <v>3</v>
      </c>
      <c r="I31" s="74" t="s">
        <v>226</v>
      </c>
      <c r="J31" s="74">
        <f t="shared" si="0"/>
        <v>3</v>
      </c>
      <c r="K31" s="206"/>
      <c r="L31" s="207"/>
      <c r="M31" s="206">
        <v>3</v>
      </c>
      <c r="N31" s="207"/>
      <c r="O31" s="206"/>
      <c r="P31" s="207"/>
      <c r="Q31" s="206"/>
      <c r="R31" s="207"/>
      <c r="S31" s="206"/>
      <c r="T31" s="207"/>
      <c r="U31" s="206"/>
      <c r="V31" s="207"/>
      <c r="W31" s="218"/>
      <c r="X31" s="219"/>
      <c r="Y31" s="213"/>
      <c r="Z31" s="1"/>
    </row>
    <row r="32" spans="1:26" ht="14">
      <c r="A32" s="1"/>
      <c r="B32" s="218"/>
      <c r="C32" s="219"/>
      <c r="D32" s="209"/>
      <c r="E32" s="74" t="s">
        <v>165</v>
      </c>
      <c r="F32" s="206" t="s">
        <v>237</v>
      </c>
      <c r="G32" s="207"/>
      <c r="H32" s="74">
        <v>3</v>
      </c>
      <c r="I32" s="74" t="s">
        <v>226</v>
      </c>
      <c r="J32" s="74">
        <f t="shared" si="0"/>
        <v>2</v>
      </c>
      <c r="K32" s="206"/>
      <c r="L32" s="207"/>
      <c r="M32" s="206"/>
      <c r="N32" s="207"/>
      <c r="O32" s="206"/>
      <c r="P32" s="207"/>
      <c r="Q32" s="206">
        <v>2</v>
      </c>
      <c r="R32" s="207"/>
      <c r="S32" s="270"/>
      <c r="T32" s="207"/>
      <c r="U32" s="270"/>
      <c r="V32" s="207"/>
      <c r="W32" s="220"/>
      <c r="X32" s="221"/>
      <c r="Y32" s="209"/>
      <c r="Z32" s="1"/>
    </row>
    <row r="33" spans="1:26" ht="14">
      <c r="A33" s="1"/>
      <c r="B33" s="218"/>
      <c r="C33" s="219"/>
      <c r="D33" s="228" t="s">
        <v>238</v>
      </c>
      <c r="E33" s="74" t="s">
        <v>224</v>
      </c>
      <c r="F33" s="206" t="s">
        <v>239</v>
      </c>
      <c r="G33" s="207"/>
      <c r="H33" s="74">
        <v>3</v>
      </c>
      <c r="I33" s="74" t="s">
        <v>226</v>
      </c>
      <c r="J33" s="74">
        <f t="shared" si="0"/>
        <v>2</v>
      </c>
      <c r="K33" s="206">
        <v>2</v>
      </c>
      <c r="L33" s="207"/>
      <c r="M33" s="206"/>
      <c r="N33" s="207"/>
      <c r="O33" s="270"/>
      <c r="P33" s="207"/>
      <c r="Q33" s="270"/>
      <c r="R33" s="207"/>
      <c r="S33" s="270"/>
      <c r="T33" s="207"/>
      <c r="U33" s="270"/>
      <c r="V33" s="207"/>
      <c r="W33" s="216">
        <f>SUM(J33:J35)</f>
        <v>8</v>
      </c>
      <c r="X33" s="217"/>
      <c r="Y33" s="215">
        <v>8</v>
      </c>
      <c r="Z33" s="1"/>
    </row>
    <row r="34" spans="1:26" ht="14">
      <c r="A34" s="1"/>
      <c r="B34" s="218"/>
      <c r="C34" s="219"/>
      <c r="D34" s="213"/>
      <c r="E34" s="74" t="s">
        <v>224</v>
      </c>
      <c r="F34" s="278" t="s">
        <v>422</v>
      </c>
      <c r="G34" s="207"/>
      <c r="H34" s="74">
        <v>4</v>
      </c>
      <c r="I34" s="74" t="s">
        <v>167</v>
      </c>
      <c r="J34" s="74">
        <f t="shared" si="0"/>
        <v>3</v>
      </c>
      <c r="K34" s="206">
        <v>3</v>
      </c>
      <c r="L34" s="207"/>
      <c r="M34" s="206"/>
      <c r="N34" s="207"/>
      <c r="O34" s="270"/>
      <c r="P34" s="207"/>
      <c r="Q34" s="270"/>
      <c r="R34" s="207"/>
      <c r="S34" s="270"/>
      <c r="T34" s="207"/>
      <c r="U34" s="270"/>
      <c r="V34" s="207"/>
      <c r="W34" s="218"/>
      <c r="X34" s="219"/>
      <c r="Y34" s="213"/>
      <c r="Z34" s="1"/>
    </row>
    <row r="35" spans="1:26" ht="14">
      <c r="A35" s="1"/>
      <c r="B35" s="220"/>
      <c r="C35" s="221"/>
      <c r="D35" s="209"/>
      <c r="E35" s="74" t="s">
        <v>224</v>
      </c>
      <c r="F35" s="278" t="s">
        <v>423</v>
      </c>
      <c r="G35" s="207"/>
      <c r="H35" s="74">
        <v>4</v>
      </c>
      <c r="I35" s="74" t="s">
        <v>167</v>
      </c>
      <c r="J35" s="74">
        <f t="shared" si="0"/>
        <v>3</v>
      </c>
      <c r="K35" s="206"/>
      <c r="L35" s="207"/>
      <c r="M35" s="206">
        <v>3</v>
      </c>
      <c r="N35" s="207"/>
      <c r="O35" s="270"/>
      <c r="P35" s="207"/>
      <c r="Q35" s="270"/>
      <c r="R35" s="207"/>
      <c r="S35" s="270"/>
      <c r="T35" s="207"/>
      <c r="U35" s="270"/>
      <c r="V35" s="207"/>
      <c r="W35" s="220"/>
      <c r="X35" s="221"/>
      <c r="Y35" s="209"/>
      <c r="Z35" s="1"/>
    </row>
    <row r="36" spans="1:26" ht="14">
      <c r="A36" s="1"/>
      <c r="B36" s="223" t="s">
        <v>242</v>
      </c>
      <c r="C36" s="211"/>
      <c r="D36" s="211"/>
      <c r="E36" s="211"/>
      <c r="F36" s="211"/>
      <c r="G36" s="207"/>
      <c r="H36" s="104"/>
      <c r="I36" s="105"/>
      <c r="J36" s="104">
        <f t="shared" ref="J36:K36" si="2">SUM(J9:J35)</f>
        <v>72</v>
      </c>
      <c r="K36" s="223">
        <f t="shared" si="2"/>
        <v>25</v>
      </c>
      <c r="L36" s="207"/>
      <c r="M36" s="223">
        <f>SUM(M9:M35)</f>
        <v>23</v>
      </c>
      <c r="N36" s="207"/>
      <c r="O36" s="223">
        <f>SUM(O9:O35)</f>
        <v>13</v>
      </c>
      <c r="P36" s="207"/>
      <c r="Q36" s="223">
        <f>SUM(Q9:Q35)</f>
        <v>10</v>
      </c>
      <c r="R36" s="207"/>
      <c r="S36" s="223">
        <f>SUM(S9:S35)</f>
        <v>1</v>
      </c>
      <c r="T36" s="207"/>
      <c r="U36" s="223">
        <f>SUM(U9:U35)</f>
        <v>0</v>
      </c>
      <c r="V36" s="207"/>
      <c r="W36" s="223">
        <f>SUM(W9:W35)</f>
        <v>72</v>
      </c>
      <c r="X36" s="207"/>
      <c r="Y36" s="106">
        <v>64</v>
      </c>
      <c r="Z36" s="1"/>
    </row>
    <row r="37" spans="1:26" ht="14">
      <c r="A37" s="1"/>
      <c r="B37" s="224" t="s">
        <v>247</v>
      </c>
      <c r="C37" s="217"/>
      <c r="D37" s="107"/>
      <c r="E37" s="74" t="s">
        <v>250</v>
      </c>
      <c r="F37" s="206" t="s">
        <v>251</v>
      </c>
      <c r="G37" s="207"/>
      <c r="H37" s="108"/>
      <c r="I37" s="109" t="s">
        <v>252</v>
      </c>
      <c r="J37" s="74">
        <f t="shared" ref="J37:J66" si="3">SUM(K37:V37)</f>
        <v>2</v>
      </c>
      <c r="K37" s="240"/>
      <c r="L37" s="207"/>
      <c r="M37" s="240"/>
      <c r="N37" s="207"/>
      <c r="O37" s="240"/>
      <c r="P37" s="207"/>
      <c r="Q37" s="240"/>
      <c r="R37" s="207"/>
      <c r="S37" s="240">
        <v>2</v>
      </c>
      <c r="T37" s="207"/>
      <c r="U37" s="240"/>
      <c r="V37" s="207"/>
      <c r="W37" s="216">
        <f>SUM(J37:J41)+(SUM(J42:J66)/3)</f>
        <v>102</v>
      </c>
      <c r="X37" s="217"/>
      <c r="Y37" s="215">
        <v>80</v>
      </c>
      <c r="Z37" s="1"/>
    </row>
    <row r="38" spans="1:26" ht="14">
      <c r="A38" s="1"/>
      <c r="B38" s="218"/>
      <c r="C38" s="219"/>
      <c r="D38" s="107" t="s">
        <v>255</v>
      </c>
      <c r="E38" s="74" t="s">
        <v>253</v>
      </c>
      <c r="F38" s="278" t="s">
        <v>258</v>
      </c>
      <c r="G38" s="207"/>
      <c r="H38" s="108"/>
      <c r="I38" s="109" t="s">
        <v>252</v>
      </c>
      <c r="J38" s="74">
        <f t="shared" si="3"/>
        <v>2</v>
      </c>
      <c r="K38" s="240"/>
      <c r="L38" s="207"/>
      <c r="M38" s="240">
        <v>2</v>
      </c>
      <c r="N38" s="207"/>
      <c r="O38" s="240"/>
      <c r="P38" s="207"/>
      <c r="Q38" s="240"/>
      <c r="R38" s="207"/>
      <c r="S38" s="240"/>
      <c r="T38" s="207"/>
      <c r="U38" s="240"/>
      <c r="V38" s="207"/>
      <c r="W38" s="218"/>
      <c r="X38" s="219"/>
      <c r="Y38" s="213"/>
      <c r="Z38" s="1"/>
    </row>
    <row r="39" spans="1:26" ht="14">
      <c r="A39" s="1"/>
      <c r="B39" s="218"/>
      <c r="C39" s="219"/>
      <c r="D39" s="107" t="s">
        <v>255</v>
      </c>
      <c r="E39" s="74" t="s">
        <v>253</v>
      </c>
      <c r="F39" s="206" t="s">
        <v>256</v>
      </c>
      <c r="G39" s="207"/>
      <c r="H39" s="108"/>
      <c r="I39" s="109" t="s">
        <v>252</v>
      </c>
      <c r="J39" s="74">
        <f t="shared" si="3"/>
        <v>2</v>
      </c>
      <c r="K39" s="240"/>
      <c r="L39" s="207"/>
      <c r="M39" s="240"/>
      <c r="N39" s="207"/>
      <c r="O39" s="240">
        <v>2</v>
      </c>
      <c r="P39" s="207"/>
      <c r="Q39" s="240"/>
      <c r="R39" s="207"/>
      <c r="S39" s="240"/>
      <c r="T39" s="207"/>
      <c r="U39" s="240"/>
      <c r="V39" s="207"/>
      <c r="W39" s="218"/>
      <c r="X39" s="219"/>
      <c r="Y39" s="213"/>
      <c r="Z39" s="1"/>
    </row>
    <row r="40" spans="1:26" ht="14">
      <c r="A40" s="1"/>
      <c r="B40" s="218"/>
      <c r="C40" s="219"/>
      <c r="D40" s="107" t="s">
        <v>113</v>
      </c>
      <c r="E40" s="74" t="s">
        <v>253</v>
      </c>
      <c r="F40" s="278" t="s">
        <v>408</v>
      </c>
      <c r="G40" s="207"/>
      <c r="H40" s="108"/>
      <c r="I40" s="109" t="s">
        <v>252</v>
      </c>
      <c r="J40" s="74">
        <f t="shared" si="3"/>
        <v>2</v>
      </c>
      <c r="K40" s="240"/>
      <c r="L40" s="207"/>
      <c r="M40" s="240"/>
      <c r="N40" s="207"/>
      <c r="O40" s="240">
        <v>2</v>
      </c>
      <c r="P40" s="207"/>
      <c r="Q40" s="240"/>
      <c r="R40" s="207"/>
      <c r="S40" s="240"/>
      <c r="T40" s="207"/>
      <c r="U40" s="240"/>
      <c r="V40" s="207"/>
      <c r="W40" s="218"/>
      <c r="X40" s="219"/>
      <c r="Y40" s="213"/>
      <c r="Z40" s="1"/>
    </row>
    <row r="41" spans="1:26" ht="14">
      <c r="A41" s="1"/>
      <c r="B41" s="218"/>
      <c r="C41" s="219"/>
      <c r="D41" s="107" t="s">
        <v>255</v>
      </c>
      <c r="E41" s="74" t="s">
        <v>260</v>
      </c>
      <c r="F41" s="206" t="s">
        <v>409</v>
      </c>
      <c r="G41" s="207"/>
      <c r="H41" s="115"/>
      <c r="I41" s="109" t="s">
        <v>252</v>
      </c>
      <c r="J41" s="74">
        <f t="shared" si="3"/>
        <v>8</v>
      </c>
      <c r="K41" s="240">
        <v>4</v>
      </c>
      <c r="L41" s="207"/>
      <c r="M41" s="240">
        <v>4</v>
      </c>
      <c r="N41" s="207"/>
      <c r="O41" s="240"/>
      <c r="P41" s="207"/>
      <c r="Q41" s="240"/>
      <c r="R41" s="207"/>
      <c r="S41" s="240"/>
      <c r="T41" s="207"/>
      <c r="U41" s="240"/>
      <c r="V41" s="207"/>
      <c r="W41" s="218"/>
      <c r="X41" s="219"/>
      <c r="Y41" s="213"/>
      <c r="Z41" s="1"/>
    </row>
    <row r="42" spans="1:26" ht="14">
      <c r="A42" s="1"/>
      <c r="B42" s="218"/>
      <c r="C42" s="219"/>
      <c r="D42" s="107" t="s">
        <v>255</v>
      </c>
      <c r="E42" s="74" t="s">
        <v>253</v>
      </c>
      <c r="F42" s="117" t="s">
        <v>410</v>
      </c>
      <c r="G42" s="276" t="s">
        <v>411</v>
      </c>
      <c r="H42" s="108"/>
      <c r="I42" s="109" t="s">
        <v>252</v>
      </c>
      <c r="J42" s="74">
        <f t="shared" si="3"/>
        <v>2</v>
      </c>
      <c r="K42" s="274"/>
      <c r="L42" s="207"/>
      <c r="M42" s="274"/>
      <c r="N42" s="207"/>
      <c r="O42" s="229">
        <v>2</v>
      </c>
      <c r="P42" s="207"/>
      <c r="Q42" s="229"/>
      <c r="R42" s="207"/>
      <c r="S42" s="229"/>
      <c r="T42" s="207"/>
      <c r="U42" s="229"/>
      <c r="V42" s="207"/>
      <c r="W42" s="218"/>
      <c r="X42" s="219"/>
      <c r="Y42" s="213"/>
      <c r="Z42" s="1"/>
    </row>
    <row r="43" spans="1:26" ht="14">
      <c r="A43" s="1"/>
      <c r="B43" s="218"/>
      <c r="C43" s="219"/>
      <c r="D43" s="107" t="s">
        <v>255</v>
      </c>
      <c r="E43" s="74" t="s">
        <v>253</v>
      </c>
      <c r="F43" s="117" t="s">
        <v>263</v>
      </c>
      <c r="G43" s="213"/>
      <c r="H43" s="108"/>
      <c r="I43" s="109" t="s">
        <v>252</v>
      </c>
      <c r="J43" s="74">
        <f t="shared" si="3"/>
        <v>6</v>
      </c>
      <c r="K43" s="274"/>
      <c r="L43" s="207"/>
      <c r="M43" s="274"/>
      <c r="N43" s="207"/>
      <c r="O43" s="229"/>
      <c r="P43" s="207"/>
      <c r="Q43" s="229">
        <v>6</v>
      </c>
      <c r="R43" s="207"/>
      <c r="S43" s="229"/>
      <c r="T43" s="207"/>
      <c r="U43" s="229"/>
      <c r="V43" s="207"/>
      <c r="W43" s="218"/>
      <c r="X43" s="219"/>
      <c r="Y43" s="213"/>
      <c r="Z43" s="1"/>
    </row>
    <row r="44" spans="1:26" ht="14">
      <c r="A44" s="1"/>
      <c r="B44" s="218"/>
      <c r="C44" s="219"/>
      <c r="D44" s="107"/>
      <c r="E44" s="74" t="s">
        <v>260</v>
      </c>
      <c r="F44" s="117" t="s">
        <v>412</v>
      </c>
      <c r="G44" s="213"/>
      <c r="H44" s="108"/>
      <c r="I44" s="109" t="s">
        <v>252</v>
      </c>
      <c r="J44" s="74">
        <f t="shared" si="3"/>
        <v>19</v>
      </c>
      <c r="K44" s="274"/>
      <c r="L44" s="207"/>
      <c r="M44" s="274"/>
      <c r="N44" s="207"/>
      <c r="O44" s="229"/>
      <c r="P44" s="207"/>
      <c r="Q44" s="229"/>
      <c r="R44" s="207"/>
      <c r="S44" s="229">
        <v>6</v>
      </c>
      <c r="T44" s="207"/>
      <c r="U44" s="229">
        <v>13</v>
      </c>
      <c r="V44" s="207"/>
      <c r="W44" s="218"/>
      <c r="X44" s="219"/>
      <c r="Y44" s="213"/>
      <c r="Z44" s="1"/>
    </row>
    <row r="45" spans="1:26" ht="14">
      <c r="A45" s="1"/>
      <c r="B45" s="218"/>
      <c r="C45" s="219"/>
      <c r="D45" s="107" t="s">
        <v>113</v>
      </c>
      <c r="E45" s="74" t="s">
        <v>260</v>
      </c>
      <c r="F45" s="126" t="s">
        <v>281</v>
      </c>
      <c r="G45" s="213"/>
      <c r="H45" s="108"/>
      <c r="I45" s="109" t="s">
        <v>252</v>
      </c>
      <c r="J45" s="74">
        <f t="shared" si="3"/>
        <v>4</v>
      </c>
      <c r="K45" s="270"/>
      <c r="L45" s="207"/>
      <c r="M45" s="270"/>
      <c r="N45" s="207"/>
      <c r="O45" s="206"/>
      <c r="P45" s="207"/>
      <c r="Q45" s="206"/>
      <c r="R45" s="207"/>
      <c r="S45" s="206"/>
      <c r="T45" s="207"/>
      <c r="U45" s="206">
        <v>4</v>
      </c>
      <c r="V45" s="207"/>
      <c r="W45" s="218"/>
      <c r="X45" s="219"/>
      <c r="Y45" s="213"/>
      <c r="Z45" s="1"/>
    </row>
    <row r="46" spans="1:26" ht="14">
      <c r="A46" s="1"/>
      <c r="B46" s="218"/>
      <c r="C46" s="219"/>
      <c r="D46" s="107" t="s">
        <v>113</v>
      </c>
      <c r="E46" s="74" t="s">
        <v>260</v>
      </c>
      <c r="F46" s="126" t="s">
        <v>60</v>
      </c>
      <c r="G46" s="213"/>
      <c r="H46" s="108"/>
      <c r="I46" s="109" t="s">
        <v>252</v>
      </c>
      <c r="J46" s="74">
        <f t="shared" si="3"/>
        <v>13</v>
      </c>
      <c r="K46" s="270"/>
      <c r="L46" s="207"/>
      <c r="M46" s="270"/>
      <c r="N46" s="207"/>
      <c r="O46" s="206">
        <v>10</v>
      </c>
      <c r="P46" s="207"/>
      <c r="Q46" s="206">
        <v>3</v>
      </c>
      <c r="R46" s="207"/>
      <c r="S46" s="206"/>
      <c r="T46" s="207"/>
      <c r="U46" s="206"/>
      <c r="V46" s="207"/>
      <c r="W46" s="218"/>
      <c r="X46" s="219"/>
      <c r="Y46" s="213"/>
      <c r="Z46" s="1"/>
    </row>
    <row r="47" spans="1:26" ht="14">
      <c r="A47" s="1"/>
      <c r="B47" s="218"/>
      <c r="C47" s="219"/>
      <c r="D47" s="107" t="s">
        <v>113</v>
      </c>
      <c r="E47" s="74" t="s">
        <v>260</v>
      </c>
      <c r="F47" s="126" t="s">
        <v>79</v>
      </c>
      <c r="G47" s="213"/>
      <c r="H47" s="108"/>
      <c r="I47" s="109" t="s">
        <v>252</v>
      </c>
      <c r="J47" s="74">
        <f t="shared" si="3"/>
        <v>16</v>
      </c>
      <c r="K47" s="270"/>
      <c r="L47" s="207"/>
      <c r="M47" s="270"/>
      <c r="N47" s="207"/>
      <c r="O47" s="206"/>
      <c r="P47" s="207"/>
      <c r="Q47" s="206">
        <v>6</v>
      </c>
      <c r="R47" s="207"/>
      <c r="S47" s="206">
        <v>10</v>
      </c>
      <c r="T47" s="207"/>
      <c r="U47" s="206"/>
      <c r="V47" s="207"/>
      <c r="W47" s="218"/>
      <c r="X47" s="219"/>
      <c r="Y47" s="213"/>
      <c r="Z47" s="1"/>
    </row>
    <row r="48" spans="1:26" ht="14">
      <c r="A48" s="1"/>
      <c r="B48" s="218"/>
      <c r="C48" s="219"/>
      <c r="D48" s="194" t="s">
        <v>413</v>
      </c>
      <c r="E48" s="195" t="s">
        <v>260</v>
      </c>
      <c r="F48" s="196" t="s">
        <v>414</v>
      </c>
      <c r="G48" s="213"/>
      <c r="H48" s="108"/>
      <c r="I48" s="109" t="s">
        <v>252</v>
      </c>
      <c r="J48" s="74">
        <f t="shared" si="3"/>
        <v>0</v>
      </c>
      <c r="K48" s="270"/>
      <c r="L48" s="207"/>
      <c r="M48" s="270"/>
      <c r="N48" s="207"/>
      <c r="O48" s="206"/>
      <c r="P48" s="207"/>
      <c r="Q48" s="206"/>
      <c r="R48" s="207"/>
      <c r="S48" s="206"/>
      <c r="T48" s="207"/>
      <c r="U48" s="206">
        <v>0</v>
      </c>
      <c r="V48" s="207"/>
      <c r="W48" s="218"/>
      <c r="X48" s="219"/>
      <c r="Y48" s="213"/>
      <c r="Z48" s="1"/>
    </row>
    <row r="49" spans="1:26" ht="14">
      <c r="A49" s="1"/>
      <c r="B49" s="218"/>
      <c r="C49" s="219"/>
      <c r="D49" s="107" t="s">
        <v>113</v>
      </c>
      <c r="E49" s="74" t="s">
        <v>260</v>
      </c>
      <c r="F49" s="197" t="s">
        <v>95</v>
      </c>
      <c r="G49" s="213"/>
      <c r="H49" s="108"/>
      <c r="I49" s="109" t="s">
        <v>252</v>
      </c>
      <c r="J49" s="74">
        <f t="shared" si="3"/>
        <v>14</v>
      </c>
      <c r="K49" s="270"/>
      <c r="L49" s="207"/>
      <c r="M49" s="270"/>
      <c r="N49" s="207"/>
      <c r="O49" s="206"/>
      <c r="P49" s="207"/>
      <c r="Q49" s="206"/>
      <c r="R49" s="207"/>
      <c r="S49" s="206">
        <v>2</v>
      </c>
      <c r="T49" s="207"/>
      <c r="U49" s="206">
        <v>12</v>
      </c>
      <c r="V49" s="207"/>
      <c r="W49" s="218"/>
      <c r="X49" s="219"/>
      <c r="Y49" s="213"/>
      <c r="Z49" s="1"/>
    </row>
    <row r="50" spans="1:26" ht="14">
      <c r="A50" s="1"/>
      <c r="B50" s="218"/>
      <c r="C50" s="219"/>
      <c r="D50" s="107" t="s">
        <v>113</v>
      </c>
      <c r="E50" s="74" t="s">
        <v>260</v>
      </c>
      <c r="F50" s="126" t="s">
        <v>45</v>
      </c>
      <c r="G50" s="209"/>
      <c r="H50" s="108"/>
      <c r="I50" s="109" t="s">
        <v>252</v>
      </c>
      <c r="J50" s="74">
        <f t="shared" si="3"/>
        <v>12</v>
      </c>
      <c r="K50" s="270"/>
      <c r="L50" s="207"/>
      <c r="M50" s="270"/>
      <c r="N50" s="207"/>
      <c r="O50" s="206"/>
      <c r="P50" s="207"/>
      <c r="Q50" s="206">
        <v>4</v>
      </c>
      <c r="R50" s="207"/>
      <c r="S50" s="206">
        <v>8</v>
      </c>
      <c r="T50" s="207"/>
      <c r="U50" s="206"/>
      <c r="V50" s="207"/>
      <c r="W50" s="218"/>
      <c r="X50" s="219"/>
      <c r="Y50" s="213"/>
      <c r="Z50" s="1"/>
    </row>
    <row r="51" spans="1:26" ht="14">
      <c r="A51" s="1"/>
      <c r="B51" s="218"/>
      <c r="C51" s="219"/>
      <c r="D51" s="107" t="s">
        <v>255</v>
      </c>
      <c r="E51" s="74" t="s">
        <v>253</v>
      </c>
      <c r="F51" s="117" t="s">
        <v>410</v>
      </c>
      <c r="G51" s="279" t="s">
        <v>431</v>
      </c>
      <c r="H51" s="108"/>
      <c r="I51" s="109" t="s">
        <v>252</v>
      </c>
      <c r="J51" s="74">
        <f t="shared" si="3"/>
        <v>2</v>
      </c>
      <c r="K51" s="274"/>
      <c r="L51" s="207"/>
      <c r="M51" s="274"/>
      <c r="N51" s="207"/>
      <c r="O51" s="229">
        <v>2</v>
      </c>
      <c r="P51" s="207"/>
      <c r="Q51" s="229"/>
      <c r="R51" s="207"/>
      <c r="S51" s="229"/>
      <c r="T51" s="207"/>
      <c r="U51" s="229"/>
      <c r="V51" s="207"/>
      <c r="W51" s="218"/>
      <c r="X51" s="219"/>
      <c r="Y51" s="213"/>
      <c r="Z51" s="1"/>
    </row>
    <row r="52" spans="1:26" ht="14">
      <c r="A52" s="1"/>
      <c r="B52" s="218"/>
      <c r="C52" s="219"/>
      <c r="D52" s="107" t="s">
        <v>255</v>
      </c>
      <c r="E52" s="74" t="s">
        <v>253</v>
      </c>
      <c r="F52" s="117" t="s">
        <v>263</v>
      </c>
      <c r="G52" s="213"/>
      <c r="H52" s="108"/>
      <c r="I52" s="109" t="s">
        <v>252</v>
      </c>
      <c r="J52" s="74">
        <f t="shared" si="3"/>
        <v>6</v>
      </c>
      <c r="K52" s="274"/>
      <c r="L52" s="207"/>
      <c r="M52" s="274"/>
      <c r="N52" s="207"/>
      <c r="O52" s="229"/>
      <c r="P52" s="207"/>
      <c r="Q52" s="229">
        <v>6</v>
      </c>
      <c r="R52" s="207"/>
      <c r="S52" s="229"/>
      <c r="T52" s="207"/>
      <c r="U52" s="229"/>
      <c r="V52" s="207"/>
      <c r="W52" s="218"/>
      <c r="X52" s="219"/>
      <c r="Y52" s="213"/>
      <c r="Z52" s="1"/>
    </row>
    <row r="53" spans="1:26" ht="14">
      <c r="A53" s="1"/>
      <c r="B53" s="218"/>
      <c r="C53" s="219"/>
      <c r="D53" s="107"/>
      <c r="E53" s="74" t="s">
        <v>260</v>
      </c>
      <c r="F53" s="117" t="s">
        <v>412</v>
      </c>
      <c r="G53" s="213"/>
      <c r="H53" s="108"/>
      <c r="I53" s="109" t="s">
        <v>252</v>
      </c>
      <c r="J53" s="74">
        <f t="shared" si="3"/>
        <v>19</v>
      </c>
      <c r="K53" s="274"/>
      <c r="L53" s="207"/>
      <c r="M53" s="274"/>
      <c r="N53" s="207"/>
      <c r="O53" s="229"/>
      <c r="P53" s="207"/>
      <c r="Q53" s="229"/>
      <c r="R53" s="207"/>
      <c r="S53" s="229">
        <v>6</v>
      </c>
      <c r="T53" s="207"/>
      <c r="U53" s="229">
        <v>13</v>
      </c>
      <c r="V53" s="207"/>
      <c r="W53" s="218"/>
      <c r="X53" s="219"/>
      <c r="Y53" s="213"/>
      <c r="Z53" s="1"/>
    </row>
    <row r="54" spans="1:26" ht="14">
      <c r="A54" s="1"/>
      <c r="B54" s="218"/>
      <c r="C54" s="219"/>
      <c r="D54" s="107" t="s">
        <v>113</v>
      </c>
      <c r="E54" s="74" t="s">
        <v>260</v>
      </c>
      <c r="F54" s="126" t="s">
        <v>281</v>
      </c>
      <c r="G54" s="213"/>
      <c r="H54" s="108"/>
      <c r="I54" s="109" t="s">
        <v>252</v>
      </c>
      <c r="J54" s="74">
        <f t="shared" si="3"/>
        <v>4</v>
      </c>
      <c r="K54" s="270"/>
      <c r="L54" s="207"/>
      <c r="M54" s="270"/>
      <c r="N54" s="207"/>
      <c r="O54" s="206"/>
      <c r="P54" s="207"/>
      <c r="Q54" s="206"/>
      <c r="R54" s="207"/>
      <c r="S54" s="206"/>
      <c r="T54" s="207"/>
      <c r="U54" s="206">
        <v>4</v>
      </c>
      <c r="V54" s="207"/>
      <c r="W54" s="218"/>
      <c r="X54" s="219"/>
      <c r="Y54" s="213"/>
      <c r="Z54" s="1"/>
    </row>
    <row r="55" spans="1:26" ht="14">
      <c r="A55" s="1"/>
      <c r="B55" s="218"/>
      <c r="C55" s="219"/>
      <c r="D55" s="107" t="s">
        <v>113</v>
      </c>
      <c r="E55" s="74" t="s">
        <v>260</v>
      </c>
      <c r="F55" s="126" t="s">
        <v>60</v>
      </c>
      <c r="G55" s="213"/>
      <c r="H55" s="108"/>
      <c r="I55" s="109" t="s">
        <v>252</v>
      </c>
      <c r="J55" s="74">
        <f t="shared" si="3"/>
        <v>4</v>
      </c>
      <c r="K55" s="270"/>
      <c r="L55" s="207"/>
      <c r="M55" s="270"/>
      <c r="N55" s="207"/>
      <c r="O55" s="206">
        <v>2</v>
      </c>
      <c r="P55" s="207"/>
      <c r="Q55" s="206">
        <v>2</v>
      </c>
      <c r="R55" s="207"/>
      <c r="S55" s="206"/>
      <c r="T55" s="207"/>
      <c r="U55" s="206"/>
      <c r="V55" s="207"/>
      <c r="W55" s="218"/>
      <c r="X55" s="219"/>
      <c r="Y55" s="213"/>
      <c r="Z55" s="1"/>
    </row>
    <row r="56" spans="1:26" ht="14">
      <c r="A56" s="1"/>
      <c r="B56" s="218"/>
      <c r="C56" s="219"/>
      <c r="D56" s="107" t="s">
        <v>113</v>
      </c>
      <c r="E56" s="74" t="s">
        <v>260</v>
      </c>
      <c r="F56" s="126" t="s">
        <v>79</v>
      </c>
      <c r="G56" s="213"/>
      <c r="H56" s="108"/>
      <c r="I56" s="109" t="s">
        <v>252</v>
      </c>
      <c r="J56" s="74">
        <f t="shared" si="3"/>
        <v>4</v>
      </c>
      <c r="K56" s="270"/>
      <c r="L56" s="207"/>
      <c r="M56" s="270"/>
      <c r="N56" s="207"/>
      <c r="O56" s="206"/>
      <c r="P56" s="207"/>
      <c r="Q56" s="206">
        <v>2</v>
      </c>
      <c r="R56" s="207"/>
      <c r="S56" s="206">
        <v>2</v>
      </c>
      <c r="T56" s="207"/>
      <c r="U56" s="206"/>
      <c r="V56" s="207"/>
      <c r="W56" s="218"/>
      <c r="X56" s="219"/>
      <c r="Y56" s="213"/>
      <c r="Z56" s="1"/>
    </row>
    <row r="57" spans="1:26" ht="14">
      <c r="A57" s="1"/>
      <c r="B57" s="218"/>
      <c r="C57" s="219"/>
      <c r="D57" s="107" t="s">
        <v>113</v>
      </c>
      <c r="E57" s="74" t="s">
        <v>260</v>
      </c>
      <c r="F57" s="126" t="s">
        <v>416</v>
      </c>
      <c r="G57" s="213"/>
      <c r="H57" s="108"/>
      <c r="I57" s="109" t="s">
        <v>252</v>
      </c>
      <c r="J57" s="74">
        <f t="shared" si="3"/>
        <v>12</v>
      </c>
      <c r="K57" s="270"/>
      <c r="L57" s="207"/>
      <c r="M57" s="270"/>
      <c r="N57" s="207"/>
      <c r="O57" s="206">
        <v>8</v>
      </c>
      <c r="P57" s="207"/>
      <c r="Q57" s="206">
        <v>4</v>
      </c>
      <c r="R57" s="207"/>
      <c r="S57" s="206"/>
      <c r="T57" s="207"/>
      <c r="U57" s="206"/>
      <c r="V57" s="207"/>
      <c r="W57" s="218"/>
      <c r="X57" s="219"/>
      <c r="Y57" s="213"/>
      <c r="Z57" s="1"/>
    </row>
    <row r="58" spans="1:26" ht="14">
      <c r="A58" s="1"/>
      <c r="B58" s="218"/>
      <c r="C58" s="219"/>
      <c r="D58" s="107" t="s">
        <v>113</v>
      </c>
      <c r="E58" s="74" t="s">
        <v>260</v>
      </c>
      <c r="F58" s="126" t="s">
        <v>417</v>
      </c>
      <c r="G58" s="213"/>
      <c r="H58" s="108"/>
      <c r="I58" s="109" t="s">
        <v>252</v>
      </c>
      <c r="J58" s="74">
        <f t="shared" si="3"/>
        <v>21</v>
      </c>
      <c r="K58" s="270"/>
      <c r="L58" s="207"/>
      <c r="M58" s="270"/>
      <c r="N58" s="207"/>
      <c r="O58" s="206"/>
      <c r="P58" s="207"/>
      <c r="Q58" s="206">
        <v>5</v>
      </c>
      <c r="R58" s="207"/>
      <c r="S58" s="206">
        <v>16</v>
      </c>
      <c r="T58" s="207"/>
      <c r="U58" s="206"/>
      <c r="V58" s="207"/>
      <c r="W58" s="218"/>
      <c r="X58" s="219"/>
      <c r="Y58" s="213"/>
      <c r="Z58" s="1"/>
    </row>
    <row r="59" spans="1:26" ht="14">
      <c r="A59" s="1"/>
      <c r="B59" s="218"/>
      <c r="C59" s="219"/>
      <c r="D59" s="107" t="s">
        <v>113</v>
      </c>
      <c r="E59" s="74" t="s">
        <v>260</v>
      </c>
      <c r="F59" s="197" t="s">
        <v>450</v>
      </c>
      <c r="G59" s="209"/>
      <c r="H59" s="108"/>
      <c r="I59" s="109" t="s">
        <v>252</v>
      </c>
      <c r="J59" s="74">
        <f t="shared" si="3"/>
        <v>14</v>
      </c>
      <c r="K59" s="270"/>
      <c r="L59" s="207"/>
      <c r="M59" s="270"/>
      <c r="N59" s="207"/>
      <c r="O59" s="206"/>
      <c r="P59" s="207"/>
      <c r="Q59" s="206"/>
      <c r="R59" s="207"/>
      <c r="S59" s="206">
        <v>2</v>
      </c>
      <c r="T59" s="207"/>
      <c r="U59" s="271">
        <v>12</v>
      </c>
      <c r="V59" s="207"/>
      <c r="W59" s="218"/>
      <c r="X59" s="219"/>
      <c r="Y59" s="213"/>
      <c r="Z59" s="1"/>
    </row>
    <row r="60" spans="1:26" ht="14">
      <c r="A60" s="1"/>
      <c r="B60" s="218"/>
      <c r="C60" s="219"/>
      <c r="D60" s="107" t="s">
        <v>255</v>
      </c>
      <c r="E60" s="74" t="s">
        <v>253</v>
      </c>
      <c r="F60" s="117" t="s">
        <v>410</v>
      </c>
      <c r="G60" s="275" t="s">
        <v>418</v>
      </c>
      <c r="H60" s="108"/>
      <c r="I60" s="109" t="s">
        <v>252</v>
      </c>
      <c r="J60" s="74">
        <f t="shared" si="3"/>
        <v>2</v>
      </c>
      <c r="K60" s="274"/>
      <c r="L60" s="207"/>
      <c r="M60" s="274"/>
      <c r="N60" s="207"/>
      <c r="O60" s="229"/>
      <c r="P60" s="207"/>
      <c r="Q60" s="229">
        <v>2</v>
      </c>
      <c r="R60" s="207"/>
      <c r="S60" s="229"/>
      <c r="T60" s="207"/>
      <c r="U60" s="229"/>
      <c r="V60" s="207"/>
      <c r="W60" s="218"/>
      <c r="X60" s="219"/>
      <c r="Y60" s="213"/>
      <c r="Z60" s="1"/>
    </row>
    <row r="61" spans="1:26" ht="14">
      <c r="A61" s="1"/>
      <c r="B61" s="218"/>
      <c r="C61" s="219"/>
      <c r="D61" s="107" t="s">
        <v>255</v>
      </c>
      <c r="E61" s="74" t="s">
        <v>253</v>
      </c>
      <c r="F61" s="117" t="s">
        <v>263</v>
      </c>
      <c r="G61" s="213"/>
      <c r="H61" s="108"/>
      <c r="I61" s="109" t="s">
        <v>252</v>
      </c>
      <c r="J61" s="74">
        <f t="shared" si="3"/>
        <v>2</v>
      </c>
      <c r="K61" s="274"/>
      <c r="L61" s="207"/>
      <c r="M61" s="274"/>
      <c r="N61" s="207"/>
      <c r="O61" s="229"/>
      <c r="P61" s="207"/>
      <c r="Q61" s="229">
        <v>2</v>
      </c>
      <c r="R61" s="207"/>
      <c r="S61" s="229"/>
      <c r="T61" s="207"/>
      <c r="U61" s="229"/>
      <c r="V61" s="207"/>
      <c r="W61" s="218"/>
      <c r="X61" s="219"/>
      <c r="Y61" s="213"/>
      <c r="Z61" s="1"/>
    </row>
    <row r="62" spans="1:26" ht="14">
      <c r="A62" s="1"/>
      <c r="B62" s="218"/>
      <c r="C62" s="219"/>
      <c r="D62" s="107"/>
      <c r="E62" s="74" t="s">
        <v>260</v>
      </c>
      <c r="F62" s="117" t="s">
        <v>412</v>
      </c>
      <c r="G62" s="213"/>
      <c r="H62" s="108"/>
      <c r="I62" s="109" t="s">
        <v>252</v>
      </c>
      <c r="J62" s="74">
        <f t="shared" si="3"/>
        <v>4</v>
      </c>
      <c r="K62" s="274"/>
      <c r="L62" s="207"/>
      <c r="M62" s="274"/>
      <c r="N62" s="207"/>
      <c r="O62" s="229"/>
      <c r="P62" s="207"/>
      <c r="Q62" s="229"/>
      <c r="R62" s="207"/>
      <c r="S62" s="229">
        <v>2</v>
      </c>
      <c r="T62" s="207"/>
      <c r="U62" s="229">
        <v>2</v>
      </c>
      <c r="V62" s="207"/>
      <c r="W62" s="218"/>
      <c r="X62" s="219"/>
      <c r="Y62" s="213"/>
      <c r="Z62" s="1"/>
    </row>
    <row r="63" spans="1:26" ht="14">
      <c r="A63" s="1"/>
      <c r="B63" s="218"/>
      <c r="C63" s="219"/>
      <c r="D63" s="194" t="s">
        <v>113</v>
      </c>
      <c r="E63" s="195" t="s">
        <v>253</v>
      </c>
      <c r="F63" s="205" t="s">
        <v>419</v>
      </c>
      <c r="G63" s="213"/>
      <c r="H63" s="108"/>
      <c r="I63" s="109" t="s">
        <v>252</v>
      </c>
      <c r="J63" s="74">
        <f t="shared" si="3"/>
        <v>0</v>
      </c>
      <c r="K63" s="270"/>
      <c r="L63" s="207"/>
      <c r="M63" s="270"/>
      <c r="N63" s="207"/>
      <c r="O63" s="271">
        <v>0</v>
      </c>
      <c r="P63" s="207"/>
      <c r="Q63" s="206"/>
      <c r="R63" s="207"/>
      <c r="S63" s="206"/>
      <c r="T63" s="207"/>
      <c r="U63" s="206"/>
      <c r="V63" s="207"/>
      <c r="W63" s="218"/>
      <c r="X63" s="219"/>
      <c r="Y63" s="213"/>
      <c r="Z63" s="1"/>
    </row>
    <row r="64" spans="1:26" ht="14">
      <c r="A64" s="1"/>
      <c r="B64" s="218"/>
      <c r="C64" s="219"/>
      <c r="D64" s="107" t="s">
        <v>113</v>
      </c>
      <c r="E64" s="74" t="s">
        <v>260</v>
      </c>
      <c r="F64" s="126" t="s">
        <v>281</v>
      </c>
      <c r="G64" s="213"/>
      <c r="H64" s="108"/>
      <c r="I64" s="109" t="s">
        <v>252</v>
      </c>
      <c r="J64" s="74">
        <f t="shared" si="3"/>
        <v>6</v>
      </c>
      <c r="K64" s="270"/>
      <c r="L64" s="207"/>
      <c r="M64" s="270"/>
      <c r="N64" s="207"/>
      <c r="O64" s="206">
        <v>3</v>
      </c>
      <c r="P64" s="207"/>
      <c r="Q64" s="206">
        <v>3</v>
      </c>
      <c r="R64" s="207"/>
      <c r="S64" s="206"/>
      <c r="T64" s="207"/>
      <c r="U64" s="206"/>
      <c r="V64" s="207"/>
      <c r="W64" s="218"/>
      <c r="X64" s="219"/>
      <c r="Y64" s="213"/>
      <c r="Z64" s="1"/>
    </row>
    <row r="65" spans="1:26" ht="14">
      <c r="A65" s="1"/>
      <c r="B65" s="218"/>
      <c r="C65" s="219"/>
      <c r="D65" s="107" t="s">
        <v>113</v>
      </c>
      <c r="E65" s="74" t="s">
        <v>260</v>
      </c>
      <c r="F65" s="126" t="s">
        <v>420</v>
      </c>
      <c r="G65" s="213"/>
      <c r="H65" s="108"/>
      <c r="I65" s="109" t="s">
        <v>252</v>
      </c>
      <c r="J65" s="74">
        <f t="shared" si="3"/>
        <v>21</v>
      </c>
      <c r="K65" s="270"/>
      <c r="L65" s="207"/>
      <c r="M65" s="270"/>
      <c r="N65" s="207"/>
      <c r="O65" s="206">
        <v>9</v>
      </c>
      <c r="P65" s="207"/>
      <c r="Q65" s="206">
        <v>12</v>
      </c>
      <c r="R65" s="207"/>
      <c r="S65" s="206"/>
      <c r="T65" s="207"/>
      <c r="U65" s="206"/>
      <c r="V65" s="207"/>
      <c r="W65" s="218"/>
      <c r="X65" s="219"/>
      <c r="Y65" s="213"/>
      <c r="Z65" s="1"/>
    </row>
    <row r="66" spans="1:26" ht="14">
      <c r="A66" s="1"/>
      <c r="B66" s="220"/>
      <c r="C66" s="221"/>
      <c r="D66" s="107" t="s">
        <v>113</v>
      </c>
      <c r="E66" s="74" t="s">
        <v>260</v>
      </c>
      <c r="F66" s="126" t="s">
        <v>79</v>
      </c>
      <c r="G66" s="209"/>
      <c r="H66" s="108"/>
      <c r="I66" s="109" t="s">
        <v>252</v>
      </c>
      <c r="J66" s="74">
        <f t="shared" si="3"/>
        <v>51</v>
      </c>
      <c r="K66" s="270"/>
      <c r="L66" s="207"/>
      <c r="M66" s="270"/>
      <c r="N66" s="207"/>
      <c r="O66" s="206"/>
      <c r="P66" s="207"/>
      <c r="Q66" s="206"/>
      <c r="R66" s="207"/>
      <c r="S66" s="271">
        <v>24</v>
      </c>
      <c r="T66" s="207"/>
      <c r="U66" s="206">
        <v>27</v>
      </c>
      <c r="V66" s="207"/>
      <c r="W66" s="220"/>
      <c r="X66" s="221"/>
      <c r="Y66" s="209"/>
      <c r="Z66" s="1"/>
    </row>
    <row r="67" spans="1:26" ht="14">
      <c r="A67" s="1"/>
      <c r="B67" s="272" t="s">
        <v>282</v>
      </c>
      <c r="C67" s="225"/>
      <c r="D67" s="225"/>
      <c r="E67" s="225"/>
      <c r="F67" s="225"/>
      <c r="G67" s="217"/>
      <c r="H67" s="273"/>
      <c r="I67" s="273"/>
      <c r="J67" s="273">
        <f t="shared" ref="J67:K67" si="4">SUM(J37:J66)</f>
        <v>274</v>
      </c>
      <c r="K67" s="272">
        <f t="shared" si="4"/>
        <v>4</v>
      </c>
      <c r="L67" s="217"/>
      <c r="M67" s="272">
        <f>SUM(M37:M66)</f>
        <v>6</v>
      </c>
      <c r="N67" s="217"/>
      <c r="O67" s="272">
        <f>SUM(O37:O41)+(SUM(O60:O66))</f>
        <v>16</v>
      </c>
      <c r="P67" s="217"/>
      <c r="Q67" s="272">
        <f>SUM(Q37:Q41)+(SUM(Q60:Q66))</f>
        <v>19</v>
      </c>
      <c r="R67" s="217"/>
      <c r="S67" s="272">
        <f>SUM(S37:S41)+(SUM(S60:S66))</f>
        <v>28</v>
      </c>
      <c r="T67" s="217"/>
      <c r="U67" s="272">
        <f>SUM(U37:U41)+(SUM(U60:U66))</f>
        <v>29</v>
      </c>
      <c r="V67" s="217"/>
      <c r="W67" s="272">
        <f>SUM(W37:W66)</f>
        <v>102</v>
      </c>
      <c r="X67" s="217"/>
      <c r="Y67" s="215">
        <v>80</v>
      </c>
      <c r="Z67" s="1"/>
    </row>
    <row r="68" spans="1:26" ht="14">
      <c r="A68" s="1"/>
      <c r="B68" s="220"/>
      <c r="C68" s="227"/>
      <c r="D68" s="227"/>
      <c r="E68" s="227"/>
      <c r="F68" s="227"/>
      <c r="G68" s="221"/>
      <c r="H68" s="209"/>
      <c r="I68" s="209"/>
      <c r="J68" s="209"/>
      <c r="K68" s="220"/>
      <c r="L68" s="221"/>
      <c r="M68" s="220"/>
      <c r="N68" s="221"/>
      <c r="O68" s="220"/>
      <c r="P68" s="221"/>
      <c r="Q68" s="220"/>
      <c r="R68" s="221"/>
      <c r="S68" s="220"/>
      <c r="T68" s="221"/>
      <c r="U68" s="220"/>
      <c r="V68" s="221"/>
      <c r="W68" s="220"/>
      <c r="X68" s="221"/>
      <c r="Y68" s="209"/>
      <c r="Z68" s="1"/>
    </row>
    <row r="69" spans="1:26" ht="14">
      <c r="A69" s="1"/>
      <c r="B69" s="223"/>
      <c r="C69" s="211"/>
      <c r="D69" s="211"/>
      <c r="E69" s="211"/>
      <c r="F69" s="211"/>
      <c r="G69" s="207"/>
      <c r="H69" s="104"/>
      <c r="I69" s="104"/>
      <c r="J69" s="104">
        <v>141</v>
      </c>
      <c r="K69" s="223">
        <f>SUM(K36,K67)</f>
        <v>29</v>
      </c>
      <c r="L69" s="207"/>
      <c r="M69" s="223">
        <f>SUM(M36,M67)</f>
        <v>29</v>
      </c>
      <c r="N69" s="207"/>
      <c r="O69" s="223">
        <f>SUM(O36,O67)</f>
        <v>29</v>
      </c>
      <c r="P69" s="207"/>
      <c r="Q69" s="223">
        <f>SUM(Q36,Q67)</f>
        <v>29</v>
      </c>
      <c r="R69" s="207"/>
      <c r="S69" s="223">
        <f>SUM(S36,S67)</f>
        <v>29</v>
      </c>
      <c r="T69" s="207"/>
      <c r="U69" s="223">
        <f>SUM(U36,U67)</f>
        <v>29</v>
      </c>
      <c r="V69" s="207"/>
      <c r="W69" s="223">
        <f>SUM(W36,W67)</f>
        <v>174</v>
      </c>
      <c r="X69" s="207"/>
      <c r="Y69" s="106">
        <v>144</v>
      </c>
      <c r="Z69" s="1"/>
    </row>
    <row r="70" spans="1:26" ht="14">
      <c r="A70" s="1"/>
      <c r="B70" s="216" t="s">
        <v>287</v>
      </c>
      <c r="C70" s="225"/>
      <c r="D70" s="225"/>
      <c r="E70" s="217"/>
      <c r="F70" s="222" t="s">
        <v>405</v>
      </c>
      <c r="G70" s="211"/>
      <c r="H70" s="211"/>
      <c r="I70" s="211"/>
      <c r="J70" s="207"/>
      <c r="K70" s="206">
        <v>16</v>
      </c>
      <c r="L70" s="207"/>
      <c r="M70" s="206">
        <v>16</v>
      </c>
      <c r="N70" s="207"/>
      <c r="O70" s="206">
        <v>16</v>
      </c>
      <c r="P70" s="207"/>
      <c r="Q70" s="206">
        <v>16</v>
      </c>
      <c r="R70" s="207"/>
      <c r="S70" s="206">
        <v>16</v>
      </c>
      <c r="T70" s="207"/>
      <c r="U70" s="206">
        <v>16</v>
      </c>
      <c r="V70" s="207"/>
      <c r="W70" s="216">
        <f>SUM(K70:V72)</f>
        <v>288</v>
      </c>
      <c r="X70" s="217"/>
      <c r="Y70" s="215">
        <v>288</v>
      </c>
      <c r="Z70" s="1"/>
    </row>
    <row r="71" spans="1:26" ht="14">
      <c r="A71" s="1"/>
      <c r="B71" s="218"/>
      <c r="C71" s="226"/>
      <c r="D71" s="226"/>
      <c r="E71" s="219"/>
      <c r="F71" s="222" t="s">
        <v>291</v>
      </c>
      <c r="G71" s="211"/>
      <c r="H71" s="211"/>
      <c r="I71" s="211"/>
      <c r="J71" s="207"/>
      <c r="K71" s="206">
        <v>16</v>
      </c>
      <c r="L71" s="207"/>
      <c r="M71" s="206">
        <v>16</v>
      </c>
      <c r="N71" s="207"/>
      <c r="O71" s="206">
        <v>16</v>
      </c>
      <c r="P71" s="207"/>
      <c r="Q71" s="206">
        <v>16</v>
      </c>
      <c r="R71" s="207"/>
      <c r="S71" s="206">
        <v>16</v>
      </c>
      <c r="T71" s="207"/>
      <c r="U71" s="206">
        <v>16</v>
      </c>
      <c r="V71" s="207"/>
      <c r="W71" s="218"/>
      <c r="X71" s="219"/>
      <c r="Y71" s="213"/>
      <c r="Z71" s="1"/>
    </row>
    <row r="72" spans="1:26" ht="14">
      <c r="A72" s="1"/>
      <c r="B72" s="218"/>
      <c r="C72" s="226"/>
      <c r="D72" s="226"/>
      <c r="E72" s="219"/>
      <c r="F72" s="222" t="s">
        <v>294</v>
      </c>
      <c r="G72" s="211"/>
      <c r="H72" s="211"/>
      <c r="I72" s="211"/>
      <c r="J72" s="207"/>
      <c r="K72" s="206">
        <v>16</v>
      </c>
      <c r="L72" s="207"/>
      <c r="M72" s="206">
        <v>16</v>
      </c>
      <c r="N72" s="207"/>
      <c r="O72" s="206">
        <v>16</v>
      </c>
      <c r="P72" s="207"/>
      <c r="Q72" s="206">
        <v>16</v>
      </c>
      <c r="R72" s="207"/>
      <c r="S72" s="206">
        <v>16</v>
      </c>
      <c r="T72" s="207"/>
      <c r="U72" s="206">
        <v>16</v>
      </c>
      <c r="V72" s="207"/>
      <c r="W72" s="220"/>
      <c r="X72" s="221"/>
      <c r="Y72" s="209"/>
      <c r="Z72" s="1"/>
    </row>
    <row r="73" spans="1:26" ht="14">
      <c r="A73" s="1"/>
      <c r="B73" s="220"/>
      <c r="C73" s="227"/>
      <c r="D73" s="227"/>
      <c r="E73" s="221"/>
      <c r="F73" s="222" t="s">
        <v>295</v>
      </c>
      <c r="G73" s="211"/>
      <c r="H73" s="211"/>
      <c r="I73" s="211"/>
      <c r="J73" s="207"/>
      <c r="K73" s="222">
        <v>3</v>
      </c>
      <c r="L73" s="207"/>
      <c r="M73" s="222">
        <v>3</v>
      </c>
      <c r="N73" s="207"/>
      <c r="O73" s="222">
        <v>3</v>
      </c>
      <c r="P73" s="207"/>
      <c r="Q73" s="222">
        <v>3</v>
      </c>
      <c r="R73" s="207"/>
      <c r="S73" s="222">
        <v>3</v>
      </c>
      <c r="T73" s="207"/>
      <c r="U73" s="222">
        <v>3</v>
      </c>
      <c r="V73" s="207"/>
      <c r="W73" s="222">
        <f t="shared" ref="W73:W75" si="5">SUM(K73:V73)</f>
        <v>18</v>
      </c>
      <c r="X73" s="207"/>
      <c r="Y73" s="106">
        <v>18</v>
      </c>
      <c r="Z73" s="1"/>
    </row>
    <row r="74" spans="1:26" ht="14">
      <c r="A74" s="1"/>
      <c r="B74" s="223"/>
      <c r="C74" s="211"/>
      <c r="D74" s="211"/>
      <c r="E74" s="211"/>
      <c r="F74" s="211"/>
      <c r="G74" s="211"/>
      <c r="H74" s="211"/>
      <c r="I74" s="211"/>
      <c r="J74" s="207"/>
      <c r="K74" s="223">
        <f>SUM(K69,K73)</f>
        <v>32</v>
      </c>
      <c r="L74" s="207"/>
      <c r="M74" s="223">
        <f>SUM(M69,M73)</f>
        <v>32</v>
      </c>
      <c r="N74" s="207"/>
      <c r="O74" s="223">
        <f>SUM(O69,O73)</f>
        <v>32</v>
      </c>
      <c r="P74" s="207"/>
      <c r="Q74" s="223">
        <f>SUM(Q69,Q73)</f>
        <v>32</v>
      </c>
      <c r="R74" s="207"/>
      <c r="S74" s="223">
        <f>SUM(S69,S73)</f>
        <v>32</v>
      </c>
      <c r="T74" s="207"/>
      <c r="U74" s="223">
        <f>SUM(U69,U73)</f>
        <v>32</v>
      </c>
      <c r="V74" s="207"/>
      <c r="W74" s="223">
        <f t="shared" si="5"/>
        <v>192</v>
      </c>
      <c r="X74" s="207"/>
      <c r="Y74" s="106">
        <v>192</v>
      </c>
      <c r="Z74" s="1"/>
    </row>
    <row r="75" spans="1:26" ht="14">
      <c r="A75" s="1"/>
      <c r="B75" s="223"/>
      <c r="C75" s="211"/>
      <c r="D75" s="211"/>
      <c r="E75" s="211"/>
      <c r="F75" s="211"/>
      <c r="G75" s="211"/>
      <c r="H75" s="211"/>
      <c r="I75" s="211"/>
      <c r="J75" s="207"/>
      <c r="K75" s="223">
        <f>SUM(K74:N74)</f>
        <v>64</v>
      </c>
      <c r="L75" s="211"/>
      <c r="M75" s="211"/>
      <c r="N75" s="207"/>
      <c r="O75" s="223">
        <f>SUM(O74:R74)</f>
        <v>64</v>
      </c>
      <c r="P75" s="211"/>
      <c r="Q75" s="211"/>
      <c r="R75" s="207"/>
      <c r="S75" s="223">
        <f>SUM(S74:V74)</f>
        <v>64</v>
      </c>
      <c r="T75" s="211"/>
      <c r="U75" s="211"/>
      <c r="V75" s="207"/>
      <c r="W75" s="223">
        <f t="shared" si="5"/>
        <v>192</v>
      </c>
      <c r="X75" s="207"/>
      <c r="Y75" s="141"/>
      <c r="Z75" s="1"/>
    </row>
    <row r="76" spans="1:26" ht="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spans="1:26" ht="12.5">
      <c r="A78" s="151"/>
      <c r="B78" s="151"/>
      <c r="C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spans="1:26" ht="12.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spans="1:26" ht="12.5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spans="1:26" ht="12.5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spans="1:26" ht="12.5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spans="1:26" ht="12.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spans="1:26" ht="12.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spans="1:26" ht="12.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spans="1:26" ht="12.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spans="1:26" ht="12.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spans="1:26" ht="12.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spans="1:26" ht="12.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spans="1:26" ht="12.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spans="1:26" ht="12.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spans="1:26" ht="12.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spans="1:26" ht="12.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spans="1:26" ht="12.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spans="1:26" ht="12.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spans="1:26" ht="12.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spans="1:26" ht="12.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spans="1:26" ht="12.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spans="1:26" ht="12.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spans="1:26" ht="12.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spans="1:26" ht="12.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spans="1:26" ht="12.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spans="1:26" ht="12.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spans="1:26" ht="12.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spans="1:26" ht="12.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spans="1:26" ht="12.5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spans="1:26" ht="12.5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spans="1:26" ht="12.5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spans="1:26" ht="12.5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spans="1:26" ht="12.5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spans="1:26" ht="12.5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spans="1:26" ht="12.5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spans="1:26" ht="12.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spans="1:26" ht="12.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spans="1:26" ht="12.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spans="1:26" ht="12.5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spans="1:26" ht="12.5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spans="1:26" ht="12.5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spans="1:26" ht="12.5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spans="1:26" ht="12.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spans="1:26" ht="12.5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spans="1:26" ht="12.5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spans="1:26" ht="12.5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spans="1:26" ht="12.5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spans="1:26" ht="12.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spans="1:26" ht="12.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spans="1:26" ht="12.5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spans="1:26" ht="12.5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spans="1:26" ht="12.5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spans="1:26" ht="12.5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spans="1:26" ht="12.5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spans="1:26" ht="12.5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spans="1:26" ht="12.5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spans="1:26" ht="12.5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spans="1:26" ht="12.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spans="1:26" ht="12.5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spans="1:26" ht="12.5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spans="1:26" ht="12.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spans="1:26" ht="12.5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spans="1:26" ht="12.5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spans="1:26" ht="12.5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spans="1:26" ht="12.5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spans="1:26" ht="12.5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spans="1:26" ht="12.5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spans="1:26" ht="12.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spans="1:26" ht="12.5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spans="1:26" ht="12.5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spans="1:26" ht="12.5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spans="1:26" ht="12.5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spans="1:26" ht="12.5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spans="1:26" ht="12.5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spans="1:26" ht="12.5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spans="1:26" ht="12.5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spans="1:26" ht="12.5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spans="1:26" ht="12.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spans="1:26" ht="12.5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spans="1:26" ht="12.5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spans="1:26" ht="12.5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spans="1:26" ht="12.5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spans="1:26" ht="12.5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spans="1:26" ht="12.5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spans="1:26" ht="12.5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spans="1:26" ht="12.5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spans="1:26" ht="12.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spans="1:26" ht="12.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spans="1:26" ht="12.5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spans="1:26" ht="12.5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spans="1:26" ht="12.5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spans="1:26" ht="12.5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spans="1:26" ht="12.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spans="1:26" ht="12.5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spans="1:26" ht="12.5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spans="1:26" ht="12.5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spans="1:26" ht="12.5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spans="1:26" ht="12.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spans="1:26" ht="12.5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spans="1:26" ht="12.5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spans="1:26" ht="12.5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spans="1:26" ht="12.5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spans="1:26" ht="12.5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spans="1:26" ht="12.5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spans="1:26" ht="12.5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spans="1:26" ht="12.5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spans="1:26" ht="12.5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spans="1:26" ht="12.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spans="1:26" ht="12.5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spans="1:26" ht="12.5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spans="1:26" ht="12.5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spans="1:26" ht="12.5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spans="1:26" ht="12.5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spans="1:26" ht="12.5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spans="1:26" ht="12.5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spans="1:26" ht="12.5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spans="1:26" ht="12.5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spans="1:26" ht="12.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spans="1:26" ht="12.5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spans="1:26" ht="12.5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spans="1:26" ht="12.5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spans="1:26" ht="12.5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spans="1:26" ht="12.5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spans="1:26" ht="12.5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spans="1:26" ht="12.5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spans="1:26" ht="12.5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spans="1:26" ht="12.5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spans="1:26" ht="12.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spans="1:26" ht="12.5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spans="1:26" ht="12.5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spans="1:26" ht="12.5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spans="1:26" ht="12.5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spans="1:26" ht="12.5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spans="1:26" ht="12.5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spans="1:26" ht="12.5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spans="1:26" ht="12.5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spans="1:26" ht="12.5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spans="1:26" ht="12.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spans="1:26" ht="12.5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spans="1:26" ht="12.5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spans="1:26" ht="12.5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spans="1:26" ht="12.5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spans="1:26" ht="12.5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spans="1:26" ht="12.5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spans="1:26" ht="12.5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spans="1:26" ht="12.5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spans="1:26" ht="12.5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spans="1:26" ht="12.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spans="1:26" ht="12.5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spans="1:26" ht="12.5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spans="1:26" ht="12.5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spans="1:26" ht="12.5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spans="1:26" ht="12.5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spans="1:26" ht="12.5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spans="1:26" ht="12.5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spans="1:26" ht="12.5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spans="1:26" ht="12.5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spans="1:26" ht="12.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spans="1:26" ht="12.5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spans="1:26" ht="12.5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spans="1:26" ht="12.5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spans="1:26" ht="12.5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spans="1:26" ht="12.5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spans="1:26" ht="12.5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spans="1:26" ht="12.5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spans="1:26" ht="12.5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spans="1:26" ht="12.5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spans="1:26" ht="12.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spans="1:26" ht="12.5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spans="1:26" ht="12.5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spans="1:26" ht="12.5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spans="1:26" ht="12.5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spans="1:26" ht="12.5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spans="1:26" ht="12.5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spans="1:26" ht="12.5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spans="1:26" ht="12.5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spans="1:26" ht="12.5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spans="1:26" ht="12.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spans="1:26" ht="12.5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spans="1:26" ht="12.5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spans="1:26" ht="12.5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spans="1:26" ht="12.5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spans="1:26" ht="12.5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spans="1:26" ht="12.5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spans="1:26" ht="12.5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spans="1:26" ht="12.5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spans="1:26" ht="12.5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spans="1:26" ht="12.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spans="1:26" ht="12.5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spans="1:26" ht="12.5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spans="1:26" ht="12.5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spans="1:26" ht="12.5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spans="1:26" ht="12.5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spans="1:26" ht="12.5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spans="1:26" ht="12.5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spans="1:26" ht="12.5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spans="1:26" ht="12.5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spans="1:26" ht="12.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spans="1:26" ht="12.5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spans="1:26" ht="12.5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spans="1:26" ht="12.5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spans="1:26" ht="12.5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spans="1:26" ht="12.5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spans="1:26" ht="12.5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spans="1:26" ht="12.5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spans="1:26" ht="12.5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spans="1:26" ht="12.5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spans="1:26" ht="12.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spans="1:26" ht="12.5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spans="1:26" ht="12.5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spans="1:26" ht="12.5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spans="1:26" ht="12.5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spans="1:26" ht="12.5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spans="1:26" ht="12.5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spans="1:26" ht="12.5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spans="1:26" ht="12.5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spans="1:26" ht="12.5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spans="1:26" ht="12.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spans="1:26" ht="12.5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spans="1:26" ht="12.5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spans="1:26" ht="12.5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spans="1:26" ht="12.5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spans="1:26" ht="12.5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spans="1:26" ht="12.5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spans="1:26" ht="12.5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spans="1:26" ht="12.5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spans="1:26" ht="12.5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spans="1:26" ht="12.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spans="1:26" ht="12.5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spans="1:26" ht="12.5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spans="1:26" ht="12.5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spans="1:26" ht="12.5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spans="1:26" ht="12.5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spans="1:26" ht="12.5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spans="1:26" ht="12.5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spans="1:26" ht="12.5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spans="1:26" ht="12.5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spans="1:26" ht="12.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spans="1:26" ht="12.5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spans="1:26" ht="12.5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spans="1:26" ht="12.5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spans="1:26" ht="12.5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spans="1:26" ht="12.5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spans="1:26" ht="12.5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spans="1:26" ht="12.5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spans="1:26" ht="12.5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spans="1:26" ht="12.5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spans="1:26" ht="12.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spans="1:26" ht="12.5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spans="1:26" ht="12.5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spans="1:26" ht="12.5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spans="1:26" ht="12.5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spans="1:26" ht="12.5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spans="1:26" ht="12.5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spans="1:26" ht="12.5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spans="1:26" ht="12.5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spans="1:26" ht="12.5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spans="1:26" ht="12.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spans="1:26" ht="12.5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spans="1:26" ht="12.5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spans="1:26" ht="12.5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spans="1:26" ht="12.5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spans="1:26" ht="12.5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spans="1:26" ht="12.5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spans="1:26" ht="12.5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spans="1:26" ht="12.5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spans="1:26" ht="12.5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spans="1:26" ht="12.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spans="1:26" ht="12.5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spans="1:26" ht="12.5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spans="1:26" ht="12.5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spans="1:26" ht="12.5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spans="1:26" ht="12.5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spans="1:26" ht="12.5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spans="1:26" ht="12.5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spans="1:26" ht="12.5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spans="1:26" ht="12.5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spans="1:26" ht="12.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spans="1:26" ht="12.5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spans="1:26" ht="12.5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spans="1:26" ht="12.5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spans="1:26" ht="12.5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spans="1:26" ht="12.5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spans="1:26" ht="12.5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spans="1:26" ht="12.5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spans="1:26" ht="12.5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spans="1:26" ht="12.5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spans="1:26" ht="12.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spans="1:26" ht="12.5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spans="1:26" ht="12.5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spans="1:26" ht="12.5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spans="1:26" ht="12.5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spans="1:26" ht="12.5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spans="1:26" ht="12.5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spans="1:26" ht="12.5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spans="1:26" ht="12.5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spans="1:26" ht="12.5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spans="1:26" ht="12.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spans="1:26" ht="12.5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spans="1:26" ht="12.5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spans="1:26" ht="12.5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spans="1:26" ht="12.5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spans="1:26" ht="12.5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spans="1:26" ht="12.5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spans="1:26" ht="12.5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spans="1:26" ht="12.5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spans="1:26" ht="12.5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spans="1:26" ht="12.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spans="1:26" ht="12.5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spans="1:26" ht="12.5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spans="1:26" ht="12.5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spans="1:26" ht="12.5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spans="1:26" ht="12.5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spans="1:26" ht="12.5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spans="1:26" ht="12.5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spans="1:26" ht="12.5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spans="1:26" ht="12.5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spans="1:26" ht="12.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spans="1:26" ht="12.5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spans="1:26" ht="12.5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spans="1:26" ht="12.5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spans="1:26" ht="12.5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spans="1:26" ht="12.5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spans="1:26" ht="12.5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spans="1:26" ht="12.5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spans="1:26" ht="12.5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spans="1:26" ht="12.5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spans="1:26" ht="12.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spans="1:26" ht="12.5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spans="1:26" ht="12.5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spans="1:26" ht="12.5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spans="1:26" ht="12.5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spans="1:26" ht="12.5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spans="1:26" ht="12.5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spans="1:26" ht="12.5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spans="1:26" ht="12.5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spans="1:26" ht="12.5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spans="1:26" ht="12.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spans="1:26" ht="12.5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spans="1:26" ht="12.5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spans="1:26" ht="12.5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spans="1:26" ht="12.5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spans="1:26" ht="12.5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spans="1:26" ht="12.5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spans="1:26" ht="12.5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spans="1:26" ht="12.5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spans="1:26" ht="12.5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spans="1:26" ht="12.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spans="1:26" ht="12.5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spans="1:26" ht="12.5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spans="1:26" ht="12.5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spans="1:26" ht="12.5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spans="1:26" ht="12.5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spans="1:26" ht="12.5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spans="1:26" ht="12.5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spans="1:26" ht="12.5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spans="1:26" ht="12.5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spans="1:26" ht="12.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spans="1:26" ht="12.5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spans="1:26" ht="12.5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spans="1:26" ht="12.5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spans="1:26" ht="12.5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spans="1:26" ht="12.5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spans="1:26" ht="12.5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spans="1:26" ht="12.5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spans="1:26" ht="12.5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spans="1:26" ht="12.5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spans="1:26" ht="12.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spans="1:26" ht="12.5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spans="1:26" ht="12.5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spans="1:26" ht="12.5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spans="1:26" ht="12.5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spans="1:26" ht="12.5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spans="1:26" ht="12.5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spans="1:26" ht="12.5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spans="1:26" ht="12.5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spans="1:26" ht="12.5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spans="1:26" ht="12.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spans="1:26" ht="12.5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spans="1:26" ht="12.5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spans="1:26" ht="12.5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spans="1:26" ht="12.5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spans="1:26" ht="12.5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spans="1:26" ht="12.5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spans="1:26" ht="12.5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spans="1:26" ht="12.5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spans="1:26" ht="12.5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spans="1:26" ht="12.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spans="1:26" ht="12.5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spans="1:26" ht="12.5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spans="1:26" ht="12.5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spans="1:26" ht="12.5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spans="1:26" ht="12.5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spans="1:26" ht="12.5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spans="1:26" ht="12.5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spans="1:26" ht="12.5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spans="1:26" ht="12.5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spans="1:26" ht="12.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spans="1:26" ht="12.5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spans="1:26" ht="12.5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spans="1:26" ht="12.5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spans="1:26" ht="12.5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spans="1:26" ht="12.5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spans="1:26" ht="12.5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spans="1:26" ht="12.5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spans="1:26" ht="12.5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spans="1:26" ht="12.5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spans="1:26" ht="12.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spans="1:26" ht="12.5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spans="1:26" ht="12.5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spans="1:26" ht="12.5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spans="1:26" ht="12.5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spans="1:26" ht="12.5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spans="1:26" ht="12.5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spans="1:26" ht="12.5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spans="1:26" ht="12.5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spans="1:26" ht="12.5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spans="1:26" ht="12.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spans="1:26" ht="12.5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spans="1:26" ht="12.5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spans="1:26" ht="12.5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spans="1:26" ht="12.5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spans="1:26" ht="12.5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spans="1:26" ht="12.5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spans="1:26" ht="12.5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spans="1:26" ht="12.5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spans="1:26" ht="12.5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spans="1:26" ht="12.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spans="1:26" ht="12.5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spans="1:26" ht="12.5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spans="1:26" ht="12.5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spans="1:26" ht="12.5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spans="1:26" ht="12.5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spans="1:26" ht="12.5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spans="1:26" ht="12.5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spans="1:26" ht="12.5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spans="1:26" ht="12.5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spans="1:26" ht="12.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spans="1:26" ht="12.5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spans="1:26" ht="12.5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spans="1:26" ht="12.5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spans="1:26" ht="12.5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spans="1:26" ht="12.5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spans="1:26" ht="12.5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spans="1:26" ht="12.5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spans="1:26" ht="12.5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spans="1:26" ht="12.5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ht="12.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ht="12.5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ht="12.5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spans="1:26" ht="12.5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spans="1:26" ht="12.5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spans="1:26" ht="12.5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spans="1:26" ht="12.5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spans="1:26" ht="12.5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spans="1:26" ht="12.5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spans="1:26" ht="12.5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spans="1:26" ht="12.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spans="1:26" ht="12.5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spans="1:26" ht="12.5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spans="1:26" ht="12.5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spans="1:26" ht="12.5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ht="12.5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ht="12.5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ht="12.5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ht="12.5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ht="12.5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ht="12.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ht="12.5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ht="12.5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ht="12.5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ht="12.5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ht="12.5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ht="12.5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ht="12.5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ht="12.5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ht="12.5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ht="12.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ht="12.5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ht="12.5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ht="12.5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ht="12.5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spans="1:26" ht="12.5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spans="1:26" ht="12.5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spans="1:26" ht="12.5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spans="1:26" ht="12.5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ht="12.5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ht="12.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ht="12.5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spans="1:26" ht="12.5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spans="1:26" ht="12.5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spans="1:26" ht="12.5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ht="12.5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ht="12.5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ht="12.5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ht="12.5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ht="12.5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ht="12.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ht="12.5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ht="12.5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ht="12.5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ht="12.5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ht="12.5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ht="12.5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ht="12.5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ht="12.5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ht="12.5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ht="12.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ht="12.5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ht="12.5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ht="12.5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ht="12.5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ht="12.5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ht="12.5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ht="12.5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ht="12.5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ht="12.5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ht="12.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ht="12.5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ht="12.5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ht="12.5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ht="12.5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ht="12.5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ht="12.5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ht="12.5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ht="12.5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ht="12.5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ht="12.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ht="12.5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ht="12.5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ht="12.5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ht="12.5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ht="12.5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ht="12.5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ht="12.5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ht="12.5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ht="12.5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ht="12.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ht="12.5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ht="12.5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ht="12.5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ht="12.5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ht="12.5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ht="12.5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ht="12.5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ht="12.5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ht="12.5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ht="12.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ht="12.5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ht="12.5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ht="12.5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ht="12.5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ht="12.5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ht="12.5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ht="12.5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ht="12.5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ht="12.5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ht="12.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ht="12.5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ht="12.5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ht="12.5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ht="12.5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ht="12.5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ht="12.5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ht="12.5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ht="12.5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ht="12.5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ht="12.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ht="12.5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ht="12.5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ht="12.5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ht="12.5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ht="12.5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ht="12.5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ht="12.5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ht="12.5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ht="12.5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ht="12.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ht="12.5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ht="12.5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ht="12.5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ht="12.5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ht="12.5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ht="12.5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ht="12.5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ht="12.5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ht="12.5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ht="12.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ht="12.5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ht="12.5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ht="12.5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ht="12.5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ht="12.5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ht="12.5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ht="12.5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ht="12.5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ht="12.5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ht="12.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ht="12.5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ht="12.5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ht="12.5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ht="12.5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ht="12.5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ht="12.5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ht="12.5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ht="12.5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ht="12.5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ht="12.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ht="12.5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ht="12.5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ht="12.5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ht="12.5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ht="12.5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ht="12.5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ht="12.5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ht="12.5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ht="12.5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ht="12.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ht="12.5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ht="12.5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ht="12.5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ht="12.5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ht="12.5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ht="12.5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ht="12.5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ht="12.5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ht="12.5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ht="12.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ht="12.5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ht="12.5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ht="12.5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ht="12.5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ht="12.5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ht="12.5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ht="12.5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ht="12.5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ht="12.5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ht="12.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ht="12.5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ht="12.5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ht="12.5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ht="12.5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ht="12.5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ht="12.5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ht="12.5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ht="12.5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ht="12.5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ht="12.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ht="12.5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ht="12.5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ht="12.5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ht="12.5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ht="12.5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ht="12.5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ht="12.5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ht="12.5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ht="12.5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ht="12.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ht="12.5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ht="12.5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ht="12.5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ht="12.5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ht="12.5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ht="12.5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ht="12.5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ht="12.5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ht="12.5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ht="12.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ht="12.5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ht="12.5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ht="12.5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ht="12.5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ht="12.5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ht="12.5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ht="12.5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ht="12.5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ht="12.5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ht="12.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ht="12.5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ht="12.5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ht="12.5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ht="12.5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ht="12.5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ht="12.5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ht="12.5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ht="12.5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ht="12.5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ht="12.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ht="12.5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ht="12.5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ht="12.5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ht="12.5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ht="12.5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ht="12.5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ht="12.5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ht="12.5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ht="12.5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ht="12.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ht="12.5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ht="12.5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ht="12.5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ht="12.5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ht="12.5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ht="12.5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ht="12.5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ht="12.5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ht="12.5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ht="12.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ht="12.5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ht="12.5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ht="12.5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ht="12.5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ht="12.5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ht="12.5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ht="12.5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ht="12.5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ht="12.5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ht="12.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ht="12.5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ht="12.5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ht="12.5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ht="12.5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ht="12.5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ht="12.5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ht="12.5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ht="12.5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ht="12.5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ht="12.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ht="12.5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ht="12.5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ht="12.5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ht="12.5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ht="12.5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ht="12.5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ht="12.5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ht="12.5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ht="12.5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ht="12.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ht="12.5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ht="12.5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ht="12.5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ht="12.5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ht="12.5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ht="12.5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ht="12.5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ht="12.5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ht="12.5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ht="12.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ht="12.5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ht="12.5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ht="12.5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ht="12.5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ht="12.5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ht="12.5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ht="12.5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ht="12.5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ht="12.5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ht="12.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ht="12.5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ht="12.5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ht="12.5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ht="12.5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ht="12.5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ht="12.5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ht="12.5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ht="12.5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ht="12.5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ht="12.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ht="12.5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ht="12.5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ht="12.5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ht="12.5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ht="12.5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ht="12.5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ht="12.5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ht="12.5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ht="12.5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ht="12.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ht="12.5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ht="12.5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ht="12.5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ht="12.5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ht="12.5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ht="12.5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ht="12.5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ht="12.5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ht="12.5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ht="12.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ht="12.5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spans="1:26" ht="12.5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spans="1:26" ht="12.5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spans="1:26" ht="12.5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spans="1:26" ht="12.5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spans="1:26" ht="12.5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spans="1:26" ht="12.5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spans="1:26" ht="12.5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spans="1:26" ht="12.5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spans="1:26" ht="12.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spans="1:26" ht="12.5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spans="1:26" ht="12.5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spans="1:26" ht="12.5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spans="1:26" ht="12.5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spans="1:26" ht="12.5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spans="1:26" ht="12.5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spans="1:26" ht="12.5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spans="1:26" ht="12.5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spans="1:26" ht="12.5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spans="1:26" ht="12.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spans="1:26" ht="12.5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spans="1:26" ht="12.5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spans="1:26" ht="12.5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spans="1:26" ht="12.5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spans="1:26" ht="12.5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spans="1:26" ht="12.5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spans="1:26" ht="12.5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spans="1:26" ht="12.5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spans="1:26" ht="12.5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spans="1:26" ht="12.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spans="1:26" ht="12.5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spans="1:26" ht="12.5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spans="1:26" ht="12.5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spans="1:26" ht="12.5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spans="1:26" ht="12.5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spans="1:26" ht="12.5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spans="1:26" ht="12.5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spans="1:26" ht="12.5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spans="1:26" ht="12.5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spans="1:26" ht="12.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spans="1:26" ht="12.5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spans="1:26" ht="12.5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spans="1:26" ht="12.5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spans="1:26" ht="12.5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spans="1:26" ht="12.5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spans="1:26" ht="12.5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spans="1:26" ht="12.5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spans="1:26" ht="12.5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spans="1:26" ht="12.5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spans="1:26" ht="12.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spans="1:26" ht="12.5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spans="1:26" ht="12.5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spans="1:26" ht="12.5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spans="1:26" ht="12.5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spans="1:26" ht="12.5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spans="1:26" ht="12.5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spans="1:26" ht="12.5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spans="1:26" ht="12.5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spans="1:26" ht="12.5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spans="1:26" ht="12.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spans="1:26" ht="12.5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spans="1:26" ht="12.5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spans="1:26" ht="12.5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spans="1:26" ht="12.5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spans="1:26" ht="12.5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spans="1:26" ht="12.5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spans="1:26" ht="12.5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spans="1:26" ht="12.5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spans="1:26" ht="12.5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spans="1:26" ht="12.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spans="1:26" ht="12.5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spans="1:26" ht="12.5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spans="1:26" ht="12.5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spans="1:26" ht="12.5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spans="1:26" ht="12.5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spans="1:26" ht="12.5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spans="1:26" ht="12.5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spans="1:26" ht="12.5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spans="1:26" ht="12.5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spans="1:26" ht="12.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spans="1:26" ht="12.5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spans="1:26" ht="12.5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spans="1:26" ht="12.5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spans="1:26" ht="12.5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spans="1:26" ht="12.5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spans="1:26" ht="12.5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spans="1:26" ht="12.5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spans="1:26" ht="12.5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spans="1:26" ht="12.5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spans="1:26" ht="12.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spans="1:26" ht="12.5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spans="1:26" ht="12.5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spans="1:26" ht="12.5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spans="1:26" ht="12.5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spans="1:26" ht="12.5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spans="1:26" ht="12.5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spans="1:26" ht="12.5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spans="1:26" ht="12.5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spans="1:26" ht="12.5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spans="1:26" ht="12.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spans="1:26" ht="12.5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spans="1:26" ht="12.5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spans="1:26" ht="12.5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spans="1:26" ht="12.5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spans="1:26" ht="12.5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spans="1:26" ht="12.5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spans="1:26" ht="12.5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spans="1:26" ht="12.5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spans="1:26" ht="12.5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spans="1:26" ht="12.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spans="1:26" ht="12.5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spans="1:26" ht="12.5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spans="1:26" ht="12.5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spans="1:26" ht="12.5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spans="1:26" ht="12.5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spans="1:26" ht="12.5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spans="1:26" ht="12.5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spans="1:26" ht="12.5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spans="1:26" ht="12.5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spans="1:26" ht="12.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spans="1:26" ht="12.5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spans="1:26" ht="12.5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spans="1:26" ht="12.5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spans="1:26" ht="12.5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spans="1:26" ht="12.5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spans="1:26" ht="12.5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spans="1:26" ht="12.5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spans="1:26" ht="12.5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spans="1:26" ht="12.5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spans="1:26" ht="12.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spans="1:26" ht="12.5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spans="1:26" ht="12.5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spans="1:26" ht="12.5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spans="1:26" ht="12.5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spans="1:26" ht="12.5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  <row r="1001" spans="1:26" ht="12.5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</row>
    <row r="1002" spans="1:26" ht="12.5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</row>
    <row r="1003" spans="1:26" ht="12.5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  <c r="X1003" s="151"/>
      <c r="Y1003" s="151"/>
      <c r="Z1003" s="151"/>
    </row>
    <row r="1004" spans="1:26" ht="12.5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  <c r="X1004" s="151"/>
      <c r="Y1004" s="151"/>
      <c r="Z1004" s="151"/>
    </row>
    <row r="1005" spans="1:26" ht="12.5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  <c r="X1005" s="151"/>
      <c r="Y1005" s="151"/>
      <c r="Z1005" s="151"/>
    </row>
    <row r="1006" spans="1:26" ht="12.5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  <c r="V1006" s="151"/>
      <c r="W1006" s="151"/>
      <c r="X1006" s="151"/>
      <c r="Y1006" s="151"/>
      <c r="Z1006" s="151"/>
    </row>
    <row r="1007" spans="1:26" ht="12.5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  <c r="V1007" s="151"/>
      <c r="W1007" s="151"/>
      <c r="X1007" s="151"/>
      <c r="Y1007" s="151"/>
      <c r="Z1007" s="151"/>
    </row>
    <row r="1008" spans="1:26" ht="12.5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  <c r="V1008" s="151"/>
      <c r="W1008" s="151"/>
      <c r="X1008" s="151"/>
      <c r="Y1008" s="151"/>
      <c r="Z1008" s="151"/>
    </row>
    <row r="1009" spans="1:26" ht="12.5">
      <c r="A1009" s="151"/>
      <c r="B1009" s="151"/>
      <c r="C1009" s="151"/>
      <c r="D1009" s="151"/>
      <c r="E1009" s="151"/>
      <c r="F1009" s="151"/>
      <c r="G1009" s="15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  <c r="V1009" s="151"/>
      <c r="W1009" s="151"/>
      <c r="X1009" s="151"/>
      <c r="Y1009" s="151"/>
      <c r="Z1009" s="151"/>
    </row>
    <row r="1010" spans="1:26" ht="12.5">
      <c r="A1010" s="151"/>
      <c r="B1010" s="151"/>
      <c r="C1010" s="151"/>
      <c r="D1010" s="151"/>
      <c r="E1010" s="151"/>
      <c r="F1010" s="151"/>
      <c r="G1010" s="151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  <c r="U1010" s="151"/>
      <c r="V1010" s="151"/>
      <c r="W1010" s="151"/>
      <c r="X1010" s="151"/>
      <c r="Y1010" s="151"/>
      <c r="Z1010" s="151"/>
    </row>
    <row r="1011" spans="1:26" ht="12.5">
      <c r="A1011" s="151"/>
      <c r="B1011" s="151"/>
      <c r="C1011" s="151"/>
      <c r="D1011" s="151"/>
      <c r="E1011" s="151"/>
      <c r="F1011" s="151"/>
      <c r="G1011" s="151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  <c r="U1011" s="151"/>
      <c r="V1011" s="151"/>
      <c r="W1011" s="151"/>
      <c r="X1011" s="151"/>
      <c r="Y1011" s="151"/>
      <c r="Z1011" s="151"/>
    </row>
    <row r="1012" spans="1:26" ht="12.5">
      <c r="A1012" s="151"/>
      <c r="B1012" s="151"/>
      <c r="C1012" s="151"/>
      <c r="D1012" s="151"/>
      <c r="E1012" s="151"/>
      <c r="F1012" s="151"/>
      <c r="G1012" s="151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  <c r="U1012" s="151"/>
      <c r="V1012" s="151"/>
      <c r="W1012" s="151"/>
      <c r="X1012" s="151"/>
      <c r="Y1012" s="151"/>
      <c r="Z1012" s="151"/>
    </row>
    <row r="1013" spans="1:26" ht="12.5">
      <c r="A1013" s="151"/>
      <c r="B1013" s="151"/>
      <c r="C1013" s="151"/>
      <c r="D1013" s="151"/>
      <c r="E1013" s="151"/>
      <c r="F1013" s="151"/>
      <c r="G1013" s="151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  <c r="U1013" s="151"/>
      <c r="V1013" s="151"/>
      <c r="W1013" s="151"/>
      <c r="X1013" s="151"/>
      <c r="Y1013" s="151"/>
      <c r="Z1013" s="151"/>
    </row>
  </sheetData>
  <mergeCells count="515">
    <mergeCell ref="M48:N48"/>
    <mergeCell ref="O48:P48"/>
    <mergeCell ref="Q48:R48"/>
    <mergeCell ref="S48:T48"/>
    <mergeCell ref="O49:P49"/>
    <mergeCell ref="Q49:R49"/>
    <mergeCell ref="S49:T49"/>
    <mergeCell ref="M49:N49"/>
    <mergeCell ref="M50:N50"/>
    <mergeCell ref="O50:P50"/>
    <mergeCell ref="Q50:R50"/>
    <mergeCell ref="S50:T50"/>
    <mergeCell ref="M38:N38"/>
    <mergeCell ref="O38:P38"/>
    <mergeCell ref="Q38:R38"/>
    <mergeCell ref="S38:T38"/>
    <mergeCell ref="K38:L38"/>
    <mergeCell ref="K39:L39"/>
    <mergeCell ref="M39:N39"/>
    <mergeCell ref="O39:P39"/>
    <mergeCell ref="Q39:R39"/>
    <mergeCell ref="S39:T39"/>
    <mergeCell ref="M37:N37"/>
    <mergeCell ref="O37:P37"/>
    <mergeCell ref="Q37:R37"/>
    <mergeCell ref="S37:T37"/>
    <mergeCell ref="U37:V37"/>
    <mergeCell ref="K33:L33"/>
    <mergeCell ref="K34:L34"/>
    <mergeCell ref="M34:N34"/>
    <mergeCell ref="O34:P34"/>
    <mergeCell ref="Q34:R34"/>
    <mergeCell ref="S34:T34"/>
    <mergeCell ref="M33:N33"/>
    <mergeCell ref="O33:P33"/>
    <mergeCell ref="Q33:R33"/>
    <mergeCell ref="S33:T33"/>
    <mergeCell ref="D7:D8"/>
    <mergeCell ref="D9:D11"/>
    <mergeCell ref="B7:C8"/>
    <mergeCell ref="E7:G7"/>
    <mergeCell ref="H7:H8"/>
    <mergeCell ref="I7:I8"/>
    <mergeCell ref="J7:J8"/>
    <mergeCell ref="F8:G8"/>
    <mergeCell ref="B9:C35"/>
    <mergeCell ref="D33:D35"/>
    <mergeCell ref="F33:G33"/>
    <mergeCell ref="F34:G34"/>
    <mergeCell ref="X2:Y2"/>
    <mergeCell ref="P3:Y3"/>
    <mergeCell ref="P4:S4"/>
    <mergeCell ref="T4:V4"/>
    <mergeCell ref="W4:Y4"/>
    <mergeCell ref="U6:Y6"/>
    <mergeCell ref="B2:U2"/>
    <mergeCell ref="V2:W2"/>
    <mergeCell ref="B3:B4"/>
    <mergeCell ref="C3:E4"/>
    <mergeCell ref="F3:G4"/>
    <mergeCell ref="H3:J4"/>
    <mergeCell ref="K3:O4"/>
    <mergeCell ref="C5:E5"/>
    <mergeCell ref="F5:G5"/>
    <mergeCell ref="H5:J5"/>
    <mergeCell ref="K5:O5"/>
    <mergeCell ref="P5:S5"/>
    <mergeCell ref="T5:V5"/>
    <mergeCell ref="W5:Y5"/>
    <mergeCell ref="U36:V36"/>
    <mergeCell ref="W36:X36"/>
    <mergeCell ref="M30:N30"/>
    <mergeCell ref="O30:P30"/>
    <mergeCell ref="U32:V32"/>
    <mergeCell ref="Y33:Y35"/>
    <mergeCell ref="K36:L36"/>
    <mergeCell ref="M36:N36"/>
    <mergeCell ref="O36:P36"/>
    <mergeCell ref="Q36:R36"/>
    <mergeCell ref="S36:T36"/>
    <mergeCell ref="Q35:R35"/>
    <mergeCell ref="S35:T35"/>
    <mergeCell ref="M35:N35"/>
    <mergeCell ref="O35:P35"/>
    <mergeCell ref="Q51:R51"/>
    <mergeCell ref="S51:T51"/>
    <mergeCell ref="O74:P74"/>
    <mergeCell ref="Q74:R74"/>
    <mergeCell ref="Q72:R72"/>
    <mergeCell ref="S72:T72"/>
    <mergeCell ref="M73:N73"/>
    <mergeCell ref="O73:P73"/>
    <mergeCell ref="Q73:R73"/>
    <mergeCell ref="S73:T73"/>
    <mergeCell ref="M74:N74"/>
    <mergeCell ref="S74:T74"/>
    <mergeCell ref="M51:N51"/>
    <mergeCell ref="O51:P51"/>
    <mergeCell ref="O57:P57"/>
    <mergeCell ref="Q57:R57"/>
    <mergeCell ref="Q55:R55"/>
    <mergeCell ref="S55:T55"/>
    <mergeCell ref="M56:N56"/>
    <mergeCell ref="O56:P56"/>
    <mergeCell ref="Q56:R56"/>
    <mergeCell ref="S56:T56"/>
    <mergeCell ref="S57:T57"/>
    <mergeCell ref="Q47:R47"/>
    <mergeCell ref="S47:T47"/>
    <mergeCell ref="M45:N45"/>
    <mergeCell ref="M46:N46"/>
    <mergeCell ref="O46:P46"/>
    <mergeCell ref="Q46:R46"/>
    <mergeCell ref="S46:T46"/>
    <mergeCell ref="M47:N47"/>
    <mergeCell ref="O47:P47"/>
    <mergeCell ref="O40:P40"/>
    <mergeCell ref="Q40:R40"/>
    <mergeCell ref="M41:N41"/>
    <mergeCell ref="O41:P41"/>
    <mergeCell ref="Q41:R41"/>
    <mergeCell ref="S41:T41"/>
    <mergeCell ref="S42:T42"/>
    <mergeCell ref="O45:P45"/>
    <mergeCell ref="Q45:R45"/>
    <mergeCell ref="O42:P42"/>
    <mergeCell ref="Q42:R42"/>
    <mergeCell ref="M44:N44"/>
    <mergeCell ref="O44:P44"/>
    <mergeCell ref="Q44:R44"/>
    <mergeCell ref="S44:T44"/>
    <mergeCell ref="S45:T45"/>
    <mergeCell ref="M40:N40"/>
    <mergeCell ref="S40:T40"/>
    <mergeCell ref="M42:N42"/>
    <mergeCell ref="M43:N43"/>
    <mergeCell ref="O43:P43"/>
    <mergeCell ref="Q43:R43"/>
    <mergeCell ref="S43:T43"/>
    <mergeCell ref="M69:N69"/>
    <mergeCell ref="O69:P69"/>
    <mergeCell ref="Q69:R69"/>
    <mergeCell ref="S69:T69"/>
    <mergeCell ref="O70:P70"/>
    <mergeCell ref="Q70:R70"/>
    <mergeCell ref="S70:T70"/>
    <mergeCell ref="K75:N75"/>
    <mergeCell ref="O75:R75"/>
    <mergeCell ref="S75:V75"/>
    <mergeCell ref="M70:N70"/>
    <mergeCell ref="M71:N71"/>
    <mergeCell ref="O71:P71"/>
    <mergeCell ref="Q71:R71"/>
    <mergeCell ref="S71:T71"/>
    <mergeCell ref="M72:N72"/>
    <mergeCell ref="O72:P72"/>
    <mergeCell ref="Q67:R68"/>
    <mergeCell ref="S67:T68"/>
    <mergeCell ref="M65:N65"/>
    <mergeCell ref="M66:N66"/>
    <mergeCell ref="O66:P66"/>
    <mergeCell ref="Q66:R66"/>
    <mergeCell ref="S66:T66"/>
    <mergeCell ref="M67:N68"/>
    <mergeCell ref="O67:P68"/>
    <mergeCell ref="M62:N62"/>
    <mergeCell ref="O62:P62"/>
    <mergeCell ref="Q62:R62"/>
    <mergeCell ref="S62:T62"/>
    <mergeCell ref="M63:N63"/>
    <mergeCell ref="O63:P63"/>
    <mergeCell ref="O65:P65"/>
    <mergeCell ref="Q65:R65"/>
    <mergeCell ref="Q63:R63"/>
    <mergeCell ref="S63:T63"/>
    <mergeCell ref="M64:N64"/>
    <mergeCell ref="O64:P64"/>
    <mergeCell ref="Q64:R64"/>
    <mergeCell ref="S64:T64"/>
    <mergeCell ref="S65:T65"/>
    <mergeCell ref="M59:N59"/>
    <mergeCell ref="O59:P59"/>
    <mergeCell ref="M60:N60"/>
    <mergeCell ref="O60:P60"/>
    <mergeCell ref="Q60:R60"/>
    <mergeCell ref="S60:T60"/>
    <mergeCell ref="O61:P61"/>
    <mergeCell ref="Q61:R61"/>
    <mergeCell ref="S61:T61"/>
    <mergeCell ref="M61:N61"/>
    <mergeCell ref="W69:X69"/>
    <mergeCell ref="W70:X72"/>
    <mergeCell ref="U73:V73"/>
    <mergeCell ref="W73:X73"/>
    <mergeCell ref="U74:V74"/>
    <mergeCell ref="W74:X74"/>
    <mergeCell ref="W75:X75"/>
    <mergeCell ref="M52:N52"/>
    <mergeCell ref="O52:P52"/>
    <mergeCell ref="Q52:R52"/>
    <mergeCell ref="S52:T52"/>
    <mergeCell ref="O53:P53"/>
    <mergeCell ref="Q53:R53"/>
    <mergeCell ref="S53:T53"/>
    <mergeCell ref="M53:N53"/>
    <mergeCell ref="M54:N54"/>
    <mergeCell ref="O54:P54"/>
    <mergeCell ref="Q54:R54"/>
    <mergeCell ref="S54:T54"/>
    <mergeCell ref="M55:N55"/>
    <mergeCell ref="O55:P55"/>
    <mergeCell ref="Q59:R59"/>
    <mergeCell ref="S59:T59"/>
    <mergeCell ref="M57:N57"/>
    <mergeCell ref="U33:V33"/>
    <mergeCell ref="W33:X35"/>
    <mergeCell ref="U34:V34"/>
    <mergeCell ref="U35:V35"/>
    <mergeCell ref="W37:X66"/>
    <mergeCell ref="Y37:Y66"/>
    <mergeCell ref="U38:V38"/>
    <mergeCell ref="U70:V70"/>
    <mergeCell ref="U71:V71"/>
    <mergeCell ref="U65:V65"/>
    <mergeCell ref="U66:V66"/>
    <mergeCell ref="U67:V68"/>
    <mergeCell ref="W67:X68"/>
    <mergeCell ref="Y67:Y68"/>
    <mergeCell ref="U69:V69"/>
    <mergeCell ref="Y70:Y72"/>
    <mergeCell ref="U72:V72"/>
    <mergeCell ref="U53:V53"/>
    <mergeCell ref="U54:V54"/>
    <mergeCell ref="U55:V55"/>
    <mergeCell ref="U56:V56"/>
    <mergeCell ref="U57:V57"/>
    <mergeCell ref="U58:V58"/>
    <mergeCell ref="U59:V59"/>
    <mergeCell ref="B75:J75"/>
    <mergeCell ref="U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52:V52"/>
    <mergeCell ref="U60:V60"/>
    <mergeCell ref="U61:V61"/>
    <mergeCell ref="U62:V62"/>
    <mergeCell ref="U63:V63"/>
    <mergeCell ref="U64:V64"/>
    <mergeCell ref="M58:N58"/>
    <mergeCell ref="O58:P58"/>
    <mergeCell ref="Q58:R58"/>
    <mergeCell ref="S58:T58"/>
    <mergeCell ref="K74:L74"/>
    <mergeCell ref="K64:L64"/>
    <mergeCell ref="K65:L65"/>
    <mergeCell ref="K66:L66"/>
    <mergeCell ref="K67:L68"/>
    <mergeCell ref="K69:L69"/>
    <mergeCell ref="K70:L70"/>
    <mergeCell ref="K71:L71"/>
    <mergeCell ref="B74:J74"/>
    <mergeCell ref="F35:G35"/>
    <mergeCell ref="B37:C66"/>
    <mergeCell ref="F37:G37"/>
    <mergeCell ref="F38:G38"/>
    <mergeCell ref="F39:G39"/>
    <mergeCell ref="G42:G50"/>
    <mergeCell ref="G51:G59"/>
    <mergeCell ref="F70:J70"/>
    <mergeCell ref="F71:J71"/>
    <mergeCell ref="B36:G36"/>
    <mergeCell ref="K35:L35"/>
    <mergeCell ref="K51:L51"/>
    <mergeCell ref="K52:L52"/>
    <mergeCell ref="K53:L53"/>
    <mergeCell ref="K54:L54"/>
    <mergeCell ref="K55:L55"/>
    <mergeCell ref="K56:L56"/>
    <mergeCell ref="K57:L57"/>
    <mergeCell ref="K58:L58"/>
    <mergeCell ref="K46:L46"/>
    <mergeCell ref="K47:L47"/>
    <mergeCell ref="K48:L48"/>
    <mergeCell ref="K49:L49"/>
    <mergeCell ref="K50:L50"/>
    <mergeCell ref="F72:J72"/>
    <mergeCell ref="F73:J73"/>
    <mergeCell ref="G60:G66"/>
    <mergeCell ref="B67:G68"/>
    <mergeCell ref="H67:H68"/>
    <mergeCell ref="I67:I68"/>
    <mergeCell ref="J67:J68"/>
    <mergeCell ref="B69:G69"/>
    <mergeCell ref="B70:E73"/>
    <mergeCell ref="K59:L59"/>
    <mergeCell ref="K60:L60"/>
    <mergeCell ref="K61:L61"/>
    <mergeCell ref="K62:L62"/>
    <mergeCell ref="K63:L63"/>
    <mergeCell ref="K72:L72"/>
    <mergeCell ref="K73:L73"/>
    <mergeCell ref="F40:G40"/>
    <mergeCell ref="K40:L40"/>
    <mergeCell ref="F41:G41"/>
    <mergeCell ref="K41:L41"/>
    <mergeCell ref="K37:L37"/>
    <mergeCell ref="K42:L42"/>
    <mergeCell ref="K43:L43"/>
    <mergeCell ref="K44:L44"/>
    <mergeCell ref="K45:L45"/>
    <mergeCell ref="K30:L30"/>
    <mergeCell ref="K32:L32"/>
    <mergeCell ref="F28:G28"/>
    <mergeCell ref="D29:D32"/>
    <mergeCell ref="F29:G29"/>
    <mergeCell ref="W29:X32"/>
    <mergeCell ref="Y29:Y32"/>
    <mergeCell ref="U30:V30"/>
    <mergeCell ref="F32:G32"/>
    <mergeCell ref="Q30:R30"/>
    <mergeCell ref="S30:T30"/>
    <mergeCell ref="F30:G30"/>
    <mergeCell ref="F31:G31"/>
    <mergeCell ref="K31:L31"/>
    <mergeCell ref="M31:N31"/>
    <mergeCell ref="O31:P31"/>
    <mergeCell ref="Q31:R31"/>
    <mergeCell ref="S31:T31"/>
    <mergeCell ref="U31:V31"/>
    <mergeCell ref="M32:N32"/>
    <mergeCell ref="O32:P32"/>
    <mergeCell ref="Q32:R32"/>
    <mergeCell ref="S32:T32"/>
    <mergeCell ref="K29:L29"/>
    <mergeCell ref="M29:N29"/>
    <mergeCell ref="O29:P29"/>
    <mergeCell ref="Q29:R29"/>
    <mergeCell ref="S29:T29"/>
    <mergeCell ref="U29:V29"/>
    <mergeCell ref="O25:P25"/>
    <mergeCell ref="Q25:R25"/>
    <mergeCell ref="M28:N28"/>
    <mergeCell ref="O28:P28"/>
    <mergeCell ref="Q28:R28"/>
    <mergeCell ref="S28:T28"/>
    <mergeCell ref="U28:V28"/>
    <mergeCell ref="S27:T27"/>
    <mergeCell ref="U27:V27"/>
    <mergeCell ref="D24:D28"/>
    <mergeCell ref="F24:G24"/>
    <mergeCell ref="X24:X28"/>
    <mergeCell ref="Y24:Y28"/>
    <mergeCell ref="F25:G25"/>
    <mergeCell ref="M25:N25"/>
    <mergeCell ref="U26:V26"/>
    <mergeCell ref="S25:T25"/>
    <mergeCell ref="U25:V25"/>
    <mergeCell ref="K25:L25"/>
    <mergeCell ref="K26:L26"/>
    <mergeCell ref="M26:N26"/>
    <mergeCell ref="O26:P26"/>
    <mergeCell ref="Q26:R26"/>
    <mergeCell ref="S26:T26"/>
    <mergeCell ref="F26:G26"/>
    <mergeCell ref="F27:G27"/>
    <mergeCell ref="K27:L27"/>
    <mergeCell ref="M27:N27"/>
    <mergeCell ref="O27:P27"/>
    <mergeCell ref="Q27:R27"/>
    <mergeCell ref="K28:L28"/>
    <mergeCell ref="S24:T24"/>
    <mergeCell ref="U24:V24"/>
    <mergeCell ref="D22:D23"/>
    <mergeCell ref="F22:G22"/>
    <mergeCell ref="F23:G23"/>
    <mergeCell ref="K24:L24"/>
    <mergeCell ref="M24:N24"/>
    <mergeCell ref="O24:P24"/>
    <mergeCell ref="Q24:R24"/>
    <mergeCell ref="U23:V23"/>
    <mergeCell ref="Y20:Y23"/>
    <mergeCell ref="X22:X23"/>
    <mergeCell ref="K19:L19"/>
    <mergeCell ref="M19:N19"/>
    <mergeCell ref="Q21:R21"/>
    <mergeCell ref="S21:T21"/>
    <mergeCell ref="U21:V21"/>
    <mergeCell ref="K22:L22"/>
    <mergeCell ref="U22:V22"/>
    <mergeCell ref="M22:N22"/>
    <mergeCell ref="O22:P22"/>
    <mergeCell ref="K23:L23"/>
    <mergeCell ref="M23:N23"/>
    <mergeCell ref="O23:P23"/>
    <mergeCell ref="Q22:R22"/>
    <mergeCell ref="S22:T22"/>
    <mergeCell ref="Q23:R23"/>
    <mergeCell ref="S23:T23"/>
    <mergeCell ref="F21:G21"/>
    <mergeCell ref="K21:L21"/>
    <mergeCell ref="D18:D21"/>
    <mergeCell ref="F18:G18"/>
    <mergeCell ref="S18:T18"/>
    <mergeCell ref="U18:V18"/>
    <mergeCell ref="Y18:Y19"/>
    <mergeCell ref="F19:G19"/>
    <mergeCell ref="U20:V20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X18:X19"/>
    <mergeCell ref="X20:X21"/>
    <mergeCell ref="M21:N21"/>
    <mergeCell ref="O21:P21"/>
    <mergeCell ref="K17:L17"/>
    <mergeCell ref="K18:L18"/>
    <mergeCell ref="M18:N18"/>
    <mergeCell ref="O18:P18"/>
    <mergeCell ref="Q18:R18"/>
    <mergeCell ref="D15:D17"/>
    <mergeCell ref="F15:G15"/>
    <mergeCell ref="F16:G16"/>
    <mergeCell ref="F17:G17"/>
    <mergeCell ref="M17:N17"/>
    <mergeCell ref="O17:P17"/>
    <mergeCell ref="Q17:R17"/>
    <mergeCell ref="D12:D14"/>
    <mergeCell ref="F12:G12"/>
    <mergeCell ref="M12:N12"/>
    <mergeCell ref="O12:P12"/>
    <mergeCell ref="Q12:R12"/>
    <mergeCell ref="Q13:R13"/>
    <mergeCell ref="M16:N16"/>
    <mergeCell ref="O16:P16"/>
    <mergeCell ref="K12:L12"/>
    <mergeCell ref="K13:L13"/>
    <mergeCell ref="K15:L15"/>
    <mergeCell ref="M15:N15"/>
    <mergeCell ref="O15:P15"/>
    <mergeCell ref="Q15:R15"/>
    <mergeCell ref="K16:L16"/>
    <mergeCell ref="Q16:R16"/>
    <mergeCell ref="M13:N13"/>
    <mergeCell ref="O13:P13"/>
    <mergeCell ref="F13:G13"/>
    <mergeCell ref="F14:G14"/>
    <mergeCell ref="K14:L14"/>
    <mergeCell ref="M14:N14"/>
    <mergeCell ref="O14:P14"/>
    <mergeCell ref="Q14:R14"/>
    <mergeCell ref="F11:G11"/>
    <mergeCell ref="S16:T16"/>
    <mergeCell ref="U16:V16"/>
    <mergeCell ref="S17:T17"/>
    <mergeCell ref="U17:V17"/>
    <mergeCell ref="S9:T9"/>
    <mergeCell ref="U9:V9"/>
    <mergeCell ref="Y9:Y17"/>
    <mergeCell ref="U10:V10"/>
    <mergeCell ref="U11:V11"/>
    <mergeCell ref="U12:V12"/>
    <mergeCell ref="X15:X17"/>
    <mergeCell ref="S11:T11"/>
    <mergeCell ref="S12:T12"/>
    <mergeCell ref="X9:X11"/>
    <mergeCell ref="X12:X14"/>
    <mergeCell ref="S13:T13"/>
    <mergeCell ref="U13:V13"/>
    <mergeCell ref="S14:T14"/>
    <mergeCell ref="U14:V14"/>
    <mergeCell ref="S15:T15"/>
    <mergeCell ref="U15:V15"/>
    <mergeCell ref="S10:T10"/>
    <mergeCell ref="K9:L9"/>
    <mergeCell ref="M9:N9"/>
    <mergeCell ref="O9:P9"/>
    <mergeCell ref="Q9:R9"/>
    <mergeCell ref="M11:N11"/>
    <mergeCell ref="O11:P11"/>
    <mergeCell ref="F9:G9"/>
    <mergeCell ref="F10:G10"/>
    <mergeCell ref="K10:L10"/>
    <mergeCell ref="M10:N10"/>
    <mergeCell ref="O10:P10"/>
    <mergeCell ref="Q10:R10"/>
    <mergeCell ref="K11:L11"/>
    <mergeCell ref="Q11:R11"/>
    <mergeCell ref="O7:R7"/>
    <mergeCell ref="S7:V7"/>
    <mergeCell ref="W7:X8"/>
    <mergeCell ref="Y7:Y8"/>
    <mergeCell ref="O8:P8"/>
    <mergeCell ref="Q8:R8"/>
    <mergeCell ref="S8:T8"/>
    <mergeCell ref="U8:V8"/>
    <mergeCell ref="K7:N7"/>
    <mergeCell ref="K8:L8"/>
    <mergeCell ref="M8:N8"/>
  </mergeCells>
  <phoneticPr fontId="6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13"/>
  <sheetViews>
    <sheetView workbookViewId="0"/>
  </sheetViews>
  <sheetFormatPr defaultColWidth="12.6328125" defaultRowHeight="15.75" customHeight="1"/>
  <cols>
    <col min="1" max="1" width="4.08984375" customWidth="1"/>
    <col min="2" max="2" width="6" customWidth="1"/>
    <col min="3" max="3" width="4" customWidth="1"/>
    <col min="4" max="4" width="7" customWidth="1"/>
    <col min="5" max="5" width="8.7265625" customWidth="1"/>
    <col min="6" max="6" width="17.36328125" customWidth="1"/>
    <col min="7" max="7" width="10" customWidth="1"/>
    <col min="8" max="10" width="5.08984375" customWidth="1"/>
    <col min="11" max="22" width="5" customWidth="1"/>
    <col min="23" max="24" width="6.26953125" customWidth="1"/>
    <col min="25" max="25" width="6.63281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>
      <c r="A2" s="1"/>
      <c r="B2" s="237" t="s">
        <v>0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07"/>
      <c r="V2" s="238" t="s">
        <v>4</v>
      </c>
      <c r="W2" s="207"/>
      <c r="X2" s="238">
        <v>2027</v>
      </c>
      <c r="Y2" s="207"/>
      <c r="Z2" s="1"/>
    </row>
    <row r="3" spans="1:26" ht="14">
      <c r="A3" s="1"/>
      <c r="B3" s="239" t="s">
        <v>53</v>
      </c>
      <c r="C3" s="234" t="s">
        <v>2</v>
      </c>
      <c r="D3" s="225"/>
      <c r="E3" s="217"/>
      <c r="F3" s="234" t="s">
        <v>98</v>
      </c>
      <c r="G3" s="217"/>
      <c r="H3" s="234" t="s">
        <v>99</v>
      </c>
      <c r="I3" s="225"/>
      <c r="J3" s="217"/>
      <c r="K3" s="234" t="s">
        <v>100</v>
      </c>
      <c r="L3" s="225"/>
      <c r="M3" s="225"/>
      <c r="N3" s="225"/>
      <c r="O3" s="217"/>
      <c r="P3" s="235" t="s">
        <v>101</v>
      </c>
      <c r="Q3" s="211"/>
      <c r="R3" s="211"/>
      <c r="S3" s="211"/>
      <c r="T3" s="211"/>
      <c r="U3" s="211"/>
      <c r="V3" s="211"/>
      <c r="W3" s="211"/>
      <c r="X3" s="211"/>
      <c r="Y3" s="207"/>
      <c r="Z3" s="1"/>
    </row>
    <row r="4" spans="1:26" ht="14">
      <c r="A4" s="1"/>
      <c r="B4" s="209"/>
      <c r="C4" s="220"/>
      <c r="D4" s="227"/>
      <c r="E4" s="221"/>
      <c r="F4" s="220"/>
      <c r="G4" s="221"/>
      <c r="H4" s="220"/>
      <c r="I4" s="227"/>
      <c r="J4" s="221"/>
      <c r="K4" s="220"/>
      <c r="L4" s="227"/>
      <c r="M4" s="227"/>
      <c r="N4" s="227"/>
      <c r="O4" s="221"/>
      <c r="P4" s="235" t="s">
        <v>3</v>
      </c>
      <c r="Q4" s="211"/>
      <c r="R4" s="211"/>
      <c r="S4" s="207"/>
      <c r="T4" s="235" t="s">
        <v>105</v>
      </c>
      <c r="U4" s="211"/>
      <c r="V4" s="207"/>
      <c r="W4" s="235" t="s">
        <v>106</v>
      </c>
      <c r="X4" s="211"/>
      <c r="Y4" s="207"/>
      <c r="Z4" s="1"/>
    </row>
    <row r="5" spans="1:26" ht="32.25" customHeight="1">
      <c r="A5" s="1"/>
      <c r="B5" s="60" t="s">
        <v>109</v>
      </c>
      <c r="C5" s="240" t="s">
        <v>5</v>
      </c>
      <c r="D5" s="211"/>
      <c r="E5" s="207"/>
      <c r="F5" s="240" t="s">
        <v>113</v>
      </c>
      <c r="G5" s="207"/>
      <c r="H5" s="240" t="s">
        <v>114</v>
      </c>
      <c r="I5" s="211"/>
      <c r="J5" s="207"/>
      <c r="K5" s="240" t="s">
        <v>406</v>
      </c>
      <c r="L5" s="211"/>
      <c r="M5" s="211"/>
      <c r="N5" s="211"/>
      <c r="O5" s="207"/>
      <c r="P5" s="240" t="s">
        <v>118</v>
      </c>
      <c r="Q5" s="211"/>
      <c r="R5" s="211"/>
      <c r="S5" s="207"/>
      <c r="T5" s="240" t="s">
        <v>120</v>
      </c>
      <c r="U5" s="211"/>
      <c r="V5" s="207"/>
      <c r="W5" s="277" t="s">
        <v>407</v>
      </c>
      <c r="X5" s="211"/>
      <c r="Y5" s="207"/>
      <c r="Z5" s="1"/>
    </row>
    <row r="6" spans="1:26" ht="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36"/>
      <c r="V6" s="226"/>
      <c r="W6" s="226"/>
      <c r="X6" s="226"/>
      <c r="Y6" s="226"/>
      <c r="Z6" s="1"/>
    </row>
    <row r="7" spans="1:26" ht="20.25" customHeight="1">
      <c r="A7" s="63"/>
      <c r="B7" s="230" t="s">
        <v>126</v>
      </c>
      <c r="C7" s="217"/>
      <c r="D7" s="208" t="s">
        <v>128</v>
      </c>
      <c r="E7" s="210" t="s">
        <v>129</v>
      </c>
      <c r="F7" s="211"/>
      <c r="G7" s="207"/>
      <c r="H7" s="208" t="s">
        <v>130</v>
      </c>
      <c r="I7" s="208" t="s">
        <v>131</v>
      </c>
      <c r="J7" s="208" t="s">
        <v>133</v>
      </c>
      <c r="K7" s="210" t="s">
        <v>14</v>
      </c>
      <c r="L7" s="211"/>
      <c r="M7" s="211"/>
      <c r="N7" s="207"/>
      <c r="O7" s="210" t="s">
        <v>15</v>
      </c>
      <c r="P7" s="211"/>
      <c r="Q7" s="211"/>
      <c r="R7" s="207"/>
      <c r="S7" s="210" t="s">
        <v>16</v>
      </c>
      <c r="T7" s="211"/>
      <c r="U7" s="211"/>
      <c r="V7" s="207"/>
      <c r="W7" s="230" t="s">
        <v>137</v>
      </c>
      <c r="X7" s="217"/>
      <c r="Y7" s="208" t="s">
        <v>139</v>
      </c>
      <c r="Z7" s="70"/>
    </row>
    <row r="8" spans="1:26" ht="20.25" customHeight="1">
      <c r="A8" s="63"/>
      <c r="B8" s="220"/>
      <c r="C8" s="221"/>
      <c r="D8" s="209"/>
      <c r="E8" s="71" t="s">
        <v>145</v>
      </c>
      <c r="F8" s="210" t="s">
        <v>146</v>
      </c>
      <c r="G8" s="207"/>
      <c r="H8" s="209"/>
      <c r="I8" s="209"/>
      <c r="J8" s="209"/>
      <c r="K8" s="210" t="s">
        <v>19</v>
      </c>
      <c r="L8" s="207"/>
      <c r="M8" s="210" t="s">
        <v>20</v>
      </c>
      <c r="N8" s="207"/>
      <c r="O8" s="210" t="s">
        <v>19</v>
      </c>
      <c r="P8" s="207"/>
      <c r="Q8" s="210" t="s">
        <v>20</v>
      </c>
      <c r="R8" s="207"/>
      <c r="S8" s="210" t="s">
        <v>19</v>
      </c>
      <c r="T8" s="207"/>
      <c r="U8" s="210" t="s">
        <v>20</v>
      </c>
      <c r="V8" s="207"/>
      <c r="W8" s="220"/>
      <c r="X8" s="221"/>
      <c r="Y8" s="209"/>
      <c r="Z8" s="63"/>
    </row>
    <row r="9" spans="1:26" ht="14">
      <c r="A9" s="1"/>
      <c r="B9" s="216" t="s">
        <v>149</v>
      </c>
      <c r="C9" s="217"/>
      <c r="D9" s="212" t="s">
        <v>153</v>
      </c>
      <c r="E9" s="74" t="s">
        <v>154</v>
      </c>
      <c r="F9" s="206" t="s">
        <v>155</v>
      </c>
      <c r="G9" s="207"/>
      <c r="H9" s="74">
        <v>4</v>
      </c>
      <c r="I9" s="74" t="s">
        <v>156</v>
      </c>
      <c r="J9" s="74">
        <f t="shared" ref="J9:J35" si="0">SUM(K9:V9)</f>
        <v>3</v>
      </c>
      <c r="K9" s="206">
        <v>3</v>
      </c>
      <c r="L9" s="207"/>
      <c r="M9" s="206"/>
      <c r="N9" s="207"/>
      <c r="O9" s="206"/>
      <c r="P9" s="207"/>
      <c r="Q9" s="206"/>
      <c r="R9" s="207"/>
      <c r="S9" s="206"/>
      <c r="T9" s="207"/>
      <c r="U9" s="206"/>
      <c r="V9" s="207"/>
      <c r="W9" s="74">
        <f t="shared" ref="W9:W28" si="1">J9</f>
        <v>3</v>
      </c>
      <c r="X9" s="212">
        <f>SUM(W9:W11)</f>
        <v>9</v>
      </c>
      <c r="Y9" s="215">
        <v>24</v>
      </c>
      <c r="Z9" s="1"/>
    </row>
    <row r="10" spans="1:26" ht="14">
      <c r="A10" s="1"/>
      <c r="B10" s="218"/>
      <c r="C10" s="219"/>
      <c r="D10" s="213"/>
      <c r="E10" s="74" t="s">
        <v>154</v>
      </c>
      <c r="F10" s="206" t="s">
        <v>162</v>
      </c>
      <c r="G10" s="207"/>
      <c r="H10" s="74">
        <v>4</v>
      </c>
      <c r="I10" s="74" t="s">
        <v>156</v>
      </c>
      <c r="J10" s="74">
        <f t="shared" si="0"/>
        <v>3</v>
      </c>
      <c r="K10" s="206"/>
      <c r="L10" s="207"/>
      <c r="M10" s="206">
        <v>3</v>
      </c>
      <c r="N10" s="207"/>
      <c r="O10" s="206"/>
      <c r="P10" s="207"/>
      <c r="Q10" s="206"/>
      <c r="R10" s="207"/>
      <c r="S10" s="206"/>
      <c r="T10" s="207"/>
      <c r="U10" s="206"/>
      <c r="V10" s="207"/>
      <c r="W10" s="74">
        <f t="shared" si="1"/>
        <v>3</v>
      </c>
      <c r="X10" s="213"/>
      <c r="Y10" s="213"/>
      <c r="Z10" s="1"/>
    </row>
    <row r="11" spans="1:26" ht="14">
      <c r="A11" s="1"/>
      <c r="B11" s="218"/>
      <c r="C11" s="219"/>
      <c r="D11" s="209"/>
      <c r="E11" s="74" t="s">
        <v>224</v>
      </c>
      <c r="F11" s="206" t="s">
        <v>404</v>
      </c>
      <c r="G11" s="207"/>
      <c r="H11" s="74">
        <v>4</v>
      </c>
      <c r="I11" s="74" t="s">
        <v>167</v>
      </c>
      <c r="J11" s="74">
        <f t="shared" si="0"/>
        <v>3</v>
      </c>
      <c r="K11" s="206"/>
      <c r="L11" s="207"/>
      <c r="M11" s="206"/>
      <c r="N11" s="207"/>
      <c r="O11" s="206">
        <v>3</v>
      </c>
      <c r="P11" s="207"/>
      <c r="Q11" s="206"/>
      <c r="R11" s="207"/>
      <c r="S11" s="206"/>
      <c r="T11" s="207"/>
      <c r="U11" s="206"/>
      <c r="V11" s="207"/>
      <c r="W11" s="74">
        <f t="shared" si="1"/>
        <v>3</v>
      </c>
      <c r="X11" s="209"/>
      <c r="Y11" s="213"/>
      <c r="Z11" s="1"/>
    </row>
    <row r="12" spans="1:26" ht="14">
      <c r="A12" s="1"/>
      <c r="B12" s="218"/>
      <c r="C12" s="219"/>
      <c r="D12" s="212" t="s">
        <v>168</v>
      </c>
      <c r="E12" s="74" t="s">
        <v>154</v>
      </c>
      <c r="F12" s="206" t="s">
        <v>169</v>
      </c>
      <c r="G12" s="207"/>
      <c r="H12" s="74">
        <v>4</v>
      </c>
      <c r="I12" s="74" t="s">
        <v>156</v>
      </c>
      <c r="J12" s="74">
        <f t="shared" si="0"/>
        <v>3</v>
      </c>
      <c r="K12" s="206">
        <v>3</v>
      </c>
      <c r="L12" s="207"/>
      <c r="M12" s="206"/>
      <c r="N12" s="207"/>
      <c r="O12" s="206"/>
      <c r="P12" s="207"/>
      <c r="Q12" s="206"/>
      <c r="R12" s="207"/>
      <c r="S12" s="206"/>
      <c r="T12" s="207"/>
      <c r="U12" s="206"/>
      <c r="V12" s="207"/>
      <c r="W12" s="74">
        <f t="shared" si="1"/>
        <v>3</v>
      </c>
      <c r="X12" s="212">
        <f>SUM(W12:W14)</f>
        <v>9</v>
      </c>
      <c r="Y12" s="213"/>
      <c r="Z12" s="1"/>
    </row>
    <row r="13" spans="1:26" ht="14">
      <c r="A13" s="1"/>
      <c r="B13" s="218"/>
      <c r="C13" s="219"/>
      <c r="D13" s="213"/>
      <c r="E13" s="74" t="s">
        <v>154</v>
      </c>
      <c r="F13" s="206" t="s">
        <v>172</v>
      </c>
      <c r="G13" s="207"/>
      <c r="H13" s="74">
        <v>4</v>
      </c>
      <c r="I13" s="74" t="s">
        <v>156</v>
      </c>
      <c r="J13" s="74">
        <f t="shared" si="0"/>
        <v>3</v>
      </c>
      <c r="K13" s="206"/>
      <c r="L13" s="207"/>
      <c r="M13" s="206">
        <v>3</v>
      </c>
      <c r="N13" s="207"/>
      <c r="O13" s="206"/>
      <c r="P13" s="207"/>
      <c r="Q13" s="206"/>
      <c r="R13" s="207"/>
      <c r="S13" s="206"/>
      <c r="T13" s="207"/>
      <c r="U13" s="206"/>
      <c r="V13" s="207"/>
      <c r="W13" s="74">
        <f t="shared" si="1"/>
        <v>3</v>
      </c>
      <c r="X13" s="213"/>
      <c r="Y13" s="213"/>
      <c r="Z13" s="1"/>
    </row>
    <row r="14" spans="1:26" ht="14">
      <c r="A14" s="1"/>
      <c r="B14" s="218"/>
      <c r="C14" s="219"/>
      <c r="D14" s="209"/>
      <c r="E14" s="74" t="s">
        <v>165</v>
      </c>
      <c r="F14" s="206" t="s">
        <v>173</v>
      </c>
      <c r="G14" s="207"/>
      <c r="H14" s="74">
        <v>4</v>
      </c>
      <c r="I14" s="74" t="s">
        <v>167</v>
      </c>
      <c r="J14" s="74">
        <f t="shared" si="0"/>
        <v>3</v>
      </c>
      <c r="K14" s="206"/>
      <c r="L14" s="207"/>
      <c r="M14" s="206"/>
      <c r="N14" s="207"/>
      <c r="O14" s="206">
        <v>3</v>
      </c>
      <c r="P14" s="207"/>
      <c r="Q14" s="206"/>
      <c r="R14" s="207"/>
      <c r="S14" s="206"/>
      <c r="T14" s="207"/>
      <c r="U14" s="206"/>
      <c r="V14" s="207"/>
      <c r="W14" s="74">
        <f t="shared" si="1"/>
        <v>3</v>
      </c>
      <c r="X14" s="209"/>
      <c r="Y14" s="213"/>
      <c r="Z14" s="1"/>
    </row>
    <row r="15" spans="1:26" ht="14">
      <c r="A15" s="1"/>
      <c r="B15" s="218"/>
      <c r="C15" s="219"/>
      <c r="D15" s="212" t="s">
        <v>175</v>
      </c>
      <c r="E15" s="74" t="s">
        <v>154</v>
      </c>
      <c r="F15" s="206" t="s">
        <v>177</v>
      </c>
      <c r="G15" s="207"/>
      <c r="H15" s="74">
        <v>4</v>
      </c>
      <c r="I15" s="74" t="s">
        <v>156</v>
      </c>
      <c r="J15" s="74">
        <f t="shared" si="0"/>
        <v>3</v>
      </c>
      <c r="K15" s="206">
        <v>3</v>
      </c>
      <c r="L15" s="207"/>
      <c r="M15" s="206"/>
      <c r="N15" s="207"/>
      <c r="O15" s="206"/>
      <c r="P15" s="207"/>
      <c r="Q15" s="206"/>
      <c r="R15" s="207"/>
      <c r="S15" s="206"/>
      <c r="T15" s="207"/>
      <c r="U15" s="206"/>
      <c r="V15" s="207"/>
      <c r="W15" s="74">
        <f t="shared" si="1"/>
        <v>3</v>
      </c>
      <c r="X15" s="212">
        <f>SUM(W15:W17)</f>
        <v>9</v>
      </c>
      <c r="Y15" s="213"/>
      <c r="Z15" s="1"/>
    </row>
    <row r="16" spans="1:26" ht="14">
      <c r="A16" s="1"/>
      <c r="B16" s="218"/>
      <c r="C16" s="219"/>
      <c r="D16" s="213"/>
      <c r="E16" s="74" t="s">
        <v>154</v>
      </c>
      <c r="F16" s="206" t="s">
        <v>178</v>
      </c>
      <c r="G16" s="207"/>
      <c r="H16" s="74">
        <v>4</v>
      </c>
      <c r="I16" s="74" t="s">
        <v>156</v>
      </c>
      <c r="J16" s="74">
        <f t="shared" si="0"/>
        <v>3</v>
      </c>
      <c r="K16" s="206"/>
      <c r="L16" s="207"/>
      <c r="M16" s="206">
        <v>3</v>
      </c>
      <c r="N16" s="207"/>
      <c r="O16" s="206"/>
      <c r="P16" s="207"/>
      <c r="Q16" s="206"/>
      <c r="R16" s="207"/>
      <c r="S16" s="206"/>
      <c r="T16" s="207"/>
      <c r="U16" s="206"/>
      <c r="V16" s="207"/>
      <c r="W16" s="74">
        <f t="shared" si="1"/>
        <v>3</v>
      </c>
      <c r="X16" s="213"/>
      <c r="Y16" s="213"/>
      <c r="Z16" s="1"/>
    </row>
    <row r="17" spans="1:26" ht="14">
      <c r="A17" s="1"/>
      <c r="B17" s="218"/>
      <c r="C17" s="219"/>
      <c r="D17" s="209"/>
      <c r="E17" s="74" t="s">
        <v>165</v>
      </c>
      <c r="F17" s="206" t="s">
        <v>180</v>
      </c>
      <c r="G17" s="207"/>
      <c r="H17" s="74">
        <v>4</v>
      </c>
      <c r="I17" s="74" t="s">
        <v>167</v>
      </c>
      <c r="J17" s="74">
        <f t="shared" si="0"/>
        <v>3</v>
      </c>
      <c r="K17" s="206"/>
      <c r="L17" s="207"/>
      <c r="M17" s="206"/>
      <c r="N17" s="207"/>
      <c r="O17" s="206"/>
      <c r="P17" s="207"/>
      <c r="Q17" s="206">
        <v>3</v>
      </c>
      <c r="R17" s="207"/>
      <c r="S17" s="206"/>
      <c r="T17" s="207"/>
      <c r="U17" s="206"/>
      <c r="V17" s="207"/>
      <c r="W17" s="74">
        <f t="shared" si="1"/>
        <v>3</v>
      </c>
      <c r="X17" s="209"/>
      <c r="Y17" s="209"/>
      <c r="Z17" s="1"/>
    </row>
    <row r="18" spans="1:26" ht="14">
      <c r="A18" s="1"/>
      <c r="B18" s="218"/>
      <c r="C18" s="219"/>
      <c r="D18" s="212" t="s">
        <v>182</v>
      </c>
      <c r="E18" s="74" t="s">
        <v>154</v>
      </c>
      <c r="F18" s="206" t="s">
        <v>183</v>
      </c>
      <c r="G18" s="207"/>
      <c r="H18" s="74">
        <v>3</v>
      </c>
      <c r="I18" s="74" t="s">
        <v>186</v>
      </c>
      <c r="J18" s="74">
        <f t="shared" si="0"/>
        <v>3</v>
      </c>
      <c r="K18" s="206">
        <v>3</v>
      </c>
      <c r="L18" s="207"/>
      <c r="M18" s="206"/>
      <c r="N18" s="207"/>
      <c r="O18" s="206"/>
      <c r="P18" s="207"/>
      <c r="Q18" s="206"/>
      <c r="R18" s="207"/>
      <c r="S18" s="206"/>
      <c r="T18" s="207"/>
      <c r="U18" s="206"/>
      <c r="V18" s="207"/>
      <c r="W18" s="74">
        <f t="shared" si="1"/>
        <v>3</v>
      </c>
      <c r="X18" s="212">
        <f>SUM(W18:W19)</f>
        <v>6</v>
      </c>
      <c r="Y18" s="215">
        <v>6</v>
      </c>
      <c r="Z18" s="1"/>
    </row>
    <row r="19" spans="1:26" ht="14">
      <c r="A19" s="1"/>
      <c r="B19" s="218"/>
      <c r="C19" s="219"/>
      <c r="D19" s="213"/>
      <c r="E19" s="74" t="s">
        <v>154</v>
      </c>
      <c r="F19" s="206" t="s">
        <v>187</v>
      </c>
      <c r="G19" s="207"/>
      <c r="H19" s="74">
        <v>3</v>
      </c>
      <c r="I19" s="74" t="s">
        <v>186</v>
      </c>
      <c r="J19" s="74">
        <f t="shared" si="0"/>
        <v>3</v>
      </c>
      <c r="K19" s="206"/>
      <c r="L19" s="207"/>
      <c r="M19" s="206">
        <v>3</v>
      </c>
      <c r="N19" s="207"/>
      <c r="O19" s="206"/>
      <c r="P19" s="207"/>
      <c r="Q19" s="206"/>
      <c r="R19" s="207"/>
      <c r="S19" s="206"/>
      <c r="T19" s="207"/>
      <c r="U19" s="206"/>
      <c r="V19" s="207"/>
      <c r="W19" s="74">
        <f t="shared" si="1"/>
        <v>3</v>
      </c>
      <c r="X19" s="209"/>
      <c r="Y19" s="209"/>
      <c r="Z19" s="1"/>
    </row>
    <row r="20" spans="1:26" ht="14">
      <c r="A20" s="1"/>
      <c r="B20" s="218"/>
      <c r="C20" s="219"/>
      <c r="D20" s="213"/>
      <c r="E20" s="74" t="s">
        <v>154</v>
      </c>
      <c r="F20" s="206" t="s">
        <v>188</v>
      </c>
      <c r="G20" s="207"/>
      <c r="H20" s="74">
        <v>4</v>
      </c>
      <c r="I20" s="74" t="s">
        <v>156</v>
      </c>
      <c r="J20" s="74">
        <f t="shared" si="0"/>
        <v>3</v>
      </c>
      <c r="K20" s="206"/>
      <c r="L20" s="207"/>
      <c r="M20" s="206"/>
      <c r="N20" s="207"/>
      <c r="O20" s="206">
        <v>3</v>
      </c>
      <c r="P20" s="207"/>
      <c r="Q20" s="206"/>
      <c r="R20" s="207"/>
      <c r="S20" s="206"/>
      <c r="T20" s="207"/>
      <c r="U20" s="206"/>
      <c r="V20" s="207"/>
      <c r="W20" s="74">
        <f t="shared" si="1"/>
        <v>3</v>
      </c>
      <c r="X20" s="212">
        <f>SUM(W20:W21)</f>
        <v>6</v>
      </c>
      <c r="Y20" s="215">
        <v>12</v>
      </c>
      <c r="Z20" s="1"/>
    </row>
    <row r="21" spans="1:26" ht="14">
      <c r="A21" s="1"/>
      <c r="B21" s="218"/>
      <c r="C21" s="219"/>
      <c r="D21" s="209"/>
      <c r="E21" s="74" t="s">
        <v>154</v>
      </c>
      <c r="F21" s="206" t="s">
        <v>219</v>
      </c>
      <c r="G21" s="207"/>
      <c r="H21" s="74">
        <v>4</v>
      </c>
      <c r="I21" s="74" t="s">
        <v>156</v>
      </c>
      <c r="J21" s="74">
        <f t="shared" si="0"/>
        <v>3</v>
      </c>
      <c r="K21" s="206"/>
      <c r="L21" s="207"/>
      <c r="M21" s="206"/>
      <c r="N21" s="207"/>
      <c r="O21" s="206"/>
      <c r="P21" s="207"/>
      <c r="Q21" s="206">
        <v>3</v>
      </c>
      <c r="R21" s="207"/>
      <c r="S21" s="206"/>
      <c r="T21" s="207"/>
      <c r="U21" s="206"/>
      <c r="V21" s="207"/>
      <c r="W21" s="74">
        <f t="shared" si="1"/>
        <v>3</v>
      </c>
      <c r="X21" s="209"/>
      <c r="Y21" s="213"/>
      <c r="Z21" s="1"/>
    </row>
    <row r="22" spans="1:26" ht="14">
      <c r="A22" s="1"/>
      <c r="B22" s="218"/>
      <c r="C22" s="219"/>
      <c r="D22" s="212" t="s">
        <v>220</v>
      </c>
      <c r="E22" s="74" t="s">
        <v>154</v>
      </c>
      <c r="F22" s="206" t="s">
        <v>221</v>
      </c>
      <c r="G22" s="207"/>
      <c r="H22" s="74">
        <v>4</v>
      </c>
      <c r="I22" s="74" t="s">
        <v>156</v>
      </c>
      <c r="J22" s="74">
        <f t="shared" si="0"/>
        <v>3</v>
      </c>
      <c r="K22" s="206">
        <v>3</v>
      </c>
      <c r="L22" s="207"/>
      <c r="M22" s="206"/>
      <c r="N22" s="207"/>
      <c r="O22" s="206"/>
      <c r="P22" s="207"/>
      <c r="Q22" s="206"/>
      <c r="R22" s="207"/>
      <c r="S22" s="206"/>
      <c r="T22" s="207"/>
      <c r="U22" s="206"/>
      <c r="V22" s="207"/>
      <c r="W22" s="74">
        <f t="shared" si="1"/>
        <v>3</v>
      </c>
      <c r="X22" s="212">
        <f>SUM(W22:W23)</f>
        <v>6</v>
      </c>
      <c r="Y22" s="213"/>
      <c r="Z22" s="1"/>
    </row>
    <row r="23" spans="1:26" ht="14">
      <c r="A23" s="1"/>
      <c r="B23" s="218"/>
      <c r="C23" s="219"/>
      <c r="D23" s="209"/>
      <c r="E23" s="74" t="s">
        <v>154</v>
      </c>
      <c r="F23" s="206" t="s">
        <v>222</v>
      </c>
      <c r="G23" s="207"/>
      <c r="H23" s="74">
        <v>4</v>
      </c>
      <c r="I23" s="74" t="s">
        <v>156</v>
      </c>
      <c r="J23" s="74">
        <f t="shared" si="0"/>
        <v>3</v>
      </c>
      <c r="K23" s="206"/>
      <c r="L23" s="207"/>
      <c r="M23" s="206">
        <v>3</v>
      </c>
      <c r="N23" s="207"/>
      <c r="O23" s="206"/>
      <c r="P23" s="207"/>
      <c r="Q23" s="206"/>
      <c r="R23" s="207"/>
      <c r="S23" s="206"/>
      <c r="T23" s="207"/>
      <c r="U23" s="206"/>
      <c r="V23" s="207"/>
      <c r="W23" s="74">
        <f t="shared" si="1"/>
        <v>3</v>
      </c>
      <c r="X23" s="209"/>
      <c r="Y23" s="209"/>
      <c r="Z23" s="1"/>
    </row>
    <row r="24" spans="1:26" ht="14">
      <c r="A24" s="1"/>
      <c r="B24" s="218"/>
      <c r="C24" s="219"/>
      <c r="D24" s="212" t="s">
        <v>223</v>
      </c>
      <c r="E24" s="74" t="s">
        <v>224</v>
      </c>
      <c r="F24" s="206" t="s">
        <v>225</v>
      </c>
      <c r="G24" s="207"/>
      <c r="H24" s="74">
        <v>3</v>
      </c>
      <c r="I24" s="74" t="s">
        <v>226</v>
      </c>
      <c r="J24" s="74">
        <f t="shared" si="0"/>
        <v>2</v>
      </c>
      <c r="K24" s="206">
        <v>2</v>
      </c>
      <c r="L24" s="207"/>
      <c r="M24" s="206"/>
      <c r="N24" s="207"/>
      <c r="O24" s="206"/>
      <c r="P24" s="207"/>
      <c r="Q24" s="206"/>
      <c r="R24" s="207"/>
      <c r="S24" s="206"/>
      <c r="T24" s="207"/>
      <c r="U24" s="206"/>
      <c r="V24" s="207"/>
      <c r="W24" s="74">
        <f t="shared" si="1"/>
        <v>2</v>
      </c>
      <c r="X24" s="212">
        <f>SUM(W24:W28)</f>
        <v>9</v>
      </c>
      <c r="Y24" s="215">
        <v>8</v>
      </c>
      <c r="Z24" s="1"/>
    </row>
    <row r="25" spans="1:26" ht="14">
      <c r="A25" s="1"/>
      <c r="B25" s="218"/>
      <c r="C25" s="219"/>
      <c r="D25" s="213"/>
      <c r="E25" s="74" t="s">
        <v>224</v>
      </c>
      <c r="F25" s="206" t="s">
        <v>227</v>
      </c>
      <c r="G25" s="207"/>
      <c r="H25" s="74">
        <v>3</v>
      </c>
      <c r="I25" s="74" t="s">
        <v>226</v>
      </c>
      <c r="J25" s="74">
        <f t="shared" si="0"/>
        <v>2</v>
      </c>
      <c r="K25" s="206"/>
      <c r="L25" s="207"/>
      <c r="M25" s="206">
        <v>2</v>
      </c>
      <c r="N25" s="207"/>
      <c r="O25" s="206"/>
      <c r="P25" s="207"/>
      <c r="Q25" s="206"/>
      <c r="R25" s="207"/>
      <c r="S25" s="206"/>
      <c r="T25" s="207"/>
      <c r="U25" s="206"/>
      <c r="V25" s="207"/>
      <c r="W25" s="74">
        <f t="shared" si="1"/>
        <v>2</v>
      </c>
      <c r="X25" s="213"/>
      <c r="Y25" s="213"/>
      <c r="Z25" s="1"/>
    </row>
    <row r="26" spans="1:26" ht="14">
      <c r="A26" s="1"/>
      <c r="B26" s="218"/>
      <c r="C26" s="219"/>
      <c r="D26" s="213"/>
      <c r="E26" s="74" t="s">
        <v>228</v>
      </c>
      <c r="F26" s="206" t="s">
        <v>229</v>
      </c>
      <c r="G26" s="207"/>
      <c r="H26" s="74">
        <v>3</v>
      </c>
      <c r="I26" s="74" t="s">
        <v>226</v>
      </c>
      <c r="J26" s="74">
        <f t="shared" si="0"/>
        <v>2</v>
      </c>
      <c r="K26" s="206"/>
      <c r="L26" s="207"/>
      <c r="M26" s="206"/>
      <c r="N26" s="207"/>
      <c r="O26" s="206">
        <v>2</v>
      </c>
      <c r="P26" s="207"/>
      <c r="Q26" s="206"/>
      <c r="R26" s="207"/>
      <c r="S26" s="206"/>
      <c r="T26" s="207"/>
      <c r="U26" s="206"/>
      <c r="V26" s="207"/>
      <c r="W26" s="74">
        <f t="shared" si="1"/>
        <v>2</v>
      </c>
      <c r="X26" s="213"/>
      <c r="Y26" s="213"/>
      <c r="Z26" s="1"/>
    </row>
    <row r="27" spans="1:26" ht="14">
      <c r="A27" s="1"/>
      <c r="B27" s="218"/>
      <c r="C27" s="219"/>
      <c r="D27" s="213"/>
      <c r="E27" s="74" t="s">
        <v>228</v>
      </c>
      <c r="F27" s="206" t="s">
        <v>230</v>
      </c>
      <c r="G27" s="207"/>
      <c r="H27" s="74">
        <v>3</v>
      </c>
      <c r="I27" s="74" t="s">
        <v>226</v>
      </c>
      <c r="J27" s="74">
        <f t="shared" si="0"/>
        <v>2</v>
      </c>
      <c r="K27" s="206"/>
      <c r="L27" s="207"/>
      <c r="M27" s="206"/>
      <c r="N27" s="207"/>
      <c r="O27" s="206"/>
      <c r="P27" s="207"/>
      <c r="Q27" s="206">
        <v>2</v>
      </c>
      <c r="R27" s="207"/>
      <c r="S27" s="206"/>
      <c r="T27" s="207"/>
      <c r="U27" s="206"/>
      <c r="V27" s="207"/>
      <c r="W27" s="74">
        <f t="shared" si="1"/>
        <v>2</v>
      </c>
      <c r="X27" s="213"/>
      <c r="Y27" s="213"/>
      <c r="Z27" s="1"/>
    </row>
    <row r="28" spans="1:26" ht="14">
      <c r="A28" s="1"/>
      <c r="B28" s="218"/>
      <c r="C28" s="219"/>
      <c r="D28" s="209"/>
      <c r="E28" s="74" t="s">
        <v>165</v>
      </c>
      <c r="F28" s="206" t="s">
        <v>231</v>
      </c>
      <c r="G28" s="207"/>
      <c r="H28" s="74">
        <v>2</v>
      </c>
      <c r="I28" s="74" t="s">
        <v>232</v>
      </c>
      <c r="J28" s="74">
        <f t="shared" si="0"/>
        <v>1</v>
      </c>
      <c r="K28" s="206"/>
      <c r="L28" s="207"/>
      <c r="M28" s="206"/>
      <c r="N28" s="207"/>
      <c r="O28" s="206"/>
      <c r="P28" s="207"/>
      <c r="Q28" s="206"/>
      <c r="R28" s="207"/>
      <c r="S28" s="206">
        <v>1</v>
      </c>
      <c r="T28" s="207"/>
      <c r="U28" s="206"/>
      <c r="V28" s="207"/>
      <c r="W28" s="74">
        <f t="shared" si="1"/>
        <v>1</v>
      </c>
      <c r="X28" s="209"/>
      <c r="Y28" s="209"/>
      <c r="Z28" s="1"/>
    </row>
    <row r="29" spans="1:26" ht="14">
      <c r="A29" s="1"/>
      <c r="B29" s="218"/>
      <c r="C29" s="219"/>
      <c r="D29" s="212" t="s">
        <v>233</v>
      </c>
      <c r="E29" s="74" t="s">
        <v>224</v>
      </c>
      <c r="F29" s="206" t="s">
        <v>234</v>
      </c>
      <c r="G29" s="207"/>
      <c r="H29" s="74">
        <v>3</v>
      </c>
      <c r="I29" s="74" t="s">
        <v>226</v>
      </c>
      <c r="J29" s="74">
        <f t="shared" si="0"/>
        <v>3</v>
      </c>
      <c r="K29" s="206">
        <v>3</v>
      </c>
      <c r="L29" s="207"/>
      <c r="M29" s="206"/>
      <c r="N29" s="207"/>
      <c r="O29" s="206"/>
      <c r="P29" s="207"/>
      <c r="Q29" s="206"/>
      <c r="R29" s="207"/>
      <c r="S29" s="270"/>
      <c r="T29" s="207"/>
      <c r="U29" s="270"/>
      <c r="V29" s="207"/>
      <c r="W29" s="216">
        <f>SUM(J29:J32)</f>
        <v>10</v>
      </c>
      <c r="X29" s="217"/>
      <c r="Y29" s="215">
        <v>6</v>
      </c>
      <c r="Z29" s="1"/>
    </row>
    <row r="30" spans="1:26" ht="14">
      <c r="A30" s="1"/>
      <c r="B30" s="218"/>
      <c r="C30" s="219"/>
      <c r="D30" s="213"/>
      <c r="E30" s="74" t="s">
        <v>165</v>
      </c>
      <c r="F30" s="206" t="s">
        <v>235</v>
      </c>
      <c r="G30" s="207"/>
      <c r="H30" s="74">
        <v>3</v>
      </c>
      <c r="I30" s="74" t="s">
        <v>226</v>
      </c>
      <c r="J30" s="74">
        <f t="shared" si="0"/>
        <v>2</v>
      </c>
      <c r="K30" s="206"/>
      <c r="L30" s="207"/>
      <c r="M30" s="206"/>
      <c r="N30" s="207"/>
      <c r="O30" s="206">
        <v>2</v>
      </c>
      <c r="P30" s="207"/>
      <c r="Q30" s="206"/>
      <c r="R30" s="207"/>
      <c r="S30" s="206"/>
      <c r="T30" s="207"/>
      <c r="U30" s="206"/>
      <c r="V30" s="207"/>
      <c r="W30" s="218"/>
      <c r="X30" s="219"/>
      <c r="Y30" s="213"/>
      <c r="Z30" s="1"/>
    </row>
    <row r="31" spans="1:26" ht="14">
      <c r="A31" s="1"/>
      <c r="B31" s="218"/>
      <c r="C31" s="219"/>
      <c r="D31" s="213"/>
      <c r="E31" s="74" t="s">
        <v>224</v>
      </c>
      <c r="F31" s="206" t="s">
        <v>236</v>
      </c>
      <c r="G31" s="207"/>
      <c r="H31" s="74">
        <v>3</v>
      </c>
      <c r="I31" s="74" t="s">
        <v>226</v>
      </c>
      <c r="J31" s="74">
        <f t="shared" si="0"/>
        <v>3</v>
      </c>
      <c r="K31" s="206"/>
      <c r="L31" s="207"/>
      <c r="M31" s="206">
        <v>3</v>
      </c>
      <c r="N31" s="207"/>
      <c r="O31" s="206"/>
      <c r="P31" s="207"/>
      <c r="Q31" s="206"/>
      <c r="R31" s="207"/>
      <c r="S31" s="206"/>
      <c r="T31" s="207"/>
      <c r="U31" s="206"/>
      <c r="V31" s="207"/>
      <c r="W31" s="218"/>
      <c r="X31" s="219"/>
      <c r="Y31" s="213"/>
      <c r="Z31" s="1"/>
    </row>
    <row r="32" spans="1:26" ht="14">
      <c r="A32" s="1"/>
      <c r="B32" s="218"/>
      <c r="C32" s="219"/>
      <c r="D32" s="209"/>
      <c r="E32" s="74" t="s">
        <v>165</v>
      </c>
      <c r="F32" s="206" t="s">
        <v>237</v>
      </c>
      <c r="G32" s="207"/>
      <c r="H32" s="74">
        <v>3</v>
      </c>
      <c r="I32" s="74" t="s">
        <v>226</v>
      </c>
      <c r="J32" s="74">
        <f t="shared" si="0"/>
        <v>2</v>
      </c>
      <c r="K32" s="206"/>
      <c r="L32" s="207"/>
      <c r="M32" s="206"/>
      <c r="N32" s="207"/>
      <c r="O32" s="206"/>
      <c r="P32" s="207"/>
      <c r="Q32" s="206">
        <v>2</v>
      </c>
      <c r="R32" s="207"/>
      <c r="S32" s="270"/>
      <c r="T32" s="207"/>
      <c r="U32" s="270"/>
      <c r="V32" s="207"/>
      <c r="W32" s="220"/>
      <c r="X32" s="221"/>
      <c r="Y32" s="209"/>
      <c r="Z32" s="1"/>
    </row>
    <row r="33" spans="1:26" ht="14">
      <c r="A33" s="1"/>
      <c r="B33" s="218"/>
      <c r="C33" s="219"/>
      <c r="D33" s="228" t="s">
        <v>238</v>
      </c>
      <c r="E33" s="74" t="s">
        <v>224</v>
      </c>
      <c r="F33" s="206" t="s">
        <v>239</v>
      </c>
      <c r="G33" s="207"/>
      <c r="H33" s="74">
        <v>3</v>
      </c>
      <c r="I33" s="74" t="s">
        <v>226</v>
      </c>
      <c r="J33" s="74">
        <f t="shared" si="0"/>
        <v>2</v>
      </c>
      <c r="K33" s="206">
        <v>2</v>
      </c>
      <c r="L33" s="207"/>
      <c r="M33" s="206"/>
      <c r="N33" s="207"/>
      <c r="O33" s="270"/>
      <c r="P33" s="207"/>
      <c r="Q33" s="270"/>
      <c r="R33" s="207"/>
      <c r="S33" s="270"/>
      <c r="T33" s="207"/>
      <c r="U33" s="270"/>
      <c r="V33" s="207"/>
      <c r="W33" s="216">
        <f>SUM(J33:J35)</f>
        <v>8</v>
      </c>
      <c r="X33" s="217"/>
      <c r="Y33" s="215">
        <v>8</v>
      </c>
      <c r="Z33" s="1"/>
    </row>
    <row r="34" spans="1:26" ht="14">
      <c r="A34" s="1"/>
      <c r="B34" s="218"/>
      <c r="C34" s="219"/>
      <c r="D34" s="213"/>
      <c r="E34" s="74" t="s">
        <v>224</v>
      </c>
      <c r="F34" s="206" t="s">
        <v>240</v>
      </c>
      <c r="G34" s="207"/>
      <c r="H34" s="74">
        <v>4</v>
      </c>
      <c r="I34" s="74" t="s">
        <v>167</v>
      </c>
      <c r="J34" s="74">
        <f t="shared" si="0"/>
        <v>3</v>
      </c>
      <c r="K34" s="206">
        <v>3</v>
      </c>
      <c r="L34" s="207"/>
      <c r="M34" s="206"/>
      <c r="N34" s="207"/>
      <c r="O34" s="270"/>
      <c r="P34" s="207"/>
      <c r="Q34" s="270"/>
      <c r="R34" s="207"/>
      <c r="S34" s="270"/>
      <c r="T34" s="207"/>
      <c r="U34" s="270"/>
      <c r="V34" s="207"/>
      <c r="W34" s="218"/>
      <c r="X34" s="219"/>
      <c r="Y34" s="213"/>
      <c r="Z34" s="1"/>
    </row>
    <row r="35" spans="1:26" ht="14">
      <c r="A35" s="1"/>
      <c r="B35" s="220"/>
      <c r="C35" s="221"/>
      <c r="D35" s="209"/>
      <c r="E35" s="74" t="s">
        <v>224</v>
      </c>
      <c r="F35" s="206" t="s">
        <v>241</v>
      </c>
      <c r="G35" s="207"/>
      <c r="H35" s="74">
        <v>4</v>
      </c>
      <c r="I35" s="74" t="s">
        <v>167</v>
      </c>
      <c r="J35" s="74">
        <f t="shared" si="0"/>
        <v>3</v>
      </c>
      <c r="K35" s="206"/>
      <c r="L35" s="207"/>
      <c r="M35" s="206">
        <v>3</v>
      </c>
      <c r="N35" s="207"/>
      <c r="O35" s="270"/>
      <c r="P35" s="207"/>
      <c r="Q35" s="270"/>
      <c r="R35" s="207"/>
      <c r="S35" s="270"/>
      <c r="T35" s="207"/>
      <c r="U35" s="270"/>
      <c r="V35" s="207"/>
      <c r="W35" s="220"/>
      <c r="X35" s="221"/>
      <c r="Y35" s="209"/>
      <c r="Z35" s="1"/>
    </row>
    <row r="36" spans="1:26" ht="14">
      <c r="A36" s="1"/>
      <c r="B36" s="223" t="s">
        <v>242</v>
      </c>
      <c r="C36" s="211"/>
      <c r="D36" s="211"/>
      <c r="E36" s="211"/>
      <c r="F36" s="211"/>
      <c r="G36" s="207"/>
      <c r="H36" s="104"/>
      <c r="I36" s="105"/>
      <c r="J36" s="104">
        <f t="shared" ref="J36:K36" si="2">SUM(J9:J35)</f>
        <v>72</v>
      </c>
      <c r="K36" s="223">
        <f t="shared" si="2"/>
        <v>25</v>
      </c>
      <c r="L36" s="207"/>
      <c r="M36" s="223">
        <f>SUM(M9:M35)</f>
        <v>23</v>
      </c>
      <c r="N36" s="207"/>
      <c r="O36" s="223">
        <f>SUM(O9:O35)</f>
        <v>13</v>
      </c>
      <c r="P36" s="207"/>
      <c r="Q36" s="223">
        <f>SUM(Q9:Q35)</f>
        <v>10</v>
      </c>
      <c r="R36" s="207"/>
      <c r="S36" s="223">
        <f>SUM(S9:S35)</f>
        <v>1</v>
      </c>
      <c r="T36" s="207"/>
      <c r="U36" s="223">
        <f>SUM(U9:U35)</f>
        <v>0</v>
      </c>
      <c r="V36" s="207"/>
      <c r="W36" s="223">
        <f>SUM(W9:W35)</f>
        <v>72</v>
      </c>
      <c r="X36" s="207"/>
      <c r="Y36" s="106">
        <v>64</v>
      </c>
      <c r="Z36" s="1"/>
    </row>
    <row r="37" spans="1:26" ht="14">
      <c r="A37" s="1"/>
      <c r="B37" s="224" t="s">
        <v>247</v>
      </c>
      <c r="C37" s="217"/>
      <c r="D37" s="107"/>
      <c r="E37" s="74" t="s">
        <v>250</v>
      </c>
      <c r="F37" s="206"/>
      <c r="G37" s="207"/>
      <c r="H37" s="108"/>
      <c r="I37" s="109" t="s">
        <v>252</v>
      </c>
      <c r="J37" s="74">
        <f t="shared" ref="J37:J66" si="3">SUM(K37:V37)</f>
        <v>0</v>
      </c>
      <c r="K37" s="240"/>
      <c r="L37" s="207"/>
      <c r="M37" s="240"/>
      <c r="N37" s="207"/>
      <c r="O37" s="240"/>
      <c r="P37" s="207"/>
      <c r="Q37" s="240"/>
      <c r="R37" s="207"/>
      <c r="S37" s="240"/>
      <c r="T37" s="207"/>
      <c r="U37" s="240"/>
      <c r="V37" s="207"/>
      <c r="W37" s="216">
        <f>SUM(J37:J41)+(SUM(J42:J66)/3)</f>
        <v>58.666666666666664</v>
      </c>
      <c r="X37" s="217"/>
      <c r="Y37" s="215">
        <v>80</v>
      </c>
      <c r="Z37" s="1"/>
    </row>
    <row r="38" spans="1:26" ht="14">
      <c r="A38" s="1"/>
      <c r="B38" s="218"/>
      <c r="C38" s="219"/>
      <c r="D38" s="107" t="s">
        <v>113</v>
      </c>
      <c r="E38" s="74" t="s">
        <v>253</v>
      </c>
      <c r="F38" s="206"/>
      <c r="G38" s="207"/>
      <c r="H38" s="108"/>
      <c r="I38" s="109" t="s">
        <v>252</v>
      </c>
      <c r="J38" s="74">
        <f t="shared" si="3"/>
        <v>0</v>
      </c>
      <c r="K38" s="240"/>
      <c r="L38" s="207"/>
      <c r="M38" s="240"/>
      <c r="N38" s="207"/>
      <c r="O38" s="240"/>
      <c r="P38" s="207"/>
      <c r="Q38" s="240"/>
      <c r="R38" s="207"/>
      <c r="S38" s="240"/>
      <c r="T38" s="207"/>
      <c r="U38" s="240"/>
      <c r="V38" s="207"/>
      <c r="W38" s="218"/>
      <c r="X38" s="219"/>
      <c r="Y38" s="213"/>
      <c r="Z38" s="1"/>
    </row>
    <row r="39" spans="1:26" ht="14">
      <c r="A39" s="1"/>
      <c r="B39" s="218"/>
      <c r="C39" s="219"/>
      <c r="D39" s="107" t="s">
        <v>255</v>
      </c>
      <c r="E39" s="74" t="s">
        <v>253</v>
      </c>
      <c r="F39" s="280" t="s">
        <v>256</v>
      </c>
      <c r="G39" s="207"/>
      <c r="H39" s="108"/>
      <c r="I39" s="109" t="s">
        <v>252</v>
      </c>
      <c r="J39" s="74">
        <f t="shared" si="3"/>
        <v>2</v>
      </c>
      <c r="K39" s="281"/>
      <c r="L39" s="207"/>
      <c r="M39" s="281"/>
      <c r="N39" s="207"/>
      <c r="O39" s="281">
        <v>2</v>
      </c>
      <c r="P39" s="207"/>
      <c r="Q39" s="281"/>
      <c r="R39" s="207"/>
      <c r="S39" s="281"/>
      <c r="T39" s="207"/>
      <c r="U39" s="281"/>
      <c r="V39" s="207"/>
      <c r="W39" s="218"/>
      <c r="X39" s="219"/>
      <c r="Y39" s="213"/>
      <c r="Z39" s="1"/>
    </row>
    <row r="40" spans="1:26" ht="14">
      <c r="A40" s="1"/>
      <c r="B40" s="218"/>
      <c r="C40" s="219"/>
      <c r="D40" s="107" t="s">
        <v>255</v>
      </c>
      <c r="E40" s="74" t="s">
        <v>253</v>
      </c>
      <c r="F40" s="280" t="s">
        <v>258</v>
      </c>
      <c r="G40" s="207"/>
      <c r="H40" s="108"/>
      <c r="I40" s="109" t="s">
        <v>252</v>
      </c>
      <c r="J40" s="74">
        <f t="shared" si="3"/>
        <v>2</v>
      </c>
      <c r="K40" s="281"/>
      <c r="L40" s="207"/>
      <c r="M40" s="281"/>
      <c r="N40" s="207"/>
      <c r="O40" s="281">
        <v>2</v>
      </c>
      <c r="P40" s="207"/>
      <c r="Q40" s="281"/>
      <c r="R40" s="207"/>
      <c r="S40" s="281"/>
      <c r="T40" s="207"/>
      <c r="U40" s="281"/>
      <c r="V40" s="207"/>
      <c r="W40" s="218"/>
      <c r="X40" s="219"/>
      <c r="Y40" s="213"/>
      <c r="Z40" s="1"/>
    </row>
    <row r="41" spans="1:26" ht="14">
      <c r="A41" s="1"/>
      <c r="B41" s="218"/>
      <c r="C41" s="219"/>
      <c r="D41" s="107" t="s">
        <v>255</v>
      </c>
      <c r="E41" s="74" t="s">
        <v>260</v>
      </c>
      <c r="F41" s="280" t="s">
        <v>409</v>
      </c>
      <c r="G41" s="207"/>
      <c r="H41" s="115"/>
      <c r="I41" s="109" t="s">
        <v>252</v>
      </c>
      <c r="J41" s="74">
        <f t="shared" si="3"/>
        <v>8</v>
      </c>
      <c r="K41" s="281">
        <v>4</v>
      </c>
      <c r="L41" s="207"/>
      <c r="M41" s="281">
        <v>4</v>
      </c>
      <c r="N41" s="207"/>
      <c r="O41" s="281"/>
      <c r="P41" s="207"/>
      <c r="Q41" s="281"/>
      <c r="R41" s="207"/>
      <c r="S41" s="281"/>
      <c r="T41" s="207"/>
      <c r="U41" s="281"/>
      <c r="V41" s="207"/>
      <c r="W41" s="218"/>
      <c r="X41" s="219"/>
      <c r="Y41" s="213"/>
      <c r="Z41" s="1"/>
    </row>
    <row r="42" spans="1:26" ht="14">
      <c r="A42" s="1"/>
      <c r="B42" s="218"/>
      <c r="C42" s="219"/>
      <c r="D42" s="107" t="s">
        <v>255</v>
      </c>
      <c r="E42" s="74" t="s">
        <v>253</v>
      </c>
      <c r="F42" s="117" t="s">
        <v>410</v>
      </c>
      <c r="G42" s="276" t="s">
        <v>411</v>
      </c>
      <c r="H42" s="108"/>
      <c r="I42" s="109" t="s">
        <v>252</v>
      </c>
      <c r="J42" s="74">
        <f t="shared" si="3"/>
        <v>2</v>
      </c>
      <c r="K42" s="274"/>
      <c r="L42" s="207"/>
      <c r="M42" s="274"/>
      <c r="N42" s="207"/>
      <c r="O42" s="229">
        <v>2</v>
      </c>
      <c r="P42" s="207"/>
      <c r="Q42" s="229"/>
      <c r="R42" s="207"/>
      <c r="S42" s="229"/>
      <c r="T42" s="207"/>
      <c r="U42" s="229"/>
      <c r="V42" s="207"/>
      <c r="W42" s="218"/>
      <c r="X42" s="219"/>
      <c r="Y42" s="213"/>
      <c r="Z42" s="1"/>
    </row>
    <row r="43" spans="1:26" ht="14">
      <c r="A43" s="1"/>
      <c r="B43" s="218"/>
      <c r="C43" s="219"/>
      <c r="D43" s="107" t="s">
        <v>255</v>
      </c>
      <c r="E43" s="74" t="s">
        <v>253</v>
      </c>
      <c r="F43" s="117" t="s">
        <v>263</v>
      </c>
      <c r="G43" s="213"/>
      <c r="H43" s="108"/>
      <c r="I43" s="109" t="s">
        <v>252</v>
      </c>
      <c r="J43" s="74">
        <f t="shared" si="3"/>
        <v>6</v>
      </c>
      <c r="K43" s="274"/>
      <c r="L43" s="207"/>
      <c r="M43" s="274"/>
      <c r="N43" s="207"/>
      <c r="O43" s="229"/>
      <c r="P43" s="207"/>
      <c r="Q43" s="229">
        <v>6</v>
      </c>
      <c r="R43" s="207"/>
      <c r="S43" s="229"/>
      <c r="T43" s="207"/>
      <c r="U43" s="229"/>
      <c r="V43" s="207"/>
      <c r="W43" s="218"/>
      <c r="X43" s="219"/>
      <c r="Y43" s="213"/>
      <c r="Z43" s="1"/>
    </row>
    <row r="44" spans="1:26" ht="14">
      <c r="A44" s="1"/>
      <c r="B44" s="218"/>
      <c r="C44" s="219"/>
      <c r="D44" s="107"/>
      <c r="E44" s="74" t="s">
        <v>260</v>
      </c>
      <c r="F44" s="117" t="s">
        <v>412</v>
      </c>
      <c r="G44" s="213"/>
      <c r="H44" s="108"/>
      <c r="I44" s="109" t="s">
        <v>252</v>
      </c>
      <c r="J44" s="74">
        <f t="shared" si="3"/>
        <v>19</v>
      </c>
      <c r="K44" s="274"/>
      <c r="L44" s="207"/>
      <c r="M44" s="274"/>
      <c r="N44" s="207"/>
      <c r="O44" s="229"/>
      <c r="P44" s="207"/>
      <c r="Q44" s="229"/>
      <c r="R44" s="207"/>
      <c r="S44" s="229">
        <v>6</v>
      </c>
      <c r="T44" s="207"/>
      <c r="U44" s="229">
        <v>13</v>
      </c>
      <c r="V44" s="207"/>
      <c r="W44" s="218"/>
      <c r="X44" s="219"/>
      <c r="Y44" s="213"/>
      <c r="Z44" s="1"/>
    </row>
    <row r="45" spans="1:26" ht="14">
      <c r="A45" s="1"/>
      <c r="B45" s="218"/>
      <c r="C45" s="219"/>
      <c r="D45" s="107" t="s">
        <v>113</v>
      </c>
      <c r="E45" s="74" t="s">
        <v>260</v>
      </c>
      <c r="F45" s="126"/>
      <c r="G45" s="213"/>
      <c r="H45" s="108"/>
      <c r="I45" s="109" t="s">
        <v>252</v>
      </c>
      <c r="J45" s="74">
        <f t="shared" si="3"/>
        <v>0</v>
      </c>
      <c r="K45" s="270"/>
      <c r="L45" s="207"/>
      <c r="M45" s="270"/>
      <c r="N45" s="207"/>
      <c r="O45" s="206"/>
      <c r="P45" s="207"/>
      <c r="Q45" s="206"/>
      <c r="R45" s="207"/>
      <c r="S45" s="206"/>
      <c r="T45" s="207"/>
      <c r="U45" s="206"/>
      <c r="V45" s="207"/>
      <c r="W45" s="218"/>
      <c r="X45" s="219"/>
      <c r="Y45" s="213"/>
      <c r="Z45" s="1"/>
    </row>
    <row r="46" spans="1:26" ht="14">
      <c r="A46" s="1"/>
      <c r="B46" s="218"/>
      <c r="C46" s="219"/>
      <c r="D46" s="107" t="s">
        <v>113</v>
      </c>
      <c r="E46" s="74" t="s">
        <v>260</v>
      </c>
      <c r="F46" s="126"/>
      <c r="G46" s="213"/>
      <c r="H46" s="108"/>
      <c r="I46" s="109" t="s">
        <v>252</v>
      </c>
      <c r="J46" s="74">
        <f t="shared" si="3"/>
        <v>0</v>
      </c>
      <c r="K46" s="270"/>
      <c r="L46" s="207"/>
      <c r="M46" s="270"/>
      <c r="N46" s="207"/>
      <c r="O46" s="206"/>
      <c r="P46" s="207"/>
      <c r="Q46" s="206"/>
      <c r="R46" s="207"/>
      <c r="S46" s="206"/>
      <c r="T46" s="207"/>
      <c r="U46" s="206"/>
      <c r="V46" s="207"/>
      <c r="W46" s="218"/>
      <c r="X46" s="219"/>
      <c r="Y46" s="213"/>
      <c r="Z46" s="1"/>
    </row>
    <row r="47" spans="1:26" ht="14">
      <c r="A47" s="1"/>
      <c r="B47" s="218"/>
      <c r="C47" s="219"/>
      <c r="D47" s="107" t="s">
        <v>113</v>
      </c>
      <c r="E47" s="74" t="s">
        <v>260</v>
      </c>
      <c r="F47" s="126"/>
      <c r="G47" s="213"/>
      <c r="H47" s="108"/>
      <c r="I47" s="109" t="s">
        <v>252</v>
      </c>
      <c r="J47" s="74">
        <f t="shared" si="3"/>
        <v>0</v>
      </c>
      <c r="K47" s="270"/>
      <c r="L47" s="207"/>
      <c r="M47" s="270"/>
      <c r="N47" s="207"/>
      <c r="O47" s="206"/>
      <c r="P47" s="207"/>
      <c r="Q47" s="206"/>
      <c r="R47" s="207"/>
      <c r="S47" s="206"/>
      <c r="T47" s="207"/>
      <c r="U47" s="206"/>
      <c r="V47" s="207"/>
      <c r="W47" s="218"/>
      <c r="X47" s="219"/>
      <c r="Y47" s="213"/>
      <c r="Z47" s="1"/>
    </row>
    <row r="48" spans="1:26" ht="14">
      <c r="A48" s="1"/>
      <c r="B48" s="218"/>
      <c r="C48" s="219"/>
      <c r="D48" s="107" t="s">
        <v>413</v>
      </c>
      <c r="E48" s="74" t="s">
        <v>260</v>
      </c>
      <c r="F48" s="126"/>
      <c r="G48" s="213"/>
      <c r="H48" s="108"/>
      <c r="I48" s="109" t="s">
        <v>252</v>
      </c>
      <c r="J48" s="74">
        <f t="shared" si="3"/>
        <v>0</v>
      </c>
      <c r="K48" s="270"/>
      <c r="L48" s="207"/>
      <c r="M48" s="270"/>
      <c r="N48" s="207"/>
      <c r="O48" s="206"/>
      <c r="P48" s="207"/>
      <c r="Q48" s="206"/>
      <c r="R48" s="207"/>
      <c r="S48" s="206"/>
      <c r="T48" s="207"/>
      <c r="U48" s="206"/>
      <c r="V48" s="207"/>
      <c r="W48" s="218"/>
      <c r="X48" s="219"/>
      <c r="Y48" s="213"/>
      <c r="Z48" s="1"/>
    </row>
    <row r="49" spans="1:26" ht="14">
      <c r="A49" s="1"/>
      <c r="B49" s="218"/>
      <c r="C49" s="219"/>
      <c r="D49" s="107" t="s">
        <v>113</v>
      </c>
      <c r="E49" s="74" t="s">
        <v>260</v>
      </c>
      <c r="F49" s="126"/>
      <c r="G49" s="213"/>
      <c r="H49" s="108"/>
      <c r="I49" s="109" t="s">
        <v>252</v>
      </c>
      <c r="J49" s="74">
        <f t="shared" si="3"/>
        <v>0</v>
      </c>
      <c r="K49" s="270"/>
      <c r="L49" s="207"/>
      <c r="M49" s="270"/>
      <c r="N49" s="207"/>
      <c r="O49" s="206"/>
      <c r="P49" s="207"/>
      <c r="Q49" s="206"/>
      <c r="R49" s="207"/>
      <c r="S49" s="206"/>
      <c r="T49" s="207"/>
      <c r="U49" s="206"/>
      <c r="V49" s="207"/>
      <c r="W49" s="218"/>
      <c r="X49" s="219"/>
      <c r="Y49" s="213"/>
      <c r="Z49" s="1"/>
    </row>
    <row r="50" spans="1:26" ht="14">
      <c r="A50" s="1"/>
      <c r="B50" s="218"/>
      <c r="C50" s="219"/>
      <c r="D50" s="107" t="s">
        <v>113</v>
      </c>
      <c r="E50" s="74" t="s">
        <v>260</v>
      </c>
      <c r="F50" s="126"/>
      <c r="G50" s="209"/>
      <c r="H50" s="108"/>
      <c r="I50" s="109" t="s">
        <v>252</v>
      </c>
      <c r="J50" s="74">
        <f t="shared" si="3"/>
        <v>0</v>
      </c>
      <c r="K50" s="270"/>
      <c r="L50" s="207"/>
      <c r="M50" s="270"/>
      <c r="N50" s="207"/>
      <c r="O50" s="206"/>
      <c r="P50" s="207"/>
      <c r="Q50" s="206"/>
      <c r="R50" s="207"/>
      <c r="S50" s="206"/>
      <c r="T50" s="207"/>
      <c r="U50" s="206"/>
      <c r="V50" s="207"/>
      <c r="W50" s="218"/>
      <c r="X50" s="219"/>
      <c r="Y50" s="213"/>
      <c r="Z50" s="1"/>
    </row>
    <row r="51" spans="1:26" ht="14">
      <c r="A51" s="1"/>
      <c r="B51" s="218"/>
      <c r="C51" s="219"/>
      <c r="D51" s="107" t="s">
        <v>255</v>
      </c>
      <c r="E51" s="74" t="s">
        <v>253</v>
      </c>
      <c r="F51" s="117" t="s">
        <v>410</v>
      </c>
      <c r="G51" s="276" t="s">
        <v>431</v>
      </c>
      <c r="H51" s="108"/>
      <c r="I51" s="109" t="s">
        <v>252</v>
      </c>
      <c r="J51" s="74">
        <f t="shared" si="3"/>
        <v>2</v>
      </c>
      <c r="K51" s="274"/>
      <c r="L51" s="207"/>
      <c r="M51" s="274"/>
      <c r="N51" s="207"/>
      <c r="O51" s="229">
        <v>2</v>
      </c>
      <c r="P51" s="207"/>
      <c r="Q51" s="229"/>
      <c r="R51" s="207"/>
      <c r="S51" s="229"/>
      <c r="T51" s="207"/>
      <c r="U51" s="229"/>
      <c r="V51" s="207"/>
      <c r="W51" s="218"/>
      <c r="X51" s="219"/>
      <c r="Y51" s="213"/>
      <c r="Z51" s="1"/>
    </row>
    <row r="52" spans="1:26" ht="14">
      <c r="A52" s="1"/>
      <c r="B52" s="218"/>
      <c r="C52" s="219"/>
      <c r="D52" s="107" t="s">
        <v>255</v>
      </c>
      <c r="E52" s="74" t="s">
        <v>253</v>
      </c>
      <c r="F52" s="117" t="s">
        <v>263</v>
      </c>
      <c r="G52" s="213"/>
      <c r="H52" s="108"/>
      <c r="I52" s="109" t="s">
        <v>252</v>
      </c>
      <c r="J52" s="74">
        <f t="shared" si="3"/>
        <v>6</v>
      </c>
      <c r="K52" s="274"/>
      <c r="L52" s="207"/>
      <c r="M52" s="274"/>
      <c r="N52" s="207"/>
      <c r="O52" s="229"/>
      <c r="P52" s="207"/>
      <c r="Q52" s="229">
        <v>6</v>
      </c>
      <c r="R52" s="207"/>
      <c r="S52" s="229"/>
      <c r="T52" s="207"/>
      <c r="U52" s="229"/>
      <c r="V52" s="207"/>
      <c r="W52" s="218"/>
      <c r="X52" s="219"/>
      <c r="Y52" s="213"/>
      <c r="Z52" s="1"/>
    </row>
    <row r="53" spans="1:26" ht="14">
      <c r="A53" s="1"/>
      <c r="B53" s="218"/>
      <c r="C53" s="219"/>
      <c r="D53" s="107"/>
      <c r="E53" s="74" t="s">
        <v>260</v>
      </c>
      <c r="F53" s="117" t="s">
        <v>412</v>
      </c>
      <c r="G53" s="213"/>
      <c r="H53" s="108"/>
      <c r="I53" s="109" t="s">
        <v>252</v>
      </c>
      <c r="J53" s="74">
        <f t="shared" si="3"/>
        <v>19</v>
      </c>
      <c r="K53" s="274"/>
      <c r="L53" s="207"/>
      <c r="M53" s="274"/>
      <c r="N53" s="207"/>
      <c r="O53" s="229"/>
      <c r="P53" s="207"/>
      <c r="Q53" s="229"/>
      <c r="R53" s="207"/>
      <c r="S53" s="229">
        <v>6</v>
      </c>
      <c r="T53" s="207"/>
      <c r="U53" s="229">
        <v>13</v>
      </c>
      <c r="V53" s="207"/>
      <c r="W53" s="218"/>
      <c r="X53" s="219"/>
      <c r="Y53" s="213"/>
      <c r="Z53" s="1"/>
    </row>
    <row r="54" spans="1:26" ht="14">
      <c r="A54" s="1"/>
      <c r="B54" s="218"/>
      <c r="C54" s="219"/>
      <c r="D54" s="107" t="s">
        <v>113</v>
      </c>
      <c r="E54" s="74" t="s">
        <v>260</v>
      </c>
      <c r="F54" s="126"/>
      <c r="G54" s="213"/>
      <c r="H54" s="108"/>
      <c r="I54" s="109" t="s">
        <v>252</v>
      </c>
      <c r="J54" s="74">
        <f t="shared" si="3"/>
        <v>0</v>
      </c>
      <c r="K54" s="270"/>
      <c r="L54" s="207"/>
      <c r="M54" s="270"/>
      <c r="N54" s="207"/>
      <c r="O54" s="206"/>
      <c r="P54" s="207"/>
      <c r="Q54" s="206"/>
      <c r="R54" s="207"/>
      <c r="S54" s="206"/>
      <c r="T54" s="207"/>
      <c r="U54" s="206"/>
      <c r="V54" s="207"/>
      <c r="W54" s="218"/>
      <c r="X54" s="219"/>
      <c r="Y54" s="213"/>
      <c r="Z54" s="1"/>
    </row>
    <row r="55" spans="1:26" ht="14">
      <c r="A55" s="1"/>
      <c r="B55" s="218"/>
      <c r="C55" s="219"/>
      <c r="D55" s="107" t="s">
        <v>113</v>
      </c>
      <c r="E55" s="74" t="s">
        <v>260</v>
      </c>
      <c r="F55" s="126"/>
      <c r="G55" s="213"/>
      <c r="H55" s="108"/>
      <c r="I55" s="109" t="s">
        <v>252</v>
      </c>
      <c r="J55" s="74">
        <f t="shared" si="3"/>
        <v>0</v>
      </c>
      <c r="K55" s="270"/>
      <c r="L55" s="207"/>
      <c r="M55" s="270"/>
      <c r="N55" s="207"/>
      <c r="O55" s="206"/>
      <c r="P55" s="207"/>
      <c r="Q55" s="206"/>
      <c r="R55" s="207"/>
      <c r="S55" s="206"/>
      <c r="T55" s="207"/>
      <c r="U55" s="206"/>
      <c r="V55" s="207"/>
      <c r="W55" s="218"/>
      <c r="X55" s="219"/>
      <c r="Y55" s="213"/>
      <c r="Z55" s="1"/>
    </row>
    <row r="56" spans="1:26" ht="14">
      <c r="A56" s="1"/>
      <c r="B56" s="218"/>
      <c r="C56" s="219"/>
      <c r="D56" s="107" t="s">
        <v>113</v>
      </c>
      <c r="E56" s="74" t="s">
        <v>260</v>
      </c>
      <c r="F56" s="126"/>
      <c r="G56" s="213"/>
      <c r="H56" s="108"/>
      <c r="I56" s="109" t="s">
        <v>252</v>
      </c>
      <c r="J56" s="74">
        <f t="shared" si="3"/>
        <v>0</v>
      </c>
      <c r="K56" s="270"/>
      <c r="L56" s="207"/>
      <c r="M56" s="270"/>
      <c r="N56" s="207"/>
      <c r="O56" s="206"/>
      <c r="P56" s="207"/>
      <c r="Q56" s="206"/>
      <c r="R56" s="207"/>
      <c r="S56" s="206"/>
      <c r="T56" s="207"/>
      <c r="U56" s="206"/>
      <c r="V56" s="207"/>
      <c r="W56" s="218"/>
      <c r="X56" s="219"/>
      <c r="Y56" s="213"/>
      <c r="Z56" s="1"/>
    </row>
    <row r="57" spans="1:26" ht="14">
      <c r="A57" s="1"/>
      <c r="B57" s="218"/>
      <c r="C57" s="219"/>
      <c r="D57" s="107" t="s">
        <v>113</v>
      </c>
      <c r="E57" s="74" t="s">
        <v>260</v>
      </c>
      <c r="F57" s="126"/>
      <c r="G57" s="213"/>
      <c r="H57" s="108"/>
      <c r="I57" s="109" t="s">
        <v>252</v>
      </c>
      <c r="J57" s="74">
        <f t="shared" si="3"/>
        <v>0</v>
      </c>
      <c r="K57" s="270"/>
      <c r="L57" s="207"/>
      <c r="M57" s="270"/>
      <c r="N57" s="207"/>
      <c r="O57" s="206"/>
      <c r="P57" s="207"/>
      <c r="Q57" s="206"/>
      <c r="R57" s="207"/>
      <c r="S57" s="206"/>
      <c r="T57" s="207"/>
      <c r="U57" s="206"/>
      <c r="V57" s="207"/>
      <c r="W57" s="218"/>
      <c r="X57" s="219"/>
      <c r="Y57" s="213"/>
      <c r="Z57" s="1"/>
    </row>
    <row r="58" spans="1:26" ht="14">
      <c r="A58" s="1"/>
      <c r="B58" s="218"/>
      <c r="C58" s="219"/>
      <c r="D58" s="107" t="s">
        <v>113</v>
      </c>
      <c r="E58" s="74" t="s">
        <v>260</v>
      </c>
      <c r="F58" s="126"/>
      <c r="G58" s="213"/>
      <c r="H58" s="108"/>
      <c r="I58" s="109" t="s">
        <v>252</v>
      </c>
      <c r="J58" s="74">
        <f t="shared" si="3"/>
        <v>0</v>
      </c>
      <c r="K58" s="270"/>
      <c r="L58" s="207"/>
      <c r="M58" s="270"/>
      <c r="N58" s="207"/>
      <c r="O58" s="206"/>
      <c r="P58" s="207"/>
      <c r="Q58" s="206"/>
      <c r="R58" s="207"/>
      <c r="S58" s="206"/>
      <c r="T58" s="207"/>
      <c r="U58" s="206"/>
      <c r="V58" s="207"/>
      <c r="W58" s="218"/>
      <c r="X58" s="219"/>
      <c r="Y58" s="213"/>
      <c r="Z58" s="1"/>
    </row>
    <row r="59" spans="1:26" ht="14">
      <c r="A59" s="1"/>
      <c r="B59" s="218"/>
      <c r="C59" s="219"/>
      <c r="D59" s="107" t="s">
        <v>113</v>
      </c>
      <c r="E59" s="74" t="s">
        <v>260</v>
      </c>
      <c r="F59" s="126"/>
      <c r="G59" s="209"/>
      <c r="H59" s="108"/>
      <c r="I59" s="109" t="s">
        <v>252</v>
      </c>
      <c r="J59" s="74">
        <f t="shared" si="3"/>
        <v>0</v>
      </c>
      <c r="K59" s="270"/>
      <c r="L59" s="207"/>
      <c r="M59" s="270"/>
      <c r="N59" s="207"/>
      <c r="O59" s="206"/>
      <c r="P59" s="207"/>
      <c r="Q59" s="206"/>
      <c r="R59" s="207"/>
      <c r="S59" s="206"/>
      <c r="T59" s="207"/>
      <c r="U59" s="282"/>
      <c r="V59" s="207"/>
      <c r="W59" s="218"/>
      <c r="X59" s="219"/>
      <c r="Y59" s="213"/>
      <c r="Z59" s="1"/>
    </row>
    <row r="60" spans="1:26" ht="14">
      <c r="A60" s="1"/>
      <c r="B60" s="218"/>
      <c r="C60" s="219"/>
      <c r="D60" s="107" t="s">
        <v>255</v>
      </c>
      <c r="E60" s="74" t="s">
        <v>253</v>
      </c>
      <c r="F60" s="117" t="s">
        <v>410</v>
      </c>
      <c r="G60" s="275" t="s">
        <v>418</v>
      </c>
      <c r="H60" s="108"/>
      <c r="I60" s="109" t="s">
        <v>252</v>
      </c>
      <c r="J60" s="74">
        <f t="shared" si="3"/>
        <v>2</v>
      </c>
      <c r="K60" s="274"/>
      <c r="L60" s="207"/>
      <c r="M60" s="274"/>
      <c r="N60" s="207"/>
      <c r="O60" s="229"/>
      <c r="P60" s="207"/>
      <c r="Q60" s="229">
        <v>2</v>
      </c>
      <c r="R60" s="207"/>
      <c r="S60" s="229"/>
      <c r="T60" s="207"/>
      <c r="U60" s="229"/>
      <c r="V60" s="207"/>
      <c r="W60" s="218"/>
      <c r="X60" s="219"/>
      <c r="Y60" s="213"/>
      <c r="Z60" s="1"/>
    </row>
    <row r="61" spans="1:26" ht="14">
      <c r="A61" s="1"/>
      <c r="B61" s="218"/>
      <c r="C61" s="219"/>
      <c r="D61" s="107" t="s">
        <v>255</v>
      </c>
      <c r="E61" s="74" t="s">
        <v>253</v>
      </c>
      <c r="F61" s="117" t="s">
        <v>263</v>
      </c>
      <c r="G61" s="213"/>
      <c r="H61" s="108"/>
      <c r="I61" s="109" t="s">
        <v>252</v>
      </c>
      <c r="J61" s="74">
        <f t="shared" si="3"/>
        <v>2</v>
      </c>
      <c r="K61" s="274"/>
      <c r="L61" s="207"/>
      <c r="M61" s="274"/>
      <c r="N61" s="207"/>
      <c r="O61" s="229"/>
      <c r="P61" s="207"/>
      <c r="Q61" s="229">
        <v>2</v>
      </c>
      <c r="R61" s="207"/>
      <c r="S61" s="229"/>
      <c r="T61" s="207"/>
      <c r="U61" s="229"/>
      <c r="V61" s="207"/>
      <c r="W61" s="218"/>
      <c r="X61" s="219"/>
      <c r="Y61" s="213"/>
      <c r="Z61" s="1"/>
    </row>
    <row r="62" spans="1:26" ht="14">
      <c r="A62" s="1"/>
      <c r="B62" s="218"/>
      <c r="C62" s="219"/>
      <c r="D62" s="107"/>
      <c r="E62" s="74" t="s">
        <v>260</v>
      </c>
      <c r="F62" s="117" t="s">
        <v>412</v>
      </c>
      <c r="G62" s="213"/>
      <c r="H62" s="108"/>
      <c r="I62" s="109" t="s">
        <v>252</v>
      </c>
      <c r="J62" s="74">
        <f t="shared" si="3"/>
        <v>4</v>
      </c>
      <c r="K62" s="274"/>
      <c r="L62" s="207"/>
      <c r="M62" s="274"/>
      <c r="N62" s="207"/>
      <c r="O62" s="229"/>
      <c r="P62" s="207"/>
      <c r="Q62" s="229"/>
      <c r="R62" s="207"/>
      <c r="S62" s="229">
        <v>2</v>
      </c>
      <c r="T62" s="207"/>
      <c r="U62" s="229">
        <v>2</v>
      </c>
      <c r="V62" s="207"/>
      <c r="W62" s="218"/>
      <c r="X62" s="219"/>
      <c r="Y62" s="213"/>
      <c r="Z62" s="1"/>
    </row>
    <row r="63" spans="1:26" ht="14">
      <c r="A63" s="1"/>
      <c r="B63" s="218"/>
      <c r="C63" s="219"/>
      <c r="D63" s="107" t="s">
        <v>113</v>
      </c>
      <c r="E63" s="74" t="s">
        <v>253</v>
      </c>
      <c r="F63" s="126" t="s">
        <v>419</v>
      </c>
      <c r="G63" s="213"/>
      <c r="H63" s="108"/>
      <c r="I63" s="109" t="s">
        <v>252</v>
      </c>
      <c r="J63" s="74">
        <f t="shared" si="3"/>
        <v>0</v>
      </c>
      <c r="K63" s="270"/>
      <c r="L63" s="207"/>
      <c r="M63" s="270"/>
      <c r="N63" s="207"/>
      <c r="O63" s="271">
        <v>0</v>
      </c>
      <c r="P63" s="207"/>
      <c r="Q63" s="206"/>
      <c r="R63" s="207"/>
      <c r="S63" s="206"/>
      <c r="T63" s="207"/>
      <c r="U63" s="206"/>
      <c r="V63" s="207"/>
      <c r="W63" s="218"/>
      <c r="X63" s="219"/>
      <c r="Y63" s="213"/>
      <c r="Z63" s="1"/>
    </row>
    <row r="64" spans="1:26" ht="14">
      <c r="A64" s="1"/>
      <c r="B64" s="218"/>
      <c r="C64" s="219"/>
      <c r="D64" s="107" t="s">
        <v>113</v>
      </c>
      <c r="E64" s="74" t="s">
        <v>260</v>
      </c>
      <c r="F64" s="126" t="s">
        <v>281</v>
      </c>
      <c r="G64" s="213"/>
      <c r="H64" s="108"/>
      <c r="I64" s="109" t="s">
        <v>252</v>
      </c>
      <c r="J64" s="74">
        <f t="shared" si="3"/>
        <v>6</v>
      </c>
      <c r="K64" s="270"/>
      <c r="L64" s="207"/>
      <c r="M64" s="270"/>
      <c r="N64" s="207"/>
      <c r="O64" s="206">
        <v>3</v>
      </c>
      <c r="P64" s="207"/>
      <c r="Q64" s="206">
        <v>3</v>
      </c>
      <c r="R64" s="207"/>
      <c r="S64" s="206"/>
      <c r="T64" s="207"/>
      <c r="U64" s="206"/>
      <c r="V64" s="207"/>
      <c r="W64" s="218"/>
      <c r="X64" s="219"/>
      <c r="Y64" s="213"/>
      <c r="Z64" s="1"/>
    </row>
    <row r="65" spans="1:26" ht="14">
      <c r="A65" s="1"/>
      <c r="B65" s="218"/>
      <c r="C65" s="219"/>
      <c r="D65" s="107" t="s">
        <v>113</v>
      </c>
      <c r="E65" s="74" t="s">
        <v>260</v>
      </c>
      <c r="F65" s="126" t="s">
        <v>420</v>
      </c>
      <c r="G65" s="213"/>
      <c r="H65" s="108"/>
      <c r="I65" s="109" t="s">
        <v>252</v>
      </c>
      <c r="J65" s="74">
        <f t="shared" si="3"/>
        <v>21</v>
      </c>
      <c r="K65" s="270"/>
      <c r="L65" s="207"/>
      <c r="M65" s="270"/>
      <c r="N65" s="207"/>
      <c r="O65" s="206">
        <v>9</v>
      </c>
      <c r="P65" s="207"/>
      <c r="Q65" s="206">
        <v>12</v>
      </c>
      <c r="R65" s="207"/>
      <c r="S65" s="206"/>
      <c r="T65" s="207"/>
      <c r="U65" s="206"/>
      <c r="V65" s="207"/>
      <c r="W65" s="218"/>
      <c r="X65" s="219"/>
      <c r="Y65" s="213"/>
      <c r="Z65" s="1"/>
    </row>
    <row r="66" spans="1:26" ht="14">
      <c r="A66" s="1"/>
      <c r="B66" s="220"/>
      <c r="C66" s="221"/>
      <c r="D66" s="107" t="s">
        <v>113</v>
      </c>
      <c r="E66" s="74" t="s">
        <v>260</v>
      </c>
      <c r="F66" s="126" t="s">
        <v>79</v>
      </c>
      <c r="G66" s="209"/>
      <c r="H66" s="108"/>
      <c r="I66" s="109" t="s">
        <v>252</v>
      </c>
      <c r="J66" s="74">
        <f t="shared" si="3"/>
        <v>51</v>
      </c>
      <c r="K66" s="270"/>
      <c r="L66" s="207"/>
      <c r="M66" s="270"/>
      <c r="N66" s="207"/>
      <c r="O66" s="206"/>
      <c r="P66" s="207"/>
      <c r="Q66" s="206"/>
      <c r="R66" s="207"/>
      <c r="S66" s="271">
        <v>24</v>
      </c>
      <c r="T66" s="207"/>
      <c r="U66" s="206">
        <v>27</v>
      </c>
      <c r="V66" s="207"/>
      <c r="W66" s="220"/>
      <c r="X66" s="221"/>
      <c r="Y66" s="209"/>
      <c r="Z66" s="1"/>
    </row>
    <row r="67" spans="1:26" ht="14">
      <c r="A67" s="1"/>
      <c r="B67" s="272" t="s">
        <v>282</v>
      </c>
      <c r="C67" s="225"/>
      <c r="D67" s="225"/>
      <c r="E67" s="225"/>
      <c r="F67" s="225"/>
      <c r="G67" s="217"/>
      <c r="H67" s="273"/>
      <c r="I67" s="273"/>
      <c r="J67" s="273">
        <f t="shared" ref="J67:K67" si="4">SUM(J37:J66)</f>
        <v>152</v>
      </c>
      <c r="K67" s="272">
        <f t="shared" si="4"/>
        <v>4</v>
      </c>
      <c r="L67" s="217"/>
      <c r="M67" s="272">
        <f>SUM(M37:M66)</f>
        <v>4</v>
      </c>
      <c r="N67" s="217"/>
      <c r="O67" s="272">
        <f>SUM(O37:O41)+(SUM(O60:O66))</f>
        <v>16</v>
      </c>
      <c r="P67" s="217"/>
      <c r="Q67" s="272">
        <f>SUM(Q37:Q41)+(SUM(Q60:Q66))</f>
        <v>19</v>
      </c>
      <c r="R67" s="217"/>
      <c r="S67" s="272">
        <f>SUM(S37:S41)+(SUM(S60:S66))</f>
        <v>26</v>
      </c>
      <c r="T67" s="217"/>
      <c r="U67" s="272">
        <f>SUM(U37:U41)+(SUM(U60:U66))</f>
        <v>29</v>
      </c>
      <c r="V67" s="217"/>
      <c r="W67" s="272">
        <f>SUM(W37:W66)</f>
        <v>58.666666666666664</v>
      </c>
      <c r="X67" s="217"/>
      <c r="Y67" s="215">
        <v>80</v>
      </c>
      <c r="Z67" s="1"/>
    </row>
    <row r="68" spans="1:26" ht="14">
      <c r="A68" s="1"/>
      <c r="B68" s="220"/>
      <c r="C68" s="227"/>
      <c r="D68" s="227"/>
      <c r="E68" s="227"/>
      <c r="F68" s="227"/>
      <c r="G68" s="221"/>
      <c r="H68" s="209"/>
      <c r="I68" s="209"/>
      <c r="J68" s="209"/>
      <c r="K68" s="220"/>
      <c r="L68" s="221"/>
      <c r="M68" s="220"/>
      <c r="N68" s="221"/>
      <c r="O68" s="220"/>
      <c r="P68" s="221"/>
      <c r="Q68" s="220"/>
      <c r="R68" s="221"/>
      <c r="S68" s="220"/>
      <c r="T68" s="221"/>
      <c r="U68" s="220"/>
      <c r="V68" s="221"/>
      <c r="W68" s="220"/>
      <c r="X68" s="221"/>
      <c r="Y68" s="209"/>
      <c r="Z68" s="1"/>
    </row>
    <row r="69" spans="1:26" ht="14">
      <c r="A69" s="1"/>
      <c r="B69" s="223"/>
      <c r="C69" s="211"/>
      <c r="D69" s="211"/>
      <c r="E69" s="211"/>
      <c r="F69" s="211"/>
      <c r="G69" s="207"/>
      <c r="H69" s="104"/>
      <c r="I69" s="104"/>
      <c r="J69" s="104">
        <v>141</v>
      </c>
      <c r="K69" s="223">
        <f>SUM(K36,K67)</f>
        <v>29</v>
      </c>
      <c r="L69" s="207"/>
      <c r="M69" s="223">
        <f>SUM(M36,M67)</f>
        <v>27</v>
      </c>
      <c r="N69" s="207"/>
      <c r="O69" s="223">
        <f>SUM(O36,O67)</f>
        <v>29</v>
      </c>
      <c r="P69" s="207"/>
      <c r="Q69" s="223">
        <f>SUM(Q36,Q67)</f>
        <v>29</v>
      </c>
      <c r="R69" s="207"/>
      <c r="S69" s="223">
        <f>SUM(S36,S67)</f>
        <v>27</v>
      </c>
      <c r="T69" s="207"/>
      <c r="U69" s="223">
        <f>SUM(U36,U67)</f>
        <v>29</v>
      </c>
      <c r="V69" s="207"/>
      <c r="W69" s="223">
        <f>SUM(W36,W67)</f>
        <v>130.66666666666666</v>
      </c>
      <c r="X69" s="207"/>
      <c r="Y69" s="106">
        <v>144</v>
      </c>
      <c r="Z69" s="1"/>
    </row>
    <row r="70" spans="1:26" ht="14">
      <c r="A70" s="1"/>
      <c r="B70" s="216" t="s">
        <v>287</v>
      </c>
      <c r="C70" s="225"/>
      <c r="D70" s="225"/>
      <c r="E70" s="217"/>
      <c r="F70" s="222" t="s">
        <v>405</v>
      </c>
      <c r="G70" s="211"/>
      <c r="H70" s="211"/>
      <c r="I70" s="211"/>
      <c r="J70" s="207"/>
      <c r="K70" s="206">
        <v>16</v>
      </c>
      <c r="L70" s="207"/>
      <c r="M70" s="206">
        <v>16</v>
      </c>
      <c r="N70" s="207"/>
      <c r="O70" s="206">
        <v>16</v>
      </c>
      <c r="P70" s="207"/>
      <c r="Q70" s="206">
        <v>16</v>
      </c>
      <c r="R70" s="207"/>
      <c r="S70" s="206">
        <v>16</v>
      </c>
      <c r="T70" s="207"/>
      <c r="U70" s="206">
        <v>16</v>
      </c>
      <c r="V70" s="207"/>
      <c r="W70" s="216">
        <f>SUM(K70:V72)</f>
        <v>288</v>
      </c>
      <c r="X70" s="217"/>
      <c r="Y70" s="215">
        <v>288</v>
      </c>
      <c r="Z70" s="1"/>
    </row>
    <row r="71" spans="1:26" ht="14">
      <c r="A71" s="1"/>
      <c r="B71" s="218"/>
      <c r="C71" s="226"/>
      <c r="D71" s="226"/>
      <c r="E71" s="219"/>
      <c r="F71" s="222" t="s">
        <v>291</v>
      </c>
      <c r="G71" s="211"/>
      <c r="H71" s="211"/>
      <c r="I71" s="211"/>
      <c r="J71" s="207"/>
      <c r="K71" s="206">
        <v>16</v>
      </c>
      <c r="L71" s="207"/>
      <c r="M71" s="206">
        <v>16</v>
      </c>
      <c r="N71" s="207"/>
      <c r="O71" s="206">
        <v>16</v>
      </c>
      <c r="P71" s="207"/>
      <c r="Q71" s="206">
        <v>16</v>
      </c>
      <c r="R71" s="207"/>
      <c r="S71" s="206">
        <v>16</v>
      </c>
      <c r="T71" s="207"/>
      <c r="U71" s="206">
        <v>16</v>
      </c>
      <c r="V71" s="207"/>
      <c r="W71" s="218"/>
      <c r="X71" s="219"/>
      <c r="Y71" s="213"/>
      <c r="Z71" s="1"/>
    </row>
    <row r="72" spans="1:26" ht="14">
      <c r="A72" s="1"/>
      <c r="B72" s="218"/>
      <c r="C72" s="226"/>
      <c r="D72" s="226"/>
      <c r="E72" s="219"/>
      <c r="F72" s="222" t="s">
        <v>294</v>
      </c>
      <c r="G72" s="211"/>
      <c r="H72" s="211"/>
      <c r="I72" s="211"/>
      <c r="J72" s="207"/>
      <c r="K72" s="206">
        <v>16</v>
      </c>
      <c r="L72" s="207"/>
      <c r="M72" s="206">
        <v>16</v>
      </c>
      <c r="N72" s="207"/>
      <c r="O72" s="206">
        <v>16</v>
      </c>
      <c r="P72" s="207"/>
      <c r="Q72" s="206">
        <v>16</v>
      </c>
      <c r="R72" s="207"/>
      <c r="S72" s="206">
        <v>16</v>
      </c>
      <c r="T72" s="207"/>
      <c r="U72" s="206">
        <v>16</v>
      </c>
      <c r="V72" s="207"/>
      <c r="W72" s="220"/>
      <c r="X72" s="221"/>
      <c r="Y72" s="209"/>
      <c r="Z72" s="1"/>
    </row>
    <row r="73" spans="1:26" ht="14">
      <c r="A73" s="1"/>
      <c r="B73" s="220"/>
      <c r="C73" s="227"/>
      <c r="D73" s="227"/>
      <c r="E73" s="221"/>
      <c r="F73" s="222" t="s">
        <v>295</v>
      </c>
      <c r="G73" s="211"/>
      <c r="H73" s="211"/>
      <c r="I73" s="211"/>
      <c r="J73" s="207"/>
      <c r="K73" s="222">
        <v>3</v>
      </c>
      <c r="L73" s="207"/>
      <c r="M73" s="222">
        <v>3</v>
      </c>
      <c r="N73" s="207"/>
      <c r="O73" s="222">
        <v>3</v>
      </c>
      <c r="P73" s="207"/>
      <c r="Q73" s="222">
        <v>3</v>
      </c>
      <c r="R73" s="207"/>
      <c r="S73" s="222">
        <v>3</v>
      </c>
      <c r="T73" s="207"/>
      <c r="U73" s="222">
        <v>3</v>
      </c>
      <c r="V73" s="207"/>
      <c r="W73" s="222">
        <f t="shared" ref="W73:W75" si="5">SUM(K73:V73)</f>
        <v>18</v>
      </c>
      <c r="X73" s="207"/>
      <c r="Y73" s="106">
        <v>18</v>
      </c>
      <c r="Z73" s="1"/>
    </row>
    <row r="74" spans="1:26" ht="14">
      <c r="A74" s="1"/>
      <c r="B74" s="223"/>
      <c r="C74" s="211"/>
      <c r="D74" s="211"/>
      <c r="E74" s="211"/>
      <c r="F74" s="211"/>
      <c r="G74" s="211"/>
      <c r="H74" s="211"/>
      <c r="I74" s="211"/>
      <c r="J74" s="207"/>
      <c r="K74" s="223">
        <f>SUM(K69,K73)</f>
        <v>32</v>
      </c>
      <c r="L74" s="207"/>
      <c r="M74" s="223">
        <f>SUM(M69,M73)</f>
        <v>30</v>
      </c>
      <c r="N74" s="207"/>
      <c r="O74" s="223">
        <f>SUM(O69,O73)</f>
        <v>32</v>
      </c>
      <c r="P74" s="207"/>
      <c r="Q74" s="223">
        <f>SUM(Q69,Q73)</f>
        <v>32</v>
      </c>
      <c r="R74" s="207"/>
      <c r="S74" s="223">
        <f>SUM(S69,S73)</f>
        <v>30</v>
      </c>
      <c r="T74" s="207"/>
      <c r="U74" s="223">
        <f>SUM(U69,U73)</f>
        <v>32</v>
      </c>
      <c r="V74" s="207"/>
      <c r="W74" s="223">
        <f t="shared" si="5"/>
        <v>188</v>
      </c>
      <c r="X74" s="207"/>
      <c r="Y74" s="106">
        <v>192</v>
      </c>
      <c r="Z74" s="1"/>
    </row>
    <row r="75" spans="1:26" ht="14">
      <c r="A75" s="1"/>
      <c r="B75" s="223"/>
      <c r="C75" s="211"/>
      <c r="D75" s="211"/>
      <c r="E75" s="211"/>
      <c r="F75" s="211"/>
      <c r="G75" s="211"/>
      <c r="H75" s="211"/>
      <c r="I75" s="211"/>
      <c r="J75" s="207"/>
      <c r="K75" s="223">
        <f>SUM(K74:N74)</f>
        <v>62</v>
      </c>
      <c r="L75" s="211"/>
      <c r="M75" s="211"/>
      <c r="N75" s="207"/>
      <c r="O75" s="223">
        <f>SUM(O74:R74)</f>
        <v>64</v>
      </c>
      <c r="P75" s="211"/>
      <c r="Q75" s="211"/>
      <c r="R75" s="207"/>
      <c r="S75" s="223">
        <f>SUM(S74:V74)</f>
        <v>62</v>
      </c>
      <c r="T75" s="211"/>
      <c r="U75" s="211"/>
      <c r="V75" s="207"/>
      <c r="W75" s="223">
        <f t="shared" si="5"/>
        <v>188</v>
      </c>
      <c r="X75" s="207"/>
      <c r="Y75" s="141"/>
      <c r="Z75" s="1"/>
    </row>
    <row r="76" spans="1:26" ht="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spans="1:26" ht="12.5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spans="1:26" ht="12.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spans="1:26" ht="12.5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spans="1:26" ht="12.5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spans="1:26" ht="12.5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spans="1:26" ht="12.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spans="1:26" ht="12.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spans="1:26" ht="12.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spans="1:26" ht="12.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spans="1:26" ht="12.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spans="1:26" ht="12.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spans="1:26" ht="12.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spans="1:26" ht="12.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spans="1:26" ht="12.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spans="1:26" ht="12.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spans="1:26" ht="12.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spans="1:26" ht="12.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spans="1:26" ht="12.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spans="1:26" ht="12.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spans="1:26" ht="12.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spans="1:26" ht="12.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spans="1:26" ht="12.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spans="1:26" ht="12.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spans="1:26" ht="12.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spans="1:26" ht="12.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spans="1:26" ht="12.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spans="1:26" ht="12.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spans="1:26" ht="12.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spans="1:26" ht="12.5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spans="1:26" ht="12.5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spans="1:26" ht="12.5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spans="1:26" ht="12.5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spans="1:26" ht="12.5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spans="1:26" ht="12.5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spans="1:26" ht="12.5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spans="1:26" ht="12.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spans="1:26" ht="12.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spans="1:26" ht="12.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spans="1:26" ht="12.5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spans="1:26" ht="12.5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spans="1:26" ht="12.5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spans="1:26" ht="12.5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spans="1:26" ht="12.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spans="1:26" ht="12.5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spans="1:26" ht="12.5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spans="1:26" ht="12.5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spans="1:26" ht="12.5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spans="1:26" ht="12.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spans="1:26" ht="12.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spans="1:26" ht="12.5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spans="1:26" ht="12.5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spans="1:26" ht="12.5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spans="1:26" ht="12.5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spans="1:26" ht="12.5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spans="1:26" ht="12.5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spans="1:26" ht="12.5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spans="1:26" ht="12.5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spans="1:26" ht="12.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spans="1:26" ht="12.5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spans="1:26" ht="12.5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spans="1:26" ht="12.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spans="1:26" ht="12.5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spans="1:26" ht="12.5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spans="1:26" ht="12.5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spans="1:26" ht="12.5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spans="1:26" ht="12.5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spans="1:26" ht="12.5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spans="1:26" ht="12.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spans="1:26" ht="12.5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spans="1:26" ht="12.5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spans="1:26" ht="12.5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spans="1:26" ht="12.5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spans="1:26" ht="12.5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spans="1:26" ht="12.5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spans="1:26" ht="12.5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spans="1:26" ht="12.5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spans="1:26" ht="12.5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spans="1:26" ht="12.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spans="1:26" ht="12.5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spans="1:26" ht="12.5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spans="1:26" ht="12.5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spans="1:26" ht="12.5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spans="1:26" ht="12.5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spans="1:26" ht="12.5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spans="1:26" ht="12.5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spans="1:26" ht="12.5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spans="1:26" ht="12.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spans="1:26" ht="12.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spans="1:26" ht="12.5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spans="1:26" ht="12.5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spans="1:26" ht="12.5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spans="1:26" ht="12.5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spans="1:26" ht="12.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spans="1:26" ht="12.5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spans="1:26" ht="12.5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spans="1:26" ht="12.5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spans="1:26" ht="12.5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spans="1:26" ht="12.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spans="1:26" ht="12.5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spans="1:26" ht="12.5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spans="1:26" ht="12.5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spans="1:26" ht="12.5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spans="1:26" ht="12.5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spans="1:26" ht="12.5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spans="1:26" ht="12.5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spans="1:26" ht="12.5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spans="1:26" ht="12.5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spans="1:26" ht="12.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spans="1:26" ht="12.5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spans="1:26" ht="12.5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spans="1:26" ht="12.5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spans="1:26" ht="12.5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spans="1:26" ht="12.5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spans="1:26" ht="12.5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spans="1:26" ht="12.5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spans="1:26" ht="12.5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spans="1:26" ht="12.5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spans="1:26" ht="12.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spans="1:26" ht="12.5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spans="1:26" ht="12.5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spans="1:26" ht="12.5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spans="1:26" ht="12.5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spans="1:26" ht="12.5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spans="1:26" ht="12.5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spans="1:26" ht="12.5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spans="1:26" ht="12.5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spans="1:26" ht="12.5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spans="1:26" ht="12.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spans="1:26" ht="12.5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spans="1:26" ht="12.5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spans="1:26" ht="12.5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spans="1:26" ht="12.5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spans="1:26" ht="12.5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spans="1:26" ht="12.5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spans="1:26" ht="12.5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spans="1:26" ht="12.5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spans="1:26" ht="12.5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spans="1:26" ht="12.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spans="1:26" ht="12.5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spans="1:26" ht="12.5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spans="1:26" ht="12.5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spans="1:26" ht="12.5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spans="1:26" ht="12.5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spans="1:26" ht="12.5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spans="1:26" ht="12.5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spans="1:26" ht="12.5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spans="1:26" ht="12.5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spans="1:26" ht="12.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spans="1:26" ht="12.5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spans="1:26" ht="12.5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spans="1:26" ht="12.5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spans="1:26" ht="12.5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spans="1:26" ht="12.5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spans="1:26" ht="12.5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spans="1:26" ht="12.5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spans="1:26" ht="12.5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spans="1:26" ht="12.5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spans="1:26" ht="12.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spans="1:26" ht="12.5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spans="1:26" ht="12.5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spans="1:26" ht="12.5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spans="1:26" ht="12.5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spans="1:26" ht="12.5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spans="1:26" ht="12.5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spans="1:26" ht="12.5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spans="1:26" ht="12.5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spans="1:26" ht="12.5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spans="1:26" ht="12.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spans="1:26" ht="12.5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spans="1:26" ht="12.5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spans="1:26" ht="12.5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spans="1:26" ht="12.5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spans="1:26" ht="12.5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spans="1:26" ht="12.5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spans="1:26" ht="12.5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spans="1:26" ht="12.5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spans="1:26" ht="12.5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spans="1:26" ht="12.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spans="1:26" ht="12.5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spans="1:26" ht="12.5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spans="1:26" ht="12.5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spans="1:26" ht="12.5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spans="1:26" ht="12.5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spans="1:26" ht="12.5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spans="1:26" ht="12.5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spans="1:26" ht="12.5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spans="1:26" ht="12.5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spans="1:26" ht="12.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spans="1:26" ht="12.5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spans="1:26" ht="12.5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spans="1:26" ht="12.5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spans="1:26" ht="12.5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spans="1:26" ht="12.5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spans="1:26" ht="12.5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spans="1:26" ht="12.5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spans="1:26" ht="12.5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spans="1:26" ht="12.5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spans="1:26" ht="12.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spans="1:26" ht="12.5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spans="1:26" ht="12.5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spans="1:26" ht="12.5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spans="1:26" ht="12.5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spans="1:26" ht="12.5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spans="1:26" ht="12.5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spans="1:26" ht="12.5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spans="1:26" ht="12.5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spans="1:26" ht="12.5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spans="1:26" ht="12.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spans="1:26" ht="12.5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spans="1:26" ht="12.5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spans="1:26" ht="12.5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spans="1:26" ht="12.5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spans="1:26" ht="12.5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spans="1:26" ht="12.5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spans="1:26" ht="12.5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spans="1:26" ht="12.5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spans="1:26" ht="12.5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spans="1:26" ht="12.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spans="1:26" ht="12.5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spans="1:26" ht="12.5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spans="1:26" ht="12.5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spans="1:26" ht="12.5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spans="1:26" ht="12.5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spans="1:26" ht="12.5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spans="1:26" ht="12.5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spans="1:26" ht="12.5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spans="1:26" ht="12.5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spans="1:26" ht="12.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spans="1:26" ht="12.5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spans="1:26" ht="12.5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spans="1:26" ht="12.5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spans="1:26" ht="12.5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spans="1:26" ht="12.5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spans="1:26" ht="12.5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spans="1:26" ht="12.5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spans="1:26" ht="12.5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spans="1:26" ht="12.5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spans="1:26" ht="12.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spans="1:26" ht="12.5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spans="1:26" ht="12.5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spans="1:26" ht="12.5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spans="1:26" ht="12.5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spans="1:26" ht="12.5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spans="1:26" ht="12.5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spans="1:26" ht="12.5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spans="1:26" ht="12.5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spans="1:26" ht="12.5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spans="1:26" ht="12.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spans="1:26" ht="12.5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spans="1:26" ht="12.5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spans="1:26" ht="12.5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spans="1:26" ht="12.5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spans="1:26" ht="12.5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spans="1:26" ht="12.5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spans="1:26" ht="12.5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spans="1:26" ht="12.5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spans="1:26" ht="12.5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spans="1:26" ht="12.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spans="1:26" ht="12.5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spans="1:26" ht="12.5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spans="1:26" ht="12.5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spans="1:26" ht="12.5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spans="1:26" ht="12.5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spans="1:26" ht="12.5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spans="1:26" ht="12.5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spans="1:26" ht="12.5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spans="1:26" ht="12.5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spans="1:26" ht="12.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spans="1:26" ht="12.5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spans="1:26" ht="12.5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spans="1:26" ht="12.5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spans="1:26" ht="12.5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spans="1:26" ht="12.5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spans="1:26" ht="12.5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spans="1:26" ht="12.5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spans="1:26" ht="12.5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spans="1:26" ht="12.5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spans="1:26" ht="12.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spans="1:26" ht="12.5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spans="1:26" ht="12.5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spans="1:26" ht="12.5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spans="1:26" ht="12.5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spans="1:26" ht="12.5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spans="1:26" ht="12.5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spans="1:26" ht="12.5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spans="1:26" ht="12.5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spans="1:26" ht="12.5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spans="1:26" ht="12.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spans="1:26" ht="12.5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spans="1:26" ht="12.5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spans="1:26" ht="12.5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spans="1:26" ht="12.5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spans="1:26" ht="12.5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spans="1:26" ht="12.5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spans="1:26" ht="12.5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spans="1:26" ht="12.5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spans="1:26" ht="12.5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spans="1:26" ht="12.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spans="1:26" ht="12.5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spans="1:26" ht="12.5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spans="1:26" ht="12.5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spans="1:26" ht="12.5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spans="1:26" ht="12.5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spans="1:26" ht="12.5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spans="1:26" ht="12.5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spans="1:26" ht="12.5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spans="1:26" ht="12.5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spans="1:26" ht="12.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spans="1:26" ht="12.5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spans="1:26" ht="12.5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spans="1:26" ht="12.5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spans="1:26" ht="12.5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spans="1:26" ht="12.5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spans="1:26" ht="12.5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spans="1:26" ht="12.5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spans="1:26" ht="12.5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spans="1:26" ht="12.5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spans="1:26" ht="12.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spans="1:26" ht="12.5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spans="1:26" ht="12.5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spans="1:26" ht="12.5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spans="1:26" ht="12.5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spans="1:26" ht="12.5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spans="1:26" ht="12.5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spans="1:26" ht="12.5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spans="1:26" ht="12.5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spans="1:26" ht="12.5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spans="1:26" ht="12.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spans="1:26" ht="12.5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spans="1:26" ht="12.5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spans="1:26" ht="12.5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spans="1:26" ht="12.5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spans="1:26" ht="12.5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spans="1:26" ht="12.5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spans="1:26" ht="12.5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spans="1:26" ht="12.5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spans="1:26" ht="12.5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spans="1:26" ht="12.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spans="1:26" ht="12.5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spans="1:26" ht="12.5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spans="1:26" ht="12.5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spans="1:26" ht="12.5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spans="1:26" ht="12.5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spans="1:26" ht="12.5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spans="1:26" ht="12.5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spans="1:26" ht="12.5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spans="1:26" ht="12.5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spans="1:26" ht="12.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spans="1:26" ht="12.5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spans="1:26" ht="12.5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spans="1:26" ht="12.5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spans="1:26" ht="12.5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spans="1:26" ht="12.5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spans="1:26" ht="12.5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spans="1:26" ht="12.5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spans="1:26" ht="12.5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spans="1:26" ht="12.5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spans="1:26" ht="12.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spans="1:26" ht="12.5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spans="1:26" ht="12.5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spans="1:26" ht="12.5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spans="1:26" ht="12.5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spans="1:26" ht="12.5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spans="1:26" ht="12.5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spans="1:26" ht="12.5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spans="1:26" ht="12.5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spans="1:26" ht="12.5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spans="1:26" ht="12.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spans="1:26" ht="12.5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spans="1:26" ht="12.5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spans="1:26" ht="12.5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spans="1:26" ht="12.5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spans="1:26" ht="12.5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spans="1:26" ht="12.5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spans="1:26" ht="12.5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spans="1:26" ht="12.5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spans="1:26" ht="12.5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spans="1:26" ht="12.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spans="1:26" ht="12.5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spans="1:26" ht="12.5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spans="1:26" ht="12.5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spans="1:26" ht="12.5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spans="1:26" ht="12.5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spans="1:26" ht="12.5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spans="1:26" ht="12.5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spans="1:26" ht="12.5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spans="1:26" ht="12.5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spans="1:26" ht="12.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spans="1:26" ht="12.5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spans="1:26" ht="12.5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spans="1:26" ht="12.5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spans="1:26" ht="12.5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spans="1:26" ht="12.5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spans="1:26" ht="12.5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spans="1:26" ht="12.5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spans="1:26" ht="12.5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spans="1:26" ht="12.5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spans="1:26" ht="12.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spans="1:26" ht="12.5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spans="1:26" ht="12.5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spans="1:26" ht="12.5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spans="1:26" ht="12.5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spans="1:26" ht="12.5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spans="1:26" ht="12.5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spans="1:26" ht="12.5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spans="1:26" ht="12.5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spans="1:26" ht="12.5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spans="1:26" ht="12.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spans="1:26" ht="12.5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spans="1:26" ht="12.5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spans="1:26" ht="12.5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spans="1:26" ht="12.5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spans="1:26" ht="12.5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spans="1:26" ht="12.5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spans="1:26" ht="12.5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spans="1:26" ht="12.5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spans="1:26" ht="12.5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spans="1:26" ht="12.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spans="1:26" ht="12.5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spans="1:26" ht="12.5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spans="1:26" ht="12.5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spans="1:26" ht="12.5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spans="1:26" ht="12.5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spans="1:26" ht="12.5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spans="1:26" ht="12.5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spans="1:26" ht="12.5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spans="1:26" ht="12.5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spans="1:26" ht="12.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spans="1:26" ht="12.5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spans="1:26" ht="12.5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spans="1:26" ht="12.5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spans="1:26" ht="12.5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spans="1:26" ht="12.5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spans="1:26" ht="12.5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spans="1:26" ht="12.5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spans="1:26" ht="12.5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spans="1:26" ht="12.5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spans="1:26" ht="12.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spans="1:26" ht="12.5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spans="1:26" ht="12.5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spans="1:26" ht="12.5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spans="1:26" ht="12.5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spans="1:26" ht="12.5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spans="1:26" ht="12.5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spans="1:26" ht="12.5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spans="1:26" ht="12.5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spans="1:26" ht="12.5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ht="12.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ht="12.5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ht="12.5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spans="1:26" ht="12.5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spans="1:26" ht="12.5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spans="1:26" ht="12.5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spans="1:26" ht="12.5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spans="1:26" ht="12.5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spans="1:26" ht="12.5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spans="1:26" ht="12.5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spans="1:26" ht="12.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spans="1:26" ht="12.5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spans="1:26" ht="12.5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spans="1:26" ht="12.5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spans="1:26" ht="12.5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ht="12.5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ht="12.5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ht="12.5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ht="12.5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ht="12.5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ht="12.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ht="12.5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ht="12.5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ht="12.5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ht="12.5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ht="12.5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ht="12.5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ht="12.5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ht="12.5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ht="12.5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ht="12.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ht="12.5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ht="12.5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ht="12.5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ht="12.5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spans="1:26" ht="12.5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spans="1:26" ht="12.5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spans="1:26" ht="12.5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spans="1:26" ht="12.5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ht="12.5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ht="12.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ht="12.5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spans="1:26" ht="12.5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spans="1:26" ht="12.5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spans="1:26" ht="12.5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ht="12.5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ht="12.5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ht="12.5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ht="12.5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ht="12.5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ht="12.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ht="12.5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ht="12.5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ht="12.5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ht="12.5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ht="12.5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ht="12.5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ht="12.5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ht="12.5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ht="12.5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ht="12.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ht="12.5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ht="12.5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ht="12.5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ht="12.5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ht="12.5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ht="12.5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ht="12.5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ht="12.5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ht="12.5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ht="12.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ht="12.5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ht="12.5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ht="12.5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ht="12.5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ht="12.5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ht="12.5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ht="12.5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ht="12.5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ht="12.5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ht="12.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ht="12.5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ht="12.5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ht="12.5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ht="12.5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ht="12.5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ht="12.5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ht="12.5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ht="12.5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ht="12.5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ht="12.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ht="12.5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ht="12.5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ht="12.5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ht="12.5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ht="12.5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ht="12.5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ht="12.5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ht="12.5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ht="12.5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ht="12.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ht="12.5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ht="12.5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ht="12.5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ht="12.5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ht="12.5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ht="12.5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ht="12.5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ht="12.5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ht="12.5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ht="12.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ht="12.5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ht="12.5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ht="12.5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ht="12.5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ht="12.5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ht="12.5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ht="12.5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ht="12.5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ht="12.5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ht="12.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ht="12.5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ht="12.5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ht="12.5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ht="12.5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ht="12.5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ht="12.5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ht="12.5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ht="12.5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ht="12.5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ht="12.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ht="12.5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ht="12.5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ht="12.5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ht="12.5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ht="12.5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ht="12.5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ht="12.5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ht="12.5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ht="12.5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ht="12.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ht="12.5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ht="12.5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ht="12.5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ht="12.5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ht="12.5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ht="12.5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ht="12.5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ht="12.5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ht="12.5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ht="12.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ht="12.5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ht="12.5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ht="12.5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ht="12.5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ht="12.5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ht="12.5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ht="12.5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ht="12.5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ht="12.5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ht="12.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ht="12.5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ht="12.5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ht="12.5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ht="12.5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ht="12.5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ht="12.5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ht="12.5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ht="12.5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ht="12.5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ht="12.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ht="12.5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ht="12.5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ht="12.5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ht="12.5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ht="12.5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ht="12.5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ht="12.5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ht="12.5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ht="12.5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ht="12.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ht="12.5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ht="12.5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ht="12.5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ht="12.5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ht="12.5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ht="12.5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ht="12.5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ht="12.5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ht="12.5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ht="12.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ht="12.5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ht="12.5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ht="12.5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ht="12.5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ht="12.5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ht="12.5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ht="12.5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ht="12.5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ht="12.5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ht="12.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ht="12.5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ht="12.5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ht="12.5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ht="12.5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ht="12.5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ht="12.5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ht="12.5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ht="12.5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ht="12.5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ht="12.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ht="12.5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ht="12.5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ht="12.5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ht="12.5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ht="12.5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ht="12.5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ht="12.5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ht="12.5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ht="12.5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ht="12.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ht="12.5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ht="12.5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ht="12.5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ht="12.5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ht="12.5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ht="12.5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ht="12.5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ht="12.5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ht="12.5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ht="12.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ht="12.5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ht="12.5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ht="12.5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ht="12.5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ht="12.5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ht="12.5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ht="12.5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ht="12.5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ht="12.5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ht="12.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ht="12.5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ht="12.5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ht="12.5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ht="12.5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ht="12.5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ht="12.5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ht="12.5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ht="12.5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ht="12.5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ht="12.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ht="12.5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ht="12.5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ht="12.5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ht="12.5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ht="12.5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ht="12.5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ht="12.5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ht="12.5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ht="12.5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ht="12.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ht="12.5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ht="12.5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ht="12.5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ht="12.5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ht="12.5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ht="12.5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ht="12.5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ht="12.5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ht="12.5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ht="12.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ht="12.5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ht="12.5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ht="12.5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ht="12.5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ht="12.5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ht="12.5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ht="12.5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ht="12.5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ht="12.5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ht="12.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ht="12.5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ht="12.5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ht="12.5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ht="12.5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ht="12.5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ht="12.5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ht="12.5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ht="12.5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ht="12.5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ht="12.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ht="12.5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ht="12.5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ht="12.5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ht="12.5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ht="12.5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ht="12.5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ht="12.5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ht="12.5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ht="12.5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ht="12.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ht="12.5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ht="12.5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ht="12.5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ht="12.5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ht="12.5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ht="12.5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ht="12.5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ht="12.5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ht="12.5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ht="12.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ht="12.5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ht="12.5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ht="12.5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ht="12.5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ht="12.5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ht="12.5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ht="12.5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ht="12.5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ht="12.5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ht="12.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ht="12.5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ht="12.5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ht="12.5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ht="12.5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ht="12.5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ht="12.5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ht="12.5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ht="12.5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ht="12.5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ht="12.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ht="12.5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ht="12.5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ht="12.5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ht="12.5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ht="12.5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ht="12.5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ht="12.5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ht="12.5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ht="12.5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ht="12.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ht="12.5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spans="1:26" ht="12.5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spans="1:26" ht="12.5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spans="1:26" ht="12.5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spans="1:26" ht="12.5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spans="1:26" ht="12.5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spans="1:26" ht="12.5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spans="1:26" ht="12.5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spans="1:26" ht="12.5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spans="1:26" ht="12.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spans="1:26" ht="12.5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spans="1:26" ht="12.5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spans="1:26" ht="12.5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spans="1:26" ht="12.5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spans="1:26" ht="12.5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spans="1:26" ht="12.5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spans="1:26" ht="12.5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spans="1:26" ht="12.5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spans="1:26" ht="12.5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spans="1:26" ht="12.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spans="1:26" ht="12.5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spans="1:26" ht="12.5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spans="1:26" ht="12.5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spans="1:26" ht="12.5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spans="1:26" ht="12.5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spans="1:26" ht="12.5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spans="1:26" ht="12.5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spans="1:26" ht="12.5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spans="1:26" ht="12.5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spans="1:26" ht="12.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spans="1:26" ht="12.5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spans="1:26" ht="12.5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spans="1:26" ht="12.5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spans="1:26" ht="12.5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spans="1:26" ht="12.5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spans="1:26" ht="12.5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spans="1:26" ht="12.5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spans="1:26" ht="12.5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spans="1:26" ht="12.5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spans="1:26" ht="12.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spans="1:26" ht="12.5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spans="1:26" ht="12.5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spans="1:26" ht="12.5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spans="1:26" ht="12.5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spans="1:26" ht="12.5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spans="1:26" ht="12.5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spans="1:26" ht="12.5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spans="1:26" ht="12.5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spans="1:26" ht="12.5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spans="1:26" ht="12.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spans="1:26" ht="12.5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spans="1:26" ht="12.5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spans="1:26" ht="12.5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spans="1:26" ht="12.5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spans="1:26" ht="12.5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spans="1:26" ht="12.5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spans="1:26" ht="12.5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spans="1:26" ht="12.5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spans="1:26" ht="12.5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spans="1:26" ht="12.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spans="1:26" ht="12.5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spans="1:26" ht="12.5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spans="1:26" ht="12.5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spans="1:26" ht="12.5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spans="1:26" ht="12.5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spans="1:26" ht="12.5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spans="1:26" ht="12.5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spans="1:26" ht="12.5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spans="1:26" ht="12.5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spans="1:26" ht="12.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spans="1:26" ht="12.5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spans="1:26" ht="12.5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spans="1:26" ht="12.5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spans="1:26" ht="12.5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spans="1:26" ht="12.5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spans="1:26" ht="12.5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spans="1:26" ht="12.5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spans="1:26" ht="12.5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spans="1:26" ht="12.5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spans="1:26" ht="12.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spans="1:26" ht="12.5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spans="1:26" ht="12.5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spans="1:26" ht="12.5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spans="1:26" ht="12.5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spans="1:26" ht="12.5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spans="1:26" ht="12.5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spans="1:26" ht="12.5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spans="1:26" ht="12.5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spans="1:26" ht="12.5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spans="1:26" ht="12.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spans="1:26" ht="12.5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spans="1:26" ht="12.5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spans="1:26" ht="12.5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spans="1:26" ht="12.5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spans="1:26" ht="12.5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spans="1:26" ht="12.5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spans="1:26" ht="12.5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spans="1:26" ht="12.5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spans="1:26" ht="12.5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spans="1:26" ht="12.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spans="1:26" ht="12.5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spans="1:26" ht="12.5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spans="1:26" ht="12.5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spans="1:26" ht="12.5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spans="1:26" ht="12.5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spans="1:26" ht="12.5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spans="1:26" ht="12.5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spans="1:26" ht="12.5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spans="1:26" ht="12.5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spans="1:26" ht="12.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spans="1:26" ht="12.5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spans="1:26" ht="12.5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spans="1:26" ht="12.5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spans="1:26" ht="12.5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spans="1:26" ht="12.5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spans="1:26" ht="12.5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spans="1:26" ht="12.5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spans="1:26" ht="12.5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spans="1:26" ht="12.5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spans="1:26" ht="12.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spans="1:26" ht="12.5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spans="1:26" ht="12.5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spans="1:26" ht="12.5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spans="1:26" ht="12.5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spans="1:26" ht="12.5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spans="1:26" ht="12.5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spans="1:26" ht="12.5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spans="1:26" ht="12.5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spans="1:26" ht="12.5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spans="1:26" ht="12.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spans="1:26" ht="12.5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spans="1:26" ht="12.5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spans="1:26" ht="12.5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spans="1:26" ht="12.5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spans="1:26" ht="12.5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  <row r="1001" spans="1:26" ht="12.5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</row>
    <row r="1002" spans="1:26" ht="12.5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</row>
    <row r="1003" spans="1:26" ht="12.5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  <c r="X1003" s="151"/>
      <c r="Y1003" s="151"/>
      <c r="Z1003" s="151"/>
    </row>
    <row r="1004" spans="1:26" ht="12.5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  <c r="X1004" s="151"/>
      <c r="Y1004" s="151"/>
      <c r="Z1004" s="151"/>
    </row>
    <row r="1005" spans="1:26" ht="12.5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  <c r="X1005" s="151"/>
      <c r="Y1005" s="151"/>
      <c r="Z1005" s="151"/>
    </row>
    <row r="1006" spans="1:26" ht="12.5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  <c r="V1006" s="151"/>
      <c r="W1006" s="151"/>
      <c r="X1006" s="151"/>
      <c r="Y1006" s="151"/>
      <c r="Z1006" s="151"/>
    </row>
    <row r="1007" spans="1:26" ht="12.5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  <c r="V1007" s="151"/>
      <c r="W1007" s="151"/>
      <c r="X1007" s="151"/>
      <c r="Y1007" s="151"/>
      <c r="Z1007" s="151"/>
    </row>
    <row r="1008" spans="1:26" ht="12.5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  <c r="V1008" s="151"/>
      <c r="W1008" s="151"/>
      <c r="X1008" s="151"/>
      <c r="Y1008" s="151"/>
      <c r="Z1008" s="151"/>
    </row>
    <row r="1009" spans="1:26" ht="12.5">
      <c r="A1009" s="151"/>
      <c r="B1009" s="151"/>
      <c r="C1009" s="151"/>
      <c r="D1009" s="151"/>
      <c r="E1009" s="151"/>
      <c r="F1009" s="151"/>
      <c r="G1009" s="15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  <c r="V1009" s="151"/>
      <c r="W1009" s="151"/>
      <c r="X1009" s="151"/>
      <c r="Y1009" s="151"/>
      <c r="Z1009" s="151"/>
    </row>
    <row r="1010" spans="1:26" ht="12.5">
      <c r="A1010" s="151"/>
      <c r="B1010" s="151"/>
      <c r="C1010" s="151"/>
      <c r="D1010" s="151"/>
      <c r="E1010" s="151"/>
      <c r="F1010" s="151"/>
      <c r="G1010" s="151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  <c r="U1010" s="151"/>
      <c r="V1010" s="151"/>
      <c r="W1010" s="151"/>
      <c r="X1010" s="151"/>
      <c r="Y1010" s="151"/>
      <c r="Z1010" s="151"/>
    </row>
    <row r="1011" spans="1:26" ht="12.5">
      <c r="A1011" s="151"/>
      <c r="B1011" s="151"/>
      <c r="C1011" s="151"/>
      <c r="D1011" s="151"/>
      <c r="E1011" s="151"/>
      <c r="F1011" s="151"/>
      <c r="G1011" s="151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  <c r="U1011" s="151"/>
      <c r="V1011" s="151"/>
      <c r="W1011" s="151"/>
      <c r="X1011" s="151"/>
      <c r="Y1011" s="151"/>
      <c r="Z1011" s="151"/>
    </row>
    <row r="1012" spans="1:26" ht="12.5">
      <c r="A1012" s="151"/>
      <c r="B1012" s="151"/>
      <c r="C1012" s="151"/>
      <c r="D1012" s="151"/>
      <c r="E1012" s="151"/>
      <c r="F1012" s="151"/>
      <c r="G1012" s="151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  <c r="U1012" s="151"/>
      <c r="V1012" s="151"/>
      <c r="W1012" s="151"/>
      <c r="X1012" s="151"/>
      <c r="Y1012" s="151"/>
      <c r="Z1012" s="151"/>
    </row>
    <row r="1013" spans="1:26" ht="12.5">
      <c r="A1013" s="151"/>
      <c r="B1013" s="151"/>
      <c r="C1013" s="151"/>
      <c r="D1013" s="151"/>
      <c r="E1013" s="151"/>
      <c r="F1013" s="151"/>
      <c r="G1013" s="151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  <c r="U1013" s="151"/>
      <c r="V1013" s="151"/>
      <c r="W1013" s="151"/>
      <c r="X1013" s="151"/>
      <c r="Y1013" s="151"/>
      <c r="Z1013" s="151"/>
    </row>
  </sheetData>
  <mergeCells count="515">
    <mergeCell ref="M48:N48"/>
    <mergeCell ref="O48:P48"/>
    <mergeCell ref="Q48:R48"/>
    <mergeCell ref="S48:T48"/>
    <mergeCell ref="O49:P49"/>
    <mergeCell ref="Q49:R49"/>
    <mergeCell ref="S49:T49"/>
    <mergeCell ref="M49:N49"/>
    <mergeCell ref="M50:N50"/>
    <mergeCell ref="O50:P50"/>
    <mergeCell ref="Q50:R50"/>
    <mergeCell ref="S50:T50"/>
    <mergeCell ref="M38:N38"/>
    <mergeCell ref="O38:P38"/>
    <mergeCell ref="Q38:R38"/>
    <mergeCell ref="S38:T38"/>
    <mergeCell ref="K38:L38"/>
    <mergeCell ref="K39:L39"/>
    <mergeCell ref="M39:N39"/>
    <mergeCell ref="O39:P39"/>
    <mergeCell ref="Q39:R39"/>
    <mergeCell ref="S39:T39"/>
    <mergeCell ref="M37:N37"/>
    <mergeCell ref="O37:P37"/>
    <mergeCell ref="Q37:R37"/>
    <mergeCell ref="S37:T37"/>
    <mergeCell ref="U37:V37"/>
    <mergeCell ref="K33:L33"/>
    <mergeCell ref="K34:L34"/>
    <mergeCell ref="M34:N34"/>
    <mergeCell ref="O34:P34"/>
    <mergeCell ref="Q34:R34"/>
    <mergeCell ref="S34:T34"/>
    <mergeCell ref="M33:N33"/>
    <mergeCell ref="O33:P33"/>
    <mergeCell ref="Q33:R33"/>
    <mergeCell ref="S33:T33"/>
    <mergeCell ref="D7:D8"/>
    <mergeCell ref="D9:D11"/>
    <mergeCell ref="B7:C8"/>
    <mergeCell ref="E7:G7"/>
    <mergeCell ref="H7:H8"/>
    <mergeCell ref="I7:I8"/>
    <mergeCell ref="J7:J8"/>
    <mergeCell ref="F8:G8"/>
    <mergeCell ref="B9:C35"/>
    <mergeCell ref="D33:D35"/>
    <mergeCell ref="F33:G33"/>
    <mergeCell ref="F34:G34"/>
    <mergeCell ref="X2:Y2"/>
    <mergeCell ref="P3:Y3"/>
    <mergeCell ref="P4:S4"/>
    <mergeCell ref="T4:V4"/>
    <mergeCell ref="W4:Y4"/>
    <mergeCell ref="U6:Y6"/>
    <mergeCell ref="B2:U2"/>
    <mergeCell ref="V2:W2"/>
    <mergeCell ref="B3:B4"/>
    <mergeCell ref="C3:E4"/>
    <mergeCell ref="F3:G4"/>
    <mergeCell ref="H3:J4"/>
    <mergeCell ref="K3:O4"/>
    <mergeCell ref="C5:E5"/>
    <mergeCell ref="F5:G5"/>
    <mergeCell ref="H5:J5"/>
    <mergeCell ref="K5:O5"/>
    <mergeCell ref="P5:S5"/>
    <mergeCell ref="T5:V5"/>
    <mergeCell ref="W5:Y5"/>
    <mergeCell ref="U36:V36"/>
    <mergeCell ref="W36:X36"/>
    <mergeCell ref="M30:N30"/>
    <mergeCell ref="O30:P30"/>
    <mergeCell ref="U32:V32"/>
    <mergeCell ref="Y33:Y35"/>
    <mergeCell ref="K36:L36"/>
    <mergeCell ref="M36:N36"/>
    <mergeCell ref="O36:P36"/>
    <mergeCell ref="Q36:R36"/>
    <mergeCell ref="S36:T36"/>
    <mergeCell ref="Q35:R35"/>
    <mergeCell ref="S35:T35"/>
    <mergeCell ref="M35:N35"/>
    <mergeCell ref="O35:P35"/>
    <mergeCell ref="Q51:R51"/>
    <mergeCell ref="S51:T51"/>
    <mergeCell ref="O74:P74"/>
    <mergeCell ref="Q74:R74"/>
    <mergeCell ref="Q72:R72"/>
    <mergeCell ref="S72:T72"/>
    <mergeCell ref="M73:N73"/>
    <mergeCell ref="O73:P73"/>
    <mergeCell ref="Q73:R73"/>
    <mergeCell ref="S73:T73"/>
    <mergeCell ref="M74:N74"/>
    <mergeCell ref="S74:T74"/>
    <mergeCell ref="M51:N51"/>
    <mergeCell ref="O51:P51"/>
    <mergeCell ref="O57:P57"/>
    <mergeCell ref="Q57:R57"/>
    <mergeCell ref="Q55:R55"/>
    <mergeCell ref="S55:T55"/>
    <mergeCell ref="M56:N56"/>
    <mergeCell ref="O56:P56"/>
    <mergeCell ref="Q56:R56"/>
    <mergeCell ref="S56:T56"/>
    <mergeCell ref="S57:T57"/>
    <mergeCell ref="Q47:R47"/>
    <mergeCell ref="S47:T47"/>
    <mergeCell ref="M45:N45"/>
    <mergeCell ref="M46:N46"/>
    <mergeCell ref="O46:P46"/>
    <mergeCell ref="Q46:R46"/>
    <mergeCell ref="S46:T46"/>
    <mergeCell ref="M47:N47"/>
    <mergeCell ref="O47:P47"/>
    <mergeCell ref="O40:P40"/>
    <mergeCell ref="Q40:R40"/>
    <mergeCell ref="M41:N41"/>
    <mergeCell ref="O41:P41"/>
    <mergeCell ref="Q41:R41"/>
    <mergeCell ref="S41:T41"/>
    <mergeCell ref="S42:T42"/>
    <mergeCell ref="O45:P45"/>
    <mergeCell ref="Q45:R45"/>
    <mergeCell ref="O42:P42"/>
    <mergeCell ref="Q42:R42"/>
    <mergeCell ref="M44:N44"/>
    <mergeCell ref="O44:P44"/>
    <mergeCell ref="Q44:R44"/>
    <mergeCell ref="S44:T44"/>
    <mergeCell ref="S45:T45"/>
    <mergeCell ref="M40:N40"/>
    <mergeCell ref="S40:T40"/>
    <mergeCell ref="M42:N42"/>
    <mergeCell ref="M43:N43"/>
    <mergeCell ref="O43:P43"/>
    <mergeCell ref="Q43:R43"/>
    <mergeCell ref="S43:T43"/>
    <mergeCell ref="M69:N69"/>
    <mergeCell ref="O69:P69"/>
    <mergeCell ref="Q69:R69"/>
    <mergeCell ref="S69:T69"/>
    <mergeCell ref="O70:P70"/>
    <mergeCell ref="Q70:R70"/>
    <mergeCell ref="S70:T70"/>
    <mergeCell ref="K75:N75"/>
    <mergeCell ref="O75:R75"/>
    <mergeCell ref="S75:V75"/>
    <mergeCell ref="M70:N70"/>
    <mergeCell ref="M71:N71"/>
    <mergeCell ref="O71:P71"/>
    <mergeCell ref="Q71:R71"/>
    <mergeCell ref="S71:T71"/>
    <mergeCell ref="M72:N72"/>
    <mergeCell ref="O72:P72"/>
    <mergeCell ref="Q67:R68"/>
    <mergeCell ref="S67:T68"/>
    <mergeCell ref="M65:N65"/>
    <mergeCell ref="M66:N66"/>
    <mergeCell ref="O66:P66"/>
    <mergeCell ref="Q66:R66"/>
    <mergeCell ref="S66:T66"/>
    <mergeCell ref="M67:N68"/>
    <mergeCell ref="O67:P68"/>
    <mergeCell ref="M62:N62"/>
    <mergeCell ref="O62:P62"/>
    <mergeCell ref="Q62:R62"/>
    <mergeCell ref="S62:T62"/>
    <mergeCell ref="M63:N63"/>
    <mergeCell ref="O63:P63"/>
    <mergeCell ref="O65:P65"/>
    <mergeCell ref="Q65:R65"/>
    <mergeCell ref="Q63:R63"/>
    <mergeCell ref="S63:T63"/>
    <mergeCell ref="M64:N64"/>
    <mergeCell ref="O64:P64"/>
    <mergeCell ref="Q64:R64"/>
    <mergeCell ref="S64:T64"/>
    <mergeCell ref="S65:T65"/>
    <mergeCell ref="M59:N59"/>
    <mergeCell ref="O59:P59"/>
    <mergeCell ref="M60:N60"/>
    <mergeCell ref="O60:P60"/>
    <mergeCell ref="Q60:R60"/>
    <mergeCell ref="S60:T60"/>
    <mergeCell ref="O61:P61"/>
    <mergeCell ref="Q61:R61"/>
    <mergeCell ref="S61:T61"/>
    <mergeCell ref="M61:N61"/>
    <mergeCell ref="W69:X69"/>
    <mergeCell ref="W70:X72"/>
    <mergeCell ref="U73:V73"/>
    <mergeCell ref="W73:X73"/>
    <mergeCell ref="U74:V74"/>
    <mergeCell ref="W74:X74"/>
    <mergeCell ref="W75:X75"/>
    <mergeCell ref="M52:N52"/>
    <mergeCell ref="O52:P52"/>
    <mergeCell ref="Q52:R52"/>
    <mergeCell ref="S52:T52"/>
    <mergeCell ref="O53:P53"/>
    <mergeCell ref="Q53:R53"/>
    <mergeCell ref="S53:T53"/>
    <mergeCell ref="M53:N53"/>
    <mergeCell ref="M54:N54"/>
    <mergeCell ref="O54:P54"/>
    <mergeCell ref="Q54:R54"/>
    <mergeCell ref="S54:T54"/>
    <mergeCell ref="M55:N55"/>
    <mergeCell ref="O55:P55"/>
    <mergeCell ref="Q59:R59"/>
    <mergeCell ref="S59:T59"/>
    <mergeCell ref="M57:N57"/>
    <mergeCell ref="U33:V33"/>
    <mergeCell ref="W33:X35"/>
    <mergeCell ref="U34:V34"/>
    <mergeCell ref="U35:V35"/>
    <mergeCell ref="W37:X66"/>
    <mergeCell ref="Y37:Y66"/>
    <mergeCell ref="U38:V38"/>
    <mergeCell ref="U70:V70"/>
    <mergeCell ref="U71:V71"/>
    <mergeCell ref="U65:V65"/>
    <mergeCell ref="U66:V66"/>
    <mergeCell ref="U67:V68"/>
    <mergeCell ref="W67:X68"/>
    <mergeCell ref="Y67:Y68"/>
    <mergeCell ref="U69:V69"/>
    <mergeCell ref="Y70:Y72"/>
    <mergeCell ref="U72:V72"/>
    <mergeCell ref="U53:V53"/>
    <mergeCell ref="U54:V54"/>
    <mergeCell ref="U55:V55"/>
    <mergeCell ref="U56:V56"/>
    <mergeCell ref="U57:V57"/>
    <mergeCell ref="U58:V58"/>
    <mergeCell ref="U59:V59"/>
    <mergeCell ref="B75:J75"/>
    <mergeCell ref="U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52:V52"/>
    <mergeCell ref="U60:V60"/>
    <mergeCell ref="U61:V61"/>
    <mergeCell ref="U62:V62"/>
    <mergeCell ref="U63:V63"/>
    <mergeCell ref="U64:V64"/>
    <mergeCell ref="M58:N58"/>
    <mergeCell ref="O58:P58"/>
    <mergeCell ref="Q58:R58"/>
    <mergeCell ref="S58:T58"/>
    <mergeCell ref="K74:L74"/>
    <mergeCell ref="K64:L64"/>
    <mergeCell ref="K65:L65"/>
    <mergeCell ref="K66:L66"/>
    <mergeCell ref="K67:L68"/>
    <mergeCell ref="K69:L69"/>
    <mergeCell ref="K70:L70"/>
    <mergeCell ref="K71:L71"/>
    <mergeCell ref="B74:J74"/>
    <mergeCell ref="F35:G35"/>
    <mergeCell ref="B37:C66"/>
    <mergeCell ref="F37:G37"/>
    <mergeCell ref="F38:G38"/>
    <mergeCell ref="F39:G39"/>
    <mergeCell ref="G42:G50"/>
    <mergeCell ref="G51:G59"/>
    <mergeCell ref="F70:J70"/>
    <mergeCell ref="F71:J71"/>
    <mergeCell ref="B36:G36"/>
    <mergeCell ref="K35:L35"/>
    <mergeCell ref="K51:L51"/>
    <mergeCell ref="K52:L52"/>
    <mergeCell ref="K53:L53"/>
    <mergeCell ref="K54:L54"/>
    <mergeCell ref="K55:L55"/>
    <mergeCell ref="K56:L56"/>
    <mergeCell ref="K57:L57"/>
    <mergeCell ref="K58:L58"/>
    <mergeCell ref="K46:L46"/>
    <mergeCell ref="K47:L47"/>
    <mergeCell ref="K48:L48"/>
    <mergeCell ref="K49:L49"/>
    <mergeCell ref="K50:L50"/>
    <mergeCell ref="F72:J72"/>
    <mergeCell ref="F73:J73"/>
    <mergeCell ref="G60:G66"/>
    <mergeCell ref="B67:G68"/>
    <mergeCell ref="H67:H68"/>
    <mergeCell ref="I67:I68"/>
    <mergeCell ref="J67:J68"/>
    <mergeCell ref="B69:G69"/>
    <mergeCell ref="B70:E73"/>
    <mergeCell ref="K59:L59"/>
    <mergeCell ref="K60:L60"/>
    <mergeCell ref="K61:L61"/>
    <mergeCell ref="K62:L62"/>
    <mergeCell ref="K63:L63"/>
    <mergeCell ref="K72:L72"/>
    <mergeCell ref="K73:L73"/>
    <mergeCell ref="F40:G40"/>
    <mergeCell ref="K40:L40"/>
    <mergeCell ref="F41:G41"/>
    <mergeCell ref="K41:L41"/>
    <mergeCell ref="K37:L37"/>
    <mergeCell ref="K42:L42"/>
    <mergeCell ref="K43:L43"/>
    <mergeCell ref="K44:L44"/>
    <mergeCell ref="K45:L45"/>
    <mergeCell ref="K30:L30"/>
    <mergeCell ref="K32:L32"/>
    <mergeCell ref="F28:G28"/>
    <mergeCell ref="D29:D32"/>
    <mergeCell ref="F29:G29"/>
    <mergeCell ref="W29:X32"/>
    <mergeCell ref="Y29:Y32"/>
    <mergeCell ref="U30:V30"/>
    <mergeCell ref="F32:G32"/>
    <mergeCell ref="Q30:R30"/>
    <mergeCell ref="S30:T30"/>
    <mergeCell ref="F30:G30"/>
    <mergeCell ref="F31:G31"/>
    <mergeCell ref="K31:L31"/>
    <mergeCell ref="M31:N31"/>
    <mergeCell ref="O31:P31"/>
    <mergeCell ref="Q31:R31"/>
    <mergeCell ref="S31:T31"/>
    <mergeCell ref="U31:V31"/>
    <mergeCell ref="M32:N32"/>
    <mergeCell ref="O32:P32"/>
    <mergeCell ref="Q32:R32"/>
    <mergeCell ref="S32:T32"/>
    <mergeCell ref="K29:L29"/>
    <mergeCell ref="M29:N29"/>
    <mergeCell ref="O29:P29"/>
    <mergeCell ref="Q29:R29"/>
    <mergeCell ref="S29:T29"/>
    <mergeCell ref="U29:V29"/>
    <mergeCell ref="O25:P25"/>
    <mergeCell ref="Q25:R25"/>
    <mergeCell ref="M28:N28"/>
    <mergeCell ref="O28:P28"/>
    <mergeCell ref="Q28:R28"/>
    <mergeCell ref="S28:T28"/>
    <mergeCell ref="U28:V28"/>
    <mergeCell ref="S27:T27"/>
    <mergeCell ref="U27:V27"/>
    <mergeCell ref="D24:D28"/>
    <mergeCell ref="F24:G24"/>
    <mergeCell ref="X24:X28"/>
    <mergeCell ref="Y24:Y28"/>
    <mergeCell ref="F25:G25"/>
    <mergeCell ref="M25:N25"/>
    <mergeCell ref="U26:V26"/>
    <mergeCell ref="S25:T25"/>
    <mergeCell ref="U25:V25"/>
    <mergeCell ref="K25:L25"/>
    <mergeCell ref="K26:L26"/>
    <mergeCell ref="M26:N26"/>
    <mergeCell ref="O26:P26"/>
    <mergeCell ref="Q26:R26"/>
    <mergeCell ref="S26:T26"/>
    <mergeCell ref="F26:G26"/>
    <mergeCell ref="F27:G27"/>
    <mergeCell ref="K27:L27"/>
    <mergeCell ref="M27:N27"/>
    <mergeCell ref="O27:P27"/>
    <mergeCell ref="Q27:R27"/>
    <mergeCell ref="K28:L28"/>
    <mergeCell ref="S24:T24"/>
    <mergeCell ref="U24:V24"/>
    <mergeCell ref="D22:D23"/>
    <mergeCell ref="F22:G22"/>
    <mergeCell ref="F23:G23"/>
    <mergeCell ref="K24:L24"/>
    <mergeCell ref="M24:N24"/>
    <mergeCell ref="O24:P24"/>
    <mergeCell ref="Q24:R24"/>
    <mergeCell ref="U23:V23"/>
    <mergeCell ref="Y20:Y23"/>
    <mergeCell ref="X22:X23"/>
    <mergeCell ref="K19:L19"/>
    <mergeCell ref="M19:N19"/>
    <mergeCell ref="Q21:R21"/>
    <mergeCell ref="S21:T21"/>
    <mergeCell ref="U21:V21"/>
    <mergeCell ref="K22:L22"/>
    <mergeCell ref="U22:V22"/>
    <mergeCell ref="M22:N22"/>
    <mergeCell ref="O22:P22"/>
    <mergeCell ref="K23:L23"/>
    <mergeCell ref="M23:N23"/>
    <mergeCell ref="O23:P23"/>
    <mergeCell ref="Q22:R22"/>
    <mergeCell ref="S22:T22"/>
    <mergeCell ref="Q23:R23"/>
    <mergeCell ref="S23:T23"/>
    <mergeCell ref="F21:G21"/>
    <mergeCell ref="K21:L21"/>
    <mergeCell ref="D18:D21"/>
    <mergeCell ref="F18:G18"/>
    <mergeCell ref="S18:T18"/>
    <mergeCell ref="U18:V18"/>
    <mergeCell ref="Y18:Y19"/>
    <mergeCell ref="F19:G19"/>
    <mergeCell ref="U20:V20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X18:X19"/>
    <mergeCell ref="X20:X21"/>
    <mergeCell ref="M21:N21"/>
    <mergeCell ref="O21:P21"/>
    <mergeCell ref="K17:L17"/>
    <mergeCell ref="K18:L18"/>
    <mergeCell ref="M18:N18"/>
    <mergeCell ref="O18:P18"/>
    <mergeCell ref="Q18:R18"/>
    <mergeCell ref="D15:D17"/>
    <mergeCell ref="F15:G15"/>
    <mergeCell ref="F16:G16"/>
    <mergeCell ref="F17:G17"/>
    <mergeCell ref="M17:N17"/>
    <mergeCell ref="O17:P17"/>
    <mergeCell ref="Q17:R17"/>
    <mergeCell ref="D12:D14"/>
    <mergeCell ref="F12:G12"/>
    <mergeCell ref="M12:N12"/>
    <mergeCell ref="O12:P12"/>
    <mergeCell ref="Q12:R12"/>
    <mergeCell ref="Q13:R13"/>
    <mergeCell ref="M16:N16"/>
    <mergeCell ref="O16:P16"/>
    <mergeCell ref="K12:L12"/>
    <mergeCell ref="K13:L13"/>
    <mergeCell ref="K15:L15"/>
    <mergeCell ref="M15:N15"/>
    <mergeCell ref="O15:P15"/>
    <mergeCell ref="Q15:R15"/>
    <mergeCell ref="K16:L16"/>
    <mergeCell ref="Q16:R16"/>
    <mergeCell ref="M13:N13"/>
    <mergeCell ref="O13:P13"/>
    <mergeCell ref="F13:G13"/>
    <mergeCell ref="F14:G14"/>
    <mergeCell ref="K14:L14"/>
    <mergeCell ref="M14:N14"/>
    <mergeCell ref="O14:P14"/>
    <mergeCell ref="Q14:R14"/>
    <mergeCell ref="F11:G11"/>
    <mergeCell ref="S16:T16"/>
    <mergeCell ref="U16:V16"/>
    <mergeCell ref="S17:T17"/>
    <mergeCell ref="U17:V17"/>
    <mergeCell ref="S9:T9"/>
    <mergeCell ref="U9:V9"/>
    <mergeCell ref="Y9:Y17"/>
    <mergeCell ref="U10:V10"/>
    <mergeCell ref="U11:V11"/>
    <mergeCell ref="U12:V12"/>
    <mergeCell ref="X15:X17"/>
    <mergeCell ref="S11:T11"/>
    <mergeCell ref="S12:T12"/>
    <mergeCell ref="X9:X11"/>
    <mergeCell ref="X12:X14"/>
    <mergeCell ref="S13:T13"/>
    <mergeCell ref="U13:V13"/>
    <mergeCell ref="S14:T14"/>
    <mergeCell ref="U14:V14"/>
    <mergeCell ref="S15:T15"/>
    <mergeCell ref="U15:V15"/>
    <mergeCell ref="S10:T10"/>
    <mergeCell ref="K9:L9"/>
    <mergeCell ref="M9:N9"/>
    <mergeCell ref="O9:P9"/>
    <mergeCell ref="Q9:R9"/>
    <mergeCell ref="M11:N11"/>
    <mergeCell ref="O11:P11"/>
    <mergeCell ref="F9:G9"/>
    <mergeCell ref="F10:G10"/>
    <mergeCell ref="K10:L10"/>
    <mergeCell ref="M10:N10"/>
    <mergeCell ref="O10:P10"/>
    <mergeCell ref="Q10:R10"/>
    <mergeCell ref="K11:L11"/>
    <mergeCell ref="Q11:R11"/>
    <mergeCell ref="O7:R7"/>
    <mergeCell ref="S7:V7"/>
    <mergeCell ref="W7:X8"/>
    <mergeCell ref="Y7:Y8"/>
    <mergeCell ref="O8:P8"/>
    <mergeCell ref="Q8:R8"/>
    <mergeCell ref="S8:T8"/>
    <mergeCell ref="U8:V8"/>
    <mergeCell ref="K7:N7"/>
    <mergeCell ref="K8:L8"/>
    <mergeCell ref="M8:N8"/>
  </mergeCells>
  <phoneticPr fontId="64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Z1014"/>
  <sheetViews>
    <sheetView workbookViewId="0"/>
  </sheetViews>
  <sheetFormatPr defaultColWidth="12.6328125" defaultRowHeight="15.75" customHeight="1"/>
  <cols>
    <col min="1" max="1" width="4.08984375" customWidth="1"/>
    <col min="2" max="2" width="6" customWidth="1"/>
    <col min="3" max="3" width="4" customWidth="1"/>
    <col min="4" max="4" width="7" customWidth="1"/>
    <col min="5" max="5" width="8.7265625" customWidth="1"/>
    <col min="6" max="6" width="17.36328125" customWidth="1"/>
    <col min="7" max="7" width="10" customWidth="1"/>
    <col min="8" max="10" width="5.08984375" customWidth="1"/>
    <col min="11" max="22" width="5" customWidth="1"/>
    <col min="23" max="24" width="6.26953125" customWidth="1"/>
    <col min="25" max="25" width="6.63281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>
      <c r="A2" s="1"/>
      <c r="B2" s="237" t="s">
        <v>0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07"/>
      <c r="V2" s="238" t="s">
        <v>4</v>
      </c>
      <c r="W2" s="207"/>
      <c r="X2" s="238">
        <v>2027</v>
      </c>
      <c r="Y2" s="207"/>
      <c r="Z2" s="1"/>
    </row>
    <row r="3" spans="1:26" ht="14">
      <c r="A3" s="1"/>
      <c r="B3" s="239" t="s">
        <v>53</v>
      </c>
      <c r="C3" s="234" t="s">
        <v>2</v>
      </c>
      <c r="D3" s="225"/>
      <c r="E3" s="217"/>
      <c r="F3" s="234" t="s">
        <v>98</v>
      </c>
      <c r="G3" s="217"/>
      <c r="H3" s="234" t="s">
        <v>99</v>
      </c>
      <c r="I3" s="225"/>
      <c r="J3" s="217"/>
      <c r="K3" s="234" t="s">
        <v>100</v>
      </c>
      <c r="L3" s="225"/>
      <c r="M3" s="225"/>
      <c r="N3" s="225"/>
      <c r="O3" s="217"/>
      <c r="P3" s="235" t="s">
        <v>101</v>
      </c>
      <c r="Q3" s="211"/>
      <c r="R3" s="211"/>
      <c r="S3" s="211"/>
      <c r="T3" s="211"/>
      <c r="U3" s="211"/>
      <c r="V3" s="211"/>
      <c r="W3" s="211"/>
      <c r="X3" s="211"/>
      <c r="Y3" s="207"/>
      <c r="Z3" s="1"/>
    </row>
    <row r="4" spans="1:26" ht="14">
      <c r="A4" s="1"/>
      <c r="B4" s="209"/>
      <c r="C4" s="220"/>
      <c r="D4" s="227"/>
      <c r="E4" s="221"/>
      <c r="F4" s="220"/>
      <c r="G4" s="221"/>
      <c r="H4" s="220"/>
      <c r="I4" s="227"/>
      <c r="J4" s="221"/>
      <c r="K4" s="220"/>
      <c r="L4" s="227"/>
      <c r="M4" s="227"/>
      <c r="N4" s="227"/>
      <c r="O4" s="221"/>
      <c r="P4" s="235" t="s">
        <v>3</v>
      </c>
      <c r="Q4" s="211"/>
      <c r="R4" s="211"/>
      <c r="S4" s="207"/>
      <c r="T4" s="235" t="s">
        <v>105</v>
      </c>
      <c r="U4" s="211"/>
      <c r="V4" s="207"/>
      <c r="W4" s="235" t="s">
        <v>106</v>
      </c>
      <c r="X4" s="211"/>
      <c r="Y4" s="207"/>
      <c r="Z4" s="1"/>
    </row>
    <row r="5" spans="1:26" ht="32.25" customHeight="1">
      <c r="A5" s="1"/>
      <c r="B5" s="60" t="s">
        <v>109</v>
      </c>
      <c r="C5" s="240" t="s">
        <v>5</v>
      </c>
      <c r="D5" s="211"/>
      <c r="E5" s="207"/>
      <c r="F5" s="240" t="s">
        <v>113</v>
      </c>
      <c r="G5" s="207"/>
      <c r="H5" s="240" t="s">
        <v>114</v>
      </c>
      <c r="I5" s="211"/>
      <c r="J5" s="207"/>
      <c r="K5" s="240" t="s">
        <v>406</v>
      </c>
      <c r="L5" s="211"/>
      <c r="M5" s="211"/>
      <c r="N5" s="211"/>
      <c r="O5" s="207"/>
      <c r="P5" s="240" t="s">
        <v>118</v>
      </c>
      <c r="Q5" s="211"/>
      <c r="R5" s="211"/>
      <c r="S5" s="207"/>
      <c r="T5" s="240" t="s">
        <v>120</v>
      </c>
      <c r="U5" s="211"/>
      <c r="V5" s="207"/>
      <c r="W5" s="277" t="s">
        <v>421</v>
      </c>
      <c r="X5" s="211"/>
      <c r="Y5" s="207"/>
      <c r="Z5" s="1"/>
    </row>
    <row r="6" spans="1:26" ht="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36"/>
      <c r="V6" s="226"/>
      <c r="W6" s="226"/>
      <c r="X6" s="226"/>
      <c r="Y6" s="226"/>
      <c r="Z6" s="1"/>
    </row>
    <row r="7" spans="1:26" ht="20.25" customHeight="1">
      <c r="A7" s="63"/>
      <c r="B7" s="230" t="s">
        <v>126</v>
      </c>
      <c r="C7" s="217"/>
      <c r="D7" s="208" t="s">
        <v>128</v>
      </c>
      <c r="E7" s="210" t="s">
        <v>129</v>
      </c>
      <c r="F7" s="211"/>
      <c r="G7" s="207"/>
      <c r="H7" s="208" t="s">
        <v>130</v>
      </c>
      <c r="I7" s="208" t="s">
        <v>131</v>
      </c>
      <c r="J7" s="208" t="s">
        <v>133</v>
      </c>
      <c r="K7" s="210" t="s">
        <v>14</v>
      </c>
      <c r="L7" s="211"/>
      <c r="M7" s="211"/>
      <c r="N7" s="207"/>
      <c r="O7" s="210" t="s">
        <v>15</v>
      </c>
      <c r="P7" s="211"/>
      <c r="Q7" s="211"/>
      <c r="R7" s="207"/>
      <c r="S7" s="210" t="s">
        <v>16</v>
      </c>
      <c r="T7" s="211"/>
      <c r="U7" s="211"/>
      <c r="V7" s="207"/>
      <c r="W7" s="230" t="s">
        <v>137</v>
      </c>
      <c r="X7" s="217"/>
      <c r="Y7" s="208" t="s">
        <v>139</v>
      </c>
      <c r="Z7" s="70"/>
    </row>
    <row r="8" spans="1:26" ht="20.25" customHeight="1">
      <c r="A8" s="63"/>
      <c r="B8" s="220"/>
      <c r="C8" s="221"/>
      <c r="D8" s="209"/>
      <c r="E8" s="71" t="s">
        <v>145</v>
      </c>
      <c r="F8" s="210" t="s">
        <v>146</v>
      </c>
      <c r="G8" s="207"/>
      <c r="H8" s="209"/>
      <c r="I8" s="209"/>
      <c r="J8" s="209"/>
      <c r="K8" s="210" t="s">
        <v>19</v>
      </c>
      <c r="L8" s="207"/>
      <c r="M8" s="210" t="s">
        <v>20</v>
      </c>
      <c r="N8" s="207"/>
      <c r="O8" s="210" t="s">
        <v>19</v>
      </c>
      <c r="P8" s="207"/>
      <c r="Q8" s="210" t="s">
        <v>20</v>
      </c>
      <c r="R8" s="207"/>
      <c r="S8" s="210" t="s">
        <v>19</v>
      </c>
      <c r="T8" s="207"/>
      <c r="U8" s="210" t="s">
        <v>20</v>
      </c>
      <c r="V8" s="207"/>
      <c r="W8" s="220"/>
      <c r="X8" s="221"/>
      <c r="Y8" s="209"/>
      <c r="Z8" s="63"/>
    </row>
    <row r="9" spans="1:26" ht="14">
      <c r="A9" s="1"/>
      <c r="B9" s="216" t="s">
        <v>149</v>
      </c>
      <c r="C9" s="217"/>
      <c r="D9" s="212" t="s">
        <v>153</v>
      </c>
      <c r="E9" s="74" t="s">
        <v>154</v>
      </c>
      <c r="F9" s="206" t="s">
        <v>155</v>
      </c>
      <c r="G9" s="207"/>
      <c r="H9" s="74">
        <v>4</v>
      </c>
      <c r="I9" s="74" t="s">
        <v>156</v>
      </c>
      <c r="J9" s="74">
        <f t="shared" ref="J9:J35" si="0">SUM(K9:V9)</f>
        <v>3</v>
      </c>
      <c r="K9" s="206">
        <v>3</v>
      </c>
      <c r="L9" s="207"/>
      <c r="M9" s="206"/>
      <c r="N9" s="207"/>
      <c r="O9" s="206"/>
      <c r="P9" s="207"/>
      <c r="Q9" s="206"/>
      <c r="R9" s="207"/>
      <c r="S9" s="206"/>
      <c r="T9" s="207"/>
      <c r="U9" s="206"/>
      <c r="V9" s="207"/>
      <c r="W9" s="74">
        <f t="shared" ref="W9:W28" si="1">J9</f>
        <v>3</v>
      </c>
      <c r="X9" s="212">
        <f>SUM(W9:W11)</f>
        <v>9</v>
      </c>
      <c r="Y9" s="215">
        <v>24</v>
      </c>
      <c r="Z9" s="1"/>
    </row>
    <row r="10" spans="1:26" ht="14">
      <c r="A10" s="1"/>
      <c r="B10" s="218"/>
      <c r="C10" s="219"/>
      <c r="D10" s="213"/>
      <c r="E10" s="74" t="s">
        <v>154</v>
      </c>
      <c r="F10" s="206" t="s">
        <v>162</v>
      </c>
      <c r="G10" s="207"/>
      <c r="H10" s="74">
        <v>4</v>
      </c>
      <c r="I10" s="74" t="s">
        <v>156</v>
      </c>
      <c r="J10" s="74">
        <f t="shared" si="0"/>
        <v>3</v>
      </c>
      <c r="K10" s="206"/>
      <c r="L10" s="207"/>
      <c r="M10" s="206">
        <v>3</v>
      </c>
      <c r="N10" s="207"/>
      <c r="O10" s="206"/>
      <c r="P10" s="207"/>
      <c r="Q10" s="206"/>
      <c r="R10" s="207"/>
      <c r="S10" s="206"/>
      <c r="T10" s="207"/>
      <c r="U10" s="206"/>
      <c r="V10" s="207"/>
      <c r="W10" s="74">
        <f t="shared" si="1"/>
        <v>3</v>
      </c>
      <c r="X10" s="213"/>
      <c r="Y10" s="213"/>
      <c r="Z10" s="1"/>
    </row>
    <row r="11" spans="1:26" ht="14">
      <c r="A11" s="1"/>
      <c r="B11" s="218"/>
      <c r="C11" s="219"/>
      <c r="D11" s="209"/>
      <c r="E11" s="74" t="s">
        <v>224</v>
      </c>
      <c r="F11" s="206" t="s">
        <v>404</v>
      </c>
      <c r="G11" s="207"/>
      <c r="H11" s="74">
        <v>4</v>
      </c>
      <c r="I11" s="74" t="s">
        <v>167</v>
      </c>
      <c r="J11" s="74">
        <f t="shared" si="0"/>
        <v>3</v>
      </c>
      <c r="K11" s="206"/>
      <c r="L11" s="207"/>
      <c r="M11" s="206"/>
      <c r="N11" s="207"/>
      <c r="O11" s="206">
        <v>3</v>
      </c>
      <c r="P11" s="207"/>
      <c r="Q11" s="206"/>
      <c r="R11" s="207"/>
      <c r="S11" s="206"/>
      <c r="T11" s="207"/>
      <c r="U11" s="206"/>
      <c r="V11" s="207"/>
      <c r="W11" s="74">
        <f t="shared" si="1"/>
        <v>3</v>
      </c>
      <c r="X11" s="209"/>
      <c r="Y11" s="213"/>
      <c r="Z11" s="1"/>
    </row>
    <row r="12" spans="1:26" ht="14">
      <c r="A12" s="1"/>
      <c r="B12" s="218"/>
      <c r="C12" s="219"/>
      <c r="D12" s="212" t="s">
        <v>168</v>
      </c>
      <c r="E12" s="74" t="s">
        <v>154</v>
      </c>
      <c r="F12" s="206" t="s">
        <v>169</v>
      </c>
      <c r="G12" s="207"/>
      <c r="H12" s="74">
        <v>4</v>
      </c>
      <c r="I12" s="74" t="s">
        <v>156</v>
      </c>
      <c r="J12" s="74">
        <f t="shared" si="0"/>
        <v>3</v>
      </c>
      <c r="K12" s="206">
        <v>3</v>
      </c>
      <c r="L12" s="207"/>
      <c r="M12" s="206"/>
      <c r="N12" s="207"/>
      <c r="O12" s="206"/>
      <c r="P12" s="207"/>
      <c r="Q12" s="206"/>
      <c r="R12" s="207"/>
      <c r="S12" s="206"/>
      <c r="T12" s="207"/>
      <c r="U12" s="206"/>
      <c r="V12" s="207"/>
      <c r="W12" s="74">
        <f t="shared" si="1"/>
        <v>3</v>
      </c>
      <c r="X12" s="212">
        <f>SUM(W12:W14)</f>
        <v>9</v>
      </c>
      <c r="Y12" s="213"/>
      <c r="Z12" s="1"/>
    </row>
    <row r="13" spans="1:26" ht="14">
      <c r="A13" s="1"/>
      <c r="B13" s="218"/>
      <c r="C13" s="219"/>
      <c r="D13" s="213"/>
      <c r="E13" s="74" t="s">
        <v>154</v>
      </c>
      <c r="F13" s="206" t="s">
        <v>172</v>
      </c>
      <c r="G13" s="207"/>
      <c r="H13" s="74">
        <v>4</v>
      </c>
      <c r="I13" s="74" t="s">
        <v>156</v>
      </c>
      <c r="J13" s="74">
        <f t="shared" si="0"/>
        <v>3</v>
      </c>
      <c r="K13" s="206"/>
      <c r="L13" s="207"/>
      <c r="M13" s="206">
        <v>3</v>
      </c>
      <c r="N13" s="207"/>
      <c r="O13" s="206"/>
      <c r="P13" s="207"/>
      <c r="Q13" s="206"/>
      <c r="R13" s="207"/>
      <c r="S13" s="206"/>
      <c r="T13" s="207"/>
      <c r="U13" s="206"/>
      <c r="V13" s="207"/>
      <c r="W13" s="74">
        <f t="shared" si="1"/>
        <v>3</v>
      </c>
      <c r="X13" s="213"/>
      <c r="Y13" s="213"/>
      <c r="Z13" s="1"/>
    </row>
    <row r="14" spans="1:26" ht="14">
      <c r="A14" s="1"/>
      <c r="B14" s="218"/>
      <c r="C14" s="219"/>
      <c r="D14" s="209"/>
      <c r="E14" s="74" t="s">
        <v>165</v>
      </c>
      <c r="F14" s="206" t="s">
        <v>173</v>
      </c>
      <c r="G14" s="207"/>
      <c r="H14" s="74">
        <v>4</v>
      </c>
      <c r="I14" s="74" t="s">
        <v>167</v>
      </c>
      <c r="J14" s="74">
        <f t="shared" si="0"/>
        <v>3</v>
      </c>
      <c r="K14" s="206"/>
      <c r="L14" s="207"/>
      <c r="M14" s="206"/>
      <c r="N14" s="207"/>
      <c r="O14" s="206">
        <v>3</v>
      </c>
      <c r="P14" s="207"/>
      <c r="Q14" s="206"/>
      <c r="R14" s="207"/>
      <c r="S14" s="206"/>
      <c r="T14" s="207"/>
      <c r="U14" s="206"/>
      <c r="V14" s="207"/>
      <c r="W14" s="74">
        <f t="shared" si="1"/>
        <v>3</v>
      </c>
      <c r="X14" s="209"/>
      <c r="Y14" s="213"/>
      <c r="Z14" s="1"/>
    </row>
    <row r="15" spans="1:26" ht="14">
      <c r="A15" s="1"/>
      <c r="B15" s="218"/>
      <c r="C15" s="219"/>
      <c r="D15" s="212" t="s">
        <v>175</v>
      </c>
      <c r="E15" s="74" t="s">
        <v>154</v>
      </c>
      <c r="F15" s="206" t="s">
        <v>177</v>
      </c>
      <c r="G15" s="207"/>
      <c r="H15" s="74">
        <v>4</v>
      </c>
      <c r="I15" s="74" t="s">
        <v>156</v>
      </c>
      <c r="J15" s="74">
        <f t="shared" si="0"/>
        <v>3</v>
      </c>
      <c r="K15" s="206">
        <v>3</v>
      </c>
      <c r="L15" s="207"/>
      <c r="M15" s="206"/>
      <c r="N15" s="207"/>
      <c r="O15" s="206"/>
      <c r="P15" s="207"/>
      <c r="Q15" s="206"/>
      <c r="R15" s="207"/>
      <c r="S15" s="206"/>
      <c r="T15" s="207"/>
      <c r="U15" s="206"/>
      <c r="V15" s="207"/>
      <c r="W15" s="74">
        <f t="shared" si="1"/>
        <v>3</v>
      </c>
      <c r="X15" s="212">
        <f>SUM(W15:W17)</f>
        <v>9</v>
      </c>
      <c r="Y15" s="213"/>
      <c r="Z15" s="1"/>
    </row>
    <row r="16" spans="1:26" ht="14">
      <c r="A16" s="1"/>
      <c r="B16" s="218"/>
      <c r="C16" s="219"/>
      <c r="D16" s="213"/>
      <c r="E16" s="74" t="s">
        <v>154</v>
      </c>
      <c r="F16" s="206" t="s">
        <v>178</v>
      </c>
      <c r="G16" s="207"/>
      <c r="H16" s="74">
        <v>4</v>
      </c>
      <c r="I16" s="74" t="s">
        <v>156</v>
      </c>
      <c r="J16" s="74">
        <f t="shared" si="0"/>
        <v>3</v>
      </c>
      <c r="K16" s="206"/>
      <c r="L16" s="207"/>
      <c r="M16" s="206">
        <v>3</v>
      </c>
      <c r="N16" s="207"/>
      <c r="O16" s="206"/>
      <c r="P16" s="207"/>
      <c r="Q16" s="206"/>
      <c r="R16" s="207"/>
      <c r="S16" s="206"/>
      <c r="T16" s="207"/>
      <c r="U16" s="206"/>
      <c r="V16" s="207"/>
      <c r="W16" s="74">
        <f t="shared" si="1"/>
        <v>3</v>
      </c>
      <c r="X16" s="213"/>
      <c r="Y16" s="213"/>
      <c r="Z16" s="1"/>
    </row>
    <row r="17" spans="1:26" ht="14">
      <c r="A17" s="1"/>
      <c r="B17" s="218"/>
      <c r="C17" s="219"/>
      <c r="D17" s="209"/>
      <c r="E17" s="74" t="s">
        <v>165</v>
      </c>
      <c r="F17" s="206" t="s">
        <v>180</v>
      </c>
      <c r="G17" s="207"/>
      <c r="H17" s="74">
        <v>4</v>
      </c>
      <c r="I17" s="74" t="s">
        <v>167</v>
      </c>
      <c r="J17" s="74">
        <f t="shared" si="0"/>
        <v>3</v>
      </c>
      <c r="K17" s="206"/>
      <c r="L17" s="207"/>
      <c r="M17" s="206"/>
      <c r="N17" s="207"/>
      <c r="O17" s="206"/>
      <c r="P17" s="207"/>
      <c r="Q17" s="206">
        <v>3</v>
      </c>
      <c r="R17" s="207"/>
      <c r="S17" s="206"/>
      <c r="T17" s="207"/>
      <c r="U17" s="206"/>
      <c r="V17" s="207"/>
      <c r="W17" s="74">
        <f t="shared" si="1"/>
        <v>3</v>
      </c>
      <c r="X17" s="209"/>
      <c r="Y17" s="209"/>
      <c r="Z17" s="1"/>
    </row>
    <row r="18" spans="1:26" ht="14">
      <c r="A18" s="1"/>
      <c r="B18" s="218"/>
      <c r="C18" s="219"/>
      <c r="D18" s="212" t="s">
        <v>182</v>
      </c>
      <c r="E18" s="74" t="s">
        <v>154</v>
      </c>
      <c r="F18" s="206" t="s">
        <v>183</v>
      </c>
      <c r="G18" s="207"/>
      <c r="H18" s="74">
        <v>3</v>
      </c>
      <c r="I18" s="74" t="s">
        <v>186</v>
      </c>
      <c r="J18" s="74">
        <f t="shared" si="0"/>
        <v>3</v>
      </c>
      <c r="K18" s="206">
        <v>3</v>
      </c>
      <c r="L18" s="207"/>
      <c r="M18" s="206"/>
      <c r="N18" s="207"/>
      <c r="O18" s="206"/>
      <c r="P18" s="207"/>
      <c r="Q18" s="206"/>
      <c r="R18" s="207"/>
      <c r="S18" s="206"/>
      <c r="T18" s="207"/>
      <c r="U18" s="206"/>
      <c r="V18" s="207"/>
      <c r="W18" s="74">
        <f t="shared" si="1"/>
        <v>3</v>
      </c>
      <c r="X18" s="212">
        <f>SUM(W18:W19)</f>
        <v>6</v>
      </c>
      <c r="Y18" s="215">
        <v>6</v>
      </c>
      <c r="Z18" s="1"/>
    </row>
    <row r="19" spans="1:26" ht="14">
      <c r="A19" s="1"/>
      <c r="B19" s="218"/>
      <c r="C19" s="219"/>
      <c r="D19" s="213"/>
      <c r="E19" s="74" t="s">
        <v>154</v>
      </c>
      <c r="F19" s="206" t="s">
        <v>187</v>
      </c>
      <c r="G19" s="207"/>
      <c r="H19" s="74">
        <v>3</v>
      </c>
      <c r="I19" s="74" t="s">
        <v>186</v>
      </c>
      <c r="J19" s="74">
        <f t="shared" si="0"/>
        <v>3</v>
      </c>
      <c r="K19" s="206"/>
      <c r="L19" s="207"/>
      <c r="M19" s="206">
        <v>3</v>
      </c>
      <c r="N19" s="207"/>
      <c r="O19" s="206"/>
      <c r="P19" s="207"/>
      <c r="Q19" s="206"/>
      <c r="R19" s="207"/>
      <c r="S19" s="206"/>
      <c r="T19" s="207"/>
      <c r="U19" s="206"/>
      <c r="V19" s="207"/>
      <c r="W19" s="74">
        <f t="shared" si="1"/>
        <v>3</v>
      </c>
      <c r="X19" s="209"/>
      <c r="Y19" s="209"/>
      <c r="Z19" s="1"/>
    </row>
    <row r="20" spans="1:26" ht="14">
      <c r="A20" s="1"/>
      <c r="B20" s="218"/>
      <c r="C20" s="219"/>
      <c r="D20" s="213"/>
      <c r="E20" s="74" t="s">
        <v>154</v>
      </c>
      <c r="F20" s="206" t="s">
        <v>188</v>
      </c>
      <c r="G20" s="207"/>
      <c r="H20" s="74">
        <v>4</v>
      </c>
      <c r="I20" s="74" t="s">
        <v>156</v>
      </c>
      <c r="J20" s="74">
        <f t="shared" si="0"/>
        <v>3</v>
      </c>
      <c r="K20" s="206"/>
      <c r="L20" s="207"/>
      <c r="M20" s="206"/>
      <c r="N20" s="207"/>
      <c r="O20" s="206">
        <v>3</v>
      </c>
      <c r="P20" s="207"/>
      <c r="Q20" s="206"/>
      <c r="R20" s="207"/>
      <c r="S20" s="206"/>
      <c r="T20" s="207"/>
      <c r="U20" s="206"/>
      <c r="V20" s="207"/>
      <c r="W20" s="74">
        <f t="shared" si="1"/>
        <v>3</v>
      </c>
      <c r="X20" s="212">
        <f>SUM(W20:W21)</f>
        <v>6</v>
      </c>
      <c r="Y20" s="215">
        <v>12</v>
      </c>
      <c r="Z20" s="1"/>
    </row>
    <row r="21" spans="1:26" ht="14">
      <c r="A21" s="1"/>
      <c r="B21" s="218"/>
      <c r="C21" s="219"/>
      <c r="D21" s="209"/>
      <c r="E21" s="74" t="s">
        <v>154</v>
      </c>
      <c r="F21" s="206" t="s">
        <v>219</v>
      </c>
      <c r="G21" s="207"/>
      <c r="H21" s="74">
        <v>4</v>
      </c>
      <c r="I21" s="74" t="s">
        <v>156</v>
      </c>
      <c r="J21" s="74">
        <f t="shared" si="0"/>
        <v>3</v>
      </c>
      <c r="K21" s="206"/>
      <c r="L21" s="207"/>
      <c r="M21" s="206"/>
      <c r="N21" s="207"/>
      <c r="O21" s="206"/>
      <c r="P21" s="207"/>
      <c r="Q21" s="206">
        <v>3</v>
      </c>
      <c r="R21" s="207"/>
      <c r="S21" s="206"/>
      <c r="T21" s="207"/>
      <c r="U21" s="206"/>
      <c r="V21" s="207"/>
      <c r="W21" s="74">
        <f t="shared" si="1"/>
        <v>3</v>
      </c>
      <c r="X21" s="209"/>
      <c r="Y21" s="213"/>
      <c r="Z21" s="1"/>
    </row>
    <row r="22" spans="1:26" ht="14">
      <c r="A22" s="1"/>
      <c r="B22" s="218"/>
      <c r="C22" s="219"/>
      <c r="D22" s="212" t="s">
        <v>220</v>
      </c>
      <c r="E22" s="74" t="s">
        <v>154</v>
      </c>
      <c r="F22" s="206" t="s">
        <v>221</v>
      </c>
      <c r="G22" s="207"/>
      <c r="H22" s="74">
        <v>4</v>
      </c>
      <c r="I22" s="74" t="s">
        <v>156</v>
      </c>
      <c r="J22" s="74">
        <f t="shared" si="0"/>
        <v>3</v>
      </c>
      <c r="K22" s="206">
        <v>3</v>
      </c>
      <c r="L22" s="207"/>
      <c r="M22" s="206"/>
      <c r="N22" s="207"/>
      <c r="O22" s="206"/>
      <c r="P22" s="207"/>
      <c r="Q22" s="206"/>
      <c r="R22" s="207"/>
      <c r="S22" s="206"/>
      <c r="T22" s="207"/>
      <c r="U22" s="206"/>
      <c r="V22" s="207"/>
      <c r="W22" s="74">
        <f t="shared" si="1"/>
        <v>3</v>
      </c>
      <c r="X22" s="212">
        <f>SUM(W22:W23)</f>
        <v>6</v>
      </c>
      <c r="Y22" s="213"/>
      <c r="Z22" s="1"/>
    </row>
    <row r="23" spans="1:26" ht="14">
      <c r="A23" s="1"/>
      <c r="B23" s="218"/>
      <c r="C23" s="219"/>
      <c r="D23" s="209"/>
      <c r="E23" s="74" t="s">
        <v>154</v>
      </c>
      <c r="F23" s="206" t="s">
        <v>222</v>
      </c>
      <c r="G23" s="207"/>
      <c r="H23" s="74">
        <v>4</v>
      </c>
      <c r="I23" s="74" t="s">
        <v>156</v>
      </c>
      <c r="J23" s="74">
        <f t="shared" si="0"/>
        <v>3</v>
      </c>
      <c r="K23" s="206"/>
      <c r="L23" s="207"/>
      <c r="M23" s="206">
        <v>3</v>
      </c>
      <c r="N23" s="207"/>
      <c r="O23" s="206"/>
      <c r="P23" s="207"/>
      <c r="Q23" s="206"/>
      <c r="R23" s="207"/>
      <c r="S23" s="206"/>
      <c r="T23" s="207"/>
      <c r="U23" s="206"/>
      <c r="V23" s="207"/>
      <c r="W23" s="74">
        <f t="shared" si="1"/>
        <v>3</v>
      </c>
      <c r="X23" s="209"/>
      <c r="Y23" s="209"/>
      <c r="Z23" s="1"/>
    </row>
    <row r="24" spans="1:26" ht="14">
      <c r="A24" s="1"/>
      <c r="B24" s="218"/>
      <c r="C24" s="219"/>
      <c r="D24" s="212" t="s">
        <v>223</v>
      </c>
      <c r="E24" s="74" t="s">
        <v>224</v>
      </c>
      <c r="F24" s="206" t="s">
        <v>225</v>
      </c>
      <c r="G24" s="207"/>
      <c r="H24" s="74">
        <v>3</v>
      </c>
      <c r="I24" s="74" t="s">
        <v>226</v>
      </c>
      <c r="J24" s="74">
        <f t="shared" si="0"/>
        <v>2</v>
      </c>
      <c r="K24" s="206">
        <v>2</v>
      </c>
      <c r="L24" s="207"/>
      <c r="M24" s="206"/>
      <c r="N24" s="207"/>
      <c r="O24" s="206"/>
      <c r="P24" s="207"/>
      <c r="Q24" s="206"/>
      <c r="R24" s="207"/>
      <c r="S24" s="206"/>
      <c r="T24" s="207"/>
      <c r="U24" s="206"/>
      <c r="V24" s="207"/>
      <c r="W24" s="74">
        <f t="shared" si="1"/>
        <v>2</v>
      </c>
      <c r="X24" s="212">
        <f>SUM(W24:W28)</f>
        <v>9</v>
      </c>
      <c r="Y24" s="215">
        <v>8</v>
      </c>
      <c r="Z24" s="1"/>
    </row>
    <row r="25" spans="1:26" ht="14">
      <c r="A25" s="1"/>
      <c r="B25" s="218"/>
      <c r="C25" s="219"/>
      <c r="D25" s="213"/>
      <c r="E25" s="74" t="s">
        <v>224</v>
      </c>
      <c r="F25" s="206" t="s">
        <v>227</v>
      </c>
      <c r="G25" s="207"/>
      <c r="H25" s="74">
        <v>3</v>
      </c>
      <c r="I25" s="74" t="s">
        <v>226</v>
      </c>
      <c r="J25" s="74">
        <f t="shared" si="0"/>
        <v>2</v>
      </c>
      <c r="K25" s="206"/>
      <c r="L25" s="207"/>
      <c r="M25" s="206">
        <v>2</v>
      </c>
      <c r="N25" s="207"/>
      <c r="O25" s="206"/>
      <c r="P25" s="207"/>
      <c r="Q25" s="206"/>
      <c r="R25" s="207"/>
      <c r="S25" s="206"/>
      <c r="T25" s="207"/>
      <c r="U25" s="206"/>
      <c r="V25" s="207"/>
      <c r="W25" s="74">
        <f t="shared" si="1"/>
        <v>2</v>
      </c>
      <c r="X25" s="213"/>
      <c r="Y25" s="213"/>
      <c r="Z25" s="1"/>
    </row>
    <row r="26" spans="1:26" ht="14">
      <c r="A26" s="1"/>
      <c r="B26" s="218"/>
      <c r="C26" s="219"/>
      <c r="D26" s="213"/>
      <c r="E26" s="74" t="s">
        <v>228</v>
      </c>
      <c r="F26" s="206" t="s">
        <v>229</v>
      </c>
      <c r="G26" s="207"/>
      <c r="H26" s="74">
        <v>3</v>
      </c>
      <c r="I26" s="74" t="s">
        <v>226</v>
      </c>
      <c r="J26" s="74">
        <f t="shared" si="0"/>
        <v>2</v>
      </c>
      <c r="K26" s="206"/>
      <c r="L26" s="207"/>
      <c r="M26" s="206"/>
      <c r="N26" s="207"/>
      <c r="O26" s="206">
        <v>2</v>
      </c>
      <c r="P26" s="207"/>
      <c r="Q26" s="206"/>
      <c r="R26" s="207"/>
      <c r="S26" s="206"/>
      <c r="T26" s="207"/>
      <c r="U26" s="206"/>
      <c r="V26" s="207"/>
      <c r="W26" s="74">
        <f t="shared" si="1"/>
        <v>2</v>
      </c>
      <c r="X26" s="213"/>
      <c r="Y26" s="213"/>
      <c r="Z26" s="1"/>
    </row>
    <row r="27" spans="1:26" ht="14">
      <c r="A27" s="1"/>
      <c r="B27" s="218"/>
      <c r="C27" s="219"/>
      <c r="D27" s="213"/>
      <c r="E27" s="74" t="s">
        <v>228</v>
      </c>
      <c r="F27" s="206" t="s">
        <v>230</v>
      </c>
      <c r="G27" s="207"/>
      <c r="H27" s="74">
        <v>3</v>
      </c>
      <c r="I27" s="74" t="s">
        <v>226</v>
      </c>
      <c r="J27" s="74">
        <f t="shared" si="0"/>
        <v>2</v>
      </c>
      <c r="K27" s="206"/>
      <c r="L27" s="207"/>
      <c r="M27" s="206"/>
      <c r="N27" s="207"/>
      <c r="O27" s="206"/>
      <c r="P27" s="207"/>
      <c r="Q27" s="206">
        <v>2</v>
      </c>
      <c r="R27" s="207"/>
      <c r="S27" s="206"/>
      <c r="T27" s="207"/>
      <c r="U27" s="206"/>
      <c r="V27" s="207"/>
      <c r="W27" s="74">
        <f t="shared" si="1"/>
        <v>2</v>
      </c>
      <c r="X27" s="213"/>
      <c r="Y27" s="213"/>
      <c r="Z27" s="1"/>
    </row>
    <row r="28" spans="1:26" ht="14">
      <c r="A28" s="1"/>
      <c r="B28" s="218"/>
      <c r="C28" s="219"/>
      <c r="D28" s="209"/>
      <c r="E28" s="74" t="s">
        <v>165</v>
      </c>
      <c r="F28" s="206" t="s">
        <v>231</v>
      </c>
      <c r="G28" s="207"/>
      <c r="H28" s="74">
        <v>2</v>
      </c>
      <c r="I28" s="74" t="s">
        <v>232</v>
      </c>
      <c r="J28" s="74">
        <f t="shared" si="0"/>
        <v>1</v>
      </c>
      <c r="K28" s="206"/>
      <c r="L28" s="207"/>
      <c r="M28" s="206"/>
      <c r="N28" s="207"/>
      <c r="O28" s="206"/>
      <c r="P28" s="207"/>
      <c r="Q28" s="206"/>
      <c r="R28" s="207"/>
      <c r="S28" s="206">
        <v>1</v>
      </c>
      <c r="T28" s="207"/>
      <c r="U28" s="206"/>
      <c r="V28" s="207"/>
      <c r="W28" s="74">
        <f t="shared" si="1"/>
        <v>1</v>
      </c>
      <c r="X28" s="209"/>
      <c r="Y28" s="209"/>
      <c r="Z28" s="1"/>
    </row>
    <row r="29" spans="1:26" ht="14">
      <c r="A29" s="1"/>
      <c r="B29" s="218"/>
      <c r="C29" s="219"/>
      <c r="D29" s="212" t="s">
        <v>233</v>
      </c>
      <c r="E29" s="74" t="s">
        <v>224</v>
      </c>
      <c r="F29" s="206" t="s">
        <v>234</v>
      </c>
      <c r="G29" s="207"/>
      <c r="H29" s="74">
        <v>3</v>
      </c>
      <c r="I29" s="74" t="s">
        <v>226</v>
      </c>
      <c r="J29" s="74">
        <f t="shared" si="0"/>
        <v>3</v>
      </c>
      <c r="K29" s="206">
        <v>3</v>
      </c>
      <c r="L29" s="207"/>
      <c r="M29" s="206"/>
      <c r="N29" s="207"/>
      <c r="O29" s="206"/>
      <c r="P29" s="207"/>
      <c r="Q29" s="206"/>
      <c r="R29" s="207"/>
      <c r="S29" s="270"/>
      <c r="T29" s="207"/>
      <c r="U29" s="270"/>
      <c r="V29" s="207"/>
      <c r="W29" s="216">
        <f>SUM(J29:J32)</f>
        <v>10</v>
      </c>
      <c r="X29" s="217"/>
      <c r="Y29" s="215">
        <v>6</v>
      </c>
      <c r="Z29" s="1"/>
    </row>
    <row r="30" spans="1:26" ht="14">
      <c r="A30" s="1"/>
      <c r="B30" s="218"/>
      <c r="C30" s="219"/>
      <c r="D30" s="213"/>
      <c r="E30" s="74" t="s">
        <v>165</v>
      </c>
      <c r="F30" s="206" t="s">
        <v>235</v>
      </c>
      <c r="G30" s="207"/>
      <c r="H30" s="74">
        <v>3</v>
      </c>
      <c r="I30" s="74" t="s">
        <v>226</v>
      </c>
      <c r="J30" s="74">
        <f t="shared" si="0"/>
        <v>2</v>
      </c>
      <c r="K30" s="206"/>
      <c r="L30" s="207"/>
      <c r="M30" s="206"/>
      <c r="N30" s="207"/>
      <c r="O30" s="206">
        <v>2</v>
      </c>
      <c r="P30" s="207"/>
      <c r="Q30" s="206"/>
      <c r="R30" s="207"/>
      <c r="S30" s="206"/>
      <c r="T30" s="207"/>
      <c r="U30" s="206"/>
      <c r="V30" s="207"/>
      <c r="W30" s="218"/>
      <c r="X30" s="219"/>
      <c r="Y30" s="213"/>
      <c r="Z30" s="1"/>
    </row>
    <row r="31" spans="1:26" ht="14">
      <c r="A31" s="1"/>
      <c r="B31" s="218"/>
      <c r="C31" s="219"/>
      <c r="D31" s="213"/>
      <c r="E31" s="74" t="s">
        <v>224</v>
      </c>
      <c r="F31" s="206" t="s">
        <v>236</v>
      </c>
      <c r="G31" s="207"/>
      <c r="H31" s="74">
        <v>3</v>
      </c>
      <c r="I31" s="74" t="s">
        <v>226</v>
      </c>
      <c r="J31" s="74">
        <f t="shared" si="0"/>
        <v>3</v>
      </c>
      <c r="K31" s="206"/>
      <c r="L31" s="207"/>
      <c r="M31" s="206">
        <v>3</v>
      </c>
      <c r="N31" s="207"/>
      <c r="O31" s="206"/>
      <c r="P31" s="207"/>
      <c r="Q31" s="206"/>
      <c r="R31" s="207"/>
      <c r="S31" s="206"/>
      <c r="T31" s="207"/>
      <c r="U31" s="206"/>
      <c r="V31" s="207"/>
      <c r="W31" s="218"/>
      <c r="X31" s="219"/>
      <c r="Y31" s="213"/>
      <c r="Z31" s="1"/>
    </row>
    <row r="32" spans="1:26" ht="14">
      <c r="A32" s="1"/>
      <c r="B32" s="218"/>
      <c r="C32" s="219"/>
      <c r="D32" s="209"/>
      <c r="E32" s="74" t="s">
        <v>165</v>
      </c>
      <c r="F32" s="206" t="s">
        <v>237</v>
      </c>
      <c r="G32" s="207"/>
      <c r="H32" s="74">
        <v>3</v>
      </c>
      <c r="I32" s="74" t="s">
        <v>226</v>
      </c>
      <c r="J32" s="74">
        <f t="shared" si="0"/>
        <v>2</v>
      </c>
      <c r="K32" s="206"/>
      <c r="L32" s="207"/>
      <c r="M32" s="206"/>
      <c r="N32" s="207"/>
      <c r="O32" s="206"/>
      <c r="P32" s="207"/>
      <c r="Q32" s="206">
        <v>2</v>
      </c>
      <c r="R32" s="207"/>
      <c r="S32" s="270"/>
      <c r="T32" s="207"/>
      <c r="U32" s="270"/>
      <c r="V32" s="207"/>
      <c r="W32" s="220"/>
      <c r="X32" s="221"/>
      <c r="Y32" s="209"/>
      <c r="Z32" s="1"/>
    </row>
    <row r="33" spans="1:26" ht="14">
      <c r="A33" s="1"/>
      <c r="B33" s="218"/>
      <c r="C33" s="219"/>
      <c r="D33" s="228" t="s">
        <v>238</v>
      </c>
      <c r="E33" s="74" t="s">
        <v>224</v>
      </c>
      <c r="F33" s="206" t="s">
        <v>239</v>
      </c>
      <c r="G33" s="207"/>
      <c r="H33" s="74">
        <v>3</v>
      </c>
      <c r="I33" s="74" t="s">
        <v>226</v>
      </c>
      <c r="J33" s="74">
        <f t="shared" si="0"/>
        <v>2</v>
      </c>
      <c r="K33" s="206">
        <v>2</v>
      </c>
      <c r="L33" s="207"/>
      <c r="M33" s="206"/>
      <c r="N33" s="207"/>
      <c r="O33" s="270"/>
      <c r="P33" s="207"/>
      <c r="Q33" s="270"/>
      <c r="R33" s="207"/>
      <c r="S33" s="270"/>
      <c r="T33" s="207"/>
      <c r="U33" s="270"/>
      <c r="V33" s="207"/>
      <c r="W33" s="216">
        <f>SUM(J33:J35)</f>
        <v>8</v>
      </c>
      <c r="X33" s="217"/>
      <c r="Y33" s="215">
        <v>8</v>
      </c>
      <c r="Z33" s="1"/>
    </row>
    <row r="34" spans="1:26" ht="14">
      <c r="A34" s="1"/>
      <c r="B34" s="218"/>
      <c r="C34" s="219"/>
      <c r="D34" s="213"/>
      <c r="E34" s="74" t="s">
        <v>224</v>
      </c>
      <c r="F34" s="206" t="s">
        <v>240</v>
      </c>
      <c r="G34" s="207"/>
      <c r="H34" s="74">
        <v>4</v>
      </c>
      <c r="I34" s="74" t="s">
        <v>167</v>
      </c>
      <c r="J34" s="74">
        <f t="shared" si="0"/>
        <v>3</v>
      </c>
      <c r="K34" s="206">
        <v>3</v>
      </c>
      <c r="L34" s="207"/>
      <c r="M34" s="206"/>
      <c r="N34" s="207"/>
      <c r="O34" s="270"/>
      <c r="P34" s="207"/>
      <c r="Q34" s="270"/>
      <c r="R34" s="207"/>
      <c r="S34" s="270"/>
      <c r="T34" s="207"/>
      <c r="U34" s="270"/>
      <c r="V34" s="207"/>
      <c r="W34" s="218"/>
      <c r="X34" s="219"/>
      <c r="Y34" s="213"/>
      <c r="Z34" s="1"/>
    </row>
    <row r="35" spans="1:26" ht="14">
      <c r="A35" s="1"/>
      <c r="B35" s="220"/>
      <c r="C35" s="221"/>
      <c r="D35" s="209"/>
      <c r="E35" s="74" t="s">
        <v>224</v>
      </c>
      <c r="F35" s="206" t="s">
        <v>241</v>
      </c>
      <c r="G35" s="207"/>
      <c r="H35" s="74">
        <v>4</v>
      </c>
      <c r="I35" s="74" t="s">
        <v>167</v>
      </c>
      <c r="J35" s="74">
        <f t="shared" si="0"/>
        <v>3</v>
      </c>
      <c r="K35" s="206"/>
      <c r="L35" s="207"/>
      <c r="M35" s="206">
        <v>3</v>
      </c>
      <c r="N35" s="207"/>
      <c r="O35" s="270"/>
      <c r="P35" s="207"/>
      <c r="Q35" s="270"/>
      <c r="R35" s="207"/>
      <c r="S35" s="270"/>
      <c r="T35" s="207"/>
      <c r="U35" s="270"/>
      <c r="V35" s="207"/>
      <c r="W35" s="220"/>
      <c r="X35" s="221"/>
      <c r="Y35" s="209"/>
      <c r="Z35" s="1"/>
    </row>
    <row r="36" spans="1:26" ht="14">
      <c r="A36" s="1"/>
      <c r="B36" s="223" t="s">
        <v>242</v>
      </c>
      <c r="C36" s="211"/>
      <c r="D36" s="211"/>
      <c r="E36" s="211"/>
      <c r="F36" s="211"/>
      <c r="G36" s="207"/>
      <c r="H36" s="104"/>
      <c r="I36" s="105"/>
      <c r="J36" s="104">
        <f t="shared" ref="J36:K36" si="2">SUM(J9:J35)</f>
        <v>72</v>
      </c>
      <c r="K36" s="223">
        <f t="shared" si="2"/>
        <v>25</v>
      </c>
      <c r="L36" s="207"/>
      <c r="M36" s="223">
        <f>SUM(M9:M35)</f>
        <v>23</v>
      </c>
      <c r="N36" s="207"/>
      <c r="O36" s="223">
        <f>SUM(O9:O35)</f>
        <v>13</v>
      </c>
      <c r="P36" s="207"/>
      <c r="Q36" s="223">
        <f>SUM(Q9:Q35)</f>
        <v>10</v>
      </c>
      <c r="R36" s="207"/>
      <c r="S36" s="223">
        <f>SUM(S9:S35)</f>
        <v>1</v>
      </c>
      <c r="T36" s="207"/>
      <c r="U36" s="223">
        <f>SUM(U9:U35)</f>
        <v>0</v>
      </c>
      <c r="V36" s="207"/>
      <c r="W36" s="223">
        <f>SUM(W9:W35)</f>
        <v>72</v>
      </c>
      <c r="X36" s="207"/>
      <c r="Y36" s="106">
        <v>64</v>
      </c>
      <c r="Z36" s="1"/>
    </row>
    <row r="37" spans="1:26" ht="14">
      <c r="A37" s="1"/>
      <c r="B37" s="224" t="s">
        <v>247</v>
      </c>
      <c r="C37" s="217"/>
      <c r="D37" s="107"/>
      <c r="E37" s="74" t="s">
        <v>250</v>
      </c>
      <c r="F37" s="206" t="s">
        <v>251</v>
      </c>
      <c r="G37" s="207"/>
      <c r="H37" s="108"/>
      <c r="I37" s="109" t="s">
        <v>252</v>
      </c>
      <c r="J37" s="74">
        <f t="shared" ref="J37:J66" si="3">SUM(K37:V37)</f>
        <v>2</v>
      </c>
      <c r="K37" s="240"/>
      <c r="L37" s="207"/>
      <c r="M37" s="240"/>
      <c r="N37" s="207"/>
      <c r="O37" s="240"/>
      <c r="P37" s="207"/>
      <c r="Q37" s="240"/>
      <c r="R37" s="207"/>
      <c r="S37" s="240">
        <v>2</v>
      </c>
      <c r="T37" s="207"/>
      <c r="U37" s="240"/>
      <c r="V37" s="207"/>
      <c r="W37" s="216">
        <f>SUM(J37:J41)+(SUM(J42:J66))</f>
        <v>43</v>
      </c>
      <c r="X37" s="217"/>
      <c r="Y37" s="215">
        <v>80</v>
      </c>
      <c r="Z37" s="1"/>
    </row>
    <row r="38" spans="1:26" ht="14">
      <c r="A38" s="1"/>
      <c r="B38" s="218"/>
      <c r="C38" s="219"/>
      <c r="D38" s="107" t="s">
        <v>113</v>
      </c>
      <c r="E38" s="74" t="s">
        <v>253</v>
      </c>
      <c r="F38" s="206" t="s">
        <v>408</v>
      </c>
      <c r="G38" s="207"/>
      <c r="H38" s="108"/>
      <c r="I38" s="109" t="s">
        <v>252</v>
      </c>
      <c r="J38" s="74">
        <f t="shared" si="3"/>
        <v>2</v>
      </c>
      <c r="K38" s="240"/>
      <c r="L38" s="207"/>
      <c r="M38" s="240">
        <v>2</v>
      </c>
      <c r="N38" s="207"/>
      <c r="O38" s="240"/>
      <c r="P38" s="207"/>
      <c r="Q38" s="240"/>
      <c r="R38" s="207"/>
      <c r="S38" s="240"/>
      <c r="T38" s="207"/>
      <c r="U38" s="240"/>
      <c r="V38" s="207"/>
      <c r="W38" s="218"/>
      <c r="X38" s="219"/>
      <c r="Y38" s="213"/>
      <c r="Z38" s="1"/>
    </row>
    <row r="39" spans="1:26" ht="14">
      <c r="A39" s="1"/>
      <c r="B39" s="218"/>
      <c r="C39" s="219"/>
      <c r="D39" s="107" t="s">
        <v>255</v>
      </c>
      <c r="E39" s="74" t="s">
        <v>253</v>
      </c>
      <c r="F39" s="206" t="s">
        <v>256</v>
      </c>
      <c r="G39" s="207"/>
      <c r="H39" s="108"/>
      <c r="I39" s="109" t="s">
        <v>252</v>
      </c>
      <c r="J39" s="74">
        <f t="shared" si="3"/>
        <v>2</v>
      </c>
      <c r="K39" s="240"/>
      <c r="L39" s="207"/>
      <c r="M39" s="240"/>
      <c r="N39" s="207"/>
      <c r="O39" s="240">
        <v>2</v>
      </c>
      <c r="P39" s="207"/>
      <c r="Q39" s="240"/>
      <c r="R39" s="207"/>
      <c r="S39" s="240"/>
      <c r="T39" s="207"/>
      <c r="U39" s="240"/>
      <c r="V39" s="207"/>
      <c r="W39" s="218"/>
      <c r="X39" s="219"/>
      <c r="Y39" s="213"/>
      <c r="Z39" s="1"/>
    </row>
    <row r="40" spans="1:26" ht="14">
      <c r="A40" s="1"/>
      <c r="B40" s="218"/>
      <c r="C40" s="219"/>
      <c r="D40" s="107" t="s">
        <v>255</v>
      </c>
      <c r="E40" s="74" t="s">
        <v>253</v>
      </c>
      <c r="F40" s="206" t="s">
        <v>258</v>
      </c>
      <c r="G40" s="207"/>
      <c r="H40" s="108"/>
      <c r="I40" s="109" t="s">
        <v>252</v>
      </c>
      <c r="J40" s="74">
        <f t="shared" si="3"/>
        <v>2</v>
      </c>
      <c r="K40" s="240"/>
      <c r="L40" s="207"/>
      <c r="M40" s="240"/>
      <c r="N40" s="207"/>
      <c r="O40" s="240">
        <v>2</v>
      </c>
      <c r="P40" s="207"/>
      <c r="Q40" s="240"/>
      <c r="R40" s="207"/>
      <c r="S40" s="240"/>
      <c r="T40" s="207"/>
      <c r="U40" s="240"/>
      <c r="V40" s="207"/>
      <c r="W40" s="218"/>
      <c r="X40" s="219"/>
      <c r="Y40" s="213"/>
      <c r="Z40" s="1"/>
    </row>
    <row r="41" spans="1:26" ht="14">
      <c r="A41" s="1"/>
      <c r="B41" s="218"/>
      <c r="C41" s="219"/>
      <c r="D41" s="107" t="s">
        <v>255</v>
      </c>
      <c r="E41" s="74" t="s">
        <v>260</v>
      </c>
      <c r="F41" s="206" t="s">
        <v>409</v>
      </c>
      <c r="G41" s="207"/>
      <c r="H41" s="115"/>
      <c r="I41" s="109" t="s">
        <v>252</v>
      </c>
      <c r="J41" s="74">
        <f t="shared" si="3"/>
        <v>8</v>
      </c>
      <c r="K41" s="240">
        <v>4</v>
      </c>
      <c r="L41" s="207"/>
      <c r="M41" s="240">
        <v>4</v>
      </c>
      <c r="N41" s="207"/>
      <c r="O41" s="240"/>
      <c r="P41" s="207"/>
      <c r="Q41" s="240"/>
      <c r="R41" s="207"/>
      <c r="S41" s="240"/>
      <c r="T41" s="207"/>
      <c r="U41" s="240"/>
      <c r="V41" s="207"/>
      <c r="W41" s="218"/>
      <c r="X41" s="219"/>
      <c r="Y41" s="213"/>
      <c r="Z41" s="1"/>
    </row>
    <row r="42" spans="1:26" ht="14">
      <c r="A42" s="1"/>
      <c r="B42" s="218"/>
      <c r="C42" s="219"/>
      <c r="D42" s="107" t="s">
        <v>255</v>
      </c>
      <c r="E42" s="74" t="s">
        <v>253</v>
      </c>
      <c r="F42" s="117"/>
      <c r="G42" s="276" t="s">
        <v>424</v>
      </c>
      <c r="H42" s="108"/>
      <c r="I42" s="109" t="s">
        <v>252</v>
      </c>
      <c r="J42" s="74">
        <f t="shared" si="3"/>
        <v>0</v>
      </c>
      <c r="K42" s="274"/>
      <c r="L42" s="207"/>
      <c r="M42" s="274"/>
      <c r="N42" s="207"/>
      <c r="O42" s="229"/>
      <c r="P42" s="207"/>
      <c r="Q42" s="229"/>
      <c r="R42" s="207"/>
      <c r="S42" s="229"/>
      <c r="T42" s="207"/>
      <c r="U42" s="229"/>
      <c r="V42" s="207"/>
      <c r="W42" s="218"/>
      <c r="X42" s="219"/>
      <c r="Y42" s="213"/>
      <c r="Z42" s="1"/>
    </row>
    <row r="43" spans="1:26" ht="14">
      <c r="A43" s="1"/>
      <c r="B43" s="218"/>
      <c r="C43" s="219"/>
      <c r="D43" s="107" t="s">
        <v>255</v>
      </c>
      <c r="E43" s="74" t="s">
        <v>253</v>
      </c>
      <c r="F43" s="117"/>
      <c r="G43" s="213"/>
      <c r="H43" s="108"/>
      <c r="I43" s="109" t="s">
        <v>252</v>
      </c>
      <c r="J43" s="74">
        <f t="shared" si="3"/>
        <v>0</v>
      </c>
      <c r="K43" s="274"/>
      <c r="L43" s="207"/>
      <c r="M43" s="274"/>
      <c r="N43" s="207"/>
      <c r="O43" s="229"/>
      <c r="P43" s="207"/>
      <c r="Q43" s="229"/>
      <c r="R43" s="207"/>
      <c r="S43" s="229"/>
      <c r="T43" s="207"/>
      <c r="U43" s="229"/>
      <c r="V43" s="207"/>
      <c r="W43" s="218"/>
      <c r="X43" s="219"/>
      <c r="Y43" s="213"/>
      <c r="Z43" s="1"/>
    </row>
    <row r="44" spans="1:26" ht="14">
      <c r="A44" s="1"/>
      <c r="B44" s="218"/>
      <c r="C44" s="219"/>
      <c r="D44" s="107"/>
      <c r="E44" s="74" t="s">
        <v>260</v>
      </c>
      <c r="F44" s="117"/>
      <c r="G44" s="213"/>
      <c r="H44" s="108"/>
      <c r="I44" s="109" t="s">
        <v>252</v>
      </c>
      <c r="J44" s="74">
        <f t="shared" si="3"/>
        <v>0</v>
      </c>
      <c r="K44" s="274"/>
      <c r="L44" s="207"/>
      <c r="M44" s="274"/>
      <c r="N44" s="207"/>
      <c r="O44" s="229"/>
      <c r="P44" s="207"/>
      <c r="Q44" s="229"/>
      <c r="R44" s="207"/>
      <c r="S44" s="229"/>
      <c r="T44" s="207"/>
      <c r="U44" s="229"/>
      <c r="V44" s="207"/>
      <c r="W44" s="218"/>
      <c r="X44" s="219"/>
      <c r="Y44" s="213"/>
      <c r="Z44" s="1"/>
    </row>
    <row r="45" spans="1:26" ht="14">
      <c r="A45" s="1"/>
      <c r="B45" s="218"/>
      <c r="C45" s="219"/>
      <c r="D45" s="107"/>
      <c r="E45" s="74"/>
      <c r="F45" s="126"/>
      <c r="G45" s="213"/>
      <c r="H45" s="108"/>
      <c r="I45" s="109" t="s">
        <v>252</v>
      </c>
      <c r="J45" s="74">
        <f t="shared" si="3"/>
        <v>0</v>
      </c>
      <c r="K45" s="270"/>
      <c r="L45" s="207"/>
      <c r="M45" s="270"/>
      <c r="N45" s="207"/>
      <c r="O45" s="206"/>
      <c r="P45" s="207"/>
      <c r="Q45" s="206"/>
      <c r="R45" s="207"/>
      <c r="S45" s="206"/>
      <c r="T45" s="207"/>
      <c r="U45" s="206"/>
      <c r="V45" s="207"/>
      <c r="W45" s="218"/>
      <c r="X45" s="219"/>
      <c r="Y45" s="213"/>
      <c r="Z45" s="1"/>
    </row>
    <row r="46" spans="1:26" ht="14">
      <c r="A46" s="1"/>
      <c r="B46" s="218"/>
      <c r="C46" s="219"/>
      <c r="D46" s="107"/>
      <c r="E46" s="74"/>
      <c r="F46" s="126"/>
      <c r="G46" s="213"/>
      <c r="H46" s="108"/>
      <c r="I46" s="109" t="s">
        <v>252</v>
      </c>
      <c r="J46" s="74">
        <f t="shared" si="3"/>
        <v>0</v>
      </c>
      <c r="K46" s="270"/>
      <c r="L46" s="207"/>
      <c r="M46" s="270"/>
      <c r="N46" s="207"/>
      <c r="O46" s="206"/>
      <c r="P46" s="207"/>
      <c r="Q46" s="206"/>
      <c r="R46" s="207"/>
      <c r="S46" s="206"/>
      <c r="T46" s="207"/>
      <c r="U46" s="206"/>
      <c r="V46" s="207"/>
      <c r="W46" s="218"/>
      <c r="X46" s="219"/>
      <c r="Y46" s="213"/>
      <c r="Z46" s="1"/>
    </row>
    <row r="47" spans="1:26" ht="14">
      <c r="A47" s="1"/>
      <c r="B47" s="218"/>
      <c r="C47" s="219"/>
      <c r="D47" s="107"/>
      <c r="E47" s="74"/>
      <c r="F47" s="126"/>
      <c r="G47" s="213"/>
      <c r="H47" s="108"/>
      <c r="I47" s="109" t="s">
        <v>252</v>
      </c>
      <c r="J47" s="74">
        <f t="shared" si="3"/>
        <v>0</v>
      </c>
      <c r="K47" s="270"/>
      <c r="L47" s="207"/>
      <c r="M47" s="270"/>
      <c r="N47" s="207"/>
      <c r="O47" s="206"/>
      <c r="P47" s="207"/>
      <c r="Q47" s="206"/>
      <c r="R47" s="207"/>
      <c r="S47" s="206"/>
      <c r="T47" s="207"/>
      <c r="U47" s="206"/>
      <c r="V47" s="207"/>
      <c r="W47" s="218"/>
      <c r="X47" s="219"/>
      <c r="Y47" s="213"/>
      <c r="Z47" s="1"/>
    </row>
    <row r="48" spans="1:26" ht="14">
      <c r="A48" s="1"/>
      <c r="B48" s="218"/>
      <c r="C48" s="219"/>
      <c r="D48" s="107"/>
      <c r="E48" s="74"/>
      <c r="F48" s="126"/>
      <c r="G48" s="213"/>
      <c r="H48" s="108"/>
      <c r="I48" s="109" t="s">
        <v>252</v>
      </c>
      <c r="J48" s="74">
        <f t="shared" si="3"/>
        <v>0</v>
      </c>
      <c r="K48" s="270"/>
      <c r="L48" s="207"/>
      <c r="M48" s="270"/>
      <c r="N48" s="207"/>
      <c r="O48" s="206"/>
      <c r="P48" s="207"/>
      <c r="Q48" s="206"/>
      <c r="R48" s="207"/>
      <c r="S48" s="206"/>
      <c r="T48" s="207"/>
      <c r="U48" s="206"/>
      <c r="V48" s="207"/>
      <c r="W48" s="218"/>
      <c r="X48" s="219"/>
      <c r="Y48" s="213"/>
      <c r="Z48" s="1"/>
    </row>
    <row r="49" spans="1:26" ht="14">
      <c r="A49" s="1"/>
      <c r="B49" s="218"/>
      <c r="C49" s="219"/>
      <c r="D49" s="107"/>
      <c r="E49" s="74"/>
      <c r="F49" s="126"/>
      <c r="G49" s="213"/>
      <c r="H49" s="108"/>
      <c r="I49" s="109" t="s">
        <v>252</v>
      </c>
      <c r="J49" s="74">
        <f t="shared" si="3"/>
        <v>0</v>
      </c>
      <c r="K49" s="270"/>
      <c r="L49" s="207"/>
      <c r="M49" s="270"/>
      <c r="N49" s="207"/>
      <c r="O49" s="206"/>
      <c r="P49" s="207"/>
      <c r="Q49" s="206"/>
      <c r="R49" s="207"/>
      <c r="S49" s="206"/>
      <c r="T49" s="207"/>
      <c r="U49" s="206"/>
      <c r="V49" s="207"/>
      <c r="W49" s="218"/>
      <c r="X49" s="219"/>
      <c r="Y49" s="213"/>
      <c r="Z49" s="1"/>
    </row>
    <row r="50" spans="1:26" ht="14">
      <c r="A50" s="1"/>
      <c r="B50" s="218"/>
      <c r="C50" s="219"/>
      <c r="D50" s="107"/>
      <c r="E50" s="74"/>
      <c r="F50" s="126"/>
      <c r="G50" s="209"/>
      <c r="H50" s="108"/>
      <c r="I50" s="109" t="s">
        <v>252</v>
      </c>
      <c r="J50" s="74">
        <f t="shared" si="3"/>
        <v>0</v>
      </c>
      <c r="K50" s="270"/>
      <c r="L50" s="207"/>
      <c r="M50" s="270"/>
      <c r="N50" s="207"/>
      <c r="O50" s="206"/>
      <c r="P50" s="207"/>
      <c r="Q50" s="206"/>
      <c r="R50" s="207"/>
      <c r="S50" s="206"/>
      <c r="T50" s="207"/>
      <c r="U50" s="206"/>
      <c r="V50" s="207"/>
      <c r="W50" s="218"/>
      <c r="X50" s="219"/>
      <c r="Y50" s="213"/>
      <c r="Z50" s="1"/>
    </row>
    <row r="51" spans="1:26" ht="14">
      <c r="A51" s="1"/>
      <c r="B51" s="218"/>
      <c r="C51" s="219"/>
      <c r="D51" s="107" t="s">
        <v>255</v>
      </c>
      <c r="E51" s="74" t="s">
        <v>253</v>
      </c>
      <c r="F51" s="117" t="s">
        <v>410</v>
      </c>
      <c r="G51" s="286" t="s">
        <v>425</v>
      </c>
      <c r="H51" s="108"/>
      <c r="I51" s="109" t="s">
        <v>252</v>
      </c>
      <c r="J51" s="74">
        <f t="shared" si="3"/>
        <v>2</v>
      </c>
      <c r="K51" s="274"/>
      <c r="L51" s="207"/>
      <c r="M51" s="274"/>
      <c r="N51" s="207"/>
      <c r="O51" s="229">
        <v>2</v>
      </c>
      <c r="P51" s="207"/>
      <c r="Q51" s="229"/>
      <c r="R51" s="207"/>
      <c r="S51" s="229"/>
      <c r="T51" s="207"/>
      <c r="U51" s="229"/>
      <c r="V51" s="207"/>
      <c r="W51" s="218"/>
      <c r="X51" s="219"/>
      <c r="Y51" s="213"/>
      <c r="Z51" s="1"/>
    </row>
    <row r="52" spans="1:26" ht="14">
      <c r="A52" s="1"/>
      <c r="B52" s="218"/>
      <c r="C52" s="219"/>
      <c r="D52" s="107" t="s">
        <v>255</v>
      </c>
      <c r="E52" s="74" t="s">
        <v>253</v>
      </c>
      <c r="F52" s="117" t="s">
        <v>263</v>
      </c>
      <c r="G52" s="213"/>
      <c r="H52" s="108"/>
      <c r="I52" s="109" t="s">
        <v>252</v>
      </c>
      <c r="J52" s="74">
        <f t="shared" si="3"/>
        <v>6</v>
      </c>
      <c r="K52" s="274"/>
      <c r="L52" s="207"/>
      <c r="M52" s="274"/>
      <c r="N52" s="207"/>
      <c r="O52" s="229"/>
      <c r="P52" s="207"/>
      <c r="Q52" s="229">
        <v>6</v>
      </c>
      <c r="R52" s="207"/>
      <c r="S52" s="229"/>
      <c r="T52" s="207"/>
      <c r="U52" s="229"/>
      <c r="V52" s="207"/>
      <c r="W52" s="218"/>
      <c r="X52" s="219"/>
      <c r="Y52" s="213"/>
      <c r="Z52" s="1"/>
    </row>
    <row r="53" spans="1:26" ht="14">
      <c r="A53" s="1"/>
      <c r="B53" s="218"/>
      <c r="C53" s="219"/>
      <c r="D53" s="107"/>
      <c r="E53" s="74" t="s">
        <v>260</v>
      </c>
      <c r="F53" s="117" t="s">
        <v>412</v>
      </c>
      <c r="G53" s="213"/>
      <c r="H53" s="108"/>
      <c r="I53" s="109" t="s">
        <v>252</v>
      </c>
      <c r="J53" s="74">
        <f t="shared" si="3"/>
        <v>19</v>
      </c>
      <c r="K53" s="274"/>
      <c r="L53" s="207"/>
      <c r="M53" s="274"/>
      <c r="N53" s="207"/>
      <c r="O53" s="229"/>
      <c r="P53" s="207"/>
      <c r="Q53" s="229"/>
      <c r="R53" s="207"/>
      <c r="S53" s="229">
        <v>6</v>
      </c>
      <c r="T53" s="207"/>
      <c r="U53" s="229">
        <v>13</v>
      </c>
      <c r="V53" s="207"/>
      <c r="W53" s="218"/>
      <c r="X53" s="219"/>
      <c r="Y53" s="213"/>
      <c r="Z53" s="1"/>
    </row>
    <row r="54" spans="1:26" ht="14">
      <c r="A54" s="1"/>
      <c r="B54" s="218"/>
      <c r="C54" s="219"/>
      <c r="D54" s="107" t="s">
        <v>113</v>
      </c>
      <c r="E54" s="74" t="s">
        <v>260</v>
      </c>
      <c r="F54" s="192" t="s">
        <v>426</v>
      </c>
      <c r="G54" s="213"/>
      <c r="H54" s="108"/>
      <c r="I54" s="109" t="s">
        <v>252</v>
      </c>
      <c r="J54" s="74">
        <f t="shared" si="3"/>
        <v>0</v>
      </c>
      <c r="K54" s="283"/>
      <c r="L54" s="207"/>
      <c r="M54" s="283"/>
      <c r="N54" s="207"/>
      <c r="O54" s="284" t="s">
        <v>274</v>
      </c>
      <c r="P54" s="207"/>
      <c r="Q54" s="284" t="s">
        <v>427</v>
      </c>
      <c r="R54" s="207"/>
      <c r="S54" s="284" t="s">
        <v>428</v>
      </c>
      <c r="T54" s="207"/>
      <c r="U54" s="284" t="s">
        <v>429</v>
      </c>
      <c r="V54" s="207"/>
      <c r="W54" s="218"/>
      <c r="X54" s="219"/>
      <c r="Y54" s="213"/>
      <c r="Z54" s="1"/>
    </row>
    <row r="55" spans="1:26" ht="14">
      <c r="A55" s="1"/>
      <c r="B55" s="218"/>
      <c r="C55" s="219"/>
      <c r="D55" s="107" t="s">
        <v>113</v>
      </c>
      <c r="E55" s="74" t="s">
        <v>260</v>
      </c>
      <c r="F55" s="126"/>
      <c r="G55" s="213"/>
      <c r="H55" s="108"/>
      <c r="I55" s="109" t="s">
        <v>252</v>
      </c>
      <c r="J55" s="74">
        <f t="shared" si="3"/>
        <v>0</v>
      </c>
      <c r="K55" s="270"/>
      <c r="L55" s="207"/>
      <c r="M55" s="270"/>
      <c r="N55" s="207"/>
      <c r="O55" s="206"/>
      <c r="P55" s="207"/>
      <c r="Q55" s="206"/>
      <c r="R55" s="207"/>
      <c r="S55" s="206"/>
      <c r="T55" s="207"/>
      <c r="U55" s="206"/>
      <c r="V55" s="207"/>
      <c r="W55" s="218"/>
      <c r="X55" s="219"/>
      <c r="Y55" s="213"/>
      <c r="Z55" s="1"/>
    </row>
    <row r="56" spans="1:26" ht="14">
      <c r="A56" s="1"/>
      <c r="B56" s="218"/>
      <c r="C56" s="219"/>
      <c r="D56" s="107" t="s">
        <v>113</v>
      </c>
      <c r="E56" s="74" t="s">
        <v>260</v>
      </c>
      <c r="F56" s="126"/>
      <c r="G56" s="213"/>
      <c r="H56" s="108"/>
      <c r="I56" s="109" t="s">
        <v>252</v>
      </c>
      <c r="J56" s="74">
        <f t="shared" si="3"/>
        <v>0</v>
      </c>
      <c r="K56" s="270"/>
      <c r="L56" s="207"/>
      <c r="M56" s="270"/>
      <c r="N56" s="207"/>
      <c r="O56" s="206"/>
      <c r="P56" s="207"/>
      <c r="Q56" s="206"/>
      <c r="R56" s="207"/>
      <c r="S56" s="206"/>
      <c r="T56" s="207"/>
      <c r="U56" s="206"/>
      <c r="V56" s="207"/>
      <c r="W56" s="218"/>
      <c r="X56" s="219"/>
      <c r="Y56" s="213"/>
      <c r="Z56" s="1"/>
    </row>
    <row r="57" spans="1:26" ht="14">
      <c r="A57" s="1"/>
      <c r="B57" s="218"/>
      <c r="C57" s="219"/>
      <c r="D57" s="107" t="s">
        <v>113</v>
      </c>
      <c r="E57" s="74" t="s">
        <v>260</v>
      </c>
      <c r="F57" s="126"/>
      <c r="G57" s="213"/>
      <c r="H57" s="108"/>
      <c r="I57" s="109" t="s">
        <v>252</v>
      </c>
      <c r="J57" s="74">
        <f t="shared" si="3"/>
        <v>0</v>
      </c>
      <c r="K57" s="270"/>
      <c r="L57" s="207"/>
      <c r="M57" s="270"/>
      <c r="N57" s="207"/>
      <c r="O57" s="206"/>
      <c r="P57" s="207"/>
      <c r="Q57" s="206"/>
      <c r="R57" s="207"/>
      <c r="S57" s="206"/>
      <c r="T57" s="207"/>
      <c r="U57" s="206"/>
      <c r="V57" s="207"/>
      <c r="W57" s="218"/>
      <c r="X57" s="219"/>
      <c r="Y57" s="213"/>
      <c r="Z57" s="1"/>
    </row>
    <row r="58" spans="1:26" ht="14">
      <c r="A58" s="1"/>
      <c r="B58" s="218"/>
      <c r="C58" s="219"/>
      <c r="D58" s="107" t="s">
        <v>113</v>
      </c>
      <c r="E58" s="74" t="s">
        <v>260</v>
      </c>
      <c r="F58" s="126"/>
      <c r="G58" s="213"/>
      <c r="H58" s="108"/>
      <c r="I58" s="109" t="s">
        <v>252</v>
      </c>
      <c r="J58" s="74">
        <f t="shared" si="3"/>
        <v>0</v>
      </c>
      <c r="K58" s="270"/>
      <c r="L58" s="207"/>
      <c r="M58" s="270"/>
      <c r="N58" s="207"/>
      <c r="O58" s="206"/>
      <c r="P58" s="207"/>
      <c r="Q58" s="206"/>
      <c r="R58" s="207"/>
      <c r="S58" s="206"/>
      <c r="T58" s="207"/>
      <c r="U58" s="206"/>
      <c r="V58" s="207"/>
      <c r="W58" s="218"/>
      <c r="X58" s="219"/>
      <c r="Y58" s="213"/>
      <c r="Z58" s="1"/>
    </row>
    <row r="59" spans="1:26" ht="14">
      <c r="A59" s="1"/>
      <c r="B59" s="218"/>
      <c r="C59" s="219"/>
      <c r="D59" s="107" t="s">
        <v>113</v>
      </c>
      <c r="E59" s="74" t="s">
        <v>260</v>
      </c>
      <c r="F59" s="126"/>
      <c r="G59" s="209"/>
      <c r="H59" s="108"/>
      <c r="I59" s="109" t="s">
        <v>252</v>
      </c>
      <c r="J59" s="74">
        <f t="shared" si="3"/>
        <v>0</v>
      </c>
      <c r="K59" s="270"/>
      <c r="L59" s="207"/>
      <c r="M59" s="270"/>
      <c r="N59" s="207"/>
      <c r="O59" s="206"/>
      <c r="P59" s="207"/>
      <c r="Q59" s="206"/>
      <c r="R59" s="207"/>
      <c r="S59" s="206"/>
      <c r="T59" s="207"/>
      <c r="U59" s="206"/>
      <c r="V59" s="207"/>
      <c r="W59" s="218"/>
      <c r="X59" s="219"/>
      <c r="Y59" s="213"/>
      <c r="Z59" s="1"/>
    </row>
    <row r="60" spans="1:26" ht="14">
      <c r="A60" s="1"/>
      <c r="B60" s="218"/>
      <c r="C60" s="219"/>
      <c r="D60" s="107" t="s">
        <v>255</v>
      </c>
      <c r="E60" s="74" t="s">
        <v>253</v>
      </c>
      <c r="F60" s="117"/>
      <c r="G60" s="275" t="s">
        <v>430</v>
      </c>
      <c r="H60" s="108"/>
      <c r="I60" s="109" t="s">
        <v>252</v>
      </c>
      <c r="J60" s="74">
        <f t="shared" si="3"/>
        <v>0</v>
      </c>
      <c r="K60" s="274"/>
      <c r="L60" s="207"/>
      <c r="M60" s="274"/>
      <c r="N60" s="207"/>
      <c r="O60" s="229"/>
      <c r="P60" s="207"/>
      <c r="Q60" s="229"/>
      <c r="R60" s="207"/>
      <c r="S60" s="229"/>
      <c r="T60" s="207"/>
      <c r="U60" s="229"/>
      <c r="V60" s="207"/>
      <c r="W60" s="218"/>
      <c r="X60" s="219"/>
      <c r="Y60" s="213"/>
      <c r="Z60" s="1"/>
    </row>
    <row r="61" spans="1:26" ht="14">
      <c r="A61" s="1"/>
      <c r="B61" s="218"/>
      <c r="C61" s="219"/>
      <c r="D61" s="107" t="s">
        <v>255</v>
      </c>
      <c r="E61" s="74" t="s">
        <v>253</v>
      </c>
      <c r="F61" s="117"/>
      <c r="G61" s="213"/>
      <c r="H61" s="108"/>
      <c r="I61" s="109" t="s">
        <v>252</v>
      </c>
      <c r="J61" s="74">
        <f t="shared" si="3"/>
        <v>0</v>
      </c>
      <c r="K61" s="274"/>
      <c r="L61" s="207"/>
      <c r="M61" s="274"/>
      <c r="N61" s="207"/>
      <c r="O61" s="229"/>
      <c r="P61" s="207"/>
      <c r="Q61" s="229"/>
      <c r="R61" s="207"/>
      <c r="S61" s="229"/>
      <c r="T61" s="207"/>
      <c r="U61" s="229"/>
      <c r="V61" s="207"/>
      <c r="W61" s="218"/>
      <c r="X61" s="219"/>
      <c r="Y61" s="213"/>
      <c r="Z61" s="1"/>
    </row>
    <row r="62" spans="1:26" ht="14">
      <c r="A62" s="1"/>
      <c r="B62" s="218"/>
      <c r="C62" s="219"/>
      <c r="D62" s="107"/>
      <c r="E62" s="74" t="s">
        <v>260</v>
      </c>
      <c r="F62" s="117"/>
      <c r="G62" s="213"/>
      <c r="H62" s="108"/>
      <c r="I62" s="109" t="s">
        <v>252</v>
      </c>
      <c r="J62" s="74">
        <f t="shared" si="3"/>
        <v>0</v>
      </c>
      <c r="K62" s="274"/>
      <c r="L62" s="207"/>
      <c r="M62" s="274"/>
      <c r="N62" s="207"/>
      <c r="O62" s="229"/>
      <c r="P62" s="207"/>
      <c r="Q62" s="229"/>
      <c r="R62" s="207"/>
      <c r="S62" s="229"/>
      <c r="T62" s="207"/>
      <c r="U62" s="229"/>
      <c r="V62" s="207"/>
      <c r="W62" s="218"/>
      <c r="X62" s="219"/>
      <c r="Y62" s="213"/>
      <c r="Z62" s="1"/>
    </row>
    <row r="63" spans="1:26" ht="14">
      <c r="A63" s="1"/>
      <c r="B63" s="218"/>
      <c r="C63" s="219"/>
      <c r="D63" s="107"/>
      <c r="E63" s="74"/>
      <c r="F63" s="126"/>
      <c r="G63" s="213"/>
      <c r="H63" s="108"/>
      <c r="I63" s="109" t="s">
        <v>252</v>
      </c>
      <c r="J63" s="74">
        <f t="shared" si="3"/>
        <v>0</v>
      </c>
      <c r="K63" s="270"/>
      <c r="L63" s="207"/>
      <c r="M63" s="270"/>
      <c r="N63" s="207"/>
      <c r="O63" s="206"/>
      <c r="P63" s="207"/>
      <c r="Q63" s="206"/>
      <c r="R63" s="207"/>
      <c r="S63" s="206"/>
      <c r="T63" s="207"/>
      <c r="U63" s="206"/>
      <c r="V63" s="207"/>
      <c r="W63" s="218"/>
      <c r="X63" s="219"/>
      <c r="Y63" s="213"/>
      <c r="Z63" s="1"/>
    </row>
    <row r="64" spans="1:26" ht="14">
      <c r="A64" s="1"/>
      <c r="B64" s="218"/>
      <c r="C64" s="219"/>
      <c r="D64" s="107"/>
      <c r="E64" s="74"/>
      <c r="F64" s="126"/>
      <c r="G64" s="213"/>
      <c r="H64" s="108"/>
      <c r="I64" s="109" t="s">
        <v>252</v>
      </c>
      <c r="J64" s="74">
        <f t="shared" si="3"/>
        <v>0</v>
      </c>
      <c r="K64" s="270"/>
      <c r="L64" s="207"/>
      <c r="M64" s="270"/>
      <c r="N64" s="207"/>
      <c r="O64" s="206"/>
      <c r="P64" s="207"/>
      <c r="Q64" s="206"/>
      <c r="R64" s="207"/>
      <c r="S64" s="206"/>
      <c r="T64" s="207"/>
      <c r="U64" s="206"/>
      <c r="V64" s="207"/>
      <c r="W64" s="218"/>
      <c r="X64" s="219"/>
      <c r="Y64" s="213"/>
      <c r="Z64" s="1"/>
    </row>
    <row r="65" spans="1:26" ht="14">
      <c r="A65" s="1"/>
      <c r="B65" s="218"/>
      <c r="C65" s="219"/>
      <c r="D65" s="107"/>
      <c r="E65" s="74"/>
      <c r="F65" s="126"/>
      <c r="G65" s="213"/>
      <c r="H65" s="108"/>
      <c r="I65" s="109" t="s">
        <v>252</v>
      </c>
      <c r="J65" s="74">
        <f t="shared" si="3"/>
        <v>0</v>
      </c>
      <c r="K65" s="270"/>
      <c r="L65" s="207"/>
      <c r="M65" s="270"/>
      <c r="N65" s="207"/>
      <c r="O65" s="206"/>
      <c r="P65" s="207"/>
      <c r="Q65" s="206"/>
      <c r="R65" s="207"/>
      <c r="S65" s="206"/>
      <c r="T65" s="207"/>
      <c r="U65" s="206"/>
      <c r="V65" s="207"/>
      <c r="W65" s="218"/>
      <c r="X65" s="219"/>
      <c r="Y65" s="213"/>
      <c r="Z65" s="1"/>
    </row>
    <row r="66" spans="1:26" ht="14">
      <c r="A66" s="1"/>
      <c r="B66" s="220"/>
      <c r="C66" s="221"/>
      <c r="D66" s="107"/>
      <c r="E66" s="74"/>
      <c r="F66" s="126"/>
      <c r="G66" s="209"/>
      <c r="H66" s="108"/>
      <c r="I66" s="109" t="s">
        <v>252</v>
      </c>
      <c r="J66" s="74">
        <f t="shared" si="3"/>
        <v>0</v>
      </c>
      <c r="K66" s="270"/>
      <c r="L66" s="207"/>
      <c r="M66" s="270"/>
      <c r="N66" s="207"/>
      <c r="O66" s="206"/>
      <c r="P66" s="207"/>
      <c r="Q66" s="206"/>
      <c r="R66" s="207"/>
      <c r="S66" s="206"/>
      <c r="T66" s="207"/>
      <c r="U66" s="206"/>
      <c r="V66" s="207"/>
      <c r="W66" s="220"/>
      <c r="X66" s="221"/>
      <c r="Y66" s="209"/>
      <c r="Z66" s="1"/>
    </row>
    <row r="67" spans="1:26" ht="14">
      <c r="A67" s="1"/>
      <c r="B67" s="272" t="s">
        <v>282</v>
      </c>
      <c r="C67" s="225"/>
      <c r="D67" s="225"/>
      <c r="E67" s="225"/>
      <c r="F67" s="225"/>
      <c r="G67" s="217"/>
      <c r="H67" s="273"/>
      <c r="I67" s="273"/>
      <c r="J67" s="273">
        <f t="shared" ref="J67:K67" si="4">SUM(J37:J66)</f>
        <v>43</v>
      </c>
      <c r="K67" s="272">
        <f t="shared" si="4"/>
        <v>4</v>
      </c>
      <c r="L67" s="217"/>
      <c r="M67" s="272">
        <f>SUM(M37:M66)</f>
        <v>6</v>
      </c>
      <c r="N67" s="217"/>
      <c r="O67" s="272">
        <f>SUM(O37:O41)+(SUM(O51:O59))</f>
        <v>6</v>
      </c>
      <c r="P67" s="217"/>
      <c r="Q67" s="272">
        <f>SUM(Q37:Q41)+(SUM(Q51:Q59))</f>
        <v>6</v>
      </c>
      <c r="R67" s="217"/>
      <c r="S67" s="272">
        <f>SUM(S37:S41)+(SUM(S51:S59))</f>
        <v>8</v>
      </c>
      <c r="T67" s="217"/>
      <c r="U67" s="272">
        <f>SUM(U37:U41)+(SUM(U51:U59))</f>
        <v>13</v>
      </c>
      <c r="V67" s="217"/>
      <c r="W67" s="272">
        <f>SUM(W37:W66)</f>
        <v>43</v>
      </c>
      <c r="X67" s="217"/>
      <c r="Y67" s="215">
        <v>80</v>
      </c>
      <c r="Z67" s="1"/>
    </row>
    <row r="68" spans="1:26" ht="14">
      <c r="A68" s="1"/>
      <c r="B68" s="220"/>
      <c r="C68" s="227"/>
      <c r="D68" s="227"/>
      <c r="E68" s="227"/>
      <c r="F68" s="227"/>
      <c r="G68" s="221"/>
      <c r="H68" s="209"/>
      <c r="I68" s="209"/>
      <c r="J68" s="209"/>
      <c r="K68" s="220"/>
      <c r="L68" s="221"/>
      <c r="M68" s="220"/>
      <c r="N68" s="221"/>
      <c r="O68" s="220"/>
      <c r="P68" s="221"/>
      <c r="Q68" s="220"/>
      <c r="R68" s="221"/>
      <c r="S68" s="220"/>
      <c r="T68" s="221"/>
      <c r="U68" s="220"/>
      <c r="V68" s="221"/>
      <c r="W68" s="220"/>
      <c r="X68" s="221"/>
      <c r="Y68" s="209"/>
      <c r="Z68" s="1"/>
    </row>
    <row r="69" spans="1:26" ht="14">
      <c r="A69" s="1"/>
      <c r="B69" s="223"/>
      <c r="C69" s="211"/>
      <c r="D69" s="211"/>
      <c r="E69" s="211"/>
      <c r="F69" s="211"/>
      <c r="G69" s="207"/>
      <c r="H69" s="104"/>
      <c r="I69" s="104"/>
      <c r="J69" s="104">
        <v>141</v>
      </c>
      <c r="K69" s="223">
        <f>SUM(K36,K67)</f>
        <v>29</v>
      </c>
      <c r="L69" s="207"/>
      <c r="M69" s="223">
        <f>SUM(M36,M67)</f>
        <v>29</v>
      </c>
      <c r="N69" s="207"/>
      <c r="O69" s="223">
        <f>SUM(O36,O67)</f>
        <v>19</v>
      </c>
      <c r="P69" s="207"/>
      <c r="Q69" s="223">
        <f>SUM(Q36,Q67)</f>
        <v>16</v>
      </c>
      <c r="R69" s="207"/>
      <c r="S69" s="223">
        <f>SUM(S36,S67)</f>
        <v>9</v>
      </c>
      <c r="T69" s="207"/>
      <c r="U69" s="223">
        <f>SUM(U36,U67)</f>
        <v>13</v>
      </c>
      <c r="V69" s="207"/>
      <c r="W69" s="223">
        <f>SUM(W36,W67)</f>
        <v>115</v>
      </c>
      <c r="X69" s="207"/>
      <c r="Y69" s="106">
        <v>144</v>
      </c>
      <c r="Z69" s="1"/>
    </row>
    <row r="70" spans="1:26" ht="14">
      <c r="A70" s="1"/>
      <c r="B70" s="216" t="s">
        <v>287</v>
      </c>
      <c r="C70" s="225"/>
      <c r="D70" s="225"/>
      <c r="E70" s="217"/>
      <c r="F70" s="222" t="s">
        <v>405</v>
      </c>
      <c r="G70" s="211"/>
      <c r="H70" s="211"/>
      <c r="I70" s="211"/>
      <c r="J70" s="207"/>
      <c r="K70" s="206">
        <v>16</v>
      </c>
      <c r="L70" s="207"/>
      <c r="M70" s="206">
        <v>16</v>
      </c>
      <c r="N70" s="207"/>
      <c r="O70" s="206">
        <v>16</v>
      </c>
      <c r="P70" s="207"/>
      <c r="Q70" s="206">
        <v>16</v>
      </c>
      <c r="R70" s="207"/>
      <c r="S70" s="206">
        <v>16</v>
      </c>
      <c r="T70" s="207"/>
      <c r="U70" s="206">
        <v>16</v>
      </c>
      <c r="V70" s="207"/>
      <c r="W70" s="216">
        <f>SUM(K70:V72)</f>
        <v>288</v>
      </c>
      <c r="X70" s="217"/>
      <c r="Y70" s="215">
        <v>288</v>
      </c>
      <c r="Z70" s="1"/>
    </row>
    <row r="71" spans="1:26" ht="14">
      <c r="A71" s="1"/>
      <c r="B71" s="218"/>
      <c r="C71" s="226"/>
      <c r="D71" s="226"/>
      <c r="E71" s="219"/>
      <c r="F71" s="222" t="s">
        <v>291</v>
      </c>
      <c r="G71" s="211"/>
      <c r="H71" s="211"/>
      <c r="I71" s="211"/>
      <c r="J71" s="207"/>
      <c r="K71" s="206">
        <v>16</v>
      </c>
      <c r="L71" s="207"/>
      <c r="M71" s="206">
        <v>16</v>
      </c>
      <c r="N71" s="207"/>
      <c r="O71" s="206">
        <v>16</v>
      </c>
      <c r="P71" s="207"/>
      <c r="Q71" s="206">
        <v>16</v>
      </c>
      <c r="R71" s="207"/>
      <c r="S71" s="206">
        <v>16</v>
      </c>
      <c r="T71" s="207"/>
      <c r="U71" s="206">
        <v>16</v>
      </c>
      <c r="V71" s="207"/>
      <c r="W71" s="218"/>
      <c r="X71" s="219"/>
      <c r="Y71" s="213"/>
      <c r="Z71" s="1"/>
    </row>
    <row r="72" spans="1:26" ht="14">
      <c r="A72" s="1"/>
      <c r="B72" s="218"/>
      <c r="C72" s="226"/>
      <c r="D72" s="226"/>
      <c r="E72" s="219"/>
      <c r="F72" s="222" t="s">
        <v>294</v>
      </c>
      <c r="G72" s="211"/>
      <c r="H72" s="211"/>
      <c r="I72" s="211"/>
      <c r="J72" s="207"/>
      <c r="K72" s="206">
        <v>16</v>
      </c>
      <c r="L72" s="207"/>
      <c r="M72" s="206">
        <v>16</v>
      </c>
      <c r="N72" s="207"/>
      <c r="O72" s="206">
        <v>16</v>
      </c>
      <c r="P72" s="207"/>
      <c r="Q72" s="206">
        <v>16</v>
      </c>
      <c r="R72" s="207"/>
      <c r="S72" s="206">
        <v>16</v>
      </c>
      <c r="T72" s="207"/>
      <c r="U72" s="206">
        <v>16</v>
      </c>
      <c r="V72" s="207"/>
      <c r="W72" s="220"/>
      <c r="X72" s="221"/>
      <c r="Y72" s="209"/>
      <c r="Z72" s="1"/>
    </row>
    <row r="73" spans="1:26" ht="14">
      <c r="A73" s="1"/>
      <c r="B73" s="220"/>
      <c r="C73" s="227"/>
      <c r="D73" s="227"/>
      <c r="E73" s="221"/>
      <c r="F73" s="222" t="s">
        <v>295</v>
      </c>
      <c r="G73" s="211"/>
      <c r="H73" s="211"/>
      <c r="I73" s="211"/>
      <c r="J73" s="207"/>
      <c r="K73" s="222">
        <v>3</v>
      </c>
      <c r="L73" s="207"/>
      <c r="M73" s="222">
        <v>3</v>
      </c>
      <c r="N73" s="207"/>
      <c r="O73" s="222">
        <v>3</v>
      </c>
      <c r="P73" s="207"/>
      <c r="Q73" s="222">
        <v>3</v>
      </c>
      <c r="R73" s="207"/>
      <c r="S73" s="222">
        <v>3</v>
      </c>
      <c r="T73" s="207"/>
      <c r="U73" s="222">
        <v>3</v>
      </c>
      <c r="V73" s="207"/>
      <c r="W73" s="222">
        <f t="shared" ref="W73:W75" si="5">SUM(K73:V73)</f>
        <v>18</v>
      </c>
      <c r="X73" s="207"/>
      <c r="Y73" s="106">
        <v>18</v>
      </c>
      <c r="Z73" s="1"/>
    </row>
    <row r="74" spans="1:26" ht="14">
      <c r="A74" s="1"/>
      <c r="B74" s="223"/>
      <c r="C74" s="211"/>
      <c r="D74" s="211"/>
      <c r="E74" s="211"/>
      <c r="F74" s="211"/>
      <c r="G74" s="211"/>
      <c r="H74" s="211"/>
      <c r="I74" s="211"/>
      <c r="J74" s="207"/>
      <c r="K74" s="223">
        <f>SUM(K69,K73)</f>
        <v>32</v>
      </c>
      <c r="L74" s="207"/>
      <c r="M74" s="223">
        <f>SUM(M69,M73)</f>
        <v>32</v>
      </c>
      <c r="N74" s="207"/>
      <c r="O74" s="223">
        <f>SUM(O69,O73)</f>
        <v>22</v>
      </c>
      <c r="P74" s="207"/>
      <c r="Q74" s="223">
        <f>SUM(Q69,Q73)</f>
        <v>19</v>
      </c>
      <c r="R74" s="207"/>
      <c r="S74" s="223">
        <f>SUM(S69,S73)</f>
        <v>12</v>
      </c>
      <c r="T74" s="207"/>
      <c r="U74" s="223">
        <f>SUM(U69,U73)</f>
        <v>16</v>
      </c>
      <c r="V74" s="207"/>
      <c r="W74" s="223">
        <f t="shared" si="5"/>
        <v>133</v>
      </c>
      <c r="X74" s="207"/>
      <c r="Y74" s="106">
        <v>192</v>
      </c>
      <c r="Z74" s="1"/>
    </row>
    <row r="75" spans="1:26" ht="14">
      <c r="A75" s="1"/>
      <c r="B75" s="223"/>
      <c r="C75" s="211"/>
      <c r="D75" s="211"/>
      <c r="E75" s="211"/>
      <c r="F75" s="211"/>
      <c r="G75" s="211"/>
      <c r="H75" s="211"/>
      <c r="I75" s="211"/>
      <c r="J75" s="207"/>
      <c r="K75" s="223">
        <f>SUM(K74:N74)</f>
        <v>64</v>
      </c>
      <c r="L75" s="211"/>
      <c r="M75" s="211"/>
      <c r="N75" s="207"/>
      <c r="O75" s="223">
        <f>SUM(O74:R74)</f>
        <v>41</v>
      </c>
      <c r="P75" s="211"/>
      <c r="Q75" s="211"/>
      <c r="R75" s="207"/>
      <c r="S75" s="223">
        <f>SUM(S74:V74)</f>
        <v>28</v>
      </c>
      <c r="T75" s="211"/>
      <c r="U75" s="211"/>
      <c r="V75" s="207"/>
      <c r="W75" s="223">
        <f t="shared" si="5"/>
        <v>133</v>
      </c>
      <c r="X75" s="207"/>
      <c r="Y75" s="141"/>
      <c r="Z75" s="1"/>
    </row>
    <row r="76" spans="1:26" ht="14">
      <c r="A76" s="1"/>
      <c r="D76" s="1"/>
      <c r="E76" s="14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51"/>
      <c r="D77" s="151"/>
      <c r="E77" s="190"/>
      <c r="F77" s="190"/>
      <c r="G77" s="190"/>
      <c r="H77" s="190"/>
      <c r="I77" s="190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spans="1:26" ht="13">
      <c r="A78" s="151"/>
      <c r="B78" s="151"/>
      <c r="C78" s="151"/>
      <c r="D78" s="151"/>
      <c r="E78" s="193" t="s">
        <v>432</v>
      </c>
      <c r="G78" s="151"/>
      <c r="H78" s="151"/>
      <c r="I78" s="190" t="s">
        <v>433</v>
      </c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spans="1:26" ht="13">
      <c r="A79" s="151"/>
      <c r="B79" s="151"/>
      <c r="C79" s="151"/>
      <c r="D79" s="107" t="s">
        <v>255</v>
      </c>
      <c r="E79" s="74" t="s">
        <v>253</v>
      </c>
      <c r="F79" s="117" t="s">
        <v>410</v>
      </c>
      <c r="G79" s="285" t="s">
        <v>434</v>
      </c>
      <c r="H79" s="108"/>
      <c r="I79" s="109" t="s">
        <v>252</v>
      </c>
      <c r="J79" s="74">
        <f t="shared" ref="J79:J87" si="6">SUM(K79:V79)</f>
        <v>2</v>
      </c>
      <c r="K79" s="274"/>
      <c r="L79" s="207"/>
      <c r="M79" s="274"/>
      <c r="N79" s="207"/>
      <c r="O79" s="229">
        <v>2</v>
      </c>
      <c r="P79" s="207"/>
      <c r="Q79" s="229"/>
      <c r="R79" s="207"/>
      <c r="S79" s="229"/>
      <c r="T79" s="207"/>
      <c r="U79" s="229"/>
      <c r="V79" s="207"/>
      <c r="W79" s="151"/>
      <c r="X79" s="151"/>
      <c r="Y79" s="151"/>
      <c r="Z79" s="151"/>
    </row>
    <row r="80" spans="1:26" ht="13">
      <c r="A80" s="151"/>
      <c r="B80" s="151"/>
      <c r="C80" s="151"/>
      <c r="D80" s="107" t="s">
        <v>255</v>
      </c>
      <c r="E80" s="74" t="s">
        <v>253</v>
      </c>
      <c r="F80" s="117" t="s">
        <v>263</v>
      </c>
      <c r="G80" s="213"/>
      <c r="H80" s="108"/>
      <c r="I80" s="109" t="s">
        <v>252</v>
      </c>
      <c r="J80" s="74">
        <f t="shared" si="6"/>
        <v>6</v>
      </c>
      <c r="K80" s="274"/>
      <c r="L80" s="207"/>
      <c r="M80" s="274"/>
      <c r="N80" s="207"/>
      <c r="O80" s="229"/>
      <c r="P80" s="207"/>
      <c r="Q80" s="229">
        <v>6</v>
      </c>
      <c r="R80" s="207"/>
      <c r="S80" s="229"/>
      <c r="T80" s="207"/>
      <c r="U80" s="229"/>
      <c r="V80" s="207"/>
      <c r="W80" s="151"/>
      <c r="X80" s="151"/>
      <c r="Y80" s="151"/>
      <c r="Z80" s="151"/>
    </row>
    <row r="81" spans="1:26" ht="13">
      <c r="A81" s="151"/>
      <c r="B81" s="151"/>
      <c r="C81" s="151"/>
      <c r="D81" s="107"/>
      <c r="E81" s="74" t="s">
        <v>260</v>
      </c>
      <c r="F81" s="117" t="s">
        <v>412</v>
      </c>
      <c r="G81" s="213"/>
      <c r="H81" s="108"/>
      <c r="I81" s="109" t="s">
        <v>252</v>
      </c>
      <c r="J81" s="74">
        <f t="shared" si="6"/>
        <v>19</v>
      </c>
      <c r="K81" s="274"/>
      <c r="L81" s="207"/>
      <c r="M81" s="274"/>
      <c r="N81" s="207"/>
      <c r="O81" s="229"/>
      <c r="P81" s="207"/>
      <c r="Q81" s="229"/>
      <c r="R81" s="207"/>
      <c r="S81" s="229">
        <v>6</v>
      </c>
      <c r="T81" s="207"/>
      <c r="U81" s="229">
        <v>13</v>
      </c>
      <c r="V81" s="207"/>
      <c r="W81" s="151"/>
      <c r="X81" s="151"/>
      <c r="Y81" s="151"/>
      <c r="Z81" s="151"/>
    </row>
    <row r="82" spans="1:26" ht="13">
      <c r="A82" s="151"/>
      <c r="B82" s="151"/>
      <c r="C82" s="151"/>
      <c r="D82" s="107"/>
      <c r="E82" s="74"/>
      <c r="F82" s="192" t="s">
        <v>426</v>
      </c>
      <c r="G82" s="213"/>
      <c r="H82" s="108"/>
      <c r="I82" s="109" t="s">
        <v>252</v>
      </c>
      <c r="J82" s="74">
        <f t="shared" si="6"/>
        <v>0</v>
      </c>
      <c r="K82" s="283"/>
      <c r="L82" s="207"/>
      <c r="M82" s="283"/>
      <c r="N82" s="207"/>
      <c r="O82" s="284" t="s">
        <v>274</v>
      </c>
      <c r="P82" s="207"/>
      <c r="Q82" s="284" t="s">
        <v>427</v>
      </c>
      <c r="R82" s="207"/>
      <c r="S82" s="284" t="s">
        <v>428</v>
      </c>
      <c r="T82" s="207"/>
      <c r="U82" s="284" t="s">
        <v>429</v>
      </c>
      <c r="V82" s="207"/>
      <c r="W82" s="151"/>
      <c r="X82" s="151"/>
      <c r="Y82" s="151"/>
      <c r="Z82" s="151"/>
    </row>
    <row r="83" spans="1:26" ht="13">
      <c r="A83" s="151"/>
      <c r="B83" s="151"/>
      <c r="C83" s="151"/>
      <c r="D83" s="107" t="s">
        <v>113</v>
      </c>
      <c r="E83" s="74" t="s">
        <v>260</v>
      </c>
      <c r="F83" s="198" t="s">
        <v>417</v>
      </c>
      <c r="G83" s="213"/>
      <c r="H83" s="108"/>
      <c r="I83" s="109" t="s">
        <v>252</v>
      </c>
      <c r="J83" s="74">
        <f t="shared" si="6"/>
        <v>12</v>
      </c>
      <c r="K83" s="270"/>
      <c r="L83" s="207"/>
      <c r="M83" s="270"/>
      <c r="N83" s="207"/>
      <c r="O83" s="206"/>
      <c r="P83" s="207"/>
      <c r="Q83" s="206">
        <v>6</v>
      </c>
      <c r="R83" s="207"/>
      <c r="S83" s="206">
        <v>6</v>
      </c>
      <c r="T83" s="207"/>
      <c r="U83" s="206"/>
      <c r="V83" s="207"/>
      <c r="W83" s="151"/>
      <c r="X83" s="151"/>
      <c r="Y83" s="151"/>
      <c r="Z83" s="151"/>
    </row>
    <row r="84" spans="1:26" ht="13">
      <c r="A84" s="151"/>
      <c r="B84" s="151"/>
      <c r="C84" s="151"/>
      <c r="D84" s="107" t="s">
        <v>113</v>
      </c>
      <c r="E84" s="74" t="s">
        <v>260</v>
      </c>
      <c r="F84" s="198" t="s">
        <v>435</v>
      </c>
      <c r="G84" s="213"/>
      <c r="H84" s="108"/>
      <c r="I84" s="109" t="s">
        <v>252</v>
      </c>
      <c r="J84" s="74">
        <f t="shared" si="6"/>
        <v>13</v>
      </c>
      <c r="K84" s="270"/>
      <c r="L84" s="207"/>
      <c r="M84" s="270"/>
      <c r="N84" s="207"/>
      <c r="O84" s="206">
        <v>10</v>
      </c>
      <c r="P84" s="207"/>
      <c r="Q84" s="206">
        <v>3</v>
      </c>
      <c r="R84" s="207"/>
      <c r="S84" s="206"/>
      <c r="T84" s="207"/>
      <c r="U84" s="206"/>
      <c r="V84" s="207"/>
      <c r="W84" s="151"/>
      <c r="X84" s="151"/>
      <c r="Y84" s="151"/>
      <c r="Z84" s="151"/>
    </row>
    <row r="85" spans="1:26" ht="13">
      <c r="A85" s="151"/>
      <c r="B85" s="151"/>
      <c r="C85" s="151"/>
      <c r="D85" s="107" t="s">
        <v>113</v>
      </c>
      <c r="E85" s="74" t="s">
        <v>260</v>
      </c>
      <c r="F85" s="198" t="s">
        <v>436</v>
      </c>
      <c r="G85" s="213"/>
      <c r="H85" s="108"/>
      <c r="I85" s="109" t="s">
        <v>252</v>
      </c>
      <c r="J85" s="74">
        <f t="shared" si="6"/>
        <v>10</v>
      </c>
      <c r="K85" s="270"/>
      <c r="L85" s="207"/>
      <c r="M85" s="270"/>
      <c r="N85" s="207"/>
      <c r="O85" s="206"/>
      <c r="P85" s="207"/>
      <c r="Q85" s="206">
        <v>4</v>
      </c>
      <c r="R85" s="207"/>
      <c r="S85" s="206">
        <v>6</v>
      </c>
      <c r="T85" s="207"/>
      <c r="U85" s="206"/>
      <c r="V85" s="207"/>
      <c r="W85" s="151"/>
      <c r="X85" s="151"/>
      <c r="Y85" s="151"/>
      <c r="Z85" s="151"/>
    </row>
    <row r="86" spans="1:26" ht="13">
      <c r="A86" s="151"/>
      <c r="B86" s="151"/>
      <c r="C86" s="151"/>
      <c r="D86" s="107" t="s">
        <v>113</v>
      </c>
      <c r="E86" s="74" t="s">
        <v>260</v>
      </c>
      <c r="F86" s="199" t="s">
        <v>416</v>
      </c>
      <c r="G86" s="213"/>
      <c r="H86" s="108"/>
      <c r="I86" s="109" t="s">
        <v>252</v>
      </c>
      <c r="J86" s="74">
        <f t="shared" si="6"/>
        <v>18</v>
      </c>
      <c r="K86" s="270"/>
      <c r="L86" s="207"/>
      <c r="M86" s="270"/>
      <c r="N86" s="207"/>
      <c r="O86" s="206"/>
      <c r="P86" s="207"/>
      <c r="Q86" s="206"/>
      <c r="R86" s="207"/>
      <c r="S86" s="206">
        <v>8</v>
      </c>
      <c r="T86" s="207"/>
      <c r="U86" s="206">
        <v>10</v>
      </c>
      <c r="V86" s="207"/>
      <c r="W86" s="151"/>
      <c r="X86" s="151"/>
      <c r="Y86" s="151"/>
      <c r="Z86" s="151"/>
    </row>
    <row r="87" spans="1:26" ht="13">
      <c r="A87" s="151"/>
      <c r="B87" s="151"/>
      <c r="C87" s="151"/>
      <c r="D87" s="107" t="s">
        <v>113</v>
      </c>
      <c r="E87" s="74" t="s">
        <v>260</v>
      </c>
      <c r="F87" s="126" t="s">
        <v>437</v>
      </c>
      <c r="G87" s="209"/>
      <c r="H87" s="108"/>
      <c r="I87" s="109" t="s">
        <v>252</v>
      </c>
      <c r="J87" s="74">
        <f t="shared" si="6"/>
        <v>6</v>
      </c>
      <c r="K87" s="270"/>
      <c r="L87" s="207"/>
      <c r="M87" s="270"/>
      <c r="N87" s="207"/>
      <c r="O87" s="206"/>
      <c r="P87" s="207"/>
      <c r="Q87" s="206"/>
      <c r="R87" s="207"/>
      <c r="S87" s="206"/>
      <c r="T87" s="207"/>
      <c r="U87" s="206">
        <v>6</v>
      </c>
      <c r="V87" s="207"/>
      <c r="W87" s="151"/>
      <c r="X87" s="151"/>
      <c r="Y87" s="151"/>
      <c r="Z87" s="151"/>
    </row>
    <row r="88" spans="1:26" ht="12.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Q88" s="190" t="s">
        <v>438</v>
      </c>
      <c r="R88" s="151"/>
      <c r="S88" s="151"/>
      <c r="T88" s="151"/>
      <c r="U88" s="151"/>
      <c r="V88" s="151"/>
      <c r="W88" s="151"/>
      <c r="X88" s="151"/>
      <c r="Y88" s="151"/>
      <c r="Z88" s="151"/>
    </row>
    <row r="89" spans="1:26" ht="12.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spans="1:26" ht="13">
      <c r="A90" s="151"/>
      <c r="B90" s="151"/>
      <c r="C90" s="151"/>
      <c r="D90" s="151"/>
      <c r="E90" s="193" t="s">
        <v>432</v>
      </c>
      <c r="G90" s="151"/>
      <c r="H90" s="151"/>
      <c r="I90" s="190" t="s">
        <v>439</v>
      </c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spans="1:26" ht="13">
      <c r="A91" s="151"/>
      <c r="B91" s="151"/>
      <c r="C91" s="151"/>
      <c r="D91" s="107" t="s">
        <v>255</v>
      </c>
      <c r="E91" s="74" t="s">
        <v>253</v>
      </c>
      <c r="F91" s="117" t="s">
        <v>410</v>
      </c>
      <c r="G91" s="285" t="s">
        <v>440</v>
      </c>
      <c r="H91" s="108"/>
      <c r="I91" s="109" t="s">
        <v>252</v>
      </c>
      <c r="J91" s="74">
        <f t="shared" ref="J91:J100" si="7">SUM(K91:V91)</f>
        <v>2</v>
      </c>
      <c r="K91" s="274"/>
      <c r="L91" s="207"/>
      <c r="M91" s="274"/>
      <c r="N91" s="207"/>
      <c r="O91" s="229">
        <v>2</v>
      </c>
      <c r="P91" s="207"/>
      <c r="Q91" s="229"/>
      <c r="R91" s="207"/>
      <c r="S91" s="229"/>
      <c r="T91" s="207"/>
      <c r="U91" s="229"/>
      <c r="V91" s="207"/>
      <c r="W91" s="151"/>
      <c r="X91" s="151"/>
      <c r="Y91" s="151"/>
      <c r="Z91" s="151"/>
    </row>
    <row r="92" spans="1:26" ht="13">
      <c r="A92" s="151"/>
      <c r="B92" s="151"/>
      <c r="C92" s="151"/>
      <c r="D92" s="107" t="s">
        <v>255</v>
      </c>
      <c r="E92" s="74" t="s">
        <v>253</v>
      </c>
      <c r="F92" s="117" t="s">
        <v>263</v>
      </c>
      <c r="G92" s="213"/>
      <c r="H92" s="108"/>
      <c r="I92" s="109" t="s">
        <v>252</v>
      </c>
      <c r="J92" s="74">
        <f t="shared" si="7"/>
        <v>6</v>
      </c>
      <c r="K92" s="274"/>
      <c r="L92" s="207"/>
      <c r="M92" s="274"/>
      <c r="N92" s="207"/>
      <c r="O92" s="229"/>
      <c r="P92" s="207"/>
      <c r="Q92" s="229">
        <v>6</v>
      </c>
      <c r="R92" s="207"/>
      <c r="S92" s="229"/>
      <c r="T92" s="207"/>
      <c r="U92" s="229"/>
      <c r="V92" s="207"/>
      <c r="W92" s="151"/>
      <c r="X92" s="151"/>
      <c r="Y92" s="151"/>
      <c r="Z92" s="151"/>
    </row>
    <row r="93" spans="1:26" ht="13">
      <c r="A93" s="151"/>
      <c r="B93" s="151"/>
      <c r="C93" s="151"/>
      <c r="D93" s="107"/>
      <c r="E93" s="74" t="s">
        <v>260</v>
      </c>
      <c r="F93" s="117" t="s">
        <v>412</v>
      </c>
      <c r="G93" s="213"/>
      <c r="H93" s="108"/>
      <c r="I93" s="109" t="s">
        <v>252</v>
      </c>
      <c r="J93" s="74">
        <f t="shared" si="7"/>
        <v>19</v>
      </c>
      <c r="K93" s="274"/>
      <c r="L93" s="207"/>
      <c r="M93" s="274"/>
      <c r="N93" s="207"/>
      <c r="O93" s="229"/>
      <c r="P93" s="207"/>
      <c r="Q93" s="229"/>
      <c r="R93" s="207"/>
      <c r="S93" s="229">
        <v>6</v>
      </c>
      <c r="T93" s="207"/>
      <c r="U93" s="229">
        <v>13</v>
      </c>
      <c r="V93" s="207"/>
      <c r="W93" s="151"/>
      <c r="X93" s="151"/>
      <c r="Y93" s="151"/>
      <c r="Z93" s="151"/>
    </row>
    <row r="94" spans="1:26" ht="13">
      <c r="A94" s="151"/>
      <c r="B94" s="151"/>
      <c r="C94" s="151"/>
      <c r="D94" s="107"/>
      <c r="E94" s="74"/>
      <c r="F94" s="192" t="s">
        <v>426</v>
      </c>
      <c r="G94" s="213"/>
      <c r="H94" s="108"/>
      <c r="I94" s="109" t="s">
        <v>252</v>
      </c>
      <c r="J94" s="74">
        <f t="shared" si="7"/>
        <v>0</v>
      </c>
      <c r="K94" s="283"/>
      <c r="L94" s="207"/>
      <c r="M94" s="283"/>
      <c r="N94" s="207"/>
      <c r="O94" s="284" t="s">
        <v>274</v>
      </c>
      <c r="P94" s="207"/>
      <c r="Q94" s="284" t="s">
        <v>427</v>
      </c>
      <c r="R94" s="207"/>
      <c r="S94" s="284" t="s">
        <v>428</v>
      </c>
      <c r="T94" s="207"/>
      <c r="U94" s="284" t="s">
        <v>429</v>
      </c>
      <c r="V94" s="207"/>
      <c r="W94" s="151"/>
      <c r="X94" s="151"/>
      <c r="Y94" s="151"/>
      <c r="Z94" s="151"/>
    </row>
    <row r="95" spans="1:26" ht="13">
      <c r="A95" s="151"/>
      <c r="B95" s="151"/>
      <c r="C95" s="151"/>
      <c r="D95" s="107" t="s">
        <v>113</v>
      </c>
      <c r="E95" s="74" t="s">
        <v>260</v>
      </c>
      <c r="F95" s="200" t="s">
        <v>441</v>
      </c>
      <c r="G95" s="213"/>
      <c r="H95" s="108"/>
      <c r="I95" s="109" t="s">
        <v>252</v>
      </c>
      <c r="J95" s="74">
        <f t="shared" si="7"/>
        <v>3</v>
      </c>
      <c r="K95" s="270"/>
      <c r="L95" s="207"/>
      <c r="M95" s="270"/>
      <c r="N95" s="207"/>
      <c r="O95" s="206">
        <v>3</v>
      </c>
      <c r="P95" s="207"/>
      <c r="Q95" s="206"/>
      <c r="R95" s="207"/>
      <c r="S95" s="206"/>
      <c r="T95" s="207"/>
      <c r="U95" s="206"/>
      <c r="V95" s="207"/>
      <c r="W95" s="151"/>
      <c r="X95" s="151"/>
      <c r="Y95" s="151"/>
      <c r="Z95" s="151"/>
    </row>
    <row r="96" spans="1:26" ht="13">
      <c r="A96" s="151"/>
      <c r="B96" s="151"/>
      <c r="C96" s="151"/>
      <c r="D96" s="107" t="s">
        <v>113</v>
      </c>
      <c r="E96" s="74" t="s">
        <v>260</v>
      </c>
      <c r="F96" s="200" t="s">
        <v>417</v>
      </c>
      <c r="G96" s="213"/>
      <c r="H96" s="108"/>
      <c r="I96" s="109" t="s">
        <v>252</v>
      </c>
      <c r="J96" s="74">
        <f t="shared" si="7"/>
        <v>2</v>
      </c>
      <c r="K96" s="270"/>
      <c r="L96" s="207"/>
      <c r="M96" s="270"/>
      <c r="N96" s="207"/>
      <c r="O96" s="206">
        <v>2</v>
      </c>
      <c r="P96" s="207"/>
      <c r="Q96" s="206"/>
      <c r="R96" s="207"/>
      <c r="S96" s="206"/>
      <c r="T96" s="207"/>
      <c r="U96" s="206"/>
      <c r="V96" s="207"/>
      <c r="W96" s="151"/>
      <c r="X96" s="151"/>
      <c r="Y96" s="151"/>
      <c r="Z96" s="151"/>
    </row>
    <row r="97" spans="1:26" ht="13">
      <c r="A97" s="151"/>
      <c r="B97" s="151"/>
      <c r="C97" s="151"/>
      <c r="D97" s="107" t="s">
        <v>113</v>
      </c>
      <c r="E97" s="74" t="s">
        <v>260</v>
      </c>
      <c r="F97" s="200" t="s">
        <v>435</v>
      </c>
      <c r="G97" s="213"/>
      <c r="H97" s="108"/>
      <c r="I97" s="109" t="s">
        <v>252</v>
      </c>
      <c r="J97" s="74">
        <f t="shared" si="7"/>
        <v>4</v>
      </c>
      <c r="K97" s="270"/>
      <c r="L97" s="207"/>
      <c r="M97" s="270"/>
      <c r="N97" s="207"/>
      <c r="O97" s="206"/>
      <c r="P97" s="207"/>
      <c r="Q97" s="206">
        <v>4</v>
      </c>
      <c r="R97" s="207"/>
      <c r="S97" s="206"/>
      <c r="T97" s="207"/>
      <c r="U97" s="206"/>
      <c r="V97" s="207"/>
      <c r="W97" s="151"/>
      <c r="X97" s="151"/>
      <c r="Y97" s="151"/>
      <c r="Z97" s="151"/>
    </row>
    <row r="98" spans="1:26" ht="13">
      <c r="A98" s="151"/>
      <c r="B98" s="151"/>
      <c r="C98" s="151"/>
      <c r="D98" s="107" t="s">
        <v>113</v>
      </c>
      <c r="E98" s="74" t="s">
        <v>260</v>
      </c>
      <c r="F98" s="200" t="s">
        <v>442</v>
      </c>
      <c r="G98" s="213"/>
      <c r="H98" s="108"/>
      <c r="I98" s="109" t="s">
        <v>252</v>
      </c>
      <c r="J98" s="74">
        <f t="shared" si="7"/>
        <v>14</v>
      </c>
      <c r="K98" s="270"/>
      <c r="L98" s="207"/>
      <c r="M98" s="270"/>
      <c r="N98" s="207"/>
      <c r="O98" s="206">
        <v>5</v>
      </c>
      <c r="P98" s="207"/>
      <c r="Q98" s="206">
        <v>9</v>
      </c>
      <c r="R98" s="207"/>
      <c r="S98" s="206"/>
      <c r="T98" s="207"/>
      <c r="U98" s="206"/>
      <c r="V98" s="207"/>
      <c r="W98" s="151"/>
      <c r="X98" s="151"/>
      <c r="Y98" s="151"/>
      <c r="Z98" s="151"/>
    </row>
    <row r="99" spans="1:26" ht="13">
      <c r="A99" s="151"/>
      <c r="B99" s="151"/>
      <c r="C99" s="151"/>
      <c r="D99" s="107" t="s">
        <v>113</v>
      </c>
      <c r="E99" s="74" t="s">
        <v>260</v>
      </c>
      <c r="F99" s="199" t="s">
        <v>416</v>
      </c>
      <c r="G99" s="213"/>
      <c r="H99" s="108"/>
      <c r="I99" s="109" t="s">
        <v>252</v>
      </c>
      <c r="J99" s="74">
        <f t="shared" si="7"/>
        <v>20</v>
      </c>
      <c r="K99" s="270"/>
      <c r="L99" s="207"/>
      <c r="M99" s="270"/>
      <c r="N99" s="207"/>
      <c r="O99" s="206"/>
      <c r="P99" s="207"/>
      <c r="Q99" s="206"/>
      <c r="R99" s="207"/>
      <c r="S99" s="206">
        <v>10</v>
      </c>
      <c r="T99" s="207"/>
      <c r="U99" s="206">
        <v>10</v>
      </c>
      <c r="V99" s="207"/>
      <c r="W99" s="151"/>
      <c r="X99" s="151"/>
      <c r="Y99" s="151"/>
      <c r="Z99" s="151"/>
    </row>
    <row r="100" spans="1:26" ht="13">
      <c r="A100" s="151"/>
      <c r="B100" s="151"/>
      <c r="C100" s="151"/>
      <c r="D100" s="107" t="s">
        <v>113</v>
      </c>
      <c r="E100" s="74" t="s">
        <v>260</v>
      </c>
      <c r="F100" s="126" t="s">
        <v>437</v>
      </c>
      <c r="G100" s="209"/>
      <c r="H100" s="108"/>
      <c r="I100" s="109" t="s">
        <v>252</v>
      </c>
      <c r="J100" s="74">
        <f t="shared" si="7"/>
        <v>16</v>
      </c>
      <c r="K100" s="270"/>
      <c r="L100" s="207"/>
      <c r="M100" s="270"/>
      <c r="N100" s="207"/>
      <c r="O100" s="206"/>
      <c r="P100" s="207"/>
      <c r="Q100" s="206"/>
      <c r="R100" s="207"/>
      <c r="S100" s="206">
        <v>10</v>
      </c>
      <c r="T100" s="207"/>
      <c r="U100" s="206">
        <v>6</v>
      </c>
      <c r="V100" s="207"/>
      <c r="W100" s="151"/>
      <c r="X100" s="151"/>
      <c r="Y100" s="151"/>
      <c r="Z100" s="151"/>
    </row>
    <row r="101" spans="1:26" ht="12.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Q101" s="190" t="s">
        <v>443</v>
      </c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spans="1:26" ht="12.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spans="1:26" ht="13">
      <c r="A103" s="151"/>
      <c r="B103" s="151"/>
      <c r="C103" s="151"/>
      <c r="D103" s="151"/>
      <c r="E103" s="193" t="s">
        <v>444</v>
      </c>
      <c r="G103" s="151"/>
      <c r="H103" s="151"/>
      <c r="I103" s="190" t="s">
        <v>445</v>
      </c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spans="1:26" ht="13">
      <c r="A104" s="151"/>
      <c r="B104" s="151"/>
      <c r="C104" s="151"/>
      <c r="D104" s="107" t="s">
        <v>255</v>
      </c>
      <c r="E104" s="74" t="s">
        <v>253</v>
      </c>
      <c r="F104" s="117" t="s">
        <v>410</v>
      </c>
      <c r="G104" s="285" t="s">
        <v>446</v>
      </c>
      <c r="H104" s="108"/>
      <c r="I104" s="109" t="s">
        <v>252</v>
      </c>
      <c r="J104" s="74">
        <f t="shared" ref="J104:J112" si="8">SUM(K104:V104)</f>
        <v>2</v>
      </c>
      <c r="K104" s="274"/>
      <c r="L104" s="207"/>
      <c r="M104" s="274"/>
      <c r="N104" s="207"/>
      <c r="O104" s="229">
        <v>2</v>
      </c>
      <c r="P104" s="207"/>
      <c r="Q104" s="229"/>
      <c r="R104" s="207"/>
      <c r="S104" s="229"/>
      <c r="T104" s="207"/>
      <c r="U104" s="229"/>
      <c r="V104" s="207"/>
      <c r="W104" s="151"/>
      <c r="X104" s="151"/>
      <c r="Y104" s="151"/>
      <c r="Z104" s="151"/>
    </row>
    <row r="105" spans="1:26" ht="13">
      <c r="A105" s="151"/>
      <c r="B105" s="151"/>
      <c r="C105" s="151"/>
      <c r="D105" s="107" t="s">
        <v>255</v>
      </c>
      <c r="E105" s="74" t="s">
        <v>253</v>
      </c>
      <c r="F105" s="117" t="s">
        <v>263</v>
      </c>
      <c r="G105" s="213"/>
      <c r="H105" s="108"/>
      <c r="I105" s="109" t="s">
        <v>252</v>
      </c>
      <c r="J105" s="74">
        <f t="shared" si="8"/>
        <v>6</v>
      </c>
      <c r="K105" s="274"/>
      <c r="L105" s="207"/>
      <c r="M105" s="274"/>
      <c r="N105" s="207"/>
      <c r="O105" s="229"/>
      <c r="P105" s="207"/>
      <c r="Q105" s="229">
        <v>6</v>
      </c>
      <c r="R105" s="207"/>
      <c r="S105" s="229"/>
      <c r="T105" s="207"/>
      <c r="U105" s="229"/>
      <c r="V105" s="207"/>
      <c r="W105" s="151"/>
      <c r="X105" s="151"/>
      <c r="Y105" s="151"/>
      <c r="Z105" s="151"/>
    </row>
    <row r="106" spans="1:26" ht="13">
      <c r="A106" s="151"/>
      <c r="B106" s="151"/>
      <c r="C106" s="151"/>
      <c r="D106" s="107"/>
      <c r="E106" s="74" t="s">
        <v>260</v>
      </c>
      <c r="F106" s="117" t="s">
        <v>412</v>
      </c>
      <c r="G106" s="213"/>
      <c r="H106" s="108"/>
      <c r="I106" s="109" t="s">
        <v>252</v>
      </c>
      <c r="J106" s="74">
        <f t="shared" si="8"/>
        <v>19</v>
      </c>
      <c r="K106" s="274"/>
      <c r="L106" s="207"/>
      <c r="M106" s="274"/>
      <c r="N106" s="207"/>
      <c r="O106" s="229"/>
      <c r="P106" s="207"/>
      <c r="Q106" s="229"/>
      <c r="R106" s="207"/>
      <c r="S106" s="229">
        <v>6</v>
      </c>
      <c r="T106" s="207"/>
      <c r="U106" s="229">
        <v>13</v>
      </c>
      <c r="V106" s="207"/>
      <c r="W106" s="151"/>
      <c r="X106" s="151"/>
      <c r="Y106" s="151"/>
      <c r="Z106" s="151"/>
    </row>
    <row r="107" spans="1:26" ht="13">
      <c r="A107" s="151"/>
      <c r="B107" s="151"/>
      <c r="C107" s="151"/>
      <c r="D107" s="107"/>
      <c r="E107" s="74"/>
      <c r="F107" s="192" t="s">
        <v>426</v>
      </c>
      <c r="G107" s="213"/>
      <c r="H107" s="108"/>
      <c r="I107" s="109" t="s">
        <v>252</v>
      </c>
      <c r="J107" s="74">
        <f t="shared" si="8"/>
        <v>0</v>
      </c>
      <c r="K107" s="283"/>
      <c r="L107" s="207"/>
      <c r="M107" s="283"/>
      <c r="N107" s="207"/>
      <c r="O107" s="284" t="s">
        <v>274</v>
      </c>
      <c r="P107" s="207"/>
      <c r="Q107" s="284" t="s">
        <v>427</v>
      </c>
      <c r="R107" s="207"/>
      <c r="S107" s="284" t="s">
        <v>428</v>
      </c>
      <c r="T107" s="207"/>
      <c r="U107" s="284" t="s">
        <v>429</v>
      </c>
      <c r="V107" s="207"/>
      <c r="W107" s="151"/>
      <c r="X107" s="151"/>
      <c r="Y107" s="151"/>
      <c r="Z107" s="151"/>
    </row>
    <row r="108" spans="1:26" ht="13">
      <c r="A108" s="151"/>
      <c r="B108" s="151"/>
      <c r="C108" s="151"/>
      <c r="D108" s="107" t="s">
        <v>113</v>
      </c>
      <c r="E108" s="74" t="s">
        <v>260</v>
      </c>
      <c r="F108" s="198" t="s">
        <v>102</v>
      </c>
      <c r="G108" s="213"/>
      <c r="H108" s="108"/>
      <c r="I108" s="109" t="s">
        <v>252</v>
      </c>
      <c r="J108" s="74">
        <f t="shared" si="8"/>
        <v>8</v>
      </c>
      <c r="K108" s="270"/>
      <c r="L108" s="207"/>
      <c r="M108" s="270"/>
      <c r="N108" s="207"/>
      <c r="O108" s="206">
        <v>3</v>
      </c>
      <c r="P108" s="207"/>
      <c r="Q108" s="206">
        <v>5</v>
      </c>
      <c r="R108" s="207"/>
      <c r="S108" s="206"/>
      <c r="T108" s="207"/>
      <c r="U108" s="206"/>
      <c r="V108" s="207"/>
      <c r="W108" s="151"/>
      <c r="X108" s="151"/>
      <c r="Y108" s="151"/>
      <c r="Z108" s="151"/>
    </row>
    <row r="109" spans="1:26" ht="13">
      <c r="A109" s="151"/>
      <c r="B109" s="151"/>
      <c r="C109" s="151"/>
      <c r="D109" s="107" t="s">
        <v>113</v>
      </c>
      <c r="E109" s="74" t="s">
        <v>260</v>
      </c>
      <c r="F109" s="198" t="s">
        <v>447</v>
      </c>
      <c r="G109" s="213"/>
      <c r="H109" s="108"/>
      <c r="I109" s="109" t="s">
        <v>252</v>
      </c>
      <c r="J109" s="74">
        <f t="shared" si="8"/>
        <v>7</v>
      </c>
      <c r="K109" s="270"/>
      <c r="L109" s="207"/>
      <c r="M109" s="270"/>
      <c r="N109" s="207"/>
      <c r="O109" s="206">
        <v>7</v>
      </c>
      <c r="P109" s="207"/>
      <c r="Q109" s="206"/>
      <c r="R109" s="207"/>
      <c r="S109" s="206"/>
      <c r="T109" s="207"/>
      <c r="U109" s="206"/>
      <c r="V109" s="207"/>
      <c r="W109" s="151"/>
      <c r="X109" s="151"/>
      <c r="Y109" s="151"/>
      <c r="Z109" s="151"/>
    </row>
    <row r="110" spans="1:26" ht="13">
      <c r="A110" s="151"/>
      <c r="B110" s="151"/>
      <c r="C110" s="151"/>
      <c r="D110" s="107" t="s">
        <v>113</v>
      </c>
      <c r="E110" s="74" t="s">
        <v>260</v>
      </c>
      <c r="F110" s="198" t="s">
        <v>448</v>
      </c>
      <c r="G110" s="213"/>
      <c r="H110" s="108"/>
      <c r="I110" s="109" t="s">
        <v>252</v>
      </c>
      <c r="J110" s="74">
        <f t="shared" si="8"/>
        <v>18</v>
      </c>
      <c r="K110" s="270"/>
      <c r="L110" s="207"/>
      <c r="M110" s="270"/>
      <c r="N110" s="207"/>
      <c r="O110" s="206"/>
      <c r="P110" s="207"/>
      <c r="Q110" s="206">
        <v>8</v>
      </c>
      <c r="R110" s="207"/>
      <c r="S110" s="206">
        <v>10</v>
      </c>
      <c r="T110" s="207"/>
      <c r="U110" s="206"/>
      <c r="V110" s="207"/>
      <c r="W110" s="151"/>
      <c r="X110" s="151"/>
      <c r="Y110" s="151"/>
      <c r="Z110" s="151"/>
    </row>
    <row r="111" spans="1:26" ht="13">
      <c r="A111" s="151"/>
      <c r="B111" s="151"/>
      <c r="C111" s="151"/>
      <c r="D111" s="107" t="s">
        <v>113</v>
      </c>
      <c r="E111" s="74" t="s">
        <v>260</v>
      </c>
      <c r="F111" s="199" t="s">
        <v>449</v>
      </c>
      <c r="G111" s="213"/>
      <c r="H111" s="108"/>
      <c r="I111" s="109" t="s">
        <v>252</v>
      </c>
      <c r="J111" s="74">
        <f t="shared" si="8"/>
        <v>20</v>
      </c>
      <c r="K111" s="270"/>
      <c r="L111" s="207"/>
      <c r="M111" s="270"/>
      <c r="N111" s="207"/>
      <c r="O111" s="206"/>
      <c r="P111" s="207"/>
      <c r="Q111" s="206"/>
      <c r="R111" s="207"/>
      <c r="S111" s="206">
        <v>10</v>
      </c>
      <c r="T111" s="207"/>
      <c r="U111" s="206">
        <v>10</v>
      </c>
      <c r="V111" s="207"/>
      <c r="W111" s="151"/>
      <c r="X111" s="151"/>
      <c r="Y111" s="151"/>
      <c r="Z111" s="151"/>
    </row>
    <row r="112" spans="1:26" ht="13">
      <c r="A112" s="151"/>
      <c r="B112" s="151"/>
      <c r="C112" s="151"/>
      <c r="D112" s="107" t="s">
        <v>113</v>
      </c>
      <c r="E112" s="74" t="s">
        <v>260</v>
      </c>
      <c r="F112" s="126" t="s">
        <v>437</v>
      </c>
      <c r="G112" s="209"/>
      <c r="H112" s="108"/>
      <c r="I112" s="109" t="s">
        <v>252</v>
      </c>
      <c r="J112" s="74">
        <f t="shared" si="8"/>
        <v>6</v>
      </c>
      <c r="K112" s="270"/>
      <c r="L112" s="207"/>
      <c r="M112" s="270"/>
      <c r="N112" s="207"/>
      <c r="O112" s="206"/>
      <c r="P112" s="207"/>
      <c r="Q112" s="206"/>
      <c r="R112" s="207"/>
      <c r="S112" s="206"/>
      <c r="T112" s="207"/>
      <c r="U112" s="206">
        <v>6</v>
      </c>
      <c r="V112" s="207"/>
      <c r="W112" s="151"/>
      <c r="X112" s="151"/>
      <c r="Y112" s="151"/>
      <c r="Z112" s="151"/>
    </row>
    <row r="113" spans="1:26" ht="12.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Q113" s="190" t="s">
        <v>451</v>
      </c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spans="1:26" ht="12.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spans="1:26" ht="13">
      <c r="A115" s="151"/>
      <c r="B115" s="151"/>
      <c r="C115" s="151"/>
      <c r="D115" s="151"/>
      <c r="E115" s="193" t="s">
        <v>452</v>
      </c>
      <c r="G115" s="151"/>
      <c r="H115" s="151"/>
      <c r="I115" s="190" t="s">
        <v>453</v>
      </c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spans="1:26" ht="13">
      <c r="A116" s="151"/>
      <c r="B116" s="151"/>
      <c r="C116" s="151"/>
      <c r="D116" s="107" t="s">
        <v>255</v>
      </c>
      <c r="E116" s="74" t="s">
        <v>253</v>
      </c>
      <c r="F116" s="117" t="s">
        <v>410</v>
      </c>
      <c r="G116" s="285" t="s">
        <v>454</v>
      </c>
      <c r="H116" s="108"/>
      <c r="I116" s="109" t="s">
        <v>252</v>
      </c>
      <c r="J116" s="74">
        <f t="shared" ref="J116:J124" si="9">SUM(K116:V116)</f>
        <v>2</v>
      </c>
      <c r="K116" s="274"/>
      <c r="L116" s="207"/>
      <c r="M116" s="274"/>
      <c r="N116" s="207"/>
      <c r="O116" s="229">
        <v>2</v>
      </c>
      <c r="P116" s="207"/>
      <c r="Q116" s="229"/>
      <c r="R116" s="207"/>
      <c r="S116" s="229"/>
      <c r="T116" s="207"/>
      <c r="U116" s="229"/>
      <c r="V116" s="207"/>
      <c r="W116" s="151"/>
      <c r="X116" s="151"/>
      <c r="Y116" s="151"/>
      <c r="Z116" s="151"/>
    </row>
    <row r="117" spans="1:26" ht="13">
      <c r="A117" s="151"/>
      <c r="B117" s="151"/>
      <c r="C117" s="151"/>
      <c r="D117" s="107" t="s">
        <v>255</v>
      </c>
      <c r="E117" s="74" t="s">
        <v>253</v>
      </c>
      <c r="F117" s="117" t="s">
        <v>263</v>
      </c>
      <c r="G117" s="213"/>
      <c r="H117" s="108"/>
      <c r="I117" s="109" t="s">
        <v>252</v>
      </c>
      <c r="J117" s="74">
        <f t="shared" si="9"/>
        <v>6</v>
      </c>
      <c r="K117" s="274"/>
      <c r="L117" s="207"/>
      <c r="M117" s="274"/>
      <c r="N117" s="207"/>
      <c r="O117" s="229"/>
      <c r="P117" s="207"/>
      <c r="Q117" s="229">
        <v>6</v>
      </c>
      <c r="R117" s="207"/>
      <c r="S117" s="229"/>
      <c r="T117" s="207"/>
      <c r="U117" s="229"/>
      <c r="V117" s="207"/>
      <c r="W117" s="151"/>
      <c r="X117" s="151"/>
      <c r="Y117" s="151"/>
      <c r="Z117" s="151"/>
    </row>
    <row r="118" spans="1:26" ht="13">
      <c r="A118" s="151"/>
      <c r="B118" s="151"/>
      <c r="C118" s="151"/>
      <c r="D118" s="107"/>
      <c r="E118" s="74" t="s">
        <v>260</v>
      </c>
      <c r="F118" s="117" t="s">
        <v>412</v>
      </c>
      <c r="G118" s="213"/>
      <c r="H118" s="108"/>
      <c r="I118" s="109" t="s">
        <v>252</v>
      </c>
      <c r="J118" s="74">
        <f t="shared" si="9"/>
        <v>19</v>
      </c>
      <c r="K118" s="274"/>
      <c r="L118" s="207"/>
      <c r="M118" s="274"/>
      <c r="N118" s="207"/>
      <c r="O118" s="229"/>
      <c r="P118" s="207"/>
      <c r="Q118" s="229"/>
      <c r="R118" s="207"/>
      <c r="S118" s="229">
        <v>6</v>
      </c>
      <c r="T118" s="207"/>
      <c r="U118" s="229">
        <v>13</v>
      </c>
      <c r="V118" s="207"/>
      <c r="W118" s="151"/>
      <c r="X118" s="151"/>
      <c r="Y118" s="151"/>
      <c r="Z118" s="151"/>
    </row>
    <row r="119" spans="1:26" ht="13">
      <c r="A119" s="151"/>
      <c r="B119" s="151"/>
      <c r="C119" s="151"/>
      <c r="D119" s="107"/>
      <c r="E119" s="74"/>
      <c r="F119" s="192" t="s">
        <v>426</v>
      </c>
      <c r="G119" s="213"/>
      <c r="H119" s="108"/>
      <c r="I119" s="109" t="s">
        <v>252</v>
      </c>
      <c r="J119" s="74">
        <f t="shared" si="9"/>
        <v>0</v>
      </c>
      <c r="K119" s="283"/>
      <c r="L119" s="207"/>
      <c r="M119" s="283"/>
      <c r="N119" s="207"/>
      <c r="O119" s="284" t="s">
        <v>274</v>
      </c>
      <c r="P119" s="207"/>
      <c r="Q119" s="284" t="s">
        <v>427</v>
      </c>
      <c r="R119" s="207"/>
      <c r="S119" s="284" t="s">
        <v>428</v>
      </c>
      <c r="T119" s="207"/>
      <c r="U119" s="284" t="s">
        <v>429</v>
      </c>
      <c r="V119" s="207"/>
      <c r="W119" s="151"/>
      <c r="X119" s="151"/>
      <c r="Y119" s="151"/>
      <c r="Z119" s="151"/>
    </row>
    <row r="120" spans="1:26" ht="13">
      <c r="A120" s="151"/>
      <c r="B120" s="151"/>
      <c r="C120" s="151"/>
      <c r="D120" s="107" t="s">
        <v>113</v>
      </c>
      <c r="E120" s="74" t="s">
        <v>260</v>
      </c>
      <c r="F120" s="198" t="s">
        <v>441</v>
      </c>
      <c r="G120" s="213"/>
      <c r="H120" s="108"/>
      <c r="I120" s="109" t="s">
        <v>252</v>
      </c>
      <c r="J120" s="74">
        <f t="shared" si="9"/>
        <v>13</v>
      </c>
      <c r="K120" s="270"/>
      <c r="L120" s="207"/>
      <c r="M120" s="270"/>
      <c r="N120" s="207"/>
      <c r="O120" s="206"/>
      <c r="P120" s="207"/>
      <c r="Q120" s="206">
        <v>3</v>
      </c>
      <c r="R120" s="207"/>
      <c r="S120" s="206">
        <v>10</v>
      </c>
      <c r="T120" s="207"/>
      <c r="U120" s="206"/>
      <c r="V120" s="207"/>
      <c r="W120" s="151"/>
      <c r="X120" s="151"/>
      <c r="Y120" s="151"/>
      <c r="Z120" s="151"/>
    </row>
    <row r="121" spans="1:26" ht="13">
      <c r="A121" s="151"/>
      <c r="B121" s="151"/>
      <c r="C121" s="151"/>
      <c r="D121" s="107" t="s">
        <v>113</v>
      </c>
      <c r="E121" s="74" t="s">
        <v>260</v>
      </c>
      <c r="F121" s="198" t="s">
        <v>450</v>
      </c>
      <c r="G121" s="213"/>
      <c r="H121" s="108"/>
      <c r="I121" s="109" t="s">
        <v>252</v>
      </c>
      <c r="J121" s="74">
        <f t="shared" si="9"/>
        <v>10</v>
      </c>
      <c r="K121" s="270"/>
      <c r="L121" s="207"/>
      <c r="M121" s="270"/>
      <c r="N121" s="207"/>
      <c r="O121" s="206">
        <v>10</v>
      </c>
      <c r="P121" s="207"/>
      <c r="Q121" s="206"/>
      <c r="R121" s="207"/>
      <c r="S121" s="206"/>
      <c r="T121" s="207"/>
      <c r="U121" s="206"/>
      <c r="V121" s="207"/>
      <c r="W121" s="151"/>
      <c r="X121" s="151"/>
      <c r="Y121" s="151"/>
      <c r="Z121" s="151"/>
    </row>
    <row r="122" spans="1:26" ht="13">
      <c r="A122" s="151"/>
      <c r="B122" s="151"/>
      <c r="C122" s="151"/>
      <c r="D122" s="107" t="s">
        <v>113</v>
      </c>
      <c r="E122" s="74" t="s">
        <v>260</v>
      </c>
      <c r="F122" s="198" t="s">
        <v>417</v>
      </c>
      <c r="G122" s="213"/>
      <c r="H122" s="108"/>
      <c r="I122" s="109" t="s">
        <v>252</v>
      </c>
      <c r="J122" s="74">
        <f t="shared" si="9"/>
        <v>10</v>
      </c>
      <c r="K122" s="270"/>
      <c r="L122" s="207"/>
      <c r="M122" s="270"/>
      <c r="N122" s="207"/>
      <c r="O122" s="206"/>
      <c r="P122" s="207"/>
      <c r="Q122" s="206">
        <v>10</v>
      </c>
      <c r="R122" s="207"/>
      <c r="S122" s="206"/>
      <c r="T122" s="207"/>
      <c r="U122" s="206"/>
      <c r="V122" s="207"/>
      <c r="W122" s="151"/>
      <c r="X122" s="151"/>
      <c r="Y122" s="151"/>
      <c r="Z122" s="151"/>
    </row>
    <row r="123" spans="1:26" ht="13">
      <c r="A123" s="151"/>
      <c r="B123" s="151"/>
      <c r="C123" s="151"/>
      <c r="D123" s="107" t="s">
        <v>113</v>
      </c>
      <c r="E123" s="74" t="s">
        <v>260</v>
      </c>
      <c r="F123" s="199" t="s">
        <v>449</v>
      </c>
      <c r="G123" s="213"/>
      <c r="H123" s="108"/>
      <c r="I123" s="109" t="s">
        <v>252</v>
      </c>
      <c r="J123" s="74">
        <f t="shared" si="9"/>
        <v>26</v>
      </c>
      <c r="K123" s="270"/>
      <c r="L123" s="207"/>
      <c r="M123" s="270"/>
      <c r="N123" s="207"/>
      <c r="O123" s="206"/>
      <c r="P123" s="207"/>
      <c r="Q123" s="206"/>
      <c r="R123" s="207"/>
      <c r="S123" s="206">
        <v>10</v>
      </c>
      <c r="T123" s="207"/>
      <c r="U123" s="206">
        <v>16</v>
      </c>
      <c r="V123" s="207"/>
      <c r="W123" s="151"/>
      <c r="X123" s="151"/>
      <c r="Y123" s="151"/>
      <c r="Z123" s="151"/>
    </row>
    <row r="124" spans="1:26" ht="13">
      <c r="A124" s="151"/>
      <c r="B124" s="151"/>
      <c r="C124" s="151"/>
      <c r="D124" s="107" t="s">
        <v>113</v>
      </c>
      <c r="E124" s="74" t="s">
        <v>260</v>
      </c>
      <c r="F124" s="126"/>
      <c r="G124" s="209"/>
      <c r="H124" s="108"/>
      <c r="I124" s="109" t="s">
        <v>252</v>
      </c>
      <c r="J124" s="74">
        <f t="shared" si="9"/>
        <v>0</v>
      </c>
      <c r="K124" s="270"/>
      <c r="L124" s="207"/>
      <c r="M124" s="270"/>
      <c r="N124" s="207"/>
      <c r="O124" s="206"/>
      <c r="P124" s="207"/>
      <c r="Q124" s="206"/>
      <c r="R124" s="207"/>
      <c r="S124" s="206"/>
      <c r="T124" s="207"/>
      <c r="U124" s="206"/>
      <c r="V124" s="207"/>
      <c r="W124" s="151"/>
      <c r="X124" s="151"/>
      <c r="Y124" s="151"/>
      <c r="Z124" s="151"/>
    </row>
    <row r="125" spans="1:26" ht="12.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Q125" s="190" t="s">
        <v>460</v>
      </c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spans="1:26" ht="12.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spans="1:26" ht="13">
      <c r="A127" s="151"/>
      <c r="B127" s="151"/>
      <c r="C127" s="151"/>
      <c r="D127" s="151"/>
      <c r="E127" s="193" t="s">
        <v>461</v>
      </c>
      <c r="G127" s="151"/>
      <c r="H127" s="151"/>
      <c r="I127" s="190" t="s">
        <v>462</v>
      </c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spans="1:26" ht="13">
      <c r="A128" s="151"/>
      <c r="B128" s="151"/>
      <c r="C128" s="151"/>
      <c r="D128" s="107" t="s">
        <v>255</v>
      </c>
      <c r="E128" s="74" t="s">
        <v>253</v>
      </c>
      <c r="F128" s="117" t="s">
        <v>410</v>
      </c>
      <c r="G128" s="285" t="s">
        <v>467</v>
      </c>
      <c r="H128" s="108"/>
      <c r="I128" s="109" t="s">
        <v>252</v>
      </c>
      <c r="J128" s="74">
        <f t="shared" ref="J128:J136" si="10">SUM(K128:V128)</f>
        <v>2</v>
      </c>
      <c r="K128" s="274"/>
      <c r="L128" s="207"/>
      <c r="M128" s="274"/>
      <c r="N128" s="207"/>
      <c r="O128" s="229">
        <v>2</v>
      </c>
      <c r="P128" s="207"/>
      <c r="Q128" s="229"/>
      <c r="R128" s="207"/>
      <c r="S128" s="229"/>
      <c r="T128" s="207"/>
      <c r="U128" s="229"/>
      <c r="V128" s="207"/>
      <c r="W128" s="151"/>
      <c r="X128" s="151"/>
      <c r="Y128" s="190" t="s">
        <v>478</v>
      </c>
      <c r="Z128" s="151"/>
    </row>
    <row r="129" spans="1:26" ht="13">
      <c r="A129" s="151"/>
      <c r="B129" s="151"/>
      <c r="C129" s="151"/>
      <c r="D129" s="107" t="s">
        <v>255</v>
      </c>
      <c r="E129" s="74" t="s">
        <v>253</v>
      </c>
      <c r="F129" s="117" t="s">
        <v>263</v>
      </c>
      <c r="G129" s="213"/>
      <c r="H129" s="108"/>
      <c r="I129" s="109" t="s">
        <v>252</v>
      </c>
      <c r="J129" s="74">
        <f t="shared" si="10"/>
        <v>6</v>
      </c>
      <c r="K129" s="274"/>
      <c r="L129" s="207"/>
      <c r="M129" s="274"/>
      <c r="N129" s="207"/>
      <c r="O129" s="229"/>
      <c r="P129" s="207"/>
      <c r="Q129" s="229">
        <v>6</v>
      </c>
      <c r="R129" s="207"/>
      <c r="S129" s="229"/>
      <c r="T129" s="207"/>
      <c r="U129" s="229"/>
      <c r="V129" s="207"/>
      <c r="W129" s="151"/>
      <c r="X129" s="151"/>
      <c r="Y129" s="151"/>
      <c r="Z129" s="151"/>
    </row>
    <row r="130" spans="1:26" ht="13">
      <c r="A130" s="151"/>
      <c r="B130" s="151"/>
      <c r="C130" s="151"/>
      <c r="D130" s="107"/>
      <c r="E130" s="74" t="s">
        <v>260</v>
      </c>
      <c r="F130" s="117" t="s">
        <v>412</v>
      </c>
      <c r="G130" s="213"/>
      <c r="H130" s="108"/>
      <c r="I130" s="109" t="s">
        <v>252</v>
      </c>
      <c r="J130" s="74">
        <f t="shared" si="10"/>
        <v>19</v>
      </c>
      <c r="K130" s="274"/>
      <c r="L130" s="207"/>
      <c r="M130" s="274"/>
      <c r="N130" s="207"/>
      <c r="O130" s="229"/>
      <c r="P130" s="207"/>
      <c r="Q130" s="229"/>
      <c r="R130" s="207"/>
      <c r="S130" s="229">
        <v>6</v>
      </c>
      <c r="T130" s="207"/>
      <c r="U130" s="229">
        <v>13</v>
      </c>
      <c r="V130" s="207"/>
      <c r="W130" s="151"/>
      <c r="X130" s="151"/>
      <c r="Y130" s="151"/>
      <c r="Z130" s="151"/>
    </row>
    <row r="131" spans="1:26" ht="13">
      <c r="A131" s="151"/>
      <c r="B131" s="151"/>
      <c r="C131" s="151"/>
      <c r="D131" s="107"/>
      <c r="E131" s="74"/>
      <c r="F131" s="192" t="s">
        <v>426</v>
      </c>
      <c r="G131" s="213"/>
      <c r="H131" s="108"/>
      <c r="I131" s="109" t="s">
        <v>252</v>
      </c>
      <c r="J131" s="74">
        <f t="shared" si="10"/>
        <v>0</v>
      </c>
      <c r="K131" s="283"/>
      <c r="L131" s="207"/>
      <c r="M131" s="283"/>
      <c r="N131" s="207"/>
      <c r="O131" s="284" t="s">
        <v>274</v>
      </c>
      <c r="P131" s="207"/>
      <c r="Q131" s="284" t="s">
        <v>427</v>
      </c>
      <c r="R131" s="207"/>
      <c r="S131" s="284" t="s">
        <v>428</v>
      </c>
      <c r="T131" s="207"/>
      <c r="U131" s="284" t="s">
        <v>429</v>
      </c>
      <c r="V131" s="207"/>
      <c r="W131" s="151"/>
      <c r="X131" s="151"/>
      <c r="Y131" s="151"/>
      <c r="Z131" s="151"/>
    </row>
    <row r="132" spans="1:26" ht="13">
      <c r="A132" s="151"/>
      <c r="B132" s="151"/>
      <c r="C132" s="151"/>
      <c r="D132" s="107" t="s">
        <v>113</v>
      </c>
      <c r="E132" s="74" t="s">
        <v>260</v>
      </c>
      <c r="F132" s="198" t="s">
        <v>60</v>
      </c>
      <c r="G132" s="213"/>
      <c r="H132" s="108"/>
      <c r="I132" s="109" t="s">
        <v>252</v>
      </c>
      <c r="J132" s="74">
        <f t="shared" si="10"/>
        <v>18</v>
      </c>
      <c r="K132" s="270"/>
      <c r="L132" s="207"/>
      <c r="M132" s="270"/>
      <c r="N132" s="207"/>
      <c r="O132" s="206">
        <v>10</v>
      </c>
      <c r="P132" s="207"/>
      <c r="Q132" s="206">
        <v>8</v>
      </c>
      <c r="R132" s="207"/>
      <c r="S132" s="206"/>
      <c r="T132" s="207"/>
      <c r="U132" s="206"/>
      <c r="V132" s="207"/>
      <c r="W132" s="151"/>
      <c r="X132" s="190" t="s">
        <v>510</v>
      </c>
      <c r="Y132" s="151"/>
      <c r="Z132" s="151"/>
    </row>
    <row r="133" spans="1:26" ht="13">
      <c r="A133" s="151"/>
      <c r="B133" s="151"/>
      <c r="C133" s="151"/>
      <c r="D133" s="107" t="s">
        <v>113</v>
      </c>
      <c r="E133" s="74" t="s">
        <v>260</v>
      </c>
      <c r="F133" s="204" t="s">
        <v>102</v>
      </c>
      <c r="G133" s="213"/>
      <c r="H133" s="108"/>
      <c r="I133" s="109" t="s">
        <v>252</v>
      </c>
      <c r="J133" s="74">
        <f t="shared" si="10"/>
        <v>10</v>
      </c>
      <c r="K133" s="270"/>
      <c r="L133" s="207"/>
      <c r="M133" s="270"/>
      <c r="N133" s="207"/>
      <c r="O133" s="206"/>
      <c r="P133" s="207"/>
      <c r="Q133" s="206">
        <v>2</v>
      </c>
      <c r="R133" s="207"/>
      <c r="S133" s="206">
        <v>8</v>
      </c>
      <c r="T133" s="207"/>
      <c r="U133" s="206"/>
      <c r="V133" s="207"/>
      <c r="W133" s="151"/>
      <c r="X133" s="151"/>
      <c r="Y133" s="151"/>
      <c r="Z133" s="151"/>
    </row>
    <row r="134" spans="1:26" ht="13">
      <c r="A134" s="151"/>
      <c r="B134" s="151"/>
      <c r="C134" s="151"/>
      <c r="D134" s="107" t="s">
        <v>113</v>
      </c>
      <c r="E134" s="74" t="s">
        <v>260</v>
      </c>
      <c r="F134" s="198" t="s">
        <v>82</v>
      </c>
      <c r="G134" s="213"/>
      <c r="H134" s="108"/>
      <c r="I134" s="109" t="s">
        <v>252</v>
      </c>
      <c r="J134" s="74">
        <f t="shared" si="10"/>
        <v>3</v>
      </c>
      <c r="K134" s="270"/>
      <c r="L134" s="207"/>
      <c r="M134" s="270"/>
      <c r="N134" s="207"/>
      <c r="O134" s="206"/>
      <c r="P134" s="207"/>
      <c r="Q134" s="206">
        <v>3</v>
      </c>
      <c r="R134" s="207"/>
      <c r="S134" s="206"/>
      <c r="T134" s="207"/>
      <c r="U134" s="206"/>
      <c r="V134" s="207"/>
      <c r="W134" s="151"/>
      <c r="X134" s="151"/>
      <c r="Y134" s="151"/>
      <c r="Z134" s="151"/>
    </row>
    <row r="135" spans="1:26" ht="13">
      <c r="A135" s="151"/>
      <c r="B135" s="151"/>
      <c r="C135" s="151"/>
      <c r="D135" s="107" t="s">
        <v>113</v>
      </c>
      <c r="E135" s="74" t="s">
        <v>260</v>
      </c>
      <c r="F135" s="126" t="s">
        <v>437</v>
      </c>
      <c r="G135" s="213"/>
      <c r="H135" s="108"/>
      <c r="I135" s="109" t="s">
        <v>252</v>
      </c>
      <c r="J135" s="74">
        <f t="shared" si="10"/>
        <v>28</v>
      </c>
      <c r="K135" s="270"/>
      <c r="L135" s="207"/>
      <c r="M135" s="270"/>
      <c r="N135" s="207"/>
      <c r="O135" s="206"/>
      <c r="P135" s="207"/>
      <c r="Q135" s="206"/>
      <c r="R135" s="207"/>
      <c r="S135" s="206">
        <v>12</v>
      </c>
      <c r="T135" s="207"/>
      <c r="U135" s="206">
        <v>16</v>
      </c>
      <c r="V135" s="207"/>
      <c r="W135" s="151"/>
      <c r="X135" s="151"/>
      <c r="Y135" s="151"/>
      <c r="Z135" s="151"/>
    </row>
    <row r="136" spans="1:26" ht="13">
      <c r="A136" s="151"/>
      <c r="B136" s="151"/>
      <c r="C136" s="151"/>
      <c r="D136" s="107" t="s">
        <v>113</v>
      </c>
      <c r="E136" s="74" t="s">
        <v>260</v>
      </c>
      <c r="F136" s="126" t="s">
        <v>437</v>
      </c>
      <c r="G136" s="209"/>
      <c r="H136" s="108"/>
      <c r="I136" s="109" t="s">
        <v>252</v>
      </c>
      <c r="J136" s="74">
        <f t="shared" si="10"/>
        <v>0</v>
      </c>
      <c r="K136" s="270"/>
      <c r="L136" s="207"/>
      <c r="M136" s="270"/>
      <c r="N136" s="207"/>
      <c r="O136" s="206"/>
      <c r="P136" s="207"/>
      <c r="Q136" s="206"/>
      <c r="R136" s="207"/>
      <c r="S136" s="206" t="s">
        <v>514</v>
      </c>
      <c r="T136" s="207"/>
      <c r="U136" s="206" t="s">
        <v>515</v>
      </c>
      <c r="V136" s="207"/>
      <c r="W136" s="151"/>
      <c r="X136" s="151"/>
      <c r="Y136" s="151"/>
      <c r="Z136" s="151"/>
    </row>
    <row r="137" spans="1:26" ht="12.5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Q137" s="190" t="s">
        <v>516</v>
      </c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spans="1:26" ht="12.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spans="1:26" ht="12.5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spans="1:26" ht="13">
      <c r="A140" s="151"/>
      <c r="B140" s="151"/>
      <c r="C140" s="151"/>
      <c r="D140" s="151"/>
      <c r="E140" s="193" t="s">
        <v>461</v>
      </c>
      <c r="G140" s="151"/>
      <c r="H140" s="151"/>
      <c r="I140" s="190" t="s">
        <v>462</v>
      </c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spans="1:26" ht="13">
      <c r="A141" s="151"/>
      <c r="B141" s="151"/>
      <c r="C141" s="151"/>
      <c r="D141" s="107" t="s">
        <v>255</v>
      </c>
      <c r="E141" s="74" t="s">
        <v>253</v>
      </c>
      <c r="F141" s="117" t="s">
        <v>410</v>
      </c>
      <c r="G141" s="285" t="s">
        <v>517</v>
      </c>
      <c r="H141" s="108"/>
      <c r="I141" s="109" t="s">
        <v>252</v>
      </c>
      <c r="J141" s="74">
        <f t="shared" ref="J141:J149" si="11">SUM(K141:V141)</f>
        <v>2</v>
      </c>
      <c r="K141" s="274"/>
      <c r="L141" s="207"/>
      <c r="M141" s="274"/>
      <c r="N141" s="207"/>
      <c r="O141" s="229">
        <v>2</v>
      </c>
      <c r="P141" s="207"/>
      <c r="Q141" s="229"/>
      <c r="R141" s="207"/>
      <c r="S141" s="229"/>
      <c r="T141" s="207"/>
      <c r="U141" s="229"/>
      <c r="V141" s="207"/>
      <c r="W141" s="151"/>
      <c r="X141" s="151"/>
      <c r="Y141" s="151"/>
      <c r="Z141" s="151"/>
    </row>
    <row r="142" spans="1:26" ht="13">
      <c r="A142" s="151"/>
      <c r="B142" s="151"/>
      <c r="C142" s="151"/>
      <c r="D142" s="107" t="s">
        <v>255</v>
      </c>
      <c r="E142" s="74" t="s">
        <v>253</v>
      </c>
      <c r="F142" s="117" t="s">
        <v>263</v>
      </c>
      <c r="G142" s="213"/>
      <c r="H142" s="108"/>
      <c r="I142" s="109" t="s">
        <v>252</v>
      </c>
      <c r="J142" s="74">
        <f t="shared" si="11"/>
        <v>6</v>
      </c>
      <c r="K142" s="274"/>
      <c r="L142" s="207"/>
      <c r="M142" s="274"/>
      <c r="N142" s="207"/>
      <c r="O142" s="229"/>
      <c r="P142" s="207"/>
      <c r="Q142" s="229">
        <v>6</v>
      </c>
      <c r="R142" s="207"/>
      <c r="S142" s="229"/>
      <c r="T142" s="207"/>
      <c r="U142" s="229"/>
      <c r="V142" s="207"/>
      <c r="W142" s="151"/>
      <c r="X142" s="151"/>
      <c r="Y142" s="151"/>
      <c r="Z142" s="151"/>
    </row>
    <row r="143" spans="1:26" ht="13">
      <c r="A143" s="151"/>
      <c r="B143" s="151"/>
      <c r="C143" s="151"/>
      <c r="D143" s="107"/>
      <c r="E143" s="74" t="s">
        <v>260</v>
      </c>
      <c r="F143" s="117" t="s">
        <v>412</v>
      </c>
      <c r="G143" s="213"/>
      <c r="H143" s="108"/>
      <c r="I143" s="109" t="s">
        <v>252</v>
      </c>
      <c r="J143" s="74">
        <f t="shared" si="11"/>
        <v>19</v>
      </c>
      <c r="K143" s="274"/>
      <c r="L143" s="207"/>
      <c r="M143" s="274"/>
      <c r="N143" s="207"/>
      <c r="O143" s="229"/>
      <c r="P143" s="207"/>
      <c r="Q143" s="229"/>
      <c r="R143" s="207"/>
      <c r="S143" s="229">
        <v>6</v>
      </c>
      <c r="T143" s="207"/>
      <c r="U143" s="229">
        <v>13</v>
      </c>
      <c r="V143" s="207"/>
      <c r="W143" s="151"/>
      <c r="X143" s="151"/>
      <c r="Y143" s="151"/>
      <c r="Z143" s="151"/>
    </row>
    <row r="144" spans="1:26" ht="13">
      <c r="A144" s="151"/>
      <c r="B144" s="151"/>
      <c r="C144" s="151"/>
      <c r="D144" s="107"/>
      <c r="E144" s="74"/>
      <c r="F144" s="192" t="s">
        <v>426</v>
      </c>
      <c r="G144" s="213"/>
      <c r="H144" s="108"/>
      <c r="I144" s="109" t="s">
        <v>252</v>
      </c>
      <c r="J144" s="74">
        <f t="shared" si="11"/>
        <v>0</v>
      </c>
      <c r="K144" s="283"/>
      <c r="L144" s="207"/>
      <c r="M144" s="283"/>
      <c r="N144" s="207"/>
      <c r="O144" s="284" t="s">
        <v>274</v>
      </c>
      <c r="P144" s="207"/>
      <c r="Q144" s="284" t="s">
        <v>427</v>
      </c>
      <c r="R144" s="207"/>
      <c r="S144" s="284" t="s">
        <v>428</v>
      </c>
      <c r="T144" s="207"/>
      <c r="U144" s="284" t="s">
        <v>429</v>
      </c>
      <c r="V144" s="207"/>
      <c r="W144" s="151"/>
      <c r="X144" s="151"/>
      <c r="Y144" s="151"/>
      <c r="Z144" s="151"/>
    </row>
    <row r="145" spans="1:26" ht="13">
      <c r="A145" s="151"/>
      <c r="B145" s="151"/>
      <c r="C145" s="151"/>
      <c r="D145" s="107" t="s">
        <v>113</v>
      </c>
      <c r="E145" s="74" t="s">
        <v>260</v>
      </c>
      <c r="F145" s="198" t="s">
        <v>60</v>
      </c>
      <c r="G145" s="213"/>
      <c r="H145" s="108"/>
      <c r="I145" s="109" t="s">
        <v>252</v>
      </c>
      <c r="J145" s="74">
        <f t="shared" si="11"/>
        <v>18</v>
      </c>
      <c r="K145" s="270"/>
      <c r="L145" s="207"/>
      <c r="M145" s="270"/>
      <c r="N145" s="207"/>
      <c r="O145" s="206">
        <v>10</v>
      </c>
      <c r="P145" s="207"/>
      <c r="Q145" s="206">
        <v>8</v>
      </c>
      <c r="R145" s="207"/>
      <c r="S145" s="206"/>
      <c r="T145" s="207"/>
      <c r="U145" s="206"/>
      <c r="V145" s="207"/>
      <c r="W145" s="151"/>
      <c r="X145" s="151"/>
      <c r="Y145" s="151"/>
      <c r="Z145" s="151"/>
    </row>
    <row r="146" spans="1:26" ht="13">
      <c r="A146" s="151"/>
      <c r="B146" s="151"/>
      <c r="C146" s="151"/>
      <c r="D146" s="107" t="s">
        <v>113</v>
      </c>
      <c r="E146" s="74" t="s">
        <v>260</v>
      </c>
      <c r="F146" s="204" t="s">
        <v>102</v>
      </c>
      <c r="G146" s="213"/>
      <c r="H146" s="108"/>
      <c r="I146" s="109" t="s">
        <v>252</v>
      </c>
      <c r="J146" s="74">
        <f t="shared" si="11"/>
        <v>12</v>
      </c>
      <c r="K146" s="270"/>
      <c r="L146" s="207"/>
      <c r="M146" s="270"/>
      <c r="N146" s="207"/>
      <c r="O146" s="206"/>
      <c r="P146" s="207"/>
      <c r="Q146" s="206">
        <v>2</v>
      </c>
      <c r="R146" s="207"/>
      <c r="S146" s="206">
        <v>10</v>
      </c>
      <c r="T146" s="207"/>
      <c r="U146" s="206"/>
      <c r="V146" s="207"/>
      <c r="W146" s="151"/>
      <c r="X146" s="151"/>
      <c r="Y146" s="151"/>
      <c r="Z146" s="151"/>
    </row>
    <row r="147" spans="1:26" ht="13">
      <c r="A147" s="151"/>
      <c r="B147" s="151"/>
      <c r="C147" s="151"/>
      <c r="D147" s="107" t="s">
        <v>113</v>
      </c>
      <c r="E147" s="74" t="s">
        <v>260</v>
      </c>
      <c r="F147" s="198" t="s">
        <v>82</v>
      </c>
      <c r="G147" s="213"/>
      <c r="H147" s="108"/>
      <c r="I147" s="109" t="s">
        <v>252</v>
      </c>
      <c r="J147" s="74">
        <f t="shared" si="11"/>
        <v>3</v>
      </c>
      <c r="K147" s="270"/>
      <c r="L147" s="207"/>
      <c r="M147" s="270"/>
      <c r="N147" s="207"/>
      <c r="O147" s="206"/>
      <c r="P147" s="207"/>
      <c r="Q147" s="206">
        <v>3</v>
      </c>
      <c r="R147" s="207"/>
      <c r="S147" s="206"/>
      <c r="T147" s="207"/>
      <c r="U147" s="206"/>
      <c r="V147" s="207"/>
      <c r="W147" s="151"/>
      <c r="X147" s="151"/>
      <c r="Y147" s="151"/>
      <c r="Z147" s="151"/>
    </row>
    <row r="148" spans="1:26" ht="13">
      <c r="A148" s="151"/>
      <c r="B148" s="151"/>
      <c r="C148" s="151"/>
      <c r="D148" s="107" t="s">
        <v>113</v>
      </c>
      <c r="E148" s="74" t="s">
        <v>260</v>
      </c>
      <c r="F148" s="126" t="s">
        <v>518</v>
      </c>
      <c r="G148" s="213"/>
      <c r="H148" s="108"/>
      <c r="I148" s="109" t="s">
        <v>252</v>
      </c>
      <c r="J148" s="74">
        <f t="shared" si="11"/>
        <v>10</v>
      </c>
      <c r="K148" s="270"/>
      <c r="L148" s="207"/>
      <c r="M148" s="270"/>
      <c r="N148" s="207"/>
      <c r="O148" s="206"/>
      <c r="P148" s="207"/>
      <c r="Q148" s="206"/>
      <c r="R148" s="207"/>
      <c r="S148" s="206">
        <v>10</v>
      </c>
      <c r="T148" s="207"/>
      <c r="U148" s="206"/>
      <c r="V148" s="207"/>
      <c r="W148" s="151"/>
      <c r="X148" s="151"/>
      <c r="Y148" s="151"/>
      <c r="Z148" s="151"/>
    </row>
    <row r="149" spans="1:26" ht="13">
      <c r="A149" s="151"/>
      <c r="B149" s="151"/>
      <c r="C149" s="151"/>
      <c r="D149" s="107" t="s">
        <v>113</v>
      </c>
      <c r="E149" s="74" t="s">
        <v>260</v>
      </c>
      <c r="F149" s="126" t="s">
        <v>437</v>
      </c>
      <c r="G149" s="209"/>
      <c r="H149" s="108"/>
      <c r="I149" s="109" t="s">
        <v>252</v>
      </c>
      <c r="J149" s="74">
        <f t="shared" si="11"/>
        <v>16</v>
      </c>
      <c r="K149" s="270"/>
      <c r="L149" s="207"/>
      <c r="M149" s="270"/>
      <c r="N149" s="207"/>
      <c r="O149" s="206"/>
      <c r="P149" s="207"/>
      <c r="Q149" s="206"/>
      <c r="R149" s="207"/>
      <c r="S149" s="206"/>
      <c r="T149" s="207"/>
      <c r="U149" s="206">
        <v>16</v>
      </c>
      <c r="V149" s="207"/>
      <c r="W149" s="151"/>
      <c r="X149" s="151"/>
      <c r="Y149" s="151"/>
      <c r="Z149" s="151"/>
    </row>
    <row r="150" spans="1:26" ht="12.5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Q150" s="190" t="s">
        <v>516</v>
      </c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spans="1:26" ht="12.5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spans="1:26" ht="12.5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spans="1:26" ht="12.5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spans="1:26" ht="12.5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spans="1:26" ht="12.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spans="1:26" ht="12.5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spans="1:26" ht="12.5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spans="1:26" ht="12.5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spans="1:26" ht="12.5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spans="1:26" ht="12.5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spans="1:26" ht="12.5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spans="1:26" ht="12.5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spans="1:26" ht="12.5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spans="1:26" ht="12.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spans="1:26" ht="12.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spans="1:26" ht="12.5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spans="1:26" ht="12.5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spans="1:26" ht="12.5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spans="1:26" ht="12.5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spans="1:26" ht="12.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spans="1:26" ht="12.5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spans="1:26" ht="12.5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spans="1:26" ht="12.5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spans="1:26" ht="12.5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spans="1:26" ht="12.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spans="1:26" ht="12.5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spans="1:26" ht="12.5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spans="1:26" ht="12.5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spans="1:26" ht="12.5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spans="1:26" ht="12.5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spans="1:26" ht="12.5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spans="1:26" ht="12.5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spans="1:26" ht="12.5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spans="1:26" ht="12.5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spans="1:26" ht="12.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spans="1:26" ht="12.5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spans="1:26" ht="12.5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spans="1:26" ht="12.5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spans="1:26" ht="12.5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spans="1:26" ht="12.5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spans="1:26" ht="12.5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spans="1:26" ht="12.5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spans="1:26" ht="12.5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spans="1:26" ht="12.5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spans="1:26" ht="12.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spans="1:26" ht="12.5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spans="1:26" ht="12.5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spans="1:26" ht="12.5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spans="1:26" ht="12.5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spans="1:26" ht="12.5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spans="1:26" ht="12.5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spans="1:26" ht="12.5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spans="1:26" ht="12.5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spans="1:26" ht="12.5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spans="1:26" ht="12.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spans="1:26" ht="12.5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spans="1:26" ht="12.5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spans="1:26" ht="12.5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spans="1:26" ht="12.5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spans="1:26" ht="12.5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spans="1:26" ht="12.5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spans="1:26" ht="12.5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spans="1:26" ht="12.5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spans="1:26" ht="12.5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spans="1:26" ht="12.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spans="1:26" ht="12.5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spans="1:26" ht="12.5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spans="1:26" ht="12.5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spans="1:26" ht="12.5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spans="1:26" ht="12.5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spans="1:26" ht="12.5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spans="1:26" ht="12.5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spans="1:26" ht="12.5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spans="1:26" ht="12.5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spans="1:26" ht="12.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spans="1:26" ht="12.5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spans="1:26" ht="12.5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spans="1:26" ht="12.5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spans="1:26" ht="12.5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spans="1:26" ht="12.5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spans="1:26" ht="12.5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spans="1:26" ht="12.5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spans="1:26" ht="12.5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spans="1:26" ht="12.5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spans="1:26" ht="12.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spans="1:26" ht="12.5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spans="1:26" ht="12.5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spans="1:26" ht="12.5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spans="1:26" ht="12.5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spans="1:26" ht="12.5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spans="1:26" ht="12.5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spans="1:26" ht="12.5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spans="1:26" ht="12.5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spans="1:26" ht="12.5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spans="1:26" ht="12.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spans="1:26" ht="12.5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spans="1:26" ht="12.5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spans="1:26" ht="12.5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spans="1:26" ht="12.5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spans="1:26" ht="12.5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spans="1:26" ht="12.5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spans="1:26" ht="12.5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spans="1:26" ht="12.5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spans="1:26" ht="12.5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spans="1:26" ht="12.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spans="1:26" ht="12.5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spans="1:26" ht="12.5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spans="1:26" ht="12.5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spans="1:26" ht="12.5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spans="1:26" ht="12.5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spans="1:26" ht="12.5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spans="1:26" ht="12.5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spans="1:26" ht="12.5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spans="1:26" ht="12.5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spans="1:26" ht="12.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spans="1:26" ht="12.5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spans="1:26" ht="12.5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spans="1:26" ht="12.5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spans="1:26" ht="12.5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spans="1:26" ht="12.5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spans="1:26" ht="12.5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spans="1:26" ht="12.5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spans="1:26" ht="12.5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spans="1:26" ht="12.5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spans="1:26" ht="12.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spans="1:26" ht="12.5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spans="1:26" ht="12.5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spans="1:26" ht="12.5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spans="1:26" ht="12.5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spans="1:26" ht="12.5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spans="1:26" ht="12.5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spans="1:26" ht="12.5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spans="1:26" ht="12.5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spans="1:26" ht="12.5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spans="1:26" ht="12.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spans="1:26" ht="12.5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spans="1:26" ht="12.5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spans="1:26" ht="12.5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spans="1:26" ht="12.5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spans="1:26" ht="12.5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spans="1:26" ht="12.5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spans="1:26" ht="12.5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spans="1:26" ht="12.5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spans="1:26" ht="12.5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spans="1:26" ht="12.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spans="1:26" ht="12.5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spans="1:26" ht="12.5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spans="1:26" ht="12.5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spans="1:26" ht="12.5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spans="1:26" ht="12.5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spans="1:26" ht="12.5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spans="1:26" ht="12.5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spans="1:26" ht="12.5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spans="1:26" ht="12.5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spans="1:26" ht="12.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spans="1:26" ht="12.5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spans="1:26" ht="12.5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spans="1:26" ht="12.5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spans="1:26" ht="12.5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spans="1:26" ht="12.5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spans="1:26" ht="12.5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spans="1:26" ht="12.5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spans="1:26" ht="12.5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spans="1:26" ht="12.5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spans="1:26" ht="12.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spans="1:26" ht="12.5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spans="1:26" ht="12.5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spans="1:26" ht="12.5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spans="1:26" ht="12.5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spans="1:26" ht="12.5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spans="1:26" ht="12.5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spans="1:26" ht="12.5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spans="1:26" ht="12.5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spans="1:26" ht="12.5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spans="1:26" ht="12.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spans="1:26" ht="12.5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spans="1:26" ht="12.5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spans="1:26" ht="12.5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spans="1:26" ht="12.5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spans="1:26" ht="12.5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spans="1:26" ht="12.5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spans="1:26" ht="12.5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spans="1:26" ht="12.5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spans="1:26" ht="12.5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spans="1:26" ht="12.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spans="1:26" ht="12.5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spans="1:26" ht="12.5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spans="1:26" ht="12.5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spans="1:26" ht="12.5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spans="1:26" ht="12.5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spans="1:26" ht="12.5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spans="1:26" ht="12.5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spans="1:26" ht="12.5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spans="1:26" ht="12.5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spans="1:26" ht="12.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spans="1:26" ht="12.5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spans="1:26" ht="12.5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spans="1:26" ht="12.5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spans="1:26" ht="12.5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spans="1:26" ht="12.5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spans="1:26" ht="12.5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spans="1:26" ht="12.5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spans="1:26" ht="12.5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spans="1:26" ht="12.5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spans="1:26" ht="12.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spans="1:26" ht="12.5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spans="1:26" ht="12.5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spans="1:26" ht="12.5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spans="1:26" ht="12.5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spans="1:26" ht="12.5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spans="1:26" ht="12.5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spans="1:26" ht="12.5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spans="1:26" ht="12.5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spans="1:26" ht="12.5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spans="1:26" ht="12.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spans="1:26" ht="12.5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spans="1:26" ht="12.5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spans="1:26" ht="12.5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spans="1:26" ht="12.5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spans="1:26" ht="12.5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spans="1:26" ht="12.5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spans="1:26" ht="12.5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spans="1:26" ht="12.5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spans="1:26" ht="12.5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spans="1:26" ht="12.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spans="1:26" ht="12.5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spans="1:26" ht="12.5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spans="1:26" ht="12.5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spans="1:26" ht="12.5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spans="1:26" ht="12.5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spans="1:26" ht="12.5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spans="1:26" ht="12.5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spans="1:26" ht="12.5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spans="1:26" ht="12.5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spans="1:26" ht="12.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spans="1:26" ht="12.5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spans="1:26" ht="12.5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spans="1:26" ht="12.5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spans="1:26" ht="12.5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spans="1:26" ht="12.5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spans="1:26" ht="12.5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spans="1:26" ht="12.5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spans="1:26" ht="12.5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spans="1:26" ht="12.5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spans="1:26" ht="12.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spans="1:26" ht="12.5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spans="1:26" ht="12.5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spans="1:26" ht="12.5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spans="1:26" ht="12.5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spans="1:26" ht="12.5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spans="1:26" ht="12.5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spans="1:26" ht="12.5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spans="1:26" ht="12.5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spans="1:26" ht="12.5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spans="1:26" ht="12.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spans="1:26" ht="12.5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spans="1:26" ht="12.5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spans="1:26" ht="12.5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spans="1:26" ht="12.5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spans="1:26" ht="12.5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spans="1:26" ht="12.5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spans="1:26" ht="12.5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spans="1:26" ht="12.5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spans="1:26" ht="12.5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spans="1:26" ht="12.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spans="1:26" ht="12.5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spans="1:26" ht="12.5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spans="1:26" ht="12.5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spans="1:26" ht="12.5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spans="1:26" ht="12.5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spans="1:26" ht="12.5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spans="1:26" ht="12.5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spans="1:26" ht="12.5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spans="1:26" ht="12.5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spans="1:26" ht="12.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spans="1:26" ht="12.5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spans="1:26" ht="12.5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spans="1:26" ht="12.5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spans="1:26" ht="12.5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spans="1:26" ht="12.5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spans="1:26" ht="12.5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spans="1:26" ht="12.5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spans="1:26" ht="12.5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spans="1:26" ht="12.5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spans="1:26" ht="12.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spans="1:26" ht="12.5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spans="1:26" ht="12.5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spans="1:26" ht="12.5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spans="1:26" ht="12.5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spans="1:26" ht="12.5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spans="1:26" ht="12.5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spans="1:26" ht="12.5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spans="1:26" ht="12.5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spans="1:26" ht="12.5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spans="1:26" ht="12.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spans="1:26" ht="12.5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spans="1:26" ht="12.5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spans="1:26" ht="12.5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spans="1:26" ht="12.5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spans="1:26" ht="12.5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spans="1:26" ht="12.5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spans="1:26" ht="12.5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spans="1:26" ht="12.5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spans="1:26" ht="12.5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spans="1:26" ht="12.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spans="1:26" ht="12.5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spans="1:26" ht="12.5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spans="1:26" ht="12.5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spans="1:26" ht="12.5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spans="1:26" ht="12.5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spans="1:26" ht="12.5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spans="1:26" ht="12.5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spans="1:26" ht="12.5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spans="1:26" ht="12.5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spans="1:26" ht="12.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spans="1:26" ht="12.5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spans="1:26" ht="12.5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spans="1:26" ht="12.5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spans="1:26" ht="12.5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spans="1:26" ht="12.5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spans="1:26" ht="12.5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spans="1:26" ht="12.5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spans="1:26" ht="12.5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spans="1:26" ht="12.5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spans="1:26" ht="12.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spans="1:26" ht="12.5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spans="1:26" ht="12.5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spans="1:26" ht="12.5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spans="1:26" ht="12.5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spans="1:26" ht="12.5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spans="1:26" ht="12.5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spans="1:26" ht="12.5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spans="1:26" ht="12.5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spans="1:26" ht="12.5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spans="1:26" ht="12.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spans="1:26" ht="12.5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spans="1:26" ht="12.5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spans="1:26" ht="12.5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spans="1:26" ht="12.5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spans="1:26" ht="12.5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spans="1:26" ht="12.5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spans="1:26" ht="12.5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spans="1:26" ht="12.5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spans="1:26" ht="12.5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spans="1:26" ht="12.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spans="1:26" ht="12.5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spans="1:26" ht="12.5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spans="1:26" ht="12.5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spans="1:26" ht="12.5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spans="1:26" ht="12.5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spans="1:26" ht="12.5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spans="1:26" ht="12.5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spans="1:26" ht="12.5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spans="1:26" ht="12.5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spans="1:26" ht="12.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spans="1:26" ht="12.5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spans="1:26" ht="12.5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spans="1:26" ht="12.5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spans="1:26" ht="12.5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spans="1:26" ht="12.5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spans="1:26" ht="12.5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spans="1:26" ht="12.5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spans="1:26" ht="12.5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spans="1:26" ht="12.5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spans="1:26" ht="12.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spans="1:26" ht="12.5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spans="1:26" ht="12.5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spans="1:26" ht="12.5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spans="1:26" ht="12.5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spans="1:26" ht="12.5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spans="1:26" ht="12.5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spans="1:26" ht="12.5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spans="1:26" ht="12.5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spans="1:26" ht="12.5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ht="12.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ht="12.5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ht="12.5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spans="1:26" ht="12.5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spans="1:26" ht="12.5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spans="1:26" ht="12.5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spans="1:26" ht="12.5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spans="1:26" ht="12.5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spans="1:26" ht="12.5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spans="1:26" ht="12.5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spans="1:26" ht="12.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spans="1:26" ht="12.5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spans="1:26" ht="12.5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spans="1:26" ht="12.5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spans="1:26" ht="12.5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ht="12.5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ht="12.5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ht="12.5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ht="12.5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ht="12.5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ht="12.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ht="12.5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ht="12.5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ht="12.5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ht="12.5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ht="12.5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ht="12.5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ht="12.5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ht="12.5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ht="12.5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ht="12.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ht="12.5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ht="12.5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ht="12.5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ht="12.5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spans="1:26" ht="12.5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spans="1:26" ht="12.5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spans="1:26" ht="12.5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spans="1:26" ht="12.5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ht="12.5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ht="12.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ht="12.5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spans="1:26" ht="12.5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spans="1:26" ht="12.5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spans="1:26" ht="12.5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ht="12.5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ht="12.5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ht="12.5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ht="12.5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ht="12.5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ht="12.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ht="12.5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ht="12.5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ht="12.5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ht="12.5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ht="12.5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ht="12.5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ht="12.5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ht="12.5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ht="12.5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ht="12.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ht="12.5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ht="12.5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ht="12.5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ht="12.5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ht="12.5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ht="12.5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ht="12.5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ht="12.5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ht="12.5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ht="12.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ht="12.5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ht="12.5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ht="12.5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ht="12.5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ht="12.5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ht="12.5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ht="12.5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ht="12.5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ht="12.5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ht="12.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ht="12.5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ht="12.5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ht="12.5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ht="12.5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ht="12.5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ht="12.5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ht="12.5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ht="12.5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ht="12.5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ht="12.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ht="12.5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ht="12.5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ht="12.5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ht="12.5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ht="12.5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ht="12.5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ht="12.5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ht="12.5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ht="12.5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ht="12.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ht="12.5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ht="12.5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ht="12.5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ht="12.5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ht="12.5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ht="12.5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ht="12.5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ht="12.5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ht="12.5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ht="12.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ht="12.5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ht="12.5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ht="12.5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ht="12.5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ht="12.5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ht="12.5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ht="12.5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ht="12.5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ht="12.5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ht="12.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ht="12.5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ht="12.5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ht="12.5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ht="12.5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ht="12.5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ht="12.5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ht="12.5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ht="12.5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ht="12.5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ht="12.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ht="12.5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ht="12.5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ht="12.5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ht="12.5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ht="12.5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ht="12.5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ht="12.5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ht="12.5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ht="12.5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ht="12.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ht="12.5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ht="12.5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ht="12.5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ht="12.5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ht="12.5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ht="12.5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ht="12.5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ht="12.5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ht="12.5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ht="12.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ht="12.5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ht="12.5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ht="12.5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ht="12.5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ht="12.5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ht="12.5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ht="12.5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ht="12.5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ht="12.5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ht="12.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ht="12.5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ht="12.5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ht="12.5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ht="12.5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ht="12.5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ht="12.5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ht="12.5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ht="12.5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ht="12.5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ht="12.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ht="12.5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ht="12.5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ht="12.5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ht="12.5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ht="12.5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ht="12.5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ht="12.5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ht="12.5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ht="12.5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ht="12.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ht="12.5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ht="12.5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ht="12.5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ht="12.5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ht="12.5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ht="12.5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ht="12.5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ht="12.5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ht="12.5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ht="12.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ht="12.5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ht="12.5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ht="12.5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ht="12.5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ht="12.5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ht="12.5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ht="12.5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ht="12.5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ht="12.5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ht="12.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ht="12.5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ht="12.5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ht="12.5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ht="12.5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ht="12.5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ht="12.5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ht="12.5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ht="12.5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ht="12.5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ht="12.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ht="12.5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ht="12.5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ht="12.5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ht="12.5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ht="12.5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ht="12.5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ht="12.5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ht="12.5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ht="12.5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ht="12.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ht="12.5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ht="12.5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ht="12.5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ht="12.5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ht="12.5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ht="12.5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ht="12.5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ht="12.5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ht="12.5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ht="12.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ht="12.5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ht="12.5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ht="12.5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ht="12.5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ht="12.5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ht="12.5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ht="12.5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ht="12.5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ht="12.5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ht="12.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ht="12.5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ht="12.5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ht="12.5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ht="12.5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ht="12.5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ht="12.5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ht="12.5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ht="12.5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ht="12.5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ht="12.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ht="12.5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ht="12.5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ht="12.5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ht="12.5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ht="12.5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ht="12.5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ht="12.5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ht="12.5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ht="12.5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ht="12.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ht="12.5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ht="12.5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ht="12.5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ht="12.5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ht="12.5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ht="12.5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ht="12.5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ht="12.5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ht="12.5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ht="12.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ht="12.5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ht="12.5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ht="12.5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ht="12.5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ht="12.5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ht="12.5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ht="12.5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ht="12.5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ht="12.5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ht="12.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ht="12.5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ht="12.5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ht="12.5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ht="12.5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ht="12.5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ht="12.5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ht="12.5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ht="12.5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ht="12.5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ht="12.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ht="12.5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ht="12.5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ht="12.5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ht="12.5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ht="12.5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ht="12.5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ht="12.5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ht="12.5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ht="12.5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ht="12.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ht="12.5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ht="12.5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ht="12.5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ht="12.5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ht="12.5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ht="12.5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ht="12.5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ht="12.5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ht="12.5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ht="12.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ht="12.5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ht="12.5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ht="12.5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ht="12.5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ht="12.5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ht="12.5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ht="12.5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ht="12.5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ht="12.5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ht="12.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ht="12.5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ht="12.5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ht="12.5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ht="12.5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ht="12.5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ht="12.5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ht="12.5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ht="12.5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ht="12.5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ht="12.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ht="12.5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ht="12.5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ht="12.5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ht="12.5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ht="12.5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ht="12.5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ht="12.5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ht="12.5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ht="12.5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ht="12.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ht="12.5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spans="1:26" ht="12.5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spans="1:26" ht="12.5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spans="1:26" ht="12.5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spans="1:26" ht="12.5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spans="1:26" ht="12.5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spans="1:26" ht="12.5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spans="1:26" ht="12.5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spans="1:26" ht="12.5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spans="1:26" ht="12.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spans="1:26" ht="12.5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spans="1:26" ht="12.5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spans="1:26" ht="12.5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spans="1:26" ht="12.5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spans="1:26" ht="12.5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spans="1:26" ht="12.5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spans="1:26" ht="12.5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spans="1:26" ht="12.5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spans="1:26" ht="12.5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spans="1:26" ht="12.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spans="1:26" ht="12.5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spans="1:26" ht="12.5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spans="1:26" ht="12.5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spans="1:26" ht="12.5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spans="1:26" ht="12.5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spans="1:26" ht="12.5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spans="1:26" ht="12.5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spans="1:26" ht="12.5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spans="1:26" ht="12.5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spans="1:26" ht="12.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spans="1:26" ht="12.5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spans="1:26" ht="12.5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spans="1:26" ht="12.5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spans="1:26" ht="12.5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spans="1:26" ht="12.5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spans="1:26" ht="12.5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spans="1:26" ht="12.5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spans="1:26" ht="12.5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spans="1:26" ht="12.5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spans="1:26" ht="12.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spans="1:26" ht="12.5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spans="1:26" ht="12.5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spans="1:26" ht="12.5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spans="1:26" ht="12.5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spans="1:26" ht="12.5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spans="1:26" ht="12.5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spans="1:26" ht="12.5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spans="1:26" ht="12.5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spans="1:26" ht="12.5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spans="1:26" ht="12.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spans="1:26" ht="12.5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spans="1:26" ht="12.5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spans="1:26" ht="12.5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spans="1:26" ht="12.5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spans="1:26" ht="12.5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spans="1:26" ht="12.5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spans="1:26" ht="12.5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spans="1:26" ht="12.5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spans="1:26" ht="12.5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spans="1:26" ht="12.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spans="1:26" ht="12.5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spans="1:26" ht="12.5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spans="1:26" ht="12.5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spans="1:26" ht="12.5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spans="1:26" ht="12.5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spans="1:26" ht="12.5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spans="1:26" ht="12.5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spans="1:26" ht="12.5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spans="1:26" ht="12.5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spans="1:26" ht="12.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spans="1:26" ht="12.5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spans="1:26" ht="12.5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spans="1:26" ht="12.5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spans="1:26" ht="12.5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spans="1:26" ht="12.5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spans="1:26" ht="12.5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spans="1:26" ht="12.5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spans="1:26" ht="12.5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spans="1:26" ht="12.5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spans="1:26" ht="12.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spans="1:26" ht="12.5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spans="1:26" ht="12.5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spans="1:26" ht="12.5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spans="1:26" ht="12.5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spans="1:26" ht="12.5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spans="1:26" ht="12.5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spans="1:26" ht="12.5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spans="1:26" ht="12.5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spans="1:26" ht="12.5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spans="1:26" ht="12.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spans="1:26" ht="12.5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spans="1:26" ht="12.5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spans="1:26" ht="12.5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spans="1:26" ht="12.5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spans="1:26" ht="12.5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spans="1:26" ht="12.5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spans="1:26" ht="12.5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spans="1:26" ht="12.5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spans="1:26" ht="12.5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spans="1:26" ht="12.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spans="1:26" ht="12.5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spans="1:26" ht="12.5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spans="1:26" ht="12.5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spans="1:26" ht="12.5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spans="1:26" ht="12.5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spans="1:26" ht="12.5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spans="1:26" ht="12.5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spans="1:26" ht="12.5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spans="1:26" ht="12.5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spans="1:26" ht="12.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spans="1:26" ht="12.5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spans="1:26" ht="12.5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spans="1:26" ht="12.5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spans="1:26" ht="12.5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spans="1:26" ht="12.5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spans="1:26" ht="12.5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spans="1:26" ht="12.5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spans="1:26" ht="12.5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spans="1:26" ht="12.5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spans="1:26" ht="12.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spans="1:26" ht="12.5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spans="1:26" ht="12.5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spans="1:26" ht="12.5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spans="1:26" ht="12.5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spans="1:26" ht="12.5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spans="1:26" ht="12.5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spans="1:26" ht="12.5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spans="1:26" ht="12.5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spans="1:26" ht="12.5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spans="1:26" ht="12.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spans="1:26" ht="12.5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spans="1:26" ht="12.5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spans="1:26" ht="12.5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spans="1:26" ht="12.5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spans="1:26" ht="12.5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  <row r="1001" spans="1:26" ht="12.5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</row>
    <row r="1002" spans="1:26" ht="12.5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</row>
    <row r="1003" spans="1:26" ht="12.5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  <c r="X1003" s="151"/>
      <c r="Y1003" s="151"/>
      <c r="Z1003" s="151"/>
    </row>
    <row r="1004" spans="1:26" ht="12.5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  <c r="X1004" s="151"/>
      <c r="Y1004" s="151"/>
      <c r="Z1004" s="151"/>
    </row>
    <row r="1005" spans="1:26" ht="12.5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  <c r="X1005" s="151"/>
      <c r="Y1005" s="151"/>
      <c r="Z1005" s="151"/>
    </row>
    <row r="1006" spans="1:26" ht="12.5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  <c r="V1006" s="151"/>
      <c r="W1006" s="151"/>
      <c r="X1006" s="151"/>
      <c r="Y1006" s="151"/>
      <c r="Z1006" s="151"/>
    </row>
    <row r="1007" spans="1:26" ht="12.5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  <c r="V1007" s="151"/>
      <c r="W1007" s="151"/>
      <c r="X1007" s="151"/>
      <c r="Y1007" s="151"/>
      <c r="Z1007" s="151"/>
    </row>
    <row r="1008" spans="1:26" ht="12.5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  <c r="V1008" s="151"/>
      <c r="W1008" s="151"/>
      <c r="X1008" s="151"/>
      <c r="Y1008" s="151"/>
      <c r="Z1008" s="151"/>
    </row>
    <row r="1009" spans="1:26" ht="12.5">
      <c r="A1009" s="151"/>
      <c r="B1009" s="151"/>
      <c r="C1009" s="151"/>
      <c r="D1009" s="151"/>
      <c r="E1009" s="151"/>
      <c r="F1009" s="151"/>
      <c r="G1009" s="15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  <c r="V1009" s="151"/>
      <c r="W1009" s="151"/>
      <c r="X1009" s="151"/>
      <c r="Y1009" s="151"/>
      <c r="Z1009" s="151"/>
    </row>
    <row r="1010" spans="1:26" ht="12.5">
      <c r="A1010" s="151"/>
      <c r="B1010" s="151"/>
      <c r="C1010" s="151"/>
      <c r="D1010" s="151"/>
      <c r="E1010" s="151"/>
      <c r="F1010" s="151"/>
      <c r="G1010" s="151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  <c r="U1010" s="151"/>
      <c r="V1010" s="151"/>
      <c r="W1010" s="151"/>
      <c r="X1010" s="151"/>
      <c r="Y1010" s="151"/>
      <c r="Z1010" s="151"/>
    </row>
    <row r="1011" spans="1:26" ht="12.5">
      <c r="A1011" s="151"/>
      <c r="B1011" s="151"/>
      <c r="C1011" s="151"/>
      <c r="D1011" s="151"/>
      <c r="E1011" s="151"/>
      <c r="F1011" s="151"/>
      <c r="G1011" s="151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  <c r="U1011" s="151"/>
      <c r="V1011" s="151"/>
      <c r="W1011" s="151"/>
      <c r="X1011" s="151"/>
      <c r="Y1011" s="151"/>
      <c r="Z1011" s="151"/>
    </row>
    <row r="1012" spans="1:26" ht="12.5">
      <c r="A1012" s="151"/>
      <c r="B1012" s="151"/>
      <c r="C1012" s="151"/>
      <c r="D1012" s="151"/>
      <c r="E1012" s="151"/>
      <c r="F1012" s="151"/>
      <c r="G1012" s="151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  <c r="U1012" s="151"/>
      <c r="V1012" s="151"/>
      <c r="W1012" s="151"/>
      <c r="X1012" s="151"/>
      <c r="Y1012" s="151"/>
      <c r="Z1012" s="151"/>
    </row>
    <row r="1013" spans="1:26" ht="12.5">
      <c r="A1013" s="151"/>
      <c r="B1013" s="151"/>
      <c r="C1013" s="151"/>
      <c r="D1013" s="151"/>
      <c r="E1013" s="151"/>
      <c r="F1013" s="151"/>
      <c r="G1013" s="151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  <c r="U1013" s="151"/>
      <c r="V1013" s="151"/>
      <c r="W1013" s="151"/>
      <c r="X1013" s="151"/>
      <c r="Y1013" s="151"/>
      <c r="Z1013" s="151"/>
    </row>
    <row r="1014" spans="1:26" ht="12.5">
      <c r="A1014" s="151"/>
      <c r="B1014" s="151"/>
      <c r="C1014" s="151"/>
      <c r="D1014" s="151"/>
      <c r="E1014" s="151"/>
      <c r="F1014" s="151"/>
      <c r="G1014" s="151"/>
      <c r="H1014" s="151"/>
      <c r="I1014" s="151"/>
      <c r="J1014" s="151"/>
      <c r="K1014" s="151"/>
      <c r="L1014" s="151"/>
      <c r="M1014" s="151"/>
      <c r="N1014" s="151"/>
      <c r="O1014" s="151"/>
      <c r="P1014" s="151"/>
      <c r="Q1014" s="151"/>
      <c r="R1014" s="151"/>
      <c r="S1014" s="151"/>
      <c r="T1014" s="151"/>
      <c r="U1014" s="151"/>
      <c r="V1014" s="151"/>
      <c r="W1014" s="151"/>
      <c r="X1014" s="151"/>
      <c r="Y1014" s="151"/>
      <c r="Z1014" s="151"/>
    </row>
  </sheetData>
  <mergeCells count="851">
    <mergeCell ref="M149:N149"/>
    <mergeCell ref="O149:P149"/>
    <mergeCell ref="Q149:R149"/>
    <mergeCell ref="S149:T149"/>
    <mergeCell ref="Q44:R44"/>
    <mergeCell ref="S44:T44"/>
    <mergeCell ref="S45:T45"/>
    <mergeCell ref="Q47:R47"/>
    <mergeCell ref="S47:T47"/>
    <mergeCell ref="M45:N45"/>
    <mergeCell ref="M46:N46"/>
    <mergeCell ref="O46:P46"/>
    <mergeCell ref="Q46:R46"/>
    <mergeCell ref="S46:T46"/>
    <mergeCell ref="M47:N47"/>
    <mergeCell ref="O47:P47"/>
    <mergeCell ref="Q148:R148"/>
    <mergeCell ref="S148:T148"/>
    <mergeCell ref="M146:N146"/>
    <mergeCell ref="M147:N147"/>
    <mergeCell ref="O147:P147"/>
    <mergeCell ref="Q147:R147"/>
    <mergeCell ref="S147:T147"/>
    <mergeCell ref="M148:N148"/>
    <mergeCell ref="O148:P148"/>
    <mergeCell ref="Q142:R142"/>
    <mergeCell ref="S142:T142"/>
    <mergeCell ref="U144:V144"/>
    <mergeCell ref="U145:V145"/>
    <mergeCell ref="U146:V146"/>
    <mergeCell ref="U147:V147"/>
    <mergeCell ref="U148:V148"/>
    <mergeCell ref="U149:V149"/>
    <mergeCell ref="M142:N142"/>
    <mergeCell ref="M143:N143"/>
    <mergeCell ref="O143:P143"/>
    <mergeCell ref="Q143:R143"/>
    <mergeCell ref="S143:T143"/>
    <mergeCell ref="M144:N144"/>
    <mergeCell ref="O144:P144"/>
    <mergeCell ref="O146:P146"/>
    <mergeCell ref="Q146:R146"/>
    <mergeCell ref="Q144:R144"/>
    <mergeCell ref="S144:T144"/>
    <mergeCell ref="M145:N145"/>
    <mergeCell ref="O145:P145"/>
    <mergeCell ref="Q145:R145"/>
    <mergeCell ref="S145:T145"/>
    <mergeCell ref="S146:T146"/>
    <mergeCell ref="U141:V141"/>
    <mergeCell ref="U142:V142"/>
    <mergeCell ref="U143:V143"/>
    <mergeCell ref="M133:N133"/>
    <mergeCell ref="O133:P133"/>
    <mergeCell ref="Q133:R133"/>
    <mergeCell ref="S133:T133"/>
    <mergeCell ref="U133:V133"/>
    <mergeCell ref="O134:P134"/>
    <mergeCell ref="U134:V134"/>
    <mergeCell ref="Q136:R136"/>
    <mergeCell ref="S136:T136"/>
    <mergeCell ref="M134:N134"/>
    <mergeCell ref="M135:N135"/>
    <mergeCell ref="O135:P135"/>
    <mergeCell ref="Q135:R135"/>
    <mergeCell ref="S135:T135"/>
    <mergeCell ref="M136:N136"/>
    <mergeCell ref="O136:P136"/>
    <mergeCell ref="M141:N141"/>
    <mergeCell ref="O141:P141"/>
    <mergeCell ref="Q141:R141"/>
    <mergeCell ref="S141:T141"/>
    <mergeCell ref="O142:P142"/>
    <mergeCell ref="O79:P79"/>
    <mergeCell ref="Q79:R79"/>
    <mergeCell ref="S79:T79"/>
    <mergeCell ref="M80:N80"/>
    <mergeCell ref="S80:T80"/>
    <mergeCell ref="Q134:R134"/>
    <mergeCell ref="S134:T134"/>
    <mergeCell ref="U135:V135"/>
    <mergeCell ref="U136:V136"/>
    <mergeCell ref="Q106:R106"/>
    <mergeCell ref="S106:T106"/>
    <mergeCell ref="M104:N104"/>
    <mergeCell ref="M105:N105"/>
    <mergeCell ref="O105:P105"/>
    <mergeCell ref="Q105:R105"/>
    <mergeCell ref="S105:T105"/>
    <mergeCell ref="M106:N106"/>
    <mergeCell ref="O106:P106"/>
    <mergeCell ref="M99:N99"/>
    <mergeCell ref="O99:P99"/>
    <mergeCell ref="O104:P104"/>
    <mergeCell ref="Q104:R104"/>
    <mergeCell ref="Q99:R99"/>
    <mergeCell ref="S99:T99"/>
    <mergeCell ref="M100:N100"/>
    <mergeCell ref="O100:P100"/>
    <mergeCell ref="Q100:R100"/>
    <mergeCell ref="S100:T100"/>
    <mergeCell ref="S104:T104"/>
    <mergeCell ref="M96:N96"/>
    <mergeCell ref="O96:P96"/>
    <mergeCell ref="Q96:R96"/>
    <mergeCell ref="S96:T96"/>
    <mergeCell ref="O97:P97"/>
    <mergeCell ref="Q97:R97"/>
    <mergeCell ref="S97:T97"/>
    <mergeCell ref="M97:N97"/>
    <mergeCell ref="M98:N98"/>
    <mergeCell ref="O98:P98"/>
    <mergeCell ref="Q98:R98"/>
    <mergeCell ref="S98:T98"/>
    <mergeCell ref="Q95:R95"/>
    <mergeCell ref="S95:T95"/>
    <mergeCell ref="M93:N93"/>
    <mergeCell ref="M94:N94"/>
    <mergeCell ref="O94:P94"/>
    <mergeCell ref="Q94:R94"/>
    <mergeCell ref="S94:T94"/>
    <mergeCell ref="M95:N95"/>
    <mergeCell ref="O95:P95"/>
    <mergeCell ref="M91:N91"/>
    <mergeCell ref="O91:P91"/>
    <mergeCell ref="O93:P93"/>
    <mergeCell ref="Q93:R93"/>
    <mergeCell ref="Q91:R91"/>
    <mergeCell ref="S91:T91"/>
    <mergeCell ref="M92:N92"/>
    <mergeCell ref="O92:P92"/>
    <mergeCell ref="Q92:R92"/>
    <mergeCell ref="S92:T92"/>
    <mergeCell ref="S93:T93"/>
    <mergeCell ref="M85:N85"/>
    <mergeCell ref="O85:P85"/>
    <mergeCell ref="Q85:R85"/>
    <mergeCell ref="S85:T85"/>
    <mergeCell ref="O86:P86"/>
    <mergeCell ref="Q86:R86"/>
    <mergeCell ref="S86:T86"/>
    <mergeCell ref="M86:N86"/>
    <mergeCell ref="M87:N87"/>
    <mergeCell ref="O87:P87"/>
    <mergeCell ref="Q87:R87"/>
    <mergeCell ref="S87:T87"/>
    <mergeCell ref="Q84:R84"/>
    <mergeCell ref="S84:T84"/>
    <mergeCell ref="M82:N82"/>
    <mergeCell ref="M83:N83"/>
    <mergeCell ref="O83:P83"/>
    <mergeCell ref="Q83:R83"/>
    <mergeCell ref="S83:T83"/>
    <mergeCell ref="M84:N84"/>
    <mergeCell ref="O84:P84"/>
    <mergeCell ref="O49:P49"/>
    <mergeCell ref="Q49:R49"/>
    <mergeCell ref="S49:T49"/>
    <mergeCell ref="M49:N49"/>
    <mergeCell ref="M50:N50"/>
    <mergeCell ref="O50:P50"/>
    <mergeCell ref="Q50:R50"/>
    <mergeCell ref="S50:T50"/>
    <mergeCell ref="M51:N51"/>
    <mergeCell ref="O51:P51"/>
    <mergeCell ref="Q51:R51"/>
    <mergeCell ref="S51:T51"/>
    <mergeCell ref="M40:N40"/>
    <mergeCell ref="S40:T40"/>
    <mergeCell ref="M42:N42"/>
    <mergeCell ref="M43:N43"/>
    <mergeCell ref="O43:P43"/>
    <mergeCell ref="Q43:R43"/>
    <mergeCell ref="S43:T43"/>
    <mergeCell ref="M48:N48"/>
    <mergeCell ref="O48:P48"/>
    <mergeCell ref="Q48:R48"/>
    <mergeCell ref="S48:T48"/>
    <mergeCell ref="O40:P40"/>
    <mergeCell ref="Q40:R40"/>
    <mergeCell ref="M41:N41"/>
    <mergeCell ref="O41:P41"/>
    <mergeCell ref="Q41:R41"/>
    <mergeCell ref="S41:T41"/>
    <mergeCell ref="S42:T42"/>
    <mergeCell ref="O45:P45"/>
    <mergeCell ref="Q45:R45"/>
    <mergeCell ref="O42:P42"/>
    <mergeCell ref="Q42:R42"/>
    <mergeCell ref="M44:N44"/>
    <mergeCell ref="O44:P44"/>
    <mergeCell ref="M38:N38"/>
    <mergeCell ref="O38:P38"/>
    <mergeCell ref="Q38:R38"/>
    <mergeCell ref="S38:T38"/>
    <mergeCell ref="K38:L38"/>
    <mergeCell ref="K39:L39"/>
    <mergeCell ref="M39:N39"/>
    <mergeCell ref="O39:P39"/>
    <mergeCell ref="Q39:R39"/>
    <mergeCell ref="S39:T39"/>
    <mergeCell ref="M35:N35"/>
    <mergeCell ref="O35:P35"/>
    <mergeCell ref="M37:N37"/>
    <mergeCell ref="O37:P37"/>
    <mergeCell ref="Q37:R37"/>
    <mergeCell ref="S37:T37"/>
    <mergeCell ref="U37:V37"/>
    <mergeCell ref="K33:L33"/>
    <mergeCell ref="K34:L34"/>
    <mergeCell ref="M34:N34"/>
    <mergeCell ref="O34:P34"/>
    <mergeCell ref="Q34:R34"/>
    <mergeCell ref="S34:T34"/>
    <mergeCell ref="M33:N33"/>
    <mergeCell ref="O33:P33"/>
    <mergeCell ref="Q33:R33"/>
    <mergeCell ref="S33:T33"/>
    <mergeCell ref="D7:D8"/>
    <mergeCell ref="D9:D11"/>
    <mergeCell ref="B7:C8"/>
    <mergeCell ref="E7:G7"/>
    <mergeCell ref="H7:H8"/>
    <mergeCell ref="I7:I8"/>
    <mergeCell ref="J7:J8"/>
    <mergeCell ref="F8:G8"/>
    <mergeCell ref="B9:C35"/>
    <mergeCell ref="D33:D35"/>
    <mergeCell ref="F33:G33"/>
    <mergeCell ref="F34:G34"/>
    <mergeCell ref="Y33:Y35"/>
    <mergeCell ref="K36:L36"/>
    <mergeCell ref="M36:N36"/>
    <mergeCell ref="O36:P36"/>
    <mergeCell ref="X2:Y2"/>
    <mergeCell ref="P3:Y3"/>
    <mergeCell ref="P4:S4"/>
    <mergeCell ref="T4:V4"/>
    <mergeCell ref="W4:Y4"/>
    <mergeCell ref="U6:Y6"/>
    <mergeCell ref="B2:U2"/>
    <mergeCell ref="V2:W2"/>
    <mergeCell ref="B3:B4"/>
    <mergeCell ref="C3:E4"/>
    <mergeCell ref="F3:G4"/>
    <mergeCell ref="H3:J4"/>
    <mergeCell ref="K3:O4"/>
    <mergeCell ref="C5:E5"/>
    <mergeCell ref="F5:G5"/>
    <mergeCell ref="H5:J5"/>
    <mergeCell ref="K5:O5"/>
    <mergeCell ref="P5:S5"/>
    <mergeCell ref="T5:V5"/>
    <mergeCell ref="W5:Y5"/>
    <mergeCell ref="W69:X69"/>
    <mergeCell ref="W70:X72"/>
    <mergeCell ref="U73:V73"/>
    <mergeCell ref="W73:X73"/>
    <mergeCell ref="U74:V74"/>
    <mergeCell ref="W74:X74"/>
    <mergeCell ref="W75:X75"/>
    <mergeCell ref="Q30:R30"/>
    <mergeCell ref="S30:T30"/>
    <mergeCell ref="Q31:R31"/>
    <mergeCell ref="S31:T31"/>
    <mergeCell ref="U31:V31"/>
    <mergeCell ref="Q32:R32"/>
    <mergeCell ref="S32:T32"/>
    <mergeCell ref="U36:V36"/>
    <mergeCell ref="W36:X36"/>
    <mergeCell ref="U32:V32"/>
    <mergeCell ref="Q36:R36"/>
    <mergeCell ref="S36:T36"/>
    <mergeCell ref="Q35:R35"/>
    <mergeCell ref="S35:T35"/>
    <mergeCell ref="Q57:R57"/>
    <mergeCell ref="Q55:R55"/>
    <mergeCell ref="S55:T55"/>
    <mergeCell ref="Y37:Y66"/>
    <mergeCell ref="U38:V38"/>
    <mergeCell ref="U70:V70"/>
    <mergeCell ref="U71:V71"/>
    <mergeCell ref="U65:V65"/>
    <mergeCell ref="U66:V66"/>
    <mergeCell ref="U67:V68"/>
    <mergeCell ref="W67:X68"/>
    <mergeCell ref="Y67:Y68"/>
    <mergeCell ref="U69:V69"/>
    <mergeCell ref="Y70:Y72"/>
    <mergeCell ref="U72:V7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U63:V63"/>
    <mergeCell ref="U64:V64"/>
    <mergeCell ref="U48:V48"/>
    <mergeCell ref="U49:V49"/>
    <mergeCell ref="U50:V50"/>
    <mergeCell ref="U51:V51"/>
    <mergeCell ref="U52:V52"/>
    <mergeCell ref="U33:V33"/>
    <mergeCell ref="W33:X35"/>
    <mergeCell ref="U34:V34"/>
    <mergeCell ref="U35:V35"/>
    <mergeCell ref="W37:X66"/>
    <mergeCell ref="U39:V39"/>
    <mergeCell ref="U40:V40"/>
    <mergeCell ref="U41:V41"/>
    <mergeCell ref="U42:V42"/>
    <mergeCell ref="U43:V43"/>
    <mergeCell ref="U44:V44"/>
    <mergeCell ref="U45:V45"/>
    <mergeCell ref="U46:V46"/>
    <mergeCell ref="U47:V47"/>
    <mergeCell ref="K67:L68"/>
    <mergeCell ref="K69:L69"/>
    <mergeCell ref="K70:L70"/>
    <mergeCell ref="K71:L71"/>
    <mergeCell ref="B74:J74"/>
    <mergeCell ref="B75:J75"/>
    <mergeCell ref="K72:L72"/>
    <mergeCell ref="K73:L73"/>
    <mergeCell ref="K74:L74"/>
    <mergeCell ref="K59:L59"/>
    <mergeCell ref="K60:L60"/>
    <mergeCell ref="K61:L61"/>
    <mergeCell ref="K62:L62"/>
    <mergeCell ref="K63:L63"/>
    <mergeCell ref="F35:G35"/>
    <mergeCell ref="B37:C66"/>
    <mergeCell ref="F37:G37"/>
    <mergeCell ref="F38:G38"/>
    <mergeCell ref="F39:G39"/>
    <mergeCell ref="G42:G50"/>
    <mergeCell ref="G51:G59"/>
    <mergeCell ref="K64:L64"/>
    <mergeCell ref="K65:L65"/>
    <mergeCell ref="K66:L66"/>
    <mergeCell ref="B36:G36"/>
    <mergeCell ref="K35:L35"/>
    <mergeCell ref="K51:L51"/>
    <mergeCell ref="K52:L52"/>
    <mergeCell ref="K53:L53"/>
    <mergeCell ref="K54:L54"/>
    <mergeCell ref="K55:L55"/>
    <mergeCell ref="K56:L56"/>
    <mergeCell ref="K57:L57"/>
    <mergeCell ref="K58:L58"/>
    <mergeCell ref="K148:L148"/>
    <mergeCell ref="K149:L149"/>
    <mergeCell ref="K141:L141"/>
    <mergeCell ref="K142:L142"/>
    <mergeCell ref="K143:L143"/>
    <mergeCell ref="K144:L144"/>
    <mergeCell ref="K145:L145"/>
    <mergeCell ref="K146:L146"/>
    <mergeCell ref="K147:L14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G104:G112"/>
    <mergeCell ref="G116:G124"/>
    <mergeCell ref="G128:G136"/>
    <mergeCell ref="G141:G149"/>
    <mergeCell ref="G60:G66"/>
    <mergeCell ref="B67:G68"/>
    <mergeCell ref="H67:H68"/>
    <mergeCell ref="I67:I68"/>
    <mergeCell ref="J67:J68"/>
    <mergeCell ref="B69:G69"/>
    <mergeCell ref="B70:E73"/>
    <mergeCell ref="F70:J70"/>
    <mergeCell ref="F71:J71"/>
    <mergeCell ref="K46:L46"/>
    <mergeCell ref="K47:L47"/>
    <mergeCell ref="K48:L48"/>
    <mergeCell ref="K49:L49"/>
    <mergeCell ref="K50:L50"/>
    <mergeCell ref="F72:J72"/>
    <mergeCell ref="F73:J73"/>
    <mergeCell ref="G79:G87"/>
    <mergeCell ref="G91:G100"/>
    <mergeCell ref="K83:L83"/>
    <mergeCell ref="K84:L84"/>
    <mergeCell ref="K85:L85"/>
    <mergeCell ref="K86:L86"/>
    <mergeCell ref="K87:L87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F40:G40"/>
    <mergeCell ref="K40:L40"/>
    <mergeCell ref="F41:G41"/>
    <mergeCell ref="K41:L41"/>
    <mergeCell ref="K37:L37"/>
    <mergeCell ref="K42:L42"/>
    <mergeCell ref="K43:L43"/>
    <mergeCell ref="K44:L44"/>
    <mergeCell ref="K45:L45"/>
    <mergeCell ref="K30:L30"/>
    <mergeCell ref="K32:L32"/>
    <mergeCell ref="F28:G28"/>
    <mergeCell ref="D29:D32"/>
    <mergeCell ref="F29:G29"/>
    <mergeCell ref="W29:X32"/>
    <mergeCell ref="Y29:Y32"/>
    <mergeCell ref="U30:V30"/>
    <mergeCell ref="F32:G32"/>
    <mergeCell ref="F30:G30"/>
    <mergeCell ref="F31:G31"/>
    <mergeCell ref="K31:L31"/>
    <mergeCell ref="M31:N31"/>
    <mergeCell ref="O31:P31"/>
    <mergeCell ref="M32:N32"/>
    <mergeCell ref="O32:P32"/>
    <mergeCell ref="M30:N30"/>
    <mergeCell ref="O30:P30"/>
    <mergeCell ref="K29:L29"/>
    <mergeCell ref="M29:N29"/>
    <mergeCell ref="O29:P29"/>
    <mergeCell ref="Q29:R29"/>
    <mergeCell ref="S29:T29"/>
    <mergeCell ref="U29:V29"/>
    <mergeCell ref="O25:P25"/>
    <mergeCell ref="Q25:R25"/>
    <mergeCell ref="M28:N28"/>
    <mergeCell ref="O28:P28"/>
    <mergeCell ref="Q28:R28"/>
    <mergeCell ref="S28:T28"/>
    <mergeCell ref="U28:V28"/>
    <mergeCell ref="S27:T27"/>
    <mergeCell ref="U27:V27"/>
    <mergeCell ref="D24:D28"/>
    <mergeCell ref="F24:G24"/>
    <mergeCell ref="X24:X28"/>
    <mergeCell ref="Y24:Y28"/>
    <mergeCell ref="F25:G25"/>
    <mergeCell ref="M25:N25"/>
    <mergeCell ref="U26:V26"/>
    <mergeCell ref="S25:T25"/>
    <mergeCell ref="U25:V25"/>
    <mergeCell ref="K25:L25"/>
    <mergeCell ref="K26:L26"/>
    <mergeCell ref="M26:N26"/>
    <mergeCell ref="O26:P26"/>
    <mergeCell ref="Q26:R26"/>
    <mergeCell ref="S26:T26"/>
    <mergeCell ref="F26:G26"/>
    <mergeCell ref="F27:G27"/>
    <mergeCell ref="K27:L27"/>
    <mergeCell ref="M27:N27"/>
    <mergeCell ref="O27:P27"/>
    <mergeCell ref="Q27:R27"/>
    <mergeCell ref="K28:L28"/>
    <mergeCell ref="S24:T24"/>
    <mergeCell ref="U24:V24"/>
    <mergeCell ref="D22:D23"/>
    <mergeCell ref="F22:G22"/>
    <mergeCell ref="F23:G23"/>
    <mergeCell ref="K24:L24"/>
    <mergeCell ref="M24:N24"/>
    <mergeCell ref="O24:P24"/>
    <mergeCell ref="Q24:R24"/>
    <mergeCell ref="U23:V23"/>
    <mergeCell ref="Y20:Y23"/>
    <mergeCell ref="X22:X23"/>
    <mergeCell ref="K19:L19"/>
    <mergeCell ref="M19:N19"/>
    <mergeCell ref="Q21:R21"/>
    <mergeCell ref="S21:T21"/>
    <mergeCell ref="U21:V21"/>
    <mergeCell ref="K22:L22"/>
    <mergeCell ref="U22:V22"/>
    <mergeCell ref="M22:N22"/>
    <mergeCell ref="O22:P22"/>
    <mergeCell ref="K23:L23"/>
    <mergeCell ref="M23:N23"/>
    <mergeCell ref="O23:P23"/>
    <mergeCell ref="Q22:R22"/>
    <mergeCell ref="S22:T22"/>
    <mergeCell ref="Q23:R23"/>
    <mergeCell ref="S23:T23"/>
    <mergeCell ref="F21:G21"/>
    <mergeCell ref="K21:L21"/>
    <mergeCell ref="D18:D21"/>
    <mergeCell ref="F18:G18"/>
    <mergeCell ref="S18:T18"/>
    <mergeCell ref="U18:V18"/>
    <mergeCell ref="Y18:Y19"/>
    <mergeCell ref="F19:G19"/>
    <mergeCell ref="U20:V20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X18:X19"/>
    <mergeCell ref="X20:X21"/>
    <mergeCell ref="M21:N21"/>
    <mergeCell ref="O21:P21"/>
    <mergeCell ref="K17:L17"/>
    <mergeCell ref="K18:L18"/>
    <mergeCell ref="M18:N18"/>
    <mergeCell ref="O18:P18"/>
    <mergeCell ref="Q18:R18"/>
    <mergeCell ref="D15:D17"/>
    <mergeCell ref="F15:G15"/>
    <mergeCell ref="F16:G16"/>
    <mergeCell ref="F17:G17"/>
    <mergeCell ref="M17:N17"/>
    <mergeCell ref="O17:P17"/>
    <mergeCell ref="Q17:R17"/>
    <mergeCell ref="D12:D14"/>
    <mergeCell ref="F12:G12"/>
    <mergeCell ref="M12:N12"/>
    <mergeCell ref="O12:P12"/>
    <mergeCell ref="Q12:R12"/>
    <mergeCell ref="Q13:R13"/>
    <mergeCell ref="M16:N16"/>
    <mergeCell ref="O16:P16"/>
    <mergeCell ref="K12:L12"/>
    <mergeCell ref="K13:L13"/>
    <mergeCell ref="K15:L15"/>
    <mergeCell ref="M15:N15"/>
    <mergeCell ref="O15:P15"/>
    <mergeCell ref="Q15:R15"/>
    <mergeCell ref="K16:L16"/>
    <mergeCell ref="Q16:R16"/>
    <mergeCell ref="M13:N13"/>
    <mergeCell ref="O13:P13"/>
    <mergeCell ref="F13:G13"/>
    <mergeCell ref="F14:G14"/>
    <mergeCell ref="K14:L14"/>
    <mergeCell ref="M14:N14"/>
    <mergeCell ref="O14:P14"/>
    <mergeCell ref="Q14:R14"/>
    <mergeCell ref="F11:G11"/>
    <mergeCell ref="S16:T16"/>
    <mergeCell ref="U16:V16"/>
    <mergeCell ref="S17:T17"/>
    <mergeCell ref="U17:V17"/>
    <mergeCell ref="S9:T9"/>
    <mergeCell ref="U9:V9"/>
    <mergeCell ref="Y9:Y17"/>
    <mergeCell ref="U10:V10"/>
    <mergeCell ref="U11:V11"/>
    <mergeCell ref="U12:V12"/>
    <mergeCell ref="X15:X17"/>
    <mergeCell ref="S11:T11"/>
    <mergeCell ref="S12:T12"/>
    <mergeCell ref="X9:X11"/>
    <mergeCell ref="X12:X14"/>
    <mergeCell ref="S13:T13"/>
    <mergeCell ref="U13:V13"/>
    <mergeCell ref="S14:T14"/>
    <mergeCell ref="U14:V14"/>
    <mergeCell ref="S15:T15"/>
    <mergeCell ref="U15:V15"/>
    <mergeCell ref="S10:T10"/>
    <mergeCell ref="K9:L9"/>
    <mergeCell ref="M9:N9"/>
    <mergeCell ref="O9:P9"/>
    <mergeCell ref="Q9:R9"/>
    <mergeCell ref="M11:N11"/>
    <mergeCell ref="O11:P11"/>
    <mergeCell ref="F9:G9"/>
    <mergeCell ref="F10:G10"/>
    <mergeCell ref="K10:L10"/>
    <mergeCell ref="M10:N10"/>
    <mergeCell ref="O10:P10"/>
    <mergeCell ref="Q10:R10"/>
    <mergeCell ref="K11:L11"/>
    <mergeCell ref="Q11:R11"/>
    <mergeCell ref="O7:R7"/>
    <mergeCell ref="S7:V7"/>
    <mergeCell ref="W7:X8"/>
    <mergeCell ref="Y7:Y8"/>
    <mergeCell ref="O8:P8"/>
    <mergeCell ref="Q8:R8"/>
    <mergeCell ref="S8:T8"/>
    <mergeCell ref="U8:V8"/>
    <mergeCell ref="K7:N7"/>
    <mergeCell ref="K8:L8"/>
    <mergeCell ref="M8:N8"/>
    <mergeCell ref="Q132:R132"/>
    <mergeCell ref="S132:T132"/>
    <mergeCell ref="M130:N130"/>
    <mergeCell ref="M131:N131"/>
    <mergeCell ref="O131:P131"/>
    <mergeCell ref="Q131:R131"/>
    <mergeCell ref="S131:T131"/>
    <mergeCell ref="M132:N132"/>
    <mergeCell ref="O132:P132"/>
    <mergeCell ref="M128:N128"/>
    <mergeCell ref="O128:P128"/>
    <mergeCell ref="O130:P130"/>
    <mergeCell ref="Q130:R130"/>
    <mergeCell ref="Q128:R128"/>
    <mergeCell ref="S128:T128"/>
    <mergeCell ref="M129:N129"/>
    <mergeCell ref="O129:P129"/>
    <mergeCell ref="Q129:R129"/>
    <mergeCell ref="S129:T129"/>
    <mergeCell ref="S130:T130"/>
    <mergeCell ref="M122:N122"/>
    <mergeCell ref="O122:P122"/>
    <mergeCell ref="Q122:R122"/>
    <mergeCell ref="S122:T122"/>
    <mergeCell ref="O123:P123"/>
    <mergeCell ref="Q123:R123"/>
    <mergeCell ref="S123:T123"/>
    <mergeCell ref="M123:N123"/>
    <mergeCell ref="M124:N124"/>
    <mergeCell ref="O124:P124"/>
    <mergeCell ref="Q124:R124"/>
    <mergeCell ref="S124:T124"/>
    <mergeCell ref="Q121:R121"/>
    <mergeCell ref="S121:T121"/>
    <mergeCell ref="M119:N119"/>
    <mergeCell ref="M120:N120"/>
    <mergeCell ref="O120:P120"/>
    <mergeCell ref="Q120:R120"/>
    <mergeCell ref="S120:T120"/>
    <mergeCell ref="M121:N121"/>
    <mergeCell ref="O121:P121"/>
    <mergeCell ref="Q112:R112"/>
    <mergeCell ref="M116:N116"/>
    <mergeCell ref="O116:P116"/>
    <mergeCell ref="Q116:R116"/>
    <mergeCell ref="S116:T116"/>
    <mergeCell ref="M117:N117"/>
    <mergeCell ref="S117:T117"/>
    <mergeCell ref="O119:P119"/>
    <mergeCell ref="Q119:R119"/>
    <mergeCell ref="O117:P117"/>
    <mergeCell ref="Q117:R117"/>
    <mergeCell ref="M118:N118"/>
    <mergeCell ref="O118:P118"/>
    <mergeCell ref="Q118:R118"/>
    <mergeCell ref="S118:T118"/>
    <mergeCell ref="S119:T119"/>
    <mergeCell ref="U119:V119"/>
    <mergeCell ref="M107:N107"/>
    <mergeCell ref="O107:P107"/>
    <mergeCell ref="Q107:R107"/>
    <mergeCell ref="S107:T107"/>
    <mergeCell ref="O108:P108"/>
    <mergeCell ref="Q108:R108"/>
    <mergeCell ref="S108:T108"/>
    <mergeCell ref="M108:N108"/>
    <mergeCell ref="M109:N109"/>
    <mergeCell ref="O109:P109"/>
    <mergeCell ref="Q109:R109"/>
    <mergeCell ref="S109:T109"/>
    <mergeCell ref="M110:N110"/>
    <mergeCell ref="O110:P110"/>
    <mergeCell ref="Q110:R110"/>
    <mergeCell ref="S110:T110"/>
    <mergeCell ref="M111:N111"/>
    <mergeCell ref="O111:P111"/>
    <mergeCell ref="Q111:R111"/>
    <mergeCell ref="S111:T111"/>
    <mergeCell ref="M112:N112"/>
    <mergeCell ref="S112:T112"/>
    <mergeCell ref="O112:P112"/>
    <mergeCell ref="U107:V107"/>
    <mergeCell ref="U108:V108"/>
    <mergeCell ref="U109:V109"/>
    <mergeCell ref="U110:V110"/>
    <mergeCell ref="U111:V111"/>
    <mergeCell ref="U112:V112"/>
    <mergeCell ref="U116:V116"/>
    <mergeCell ref="U117:V117"/>
    <mergeCell ref="U118:V118"/>
    <mergeCell ref="U95:V95"/>
    <mergeCell ref="U96:V96"/>
    <mergeCell ref="U97:V97"/>
    <mergeCell ref="U98:V98"/>
    <mergeCell ref="U99:V99"/>
    <mergeCell ref="U100:V100"/>
    <mergeCell ref="U104:V104"/>
    <mergeCell ref="U105:V105"/>
    <mergeCell ref="U106:V106"/>
    <mergeCell ref="U83:V83"/>
    <mergeCell ref="U84:V84"/>
    <mergeCell ref="U85:V85"/>
    <mergeCell ref="U86:V86"/>
    <mergeCell ref="U87:V87"/>
    <mergeCell ref="U91:V91"/>
    <mergeCell ref="U92:V92"/>
    <mergeCell ref="U93:V93"/>
    <mergeCell ref="U94:V94"/>
    <mergeCell ref="M72:N72"/>
    <mergeCell ref="O72:P72"/>
    <mergeCell ref="K75:N75"/>
    <mergeCell ref="O75:R75"/>
    <mergeCell ref="S75:V75"/>
    <mergeCell ref="U79:V79"/>
    <mergeCell ref="U80:V80"/>
    <mergeCell ref="U81:V81"/>
    <mergeCell ref="U82:V82"/>
    <mergeCell ref="K79:L79"/>
    <mergeCell ref="K80:L80"/>
    <mergeCell ref="K81:L81"/>
    <mergeCell ref="K82:L82"/>
    <mergeCell ref="Q72:R72"/>
    <mergeCell ref="S72:T72"/>
    <mergeCell ref="M73:N73"/>
    <mergeCell ref="O73:P73"/>
    <mergeCell ref="Q73:R73"/>
    <mergeCell ref="S73:T73"/>
    <mergeCell ref="M74:N74"/>
    <mergeCell ref="S74:T74"/>
    <mergeCell ref="O74:P74"/>
    <mergeCell ref="Q74:R74"/>
    <mergeCell ref="M79:N79"/>
    <mergeCell ref="M69:N69"/>
    <mergeCell ref="O69:P69"/>
    <mergeCell ref="Q69:R69"/>
    <mergeCell ref="S69:T69"/>
    <mergeCell ref="O70:P70"/>
    <mergeCell ref="Q70:R70"/>
    <mergeCell ref="S70:T70"/>
    <mergeCell ref="M70:N70"/>
    <mergeCell ref="M71:N71"/>
    <mergeCell ref="O71:P71"/>
    <mergeCell ref="Q71:R71"/>
    <mergeCell ref="S71:T71"/>
    <mergeCell ref="U130:V130"/>
    <mergeCell ref="U131:V131"/>
    <mergeCell ref="U132:V132"/>
    <mergeCell ref="U120:V120"/>
    <mergeCell ref="U121:V121"/>
    <mergeCell ref="U122:V122"/>
    <mergeCell ref="U123:V123"/>
    <mergeCell ref="U124:V124"/>
    <mergeCell ref="U128:V128"/>
    <mergeCell ref="U129:V129"/>
    <mergeCell ref="O82:P82"/>
    <mergeCell ref="Q82:R82"/>
    <mergeCell ref="O80:P80"/>
    <mergeCell ref="Q80:R80"/>
    <mergeCell ref="M81:N81"/>
    <mergeCell ref="O81:P81"/>
    <mergeCell ref="Q81:R81"/>
    <mergeCell ref="S81:T81"/>
    <mergeCell ref="S82:T82"/>
    <mergeCell ref="Q67:R68"/>
    <mergeCell ref="S67:T68"/>
    <mergeCell ref="M65:N65"/>
    <mergeCell ref="M66:N66"/>
    <mergeCell ref="O66:P66"/>
    <mergeCell ref="Q66:R66"/>
    <mergeCell ref="S66:T66"/>
    <mergeCell ref="M67:N68"/>
    <mergeCell ref="O67:P68"/>
    <mergeCell ref="M63:N63"/>
    <mergeCell ref="O63:P63"/>
    <mergeCell ref="O65:P65"/>
    <mergeCell ref="Q65:R65"/>
    <mergeCell ref="Q63:R63"/>
    <mergeCell ref="S63:T63"/>
    <mergeCell ref="M64:N64"/>
    <mergeCell ref="O64:P64"/>
    <mergeCell ref="Q64:R64"/>
    <mergeCell ref="S64:T64"/>
    <mergeCell ref="S65:T65"/>
    <mergeCell ref="M60:N60"/>
    <mergeCell ref="O60:P60"/>
    <mergeCell ref="Q60:R60"/>
    <mergeCell ref="S60:T60"/>
    <mergeCell ref="O61:P61"/>
    <mergeCell ref="Q61:R61"/>
    <mergeCell ref="S61:T61"/>
    <mergeCell ref="M61:N61"/>
    <mergeCell ref="M62:N62"/>
    <mergeCell ref="O62:P62"/>
    <mergeCell ref="Q62:R62"/>
    <mergeCell ref="S62:T62"/>
    <mergeCell ref="M55:N55"/>
    <mergeCell ref="O55:P55"/>
    <mergeCell ref="Q59:R59"/>
    <mergeCell ref="S59:T59"/>
    <mergeCell ref="M57:N57"/>
    <mergeCell ref="M58:N58"/>
    <mergeCell ref="O58:P58"/>
    <mergeCell ref="Q58:R58"/>
    <mergeCell ref="S58:T58"/>
    <mergeCell ref="M59:N59"/>
    <mergeCell ref="O59:P59"/>
    <mergeCell ref="O57:P57"/>
    <mergeCell ref="M56:N56"/>
    <mergeCell ref="O56:P56"/>
    <mergeCell ref="Q56:R56"/>
    <mergeCell ref="S56:T56"/>
    <mergeCell ref="S57:T57"/>
    <mergeCell ref="M52:N52"/>
    <mergeCell ref="O52:P52"/>
    <mergeCell ref="Q52:R52"/>
    <mergeCell ref="S52:T52"/>
    <mergeCell ref="O53:P53"/>
    <mergeCell ref="Q53:R53"/>
    <mergeCell ref="S53:T53"/>
    <mergeCell ref="M53:N53"/>
    <mergeCell ref="M54:N54"/>
    <mergeCell ref="O54:P54"/>
    <mergeCell ref="Q54:R54"/>
    <mergeCell ref="S54:T54"/>
  </mergeCells>
  <phoneticPr fontId="64" type="noConversion"/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2"/>
  <sheetViews>
    <sheetView workbookViewId="0"/>
  </sheetViews>
  <sheetFormatPr defaultColWidth="12.6328125" defaultRowHeight="15.75" customHeight="1"/>
  <cols>
    <col min="1" max="1" width="19.453125" customWidth="1"/>
    <col min="2" max="2" width="32.6328125" customWidth="1"/>
    <col min="3" max="3" width="28" customWidth="1"/>
    <col min="4" max="4" width="17.08984375" customWidth="1"/>
    <col min="5" max="5" width="16.90625" customWidth="1"/>
    <col min="6" max="6" width="32.6328125" customWidth="1"/>
  </cols>
  <sheetData>
    <row r="1" spans="1:27" ht="15.75" customHeight="1">
      <c r="A1" s="201" t="s">
        <v>455</v>
      </c>
      <c r="B1" s="201" t="s">
        <v>106</v>
      </c>
      <c r="C1" s="201" t="s">
        <v>456</v>
      </c>
      <c r="D1" s="201" t="s">
        <v>457</v>
      </c>
      <c r="E1" s="201" t="s">
        <v>458</v>
      </c>
      <c r="F1" s="201" t="s">
        <v>459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</row>
    <row r="2" spans="1:27" ht="15.75" customHeight="1">
      <c r="A2" s="190" t="s">
        <v>406</v>
      </c>
      <c r="B2" s="190" t="s">
        <v>452</v>
      </c>
      <c r="C2" s="190" t="s">
        <v>463</v>
      </c>
      <c r="D2" s="190" t="s">
        <v>464</v>
      </c>
      <c r="E2" s="190" t="s">
        <v>465</v>
      </c>
      <c r="F2" s="190" t="s">
        <v>466</v>
      </c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5.75" customHeight="1">
      <c r="A3" s="190" t="s">
        <v>406</v>
      </c>
      <c r="B3" s="193" t="s">
        <v>468</v>
      </c>
      <c r="C3" s="190" t="s">
        <v>469</v>
      </c>
      <c r="D3" s="190" t="s">
        <v>470</v>
      </c>
      <c r="E3" s="190" t="s">
        <v>471</v>
      </c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5.75" customHeight="1">
      <c r="A4" s="190" t="s">
        <v>406</v>
      </c>
      <c r="B4" s="193" t="s">
        <v>472</v>
      </c>
      <c r="C4" s="190" t="s">
        <v>473</v>
      </c>
      <c r="D4" s="190" t="s">
        <v>464</v>
      </c>
      <c r="E4" s="190" t="s">
        <v>474</v>
      </c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</row>
    <row r="5" spans="1:27" ht="15.75" customHeight="1">
      <c r="A5" s="190" t="s">
        <v>406</v>
      </c>
      <c r="B5" s="193" t="s">
        <v>444</v>
      </c>
      <c r="C5" s="190" t="s">
        <v>475</v>
      </c>
      <c r="D5" s="190" t="s">
        <v>476</v>
      </c>
      <c r="E5" s="190" t="s">
        <v>477</v>
      </c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</row>
    <row r="6" spans="1:27" ht="15.75" customHeight="1">
      <c r="A6" s="190" t="s">
        <v>406</v>
      </c>
      <c r="B6" s="193" t="s">
        <v>444</v>
      </c>
      <c r="C6" s="190" t="s">
        <v>475</v>
      </c>
      <c r="D6" s="190" t="s">
        <v>464</v>
      </c>
      <c r="E6" s="190" t="s">
        <v>479</v>
      </c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</row>
    <row r="7" spans="1:27" ht="15.75" customHeight="1">
      <c r="A7" s="190" t="s">
        <v>114</v>
      </c>
      <c r="B7" s="193" t="s">
        <v>461</v>
      </c>
      <c r="C7" s="190" t="s">
        <v>480</v>
      </c>
      <c r="D7" s="190" t="s">
        <v>481</v>
      </c>
      <c r="E7" s="190" t="s">
        <v>482</v>
      </c>
      <c r="F7" s="190" t="s">
        <v>483</v>
      </c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</row>
    <row r="8" spans="1:27" ht="15.75" customHeight="1">
      <c r="A8" s="190" t="s">
        <v>114</v>
      </c>
      <c r="B8" s="190" t="s">
        <v>484</v>
      </c>
      <c r="C8" s="190" t="s">
        <v>485</v>
      </c>
      <c r="D8" s="190" t="s">
        <v>486</v>
      </c>
      <c r="E8" s="190" t="s">
        <v>487</v>
      </c>
      <c r="F8" s="190" t="s">
        <v>488</v>
      </c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</row>
    <row r="9" spans="1:27" ht="15.75" customHeight="1">
      <c r="A9" s="190" t="s">
        <v>114</v>
      </c>
      <c r="B9" s="190" t="s">
        <v>489</v>
      </c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</row>
    <row r="10" spans="1:27" ht="15.75" customHeight="1">
      <c r="A10" s="190" t="s">
        <v>403</v>
      </c>
      <c r="B10" s="190" t="s">
        <v>489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</row>
    <row r="11" spans="1:27" ht="15.75" customHeight="1">
      <c r="A11" s="202" t="s">
        <v>403</v>
      </c>
      <c r="B11" s="202" t="s">
        <v>490</v>
      </c>
      <c r="C11" s="202" t="s">
        <v>491</v>
      </c>
      <c r="D11" s="202" t="s">
        <v>492</v>
      </c>
      <c r="E11" s="202" t="s">
        <v>493</v>
      </c>
      <c r="F11" s="202" t="s">
        <v>494</v>
      </c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</row>
    <row r="12" spans="1:27" ht="15.75" customHeight="1">
      <c r="A12" s="202" t="s">
        <v>114</v>
      </c>
      <c r="B12" s="202" t="s">
        <v>495</v>
      </c>
      <c r="C12" s="202" t="s">
        <v>496</v>
      </c>
      <c r="D12" s="202" t="s">
        <v>497</v>
      </c>
      <c r="E12" s="202" t="s">
        <v>498</v>
      </c>
      <c r="F12" s="202" t="s">
        <v>494</v>
      </c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</row>
    <row r="13" spans="1:27" ht="15.75" customHeight="1">
      <c r="A13" s="202" t="s">
        <v>114</v>
      </c>
      <c r="B13" s="202" t="s">
        <v>499</v>
      </c>
      <c r="C13" s="202" t="s">
        <v>500</v>
      </c>
      <c r="D13" s="202" t="s">
        <v>501</v>
      </c>
      <c r="E13" s="203"/>
      <c r="F13" s="202" t="s">
        <v>494</v>
      </c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</row>
    <row r="14" spans="1:27" ht="15.75" customHeight="1">
      <c r="A14" s="202" t="s">
        <v>437</v>
      </c>
      <c r="B14" s="202" t="s">
        <v>502</v>
      </c>
      <c r="C14" s="202" t="s">
        <v>503</v>
      </c>
      <c r="D14" s="202"/>
      <c r="E14" s="203"/>
      <c r="F14" s="202" t="s">
        <v>494</v>
      </c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</row>
    <row r="15" spans="1:27" ht="15.75" customHeight="1">
      <c r="A15" s="202" t="s">
        <v>504</v>
      </c>
      <c r="B15" s="202" t="s">
        <v>505</v>
      </c>
      <c r="C15" s="202" t="s">
        <v>506</v>
      </c>
      <c r="D15" s="202" t="s">
        <v>507</v>
      </c>
      <c r="E15" s="202" t="s">
        <v>508</v>
      </c>
      <c r="F15" s="202" t="s">
        <v>509</v>
      </c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</row>
    <row r="16" spans="1:27" ht="15.75" customHeight="1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</row>
    <row r="17" spans="1:27" ht="15.75" customHeight="1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</row>
    <row r="18" spans="1:27" ht="15.75" customHeight="1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</row>
    <row r="19" spans="1:27" ht="15.75" customHeight="1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</row>
    <row r="20" spans="1:27" ht="15.75" customHeight="1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</row>
    <row r="21" spans="1:27" ht="15.75" customHeight="1">
      <c r="A21" s="151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</row>
    <row r="22" spans="1:27" ht="15.75" customHeight="1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</row>
    <row r="23" spans="1:27" ht="15.75" customHeight="1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</row>
    <row r="24" spans="1:27" ht="15.75" customHeight="1">
      <c r="A24" s="151"/>
      <c r="B24" s="151"/>
      <c r="C24" s="190" t="s">
        <v>511</v>
      </c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</row>
    <row r="25" spans="1:27" ht="15.75" customHeight="1">
      <c r="A25" s="151"/>
      <c r="B25" s="151"/>
      <c r="C25" s="190" t="s">
        <v>512</v>
      </c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</row>
    <row r="26" spans="1:27" ht="15.75" customHeight="1">
      <c r="A26" s="151"/>
      <c r="B26" s="151"/>
      <c r="C26" s="190" t="s">
        <v>513</v>
      </c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</row>
    <row r="27" spans="1:27" ht="15.75" customHeight="1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</row>
    <row r="28" spans="1:27" ht="15.75" customHeight="1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</row>
    <row r="29" spans="1:27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</row>
    <row r="30" spans="1:27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</row>
    <row r="31" spans="1:27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</row>
    <row r="32" spans="1:27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</row>
    <row r="33" spans="1:27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</row>
    <row r="34" spans="1:27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</row>
    <row r="35" spans="1:27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</row>
    <row r="36" spans="1:27" ht="15.75" customHeight="1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</row>
    <row r="37" spans="1:27" ht="15.75" customHeight="1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</row>
    <row r="38" spans="1:27" ht="15.75" customHeight="1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</row>
    <row r="39" spans="1:27" ht="15.75" customHeight="1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</row>
    <row r="40" spans="1:27" ht="15.75" customHeight="1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</row>
    <row r="41" spans="1:27" ht="15.75" customHeight="1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</row>
    <row r="42" spans="1:27" ht="15.75" customHeight="1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</row>
    <row r="43" spans="1:27" ht="15.75" customHeight="1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</row>
    <row r="44" spans="1:27" ht="15.75" customHeight="1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</row>
    <row r="45" spans="1:27" ht="15.75" customHeight="1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</row>
    <row r="46" spans="1:27" ht="15.75" customHeight="1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</row>
    <row r="47" spans="1:27" ht="15.75" customHeight="1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</row>
    <row r="48" spans="1:27" ht="15.75" customHeight="1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</row>
    <row r="49" spans="1:27" ht="15.75" customHeight="1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</row>
    <row r="50" spans="1:27" ht="15.75" customHeight="1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</row>
    <row r="51" spans="1:27" ht="15.75" customHeight="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</row>
    <row r="52" spans="1:27" ht="15.75" customHeight="1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</row>
    <row r="53" spans="1:27" ht="15.75" customHeight="1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</row>
    <row r="54" spans="1:27" ht="12.5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</row>
    <row r="55" spans="1:27" ht="12.5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</row>
    <row r="56" spans="1:27" ht="12.5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</row>
    <row r="57" spans="1:27" ht="12.5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</row>
    <row r="58" spans="1:27" ht="12.5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</row>
    <row r="59" spans="1:27" ht="12.5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</row>
    <row r="60" spans="1:27" ht="12.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</row>
    <row r="61" spans="1:27" ht="12.5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</row>
    <row r="62" spans="1:27" ht="12.5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</row>
    <row r="63" spans="1:27" ht="12.5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</row>
    <row r="64" spans="1:27" ht="12.5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</row>
    <row r="65" spans="1:27" ht="12.5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</row>
    <row r="66" spans="1:27" ht="12.5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</row>
    <row r="67" spans="1:27" ht="12.5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</row>
    <row r="68" spans="1:27" ht="12.5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</row>
    <row r="69" spans="1:27" ht="12.5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</row>
    <row r="70" spans="1:27" ht="12.5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</row>
    <row r="71" spans="1:27" ht="12.5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</row>
    <row r="72" spans="1:27" ht="12.5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</row>
    <row r="73" spans="1:27" ht="12.5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</row>
    <row r="74" spans="1:27" ht="12.5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</row>
    <row r="75" spans="1:27" ht="12.5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</row>
    <row r="76" spans="1:27" ht="12.5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</row>
    <row r="77" spans="1:27" ht="12.5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</row>
    <row r="78" spans="1:27" ht="12.5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</row>
    <row r="79" spans="1:27" ht="12.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</row>
    <row r="80" spans="1:27" ht="12.5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</row>
    <row r="81" spans="1:27" ht="12.5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</row>
    <row r="82" spans="1:27" ht="12.5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</row>
    <row r="83" spans="1:27" ht="12.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</row>
    <row r="84" spans="1:27" ht="12.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</row>
    <row r="85" spans="1:27" ht="12.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</row>
    <row r="86" spans="1:27" ht="12.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</row>
    <row r="87" spans="1:27" ht="12.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</row>
    <row r="88" spans="1:27" ht="12.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</row>
    <row r="89" spans="1:27" ht="12.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</row>
    <row r="90" spans="1:27" ht="12.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</row>
    <row r="91" spans="1:27" ht="12.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</row>
    <row r="92" spans="1:27" ht="12.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</row>
    <row r="93" spans="1:27" ht="12.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</row>
    <row r="94" spans="1:27" ht="12.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</row>
    <row r="95" spans="1:27" ht="12.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</row>
    <row r="96" spans="1:27" ht="12.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</row>
    <row r="97" spans="1:27" ht="12.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</row>
    <row r="98" spans="1:27" ht="12.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</row>
    <row r="99" spans="1:27" ht="12.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</row>
    <row r="100" spans="1:27" ht="12.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</row>
    <row r="101" spans="1:27" ht="12.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</row>
    <row r="102" spans="1:27" ht="12.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</row>
    <row r="103" spans="1:27" ht="12.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</row>
    <row r="104" spans="1:27" ht="12.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</row>
    <row r="105" spans="1:27" ht="12.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</row>
    <row r="106" spans="1:27" ht="12.5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</row>
    <row r="107" spans="1:27" ht="12.5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</row>
    <row r="108" spans="1:27" ht="12.5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</row>
    <row r="109" spans="1:27" ht="12.5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</row>
    <row r="110" spans="1:27" ht="12.5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</row>
    <row r="111" spans="1:27" ht="12.5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</row>
    <row r="112" spans="1:27" ht="12.5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</row>
    <row r="113" spans="1:27" ht="12.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</row>
    <row r="114" spans="1:27" ht="12.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</row>
    <row r="115" spans="1:27" ht="12.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</row>
    <row r="116" spans="1:27" ht="12.5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</row>
    <row r="117" spans="1:27" ht="12.5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</row>
    <row r="118" spans="1:27" ht="12.5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</row>
    <row r="119" spans="1:27" ht="12.5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</row>
    <row r="120" spans="1:27" ht="12.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</row>
    <row r="121" spans="1:27" ht="12.5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</row>
    <row r="122" spans="1:27" ht="12.5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</row>
    <row r="123" spans="1:27" ht="12.5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</row>
    <row r="124" spans="1:27" ht="12.5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</row>
    <row r="125" spans="1:27" ht="12.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</row>
    <row r="126" spans="1:27" ht="12.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</row>
    <row r="127" spans="1:27" ht="12.5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</row>
    <row r="128" spans="1:27" ht="12.5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</row>
    <row r="129" spans="1:27" ht="12.5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</row>
    <row r="130" spans="1:27" ht="12.5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</row>
    <row r="131" spans="1:27" ht="12.5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</row>
    <row r="132" spans="1:27" ht="12.5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</row>
    <row r="133" spans="1:27" ht="12.5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</row>
    <row r="134" spans="1:27" ht="12.5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</row>
    <row r="135" spans="1:27" ht="12.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</row>
    <row r="136" spans="1:27" ht="12.5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</row>
    <row r="137" spans="1:27" ht="12.5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</row>
    <row r="138" spans="1:27" ht="12.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</row>
    <row r="139" spans="1:27" ht="12.5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</row>
    <row r="140" spans="1:27" ht="12.5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</row>
    <row r="141" spans="1:27" ht="12.5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</row>
    <row r="142" spans="1:27" ht="12.5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</row>
    <row r="143" spans="1:27" ht="12.5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</row>
    <row r="144" spans="1:27" ht="12.5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</row>
    <row r="145" spans="1:27" ht="12.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</row>
    <row r="146" spans="1:27" ht="12.5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</row>
    <row r="147" spans="1:27" ht="12.5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</row>
    <row r="148" spans="1:27" ht="12.5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</row>
    <row r="149" spans="1:27" ht="12.5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</row>
    <row r="150" spans="1:27" ht="12.5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</row>
    <row r="151" spans="1:27" ht="12.5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</row>
    <row r="152" spans="1:27" ht="12.5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</row>
    <row r="153" spans="1:27" ht="12.5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</row>
    <row r="154" spans="1:27" ht="12.5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</row>
    <row r="155" spans="1:27" ht="12.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</row>
    <row r="156" spans="1:27" ht="12.5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</row>
    <row r="157" spans="1:27" ht="12.5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</row>
    <row r="158" spans="1:27" ht="12.5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</row>
    <row r="159" spans="1:27" ht="12.5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</row>
    <row r="160" spans="1:27" ht="12.5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</row>
    <row r="161" spans="1:27" ht="12.5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</row>
    <row r="162" spans="1:27" ht="12.5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</row>
    <row r="163" spans="1:27" ht="12.5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</row>
    <row r="164" spans="1:27" ht="12.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</row>
    <row r="165" spans="1:27" ht="12.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</row>
    <row r="166" spans="1:27" ht="12.5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</row>
    <row r="167" spans="1:27" ht="12.5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</row>
    <row r="168" spans="1:27" ht="12.5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</row>
    <row r="169" spans="1:27" ht="12.5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</row>
    <row r="170" spans="1:27" ht="12.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</row>
    <row r="171" spans="1:27" ht="12.5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</row>
    <row r="172" spans="1:27" ht="12.5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</row>
    <row r="173" spans="1:27" ht="12.5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</row>
    <row r="174" spans="1:27" ht="12.5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</row>
    <row r="175" spans="1:27" ht="12.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</row>
    <row r="176" spans="1:27" ht="12.5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</row>
    <row r="177" spans="1:27" ht="12.5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</row>
    <row r="178" spans="1:27" ht="12.5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</row>
    <row r="179" spans="1:27" ht="12.5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</row>
    <row r="180" spans="1:27" ht="12.5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</row>
    <row r="181" spans="1:27" ht="12.5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</row>
    <row r="182" spans="1:27" ht="12.5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</row>
    <row r="183" spans="1:27" ht="12.5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</row>
    <row r="184" spans="1:27" ht="12.5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</row>
    <row r="185" spans="1:27" ht="12.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</row>
    <row r="186" spans="1:27" ht="12.5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</row>
    <row r="187" spans="1:27" ht="12.5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</row>
    <row r="188" spans="1:27" ht="12.5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</row>
    <row r="189" spans="1:27" ht="12.5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</row>
    <row r="190" spans="1:27" ht="12.5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</row>
    <row r="191" spans="1:27" ht="12.5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</row>
    <row r="192" spans="1:27" ht="12.5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</row>
    <row r="193" spans="1:27" ht="12.5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</row>
    <row r="194" spans="1:27" ht="12.5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</row>
    <row r="195" spans="1:27" ht="12.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</row>
    <row r="196" spans="1:27" ht="12.5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</row>
    <row r="197" spans="1:27" ht="12.5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</row>
    <row r="198" spans="1:27" ht="12.5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</row>
    <row r="199" spans="1:27" ht="12.5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</row>
    <row r="200" spans="1:27" ht="12.5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</row>
    <row r="201" spans="1:27" ht="12.5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</row>
    <row r="202" spans="1:27" ht="12.5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</row>
    <row r="203" spans="1:27" ht="12.5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</row>
    <row r="204" spans="1:27" ht="12.5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</row>
    <row r="205" spans="1:27" ht="12.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</row>
    <row r="206" spans="1:27" ht="12.5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</row>
    <row r="207" spans="1:27" ht="12.5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</row>
    <row r="208" spans="1:27" ht="12.5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</row>
    <row r="209" spans="1:27" ht="12.5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</row>
    <row r="210" spans="1:27" ht="12.5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</row>
    <row r="211" spans="1:27" ht="12.5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</row>
    <row r="212" spans="1:27" ht="12.5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</row>
    <row r="213" spans="1:27" ht="12.5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</row>
    <row r="214" spans="1:27" ht="12.5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</row>
    <row r="215" spans="1:27" ht="12.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</row>
    <row r="216" spans="1:27" ht="12.5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</row>
    <row r="217" spans="1:27" ht="12.5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</row>
    <row r="218" spans="1:27" ht="12.5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</row>
    <row r="219" spans="1:27" ht="12.5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</row>
    <row r="220" spans="1:27" ht="12.5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</row>
    <row r="221" spans="1:27" ht="12.5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</row>
    <row r="222" spans="1:27" ht="12.5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</row>
    <row r="223" spans="1:27" ht="12.5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</row>
    <row r="224" spans="1:27" ht="12.5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</row>
    <row r="225" spans="1:27" ht="12.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</row>
    <row r="226" spans="1:27" ht="12.5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</row>
    <row r="227" spans="1:27" ht="12.5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</row>
    <row r="228" spans="1:27" ht="12.5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</row>
    <row r="229" spans="1:27" ht="12.5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</row>
    <row r="230" spans="1:27" ht="12.5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</row>
    <row r="231" spans="1:27" ht="12.5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</row>
    <row r="232" spans="1:27" ht="12.5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</row>
    <row r="233" spans="1:27" ht="12.5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</row>
    <row r="234" spans="1:27" ht="12.5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</row>
    <row r="235" spans="1:27" ht="12.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</row>
    <row r="236" spans="1:27" ht="12.5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</row>
    <row r="237" spans="1:27" ht="12.5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</row>
    <row r="238" spans="1:27" ht="12.5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</row>
    <row r="239" spans="1:27" ht="12.5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</row>
    <row r="240" spans="1:27" ht="12.5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</row>
    <row r="241" spans="1:27" ht="12.5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</row>
    <row r="242" spans="1:27" ht="12.5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</row>
    <row r="243" spans="1:27" ht="12.5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</row>
    <row r="244" spans="1:27" ht="12.5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</row>
    <row r="245" spans="1:27" ht="12.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</row>
    <row r="246" spans="1:27" ht="12.5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</row>
    <row r="247" spans="1:27" ht="12.5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</row>
    <row r="248" spans="1:27" ht="12.5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</row>
    <row r="249" spans="1:27" ht="12.5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</row>
    <row r="250" spans="1:27" ht="12.5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</row>
    <row r="251" spans="1:27" ht="12.5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</row>
    <row r="252" spans="1:27" ht="12.5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</row>
    <row r="253" spans="1:27" ht="12.5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</row>
    <row r="254" spans="1:27" ht="12.5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</row>
    <row r="255" spans="1:27" ht="12.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</row>
    <row r="256" spans="1:27" ht="12.5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</row>
    <row r="257" spans="1:27" ht="12.5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</row>
    <row r="258" spans="1:27" ht="12.5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</row>
    <row r="259" spans="1:27" ht="12.5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</row>
    <row r="260" spans="1:27" ht="12.5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</row>
    <row r="261" spans="1:27" ht="12.5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</row>
    <row r="262" spans="1:27" ht="12.5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</row>
    <row r="263" spans="1:27" ht="12.5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</row>
    <row r="264" spans="1:27" ht="12.5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</row>
    <row r="265" spans="1:27" ht="12.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</row>
    <row r="266" spans="1:27" ht="12.5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</row>
    <row r="267" spans="1:27" ht="12.5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</row>
    <row r="268" spans="1:27" ht="12.5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</row>
    <row r="269" spans="1:27" ht="12.5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</row>
    <row r="270" spans="1:27" ht="12.5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</row>
    <row r="271" spans="1:27" ht="12.5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</row>
    <row r="272" spans="1:27" ht="12.5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</row>
    <row r="273" spans="1:27" ht="12.5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</row>
    <row r="274" spans="1:27" ht="12.5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</row>
    <row r="275" spans="1:27" ht="12.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</row>
    <row r="276" spans="1:27" ht="12.5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</row>
    <row r="277" spans="1:27" ht="12.5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</row>
    <row r="278" spans="1:27" ht="12.5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</row>
    <row r="279" spans="1:27" ht="12.5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</row>
    <row r="280" spans="1:27" ht="12.5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</row>
    <row r="281" spans="1:27" ht="12.5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</row>
    <row r="282" spans="1:27" ht="12.5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</row>
    <row r="283" spans="1:27" ht="12.5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</row>
    <row r="284" spans="1:27" ht="12.5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</row>
    <row r="285" spans="1:27" ht="12.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</row>
    <row r="286" spans="1:27" ht="12.5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</row>
    <row r="287" spans="1:27" ht="12.5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</row>
    <row r="288" spans="1:27" ht="12.5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</row>
    <row r="289" spans="1:27" ht="12.5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</row>
    <row r="290" spans="1:27" ht="12.5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</row>
    <row r="291" spans="1:27" ht="12.5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</row>
    <row r="292" spans="1:27" ht="12.5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</row>
    <row r="293" spans="1:27" ht="12.5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</row>
    <row r="294" spans="1:27" ht="12.5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</row>
    <row r="295" spans="1:27" ht="12.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</row>
    <row r="296" spans="1:27" ht="12.5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</row>
    <row r="297" spans="1:27" ht="12.5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</row>
    <row r="298" spans="1:27" ht="12.5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</row>
    <row r="299" spans="1:27" ht="12.5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</row>
    <row r="300" spans="1:27" ht="12.5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</row>
    <row r="301" spans="1:27" ht="12.5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</row>
    <row r="302" spans="1:27" ht="12.5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</row>
    <row r="303" spans="1:27" ht="12.5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</row>
    <row r="304" spans="1:27" ht="12.5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</row>
    <row r="305" spans="1:27" ht="12.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</row>
    <row r="306" spans="1:27" ht="12.5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</row>
    <row r="307" spans="1:27" ht="12.5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</row>
    <row r="308" spans="1:27" ht="12.5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</row>
    <row r="309" spans="1:27" ht="12.5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</row>
    <row r="310" spans="1:27" ht="12.5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</row>
    <row r="311" spans="1:27" ht="12.5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</row>
    <row r="312" spans="1:27" ht="12.5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</row>
    <row r="313" spans="1:27" ht="12.5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</row>
    <row r="314" spans="1:27" ht="12.5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</row>
    <row r="315" spans="1:27" ht="12.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</row>
    <row r="316" spans="1:27" ht="12.5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</row>
    <row r="317" spans="1:27" ht="12.5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</row>
    <row r="318" spans="1:27" ht="12.5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</row>
    <row r="319" spans="1:27" ht="12.5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</row>
    <row r="320" spans="1:27" ht="12.5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</row>
    <row r="321" spans="1:27" ht="12.5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</row>
    <row r="322" spans="1:27" ht="12.5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</row>
    <row r="323" spans="1:27" ht="12.5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</row>
    <row r="324" spans="1:27" ht="12.5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</row>
    <row r="325" spans="1:27" ht="12.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</row>
    <row r="326" spans="1:27" ht="12.5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</row>
    <row r="327" spans="1:27" ht="12.5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</row>
    <row r="328" spans="1:27" ht="12.5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</row>
    <row r="329" spans="1:27" ht="12.5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</row>
    <row r="330" spans="1:27" ht="12.5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</row>
    <row r="331" spans="1:27" ht="12.5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</row>
    <row r="332" spans="1:27" ht="12.5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</row>
    <row r="333" spans="1:27" ht="12.5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</row>
    <row r="334" spans="1:27" ht="12.5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</row>
    <row r="335" spans="1:27" ht="12.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</row>
    <row r="336" spans="1:27" ht="12.5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</row>
    <row r="337" spans="1:27" ht="12.5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</row>
    <row r="338" spans="1:27" ht="12.5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</row>
    <row r="339" spans="1:27" ht="12.5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</row>
    <row r="340" spans="1:27" ht="12.5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</row>
    <row r="341" spans="1:27" ht="12.5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</row>
    <row r="342" spans="1:27" ht="12.5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</row>
    <row r="343" spans="1:27" ht="12.5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</row>
    <row r="344" spans="1:27" ht="12.5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</row>
    <row r="345" spans="1:27" ht="12.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</row>
    <row r="346" spans="1:27" ht="12.5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</row>
    <row r="347" spans="1:27" ht="12.5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</row>
    <row r="348" spans="1:27" ht="12.5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</row>
    <row r="349" spans="1:27" ht="12.5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</row>
    <row r="350" spans="1:27" ht="12.5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</row>
    <row r="351" spans="1:27" ht="12.5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</row>
    <row r="352" spans="1:27" ht="12.5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</row>
    <row r="353" spans="1:27" ht="12.5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</row>
    <row r="354" spans="1:27" ht="12.5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</row>
    <row r="355" spans="1:27" ht="12.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</row>
    <row r="356" spans="1:27" ht="12.5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</row>
    <row r="357" spans="1:27" ht="12.5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</row>
    <row r="358" spans="1:27" ht="12.5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</row>
    <row r="359" spans="1:27" ht="12.5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</row>
    <row r="360" spans="1:27" ht="12.5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</row>
    <row r="361" spans="1:27" ht="12.5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</row>
    <row r="362" spans="1:27" ht="12.5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</row>
    <row r="363" spans="1:27" ht="12.5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</row>
    <row r="364" spans="1:27" ht="12.5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</row>
    <row r="365" spans="1:27" ht="12.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</row>
    <row r="366" spans="1:27" ht="12.5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</row>
    <row r="367" spans="1:27" ht="12.5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</row>
    <row r="368" spans="1:27" ht="12.5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</row>
    <row r="369" spans="1:27" ht="12.5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</row>
    <row r="370" spans="1:27" ht="12.5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</row>
    <row r="371" spans="1:27" ht="12.5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</row>
    <row r="372" spans="1:27" ht="12.5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</row>
    <row r="373" spans="1:27" ht="12.5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</row>
    <row r="374" spans="1:27" ht="12.5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</row>
    <row r="375" spans="1:27" ht="12.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</row>
    <row r="376" spans="1:27" ht="12.5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</row>
    <row r="377" spans="1:27" ht="12.5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</row>
    <row r="378" spans="1:27" ht="12.5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</row>
    <row r="379" spans="1:27" ht="12.5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</row>
    <row r="380" spans="1:27" ht="12.5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</row>
    <row r="381" spans="1:27" ht="12.5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</row>
    <row r="382" spans="1:27" ht="12.5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</row>
    <row r="383" spans="1:27" ht="12.5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</row>
    <row r="384" spans="1:27" ht="12.5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</row>
    <row r="385" spans="1:27" ht="12.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</row>
    <row r="386" spans="1:27" ht="12.5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</row>
    <row r="387" spans="1:27" ht="12.5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</row>
    <row r="388" spans="1:27" ht="12.5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</row>
    <row r="389" spans="1:27" ht="12.5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</row>
    <row r="390" spans="1:27" ht="12.5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</row>
    <row r="391" spans="1:27" ht="12.5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</row>
    <row r="392" spans="1:27" ht="12.5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</row>
    <row r="393" spans="1:27" ht="12.5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</row>
    <row r="394" spans="1:27" ht="12.5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</row>
    <row r="395" spans="1:27" ht="12.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</row>
    <row r="396" spans="1:27" ht="12.5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</row>
    <row r="397" spans="1:27" ht="12.5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</row>
    <row r="398" spans="1:27" ht="12.5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</row>
    <row r="399" spans="1:27" ht="12.5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</row>
    <row r="400" spans="1:27" ht="12.5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</row>
    <row r="401" spans="1:27" ht="12.5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</row>
    <row r="402" spans="1:27" ht="12.5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</row>
    <row r="403" spans="1:27" ht="12.5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</row>
    <row r="404" spans="1:27" ht="12.5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</row>
    <row r="405" spans="1:27" ht="12.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</row>
    <row r="406" spans="1:27" ht="12.5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</row>
    <row r="407" spans="1:27" ht="12.5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</row>
    <row r="408" spans="1:27" ht="12.5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</row>
    <row r="409" spans="1:27" ht="12.5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</row>
    <row r="410" spans="1:27" ht="12.5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</row>
    <row r="411" spans="1:27" ht="12.5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</row>
    <row r="412" spans="1:27" ht="12.5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</row>
    <row r="413" spans="1:27" ht="12.5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</row>
    <row r="414" spans="1:27" ht="12.5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</row>
    <row r="415" spans="1:27" ht="12.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</row>
    <row r="416" spans="1:27" ht="12.5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</row>
    <row r="417" spans="1:27" ht="12.5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</row>
    <row r="418" spans="1:27" ht="12.5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</row>
    <row r="419" spans="1:27" ht="12.5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</row>
    <row r="420" spans="1:27" ht="12.5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</row>
    <row r="421" spans="1:27" ht="12.5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</row>
    <row r="422" spans="1:27" ht="12.5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</row>
    <row r="423" spans="1:27" ht="12.5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</row>
    <row r="424" spans="1:27" ht="12.5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</row>
    <row r="425" spans="1:27" ht="12.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</row>
    <row r="426" spans="1:27" ht="12.5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</row>
    <row r="427" spans="1:27" ht="12.5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</row>
    <row r="428" spans="1:27" ht="12.5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</row>
    <row r="429" spans="1:27" ht="12.5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</row>
    <row r="430" spans="1:27" ht="12.5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</row>
    <row r="431" spans="1:27" ht="12.5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</row>
    <row r="432" spans="1:27" ht="12.5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</row>
    <row r="433" spans="1:27" ht="12.5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</row>
    <row r="434" spans="1:27" ht="12.5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</row>
    <row r="435" spans="1:27" ht="12.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</row>
    <row r="436" spans="1:27" ht="12.5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</row>
    <row r="437" spans="1:27" ht="12.5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</row>
    <row r="438" spans="1:27" ht="12.5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</row>
    <row r="439" spans="1:27" ht="12.5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</row>
    <row r="440" spans="1:27" ht="12.5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</row>
    <row r="441" spans="1:27" ht="12.5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</row>
    <row r="442" spans="1:27" ht="12.5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</row>
    <row r="443" spans="1:27" ht="12.5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</row>
    <row r="444" spans="1:27" ht="12.5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</row>
    <row r="445" spans="1:27" ht="12.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</row>
    <row r="446" spans="1:27" ht="12.5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</row>
    <row r="447" spans="1:27" ht="12.5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</row>
    <row r="448" spans="1:27" ht="12.5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</row>
    <row r="449" spans="1:27" ht="12.5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</row>
    <row r="450" spans="1:27" ht="12.5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</row>
    <row r="451" spans="1:27" ht="12.5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</row>
    <row r="452" spans="1:27" ht="12.5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</row>
    <row r="453" spans="1:27" ht="12.5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</row>
    <row r="454" spans="1:27" ht="12.5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</row>
    <row r="455" spans="1:27" ht="12.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</row>
    <row r="456" spans="1:27" ht="12.5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</row>
    <row r="457" spans="1:27" ht="12.5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</row>
    <row r="458" spans="1:27" ht="12.5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</row>
    <row r="459" spans="1:27" ht="12.5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</row>
    <row r="460" spans="1:27" ht="12.5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</row>
    <row r="461" spans="1:27" ht="12.5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</row>
    <row r="462" spans="1:27" ht="12.5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</row>
    <row r="463" spans="1:27" ht="12.5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</row>
    <row r="464" spans="1:27" ht="12.5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</row>
    <row r="465" spans="1:27" ht="12.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</row>
    <row r="466" spans="1:27" ht="12.5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</row>
    <row r="467" spans="1:27" ht="12.5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</row>
    <row r="468" spans="1:27" ht="12.5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</row>
    <row r="469" spans="1:27" ht="12.5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</row>
    <row r="470" spans="1:27" ht="12.5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</row>
    <row r="471" spans="1:27" ht="12.5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</row>
    <row r="472" spans="1:27" ht="12.5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</row>
    <row r="473" spans="1:27" ht="12.5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</row>
    <row r="474" spans="1:27" ht="12.5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</row>
    <row r="475" spans="1:27" ht="12.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</row>
    <row r="476" spans="1:27" ht="12.5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</row>
    <row r="477" spans="1:27" ht="12.5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</row>
    <row r="478" spans="1:27" ht="12.5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</row>
    <row r="479" spans="1:27" ht="12.5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</row>
    <row r="480" spans="1:27" ht="12.5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</row>
    <row r="481" spans="1:27" ht="12.5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</row>
    <row r="482" spans="1:27" ht="12.5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</row>
    <row r="483" spans="1:27" ht="12.5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</row>
    <row r="484" spans="1:27" ht="12.5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</row>
    <row r="485" spans="1:27" ht="12.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</row>
    <row r="486" spans="1:27" ht="12.5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</row>
    <row r="487" spans="1:27" ht="12.5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</row>
    <row r="488" spans="1:27" ht="12.5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</row>
    <row r="489" spans="1:27" ht="12.5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</row>
    <row r="490" spans="1:27" ht="12.5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</row>
    <row r="491" spans="1:27" ht="12.5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</row>
    <row r="492" spans="1:27" ht="12.5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</row>
    <row r="493" spans="1:27" ht="12.5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</row>
    <row r="494" spans="1:27" ht="12.5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</row>
    <row r="495" spans="1:27" ht="12.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</row>
    <row r="496" spans="1:27" ht="12.5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</row>
    <row r="497" spans="1:27" ht="12.5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</row>
    <row r="498" spans="1:27" ht="12.5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</row>
    <row r="499" spans="1:27" ht="12.5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</row>
    <row r="500" spans="1:27" ht="12.5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</row>
    <row r="501" spans="1:27" ht="12.5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</row>
    <row r="502" spans="1:27" ht="12.5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</row>
    <row r="503" spans="1:27" ht="12.5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</row>
    <row r="504" spans="1:27" ht="12.5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</row>
    <row r="505" spans="1:27" ht="12.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</row>
    <row r="506" spans="1:27" ht="12.5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</row>
    <row r="507" spans="1:27" ht="12.5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</row>
    <row r="508" spans="1:27" ht="12.5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</row>
    <row r="509" spans="1:27" ht="12.5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</row>
    <row r="510" spans="1:27" ht="12.5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</row>
    <row r="511" spans="1:27" ht="12.5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</row>
    <row r="512" spans="1:27" ht="12.5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</row>
    <row r="513" spans="1:27" ht="12.5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</row>
    <row r="514" spans="1:27" ht="12.5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</row>
    <row r="515" spans="1:27" ht="12.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</row>
    <row r="516" spans="1:27" ht="12.5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</row>
    <row r="517" spans="1:27" ht="12.5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</row>
    <row r="518" spans="1:27" ht="12.5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</row>
    <row r="519" spans="1:27" ht="12.5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</row>
    <row r="520" spans="1:27" ht="12.5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</row>
    <row r="521" spans="1:27" ht="12.5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</row>
    <row r="522" spans="1:27" ht="12.5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</row>
    <row r="523" spans="1:27" ht="12.5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</row>
    <row r="524" spans="1:27" ht="12.5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</row>
    <row r="525" spans="1:27" ht="12.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</row>
    <row r="526" spans="1:27" ht="12.5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</row>
    <row r="527" spans="1:27" ht="12.5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</row>
    <row r="528" spans="1:27" ht="12.5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</row>
    <row r="529" spans="1:27" ht="12.5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</row>
    <row r="530" spans="1:27" ht="12.5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</row>
    <row r="531" spans="1:27" ht="12.5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</row>
    <row r="532" spans="1:27" ht="12.5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</row>
    <row r="533" spans="1:27" ht="12.5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</row>
    <row r="534" spans="1:27" ht="12.5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</row>
    <row r="535" spans="1:27" ht="12.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</row>
    <row r="536" spans="1:27" ht="12.5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</row>
    <row r="537" spans="1:27" ht="12.5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</row>
    <row r="538" spans="1:27" ht="12.5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</row>
    <row r="539" spans="1:27" ht="12.5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</row>
    <row r="540" spans="1:27" ht="12.5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</row>
    <row r="541" spans="1:27" ht="12.5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</row>
    <row r="542" spans="1:27" ht="12.5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</row>
    <row r="543" spans="1:27" ht="12.5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</row>
    <row r="544" spans="1:27" ht="12.5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</row>
    <row r="545" spans="1:27" ht="12.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</row>
    <row r="546" spans="1:27" ht="12.5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</row>
    <row r="547" spans="1:27" ht="12.5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</row>
    <row r="548" spans="1:27" ht="12.5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</row>
    <row r="549" spans="1:27" ht="12.5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</row>
    <row r="550" spans="1:27" ht="12.5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</row>
    <row r="551" spans="1:27" ht="12.5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</row>
    <row r="552" spans="1:27" ht="12.5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</row>
    <row r="553" spans="1:27" ht="12.5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</row>
    <row r="554" spans="1:27" ht="12.5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</row>
    <row r="555" spans="1:27" ht="12.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</row>
    <row r="556" spans="1:27" ht="12.5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</row>
    <row r="557" spans="1:27" ht="12.5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</row>
    <row r="558" spans="1:27" ht="12.5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</row>
    <row r="559" spans="1:27" ht="12.5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</row>
    <row r="560" spans="1:27" ht="12.5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</row>
    <row r="561" spans="1:27" ht="12.5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</row>
    <row r="562" spans="1:27" ht="12.5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</row>
    <row r="563" spans="1:27" ht="12.5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</row>
    <row r="564" spans="1:27" ht="12.5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</row>
    <row r="565" spans="1:27" ht="12.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</row>
    <row r="566" spans="1:27" ht="12.5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</row>
    <row r="567" spans="1:27" ht="12.5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</row>
    <row r="568" spans="1:27" ht="12.5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</row>
    <row r="569" spans="1:27" ht="12.5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</row>
    <row r="570" spans="1:27" ht="12.5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</row>
    <row r="571" spans="1:27" ht="12.5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</row>
    <row r="572" spans="1:27" ht="12.5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</row>
    <row r="573" spans="1:27" ht="12.5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</row>
    <row r="574" spans="1:27" ht="12.5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</row>
    <row r="575" spans="1:27" ht="12.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</row>
    <row r="576" spans="1:27" ht="12.5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</row>
    <row r="577" spans="1:27" ht="12.5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</row>
    <row r="578" spans="1:27" ht="12.5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</row>
    <row r="579" spans="1:27" ht="12.5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</row>
    <row r="580" spans="1:27" ht="12.5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</row>
    <row r="581" spans="1:27" ht="12.5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</row>
    <row r="582" spans="1:27" ht="12.5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</row>
    <row r="583" spans="1:27" ht="12.5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</row>
    <row r="584" spans="1:27" ht="12.5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</row>
    <row r="585" spans="1:27" ht="12.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</row>
    <row r="586" spans="1:27" ht="12.5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</row>
    <row r="587" spans="1:27" ht="12.5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</row>
    <row r="588" spans="1:27" ht="12.5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</row>
    <row r="589" spans="1:27" ht="12.5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</row>
    <row r="590" spans="1:27" ht="12.5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</row>
    <row r="591" spans="1:27" ht="12.5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</row>
    <row r="592" spans="1:27" ht="12.5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</row>
    <row r="593" spans="1:27" ht="12.5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</row>
    <row r="594" spans="1:27" ht="12.5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</row>
    <row r="595" spans="1:27" ht="12.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</row>
    <row r="596" spans="1:27" ht="12.5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</row>
    <row r="597" spans="1:27" ht="12.5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</row>
    <row r="598" spans="1:27" ht="12.5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</row>
    <row r="599" spans="1:27" ht="12.5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</row>
    <row r="600" spans="1:27" ht="12.5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</row>
    <row r="601" spans="1:27" ht="12.5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</row>
    <row r="602" spans="1:27" ht="12.5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</row>
    <row r="603" spans="1:27" ht="12.5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</row>
    <row r="604" spans="1:27" ht="12.5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</row>
    <row r="605" spans="1:27" ht="12.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</row>
    <row r="606" spans="1:27" ht="12.5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</row>
    <row r="607" spans="1:27" ht="12.5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</row>
    <row r="608" spans="1:27" ht="12.5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</row>
    <row r="609" spans="1:27" ht="12.5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</row>
    <row r="610" spans="1:27" ht="12.5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</row>
    <row r="611" spans="1:27" ht="12.5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</row>
    <row r="612" spans="1:27" ht="12.5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</row>
    <row r="613" spans="1:27" ht="12.5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</row>
    <row r="614" spans="1:27" ht="12.5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</row>
    <row r="615" spans="1:27" ht="12.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</row>
    <row r="616" spans="1:27" ht="12.5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</row>
    <row r="617" spans="1:27" ht="12.5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</row>
    <row r="618" spans="1:27" ht="12.5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</row>
    <row r="619" spans="1:27" ht="12.5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</row>
    <row r="620" spans="1:27" ht="12.5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</row>
    <row r="621" spans="1:27" ht="12.5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</row>
    <row r="622" spans="1:27" ht="12.5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</row>
    <row r="623" spans="1:27" ht="12.5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</row>
    <row r="624" spans="1:27" ht="12.5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</row>
    <row r="625" spans="1:27" ht="12.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</row>
    <row r="626" spans="1:27" ht="12.5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</row>
    <row r="627" spans="1:27" ht="12.5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</row>
    <row r="628" spans="1:27" ht="12.5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</row>
    <row r="629" spans="1:27" ht="12.5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</row>
    <row r="630" spans="1:27" ht="12.5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</row>
    <row r="631" spans="1:27" ht="12.5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</row>
    <row r="632" spans="1:27" ht="12.5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</row>
    <row r="633" spans="1:27" ht="12.5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</row>
    <row r="634" spans="1:27" ht="12.5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</row>
    <row r="635" spans="1:27" ht="12.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</row>
    <row r="636" spans="1:27" ht="12.5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</row>
    <row r="637" spans="1:27" ht="12.5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</row>
    <row r="638" spans="1:27" ht="12.5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</row>
    <row r="639" spans="1:27" ht="12.5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</row>
    <row r="640" spans="1:27" ht="12.5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</row>
    <row r="641" spans="1:27" ht="12.5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</row>
    <row r="642" spans="1:27" ht="12.5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</row>
    <row r="643" spans="1:27" ht="12.5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</row>
    <row r="644" spans="1:27" ht="12.5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</row>
    <row r="645" spans="1:27" ht="12.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</row>
    <row r="646" spans="1:27" ht="12.5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</row>
    <row r="647" spans="1:27" ht="12.5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</row>
    <row r="648" spans="1:27" ht="12.5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</row>
    <row r="649" spans="1:27" ht="12.5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</row>
    <row r="650" spans="1:27" ht="12.5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</row>
    <row r="651" spans="1:27" ht="12.5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</row>
    <row r="652" spans="1:27" ht="12.5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</row>
    <row r="653" spans="1:27" ht="12.5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</row>
    <row r="654" spans="1:27" ht="12.5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</row>
    <row r="655" spans="1:27" ht="12.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</row>
    <row r="656" spans="1:27" ht="12.5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</row>
    <row r="657" spans="1:27" ht="12.5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</row>
    <row r="658" spans="1:27" ht="12.5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</row>
    <row r="659" spans="1:27" ht="12.5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</row>
    <row r="660" spans="1:27" ht="12.5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</row>
    <row r="661" spans="1:27" ht="12.5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</row>
    <row r="662" spans="1:27" ht="12.5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</row>
    <row r="663" spans="1:27" ht="12.5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</row>
    <row r="664" spans="1:27" ht="12.5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</row>
    <row r="665" spans="1:27" ht="12.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</row>
    <row r="666" spans="1:27" ht="12.5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</row>
    <row r="667" spans="1:27" ht="12.5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</row>
    <row r="668" spans="1:27" ht="12.5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</row>
    <row r="669" spans="1:27" ht="12.5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</row>
    <row r="670" spans="1:27" ht="12.5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</row>
    <row r="671" spans="1:27" ht="12.5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</row>
    <row r="672" spans="1:27" ht="12.5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</row>
    <row r="673" spans="1:27" ht="12.5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</row>
    <row r="674" spans="1:27" ht="12.5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</row>
    <row r="675" spans="1:27" ht="12.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</row>
    <row r="676" spans="1:27" ht="12.5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</row>
    <row r="677" spans="1:27" ht="12.5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</row>
    <row r="678" spans="1:27" ht="12.5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</row>
    <row r="679" spans="1:27" ht="12.5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</row>
    <row r="680" spans="1:27" ht="12.5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</row>
    <row r="681" spans="1:27" ht="12.5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</row>
    <row r="682" spans="1:27" ht="12.5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</row>
    <row r="683" spans="1:27" ht="12.5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</row>
    <row r="684" spans="1:27" ht="12.5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</row>
    <row r="685" spans="1:27" ht="12.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</row>
    <row r="686" spans="1:27" ht="12.5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</row>
    <row r="687" spans="1:27" ht="12.5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</row>
    <row r="688" spans="1:27" ht="12.5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</row>
    <row r="689" spans="1:27" ht="12.5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</row>
    <row r="690" spans="1:27" ht="12.5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</row>
    <row r="691" spans="1:27" ht="12.5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</row>
    <row r="692" spans="1:27" ht="12.5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</row>
    <row r="693" spans="1:27" ht="12.5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</row>
    <row r="694" spans="1:27" ht="12.5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</row>
    <row r="695" spans="1:27" ht="12.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</row>
    <row r="696" spans="1:27" ht="12.5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</row>
    <row r="697" spans="1:27" ht="12.5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</row>
    <row r="698" spans="1:27" ht="12.5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</row>
    <row r="699" spans="1:27" ht="12.5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</row>
    <row r="700" spans="1:27" ht="12.5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</row>
    <row r="701" spans="1:27" ht="12.5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</row>
    <row r="702" spans="1:27" ht="12.5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</row>
    <row r="703" spans="1:27" ht="12.5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</row>
    <row r="704" spans="1:27" ht="12.5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</row>
    <row r="705" spans="1:27" ht="12.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</row>
    <row r="706" spans="1:27" ht="12.5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</row>
    <row r="707" spans="1:27" ht="12.5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</row>
    <row r="708" spans="1:27" ht="12.5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</row>
    <row r="709" spans="1:27" ht="12.5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</row>
    <row r="710" spans="1:27" ht="12.5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</row>
    <row r="711" spans="1:27" ht="12.5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</row>
    <row r="712" spans="1:27" ht="12.5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</row>
    <row r="713" spans="1:27" ht="12.5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</row>
    <row r="714" spans="1:27" ht="12.5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</row>
    <row r="715" spans="1:27" ht="12.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</row>
    <row r="716" spans="1:27" ht="12.5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</row>
    <row r="717" spans="1:27" ht="12.5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</row>
    <row r="718" spans="1:27" ht="12.5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</row>
    <row r="719" spans="1:27" ht="12.5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</row>
    <row r="720" spans="1:27" ht="12.5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</row>
    <row r="721" spans="1:27" ht="12.5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</row>
    <row r="722" spans="1:27" ht="12.5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</row>
    <row r="723" spans="1:27" ht="12.5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</row>
    <row r="724" spans="1:27" ht="12.5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</row>
    <row r="725" spans="1:27" ht="12.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</row>
    <row r="726" spans="1:27" ht="12.5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</row>
    <row r="727" spans="1:27" ht="12.5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</row>
    <row r="728" spans="1:27" ht="12.5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</row>
    <row r="729" spans="1:27" ht="12.5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</row>
    <row r="730" spans="1:27" ht="12.5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</row>
    <row r="731" spans="1:27" ht="12.5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</row>
    <row r="732" spans="1:27" ht="12.5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</row>
    <row r="733" spans="1:27" ht="12.5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</row>
    <row r="734" spans="1:27" ht="12.5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</row>
    <row r="735" spans="1:27" ht="12.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</row>
    <row r="736" spans="1:27" ht="12.5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</row>
    <row r="737" spans="1:27" ht="12.5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</row>
    <row r="738" spans="1:27" ht="12.5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</row>
    <row r="739" spans="1:27" ht="12.5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</row>
    <row r="740" spans="1:27" ht="12.5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</row>
    <row r="741" spans="1:27" ht="12.5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</row>
    <row r="742" spans="1:27" ht="12.5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</row>
    <row r="743" spans="1:27" ht="12.5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</row>
    <row r="744" spans="1:27" ht="12.5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</row>
    <row r="745" spans="1:27" ht="12.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</row>
    <row r="746" spans="1:27" ht="12.5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</row>
    <row r="747" spans="1:27" ht="12.5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</row>
    <row r="748" spans="1:27" ht="12.5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</row>
    <row r="749" spans="1:27" ht="12.5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</row>
    <row r="750" spans="1:27" ht="12.5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</row>
    <row r="751" spans="1:27" ht="12.5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</row>
    <row r="752" spans="1:27" ht="12.5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</row>
    <row r="753" spans="1:27" ht="12.5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</row>
    <row r="754" spans="1:27" ht="12.5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</row>
    <row r="755" spans="1:27" ht="12.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</row>
    <row r="756" spans="1:27" ht="12.5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</row>
    <row r="757" spans="1:27" ht="12.5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</row>
    <row r="758" spans="1:27" ht="12.5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</row>
    <row r="759" spans="1:27" ht="12.5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</row>
    <row r="760" spans="1:27" ht="12.5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</row>
    <row r="761" spans="1:27" ht="12.5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</row>
    <row r="762" spans="1:27" ht="12.5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</row>
    <row r="763" spans="1:27" ht="12.5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</row>
    <row r="764" spans="1:27" ht="12.5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</row>
    <row r="765" spans="1:27" ht="12.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</row>
    <row r="766" spans="1:27" ht="12.5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</row>
    <row r="767" spans="1:27" ht="12.5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</row>
    <row r="768" spans="1:27" ht="12.5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</row>
    <row r="769" spans="1:27" ht="12.5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</row>
    <row r="770" spans="1:27" ht="12.5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</row>
    <row r="771" spans="1:27" ht="12.5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</row>
    <row r="772" spans="1:27" ht="12.5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</row>
    <row r="773" spans="1:27" ht="12.5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</row>
    <row r="774" spans="1:27" ht="12.5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</row>
    <row r="775" spans="1:27" ht="12.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</row>
    <row r="776" spans="1:27" ht="12.5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</row>
    <row r="777" spans="1:27" ht="12.5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</row>
    <row r="778" spans="1:27" ht="12.5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</row>
    <row r="779" spans="1:27" ht="12.5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</row>
    <row r="780" spans="1:27" ht="12.5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</row>
    <row r="781" spans="1:27" ht="12.5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</row>
    <row r="782" spans="1:27" ht="12.5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</row>
    <row r="783" spans="1:27" ht="12.5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</row>
    <row r="784" spans="1:27" ht="12.5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</row>
    <row r="785" spans="1:27" ht="12.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</row>
    <row r="786" spans="1:27" ht="12.5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</row>
    <row r="787" spans="1:27" ht="12.5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</row>
    <row r="788" spans="1:27" ht="12.5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</row>
    <row r="789" spans="1:27" ht="12.5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</row>
    <row r="790" spans="1:27" ht="12.5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</row>
    <row r="791" spans="1:27" ht="12.5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</row>
    <row r="792" spans="1:27" ht="12.5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</row>
    <row r="793" spans="1:27" ht="12.5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</row>
    <row r="794" spans="1:27" ht="12.5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</row>
    <row r="795" spans="1:27" ht="12.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</row>
    <row r="796" spans="1:27" ht="12.5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</row>
    <row r="797" spans="1:27" ht="12.5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</row>
    <row r="798" spans="1:27" ht="12.5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</row>
    <row r="799" spans="1:27" ht="12.5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</row>
    <row r="800" spans="1:27" ht="12.5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</row>
    <row r="801" spans="1:27" ht="12.5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</row>
    <row r="802" spans="1:27" ht="12.5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</row>
    <row r="803" spans="1:27" ht="12.5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</row>
    <row r="804" spans="1:27" ht="12.5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</row>
    <row r="805" spans="1:27" ht="12.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</row>
    <row r="806" spans="1:27" ht="12.5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</row>
    <row r="807" spans="1:27" ht="12.5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</row>
    <row r="808" spans="1:27" ht="12.5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</row>
    <row r="809" spans="1:27" ht="12.5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</row>
    <row r="810" spans="1:27" ht="12.5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</row>
    <row r="811" spans="1:27" ht="12.5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</row>
    <row r="812" spans="1:27" ht="12.5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</row>
    <row r="813" spans="1:27" ht="12.5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</row>
    <row r="814" spans="1:27" ht="12.5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</row>
    <row r="815" spans="1:27" ht="12.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</row>
    <row r="816" spans="1:27" ht="12.5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</row>
    <row r="817" spans="1:27" ht="12.5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</row>
    <row r="818" spans="1:27" ht="12.5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</row>
    <row r="819" spans="1:27" ht="12.5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</row>
    <row r="820" spans="1:27" ht="12.5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</row>
    <row r="821" spans="1:27" ht="12.5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</row>
    <row r="822" spans="1:27" ht="12.5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</row>
    <row r="823" spans="1:27" ht="12.5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</row>
    <row r="824" spans="1:27" ht="12.5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</row>
    <row r="825" spans="1:27" ht="12.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</row>
    <row r="826" spans="1:27" ht="12.5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</row>
    <row r="827" spans="1:27" ht="12.5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</row>
    <row r="828" spans="1:27" ht="12.5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</row>
    <row r="829" spans="1:27" ht="12.5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</row>
    <row r="830" spans="1:27" ht="12.5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</row>
    <row r="831" spans="1:27" ht="12.5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</row>
    <row r="832" spans="1:27" ht="12.5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</row>
    <row r="833" spans="1:27" ht="12.5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</row>
    <row r="834" spans="1:27" ht="12.5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</row>
    <row r="835" spans="1:27" ht="12.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</row>
    <row r="836" spans="1:27" ht="12.5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</row>
    <row r="837" spans="1:27" ht="12.5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</row>
    <row r="838" spans="1:27" ht="12.5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</row>
    <row r="839" spans="1:27" ht="12.5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</row>
    <row r="840" spans="1:27" ht="12.5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</row>
    <row r="841" spans="1:27" ht="12.5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</row>
    <row r="842" spans="1:27" ht="12.5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</row>
    <row r="843" spans="1:27" ht="12.5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</row>
    <row r="844" spans="1:27" ht="12.5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</row>
    <row r="845" spans="1:27" ht="12.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</row>
    <row r="846" spans="1:27" ht="12.5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</row>
    <row r="847" spans="1:27" ht="12.5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</row>
    <row r="848" spans="1:27" ht="12.5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</row>
    <row r="849" spans="1:27" ht="12.5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</row>
    <row r="850" spans="1:27" ht="12.5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</row>
    <row r="851" spans="1:27" ht="12.5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</row>
    <row r="852" spans="1:27" ht="12.5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</row>
    <row r="853" spans="1:27" ht="12.5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</row>
    <row r="854" spans="1:27" ht="12.5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</row>
    <row r="855" spans="1:27" ht="12.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</row>
    <row r="856" spans="1:27" ht="12.5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</row>
    <row r="857" spans="1:27" ht="12.5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</row>
    <row r="858" spans="1:27" ht="12.5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</row>
    <row r="859" spans="1:27" ht="12.5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</row>
    <row r="860" spans="1:27" ht="12.5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</row>
    <row r="861" spans="1:27" ht="12.5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</row>
    <row r="862" spans="1:27" ht="12.5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</row>
    <row r="863" spans="1:27" ht="12.5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</row>
    <row r="864" spans="1:27" ht="12.5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</row>
    <row r="865" spans="1:27" ht="12.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</row>
    <row r="866" spans="1:27" ht="12.5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</row>
    <row r="867" spans="1:27" ht="12.5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</row>
    <row r="868" spans="1:27" ht="12.5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</row>
    <row r="869" spans="1:27" ht="12.5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</row>
    <row r="870" spans="1:27" ht="12.5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</row>
    <row r="871" spans="1:27" ht="12.5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</row>
    <row r="872" spans="1:27" ht="12.5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</row>
    <row r="873" spans="1:27" ht="12.5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</row>
    <row r="874" spans="1:27" ht="12.5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</row>
    <row r="875" spans="1:27" ht="12.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</row>
    <row r="876" spans="1:27" ht="12.5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</row>
    <row r="877" spans="1:27" ht="12.5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</row>
    <row r="878" spans="1:27" ht="12.5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</row>
    <row r="879" spans="1:27" ht="12.5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</row>
    <row r="880" spans="1:27" ht="12.5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</row>
    <row r="881" spans="1:27" ht="12.5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</row>
    <row r="882" spans="1:27" ht="12.5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</row>
    <row r="883" spans="1:27" ht="12.5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</row>
    <row r="884" spans="1:27" ht="12.5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</row>
    <row r="885" spans="1:27" ht="12.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</row>
    <row r="886" spans="1:27" ht="12.5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</row>
    <row r="887" spans="1:27" ht="12.5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</row>
    <row r="888" spans="1:27" ht="12.5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</row>
    <row r="889" spans="1:27" ht="12.5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</row>
    <row r="890" spans="1:27" ht="12.5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</row>
    <row r="891" spans="1:27" ht="12.5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</row>
    <row r="892" spans="1:27" ht="12.5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</row>
    <row r="893" spans="1:27" ht="12.5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</row>
    <row r="894" spans="1:27" ht="12.5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</row>
    <row r="895" spans="1:27" ht="12.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</row>
    <row r="896" spans="1:27" ht="12.5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</row>
    <row r="897" spans="1:27" ht="12.5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</row>
    <row r="898" spans="1:27" ht="12.5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</row>
    <row r="899" spans="1:27" ht="12.5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</row>
    <row r="900" spans="1:27" ht="12.5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</row>
    <row r="901" spans="1:27" ht="12.5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</row>
    <row r="902" spans="1:27" ht="12.5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</row>
    <row r="903" spans="1:27" ht="12.5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</row>
    <row r="904" spans="1:27" ht="12.5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</row>
    <row r="905" spans="1:27" ht="12.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</row>
    <row r="906" spans="1:27" ht="12.5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</row>
    <row r="907" spans="1:27" ht="12.5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</row>
    <row r="908" spans="1:27" ht="12.5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</row>
    <row r="909" spans="1:27" ht="12.5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</row>
    <row r="910" spans="1:27" ht="12.5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</row>
    <row r="911" spans="1:27" ht="12.5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</row>
    <row r="912" spans="1:27" ht="12.5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</row>
    <row r="913" spans="1:27" ht="12.5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</row>
    <row r="914" spans="1:27" ht="12.5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</row>
    <row r="915" spans="1:27" ht="12.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</row>
    <row r="916" spans="1:27" ht="12.5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</row>
    <row r="917" spans="1:27" ht="12.5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</row>
    <row r="918" spans="1:27" ht="12.5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</row>
    <row r="919" spans="1:27" ht="12.5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</row>
    <row r="920" spans="1:27" ht="12.5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</row>
    <row r="921" spans="1:27" ht="12.5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</row>
    <row r="922" spans="1:27" ht="12.5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</row>
    <row r="923" spans="1:27" ht="12.5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</row>
    <row r="924" spans="1:27" ht="12.5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</row>
    <row r="925" spans="1:27" ht="12.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</row>
    <row r="926" spans="1:27" ht="12.5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</row>
    <row r="927" spans="1:27" ht="12.5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</row>
    <row r="928" spans="1:27" ht="12.5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</row>
    <row r="929" spans="1:27" ht="12.5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</row>
    <row r="930" spans="1:27" ht="12.5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</row>
    <row r="931" spans="1:27" ht="12.5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</row>
    <row r="932" spans="1:27" ht="12.5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</row>
    <row r="933" spans="1:27" ht="12.5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</row>
    <row r="934" spans="1:27" ht="12.5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</row>
    <row r="935" spans="1:27" ht="12.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</row>
    <row r="936" spans="1:27" ht="12.5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</row>
    <row r="937" spans="1:27" ht="12.5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</row>
    <row r="938" spans="1:27" ht="12.5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</row>
    <row r="939" spans="1:27" ht="12.5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</row>
    <row r="940" spans="1:27" ht="12.5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</row>
    <row r="941" spans="1:27" ht="12.5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</row>
    <row r="942" spans="1:27" ht="12.5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</row>
    <row r="943" spans="1:27" ht="12.5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</row>
    <row r="944" spans="1:27" ht="12.5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</row>
    <row r="945" spans="1:27" ht="12.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</row>
    <row r="946" spans="1:27" ht="12.5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</row>
    <row r="947" spans="1:27" ht="12.5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</row>
    <row r="948" spans="1:27" ht="12.5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</row>
    <row r="949" spans="1:27" ht="12.5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</row>
    <row r="950" spans="1:27" ht="12.5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</row>
    <row r="951" spans="1:27" ht="12.5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</row>
    <row r="952" spans="1:27" ht="12.5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</row>
    <row r="953" spans="1:27" ht="12.5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</row>
    <row r="954" spans="1:27" ht="12.5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</row>
    <row r="955" spans="1:27" ht="12.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</row>
    <row r="956" spans="1:27" ht="12.5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</row>
    <row r="957" spans="1:27" ht="12.5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</row>
    <row r="958" spans="1:27" ht="12.5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</row>
    <row r="959" spans="1:27" ht="12.5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</row>
    <row r="960" spans="1:27" ht="12.5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</row>
    <row r="961" spans="1:27" ht="12.5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</row>
    <row r="962" spans="1:27" ht="12.5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</row>
    <row r="963" spans="1:27" ht="12.5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</row>
    <row r="964" spans="1:27" ht="12.5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</row>
    <row r="965" spans="1:27" ht="12.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</row>
    <row r="966" spans="1:27" ht="12.5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</row>
    <row r="967" spans="1:27" ht="12.5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</row>
    <row r="968" spans="1:27" ht="12.5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</row>
    <row r="969" spans="1:27" ht="12.5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</row>
    <row r="970" spans="1:27" ht="12.5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</row>
    <row r="971" spans="1:27" ht="12.5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</row>
    <row r="972" spans="1:27" ht="12.5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</row>
    <row r="973" spans="1:27" ht="12.5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</row>
    <row r="974" spans="1:27" ht="12.5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</row>
    <row r="975" spans="1:27" ht="12.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</row>
    <row r="976" spans="1:27" ht="12.5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</row>
    <row r="977" spans="1:27" ht="12.5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</row>
    <row r="978" spans="1:27" ht="12.5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  <c r="AA978" s="151"/>
    </row>
    <row r="979" spans="1:27" ht="12.5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  <c r="AA979" s="151"/>
    </row>
    <row r="980" spans="1:27" ht="12.5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  <c r="AA980" s="151"/>
    </row>
    <row r="981" spans="1:27" ht="12.5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  <c r="AA981" s="151"/>
    </row>
    <row r="982" spans="1:27" ht="12.5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  <c r="AA982" s="151"/>
    </row>
    <row r="983" spans="1:27" ht="12.5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  <c r="AA983" s="151"/>
    </row>
    <row r="984" spans="1:27" ht="12.5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  <c r="AA984" s="151"/>
    </row>
    <row r="985" spans="1:27" ht="12.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  <c r="AA985" s="151"/>
    </row>
    <row r="986" spans="1:27" ht="12.5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  <c r="AA986" s="151"/>
    </row>
    <row r="987" spans="1:27" ht="12.5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  <c r="AA987" s="151"/>
    </row>
    <row r="988" spans="1:27" ht="12.5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  <c r="AA988" s="151"/>
    </row>
    <row r="989" spans="1:27" ht="12.5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  <c r="AA989" s="151"/>
    </row>
    <row r="990" spans="1:27" ht="12.5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  <c r="AA990" s="151"/>
    </row>
    <row r="991" spans="1:27" ht="12.5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  <c r="AA991" s="151"/>
    </row>
    <row r="992" spans="1:27" ht="12.5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  <c r="AA992" s="151"/>
    </row>
    <row r="993" spans="1:27" ht="12.5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  <c r="AA993" s="151"/>
    </row>
    <row r="994" spans="1:27" ht="12.5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  <c r="AA994" s="151"/>
    </row>
    <row r="995" spans="1:27" ht="12.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  <c r="AA995" s="151"/>
    </row>
    <row r="996" spans="1:27" ht="12.5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  <c r="AA996" s="151"/>
    </row>
    <row r="997" spans="1:27" ht="12.5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  <c r="AA997" s="151"/>
    </row>
    <row r="998" spans="1:27" ht="12.5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  <c r="AA998" s="151"/>
    </row>
    <row r="999" spans="1:27" ht="12.5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  <c r="AA999" s="151"/>
    </row>
    <row r="1000" spans="1:27" ht="12.5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  <c r="AA1000" s="151"/>
    </row>
    <row r="1001" spans="1:27" ht="12.5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  <c r="AA1001" s="151"/>
    </row>
    <row r="1002" spans="1:27" ht="12.5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  <c r="AA1002" s="151"/>
    </row>
  </sheetData>
  <phoneticPr fontId="6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888"/>
  <sheetViews>
    <sheetView workbookViewId="0"/>
  </sheetViews>
  <sheetFormatPr defaultColWidth="12.6328125" defaultRowHeight="15.75" customHeight="1"/>
  <cols>
    <col min="1" max="1" width="4.08984375" customWidth="1"/>
    <col min="2" max="2" width="6" customWidth="1"/>
    <col min="3" max="3" width="4" customWidth="1"/>
    <col min="4" max="4" width="7" customWidth="1"/>
    <col min="5" max="5" width="8.7265625" customWidth="1"/>
    <col min="6" max="6" width="17.36328125" customWidth="1"/>
    <col min="7" max="7" width="10" customWidth="1"/>
    <col min="8" max="10" width="5.08984375" customWidth="1"/>
    <col min="11" max="22" width="5" customWidth="1"/>
    <col min="23" max="24" width="6.26953125" customWidth="1"/>
    <col min="25" max="25" width="6.6328125" customWidth="1"/>
  </cols>
  <sheetData>
    <row r="1" spans="1:26" ht="15.75" customHeight="1">
      <c r="A1" s="151"/>
      <c r="B1" s="151"/>
      <c r="C1" s="151"/>
      <c r="D1" s="151"/>
      <c r="E1" s="193" t="s">
        <v>519</v>
      </c>
      <c r="G1" s="151"/>
      <c r="H1" s="151"/>
      <c r="I1" s="190" t="s">
        <v>520</v>
      </c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spans="1:26" ht="15.75" customHeight="1">
      <c r="A2" s="151"/>
      <c r="B2" s="151"/>
      <c r="C2" s="151"/>
      <c r="D2" s="107" t="s">
        <v>255</v>
      </c>
      <c r="E2" s="74" t="s">
        <v>253</v>
      </c>
      <c r="F2" s="117" t="s">
        <v>410</v>
      </c>
      <c r="G2" s="288" t="s">
        <v>521</v>
      </c>
      <c r="H2" s="108"/>
      <c r="I2" s="109" t="s">
        <v>252</v>
      </c>
      <c r="J2" s="74">
        <f t="shared" ref="J2:J10" si="0">SUM(K2:V2)</f>
        <v>2</v>
      </c>
      <c r="K2" s="274"/>
      <c r="L2" s="207"/>
      <c r="M2" s="274"/>
      <c r="N2" s="207"/>
      <c r="O2" s="229">
        <v>2</v>
      </c>
      <c r="P2" s="207"/>
      <c r="Q2" s="229"/>
      <c r="R2" s="207"/>
      <c r="S2" s="229"/>
      <c r="T2" s="207"/>
      <c r="U2" s="229"/>
      <c r="V2" s="207"/>
      <c r="W2" s="151"/>
      <c r="X2" s="151"/>
      <c r="Y2" s="151"/>
      <c r="Z2" s="151"/>
    </row>
    <row r="3" spans="1:26" ht="15.75" customHeight="1">
      <c r="A3" s="151"/>
      <c r="B3" s="151"/>
      <c r="C3" s="151"/>
      <c r="D3" s="107" t="s">
        <v>255</v>
      </c>
      <c r="E3" s="74" t="s">
        <v>253</v>
      </c>
      <c r="F3" s="117" t="s">
        <v>263</v>
      </c>
      <c r="G3" s="213"/>
      <c r="H3" s="108"/>
      <c r="I3" s="109" t="s">
        <v>252</v>
      </c>
      <c r="J3" s="74">
        <f t="shared" si="0"/>
        <v>6</v>
      </c>
      <c r="K3" s="274"/>
      <c r="L3" s="207"/>
      <c r="M3" s="274"/>
      <c r="N3" s="207"/>
      <c r="O3" s="229"/>
      <c r="P3" s="207"/>
      <c r="Q3" s="229">
        <v>6</v>
      </c>
      <c r="R3" s="207"/>
      <c r="S3" s="229"/>
      <c r="T3" s="207"/>
      <c r="U3" s="229"/>
      <c r="V3" s="207"/>
      <c r="W3" s="151"/>
      <c r="X3" s="151"/>
      <c r="Y3" s="151"/>
      <c r="Z3" s="151"/>
    </row>
    <row r="4" spans="1:26" ht="15.75" customHeight="1">
      <c r="A4" s="151"/>
      <c r="B4" s="151"/>
      <c r="C4" s="151"/>
      <c r="D4" s="107"/>
      <c r="E4" s="74" t="s">
        <v>260</v>
      </c>
      <c r="F4" s="117" t="s">
        <v>412</v>
      </c>
      <c r="G4" s="213"/>
      <c r="H4" s="108"/>
      <c r="I4" s="109" t="s">
        <v>252</v>
      </c>
      <c r="J4" s="74">
        <f t="shared" si="0"/>
        <v>19</v>
      </c>
      <c r="K4" s="274"/>
      <c r="L4" s="207"/>
      <c r="M4" s="274"/>
      <c r="N4" s="207"/>
      <c r="O4" s="229"/>
      <c r="P4" s="207"/>
      <c r="Q4" s="229"/>
      <c r="R4" s="207"/>
      <c r="S4" s="229">
        <v>6</v>
      </c>
      <c r="T4" s="207"/>
      <c r="U4" s="229">
        <v>13</v>
      </c>
      <c r="V4" s="207"/>
      <c r="W4" s="151"/>
      <c r="X4" s="151"/>
      <c r="Y4" s="151"/>
      <c r="Z4" s="151"/>
    </row>
    <row r="5" spans="1:26" ht="15.75" customHeight="1">
      <c r="A5" s="151"/>
      <c r="B5" s="151"/>
      <c r="C5" s="151"/>
      <c r="D5" s="107"/>
      <c r="E5" s="74"/>
      <c r="F5" s="192" t="s">
        <v>426</v>
      </c>
      <c r="G5" s="213"/>
      <c r="H5" s="108"/>
      <c r="I5" s="109" t="s">
        <v>252</v>
      </c>
      <c r="J5" s="74">
        <f t="shared" si="0"/>
        <v>0</v>
      </c>
      <c r="K5" s="283"/>
      <c r="L5" s="207"/>
      <c r="M5" s="283"/>
      <c r="N5" s="207"/>
      <c r="O5" s="284" t="s">
        <v>274</v>
      </c>
      <c r="P5" s="207"/>
      <c r="Q5" s="284" t="s">
        <v>427</v>
      </c>
      <c r="R5" s="207"/>
      <c r="S5" s="284" t="s">
        <v>428</v>
      </c>
      <c r="T5" s="207"/>
      <c r="U5" s="284" t="s">
        <v>429</v>
      </c>
      <c r="V5" s="207"/>
      <c r="W5" s="151"/>
      <c r="X5" s="151"/>
      <c r="Y5" s="151"/>
      <c r="Z5" s="151"/>
    </row>
    <row r="6" spans="1:26" ht="15.75" customHeight="1">
      <c r="A6" s="151"/>
      <c r="B6" s="151"/>
      <c r="C6" s="151"/>
      <c r="D6" s="107" t="s">
        <v>113</v>
      </c>
      <c r="E6" s="74" t="s">
        <v>260</v>
      </c>
      <c r="F6" s="198" t="s">
        <v>79</v>
      </c>
      <c r="G6" s="213"/>
      <c r="H6" s="108"/>
      <c r="I6" s="109" t="s">
        <v>252</v>
      </c>
      <c r="J6" s="74">
        <f t="shared" si="0"/>
        <v>3</v>
      </c>
      <c r="K6" s="270"/>
      <c r="L6" s="207"/>
      <c r="M6" s="270"/>
      <c r="N6" s="207"/>
      <c r="O6" s="206"/>
      <c r="P6" s="207"/>
      <c r="Q6" s="206">
        <v>3</v>
      </c>
      <c r="R6" s="207"/>
      <c r="S6" s="206"/>
      <c r="T6" s="207"/>
      <c r="U6" s="206"/>
      <c r="V6" s="207"/>
      <c r="W6" s="151"/>
      <c r="X6" s="151"/>
      <c r="Y6" s="151"/>
      <c r="Z6" s="151"/>
    </row>
    <row r="7" spans="1:26" ht="15.75" customHeight="1">
      <c r="A7" s="151"/>
      <c r="B7" s="151"/>
      <c r="C7" s="151"/>
      <c r="D7" s="107" t="s">
        <v>113</v>
      </c>
      <c r="E7" s="74" t="s">
        <v>260</v>
      </c>
      <c r="F7" s="204" t="s">
        <v>60</v>
      </c>
      <c r="G7" s="213"/>
      <c r="H7" s="108"/>
      <c r="I7" s="109" t="s">
        <v>252</v>
      </c>
      <c r="J7" s="74">
        <f t="shared" si="0"/>
        <v>13</v>
      </c>
      <c r="K7" s="270"/>
      <c r="L7" s="207"/>
      <c r="M7" s="270"/>
      <c r="N7" s="207"/>
      <c r="O7" s="206"/>
      <c r="P7" s="207"/>
      <c r="Q7" s="206">
        <v>5</v>
      </c>
      <c r="R7" s="207"/>
      <c r="S7" s="206">
        <v>8</v>
      </c>
      <c r="T7" s="207"/>
      <c r="U7" s="206"/>
      <c r="V7" s="207"/>
      <c r="W7" s="151"/>
      <c r="X7" s="151"/>
      <c r="Y7" s="151"/>
      <c r="Z7" s="151"/>
    </row>
    <row r="8" spans="1:26" ht="15.75" customHeight="1">
      <c r="A8" s="151"/>
      <c r="B8" s="151"/>
      <c r="C8" s="151"/>
      <c r="D8" s="107" t="s">
        <v>113</v>
      </c>
      <c r="E8" s="74" t="s">
        <v>260</v>
      </c>
      <c r="F8" s="198" t="s">
        <v>45</v>
      </c>
      <c r="G8" s="213"/>
      <c r="H8" s="108"/>
      <c r="I8" s="109" t="s">
        <v>252</v>
      </c>
      <c r="J8" s="74">
        <f t="shared" si="0"/>
        <v>15</v>
      </c>
      <c r="K8" s="270"/>
      <c r="L8" s="207"/>
      <c r="M8" s="270"/>
      <c r="N8" s="207"/>
      <c r="O8" s="206">
        <v>10</v>
      </c>
      <c r="P8" s="207"/>
      <c r="Q8" s="206">
        <v>5</v>
      </c>
      <c r="R8" s="207"/>
      <c r="S8" s="206"/>
      <c r="T8" s="207"/>
      <c r="U8" s="206"/>
      <c r="V8" s="207"/>
      <c r="W8" s="151"/>
      <c r="X8" s="151"/>
      <c r="Y8" s="151"/>
      <c r="Z8" s="151"/>
    </row>
    <row r="9" spans="1:26" ht="15.75" customHeight="1">
      <c r="A9" s="151"/>
      <c r="B9" s="151"/>
      <c r="C9" s="151"/>
      <c r="D9" s="107" t="s">
        <v>113</v>
      </c>
      <c r="E9" s="74" t="s">
        <v>260</v>
      </c>
      <c r="F9" s="126" t="s">
        <v>95</v>
      </c>
      <c r="G9" s="213"/>
      <c r="H9" s="108"/>
      <c r="I9" s="109" t="s">
        <v>252</v>
      </c>
      <c r="J9" s="74">
        <f t="shared" si="0"/>
        <v>24</v>
      </c>
      <c r="K9" s="270"/>
      <c r="L9" s="207"/>
      <c r="M9" s="270"/>
      <c r="N9" s="207"/>
      <c r="O9" s="206"/>
      <c r="P9" s="207"/>
      <c r="Q9" s="206"/>
      <c r="R9" s="207"/>
      <c r="S9" s="287">
        <v>12</v>
      </c>
      <c r="T9" s="207"/>
      <c r="U9" s="287">
        <v>12</v>
      </c>
      <c r="V9" s="207"/>
      <c r="W9" s="151"/>
      <c r="X9" s="151"/>
      <c r="Y9" s="151"/>
      <c r="Z9" s="151"/>
    </row>
    <row r="10" spans="1:26" ht="15.75" customHeight="1">
      <c r="A10" s="151"/>
      <c r="B10" s="151"/>
      <c r="C10" s="151"/>
      <c r="D10" s="107" t="s">
        <v>113</v>
      </c>
      <c r="E10" s="74" t="s">
        <v>260</v>
      </c>
      <c r="F10" s="126" t="s">
        <v>522</v>
      </c>
      <c r="G10" s="209"/>
      <c r="H10" s="108"/>
      <c r="I10" s="109" t="s">
        <v>252</v>
      </c>
      <c r="J10" s="74">
        <f t="shared" si="0"/>
        <v>4</v>
      </c>
      <c r="K10" s="270"/>
      <c r="L10" s="207"/>
      <c r="M10" s="270"/>
      <c r="N10" s="207"/>
      <c r="O10" s="206"/>
      <c r="P10" s="207"/>
      <c r="Q10" s="206"/>
      <c r="R10" s="207"/>
      <c r="S10" s="287"/>
      <c r="T10" s="207"/>
      <c r="U10" s="287">
        <v>4</v>
      </c>
      <c r="V10" s="207"/>
      <c r="W10" s="151"/>
      <c r="X10" s="151"/>
      <c r="Y10" s="151"/>
      <c r="Z10" s="151"/>
    </row>
    <row r="11" spans="1:26" ht="15.75" customHeight="1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Q11" s="190" t="s">
        <v>451</v>
      </c>
      <c r="R11" s="151"/>
      <c r="S11" s="151"/>
      <c r="T11" s="151"/>
      <c r="U11" s="151"/>
      <c r="V11" s="151"/>
      <c r="W11" s="151"/>
      <c r="X11" s="151"/>
      <c r="Y11" s="151"/>
      <c r="Z11" s="151"/>
    </row>
    <row r="12" spans="1:26" ht="15.75" customHeight="1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</row>
    <row r="13" spans="1:26" ht="15.75" customHeight="1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 spans="1:26" ht="15.75" customHeight="1">
      <c r="A14" s="151"/>
      <c r="B14" s="151"/>
      <c r="C14" s="151"/>
      <c r="D14" s="151"/>
      <c r="E14" s="193" t="s">
        <v>519</v>
      </c>
      <c r="G14" s="151"/>
      <c r="H14" s="151"/>
      <c r="I14" s="190" t="s">
        <v>520</v>
      </c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 spans="1:26" ht="15.75" customHeight="1">
      <c r="A15" s="151"/>
      <c r="B15" s="151"/>
      <c r="C15" s="151"/>
      <c r="D15" s="107" t="s">
        <v>255</v>
      </c>
      <c r="E15" s="74" t="s">
        <v>253</v>
      </c>
      <c r="F15" s="117" t="s">
        <v>410</v>
      </c>
      <c r="G15" s="288" t="s">
        <v>523</v>
      </c>
      <c r="H15" s="108"/>
      <c r="I15" s="109" t="s">
        <v>252</v>
      </c>
      <c r="J15" s="74">
        <f t="shared" ref="J15:J23" si="1">SUM(K15:V15)</f>
        <v>2</v>
      </c>
      <c r="K15" s="274"/>
      <c r="L15" s="207"/>
      <c r="M15" s="274"/>
      <c r="N15" s="207"/>
      <c r="O15" s="229">
        <v>2</v>
      </c>
      <c r="P15" s="207"/>
      <c r="Q15" s="229"/>
      <c r="R15" s="207"/>
      <c r="S15" s="229"/>
      <c r="T15" s="207"/>
      <c r="U15" s="229"/>
      <c r="V15" s="207"/>
      <c r="W15" s="151"/>
      <c r="X15" s="151"/>
      <c r="Y15" s="151"/>
      <c r="Z15" s="151"/>
    </row>
    <row r="16" spans="1:26" ht="15.75" customHeight="1">
      <c r="A16" s="151"/>
      <c r="B16" s="151"/>
      <c r="C16" s="151"/>
      <c r="D16" s="107" t="s">
        <v>255</v>
      </c>
      <c r="E16" s="74" t="s">
        <v>253</v>
      </c>
      <c r="F16" s="117" t="s">
        <v>263</v>
      </c>
      <c r="G16" s="213"/>
      <c r="H16" s="108"/>
      <c r="I16" s="109" t="s">
        <v>252</v>
      </c>
      <c r="J16" s="74">
        <f t="shared" si="1"/>
        <v>6</v>
      </c>
      <c r="K16" s="274"/>
      <c r="L16" s="207"/>
      <c r="M16" s="274"/>
      <c r="N16" s="207"/>
      <c r="O16" s="229"/>
      <c r="P16" s="207"/>
      <c r="Q16" s="229">
        <v>6</v>
      </c>
      <c r="R16" s="207"/>
      <c r="S16" s="229"/>
      <c r="T16" s="207"/>
      <c r="U16" s="229"/>
      <c r="V16" s="207"/>
      <c r="W16" s="151"/>
      <c r="X16" s="151"/>
      <c r="Y16" s="151"/>
      <c r="Z16" s="151"/>
    </row>
    <row r="17" spans="1:26" ht="15.75" customHeight="1">
      <c r="A17" s="151"/>
      <c r="B17" s="151"/>
      <c r="C17" s="151"/>
      <c r="D17" s="107"/>
      <c r="E17" s="74" t="s">
        <v>260</v>
      </c>
      <c r="F17" s="117" t="s">
        <v>412</v>
      </c>
      <c r="G17" s="213"/>
      <c r="H17" s="108"/>
      <c r="I17" s="109" t="s">
        <v>252</v>
      </c>
      <c r="J17" s="74">
        <f t="shared" si="1"/>
        <v>19</v>
      </c>
      <c r="K17" s="274"/>
      <c r="L17" s="207"/>
      <c r="M17" s="274"/>
      <c r="N17" s="207"/>
      <c r="O17" s="229"/>
      <c r="P17" s="207"/>
      <c r="Q17" s="229"/>
      <c r="R17" s="207"/>
      <c r="S17" s="229">
        <v>6</v>
      </c>
      <c r="T17" s="207"/>
      <c r="U17" s="229">
        <v>13</v>
      </c>
      <c r="V17" s="207"/>
      <c r="W17" s="151"/>
      <c r="X17" s="151"/>
      <c r="Y17" s="151"/>
      <c r="Z17" s="151"/>
    </row>
    <row r="18" spans="1:26" ht="15.75" customHeight="1">
      <c r="A18" s="151"/>
      <c r="B18" s="151"/>
      <c r="C18" s="151"/>
      <c r="D18" s="107"/>
      <c r="E18" s="74"/>
      <c r="F18" s="192" t="s">
        <v>426</v>
      </c>
      <c r="G18" s="213"/>
      <c r="H18" s="108"/>
      <c r="I18" s="109" t="s">
        <v>252</v>
      </c>
      <c r="J18" s="74">
        <f t="shared" si="1"/>
        <v>0</v>
      </c>
      <c r="K18" s="283"/>
      <c r="L18" s="207"/>
      <c r="M18" s="283"/>
      <c r="N18" s="207"/>
      <c r="O18" s="284" t="s">
        <v>274</v>
      </c>
      <c r="P18" s="207"/>
      <c r="Q18" s="284" t="s">
        <v>427</v>
      </c>
      <c r="R18" s="207"/>
      <c r="S18" s="284" t="s">
        <v>428</v>
      </c>
      <c r="T18" s="207"/>
      <c r="U18" s="284" t="s">
        <v>429</v>
      </c>
      <c r="V18" s="207"/>
      <c r="W18" s="151"/>
      <c r="X18" s="151"/>
      <c r="Y18" s="151"/>
      <c r="Z18" s="151"/>
    </row>
    <row r="19" spans="1:26" ht="15.75" customHeight="1">
      <c r="A19" s="151"/>
      <c r="B19" s="151"/>
      <c r="C19" s="151"/>
      <c r="D19" s="107" t="s">
        <v>113</v>
      </c>
      <c r="E19" s="74" t="s">
        <v>260</v>
      </c>
      <c r="F19" s="198" t="s">
        <v>79</v>
      </c>
      <c r="G19" s="213"/>
      <c r="H19" s="108"/>
      <c r="I19" s="109" t="s">
        <v>252</v>
      </c>
      <c r="J19" s="74">
        <f t="shared" si="1"/>
        <v>3</v>
      </c>
      <c r="K19" s="270"/>
      <c r="L19" s="207"/>
      <c r="M19" s="270"/>
      <c r="N19" s="207"/>
      <c r="O19" s="206"/>
      <c r="P19" s="207"/>
      <c r="Q19" s="206">
        <v>3</v>
      </c>
      <c r="R19" s="207"/>
      <c r="S19" s="206"/>
      <c r="T19" s="207"/>
      <c r="U19" s="206"/>
      <c r="V19" s="207"/>
      <c r="W19" s="151"/>
      <c r="X19" s="151"/>
      <c r="Y19" s="151"/>
      <c r="Z19" s="151"/>
    </row>
    <row r="20" spans="1:26" ht="15.75" customHeight="1">
      <c r="A20" s="151"/>
      <c r="B20" s="151"/>
      <c r="C20" s="151"/>
      <c r="D20" s="107" t="s">
        <v>113</v>
      </c>
      <c r="E20" s="74" t="s">
        <v>260</v>
      </c>
      <c r="F20" s="204" t="s">
        <v>60</v>
      </c>
      <c r="G20" s="213"/>
      <c r="H20" s="108"/>
      <c r="I20" s="109" t="s">
        <v>252</v>
      </c>
      <c r="J20" s="74">
        <f t="shared" si="1"/>
        <v>13</v>
      </c>
      <c r="K20" s="270"/>
      <c r="L20" s="207"/>
      <c r="M20" s="270"/>
      <c r="N20" s="207"/>
      <c r="O20" s="206"/>
      <c r="P20" s="207"/>
      <c r="Q20" s="206">
        <v>5</v>
      </c>
      <c r="R20" s="207"/>
      <c r="S20" s="206">
        <v>8</v>
      </c>
      <c r="T20" s="207"/>
      <c r="U20" s="206"/>
      <c r="V20" s="207"/>
      <c r="W20" s="151"/>
      <c r="X20" s="151"/>
      <c r="Y20" s="151"/>
      <c r="Z20" s="151"/>
    </row>
    <row r="21" spans="1:26" ht="15.75" customHeight="1">
      <c r="A21" s="151"/>
      <c r="B21" s="151"/>
      <c r="C21" s="151"/>
      <c r="D21" s="107" t="s">
        <v>113</v>
      </c>
      <c r="E21" s="74" t="s">
        <v>260</v>
      </c>
      <c r="F21" s="198" t="s">
        <v>45</v>
      </c>
      <c r="G21" s="213"/>
      <c r="H21" s="108"/>
      <c r="I21" s="109" t="s">
        <v>252</v>
      </c>
      <c r="J21" s="74">
        <f t="shared" si="1"/>
        <v>15</v>
      </c>
      <c r="K21" s="270"/>
      <c r="L21" s="207"/>
      <c r="M21" s="270"/>
      <c r="N21" s="207"/>
      <c r="O21" s="206">
        <v>10</v>
      </c>
      <c r="P21" s="207"/>
      <c r="Q21" s="206">
        <v>5</v>
      </c>
      <c r="R21" s="207"/>
      <c r="S21" s="206"/>
      <c r="T21" s="207"/>
      <c r="U21" s="206"/>
      <c r="V21" s="207"/>
      <c r="W21" s="151"/>
      <c r="X21" s="151"/>
      <c r="Y21" s="151"/>
      <c r="Z21" s="151"/>
    </row>
    <row r="22" spans="1:26" ht="15.75" customHeight="1">
      <c r="A22" s="151"/>
      <c r="B22" s="151"/>
      <c r="C22" s="151"/>
      <c r="D22" s="107" t="s">
        <v>113</v>
      </c>
      <c r="E22" s="74" t="s">
        <v>260</v>
      </c>
      <c r="F22" s="126" t="s">
        <v>524</v>
      </c>
      <c r="G22" s="213"/>
      <c r="H22" s="108"/>
      <c r="I22" s="109" t="s">
        <v>252</v>
      </c>
      <c r="J22" s="74">
        <f t="shared" si="1"/>
        <v>24</v>
      </c>
      <c r="K22" s="270"/>
      <c r="L22" s="207"/>
      <c r="M22" s="270"/>
      <c r="N22" s="207"/>
      <c r="O22" s="206"/>
      <c r="P22" s="207"/>
      <c r="Q22" s="206"/>
      <c r="R22" s="207"/>
      <c r="S22" s="289">
        <v>12</v>
      </c>
      <c r="T22" s="207"/>
      <c r="U22" s="289">
        <v>12</v>
      </c>
      <c r="V22" s="207"/>
      <c r="W22" s="151"/>
      <c r="X22" s="151"/>
      <c r="Y22" s="151"/>
      <c r="Z22" s="151"/>
    </row>
    <row r="23" spans="1:26" ht="15.75" customHeight="1">
      <c r="A23" s="151"/>
      <c r="B23" s="151"/>
      <c r="C23" s="151"/>
      <c r="D23" s="107" t="s">
        <v>113</v>
      </c>
      <c r="E23" s="74" t="s">
        <v>260</v>
      </c>
      <c r="F23" s="126" t="s">
        <v>522</v>
      </c>
      <c r="G23" s="209"/>
      <c r="H23" s="108"/>
      <c r="I23" s="109" t="s">
        <v>252</v>
      </c>
      <c r="J23" s="74">
        <f t="shared" si="1"/>
        <v>4</v>
      </c>
      <c r="K23" s="270"/>
      <c r="L23" s="207"/>
      <c r="M23" s="270"/>
      <c r="N23" s="207"/>
      <c r="O23" s="206"/>
      <c r="P23" s="207"/>
      <c r="Q23" s="206"/>
      <c r="R23" s="207"/>
      <c r="S23" s="289"/>
      <c r="T23" s="207"/>
      <c r="U23" s="289">
        <v>4</v>
      </c>
      <c r="V23" s="207"/>
      <c r="W23" s="151"/>
      <c r="X23" s="151"/>
      <c r="Y23" s="151"/>
      <c r="Z23" s="151"/>
    </row>
    <row r="24" spans="1:26" ht="15.75" customHeight="1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Q24" s="190" t="s">
        <v>451</v>
      </c>
      <c r="R24" s="151"/>
      <c r="S24" s="151"/>
      <c r="T24" s="151"/>
      <c r="U24" s="151"/>
      <c r="V24" s="151"/>
      <c r="W24" s="151"/>
      <c r="X24" s="151"/>
      <c r="Y24" s="151"/>
      <c r="Z24" s="151"/>
    </row>
    <row r="25" spans="1:26" ht="15.75" customHeight="1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 spans="1:26" ht="15.75" customHeight="1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 spans="1:26" ht="15.75" customHeight="1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spans="1:26" ht="15.75" customHeight="1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 spans="1:26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 spans="1:26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</row>
    <row r="31" spans="1:26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 spans="1:26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</row>
    <row r="33" spans="1:26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</row>
    <row r="34" spans="1:26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 spans="1:26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spans="1:26" ht="15.75" customHeight="1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spans="1:26" ht="15.75" customHeight="1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spans="1:26" ht="15.75" customHeight="1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spans="1:26" ht="15.75" customHeight="1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spans="1:26" ht="15.75" customHeight="1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spans="1:26" ht="15.75" customHeight="1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spans="1:26" ht="15.75" customHeight="1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spans="1:26" ht="15.75" customHeight="1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 spans="1:26" ht="15.75" customHeight="1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</row>
    <row r="45" spans="1:26" ht="15.75" customHeight="1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 spans="1:26" ht="15.75" customHeight="1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 spans="1:26" ht="15.75" customHeight="1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spans="1:26" ht="15.75" customHeight="1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 spans="1:26" ht="15.75" customHeight="1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 spans="1:26" ht="15.75" customHeight="1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spans="1:26" ht="15.75" customHeight="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</row>
    <row r="52" spans="1:26" ht="15.75" customHeight="1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</row>
    <row r="53" spans="1:26" ht="15.75" customHeight="1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</row>
    <row r="54" spans="1:26" ht="12.5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</row>
    <row r="55" spans="1:26" ht="12.5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</row>
    <row r="56" spans="1:26" ht="12.5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</row>
    <row r="57" spans="1:26" ht="12.5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 spans="1:26" ht="12.5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spans="1:26" ht="12.5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spans="1:26" ht="12.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 spans="1:26" ht="12.5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</row>
    <row r="62" spans="1:26" ht="12.5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 spans="1:26" ht="12.5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</row>
    <row r="64" spans="1:26" ht="12.5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 spans="1:26" ht="12.5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</row>
    <row r="66" spans="1:26" ht="12.5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</row>
    <row r="67" spans="1:26" ht="12.5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spans="1:26" ht="12.5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</row>
    <row r="69" spans="1:26" ht="12.5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spans="1:26" ht="12.5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 spans="1:26" ht="12.5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</row>
    <row r="72" spans="1:26" ht="12.5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spans="1:26" ht="12.5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spans="1:26" ht="12.5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spans="1:26" ht="12.5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spans="1:26" ht="12.5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spans="1:26" ht="12.5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spans="1:26" ht="12.5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spans="1:26" ht="12.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spans="1:26" ht="12.5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spans="1:26" ht="12.5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spans="1:26" ht="12.5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spans="1:26" ht="12.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spans="1:26" ht="12.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spans="1:26" ht="12.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spans="1:26" ht="12.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spans="1:26" ht="12.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spans="1:26" ht="12.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spans="1:26" ht="12.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spans="1:26" ht="12.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spans="1:26" ht="12.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spans="1:26" ht="12.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spans="1:26" ht="12.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spans="1:26" ht="12.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spans="1:26" ht="12.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spans="1:26" ht="12.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spans="1:26" ht="12.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spans="1:26" ht="12.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spans="1:26" ht="12.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spans="1:26" ht="12.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spans="1:26" ht="12.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spans="1:26" ht="12.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spans="1:26" ht="12.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spans="1:26" ht="12.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spans="1:26" ht="12.5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spans="1:26" ht="12.5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spans="1:26" ht="12.5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spans="1:26" ht="12.5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spans="1:26" ht="12.5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spans="1:26" ht="12.5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spans="1:26" ht="12.5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spans="1:26" ht="12.5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spans="1:26" ht="12.5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spans="1:26" ht="12.5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spans="1:26" ht="12.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spans="1:26" ht="12.5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spans="1:26" ht="12.5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spans="1:26" ht="12.5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spans="1:26" ht="12.5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spans="1:26" ht="12.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spans="1:26" ht="12.5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spans="1:26" ht="12.5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spans="1:26" ht="12.5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spans="1:26" ht="12.5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spans="1:26" ht="12.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spans="1:26" ht="12.5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spans="1:26" ht="12.5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spans="1:26" ht="12.5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spans="1:26" ht="12.5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spans="1:26" ht="12.5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spans="1:26" ht="12.5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spans="1:26" ht="12.5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spans="1:26" ht="12.5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spans="1:26" ht="12.5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spans="1:26" ht="12.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spans="1:26" ht="12.5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spans="1:26" ht="12.5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spans="1:26" ht="12.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spans="1:26" ht="12.5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spans="1:26" ht="12.5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spans="1:26" ht="12.5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spans="1:26" ht="12.5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spans="1:26" ht="12.5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spans="1:26" ht="12.5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spans="1:26" ht="12.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spans="1:26" ht="12.5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spans="1:26" ht="12.5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spans="1:26" ht="12.5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spans="1:26" ht="12.5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spans="1:26" ht="12.5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spans="1:26" ht="12.5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spans="1:26" ht="12.5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spans="1:26" ht="12.5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spans="1:26" ht="12.5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spans="1:26" ht="12.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spans="1:26" ht="12.5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spans="1:26" ht="12.5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spans="1:26" ht="12.5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spans="1:26" ht="12.5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spans="1:26" ht="12.5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spans="1:26" ht="12.5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spans="1:26" ht="12.5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spans="1:26" ht="12.5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spans="1:26" ht="12.5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spans="1:26" ht="12.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spans="1:26" ht="12.5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spans="1:26" ht="12.5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spans="1:26" ht="12.5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spans="1:26" ht="12.5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spans="1:26" ht="12.5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spans="1:26" ht="12.5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spans="1:26" ht="12.5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spans="1:26" ht="12.5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spans="1:26" ht="12.5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spans="1:26" ht="12.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spans="1:26" ht="12.5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spans="1:26" ht="12.5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spans="1:26" ht="12.5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spans="1:26" ht="12.5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spans="1:26" ht="12.5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spans="1:26" ht="12.5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spans="1:26" ht="12.5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spans="1:26" ht="12.5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spans="1:26" ht="12.5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spans="1:26" ht="12.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spans="1:26" ht="12.5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spans="1:26" ht="12.5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spans="1:26" ht="12.5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spans="1:26" ht="12.5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spans="1:26" ht="12.5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spans="1:26" ht="12.5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spans="1:26" ht="12.5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spans="1:26" ht="12.5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spans="1:26" ht="12.5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spans="1:26" ht="12.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spans="1:26" ht="12.5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spans="1:26" ht="12.5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spans="1:26" ht="12.5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spans="1:26" ht="12.5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spans="1:26" ht="12.5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spans="1:26" ht="12.5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spans="1:26" ht="12.5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spans="1:26" ht="12.5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spans="1:26" ht="12.5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spans="1:26" ht="12.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spans="1:26" ht="12.5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spans="1:26" ht="12.5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spans="1:26" ht="12.5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spans="1:26" ht="12.5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spans="1:26" ht="12.5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spans="1:26" ht="12.5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spans="1:26" ht="12.5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spans="1:26" ht="12.5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spans="1:26" ht="12.5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spans="1:26" ht="12.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spans="1:26" ht="12.5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spans="1:26" ht="12.5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spans="1:26" ht="12.5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spans="1:26" ht="12.5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spans="1:26" ht="12.5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spans="1:26" ht="12.5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spans="1:26" ht="12.5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spans="1:26" ht="12.5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spans="1:26" ht="12.5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spans="1:26" ht="12.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spans="1:26" ht="12.5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spans="1:26" ht="12.5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spans="1:26" ht="12.5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spans="1:26" ht="12.5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spans="1:26" ht="12.5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spans="1:26" ht="12.5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spans="1:26" ht="12.5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spans="1:26" ht="12.5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spans="1:26" ht="12.5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spans="1:26" ht="12.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spans="1:26" ht="12.5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spans="1:26" ht="12.5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spans="1:26" ht="12.5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spans="1:26" ht="12.5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spans="1:26" ht="12.5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spans="1:26" ht="12.5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spans="1:26" ht="12.5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spans="1:26" ht="12.5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spans="1:26" ht="12.5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spans="1:26" ht="12.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spans="1:26" ht="12.5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spans="1:26" ht="12.5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spans="1:26" ht="12.5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spans="1:26" ht="12.5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spans="1:26" ht="12.5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spans="1:26" ht="12.5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spans="1:26" ht="12.5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spans="1:26" ht="12.5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spans="1:26" ht="12.5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spans="1:26" ht="12.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spans="1:26" ht="12.5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spans="1:26" ht="12.5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spans="1:26" ht="12.5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spans="1:26" ht="12.5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spans="1:26" ht="12.5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spans="1:26" ht="12.5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spans="1:26" ht="12.5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spans="1:26" ht="12.5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spans="1:26" ht="12.5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spans="1:26" ht="12.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spans="1:26" ht="12.5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spans="1:26" ht="12.5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spans="1:26" ht="12.5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spans="1:26" ht="12.5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spans="1:26" ht="12.5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spans="1:26" ht="12.5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spans="1:26" ht="12.5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spans="1:26" ht="12.5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spans="1:26" ht="12.5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spans="1:26" ht="12.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spans="1:26" ht="12.5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spans="1:26" ht="12.5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spans="1:26" ht="12.5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spans="1:26" ht="12.5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spans="1:26" ht="12.5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spans="1:26" ht="12.5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spans="1:26" ht="12.5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spans="1:26" ht="12.5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spans="1:26" ht="12.5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spans="1:26" ht="12.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spans="1:26" ht="12.5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spans="1:26" ht="12.5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spans="1:26" ht="12.5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spans="1:26" ht="12.5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spans="1:26" ht="12.5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spans="1:26" ht="12.5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spans="1:26" ht="12.5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spans="1:26" ht="12.5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spans="1:26" ht="12.5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spans="1:26" ht="12.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spans="1:26" ht="12.5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spans="1:26" ht="12.5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spans="1:26" ht="12.5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spans="1:26" ht="12.5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spans="1:26" ht="12.5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spans="1:26" ht="12.5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spans="1:26" ht="12.5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spans="1:26" ht="12.5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spans="1:26" ht="12.5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spans="1:26" ht="12.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spans="1:26" ht="12.5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spans="1:26" ht="12.5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spans="1:26" ht="12.5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spans="1:26" ht="12.5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spans="1:26" ht="12.5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spans="1:26" ht="12.5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spans="1:26" ht="12.5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spans="1:26" ht="12.5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spans="1:26" ht="12.5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spans="1:26" ht="12.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spans="1:26" ht="12.5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spans="1:26" ht="12.5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spans="1:26" ht="12.5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spans="1:26" ht="12.5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spans="1:26" ht="12.5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spans="1:26" ht="12.5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spans="1:26" ht="12.5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spans="1:26" ht="12.5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spans="1:26" ht="12.5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spans="1:26" ht="12.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spans="1:26" ht="12.5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spans="1:26" ht="12.5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spans="1:26" ht="12.5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spans="1:26" ht="12.5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spans="1:26" ht="12.5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spans="1:26" ht="12.5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spans="1:26" ht="12.5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spans="1:26" ht="12.5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spans="1:26" ht="12.5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spans="1:26" ht="12.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spans="1:26" ht="12.5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spans="1:26" ht="12.5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spans="1:26" ht="12.5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spans="1:26" ht="12.5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spans="1:26" ht="12.5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spans="1:26" ht="12.5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spans="1:26" ht="12.5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spans="1:26" ht="12.5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spans="1:26" ht="12.5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spans="1:26" ht="12.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spans="1:26" ht="12.5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spans="1:26" ht="12.5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spans="1:26" ht="12.5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spans="1:26" ht="12.5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spans="1:26" ht="12.5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spans="1:26" ht="12.5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spans="1:26" ht="12.5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spans="1:26" ht="12.5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spans="1:26" ht="12.5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spans="1:26" ht="12.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spans="1:26" ht="12.5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spans="1:26" ht="12.5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spans="1:26" ht="12.5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spans="1:26" ht="12.5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spans="1:26" ht="12.5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spans="1:26" ht="12.5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spans="1:26" ht="12.5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spans="1:26" ht="12.5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spans="1:26" ht="12.5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spans="1:26" ht="12.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spans="1:26" ht="12.5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spans="1:26" ht="12.5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spans="1:26" ht="12.5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spans="1:26" ht="12.5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spans="1:26" ht="12.5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spans="1:26" ht="12.5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spans="1:26" ht="12.5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spans="1:26" ht="12.5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spans="1:26" ht="12.5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spans="1:26" ht="12.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spans="1:26" ht="12.5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spans="1:26" ht="12.5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spans="1:26" ht="12.5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spans="1:26" ht="12.5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spans="1:26" ht="12.5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spans="1:26" ht="12.5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spans="1:26" ht="12.5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spans="1:26" ht="12.5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spans="1:26" ht="12.5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spans="1:26" ht="12.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spans="1:26" ht="12.5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spans="1:26" ht="12.5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spans="1:26" ht="12.5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spans="1:26" ht="12.5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spans="1:26" ht="12.5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spans="1:26" ht="12.5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spans="1:26" ht="12.5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spans="1:26" ht="12.5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spans="1:26" ht="12.5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spans="1:26" ht="12.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spans="1:26" ht="12.5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spans="1:26" ht="12.5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spans="1:26" ht="12.5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spans="1:26" ht="12.5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spans="1:26" ht="12.5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spans="1:26" ht="12.5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spans="1:26" ht="12.5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spans="1:26" ht="12.5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spans="1:26" ht="12.5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spans="1:26" ht="12.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spans="1:26" ht="12.5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spans="1:26" ht="12.5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spans="1:26" ht="12.5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spans="1:26" ht="12.5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spans="1:26" ht="12.5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spans="1:26" ht="12.5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spans="1:26" ht="12.5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spans="1:26" ht="12.5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spans="1:26" ht="12.5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spans="1:26" ht="12.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spans="1:26" ht="12.5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spans="1:26" ht="12.5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spans="1:26" ht="12.5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spans="1:26" ht="12.5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spans="1:26" ht="12.5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spans="1:26" ht="12.5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spans="1:26" ht="12.5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spans="1:26" ht="12.5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spans="1:26" ht="12.5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spans="1:26" ht="12.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spans="1:26" ht="12.5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spans="1:26" ht="12.5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spans="1:26" ht="12.5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spans="1:26" ht="12.5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spans="1:26" ht="12.5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spans="1:26" ht="12.5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spans="1:26" ht="12.5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spans="1:26" ht="12.5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spans="1:26" ht="12.5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spans="1:26" ht="12.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spans="1:26" ht="12.5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spans="1:26" ht="12.5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spans="1:26" ht="12.5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spans="1:26" ht="12.5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spans="1:26" ht="12.5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spans="1:26" ht="12.5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spans="1:26" ht="12.5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spans="1:26" ht="12.5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spans="1:26" ht="12.5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spans="1:26" ht="12.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spans="1:26" ht="12.5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spans="1:26" ht="12.5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spans="1:26" ht="12.5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spans="1:26" ht="12.5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spans="1:26" ht="12.5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spans="1:26" ht="12.5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spans="1:26" ht="12.5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spans="1:26" ht="12.5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spans="1:26" ht="12.5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spans="1:26" ht="12.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spans="1:26" ht="12.5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spans="1:26" ht="12.5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spans="1:26" ht="12.5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spans="1:26" ht="12.5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spans="1:26" ht="12.5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spans="1:26" ht="12.5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spans="1:26" ht="12.5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spans="1:26" ht="12.5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spans="1:26" ht="12.5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spans="1:26" ht="12.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spans="1:26" ht="12.5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spans="1:26" ht="12.5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spans="1:26" ht="12.5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spans="1:26" ht="12.5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spans="1:26" ht="12.5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spans="1:26" ht="12.5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spans="1:26" ht="12.5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spans="1:26" ht="12.5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spans="1:26" ht="12.5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spans="1:26" ht="12.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spans="1:26" ht="12.5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spans="1:26" ht="12.5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spans="1:26" ht="12.5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spans="1:26" ht="12.5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spans="1:26" ht="12.5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spans="1:26" ht="12.5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spans="1:26" ht="12.5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spans="1:26" ht="12.5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spans="1:26" ht="12.5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spans="1:26" ht="12.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spans="1:26" ht="12.5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spans="1:26" ht="12.5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spans="1:26" ht="12.5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spans="1:26" ht="12.5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spans="1:26" ht="12.5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spans="1:26" ht="12.5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spans="1:26" ht="12.5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spans="1:26" ht="12.5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spans="1:26" ht="12.5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spans="1:26" ht="12.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spans="1:26" ht="12.5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spans="1:26" ht="12.5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spans="1:26" ht="12.5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spans="1:26" ht="12.5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spans="1:26" ht="12.5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spans="1:26" ht="12.5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spans="1:26" ht="12.5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spans="1:26" ht="12.5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spans="1:26" ht="12.5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spans="1:26" ht="12.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spans="1:26" ht="12.5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spans="1:26" ht="12.5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spans="1:26" ht="12.5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spans="1:26" ht="12.5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spans="1:26" ht="12.5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spans="1:26" ht="12.5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spans="1:26" ht="12.5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spans="1:26" ht="12.5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spans="1:26" ht="12.5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spans="1:26" ht="12.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spans="1:26" ht="12.5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spans="1:26" ht="12.5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spans="1:26" ht="12.5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spans="1:26" ht="12.5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spans="1:26" ht="12.5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spans="1:26" ht="12.5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spans="1:26" ht="12.5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spans="1:26" ht="12.5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spans="1:26" ht="12.5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ht="12.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ht="12.5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ht="12.5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spans="1:26" ht="12.5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spans="1:26" ht="12.5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spans="1:26" ht="12.5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spans="1:26" ht="12.5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spans="1:26" ht="12.5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spans="1:26" ht="12.5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spans="1:26" ht="12.5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spans="1:26" ht="12.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spans="1:26" ht="12.5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spans="1:26" ht="12.5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spans="1:26" ht="12.5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spans="1:26" ht="12.5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ht="12.5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ht="12.5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ht="12.5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ht="12.5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ht="12.5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ht="12.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ht="12.5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ht="12.5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ht="12.5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ht="12.5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ht="12.5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ht="12.5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ht="12.5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ht="12.5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ht="12.5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ht="12.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ht="12.5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ht="12.5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ht="12.5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ht="12.5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spans="1:26" ht="12.5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spans="1:26" ht="12.5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spans="1:26" ht="12.5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spans="1:26" ht="12.5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ht="12.5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ht="12.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ht="12.5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spans="1:26" ht="12.5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spans="1:26" ht="12.5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spans="1:26" ht="12.5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ht="12.5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ht="12.5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ht="12.5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ht="12.5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ht="12.5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ht="12.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ht="12.5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ht="12.5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ht="12.5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ht="12.5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ht="12.5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ht="12.5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ht="12.5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ht="12.5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ht="12.5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ht="12.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ht="12.5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ht="12.5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ht="12.5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ht="12.5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ht="12.5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ht="12.5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ht="12.5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ht="12.5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ht="12.5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ht="12.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ht="12.5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ht="12.5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ht="12.5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ht="12.5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ht="12.5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ht="12.5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ht="12.5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ht="12.5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ht="12.5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ht="12.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ht="12.5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ht="12.5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ht="12.5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ht="12.5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ht="12.5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ht="12.5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ht="12.5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ht="12.5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ht="12.5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ht="12.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ht="12.5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ht="12.5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ht="12.5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ht="12.5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ht="12.5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ht="12.5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ht="12.5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ht="12.5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ht="12.5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ht="12.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ht="12.5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ht="12.5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ht="12.5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ht="12.5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ht="12.5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ht="12.5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ht="12.5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ht="12.5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ht="12.5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ht="12.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ht="12.5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ht="12.5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ht="12.5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ht="12.5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ht="12.5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ht="12.5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ht="12.5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ht="12.5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ht="12.5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ht="12.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ht="12.5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ht="12.5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ht="12.5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ht="12.5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ht="12.5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ht="12.5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ht="12.5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ht="12.5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ht="12.5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ht="12.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ht="12.5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ht="12.5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ht="12.5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ht="12.5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ht="12.5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ht="12.5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ht="12.5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ht="12.5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ht="12.5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ht="12.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ht="12.5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ht="12.5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ht="12.5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ht="12.5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ht="12.5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ht="12.5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ht="12.5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ht="12.5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ht="12.5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ht="12.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ht="12.5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ht="12.5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ht="12.5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ht="12.5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ht="12.5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ht="12.5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ht="12.5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ht="12.5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ht="12.5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ht="12.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ht="12.5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ht="12.5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ht="12.5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ht="12.5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ht="12.5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ht="12.5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ht="12.5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ht="12.5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ht="12.5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ht="12.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ht="12.5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ht="12.5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ht="12.5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ht="12.5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ht="12.5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ht="12.5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ht="12.5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ht="12.5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ht="12.5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ht="12.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ht="12.5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ht="12.5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ht="12.5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ht="12.5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ht="12.5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ht="12.5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ht="12.5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ht="12.5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ht="12.5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ht="12.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ht="12.5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ht="12.5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ht="12.5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ht="12.5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ht="12.5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ht="12.5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ht="12.5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ht="12.5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ht="12.5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ht="12.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ht="12.5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ht="12.5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ht="12.5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ht="12.5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ht="12.5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ht="12.5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ht="12.5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ht="12.5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ht="12.5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ht="12.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ht="12.5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ht="12.5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ht="12.5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ht="12.5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ht="12.5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ht="12.5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ht="12.5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ht="12.5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ht="12.5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ht="12.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ht="12.5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ht="12.5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ht="12.5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ht="12.5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ht="12.5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ht="12.5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ht="12.5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ht="12.5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ht="12.5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ht="12.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ht="12.5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ht="12.5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ht="12.5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ht="12.5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ht="12.5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ht="12.5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ht="12.5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ht="12.5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ht="12.5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ht="12.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ht="12.5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ht="12.5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ht="12.5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ht="12.5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ht="12.5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ht="12.5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ht="12.5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ht="12.5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ht="12.5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ht="12.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ht="12.5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ht="12.5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ht="12.5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ht="12.5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ht="12.5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ht="12.5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ht="12.5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ht="12.5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ht="12.5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ht="12.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ht="12.5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ht="12.5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ht="12.5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ht="12.5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ht="12.5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ht="12.5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ht="12.5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ht="12.5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ht="12.5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ht="12.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ht="12.5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ht="12.5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ht="12.5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ht="12.5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ht="12.5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ht="12.5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ht="12.5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ht="12.5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ht="12.5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ht="12.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ht="12.5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ht="12.5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ht="12.5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ht="12.5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ht="12.5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ht="12.5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ht="12.5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ht="12.5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ht="12.5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ht="12.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ht="12.5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ht="12.5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ht="12.5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ht="12.5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ht="12.5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ht="12.5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ht="12.5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ht="12.5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ht="12.5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ht="12.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ht="12.5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ht="12.5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ht="12.5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ht="12.5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ht="12.5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ht="12.5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ht="12.5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ht="12.5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ht="12.5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ht="12.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ht="12.5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ht="12.5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ht="12.5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ht="12.5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ht="12.5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ht="12.5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ht="12.5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ht="12.5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ht="12.5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ht="12.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ht="12.5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ht="12.5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ht="12.5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ht="12.5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ht="12.5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ht="12.5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ht="12.5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ht="12.5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ht="12.5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ht="12.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ht="12.5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ht="12.5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ht="12.5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ht="12.5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ht="12.5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ht="12.5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ht="12.5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ht="12.5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ht="12.5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ht="12.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ht="12.5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spans="1:26" ht="12.5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spans="1:26" ht="12.5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spans="1:26" ht="12.5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spans="1:26" ht="12.5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spans="1:26" ht="12.5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spans="1:26" ht="12.5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spans="1:26" ht="12.5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spans="1:26" ht="12.5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spans="1:26" ht="12.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spans="1:26" ht="12.5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spans="1:26" ht="12.5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spans="1:26" ht="12.5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spans="1:26" ht="12.5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spans="1:26" ht="12.5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spans="1:26" ht="12.5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spans="1:26" ht="12.5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spans="1:26" ht="12.5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spans="1:26" ht="12.5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spans="1:26" ht="12.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spans="1:26" ht="12.5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spans="1:26" ht="12.5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spans="1:26" ht="12.5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</sheetData>
  <mergeCells count="110">
    <mergeCell ref="O2:P2"/>
    <mergeCell ref="Q2:R2"/>
    <mergeCell ref="S2:T2"/>
    <mergeCell ref="U2:V2"/>
    <mergeCell ref="Q16:R16"/>
    <mergeCell ref="S16:T16"/>
    <mergeCell ref="O10:P10"/>
    <mergeCell ref="Q10:R10"/>
    <mergeCell ref="O15:P15"/>
    <mergeCell ref="Q15:R15"/>
    <mergeCell ref="S15:T15"/>
    <mergeCell ref="U15:V15"/>
    <mergeCell ref="O16:P16"/>
    <mergeCell ref="U16:V16"/>
    <mergeCell ref="Q22:R22"/>
    <mergeCell ref="S22:T22"/>
    <mergeCell ref="O22:P22"/>
    <mergeCell ref="O23:P23"/>
    <mergeCell ref="Q23:R23"/>
    <mergeCell ref="S23:T23"/>
    <mergeCell ref="U23:V23"/>
    <mergeCell ref="Q20:R20"/>
    <mergeCell ref="S20:T20"/>
    <mergeCell ref="O21:P21"/>
    <mergeCell ref="Q21:R21"/>
    <mergeCell ref="S21:T21"/>
    <mergeCell ref="U21:V21"/>
    <mergeCell ref="U22:V22"/>
    <mergeCell ref="O20:P20"/>
    <mergeCell ref="U20:V20"/>
    <mergeCell ref="K22:L22"/>
    <mergeCell ref="M22:N22"/>
    <mergeCell ref="K23:L23"/>
    <mergeCell ref="M23:N23"/>
    <mergeCell ref="K10:L10"/>
    <mergeCell ref="M10:N10"/>
    <mergeCell ref="G15:G23"/>
    <mergeCell ref="K15:L15"/>
    <mergeCell ref="M15:N15"/>
    <mergeCell ref="K16:L16"/>
    <mergeCell ref="M16:N16"/>
    <mergeCell ref="G2:G10"/>
    <mergeCell ref="K2:L2"/>
    <mergeCell ref="M2:N2"/>
    <mergeCell ref="K17:L17"/>
    <mergeCell ref="M17:N17"/>
    <mergeCell ref="K18:L18"/>
    <mergeCell ref="M18:N18"/>
    <mergeCell ref="K19:L19"/>
    <mergeCell ref="M19:N19"/>
    <mergeCell ref="K9:L9"/>
    <mergeCell ref="M9:N9"/>
    <mergeCell ref="O9:P9"/>
    <mergeCell ref="Q9:R9"/>
    <mergeCell ref="S9:T9"/>
    <mergeCell ref="U9:V9"/>
    <mergeCell ref="K20:L20"/>
    <mergeCell ref="M20:N20"/>
    <mergeCell ref="K21:L21"/>
    <mergeCell ref="M21:N21"/>
    <mergeCell ref="S10:T10"/>
    <mergeCell ref="U10:V10"/>
    <mergeCell ref="O17:P17"/>
    <mergeCell ref="Q17:R17"/>
    <mergeCell ref="S17:T17"/>
    <mergeCell ref="U17:V17"/>
    <mergeCell ref="O18:P18"/>
    <mergeCell ref="Q18:R18"/>
    <mergeCell ref="S18:T18"/>
    <mergeCell ref="U18:V18"/>
    <mergeCell ref="O19:P19"/>
    <mergeCell ref="Q19:R19"/>
    <mergeCell ref="S19:T19"/>
    <mergeCell ref="U19:V19"/>
    <mergeCell ref="K7:L7"/>
    <mergeCell ref="M7:N7"/>
    <mergeCell ref="O7:P7"/>
    <mergeCell ref="Q7:R7"/>
    <mergeCell ref="S7:T7"/>
    <mergeCell ref="U7:V7"/>
    <mergeCell ref="K8:L8"/>
    <mergeCell ref="M8:N8"/>
    <mergeCell ref="O8:P8"/>
    <mergeCell ref="Q8:R8"/>
    <mergeCell ref="S8:T8"/>
    <mergeCell ref="U8:V8"/>
    <mergeCell ref="K5:L5"/>
    <mergeCell ref="M5:N5"/>
    <mergeCell ref="O5:P5"/>
    <mergeCell ref="Q5:R5"/>
    <mergeCell ref="S5:T5"/>
    <mergeCell ref="U5:V5"/>
    <mergeCell ref="K6:L6"/>
    <mergeCell ref="M6:N6"/>
    <mergeCell ref="O6:P6"/>
    <mergeCell ref="Q6:R6"/>
    <mergeCell ref="S6:T6"/>
    <mergeCell ref="U6:V6"/>
    <mergeCell ref="K3:L3"/>
    <mergeCell ref="M3:N3"/>
    <mergeCell ref="O3:P3"/>
    <mergeCell ref="Q3:R3"/>
    <mergeCell ref="S3:T3"/>
    <mergeCell ref="U3:V3"/>
    <mergeCell ref="K4:L4"/>
    <mergeCell ref="M4:N4"/>
    <mergeCell ref="O4:P4"/>
    <mergeCell ref="Q4:R4"/>
    <mergeCell ref="S4:T4"/>
    <mergeCell ref="U4:V4"/>
  </mergeCells>
  <phoneticPr fontId="6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1. 2027교육과정(공정설비) 안 작성중</vt:lpstr>
      <vt:lpstr>1A.2027 교육과정 능력단위 편제표(플랜트스마트설비)</vt:lpstr>
      <vt:lpstr>1B.2027 교육과정 능력단위 편제표(플랜트설비보전)</vt:lpstr>
      <vt:lpstr>1C.2027 교육과정 능력단위 편제표(설계(도제))</vt:lpstr>
      <vt:lpstr>2. 2027교육과정(공정운전) 안 작성중</vt:lpstr>
      <vt:lpstr>2A.2027 교육과정 능력단위 편제표(화학공정운전)</vt:lpstr>
      <vt:lpstr>2B.2027 교육과정 능력단위 편제표(화학제품품질분석(</vt:lpstr>
      <vt:lpstr>1. 2027계획에서 컨버팅</vt:lpstr>
      <vt:lpstr>1-1. 1개선제안</vt:lpstr>
      <vt:lpstr>2. 협약형과목 증감협의용</vt:lpstr>
      <vt:lpstr>3. B코스 협의용</vt:lpstr>
      <vt:lpstr>3-0. B코스 후보정리</vt:lpstr>
      <vt:lpstr>4. A코스 제안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choiwonseok</dc:creator>
  <cp:lastModifiedBy>user</cp:lastModifiedBy>
  <dcterms:created xsi:type="dcterms:W3CDTF">2026-10-22T07:13:37Z</dcterms:created>
  <dcterms:modified xsi:type="dcterms:W3CDTF">2026-10-22T07:29:00Z</dcterms:modified>
</cp:coreProperties>
</file>