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2026교육과정\39. 2027신입생 교육과정 편제표 제출\"/>
    </mc:Choice>
  </mc:AlternateContent>
  <xr:revisionPtr revIDLastSave="0" documentId="8_{AA2EDBB9-A540-49A7-AB35-A7488D9D61E9}" xr6:coauthVersionLast="47" xr6:coauthVersionMax="47" xr10:uidLastSave="{00000000-0000-0000-0000-000000000000}"/>
  <bookViews>
    <workbookView xWindow="-108" yWindow="-108" windowWidth="23256" windowHeight="12456" tabRatio="919" firstSheet="1" activeTab="1" xr2:uid="{00000000-000D-0000-FFFF-FFFF00000000}"/>
  </bookViews>
  <sheets>
    <sheet name="교육과정편제표(생태경관디자인과)" sheetId="18" r:id="rId1"/>
    <sheet name="교육과정편제표(식품가공과)" sheetId="17" r:id="rId2"/>
    <sheet name="교육과정편제표(산업설비기계과)" sheetId="8" r:id="rId3"/>
    <sheet name="실무과목 능력단위(생태경관디자인과)" sheetId="19" r:id="rId4"/>
    <sheet name="실무과목 능력단위(식품가공과)" sheetId="20" r:id="rId5"/>
    <sheet name="실무과목 능력단위(산업설비기계과)" sheetId="14" r:id="rId6"/>
    <sheet name="삭제금지" sheetId="4" r:id="rId7"/>
    <sheet name="(참고1) 편성 기준🔐" sheetId="16" r:id="rId8"/>
  </sheets>
  <definedNames>
    <definedName name="_xlnm._FilterDatabase" localSheetId="2" hidden="1">'교육과정편제표(산업설비기계과)'!$M$3:$P$4</definedName>
    <definedName name="_xlnm._FilterDatabase" localSheetId="0" hidden="1">'교육과정편제표(생태경관디자인과)'!$M$3:$P$4</definedName>
    <definedName name="_xlnm._FilterDatabase" localSheetId="1" hidden="1">'교육과정편제표(식품가공과)'!$M$3:$P$4</definedName>
    <definedName name="_xlnm._FilterDatabase" localSheetId="6" hidden="1">삭제금지!$A$1:$F$151</definedName>
    <definedName name="_xlnm._FilterDatabase" localSheetId="5" hidden="1">'실무과목 능력단위(산업설비기계과)'!#REF!</definedName>
    <definedName name="_xlnm._FilterDatabase" localSheetId="3" hidden="1">'실무과목 능력단위(생태경관디자인과)'!#REF!</definedName>
    <definedName name="_xlnm._FilterDatabase" localSheetId="4" hidden="1">'실무과목 능력단위(식품가공과)'!#REF!</definedName>
    <definedName name="_xlnm.Print_Area" localSheetId="2">'교육과정편제표(산업설비기계과)'!$A$1:$AE$61</definedName>
    <definedName name="_xlnm.Print_Area" localSheetId="0">'교육과정편제표(생태경관디자인과)'!$A$1:$AE$57</definedName>
    <definedName name="_xlnm.Print_Area" localSheetId="1">'교육과정편제표(식품가공과)'!$A$1:$AE$61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5" i="18" l="1"/>
  <c r="O55" i="18"/>
  <c r="K55" i="18"/>
  <c r="W55" i="18" s="1"/>
  <c r="Y54" i="18"/>
  <c r="W54" i="18"/>
  <c r="W53" i="18"/>
  <c r="Y50" i="18"/>
  <c r="W50" i="18"/>
  <c r="M49" i="18"/>
  <c r="Y47" i="18"/>
  <c r="Y49" i="18" s="1"/>
  <c r="U47" i="18"/>
  <c r="S47" i="18"/>
  <c r="S49" i="18" s="1"/>
  <c r="Q47" i="18"/>
  <c r="O47" i="18"/>
  <c r="M47" i="18"/>
  <c r="K47" i="18"/>
  <c r="W47" i="18" s="1"/>
  <c r="J47" i="18"/>
  <c r="I47" i="18"/>
  <c r="I49" i="18" s="1"/>
  <c r="H47" i="18"/>
  <c r="W45" i="18"/>
  <c r="W43" i="18"/>
  <c r="W42" i="18"/>
  <c r="W41" i="18"/>
  <c r="W40" i="18"/>
  <c r="W39" i="18"/>
  <c r="W38" i="18"/>
  <c r="W37" i="18"/>
  <c r="W36" i="18"/>
  <c r="W35" i="18"/>
  <c r="W34" i="18"/>
  <c r="Y33" i="18"/>
  <c r="U33" i="18"/>
  <c r="U49" i="18" s="1"/>
  <c r="S33" i="18"/>
  <c r="Q33" i="18"/>
  <c r="Q49" i="18" s="1"/>
  <c r="O33" i="18"/>
  <c r="W33" i="18" s="1"/>
  <c r="M33" i="18"/>
  <c r="K33" i="18"/>
  <c r="K49" i="18" s="1"/>
  <c r="H33" i="18"/>
  <c r="H49" i="18" s="1"/>
  <c r="W31" i="18"/>
  <c r="W29" i="18"/>
  <c r="W28" i="18"/>
  <c r="W27" i="18"/>
  <c r="W26" i="18"/>
  <c r="W25" i="18"/>
  <c r="J25" i="18"/>
  <c r="W24" i="18"/>
  <c r="X24" i="18" s="1"/>
  <c r="J24" i="18"/>
  <c r="J33" i="18" s="1"/>
  <c r="J49" i="18" s="1"/>
  <c r="W23" i="18"/>
  <c r="X22" i="18"/>
  <c r="W22" i="18"/>
  <c r="W21" i="18"/>
  <c r="W20" i="18"/>
  <c r="X20" i="18" s="1"/>
  <c r="W19" i="18"/>
  <c r="W18" i="18"/>
  <c r="X18" i="18" s="1"/>
  <c r="W17" i="18"/>
  <c r="X15" i="18" s="1"/>
  <c r="W16" i="18"/>
  <c r="W15" i="18"/>
  <c r="W14" i="18"/>
  <c r="W13" i="18"/>
  <c r="W12" i="18"/>
  <c r="X12" i="18" s="1"/>
  <c r="W11" i="18"/>
  <c r="X9" i="18" s="1"/>
  <c r="W10" i="18"/>
  <c r="W9" i="18"/>
  <c r="U53" i="19"/>
  <c r="T53" i="19"/>
  <c r="S53" i="19"/>
  <c r="R53" i="19"/>
  <c r="Q53" i="19"/>
  <c r="P53" i="19"/>
  <c r="U48" i="19"/>
  <c r="T48" i="19"/>
  <c r="S48" i="19"/>
  <c r="R48" i="19"/>
  <c r="Q48" i="19"/>
  <c r="P48" i="19"/>
  <c r="S47" i="19"/>
  <c r="U43" i="19"/>
  <c r="T43" i="19"/>
  <c r="S43" i="19"/>
  <c r="R43" i="19"/>
  <c r="Q43" i="19"/>
  <c r="P43" i="19"/>
  <c r="U38" i="19"/>
  <c r="T38" i="19"/>
  <c r="S38" i="19"/>
  <c r="R38" i="19"/>
  <c r="Q38" i="19"/>
  <c r="P38" i="19"/>
  <c r="U33" i="19"/>
  <c r="T33" i="19"/>
  <c r="S33" i="19"/>
  <c r="R33" i="19"/>
  <c r="Q33" i="19"/>
  <c r="P33" i="19"/>
  <c r="Q29" i="19"/>
  <c r="U28" i="19"/>
  <c r="N28" i="19"/>
  <c r="U25" i="19"/>
  <c r="T25" i="19"/>
  <c r="S25" i="19"/>
  <c r="R25" i="19"/>
  <c r="Q25" i="19"/>
  <c r="P25" i="19"/>
  <c r="O25" i="19"/>
  <c r="N25" i="19"/>
  <c r="M25" i="19"/>
  <c r="L25" i="19"/>
  <c r="U20" i="19"/>
  <c r="T20" i="19"/>
  <c r="S20" i="19"/>
  <c r="R20" i="19"/>
  <c r="Q20" i="19"/>
  <c r="P20" i="19"/>
  <c r="O20" i="19"/>
  <c r="N20" i="19"/>
  <c r="L20" i="19"/>
  <c r="M17" i="19"/>
  <c r="M20" i="19" s="1"/>
  <c r="M16" i="19"/>
  <c r="U15" i="19"/>
  <c r="T15" i="19"/>
  <c r="S15" i="19"/>
  <c r="R15" i="19"/>
  <c r="Q15" i="19"/>
  <c r="P15" i="19"/>
  <c r="N15" i="19"/>
  <c r="L15" i="19"/>
  <c r="K15" i="19"/>
  <c r="J15" i="19"/>
  <c r="I15" i="19"/>
  <c r="H15" i="19"/>
  <c r="O14" i="19"/>
  <c r="M14" i="19"/>
  <c r="O13" i="19"/>
  <c r="M13" i="19"/>
  <c r="O12" i="19"/>
  <c r="O15" i="19" s="1"/>
  <c r="M12" i="19"/>
  <c r="M11" i="19"/>
  <c r="M10" i="19"/>
  <c r="K10" i="19"/>
  <c r="I10" i="19"/>
  <c r="M9" i="19"/>
  <c r="M15" i="19" s="1"/>
  <c r="K9" i="19"/>
  <c r="I9" i="19"/>
  <c r="O49" i="18" l="1"/>
  <c r="W49" i="18" s="1"/>
  <c r="U70" i="20" l="1"/>
  <c r="T70" i="20"/>
  <c r="S70" i="20"/>
  <c r="R70" i="20"/>
  <c r="U66" i="20"/>
  <c r="T66" i="20"/>
  <c r="S66" i="20"/>
  <c r="R66" i="20"/>
  <c r="Q66" i="20"/>
  <c r="P66" i="20"/>
  <c r="U62" i="20"/>
  <c r="T62" i="20"/>
  <c r="S62" i="20"/>
  <c r="R62" i="20"/>
  <c r="Q62" i="20"/>
  <c r="P62" i="20"/>
  <c r="U55" i="20"/>
  <c r="T55" i="20"/>
  <c r="S55" i="20"/>
  <c r="R55" i="20"/>
  <c r="Q55" i="20"/>
  <c r="P55" i="20"/>
  <c r="U49" i="20"/>
  <c r="T49" i="20"/>
  <c r="S49" i="20"/>
  <c r="R49" i="20"/>
  <c r="Q49" i="20"/>
  <c r="P49" i="20"/>
  <c r="U45" i="20"/>
  <c r="T45" i="20"/>
  <c r="S45" i="20"/>
  <c r="R45" i="20"/>
  <c r="Q45" i="20"/>
  <c r="P45" i="20"/>
  <c r="U38" i="20"/>
  <c r="T38" i="20"/>
  <c r="S38" i="20"/>
  <c r="R38" i="20"/>
  <c r="Q38" i="20"/>
  <c r="P38" i="20"/>
  <c r="O38" i="20"/>
  <c r="N38" i="20"/>
  <c r="M38" i="20"/>
  <c r="L38" i="20"/>
  <c r="U31" i="20"/>
  <c r="T31" i="20"/>
  <c r="S31" i="20"/>
  <c r="R31" i="20"/>
  <c r="Q31" i="20"/>
  <c r="P31" i="20"/>
  <c r="O31" i="20"/>
  <c r="N31" i="20"/>
  <c r="M31" i="20"/>
  <c r="L31" i="20"/>
  <c r="U25" i="20"/>
  <c r="T25" i="20"/>
  <c r="S25" i="20"/>
  <c r="R25" i="20"/>
  <c r="Q25" i="20"/>
  <c r="P25" i="20"/>
  <c r="O25" i="20"/>
  <c r="N25" i="20"/>
  <c r="M25" i="20"/>
  <c r="L25" i="20"/>
  <c r="U19" i="20"/>
  <c r="T19" i="20"/>
  <c r="S19" i="20"/>
  <c r="R19" i="20"/>
  <c r="Q19" i="20"/>
  <c r="P19" i="20"/>
  <c r="N19" i="20"/>
  <c r="L19" i="20"/>
  <c r="O18" i="20"/>
  <c r="O19" i="20" s="1"/>
  <c r="M18" i="20"/>
  <c r="O17" i="20"/>
  <c r="M17" i="20"/>
  <c r="M16" i="20"/>
  <c r="M15" i="20"/>
  <c r="M14" i="20"/>
  <c r="U13" i="20"/>
  <c r="T13" i="20"/>
  <c r="S13" i="20"/>
  <c r="R13" i="20"/>
  <c r="Q13" i="20"/>
  <c r="P13" i="20"/>
  <c r="O13" i="20"/>
  <c r="N13" i="20"/>
  <c r="M13" i="20"/>
  <c r="L13" i="20"/>
  <c r="J13" i="20"/>
  <c r="K12" i="20"/>
  <c r="K11" i="20"/>
  <c r="K10" i="20"/>
  <c r="K9" i="20"/>
  <c r="K13" i="20" s="1"/>
  <c r="S59" i="17"/>
  <c r="O59" i="17"/>
  <c r="K59" i="17"/>
  <c r="W59" i="17" s="1"/>
  <c r="W58" i="17"/>
  <c r="Y58" i="17" s="1"/>
  <c r="W57" i="17"/>
  <c r="Y54" i="17"/>
  <c r="W54" i="17"/>
  <c r="Y51" i="17"/>
  <c r="Y53" i="17" s="1"/>
  <c r="U51" i="17"/>
  <c r="S51" i="17"/>
  <c r="Q51" i="17"/>
  <c r="O51" i="17"/>
  <c r="M51" i="17"/>
  <c r="K51" i="17"/>
  <c r="W51" i="17" s="1"/>
  <c r="J51" i="17"/>
  <c r="I51" i="17"/>
  <c r="I53" i="17" s="1"/>
  <c r="H51" i="17"/>
  <c r="W48" i="17"/>
  <c r="W45" i="17"/>
  <c r="W43" i="17"/>
  <c r="W42" i="17"/>
  <c r="W41" i="17"/>
  <c r="W40" i="17"/>
  <c r="W39" i="17"/>
  <c r="W38" i="17"/>
  <c r="W37" i="17"/>
  <c r="W36" i="17"/>
  <c r="W35" i="17"/>
  <c r="W34" i="17"/>
  <c r="Y33" i="17"/>
  <c r="U33" i="17"/>
  <c r="U53" i="17" s="1"/>
  <c r="S33" i="17"/>
  <c r="S53" i="17" s="1"/>
  <c r="Q33" i="17"/>
  <c r="Q53" i="17" s="1"/>
  <c r="O33" i="17"/>
  <c r="O53" i="17" s="1"/>
  <c r="M33" i="17"/>
  <c r="M53" i="17" s="1"/>
  <c r="K33" i="17"/>
  <c r="J33" i="17"/>
  <c r="J53" i="17" s="1"/>
  <c r="H33" i="17"/>
  <c r="H53" i="17" s="1"/>
  <c r="W31" i="17"/>
  <c r="W29" i="17"/>
  <c r="W28" i="17"/>
  <c r="W27" i="17"/>
  <c r="W26" i="17"/>
  <c r="W25" i="17"/>
  <c r="J25" i="17"/>
  <c r="X24" i="17"/>
  <c r="W24" i="17"/>
  <c r="J24" i="17"/>
  <c r="W23" i="17"/>
  <c r="X22" i="17"/>
  <c r="W22" i="17"/>
  <c r="W21" i="17"/>
  <c r="W20" i="17"/>
  <c r="X20" i="17" s="1"/>
  <c r="W19" i="17"/>
  <c r="X18" i="17" s="1"/>
  <c r="W18" i="17"/>
  <c r="W17" i="17"/>
  <c r="W16" i="17"/>
  <c r="W15" i="17"/>
  <c r="X15" i="17" s="1"/>
  <c r="W14" i="17"/>
  <c r="X12" i="17" s="1"/>
  <c r="W13" i="17"/>
  <c r="W12" i="17"/>
  <c r="W11" i="17"/>
  <c r="W10" i="17"/>
  <c r="X9" i="17"/>
  <c r="W9" i="17"/>
  <c r="M19" i="20" l="1"/>
  <c r="K53" i="17"/>
  <c r="W53" i="17" s="1"/>
  <c r="W33" i="17"/>
  <c r="Q56" i="14" l="1"/>
  <c r="R56" i="14"/>
  <c r="S56" i="14"/>
  <c r="T56" i="14"/>
  <c r="U56" i="14"/>
  <c r="P56" i="14"/>
  <c r="S55" i="14"/>
  <c r="S54" i="14"/>
  <c r="Q53" i="14"/>
  <c r="Q52" i="14"/>
  <c r="Q51" i="14"/>
  <c r="R51" i="14"/>
  <c r="S51" i="14"/>
  <c r="T51" i="14"/>
  <c r="U51" i="14"/>
  <c r="P51" i="14"/>
  <c r="S50" i="14"/>
  <c r="S49" i="14"/>
  <c r="Q48" i="14"/>
  <c r="Q47" i="14"/>
  <c r="Q46" i="14"/>
  <c r="R46" i="14"/>
  <c r="S46" i="14"/>
  <c r="T46" i="14"/>
  <c r="U46" i="14"/>
  <c r="P46" i="14"/>
  <c r="S45" i="14"/>
  <c r="S44" i="14"/>
  <c r="Q43" i="14"/>
  <c r="Q42" i="14"/>
  <c r="S39" i="14"/>
  <c r="S40" i="14"/>
  <c r="S38" i="14"/>
  <c r="Q41" i="14"/>
  <c r="R41" i="14"/>
  <c r="T41" i="14"/>
  <c r="U41" i="14"/>
  <c r="P41" i="14"/>
  <c r="Q36" i="14"/>
  <c r="Q37" i="14"/>
  <c r="Q35" i="14"/>
  <c r="T34" i="14"/>
  <c r="U34" i="14"/>
  <c r="S32" i="14"/>
  <c r="S33" i="14"/>
  <c r="S31" i="14"/>
  <c r="Q29" i="14"/>
  <c r="Q30" i="14"/>
  <c r="Q28" i="14"/>
  <c r="Q34" i="14" s="1"/>
  <c r="R34" i="14"/>
  <c r="P34" i="14"/>
  <c r="O27" i="14"/>
  <c r="N27" i="14"/>
  <c r="O26" i="14"/>
  <c r="O25" i="14"/>
  <c r="O23" i="14"/>
  <c r="O24" i="14" s="1"/>
  <c r="O22" i="14"/>
  <c r="M21" i="14"/>
  <c r="M20" i="14"/>
  <c r="M15" i="14"/>
  <c r="M19" i="14" s="1"/>
  <c r="N24" i="14"/>
  <c r="L24" i="14"/>
  <c r="L19" i="14"/>
  <c r="N19" i="14"/>
  <c r="O19" i="14"/>
  <c r="K14" i="14"/>
  <c r="O18" i="14"/>
  <c r="O17" i="14"/>
  <c r="M16" i="14"/>
  <c r="U13" i="14"/>
  <c r="T13" i="14"/>
  <c r="U12" i="14"/>
  <c r="U14" i="14" s="1"/>
  <c r="T12" i="14"/>
  <c r="J14" i="14"/>
  <c r="K13" i="14"/>
  <c r="K12" i="14"/>
  <c r="H11" i="14"/>
  <c r="I11" i="14"/>
  <c r="K11" i="14"/>
  <c r="J11" i="14"/>
  <c r="P11" i="14"/>
  <c r="R11" i="14"/>
  <c r="S41" i="14" l="1"/>
  <c r="S34" i="14"/>
  <c r="M24" i="14"/>
  <c r="T14" i="14"/>
  <c r="J51" i="8"/>
  <c r="U51" i="8"/>
  <c r="S51" i="8"/>
  <c r="Q51" i="8"/>
  <c r="W49" i="8"/>
  <c r="W47" i="8"/>
  <c r="W43" i="8"/>
  <c r="W42" i="8"/>
  <c r="H51" i="8"/>
  <c r="H33" i="8"/>
  <c r="J25" i="8"/>
  <c r="J24" i="8"/>
  <c r="AA54" i="18"/>
  <c r="AA58" i="17"/>
  <c r="S59" i="8"/>
  <c r="O59" i="8"/>
  <c r="K59" i="8"/>
  <c r="W58" i="8"/>
  <c r="Y58" i="8" s="1"/>
  <c r="W57" i="8"/>
  <c r="AA58" i="8" s="1"/>
  <c r="Y54" i="8"/>
  <c r="W54" i="8"/>
  <c r="Y51" i="8"/>
  <c r="O51" i="8"/>
  <c r="M51" i="8"/>
  <c r="K51" i="8"/>
  <c r="I51" i="8"/>
  <c r="I53" i="8" s="1"/>
  <c r="W45" i="8"/>
  <c r="W41" i="8"/>
  <c r="W40" i="8"/>
  <c r="W39" i="8"/>
  <c r="W38" i="8"/>
  <c r="W37" i="8"/>
  <c r="W36" i="8"/>
  <c r="W35" i="8"/>
  <c r="W34" i="8"/>
  <c r="Y33" i="8"/>
  <c r="U33" i="8"/>
  <c r="S33" i="8"/>
  <c r="Q33" i="8"/>
  <c r="O33" i="8"/>
  <c r="M33" i="8"/>
  <c r="K33" i="8"/>
  <c r="W31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J33" i="8" l="1"/>
  <c r="J53" i="8" s="1"/>
  <c r="X20" i="8"/>
  <c r="X24" i="8"/>
  <c r="O53" i="8"/>
  <c r="AA60" i="17"/>
  <c r="AA33" i="17"/>
  <c r="AA56" i="18"/>
  <c r="AA33" i="18"/>
  <c r="X15" i="8"/>
  <c r="M53" i="8"/>
  <c r="W59" i="8"/>
  <c r="Q53" i="8"/>
  <c r="U53" i="8"/>
  <c r="W51" i="8"/>
  <c r="X22" i="8"/>
  <c r="S53" i="8"/>
  <c r="X12" i="8"/>
  <c r="X9" i="8"/>
  <c r="AA60" i="8"/>
  <c r="Y53" i="8"/>
  <c r="H53" i="8"/>
  <c r="W33" i="8"/>
  <c r="AA33" i="8" s="1"/>
  <c r="X18" i="8"/>
  <c r="K53" i="8"/>
  <c r="T10" i="14"/>
  <c r="S10" i="14"/>
  <c r="Q10" i="14"/>
  <c r="K10" i="14"/>
  <c r="I10" i="14"/>
  <c r="AA55" i="17" l="1"/>
  <c r="AA51" i="18"/>
  <c r="U10" i="14"/>
  <c r="W53" i="8"/>
  <c r="AA55" i="8" s="1"/>
  <c r="I9" i="14"/>
  <c r="K9" i="14"/>
  <c r="M11" i="14"/>
  <c r="O11" i="14"/>
  <c r="Q9" i="14"/>
  <c r="Q11" i="14" s="1"/>
  <c r="S9" i="14"/>
  <c r="S11" i="14" s="1"/>
  <c r="T9" i="14"/>
  <c r="L11" i="14"/>
  <c r="N11" i="14"/>
  <c r="U9" i="14" l="1"/>
  <c r="U11" i="14" s="1"/>
  <c r="T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4" authorId="0" shapeId="0" xr:uid="{4607B256-D10D-41F6-A2D7-BD4AEBDBB96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7" authorId="0" shapeId="0" xr:uid="{8821E56E-CC8C-4160-B73F-ADE6E02806AE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4" authorId="0" shapeId="0" xr:uid="{248B6D84-C8CE-4E4C-BEF3-9EF9807B974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1" authorId="0" shapeId="0" xr:uid="{3F0D32A2-4914-4665-A9B6-2A639C16422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4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1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<sst xmlns="http://schemas.openxmlformats.org/spreadsheetml/2006/main" count="2169" uniqueCount="831">
  <si>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</si>
  <si>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</si>
  <si>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</si>
  <si>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</si>
  <si>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</si>
  <si>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</si>
  <si>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</si>
  <si>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</si>
  <si>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</si>
  <si>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</si>
  <si>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</si>
  <si>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</si>
  <si>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</si>
  <si>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</si>
  <si>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</si>
  <si>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</si>
  <si>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</si>
  <si>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</si>
  <si>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</si>
  <si>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</si>
  <si>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</si>
  <si>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</si>
  <si>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</si>
  <si>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</si>
  <si>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</si>
  <si>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</si>
  <si>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</si>
  <si>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</si>
  <si>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</si>
  <si>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</si>
  <si>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</si>
  <si>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</si>
  <si>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</si>
  <si>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</si>
  <si>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</si>
  <si>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</si>
  <si>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</si>
  <si>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</si>
  <si>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</si>
  <si>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</si>
  <si>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</si>
  <si>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</si>
  <si>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</si>
  <si>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</si>
  <si>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</si>
  <si>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</si>
  <si>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</si>
  <si>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</si>
  <si>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</si>
  <si>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</si>
  <si>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</si>
  <si>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</si>
  <si>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</si>
  <si>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</si>
  <si>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</si>
  <si>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</si>
  <si>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</si>
  <si>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</si>
  <si>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</si>
  <si>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</si>
  <si>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</si>
  <si>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</si>
  <si>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</si>
  <si>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</si>
  <si>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</si>
  <si>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</si>
  <si>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</si>
  <si>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</si>
  <si>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</si>
  <si>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</si>
  <si>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</si>
  <si>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</si>
  <si>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</si>
  <si>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</si>
  <si>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</si>
  <si>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</si>
  <si>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</si>
  <si>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</si>
  <si>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</si>
  <si>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</si>
  <si>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</si>
  <si>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</si>
  <si>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</si>
  <si>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</si>
  <si>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</si>
  <si>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</si>
  <si>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</si>
  <si>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</si>
  <si>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</si>
  <si>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</si>
  <si>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</si>
  <si>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</si>
  <si>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</si>
  <si>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</si>
  <si>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</si>
  <si>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</si>
  <si>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</si>
  <si>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</si>
  <si>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</si>
  <si>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</si>
  <si>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</si>
  <si>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</si>
  <si>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</si>
  <si>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</si>
  <si>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</si>
  <si>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</si>
  <si>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</si>
  <si>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</si>
  <si>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</si>
  <si>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</si>
  <si>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</si>
  <si>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</si>
  <si>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</si>
  <si>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</si>
  <si>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</si>
  <si>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</si>
  <si>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</si>
  <si>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</si>
  <si>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</si>
  <si>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</si>
  <si>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</si>
  <si>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</si>
  <si>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</si>
  <si>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</si>
  <si>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</si>
  <si>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</si>
  <si>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</si>
  <si>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</si>
  <si>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</si>
  <si>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</si>
  <si>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</si>
  <si>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</si>
  <si>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</si>
  <si>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</si>
  <si>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</si>
  <si>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</si>
  <si>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</si>
  <si>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</si>
  <si>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</si>
  <si>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</si>
  <si>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</si>
  <si>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</si>
  <si>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</si>
  <si>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</si>
  <si>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</si>
  <si>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</si>
  <si>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</si>
  <si>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</si>
  <si>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</si>
  <si>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</si>
  <si>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</si>
  <si>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</si>
  <si>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</si>
  <si>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</si>
  <si>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</si>
  <si>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</si>
  <si>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</si>
  <si>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</si>
  <si>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</si>
  <si>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</si>
  <si>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</si>
  <si>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</si>
  <si>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</si>
  <si>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</si>
  <si>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</si>
  <si>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</si>
  <si>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</si>
  <si>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</si>
  <si>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</si>
  <si>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</si>
  <si>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</si>
  <si>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</si>
  <si>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</si>
  <si>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</si>
  <si>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</si>
  <si>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</si>
  <si>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</si>
  <si>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</si>
  <si>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</si>
  <si>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</si>
  <si>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</si>
  <si>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</si>
  <si>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</si>
  <si>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</si>
  <si>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</si>
  <si>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</si>
  <si>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</si>
  <si>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</si>
  <si>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</si>
  <si>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</si>
  <si>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</si>
  <si>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</si>
  <si>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</si>
  <si>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</si>
  <si>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</si>
  <si>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</si>
  <si>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</si>
  <si>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</si>
  <si>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</si>
  <si>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</si>
  <si>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</si>
  <si>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</si>
  <si>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</si>
  <si>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</si>
  <si>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</si>
  <si>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</si>
  <si>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</si>
  <si>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</si>
  <si>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</si>
  <si>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</si>
  <si>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</si>
  <si>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</si>
  <si>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</si>
  <si>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</si>
  <si>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</si>
  <si>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</si>
  <si>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</si>
  <si>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</si>
  <si>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</si>
  <si>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</si>
  <si>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</si>
  <si>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</si>
  <si>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</si>
  <si>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</si>
  <si>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</si>
  <si>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</si>
  <si>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</si>
  <si>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</si>
  <si>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</si>
  <si>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</si>
  <si>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</si>
  <si>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</si>
  <si>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</si>
  <si>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</si>
  <si>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</si>
  <si>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</si>
  <si>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</si>
  <si>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</si>
  <si>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</si>
  <si>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</si>
  <si>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</si>
  <si>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</si>
  <si>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</si>
  <si>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</si>
  <si>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</si>
  <si>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</si>
  <si>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</si>
  <si>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</si>
  <si>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</si>
  <si>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</si>
  <si>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</si>
  <si>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</si>
  <si>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</si>
  <si>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</si>
  <si>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</si>
  <si>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</si>
  <si>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</si>
  <si>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</si>
  <si>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</si>
  <si>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</si>
  <si>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</si>
  <si>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</si>
  <si>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</si>
  <si>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</si>
  <si>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</si>
  <si>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</si>
  <si>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</si>
  <si>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</si>
  <si>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</si>
  <si>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</si>
  <si>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</si>
  <si>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</si>
  <si>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</si>
  <si>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</si>
  <si>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</si>
  <si>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</si>
  <si>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</si>
  <si>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</si>
  <si>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</si>
  <si>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</si>
  <si>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</si>
  <si>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</si>
  <si>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</si>
  <si>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</si>
  <si>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</si>
  <si>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</si>
  <si>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</si>
  <si>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</si>
  <si>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</si>
  <si>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</si>
  <si>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</si>
  <si>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</si>
  <si>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</si>
  <si>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</si>
  <si>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</si>
  <si>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</si>
  <si>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</si>
  <si>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</si>
  <si>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</si>
  <si>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</si>
  <si>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</si>
  <si>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</si>
  <si>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</si>
  <si>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</si>
  <si>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</si>
  <si>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</si>
  <si>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</si>
  <si>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</si>
  <si>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</si>
  <si>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</si>
  <si>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</si>
  <si>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</si>
  <si>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</si>
  <si>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</si>
  <si>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</si>
  <si>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</si>
  <si>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</si>
  <si>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</si>
  <si>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</si>
  <si>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</si>
  <si>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</si>
  <si>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</si>
  <si>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</si>
  <si>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</si>
  <si>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</si>
  <si>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</si>
  <si>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</si>
  <si>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</si>
  <si>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</si>
  <si>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</si>
  <si>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</si>
  <si>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</si>
  <si>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</si>
  <si>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</si>
  <si>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</si>
  <si>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</si>
  <si>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</si>
  <si>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</si>
  <si>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</si>
  <si>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</si>
  <si>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</si>
  <si>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</si>
  <si>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</si>
  <si>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</si>
  <si>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</si>
  <si>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</si>
  <si>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</si>
  <si>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</si>
  <si>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</si>
  <si>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</si>
  <si>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전공일반</t>
    <phoneticPr fontId="9" type="noConversion"/>
  </si>
  <si>
    <t>전공실무</t>
    <phoneticPr fontId="9" type="noConversion"/>
  </si>
  <si>
    <t>심화코스1</t>
    <phoneticPr fontId="9" type="noConversion"/>
  </si>
  <si>
    <t>심화코스2</t>
    <phoneticPr fontId="9" type="noConversion"/>
  </si>
  <si>
    <t>식품·조리</t>
    <phoneticPr fontId="9" type="noConversion"/>
  </si>
  <si>
    <t>떡 제조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</si>
  <si>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</si>
  <si>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</si>
  <si>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</si>
  <si>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</si>
  <si>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</si>
  <si>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</si>
  <si>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</si>
  <si>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</si>
  <si>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</si>
  <si>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</si>
  <si>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</si>
  <si>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</si>
  <si>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</si>
  <si>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</si>
  <si>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</si>
  <si>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</si>
  <si>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</si>
  <si>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</si>
  <si>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</si>
  <si>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</si>
  <si>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</si>
  <si>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</si>
  <si>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</si>
  <si>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</si>
  <si>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</si>
  <si>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</si>
  <si>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</si>
  <si>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</si>
  <si>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</si>
  <si>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</si>
  <si>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</si>
  <si>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</si>
  <si>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</si>
  <si>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</si>
  <si>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</si>
  <si>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</si>
  <si>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</si>
  <si>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</si>
  <si>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</si>
  <si>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</si>
  <si>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</si>
  <si>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</si>
  <si>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</si>
  <si>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</si>
  <si>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</si>
  <si>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</si>
  <si>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</si>
  <si>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</si>
  <si>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</si>
  <si>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</si>
  <si>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</si>
  <si>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</si>
  <si>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</si>
  <si>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</si>
  <si>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</si>
  <si>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</si>
  <si>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</si>
  <si>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</si>
  <si>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</si>
  <si>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</si>
  <si>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</si>
  <si>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</si>
  <si>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</si>
  <si>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</si>
  <si>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</si>
  <si>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</si>
  <si>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</si>
  <si>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</si>
  <si>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</si>
  <si>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</si>
  <si>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</si>
  <si>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</si>
  <si>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</si>
  <si>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</si>
  <si>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</si>
  <si>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</si>
  <si>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</si>
  <si>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</si>
  <si>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</si>
  <si>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</si>
  <si>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</si>
  <si>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</si>
  <si>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</si>
  <si>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</si>
  <si>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</si>
  <si>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</si>
  <si>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</si>
  <si>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</si>
  <si>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</si>
  <si>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</si>
  <si>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</si>
  <si>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</si>
  <si>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</si>
  <si>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</si>
  <si>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</si>
  <si>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</si>
  <si>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</si>
  <si>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</si>
  <si>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</si>
  <si>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</si>
  <si>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</si>
  <si>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</si>
  <si>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</si>
  <si>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</si>
  <si>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</si>
  <si>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</si>
  <si>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</si>
  <si>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</si>
  <si>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</si>
  <si>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</si>
  <si>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</si>
  <si>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</si>
  <si>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</si>
  <si>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</si>
  <si>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</si>
  <si>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</si>
  <si>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</si>
  <si>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</si>
  <si>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</si>
  <si>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</si>
  <si>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</si>
  <si>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</si>
  <si>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</si>
  <si>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</si>
  <si>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</si>
  <si>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</si>
  <si>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</si>
  <si>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</si>
  <si>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</si>
  <si>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</si>
  <si>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</si>
  <si>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</si>
  <si>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</si>
  <si>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</si>
  <si>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</si>
  <si>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</si>
  <si>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</si>
  <si>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</si>
  <si>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</si>
  <si>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</si>
  <si>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</si>
  <si>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</si>
  <si>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</si>
  <si>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</si>
  <si>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</si>
  <si>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</si>
  <si>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</si>
  <si>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</si>
  <si>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</si>
  <si>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</si>
  <si>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</si>
  <si>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</si>
  <si>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</si>
  <si>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</si>
  <si>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</si>
  <si>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</si>
  <si>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</si>
  <si>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</si>
  <si>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</si>
  <si>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서산중앙고등학교</t>
    <phoneticPr fontId="9" type="noConversion"/>
  </si>
  <si>
    <t>조경과</t>
  </si>
  <si>
    <t>조경과</t>
    <phoneticPr fontId="9" type="noConversion"/>
  </si>
  <si>
    <t>생태경관디자인과</t>
    <phoneticPr fontId="9" type="noConversion"/>
  </si>
  <si>
    <t>일반</t>
  </si>
  <si>
    <r>
      <t xml:space="preserve">생태경관조성가
</t>
    </r>
    <r>
      <rPr>
        <sz val="5"/>
        <color theme="1"/>
        <rFont val="맑은 고딕"/>
        <family val="3"/>
        <charset val="129"/>
        <scheme val="minor"/>
      </rPr>
      <t>어메니티 자원 재배 및 활용가</t>
    </r>
    <phoneticPr fontId="9" type="noConversion"/>
  </si>
  <si>
    <t>박성진</t>
    <phoneticPr fontId="9" type="noConversion"/>
  </si>
  <si>
    <t>강신영</t>
    <phoneticPr fontId="9" type="noConversion"/>
  </si>
  <si>
    <t>박찬부</t>
    <phoneticPr fontId="9" type="noConversion"/>
  </si>
  <si>
    <t>070-5099-1245</t>
    <phoneticPr fontId="9" type="noConversion"/>
  </si>
  <si>
    <t>농업기초기술</t>
    <phoneticPr fontId="9" type="noConversion"/>
  </si>
  <si>
    <t>노동 인권과 산업 안전 보건</t>
    <phoneticPr fontId="9" type="noConversion"/>
  </si>
  <si>
    <t>재배</t>
    <phoneticPr fontId="5" type="noConversion"/>
  </si>
  <si>
    <t>조경</t>
    <phoneticPr fontId="5" type="noConversion"/>
  </si>
  <si>
    <t>원예</t>
    <phoneticPr fontId="9" type="noConversion"/>
  </si>
  <si>
    <t>농림·축산</t>
  </si>
  <si>
    <t>농림·축산</t>
    <phoneticPr fontId="9" type="noConversion"/>
  </si>
  <si>
    <t>채소 재배</t>
    <phoneticPr fontId="9" type="noConversion"/>
  </si>
  <si>
    <t>화훼 재배</t>
    <phoneticPr fontId="9" type="noConversion"/>
  </si>
  <si>
    <t>지게차 운전·작업</t>
    <phoneticPr fontId="9" type="noConversion"/>
  </si>
  <si>
    <t>식품조리</t>
  </si>
  <si>
    <t>식품가공과</t>
  </si>
  <si>
    <t>제빵원
떡제조원
식품제조원</t>
    <phoneticPr fontId="9" type="noConversion"/>
  </si>
  <si>
    <t>식품과학</t>
    <phoneticPr fontId="5" type="noConversion"/>
  </si>
  <si>
    <t>기초조리</t>
    <phoneticPr fontId="5" type="noConversion"/>
  </si>
  <si>
    <t>한식조리</t>
    <phoneticPr fontId="9" type="noConversion"/>
  </si>
  <si>
    <t>수산 식품가공</t>
    <phoneticPr fontId="9" type="noConversion"/>
  </si>
  <si>
    <t>식품위생</t>
    <phoneticPr fontId="9" type="noConversion"/>
  </si>
  <si>
    <t>제빵</t>
    <phoneticPr fontId="9" type="noConversion"/>
  </si>
  <si>
    <t>식품분석</t>
    <phoneticPr fontId="9" type="noConversion"/>
  </si>
  <si>
    <t>식품 가공 기술</t>
    <phoneticPr fontId="9" type="noConversion"/>
  </si>
  <si>
    <t>제과</t>
    <phoneticPr fontId="9" type="noConversion"/>
  </si>
  <si>
    <t>식품·조리</t>
  </si>
  <si>
    <t>건강 가능 식품가공</t>
    <phoneticPr fontId="9" type="noConversion"/>
  </si>
  <si>
    <t>심화코스3</t>
    <phoneticPr fontId="9" type="noConversion"/>
  </si>
  <si>
    <t>음료·주류 가공</t>
    <phoneticPr fontId="9" type="noConversion"/>
  </si>
  <si>
    <t>식품 품질 관리</t>
    <phoneticPr fontId="9" type="noConversion"/>
  </si>
  <si>
    <t>김치·반찬가공</t>
    <phoneticPr fontId="9" type="noConversion"/>
  </si>
  <si>
    <t>유제품 가공</t>
    <phoneticPr fontId="9" type="noConversion"/>
  </si>
  <si>
    <t>농업 기계</t>
    <phoneticPr fontId="9" type="noConversion"/>
  </si>
  <si>
    <t>농업 정보 관리</t>
    <phoneticPr fontId="9" type="noConversion"/>
  </si>
  <si>
    <t>자동화 설비</t>
    <phoneticPr fontId="9" type="noConversion"/>
  </si>
  <si>
    <t>농업 기계 운전·작업</t>
    <phoneticPr fontId="9" type="noConversion"/>
  </si>
  <si>
    <t>재배</t>
    <phoneticPr fontId="9" type="noConversion"/>
  </si>
  <si>
    <t>목공예</t>
    <phoneticPr fontId="9" type="noConversion"/>
  </si>
  <si>
    <t>농업용 기계 설치·정비</t>
    <phoneticPr fontId="9" type="noConversion"/>
  </si>
  <si>
    <t>소형 무인기 운용·조종</t>
    <phoneticPr fontId="9" type="noConversion"/>
  </si>
  <si>
    <t>조경 시공</t>
    <phoneticPr fontId="9" type="noConversion"/>
  </si>
  <si>
    <t>지게차 설치·정비</t>
    <phoneticPr fontId="9" type="noConversion"/>
  </si>
  <si>
    <t>농업 기계 공작</t>
    <phoneticPr fontId="9" type="noConversion"/>
  </si>
  <si>
    <t>농업용 전기·전자</t>
    <phoneticPr fontId="9" type="noConversion"/>
  </si>
  <si>
    <t>피복 아크 용접</t>
    <phoneticPr fontId="9" type="noConversion"/>
  </si>
  <si>
    <t>내선 공사</t>
    <phoneticPr fontId="9" type="noConversion"/>
  </si>
  <si>
    <t>농업기계과</t>
  </si>
  <si>
    <t>산업설비기계과</t>
    <phoneticPr fontId="9" type="noConversion"/>
  </si>
  <si>
    <t>산업기계설치정비원
산업기계설치수리원</t>
    <phoneticPr fontId="9" type="noConversion"/>
  </si>
  <si>
    <t>안전관리</t>
    <phoneticPr fontId="9" type="noConversion"/>
  </si>
  <si>
    <t>적재·하역운반작업</t>
    <phoneticPr fontId="9" type="noConversion"/>
  </si>
  <si>
    <t>1407040104_16v2</t>
    <phoneticPr fontId="9" type="noConversion"/>
  </si>
  <si>
    <t>1407040107_13v1</t>
    <phoneticPr fontId="9" type="noConversion"/>
  </si>
  <si>
    <t>지게차 엔진 진단·조정</t>
  </si>
  <si>
    <t>1407060301_18v2</t>
  </si>
  <si>
    <t>지게차 유압장치 진단·조정</t>
  </si>
  <si>
    <t>1407060306_18v2</t>
  </si>
  <si>
    <t>1407010604_16v2</t>
  </si>
  <si>
    <t>깎기</t>
  </si>
  <si>
    <t>1407010606_16v2</t>
  </si>
  <si>
    <t>안전·환경관리</t>
  </si>
  <si>
    <t>1407010610_16v2</t>
  </si>
  <si>
    <t>굴착기 엔진 진단·조정</t>
  </si>
  <si>
    <t>굴착기 제동장치 진단·조정</t>
  </si>
  <si>
    <t>굴착기 유압장치 진단·조정</t>
  </si>
  <si>
    <t>굴착기 작업장치 진단·조정</t>
  </si>
  <si>
    <t>잔디식재공사</t>
  </si>
  <si>
    <t>1405010203_23v4</t>
  </si>
  <si>
    <t>1405010213_23v4</t>
  </si>
  <si>
    <t>목공예 공구 준비</t>
  </si>
  <si>
    <t>2202010406_21v5</t>
  </si>
  <si>
    <t>목재 접합 작업</t>
  </si>
  <si>
    <t>2202010411_19v5</t>
  </si>
  <si>
    <t>목공예 연마 작업</t>
  </si>
  <si>
    <t>2202010412_21v5</t>
  </si>
  <si>
    <t>목공예 재단기계 작업</t>
  </si>
  <si>
    <t>2202010419_21v5</t>
  </si>
  <si>
    <t>목공예 절삭기계 작업</t>
  </si>
  <si>
    <t xml:space="preserve">2202010420_21v5 </t>
  </si>
  <si>
    <t>목공예 세공기계 작업</t>
  </si>
  <si>
    <t>2202010421_21v5</t>
  </si>
  <si>
    <t>농업용기계 성능확인점검</t>
  </si>
  <si>
    <t>1505010608_14v2</t>
  </si>
  <si>
    <t>농업용기계 안전관리</t>
  </si>
  <si>
    <t>1505010610_14v2</t>
  </si>
  <si>
    <t>농업용기계 동력장치정비</t>
  </si>
  <si>
    <t>1505010615_18v4</t>
  </si>
  <si>
    <t>농업용기계 작업기정비</t>
  </si>
  <si>
    <t>1505010616_18v4</t>
  </si>
  <si>
    <t>농업용기계 예방정비</t>
  </si>
  <si>
    <t>1505010612_14v2</t>
  </si>
  <si>
    <t>농업용기계 고장진단</t>
  </si>
  <si>
    <t>1505010604_14v2</t>
  </si>
  <si>
    <t>소형무인기 비행 전 준비</t>
  </si>
  <si>
    <t>0904010502_16v1</t>
  </si>
  <si>
    <t>소형무인기 비행 전후 점검</t>
  </si>
  <si>
    <t>0904010503_16v1</t>
  </si>
  <si>
    <t>회전익 소형무인기 비행</t>
  </si>
  <si>
    <t>0904010504_16v1</t>
  </si>
  <si>
    <t>소형무인기 살포 운용</t>
  </si>
  <si>
    <t>0904010511_16v1</t>
  </si>
  <si>
    <t>1601050103_21v3</t>
  </si>
  <si>
    <t>피복아크용접 비드쌓기</t>
  </si>
  <si>
    <t>1601050110_21v3</t>
  </si>
  <si>
    <t>피복아크용접 맞대기용접</t>
  </si>
  <si>
    <t xml:space="preserve">1601050111_21v3 </t>
  </si>
  <si>
    <t>피복아크용접 필릿용접</t>
  </si>
  <si>
    <t xml:space="preserve">1601050112_21v3 </t>
  </si>
  <si>
    <t>피복아크용접 재료준비</t>
    <phoneticPr fontId="9" type="noConversion"/>
  </si>
  <si>
    <t>배관공사</t>
  </si>
  <si>
    <t>1901070116_22v4</t>
  </si>
  <si>
    <t>배선공사</t>
  </si>
  <si>
    <t>1901070117_22v4</t>
  </si>
  <si>
    <t>배관배선검사</t>
  </si>
  <si>
    <t>1901070118_22v4</t>
  </si>
  <si>
    <t>전열공사</t>
  </si>
  <si>
    <t>1901070120_22v4</t>
  </si>
  <si>
    <t>병해관리</t>
  </si>
  <si>
    <t>1405010304_23v3</t>
  </si>
  <si>
    <t>일반 정지전정관리</t>
  </si>
  <si>
    <t>1405010313_23v3</t>
  </si>
  <si>
    <t>초화류관리</t>
  </si>
  <si>
    <t>1405010302_23v3</t>
  </si>
  <si>
    <t>충해관리</t>
  </si>
  <si>
    <t>수목보호관리</t>
  </si>
  <si>
    <t>1405010310_23v3</t>
  </si>
  <si>
    <t>채소 수경재배 관리</t>
  </si>
  <si>
    <t>2401010319_16v3</t>
  </si>
  <si>
    <t>채소재배관리</t>
  </si>
  <si>
    <t>2401010314_22v4</t>
  </si>
  <si>
    <t>2401010316_16v3</t>
  </si>
  <si>
    <t>채소생리장해관리</t>
  </si>
  <si>
    <t>2401010306_22v4</t>
  </si>
  <si>
    <t>2401010502_20v3</t>
  </si>
  <si>
    <t>2401010504_20v3</t>
  </si>
  <si>
    <t>2401010510_20v3</t>
  </si>
  <si>
    <t>조경기초설계</t>
  </si>
  <si>
    <t>1405010114_23v2</t>
  </si>
  <si>
    <t>식재설계</t>
  </si>
  <si>
    <t>1405010107_23v4</t>
  </si>
  <si>
    <t>조경시설설계</t>
  </si>
  <si>
    <t>1405010108_23v4</t>
  </si>
  <si>
    <t>주택정원설계</t>
  </si>
  <si>
    <t>1405010109_23v4</t>
  </si>
  <si>
    <t>조경포장공사</t>
  </si>
  <si>
    <t>1405010206_23v4</t>
  </si>
  <si>
    <t>1405010214_23v4</t>
  </si>
  <si>
    <t>2401040118_19v3</t>
  </si>
  <si>
    <t>2401040114_19v3</t>
  </si>
  <si>
    <t>2401040113_19v3</t>
  </si>
  <si>
    <t>2401040119_19v3</t>
  </si>
  <si>
    <t xml:space="preserve">1405010305_23v3 </t>
  </si>
  <si>
    <t xml:space="preserve">1405010306_23v3 </t>
  </si>
  <si>
    <t>떡제조</t>
    <phoneticPr fontId="9" type="noConversion"/>
  </si>
  <si>
    <t>수산식품가공</t>
    <phoneticPr fontId="9" type="noConversion"/>
  </si>
  <si>
    <t>건강 기능식품가공</t>
    <phoneticPr fontId="9" type="noConversion"/>
  </si>
  <si>
    <t>식품품질관리</t>
    <phoneticPr fontId="9" type="noConversion"/>
  </si>
  <si>
    <t>음료주류가공</t>
    <phoneticPr fontId="9" type="noConversion"/>
  </si>
  <si>
    <t>1301010129_21v4</t>
  </si>
  <si>
    <t>한식 밥조리</t>
  </si>
  <si>
    <t>1301010121_21v4</t>
  </si>
  <si>
    <t>1301010104_21v4</t>
  </si>
  <si>
    <t>한식 구이조리</t>
  </si>
  <si>
    <t>1301010109_21v4</t>
  </si>
  <si>
    <t>설기떡류 만들기</t>
  </si>
  <si>
    <t>2102010301_18v2</t>
  </si>
  <si>
    <t>빚어 찌는 떡류 만들기</t>
  </si>
  <si>
    <t>2102010303_18v2</t>
  </si>
  <si>
    <t>인절미류 만들기</t>
  </si>
  <si>
    <t>2102010309_18v3</t>
  </si>
  <si>
    <t>켜떡류 만들기</t>
  </si>
  <si>
    <t>2102010302_18v3</t>
  </si>
  <si>
    <t>지지는 떡류 만들기</t>
  </si>
  <si>
    <t>2102010324_18v3</t>
  </si>
  <si>
    <t>수산식품가공 위생 관리</t>
  </si>
  <si>
    <t>2101010132_19v2</t>
  </si>
  <si>
    <t>수산식품가공 안전 관리</t>
  </si>
  <si>
    <t>2101010133_19v2</t>
  </si>
  <si>
    <t>수산건제품 제조</t>
  </si>
  <si>
    <t>2101010135_25v3</t>
  </si>
  <si>
    <t>수산훈제품 제조</t>
  </si>
  <si>
    <t>2101010136_25v3</t>
  </si>
  <si>
    <t>수산염장품 제조</t>
  </si>
  <si>
    <t>2101010137_25v3</t>
  </si>
  <si>
    <t>건강기능식품가공 위생관리</t>
  </si>
  <si>
    <t>2101010525_17v2</t>
  </si>
  <si>
    <t>건강기능식품가공 안전관리</t>
  </si>
  <si>
    <t>2101010526_17v2</t>
  </si>
  <si>
    <t>착즙액 제조</t>
  </si>
  <si>
    <t>2101010510_17v2</t>
  </si>
  <si>
    <t>건조분말 제조</t>
  </si>
  <si>
    <t>2101010527_17v2</t>
  </si>
  <si>
    <t>2101010530_17v2</t>
  </si>
  <si>
    <t>빵류제품 생산작업준비</t>
  </si>
  <si>
    <t>2102010213_18v2</t>
  </si>
  <si>
    <t>빵류제품 스트레이트 반죽</t>
  </si>
  <si>
    <t>2102010214_18v4</t>
  </si>
  <si>
    <t>빵류제품 반죽발효</t>
  </si>
  <si>
    <t>2102010203_18v4</t>
  </si>
  <si>
    <t>빵류제품 반죽정형</t>
  </si>
  <si>
    <t>2102010204_18v4</t>
  </si>
  <si>
    <t>빵류제품 반죽익힘</t>
  </si>
  <si>
    <t>2102010205_18v3</t>
  </si>
  <si>
    <t>빵류제품 마무리</t>
  </si>
  <si>
    <t>2102010206_18v3</t>
  </si>
  <si>
    <t>2101010601_17v2</t>
  </si>
  <si>
    <t>절임류 제조</t>
  </si>
  <si>
    <t>2101010603_17v2</t>
  </si>
  <si>
    <t>커피 원두 선택</t>
  </si>
  <si>
    <t>1301020302_13v1</t>
  </si>
  <si>
    <t>1301020315_23v4</t>
  </si>
  <si>
    <t>커피추출운용</t>
  </si>
  <si>
    <t>과자류제품 생산 작업 준비</t>
  </si>
  <si>
    <t>2102010112_18v2</t>
  </si>
  <si>
    <t>2102010102_18v4</t>
  </si>
  <si>
    <t>과자류제품 반죽정형</t>
  </si>
  <si>
    <t>2102010103_18v4</t>
  </si>
  <si>
    <t>과자류제품 반죽익힘</t>
  </si>
  <si>
    <t>2102010104_18v4</t>
  </si>
  <si>
    <t>유제품가공 위생 관리</t>
  </si>
  <si>
    <t>2101010416_19v2</t>
  </si>
  <si>
    <t>유제품가공 안전 관리</t>
  </si>
  <si>
    <t>2101010417_19v2</t>
  </si>
  <si>
    <t>가공치즈 제조ㆍ가공</t>
  </si>
  <si>
    <t>2101010404_19v2</t>
  </si>
  <si>
    <t>우유류 제조</t>
  </si>
  <si>
    <t>2101010418_19v2</t>
  </si>
  <si>
    <t>크림류 제조</t>
  </si>
  <si>
    <t>2101010420_19v2</t>
  </si>
  <si>
    <t>아이스크림류 제조</t>
  </si>
  <si>
    <t>2101010421_19v2</t>
  </si>
  <si>
    <t>입고검사</t>
  </si>
  <si>
    <t>2101011101_20v3</t>
  </si>
  <si>
    <t>공정관리</t>
  </si>
  <si>
    <t>2101011102_20v3</t>
  </si>
  <si>
    <t>샘플 시험검사</t>
  </si>
  <si>
    <t>2101011115_20v2</t>
  </si>
  <si>
    <t>혼합음료 제조</t>
  </si>
  <si>
    <t>2101010905_17v2</t>
  </si>
  <si>
    <t>액상차 제조</t>
  </si>
  <si>
    <t>2101010906_17v2</t>
  </si>
  <si>
    <t>탁주·약주·청주 제조</t>
  </si>
  <si>
    <t>2101010909_17v2</t>
  </si>
  <si>
    <t>한식 생채·회조리</t>
  </si>
  <si>
    <t>한식 국·탕조리</t>
  </si>
  <si>
    <t>문화·예술·디자인·방송</t>
    <phoneticPr fontId="9" type="noConversion"/>
  </si>
  <si>
    <t>김치양념 제조</t>
    <phoneticPr fontId="9" type="noConversion"/>
  </si>
  <si>
    <t>2101010602_17v2</t>
    <phoneticPr fontId="9" type="noConversion"/>
  </si>
  <si>
    <t>조림류 제조</t>
    <phoneticPr fontId="9" type="noConversion"/>
  </si>
  <si>
    <t>2101010604_17v2</t>
    <phoneticPr fontId="9" type="noConversion"/>
  </si>
  <si>
    <t>볶음류 제조</t>
    <phoneticPr fontId="9" type="noConversion"/>
  </si>
  <si>
    <t>2101010605_17v2</t>
    <phoneticPr fontId="9" type="noConversion"/>
  </si>
  <si>
    <t>김치류 제조</t>
    <phoneticPr fontId="9" type="noConversion"/>
  </si>
  <si>
    <t>김치·반찬 가공 생산관리</t>
    <phoneticPr fontId="9" type="noConversion"/>
  </si>
  <si>
    <t>2101010606_17v2</t>
    <phoneticPr fontId="9" type="noConversion"/>
  </si>
  <si>
    <t>커피 기계 운용</t>
    <phoneticPr fontId="9" type="noConversion"/>
  </si>
  <si>
    <t>1301020324_23v4</t>
    <phoneticPr fontId="9" type="noConversion"/>
  </si>
  <si>
    <t>과자류제품 재료 혼합</t>
    <phoneticPr fontId="9" type="noConversion"/>
  </si>
  <si>
    <t>과자류제품 포장</t>
    <phoneticPr fontId="9" type="noConversion"/>
  </si>
  <si>
    <t>2102010105_23v4</t>
    <phoneticPr fontId="9" type="noConversion"/>
  </si>
  <si>
    <t>041-665-7400</t>
    <phoneticPr fontId="9" type="noConversion"/>
  </si>
  <si>
    <t>070-5099-1012</t>
    <phoneticPr fontId="9" type="noConversion"/>
  </si>
  <si>
    <t>1407010608_16v2</t>
    <phoneticPr fontId="9" type="noConversion"/>
  </si>
  <si>
    <t>메우기</t>
    <phoneticPr fontId="9" type="noConversion"/>
  </si>
  <si>
    <t>기초 식재공사</t>
    <phoneticPr fontId="9" type="noConversion"/>
  </si>
  <si>
    <t>굴착기 운전</t>
    <phoneticPr fontId="9" type="noConversion"/>
  </si>
  <si>
    <t>굴착기 정비</t>
    <phoneticPr fontId="9" type="noConversion"/>
  </si>
  <si>
    <t>1407060201_18v2</t>
    <phoneticPr fontId="9" type="noConversion"/>
  </si>
  <si>
    <t>1407060204_18v2</t>
    <phoneticPr fontId="9" type="noConversion"/>
  </si>
  <si>
    <t>1407060205_18v2</t>
    <phoneticPr fontId="9" type="noConversion"/>
  </si>
  <si>
    <t>1407060207_18v2</t>
    <phoneticPr fontId="9" type="noConversion"/>
  </si>
  <si>
    <t>주행</t>
    <phoneticPr fontId="9" type="noConversion"/>
  </si>
  <si>
    <t>식품과 영양</t>
    <phoneticPr fontId="9" type="noConversion"/>
  </si>
  <si>
    <t>바리스타</t>
    <phoneticPr fontId="9" type="noConversion"/>
  </si>
  <si>
    <t>분말ㆍ과립 제조</t>
    <phoneticPr fontId="9" type="noConversion"/>
  </si>
  <si>
    <t>조경 관리</t>
    <phoneticPr fontId="9" type="noConversion"/>
  </si>
  <si>
    <t>관수 및 기타 조경관리</t>
    <phoneticPr fontId="9" type="noConversion"/>
  </si>
  <si>
    <t>채소 재배시설 설치</t>
    <phoneticPr fontId="9" type="noConversion"/>
  </si>
  <si>
    <t>화훼 번식</t>
    <phoneticPr fontId="9" type="noConversion"/>
  </si>
  <si>
    <t>화훼 재배관리</t>
    <phoneticPr fontId="9" type="noConversion"/>
  </si>
  <si>
    <t>화훼 개화조절</t>
    <phoneticPr fontId="9" type="noConversion"/>
  </si>
  <si>
    <t>2401010507_20v3</t>
    <phoneticPr fontId="9" type="noConversion"/>
  </si>
  <si>
    <t>화훼 이용</t>
    <phoneticPr fontId="9" type="noConversion"/>
  </si>
  <si>
    <t>적재·하역·운반작업(구버전)</t>
    <phoneticPr fontId="9" type="noConversion"/>
  </si>
  <si>
    <t>조경 설계</t>
    <phoneticPr fontId="9" type="noConversion"/>
  </si>
  <si>
    <t>일반 식재공사</t>
    <phoneticPr fontId="9" type="noConversion"/>
  </si>
  <si>
    <t>화훼 장식</t>
    <phoneticPr fontId="9" type="noConversion"/>
  </si>
  <si>
    <t>화훼장식 식물 관리</t>
    <phoneticPr fontId="9" type="noConversion"/>
  </si>
  <si>
    <t>화훼장식 절화 기본상품 제작</t>
    <phoneticPr fontId="9" type="noConversion"/>
  </si>
  <si>
    <t>화훼장식 절화상품 재료 구매</t>
    <phoneticPr fontId="9" type="noConversion"/>
  </si>
  <si>
    <t>화훼장식 분화상품 제작</t>
    <phoneticPr fontId="9" type="noConversion"/>
  </si>
  <si>
    <t>스마트 팜 운영</t>
    <phoneticPr fontId="9" type="noConversion"/>
  </si>
  <si>
    <t>시설원예 수경재배관리</t>
    <phoneticPr fontId="9" type="noConversion"/>
  </si>
  <si>
    <t>2401010806_17v1</t>
    <phoneticPr fontId="9" type="noConversion"/>
  </si>
  <si>
    <t>지상환경데이터 계측</t>
    <phoneticPr fontId="9" type="noConversion"/>
  </si>
  <si>
    <t>1903150202_19v1</t>
    <phoneticPr fontId="9" type="noConversion"/>
  </si>
  <si>
    <t>병충해데이터 계측</t>
    <phoneticPr fontId="9" type="noConversion"/>
  </si>
  <si>
    <t>1903150204_19v1</t>
    <phoneticPr fontId="9" type="noConversion"/>
  </si>
  <si>
    <t>생육데이터 계측</t>
    <phoneticPr fontId="9" type="noConversion"/>
  </si>
  <si>
    <t>1903150205_19v1</t>
    <phoneticPr fontId="9" type="noConversion"/>
  </si>
  <si>
    <t>전특작 재배</t>
    <phoneticPr fontId="9" type="noConversion"/>
  </si>
  <si>
    <t>전작 파종육묘관리</t>
    <phoneticPr fontId="9" type="noConversion"/>
  </si>
  <si>
    <t>2401010204_17v3</t>
    <phoneticPr fontId="9" type="noConversion"/>
  </si>
  <si>
    <t>전작 병해관리</t>
    <phoneticPr fontId="9" type="noConversion"/>
  </si>
  <si>
    <t>2401010213_17v3</t>
    <phoneticPr fontId="9" type="noConversion"/>
  </si>
  <si>
    <t>전작 토양관리</t>
    <phoneticPr fontId="9" type="noConversion"/>
  </si>
  <si>
    <t>2401010203_17v3</t>
    <phoneticPr fontId="9" type="noConversion"/>
  </si>
  <si>
    <t>전작 충해관리</t>
    <phoneticPr fontId="9" type="noConversion"/>
  </si>
  <si>
    <t>2401010214_17v3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</si>
</sst>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7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5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i/>
      <sz val="11"/>
      <color rgb="FF0070C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7" fillId="0" borderId="0"/>
  </cellStyleXfs>
  <cellXfs count="8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vertical="center"/>
    </xf>
    <xf numFmtId="0" fontId="13" fillId="10" borderId="96" xfId="6" applyFont="1" applyFill="1" applyBorder="1" applyAlignment="1" applyProtection="1">
      <alignment horizontal="center" vertical="center" wrapText="1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3" fillId="12" borderId="98" xfId="0" applyFont="1" applyFill="1" applyBorder="1" applyAlignment="1" applyProtection="1">
      <alignment horizontal="center" vertical="center"/>
      <protection locked="0"/>
    </xf>
    <xf numFmtId="0" fontId="25" fillId="3" borderId="56" xfId="3" applyFont="1" applyBorder="1" applyAlignment="1" applyProtection="1">
      <alignment horizontal="center" vertical="center"/>
      <protection locked="0"/>
    </xf>
    <xf numFmtId="0" fontId="38" fillId="9" borderId="15" xfId="7" applyNumberFormat="1" applyFont="1" applyFill="1" applyBorder="1" applyAlignment="1" applyProtection="1">
      <alignment horizontal="center" vertical="center" shrinkToFit="1"/>
    </xf>
    <xf numFmtId="176" fontId="38" fillId="9" borderId="15" xfId="7" applyNumberFormat="1" applyFont="1" applyFill="1" applyBorder="1" applyAlignment="1" applyProtection="1">
      <alignment horizontal="center" vertical="center" shrinkToFit="1"/>
    </xf>
    <xf numFmtId="176" fontId="39" fillId="18" borderId="15" xfId="0" applyNumberFormat="1" applyFont="1" applyFill="1" applyBorder="1" applyAlignment="1">
      <alignment horizontal="center" vertical="center" shrinkToFit="1"/>
    </xf>
    <xf numFmtId="176" fontId="18" fillId="16" borderId="98" xfId="7" applyNumberFormat="1" applyFont="1" applyFill="1" applyBorder="1" applyAlignment="1" applyProtection="1">
      <alignment horizontal="center" vertical="center" shrinkToFit="1"/>
    </xf>
    <xf numFmtId="0" fontId="28" fillId="11" borderId="98" xfId="7" applyFont="1" applyFill="1" applyBorder="1" applyAlignment="1" applyProtection="1">
      <alignment horizontal="center" vertical="center" wrapText="1"/>
    </xf>
    <xf numFmtId="0" fontId="38" fillId="9" borderId="97" xfId="7" applyNumberFormat="1" applyFont="1" applyFill="1" applyBorder="1" applyAlignment="1" applyProtection="1">
      <alignment horizontal="center" vertical="center" shrinkToFit="1"/>
    </xf>
    <xf numFmtId="176" fontId="38" fillId="9" borderId="97" xfId="7" applyNumberFormat="1" applyFont="1" applyFill="1" applyBorder="1" applyAlignment="1" applyProtection="1">
      <alignment horizontal="center" vertical="center" shrinkToFit="1"/>
    </xf>
    <xf numFmtId="176" fontId="37" fillId="16" borderId="98" xfId="7" applyNumberFormat="1" applyFont="1" applyFill="1" applyBorder="1" applyAlignment="1" applyProtection="1">
      <alignment horizontal="center" vertical="center" shrinkToFit="1"/>
    </xf>
    <xf numFmtId="176" fontId="39" fillId="18" borderId="12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7" fillId="16" borderId="98" xfId="7" applyNumberFormat="1" applyFont="1" applyFill="1" applyBorder="1" applyAlignment="1" applyProtection="1">
      <alignment horizontal="center" vertical="center" shrinkToFit="1"/>
    </xf>
    <xf numFmtId="0" fontId="18" fillId="16" borderId="98" xfId="7" applyNumberFormat="1" applyFont="1" applyFill="1" applyBorder="1" applyAlignment="1" applyProtection="1">
      <alignment horizontal="center" vertical="center" shrinkToFit="1"/>
    </xf>
    <xf numFmtId="176" fontId="12" fillId="16" borderId="98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0" fontId="38" fillId="9" borderId="32" xfId="7" applyNumberFormat="1" applyFont="1" applyFill="1" applyBorder="1" applyAlignment="1" applyProtection="1">
      <alignment horizontal="center" vertical="center" shrinkToFit="1"/>
    </xf>
    <xf numFmtId="176" fontId="7" fillId="0" borderId="107" xfId="0" applyNumberFormat="1" applyFont="1" applyBorder="1" applyAlignment="1">
      <alignment horizontal="right" vertical="center"/>
    </xf>
    <xf numFmtId="176" fontId="7" fillId="0" borderId="12" xfId="0" applyNumberFormat="1" applyFont="1" applyBorder="1" applyAlignment="1">
      <alignment horizontal="right" vertical="center"/>
    </xf>
    <xf numFmtId="176" fontId="38" fillId="9" borderId="12" xfId="7" applyNumberFormat="1" applyFont="1" applyFill="1" applyBorder="1" applyAlignment="1" applyProtection="1">
      <alignment horizontal="center" vertical="center" shrinkToFit="1"/>
    </xf>
    <xf numFmtId="0" fontId="38" fillId="9" borderId="12" xfId="7" applyNumberFormat="1" applyFont="1" applyFill="1" applyBorder="1" applyAlignment="1" applyProtection="1">
      <alignment horizontal="center" vertical="center" shrinkToFit="1"/>
    </xf>
    <xf numFmtId="176" fontId="7" fillId="0" borderId="97" xfId="0" applyNumberFormat="1" applyFont="1" applyBorder="1" applyAlignment="1">
      <alignment horizontal="right" vertical="center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176" fontId="41" fillId="9" borderId="97" xfId="7" applyNumberFormat="1" applyFont="1" applyFill="1" applyBorder="1" applyAlignment="1" applyProtection="1">
      <alignment horizontal="center" vertical="center" shrinkToFit="1"/>
    </xf>
    <xf numFmtId="176" fontId="41" fillId="9" borderId="15" xfId="7" applyNumberFormat="1" applyFont="1" applyFill="1" applyBorder="1" applyAlignment="1" applyProtection="1">
      <alignment horizontal="center" vertical="center" shrinkToFit="1"/>
    </xf>
    <xf numFmtId="0" fontId="40" fillId="16" borderId="98" xfId="7" applyNumberFormat="1" applyFont="1" applyFill="1" applyBorder="1" applyAlignment="1" applyProtection="1">
      <alignment horizontal="center" vertical="center" shrinkToFit="1"/>
    </xf>
    <xf numFmtId="176" fontId="40" fillId="16" borderId="98" xfId="7" applyNumberFormat="1" applyFont="1" applyFill="1" applyBorder="1" applyAlignment="1" applyProtection="1">
      <alignment horizontal="center" vertical="center" shrinkToFit="1"/>
    </xf>
    <xf numFmtId="0" fontId="12" fillId="12" borderId="115" xfId="0" applyFont="1" applyFill="1" applyBorder="1" applyAlignment="1" applyProtection="1">
      <alignment horizontal="center" vertical="center"/>
      <protection locked="0"/>
    </xf>
    <xf numFmtId="0" fontId="29" fillId="15" borderId="41" xfId="4" applyFont="1" applyFill="1" applyBorder="1" applyAlignment="1" applyProtection="1">
      <alignment horizontal="center" vertical="center" wrapText="1"/>
    </xf>
    <xf numFmtId="0" fontId="29" fillId="15" borderId="44" xfId="4" applyFont="1" applyFill="1" applyBorder="1" applyAlignment="1" applyProtection="1">
      <alignment horizontal="center" vertical="center" wrapText="1"/>
    </xf>
    <xf numFmtId="0" fontId="29" fillId="15" borderId="74" xfId="4" applyFont="1" applyFill="1" applyBorder="1" applyAlignment="1" applyProtection="1">
      <alignment horizontal="center" vertical="center" wrapText="1"/>
    </xf>
    <xf numFmtId="0" fontId="29" fillId="0" borderId="34" xfId="4" applyFont="1" applyFill="1" applyBorder="1" applyAlignment="1" applyProtection="1">
      <alignment horizontal="center" vertical="center" wrapText="1"/>
    </xf>
    <xf numFmtId="0" fontId="29" fillId="0" borderId="102" xfId="4" applyFont="1" applyFill="1" applyBorder="1" applyAlignment="1" applyProtection="1">
      <alignment horizontal="center" vertical="center" wrapText="1"/>
    </xf>
    <xf numFmtId="0" fontId="29" fillId="15" borderId="69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29" fillId="15" borderId="46" xfId="4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10" xfId="0" applyFont="1" applyBorder="1" applyAlignment="1" applyProtection="1">
      <alignment horizontal="center" vertical="center"/>
      <protection locked="0"/>
    </xf>
    <xf numFmtId="0" fontId="12" fillId="0" borderId="110" xfId="0" applyFont="1" applyBorder="1" applyAlignment="1" applyProtection="1">
      <alignment horizontal="center" vertical="center" shrinkToFit="1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wrapText="1"/>
    </xf>
    <xf numFmtId="0" fontId="22" fillId="15" borderId="39" xfId="4" applyFont="1" applyFill="1" applyBorder="1" applyAlignment="1" applyProtection="1">
      <alignment horizontal="center" vertical="center" shrinkToFit="1"/>
    </xf>
    <xf numFmtId="0" fontId="22" fillId="15" borderId="40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6" borderId="73" xfId="4" applyFont="1" applyFill="1" applyBorder="1" applyAlignment="1" applyProtection="1">
      <alignment horizontal="center" vertical="center" wrapText="1"/>
    </xf>
    <xf numFmtId="0" fontId="22" fillId="0" borderId="125" xfId="0" applyFont="1" applyBorder="1" applyAlignment="1" applyProtection="1">
      <alignment horizontal="center" vertical="center"/>
      <protection locked="0"/>
    </xf>
    <xf numFmtId="0" fontId="36" fillId="0" borderId="0" xfId="16" applyFont="1" applyAlignment="1">
      <alignment vertical="center"/>
    </xf>
    <xf numFmtId="0" fontId="16" fillId="0" borderId="0" xfId="16" applyFont="1" applyAlignment="1"/>
    <xf numFmtId="0" fontId="36" fillId="19" borderId="126" xfId="16" applyFont="1" applyFill="1" applyBorder="1" applyAlignment="1">
      <alignment horizontal="center" vertical="center"/>
    </xf>
    <xf numFmtId="0" fontId="36" fillId="0" borderId="127" xfId="16" applyFont="1" applyBorder="1" applyAlignment="1">
      <alignment vertical="center"/>
    </xf>
    <xf numFmtId="0" fontId="36" fillId="0" borderId="28" xfId="16" applyFont="1" applyBorder="1" applyAlignment="1">
      <alignment vertical="center"/>
    </xf>
    <xf numFmtId="0" fontId="36" fillId="0" borderId="25" xfId="16" applyFont="1" applyBorder="1" applyAlignment="1">
      <alignment vertical="center"/>
    </xf>
    <xf numFmtId="0" fontId="36" fillId="0" borderId="4" xfId="16" applyFont="1" applyBorder="1" applyAlignment="1">
      <alignment vertical="center"/>
    </xf>
    <xf numFmtId="0" fontId="36" fillId="0" borderId="129" xfId="16" applyFont="1" applyBorder="1" applyAlignment="1">
      <alignment vertical="center"/>
    </xf>
    <xf numFmtId="0" fontId="36" fillId="0" borderId="21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36" fillId="0" borderId="134" xfId="16" applyFont="1" applyBorder="1" applyAlignment="1">
      <alignment vertical="center"/>
    </xf>
    <xf numFmtId="0" fontId="36" fillId="0" borderId="3" xfId="16" applyFont="1" applyBorder="1" applyAlignment="1">
      <alignment vertical="center"/>
    </xf>
    <xf numFmtId="0" fontId="36" fillId="0" borderId="22" xfId="16" applyFont="1" applyBorder="1" applyAlignment="1">
      <alignment vertical="center"/>
    </xf>
    <xf numFmtId="0" fontId="36" fillId="0" borderId="19" xfId="16" applyFont="1" applyBorder="1" applyAlignment="1">
      <alignment vertical="center"/>
    </xf>
    <xf numFmtId="0" fontId="36" fillId="21" borderId="140" xfId="16" applyFont="1" applyFill="1" applyBorder="1" applyAlignment="1">
      <alignment horizontal="center" vertical="center" wrapText="1"/>
    </xf>
    <xf numFmtId="0" fontId="36" fillId="21" borderId="141" xfId="16" applyFont="1" applyFill="1" applyBorder="1" applyAlignment="1">
      <alignment horizontal="center" vertical="center" wrapText="1"/>
    </xf>
    <xf numFmtId="0" fontId="53" fillId="21" borderId="141" xfId="16" applyFont="1" applyFill="1" applyBorder="1" applyAlignment="1">
      <alignment horizontal="center" vertical="center" wrapText="1"/>
    </xf>
    <xf numFmtId="0" fontId="53" fillId="21" borderId="142" xfId="16" applyFont="1" applyFill="1" applyBorder="1" applyAlignment="1">
      <alignment horizontal="center" vertical="center" wrapText="1"/>
    </xf>
    <xf numFmtId="0" fontId="36" fillId="0" borderId="21" xfId="16" applyFont="1" applyBorder="1" applyAlignment="1">
      <alignment vertical="center" wrapText="1"/>
    </xf>
    <xf numFmtId="0" fontId="36" fillId="0" borderId="6" xfId="16" applyFont="1" applyBorder="1" applyAlignment="1">
      <alignment vertical="center" wrapText="1"/>
    </xf>
    <xf numFmtId="0" fontId="54" fillId="0" borderId="146" xfId="16" applyFont="1" applyBorder="1" applyAlignment="1">
      <alignment horizontal="center" vertical="center" wrapText="1"/>
    </xf>
    <xf numFmtId="0" fontId="54" fillId="0" borderId="148" xfId="16" applyFont="1" applyBorder="1" applyAlignment="1">
      <alignment horizontal="center" vertical="center" wrapText="1"/>
    </xf>
    <xf numFmtId="0" fontId="54" fillId="0" borderId="152" xfId="16" applyFont="1" applyBorder="1" applyAlignment="1">
      <alignment horizontal="center" vertical="center" wrapText="1"/>
    </xf>
    <xf numFmtId="0" fontId="54" fillId="0" borderId="153" xfId="16" applyFont="1" applyBorder="1" applyAlignment="1">
      <alignment horizontal="center" vertical="center" wrapText="1"/>
    </xf>
    <xf numFmtId="0" fontId="54" fillId="0" borderId="156" xfId="16" applyFont="1" applyBorder="1" applyAlignment="1">
      <alignment horizontal="center" vertical="center" wrapText="1"/>
    </xf>
    <xf numFmtId="0" fontId="54" fillId="0" borderId="157" xfId="16" applyFont="1" applyBorder="1" applyAlignment="1">
      <alignment horizontal="center" vertical="center" wrapText="1"/>
    </xf>
    <xf numFmtId="0" fontId="54" fillId="0" borderId="159" xfId="16" applyFont="1" applyBorder="1" applyAlignment="1">
      <alignment horizontal="center" vertical="center" wrapText="1"/>
    </xf>
    <xf numFmtId="0" fontId="36" fillId="0" borderId="159" xfId="16" applyFont="1" applyBorder="1" applyAlignment="1">
      <alignment horizontal="center" vertical="center" wrapText="1"/>
    </xf>
    <xf numFmtId="0" fontId="54" fillId="0" borderId="160" xfId="16" applyFont="1" applyBorder="1" applyAlignment="1">
      <alignment horizontal="center" vertical="center" wrapText="1"/>
    </xf>
    <xf numFmtId="0" fontId="36" fillId="0" borderId="153" xfId="16" applyFont="1" applyBorder="1" applyAlignment="1">
      <alignment horizontal="center" vertical="center" wrapText="1"/>
    </xf>
    <xf numFmtId="0" fontId="36" fillId="0" borderId="156" xfId="16" applyFont="1" applyBorder="1" applyAlignment="1">
      <alignment horizontal="center" vertical="center" wrapText="1"/>
    </xf>
    <xf numFmtId="0" fontId="54" fillId="0" borderId="132" xfId="16" applyFont="1" applyBorder="1" applyAlignment="1">
      <alignment horizontal="center" vertical="center" wrapText="1"/>
    </xf>
    <xf numFmtId="0" fontId="56" fillId="21" borderId="132" xfId="16" applyFont="1" applyFill="1" applyBorder="1" applyAlignment="1">
      <alignment horizontal="center" vertical="center" wrapText="1"/>
    </xf>
    <xf numFmtId="0" fontId="57" fillId="0" borderId="153" xfId="16" applyFont="1" applyBorder="1" applyAlignment="1">
      <alignment horizontal="center" vertical="center" wrapText="1"/>
    </xf>
    <xf numFmtId="0" fontId="57" fillId="0" borderId="131" xfId="16" applyFont="1" applyBorder="1" applyAlignment="1">
      <alignment horizontal="center" vertical="center" wrapText="1"/>
    </xf>
    <xf numFmtId="0" fontId="56" fillId="0" borderId="132" xfId="16" applyFont="1" applyBorder="1" applyAlignment="1">
      <alignment horizontal="center" vertical="center" wrapText="1"/>
    </xf>
    <xf numFmtId="0" fontId="36" fillId="0" borderId="0" xfId="16" applyFont="1" applyBorder="1" applyAlignment="1">
      <alignment vertical="center"/>
    </xf>
    <xf numFmtId="0" fontId="58" fillId="0" borderId="0" xfId="16" applyFont="1" applyBorder="1" applyAlignment="1">
      <alignment horizontal="center" vertical="center"/>
    </xf>
    <xf numFmtId="0" fontId="52" fillId="0" borderId="132" xfId="16" applyFont="1" applyBorder="1" applyAlignment="1">
      <alignment horizontal="center" vertical="center"/>
    </xf>
    <xf numFmtId="0" fontId="52" fillId="20" borderId="153" xfId="16" applyFont="1" applyFill="1" applyBorder="1" applyAlignment="1">
      <alignment horizontal="center" vertical="center"/>
    </xf>
    <xf numFmtId="0" fontId="52" fillId="20" borderId="131" xfId="16" applyFont="1" applyFill="1" applyBorder="1" applyAlignment="1">
      <alignment horizontal="center" vertical="center" wrapText="1"/>
    </xf>
    <xf numFmtId="0" fontId="58" fillId="0" borderId="153" xfId="16" applyFont="1" applyBorder="1" applyAlignment="1">
      <alignment horizontal="center" vertical="center" wrapText="1"/>
    </xf>
    <xf numFmtId="0" fontId="58" fillId="0" borderId="132" xfId="16" applyFont="1" applyBorder="1" applyAlignment="1">
      <alignment horizontal="center" vertical="center" wrapText="1"/>
    </xf>
    <xf numFmtId="0" fontId="52" fillId="0" borderId="153" xfId="16" applyFont="1" applyBorder="1" applyAlignment="1">
      <alignment horizontal="center" vertical="center" wrapText="1"/>
    </xf>
    <xf numFmtId="0" fontId="52" fillId="0" borderId="132" xfId="16" applyFont="1" applyBorder="1" applyAlignment="1">
      <alignment horizontal="center" vertical="center" wrapText="1"/>
    </xf>
    <xf numFmtId="0" fontId="36" fillId="0" borderId="153" xfId="16" applyFont="1" applyBorder="1" applyAlignment="1">
      <alignment vertical="center" wrapText="1"/>
    </xf>
    <xf numFmtId="0" fontId="36" fillId="0" borderId="0" xfId="16" applyFont="1" applyBorder="1" applyAlignment="1">
      <alignment vertical="center" wrapText="1"/>
    </xf>
    <xf numFmtId="0" fontId="52" fillId="20" borderId="132" xfId="16" applyFont="1" applyFill="1" applyBorder="1" applyAlignment="1">
      <alignment horizontal="center" vertical="center"/>
    </xf>
    <xf numFmtId="0" fontId="52" fillId="0" borderId="131" xfId="16" applyFont="1" applyBorder="1" applyAlignment="1">
      <alignment horizontal="center" vertical="center"/>
    </xf>
    <xf numFmtId="0" fontId="52" fillId="0" borderId="153" xfId="16" applyFont="1" applyBorder="1" applyAlignment="1">
      <alignment horizontal="center" vertical="center"/>
    </xf>
    <xf numFmtId="0" fontId="59" fillId="0" borderId="153" xfId="16" applyFont="1" applyBorder="1" applyAlignment="1">
      <alignment horizontal="center" vertical="center"/>
    </xf>
    <xf numFmtId="0" fontId="59" fillId="0" borderId="132" xfId="16" applyFont="1" applyBorder="1" applyAlignment="1">
      <alignment horizontal="center" vertical="center"/>
    </xf>
    <xf numFmtId="0" fontId="36" fillId="0" borderId="139" xfId="16" applyFont="1" applyBorder="1" applyAlignment="1">
      <alignment vertical="center"/>
    </xf>
    <xf numFmtId="0" fontId="36" fillId="0" borderId="137" xfId="16" applyFont="1" applyBorder="1" applyAlignment="1">
      <alignment vertical="center"/>
    </xf>
    <xf numFmtId="0" fontId="36" fillId="0" borderId="164" xfId="16" applyFont="1" applyBorder="1" applyAlignment="1">
      <alignment vertical="center"/>
    </xf>
    <xf numFmtId="0" fontId="36" fillId="0" borderId="165" xfId="16" applyFont="1" applyBorder="1" applyAlignment="1">
      <alignment vertical="center"/>
    </xf>
    <xf numFmtId="0" fontId="36" fillId="0" borderId="114" xfId="16" applyFont="1" applyBorder="1" applyAlignment="1">
      <alignment vertical="center"/>
    </xf>
    <xf numFmtId="0" fontId="36" fillId="0" borderId="135" xfId="16" applyFont="1" applyBorder="1" applyAlignment="1">
      <alignment vertical="center"/>
    </xf>
    <xf numFmtId="0" fontId="36" fillId="0" borderId="167" xfId="16" applyFont="1" applyBorder="1" applyAlignment="1">
      <alignment vertical="center"/>
    </xf>
    <xf numFmtId="0" fontId="36" fillId="0" borderId="168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2" fillId="15" borderId="80" xfId="4" applyFont="1" applyFill="1" applyBorder="1" applyAlignment="1" applyProtection="1">
      <alignment horizontal="center" vertical="center" wrapText="1"/>
    </xf>
    <xf numFmtId="0" fontId="29" fillId="0" borderId="95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29" fillId="0" borderId="42" xfId="4" applyFont="1" applyFill="1" applyBorder="1" applyAlignment="1" applyProtection="1">
      <alignment horizontal="center" vertical="center" wrapText="1"/>
    </xf>
    <xf numFmtId="0" fontId="29" fillId="0" borderId="34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16" borderId="98" xfId="7" applyNumberFormat="1" applyFont="1" applyFill="1" applyBorder="1" applyAlignment="1" applyProtection="1">
      <alignment horizontal="center" vertical="center" shrinkToFit="1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12" fillId="0" borderId="8" xfId="0" applyFont="1" applyBorder="1" applyAlignment="1" applyProtection="1">
      <alignment horizontal="center" vertical="center"/>
      <protection locked="0"/>
    </xf>
    <xf numFmtId="0" fontId="22" fillId="15" borderId="38" xfId="4" applyFont="1" applyFill="1" applyBorder="1" applyAlignment="1" applyProtection="1">
      <alignment horizontal="center" vertical="center" shrinkToFi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9" fillId="15" borderId="169" xfId="4" applyFont="1" applyFill="1" applyBorder="1" applyAlignment="1" applyProtection="1">
      <alignment horizontal="center" vertical="center" wrapText="1"/>
    </xf>
    <xf numFmtId="0" fontId="13" fillId="15" borderId="80" xfId="4" applyFont="1" applyFill="1" applyBorder="1" applyAlignment="1" applyProtection="1">
      <alignment horizontal="center" vertical="center" shrinkToFit="1"/>
    </xf>
    <xf numFmtId="0" fontId="13" fillId="15" borderId="80" xfId="4" applyFont="1" applyFill="1" applyBorder="1" applyAlignment="1" applyProtection="1">
      <alignment horizontal="center" vertical="center" wrapText="1"/>
    </xf>
    <xf numFmtId="176" fontId="22" fillId="15" borderId="38" xfId="0" applyNumberFormat="1" applyFont="1" applyFill="1" applyBorder="1" applyAlignment="1">
      <alignment horizontal="center" vertical="center" wrapText="1"/>
    </xf>
    <xf numFmtId="176" fontId="22" fillId="15" borderId="100" xfId="0" applyNumberFormat="1" applyFont="1" applyFill="1" applyBorder="1" applyAlignment="1">
      <alignment horizontal="center" vertical="center" wrapText="1"/>
    </xf>
    <xf numFmtId="0" fontId="29" fillId="0" borderId="55" xfId="4" applyFont="1" applyFill="1" applyBorder="1" applyAlignment="1" applyProtection="1">
      <alignment vertical="center" wrapText="1"/>
    </xf>
    <xf numFmtId="0" fontId="29" fillId="0" borderId="42" xfId="4" applyFont="1" applyFill="1" applyBorder="1" applyAlignment="1" applyProtection="1">
      <alignment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29" fillId="15" borderId="174" xfId="4" applyFont="1" applyFill="1" applyBorder="1" applyAlignment="1" applyProtection="1">
      <alignment horizontal="center" vertical="center" wrapText="1"/>
    </xf>
    <xf numFmtId="0" fontId="29" fillId="0" borderId="175" xfId="4" applyFont="1" applyFill="1" applyBorder="1" applyAlignment="1" applyProtection="1">
      <alignment horizontal="center" vertical="center" wrapText="1"/>
    </xf>
    <xf numFmtId="0" fontId="22" fillId="15" borderId="103" xfId="4" applyFont="1" applyFill="1" applyBorder="1" applyAlignment="1" applyProtection="1">
      <alignment horizontal="center" vertical="center" wrapText="1"/>
    </xf>
    <xf numFmtId="0" fontId="22" fillId="15" borderId="45" xfId="4" applyFont="1" applyFill="1" applyBorder="1" applyAlignment="1" applyProtection="1">
      <alignment horizontal="center" vertical="center" wrapText="1"/>
    </xf>
    <xf numFmtId="0" fontId="22" fillId="15" borderId="176" xfId="4" applyFont="1" applyFill="1" applyBorder="1" applyAlignment="1" applyProtection="1">
      <alignment horizontal="center" vertical="center" wrapText="1"/>
    </xf>
    <xf numFmtId="0" fontId="22" fillId="15" borderId="100" xfId="4" applyFont="1" applyFill="1" applyBorder="1" applyAlignment="1" applyProtection="1">
      <alignment horizontal="center" vertical="center" wrapText="1"/>
    </xf>
    <xf numFmtId="0" fontId="29" fillId="0" borderId="102" xfId="4" applyFont="1" applyFill="1" applyBorder="1" applyAlignment="1" applyProtection="1">
      <alignment vertical="center" wrapText="1"/>
    </xf>
    <xf numFmtId="0" fontId="29" fillId="0" borderId="34" xfId="4" applyFont="1" applyFill="1" applyBorder="1" applyAlignment="1" applyProtection="1">
      <alignment vertical="center" wrapText="1"/>
    </xf>
    <xf numFmtId="0" fontId="22" fillId="15" borderId="78" xfId="4" applyFont="1" applyFill="1" applyBorder="1" applyAlignment="1" applyProtection="1">
      <alignment horizontal="center" vertical="center" wrapText="1"/>
    </xf>
    <xf numFmtId="0" fontId="64" fillId="0" borderId="153" xfId="0" applyFont="1" applyBorder="1" applyAlignment="1">
      <alignment horizontal="center" vertical="center" wrapText="1"/>
    </xf>
    <xf numFmtId="0" fontId="0" fillId="0" borderId="153" xfId="0" applyFont="1" applyBorder="1" applyAlignment="1">
      <alignment horizontal="center" vertical="center" wrapText="1"/>
    </xf>
    <xf numFmtId="0" fontId="64" fillId="0" borderId="178" xfId="0" applyFont="1" applyBorder="1" applyAlignment="1">
      <alignment horizontal="center" vertical="center" wrapText="1"/>
    </xf>
    <xf numFmtId="0" fontId="64" fillId="0" borderId="179" xfId="0" applyFont="1" applyBorder="1" applyAlignment="1">
      <alignment horizontal="center" vertical="center" wrapText="1"/>
    </xf>
    <xf numFmtId="176" fontId="0" fillId="0" borderId="97" xfId="0" applyNumberFormat="1" applyFont="1" applyBorder="1">
      <alignment vertical="center"/>
    </xf>
    <xf numFmtId="176" fontId="0" fillId="0" borderId="30" xfId="0" applyNumberFormat="1" applyFont="1" applyBorder="1">
      <alignment vertical="center"/>
    </xf>
    <xf numFmtId="176" fontId="0" fillId="0" borderId="15" xfId="0" applyNumberFormat="1" applyFont="1" applyBorder="1">
      <alignment vertical="center"/>
    </xf>
    <xf numFmtId="176" fontId="0" fillId="0" borderId="11" xfId="0" applyNumberFormat="1" applyFont="1" applyBorder="1">
      <alignment vertical="center"/>
    </xf>
    <xf numFmtId="176" fontId="37" fillId="16" borderId="98" xfId="7" applyNumberFormat="1" applyFont="1" applyFill="1" applyBorder="1" applyAlignment="1" applyProtection="1">
      <alignment horizontal="right" vertical="center" shrinkToFit="1"/>
    </xf>
    <xf numFmtId="0" fontId="37" fillId="16" borderId="32" xfId="7" applyNumberFormat="1" applyFont="1" applyFill="1" applyBorder="1" applyAlignment="1" applyProtection="1">
      <alignment horizontal="right" vertical="center" shrinkToFit="1"/>
    </xf>
    <xf numFmtId="176" fontId="18" fillId="16" borderId="98" xfId="7" applyNumberFormat="1" applyFont="1" applyFill="1" applyBorder="1" applyAlignment="1" applyProtection="1">
      <alignment horizontal="right" vertical="center" shrinkToFit="1"/>
    </xf>
    <xf numFmtId="0" fontId="20" fillId="9" borderId="97" xfId="7" applyNumberFormat="1" applyFont="1" applyFill="1" applyBorder="1" applyAlignment="1" applyProtection="1">
      <alignment horizontal="center" vertical="center" shrinkToFit="1"/>
    </xf>
    <xf numFmtId="0" fontId="20" fillId="9" borderId="15" xfId="7" applyNumberFormat="1" applyFont="1" applyFill="1" applyBorder="1" applyAlignment="1" applyProtection="1">
      <alignment horizontal="center" vertical="center" shrinkToFit="1"/>
    </xf>
    <xf numFmtId="176" fontId="37" fillId="16" borderId="98" xfId="0" applyNumberFormat="1" applyFont="1" applyFill="1" applyBorder="1" applyAlignment="1">
      <alignment horizontal="right" vertical="center"/>
    </xf>
    <xf numFmtId="176" fontId="38" fillId="0" borderId="97" xfId="0" applyNumberFormat="1" applyFont="1" applyBorder="1" applyAlignment="1">
      <alignment horizontal="right" vertical="center"/>
    </xf>
    <xf numFmtId="176" fontId="38" fillId="0" borderId="15" xfId="0" applyNumberFormat="1" applyFont="1" applyBorder="1" applyAlignment="1">
      <alignment horizontal="right" vertical="center"/>
    </xf>
    <xf numFmtId="176" fontId="38" fillId="18" borderId="12" xfId="0" applyNumberFormat="1" applyFont="1" applyFill="1" applyBorder="1" applyAlignment="1">
      <alignment horizontal="center" vertical="center" shrinkToFit="1"/>
    </xf>
    <xf numFmtId="176" fontId="38" fillId="0" borderId="12" xfId="0" applyNumberFormat="1" applyFont="1" applyBorder="1" applyAlignment="1">
      <alignment horizontal="right" vertical="center"/>
    </xf>
    <xf numFmtId="176" fontId="38" fillId="18" borderId="15" xfId="0" applyNumberFormat="1" applyFont="1" applyFill="1" applyBorder="1" applyAlignment="1">
      <alignment horizontal="center" vertical="center" shrinkToFit="1"/>
    </xf>
    <xf numFmtId="0" fontId="21" fillId="0" borderId="153" xfId="0" applyFont="1" applyBorder="1" applyAlignment="1">
      <alignment horizontal="center" vertical="center" wrapText="1"/>
    </xf>
    <xf numFmtId="0" fontId="21" fillId="0" borderId="153" xfId="0" applyFont="1" applyBorder="1" applyAlignment="1">
      <alignment horizontal="right" vertical="center" wrapText="1"/>
    </xf>
    <xf numFmtId="0" fontId="20" fillId="0" borderId="153" xfId="0" applyFont="1" applyBorder="1" applyAlignment="1">
      <alignment horizontal="center" vertical="center" wrapText="1"/>
    </xf>
    <xf numFmtId="0" fontId="21" fillId="0" borderId="153" xfId="0" applyFont="1" applyBorder="1" applyAlignment="1">
      <alignment horizontal="center" vertical="top" wrapText="1"/>
    </xf>
    <xf numFmtId="0" fontId="20" fillId="0" borderId="153" xfId="0" applyFont="1" applyBorder="1" applyAlignment="1">
      <alignment horizontal="right" vertical="center" wrapText="1"/>
    </xf>
    <xf numFmtId="176" fontId="20" fillId="0" borderId="30" xfId="0" applyNumberFormat="1" applyFont="1" applyBorder="1" applyAlignment="1">
      <alignment horizontal="right" vertical="center"/>
    </xf>
    <xf numFmtId="176" fontId="20" fillId="0" borderId="107" xfId="0" applyNumberFormat="1" applyFont="1" applyBorder="1" applyAlignment="1">
      <alignment horizontal="right" vertical="center"/>
    </xf>
    <xf numFmtId="176" fontId="18" fillId="16" borderId="31" xfId="0" applyNumberFormat="1" applyFont="1" applyFill="1" applyBorder="1" applyAlignment="1">
      <alignment horizontal="right" vertical="center"/>
    </xf>
    <xf numFmtId="176" fontId="20" fillId="0" borderId="11" xfId="0" applyNumberFormat="1" applyFont="1" applyBorder="1" applyAlignment="1">
      <alignment horizontal="right" vertical="center"/>
    </xf>
    <xf numFmtId="176" fontId="20" fillId="0" borderId="30" xfId="0" applyNumberFormat="1" applyFont="1" applyBorder="1">
      <alignment vertical="center"/>
    </xf>
    <xf numFmtId="176" fontId="20" fillId="0" borderId="11" xfId="0" applyNumberFormat="1" applyFont="1" applyBorder="1">
      <alignment vertical="center"/>
    </xf>
    <xf numFmtId="176" fontId="20" fillId="0" borderId="107" xfId="0" applyNumberFormat="1" applyFont="1" applyBorder="1">
      <alignment vertical="center"/>
    </xf>
    <xf numFmtId="176" fontId="37" fillId="16" borderId="98" xfId="0" applyNumberFormat="1" applyFont="1" applyFill="1" applyBorder="1" applyAlignment="1">
      <alignment horizontal="center" vertical="center"/>
    </xf>
    <xf numFmtId="176" fontId="7" fillId="18" borderId="12" xfId="0" applyNumberFormat="1" applyFont="1" applyFill="1" applyBorder="1" applyAlignment="1">
      <alignment horizontal="center" vertical="center" shrinkToFit="1"/>
    </xf>
    <xf numFmtId="176" fontId="7" fillId="18" borderId="15" xfId="0" applyNumberFormat="1" applyFont="1" applyFill="1" applyBorder="1" applyAlignment="1">
      <alignment horizontal="center" vertical="center" shrinkToFit="1"/>
    </xf>
    <xf numFmtId="176" fontId="69" fillId="0" borderId="30" xfId="0" applyNumberFormat="1" applyFont="1" applyBorder="1" applyAlignment="1">
      <alignment horizontal="right" vertical="center"/>
    </xf>
    <xf numFmtId="176" fontId="69" fillId="0" borderId="107" xfId="0" applyNumberFormat="1" applyFont="1" applyBorder="1" applyAlignment="1">
      <alignment horizontal="right" vertical="center"/>
    </xf>
    <xf numFmtId="176" fontId="69" fillId="0" borderId="11" xfId="0" applyNumberFormat="1" applyFont="1" applyBorder="1" applyAlignment="1">
      <alignment horizontal="right" vertical="center"/>
    </xf>
    <xf numFmtId="176" fontId="68" fillId="0" borderId="97" xfId="0" applyNumberFormat="1" applyFont="1" applyBorder="1" applyAlignment="1">
      <alignment horizontal="right" vertical="center"/>
    </xf>
    <xf numFmtId="176" fontId="68" fillId="0" borderId="30" xfId="0" applyNumberFormat="1" applyFont="1" applyBorder="1" applyAlignment="1">
      <alignment horizontal="right" vertical="center"/>
    </xf>
    <xf numFmtId="176" fontId="68" fillId="0" borderId="15" xfId="0" applyNumberFormat="1" applyFont="1" applyBorder="1" applyAlignment="1">
      <alignment horizontal="right" vertical="center"/>
    </xf>
    <xf numFmtId="176" fontId="68" fillId="0" borderId="11" xfId="0" applyNumberFormat="1" applyFont="1" applyBorder="1" applyAlignment="1">
      <alignment horizontal="right" vertical="center"/>
    </xf>
    <xf numFmtId="176" fontId="68" fillId="0" borderId="12" xfId="0" applyNumberFormat="1" applyFont="1" applyBorder="1" applyAlignment="1">
      <alignment horizontal="right" vertical="center"/>
    </xf>
    <xf numFmtId="176" fontId="68" fillId="0" borderId="107" xfId="0" applyNumberFormat="1" applyFont="1" applyBorder="1" applyAlignment="1">
      <alignment horizontal="right" vertical="center"/>
    </xf>
    <xf numFmtId="0" fontId="70" fillId="0" borderId="0" xfId="0" applyFont="1">
      <alignment vertical="center"/>
    </xf>
    <xf numFmtId="0" fontId="0" fillId="0" borderId="153" xfId="0" applyBorder="1" applyAlignment="1">
      <alignment horizontal="center" vertical="center" wrapText="1"/>
    </xf>
    <xf numFmtId="176" fontId="7" fillId="0" borderId="30" xfId="0" applyNumberFormat="1" applyFont="1" applyBorder="1" applyAlignment="1">
      <alignment horizontal="right" vertical="center"/>
    </xf>
    <xf numFmtId="0" fontId="0" fillId="9" borderId="15" xfId="7" applyFont="1" applyFill="1" applyBorder="1" applyAlignment="1">
      <alignment horizontal="center" vertical="center" shrinkToFit="1"/>
    </xf>
    <xf numFmtId="0" fontId="0" fillId="9" borderId="12" xfId="7" applyFont="1" applyFill="1" applyBorder="1" applyAlignment="1">
      <alignment horizontal="center" vertical="center" shrinkToFit="1"/>
    </xf>
    <xf numFmtId="176" fontId="0" fillId="9" borderId="12" xfId="7" applyNumberFormat="1" applyFont="1" applyFill="1" applyBorder="1" applyAlignment="1">
      <alignment horizontal="center" vertical="center" shrinkToFit="1"/>
    </xf>
    <xf numFmtId="0" fontId="0" fillId="9" borderId="32" xfId="7" applyFont="1" applyFill="1" applyBorder="1" applyAlignment="1">
      <alignment horizontal="center" vertical="center" shrinkToFit="1"/>
    </xf>
    <xf numFmtId="176" fontId="0" fillId="9" borderId="15" xfId="7" applyNumberFormat="1" applyFont="1" applyFill="1" applyBorder="1" applyAlignment="1">
      <alignment horizontal="center" vertical="center" shrinkToFit="1"/>
    </xf>
    <xf numFmtId="176" fontId="0" fillId="9" borderId="32" xfId="7" applyNumberFormat="1" applyFont="1" applyFill="1" applyBorder="1" applyAlignment="1">
      <alignment horizontal="center" vertical="center" shrinkToFit="1"/>
    </xf>
    <xf numFmtId="0" fontId="0" fillId="0" borderId="31" xfId="0" applyBorder="1" applyAlignment="1" applyProtection="1">
      <alignment horizontal="center" vertical="center"/>
      <protection locked="0"/>
    </xf>
    <xf numFmtId="0" fontId="21" fillId="0" borderId="178" xfId="0" applyFont="1" applyBorder="1" applyAlignment="1">
      <alignment horizontal="center" vertical="center" wrapText="1"/>
    </xf>
    <xf numFmtId="0" fontId="21" fillId="0" borderId="179" xfId="0" applyFont="1" applyBorder="1" applyAlignment="1">
      <alignment horizontal="center" vertical="center" wrapText="1"/>
    </xf>
    <xf numFmtId="0" fontId="21" fillId="0" borderId="181" xfId="0" applyFont="1" applyBorder="1" applyAlignment="1">
      <alignment horizontal="center" vertical="center" wrapText="1"/>
    </xf>
    <xf numFmtId="0" fontId="21" fillId="0" borderId="182" xfId="0" applyFont="1" applyBorder="1" applyAlignment="1">
      <alignment horizontal="center" vertical="center" wrapText="1"/>
    </xf>
    <xf numFmtId="0" fontId="64" fillId="0" borderId="181" xfId="0" applyFont="1" applyBorder="1" applyAlignment="1">
      <alignment horizontal="center" vertical="center" wrapText="1"/>
    </xf>
    <xf numFmtId="0" fontId="64" fillId="0" borderId="182" xfId="0" applyFont="1" applyBorder="1" applyAlignment="1">
      <alignment horizontal="center" vertical="center" wrapText="1"/>
    </xf>
    <xf numFmtId="0" fontId="22" fillId="15" borderId="22" xfId="4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29" fillId="0" borderId="66" xfId="4" applyFont="1" applyFill="1" applyBorder="1" applyAlignment="1" applyProtection="1">
      <alignment horizontal="center" vertical="center" wrapText="1"/>
    </xf>
    <xf numFmtId="0" fontId="29" fillId="0" borderId="55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2" fillId="15" borderId="62" xfId="4" applyFont="1" applyFill="1" applyBorder="1" applyAlignment="1" applyProtection="1">
      <alignment horizontal="center" vertical="center" wrapText="1"/>
    </xf>
    <xf numFmtId="0" fontId="29" fillId="0" borderId="95" xfId="4" applyFont="1" applyFill="1" applyBorder="1" applyAlignment="1" applyProtection="1">
      <alignment horizontal="center" vertical="center" wrapText="1"/>
    </xf>
    <xf numFmtId="0" fontId="29" fillId="0" borderId="55" xfId="4" applyFont="1" applyFill="1" applyBorder="1" applyAlignment="1" applyProtection="1">
      <alignment horizontal="center" vertical="center" wrapText="1"/>
    </xf>
    <xf numFmtId="0" fontId="28" fillId="11" borderId="98" xfId="7" applyFont="1" applyFill="1" applyBorder="1" applyAlignment="1">
      <alignment horizontal="center" vertical="center" wrapText="1"/>
    </xf>
    <xf numFmtId="0" fontId="7" fillId="9" borderId="97" xfId="7" applyFont="1" applyFill="1" applyBorder="1" applyAlignment="1">
      <alignment horizontal="center" vertical="center" shrinkToFit="1"/>
    </xf>
    <xf numFmtId="0" fontId="71" fillId="9" borderId="97" xfId="7" applyFont="1" applyFill="1" applyBorder="1" applyAlignment="1">
      <alignment horizontal="center" vertical="center" shrinkToFit="1"/>
    </xf>
    <xf numFmtId="176" fontId="42" fillId="9" borderId="97" xfId="7" applyNumberFormat="1" applyFont="1" applyFill="1" applyBorder="1" applyAlignment="1">
      <alignment horizontal="center" vertical="center" shrinkToFit="1"/>
    </xf>
    <xf numFmtId="176" fontId="68" fillId="9" borderId="97" xfId="7" applyNumberFormat="1" applyFont="1" applyFill="1" applyBorder="1" applyAlignment="1">
      <alignment horizontal="center" vertical="center" shrinkToFit="1"/>
    </xf>
    <xf numFmtId="0" fontId="7" fillId="9" borderId="15" xfId="7" applyFont="1" applyFill="1" applyBorder="1" applyAlignment="1">
      <alignment horizontal="center" vertical="center" shrinkToFit="1"/>
    </xf>
    <xf numFmtId="0" fontId="71" fillId="9" borderId="15" xfId="7" applyFont="1" applyFill="1" applyBorder="1" applyAlignment="1">
      <alignment horizontal="center" vertical="center" shrinkToFit="1"/>
    </xf>
    <xf numFmtId="176" fontId="42" fillId="9" borderId="15" xfId="7" applyNumberFormat="1" applyFont="1" applyFill="1" applyBorder="1" applyAlignment="1">
      <alignment horizontal="center" vertical="center" shrinkToFit="1"/>
    </xf>
    <xf numFmtId="176" fontId="68" fillId="9" borderId="15" xfId="7" applyNumberFormat="1" applyFont="1" applyFill="1" applyBorder="1" applyAlignment="1">
      <alignment horizontal="center" vertical="center" shrinkToFit="1"/>
    </xf>
    <xf numFmtId="0" fontId="7" fillId="9" borderId="12" xfId="7" applyFont="1" applyFill="1" applyBorder="1" applyAlignment="1">
      <alignment horizontal="center" vertical="center" shrinkToFit="1"/>
    </xf>
    <xf numFmtId="0" fontId="71" fillId="9" borderId="12" xfId="7" applyFont="1" applyFill="1" applyBorder="1" applyAlignment="1">
      <alignment horizontal="center" vertical="center" shrinkToFit="1"/>
    </xf>
    <xf numFmtId="176" fontId="42" fillId="9" borderId="12" xfId="7" applyNumberFormat="1" applyFont="1" applyFill="1" applyBorder="1" applyAlignment="1">
      <alignment horizontal="center" vertical="center" shrinkToFit="1"/>
    </xf>
    <xf numFmtId="176" fontId="68" fillId="9" borderId="12" xfId="7" applyNumberFormat="1" applyFont="1" applyFill="1" applyBorder="1" applyAlignment="1">
      <alignment horizontal="center" vertical="center" shrinkToFit="1"/>
    </xf>
    <xf numFmtId="0" fontId="65" fillId="16" borderId="98" xfId="7" applyFont="1" applyFill="1" applyBorder="1" applyAlignment="1">
      <alignment horizontal="center" vertical="center" shrinkToFit="1"/>
    </xf>
    <xf numFmtId="176" fontId="65" fillId="16" borderId="98" xfId="7" applyNumberFormat="1" applyFont="1" applyFill="1" applyBorder="1" applyAlignment="1">
      <alignment horizontal="center" vertical="center" shrinkToFit="1"/>
    </xf>
    <xf numFmtId="176" fontId="67" fillId="16" borderId="98" xfId="7" applyNumberFormat="1" applyFont="1" applyFill="1" applyBorder="1" applyAlignment="1">
      <alignment horizontal="center" vertical="center" shrinkToFit="1"/>
    </xf>
    <xf numFmtId="176" fontId="67" fillId="16" borderId="98" xfId="7" applyNumberFormat="1" applyFont="1" applyFill="1" applyBorder="1" applyAlignment="1">
      <alignment horizontal="right" vertical="center" shrinkToFit="1"/>
    </xf>
    <xf numFmtId="176" fontId="7" fillId="9" borderId="97" xfId="7" applyNumberFormat="1" applyFont="1" applyFill="1" applyBorder="1" applyAlignment="1">
      <alignment horizontal="center" vertical="center" shrinkToFit="1"/>
    </xf>
    <xf numFmtId="176" fontId="7" fillId="9" borderId="12" xfId="7" applyNumberFormat="1" applyFont="1" applyFill="1" applyBorder="1" applyAlignment="1">
      <alignment horizontal="center" vertical="center" shrinkToFit="1"/>
    </xf>
    <xf numFmtId="176" fontId="7" fillId="9" borderId="15" xfId="7" applyNumberFormat="1" applyFont="1" applyFill="1" applyBorder="1" applyAlignment="1">
      <alignment horizontal="center" vertical="center" shrinkToFit="1"/>
    </xf>
    <xf numFmtId="0" fontId="12" fillId="16" borderId="98" xfId="7" applyFont="1" applyFill="1" applyBorder="1" applyAlignment="1">
      <alignment horizontal="center" vertical="center" shrinkToFit="1"/>
    </xf>
    <xf numFmtId="176" fontId="12" fillId="16" borderId="98" xfId="7" applyNumberFormat="1" applyFont="1" applyFill="1" applyBorder="1" applyAlignment="1">
      <alignment horizontal="center" vertical="center" shrinkToFit="1"/>
    </xf>
    <xf numFmtId="176" fontId="12" fillId="16" borderId="98" xfId="7" applyNumberFormat="1" applyFont="1" applyFill="1" applyBorder="1" applyAlignment="1">
      <alignment horizontal="right" vertical="center" shrinkToFit="1"/>
    </xf>
    <xf numFmtId="0" fontId="12" fillId="16" borderId="32" xfId="7" applyFont="1" applyFill="1" applyBorder="1" applyAlignment="1">
      <alignment horizontal="center" vertical="center" shrinkToFit="1"/>
    </xf>
    <xf numFmtId="176" fontId="12" fillId="16" borderId="32" xfId="7" applyNumberFormat="1" applyFont="1" applyFill="1" applyBorder="1" applyAlignment="1">
      <alignment horizontal="center" vertical="center" shrinkToFit="1"/>
    </xf>
    <xf numFmtId="176" fontId="12" fillId="16" borderId="32" xfId="7" applyNumberFormat="1" applyFont="1" applyFill="1" applyBorder="1" applyAlignment="1">
      <alignment horizontal="right" vertical="center" shrinkToFit="1"/>
    </xf>
    <xf numFmtId="0" fontId="7" fillId="0" borderId="97" xfId="7" applyFont="1" applyBorder="1" applyAlignment="1">
      <alignment horizontal="center" vertical="center" shrinkToFit="1"/>
    </xf>
    <xf numFmtId="0" fontId="7" fillId="9" borderId="32" xfId="7" applyFont="1" applyFill="1" applyBorder="1" applyAlignment="1">
      <alignment horizontal="center" vertical="center" shrinkToFit="1"/>
    </xf>
    <xf numFmtId="0" fontId="67" fillId="16" borderId="98" xfId="7" applyFont="1" applyFill="1" applyBorder="1" applyAlignment="1">
      <alignment horizontal="center" vertical="center" shrinkToFit="1"/>
    </xf>
    <xf numFmtId="176" fontId="0" fillId="18" borderId="12" xfId="0" applyNumberFormat="1" applyFill="1" applyBorder="1" applyAlignment="1">
      <alignment horizontal="center" vertical="center" shrinkToFit="1"/>
    </xf>
    <xf numFmtId="176" fontId="0" fillId="0" borderId="12" xfId="0" applyNumberFormat="1" applyBorder="1" applyAlignment="1">
      <alignment horizontal="right" vertical="center"/>
    </xf>
    <xf numFmtId="176" fontId="0" fillId="0" borderId="107" xfId="0" applyNumberFormat="1" applyBorder="1" applyAlignment="1">
      <alignment horizontal="right" vertical="center"/>
    </xf>
    <xf numFmtId="176" fontId="0" fillId="18" borderId="15" xfId="0" applyNumberFormat="1" applyFill="1" applyBorder="1" applyAlignment="1">
      <alignment horizontal="center" vertical="center" shrinkToFit="1"/>
    </xf>
    <xf numFmtId="176" fontId="0" fillId="0" borderId="15" xfId="0" applyNumberForma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0" fontId="0" fillId="0" borderId="1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18" borderId="32" xfId="0" applyNumberFormat="1" applyFill="1" applyBorder="1" applyAlignment="1">
      <alignment horizontal="center" vertical="center" shrinkToFit="1"/>
    </xf>
    <xf numFmtId="176" fontId="0" fillId="0" borderId="32" xfId="0" applyNumberFormat="1" applyBorder="1" applyAlignment="1">
      <alignment horizontal="right" vertical="center"/>
    </xf>
    <xf numFmtId="0" fontId="20" fillId="9" borderId="97" xfId="7" applyFont="1" applyFill="1" applyBorder="1" applyAlignment="1">
      <alignment horizontal="center" vertical="center" shrinkToFit="1"/>
    </xf>
    <xf numFmtId="176" fontId="20" fillId="9" borderId="97" xfId="7" applyNumberFormat="1" applyFont="1" applyFill="1" applyBorder="1" applyAlignment="1">
      <alignment horizontal="center" vertical="center" shrinkToFit="1"/>
    </xf>
    <xf numFmtId="0" fontId="20" fillId="9" borderId="15" xfId="7" applyFont="1" applyFill="1" applyBorder="1" applyAlignment="1">
      <alignment horizontal="center" vertical="center" shrinkToFit="1"/>
    </xf>
    <xf numFmtId="176" fontId="20" fillId="9" borderId="15" xfId="7" applyNumberFormat="1" applyFont="1" applyFill="1" applyBorder="1" applyAlignment="1">
      <alignment horizontal="center" vertical="center" shrinkToFit="1"/>
    </xf>
    <xf numFmtId="0" fontId="20" fillId="9" borderId="12" xfId="7" applyFont="1" applyFill="1" applyBorder="1" applyAlignment="1">
      <alignment horizontal="center" vertical="center" shrinkToFit="1"/>
    </xf>
    <xf numFmtId="176" fontId="20" fillId="9" borderId="12" xfId="7" applyNumberFormat="1" applyFont="1" applyFill="1" applyBorder="1" applyAlignment="1">
      <alignment horizontal="center" vertical="center" shrinkToFit="1"/>
    </xf>
    <xf numFmtId="0" fontId="18" fillId="16" borderId="98" xfId="7" applyFont="1" applyFill="1" applyBorder="1" applyAlignment="1">
      <alignment horizontal="center" vertical="center" shrinkToFit="1"/>
    </xf>
    <xf numFmtId="176" fontId="18" fillId="16" borderId="98" xfId="7" applyNumberFormat="1" applyFont="1" applyFill="1" applyBorder="1" applyAlignment="1">
      <alignment horizontal="center" vertical="center" shrinkToFit="1"/>
    </xf>
    <xf numFmtId="176" fontId="18" fillId="16" borderId="98" xfId="7" applyNumberFormat="1" applyFont="1" applyFill="1" applyBorder="1" applyAlignment="1">
      <alignment horizontal="right" vertical="center" shrinkToFit="1"/>
    </xf>
    <xf numFmtId="0" fontId="38" fillId="9" borderId="97" xfId="7" applyFont="1" applyFill="1" applyBorder="1" applyAlignment="1">
      <alignment horizontal="center" vertical="center" shrinkToFit="1"/>
    </xf>
    <xf numFmtId="176" fontId="38" fillId="9" borderId="97" xfId="7" applyNumberFormat="1" applyFont="1" applyFill="1" applyBorder="1" applyAlignment="1">
      <alignment horizontal="center" vertical="center" shrinkToFit="1"/>
    </xf>
    <xf numFmtId="0" fontId="38" fillId="9" borderId="12" xfId="7" applyFont="1" applyFill="1" applyBorder="1" applyAlignment="1">
      <alignment horizontal="center" vertical="center" shrinkToFit="1"/>
    </xf>
    <xf numFmtId="176" fontId="38" fillId="9" borderId="12" xfId="7" applyNumberFormat="1" applyFont="1" applyFill="1" applyBorder="1" applyAlignment="1">
      <alignment horizontal="center" vertical="center" shrinkToFit="1"/>
    </xf>
    <xf numFmtId="176" fontId="38" fillId="9" borderId="15" xfId="7" applyNumberFormat="1" applyFont="1" applyFill="1" applyBorder="1" applyAlignment="1">
      <alignment horizontal="center" vertical="center" shrinkToFit="1"/>
    </xf>
    <xf numFmtId="0" fontId="37" fillId="16" borderId="98" xfId="7" applyFont="1" applyFill="1" applyBorder="1" applyAlignment="1">
      <alignment horizontal="center" vertical="center" shrinkToFit="1"/>
    </xf>
    <xf numFmtId="176" fontId="37" fillId="16" borderId="98" xfId="7" applyNumberFormat="1" applyFont="1" applyFill="1" applyBorder="1" applyAlignment="1">
      <alignment horizontal="center" vertical="center" shrinkToFit="1"/>
    </xf>
    <xf numFmtId="0" fontId="37" fillId="16" borderId="32" xfId="7" applyFont="1" applyFill="1" applyBorder="1" applyAlignment="1">
      <alignment horizontal="center" vertical="center" shrinkToFit="1"/>
    </xf>
    <xf numFmtId="176" fontId="37" fillId="16" borderId="32" xfId="7" applyNumberFormat="1" applyFont="1" applyFill="1" applyBorder="1" applyAlignment="1">
      <alignment horizontal="center" vertical="center" shrinkToFit="1"/>
    </xf>
    <xf numFmtId="176" fontId="37" fillId="16" borderId="32" xfId="7" applyNumberFormat="1" applyFont="1" applyFill="1" applyBorder="1" applyAlignment="1">
      <alignment horizontal="right" vertical="center" shrinkToFit="1"/>
    </xf>
    <xf numFmtId="0" fontId="38" fillId="0" borderId="97" xfId="7" applyFont="1" applyBorder="1" applyAlignment="1">
      <alignment horizontal="center" vertical="center" shrinkToFit="1"/>
    </xf>
    <xf numFmtId="0" fontId="38" fillId="9" borderId="15" xfId="7" applyFont="1" applyFill="1" applyBorder="1" applyAlignment="1">
      <alignment horizontal="center" vertical="center" shrinkToFit="1"/>
    </xf>
    <xf numFmtId="0" fontId="38" fillId="9" borderId="32" xfId="7" applyFont="1" applyFill="1" applyBorder="1" applyAlignment="1">
      <alignment horizontal="center" vertical="center" shrinkToFit="1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12" fillId="8" borderId="99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09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80" xfId="0" applyFont="1" applyFill="1" applyBorder="1" applyAlignment="1">
      <alignment horizontal="center" vertical="center" wrapText="1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60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71" xfId="4" applyFont="1" applyFill="1" applyBorder="1" applyAlignment="1" applyProtection="1">
      <alignment horizontal="center" vertical="center" wrapText="1"/>
      <protection locked="0"/>
    </xf>
    <xf numFmtId="0" fontId="22" fillId="0" borderId="116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5" fillId="3" borderId="37" xfId="3" applyFont="1" applyBorder="1" applyAlignment="1" applyProtection="1">
      <alignment horizontal="center" vertical="center"/>
      <protection locked="0"/>
    </xf>
    <xf numFmtId="0" fontId="25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22" fillId="0" borderId="56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22" fillId="0" borderId="122" xfId="4" applyFont="1" applyFill="1" applyBorder="1" applyAlignment="1" applyProtection="1">
      <alignment horizontal="center" vertical="center" wrapText="1"/>
      <protection locked="0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2" fillId="0" borderId="54" xfId="4" applyFont="1" applyFill="1" applyBorder="1" applyAlignment="1" applyProtection="1">
      <alignment horizontal="center" vertical="center" wrapText="1"/>
      <protection locked="0"/>
    </xf>
    <xf numFmtId="0" fontId="22" fillId="0" borderId="36" xfId="4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22" fillId="0" borderId="124" xfId="4" applyFont="1" applyFill="1" applyBorder="1" applyAlignment="1" applyProtection="1">
      <alignment horizontal="center" vertical="center" wrapText="1"/>
      <protection locked="0"/>
    </xf>
    <xf numFmtId="0" fontId="22" fillId="0" borderId="68" xfId="4" applyFont="1" applyFill="1" applyBorder="1" applyAlignment="1" applyProtection="1">
      <alignment horizontal="center" vertical="center" wrapText="1"/>
      <protection locked="0"/>
    </xf>
    <xf numFmtId="0" fontId="22" fillId="0" borderId="67" xfId="4" applyFont="1" applyFill="1" applyBorder="1" applyAlignment="1" applyProtection="1">
      <alignment horizontal="center" vertical="center" wrapText="1"/>
      <protection locked="0"/>
    </xf>
    <xf numFmtId="0" fontId="22" fillId="0" borderId="25" xfId="4" applyFont="1" applyFill="1" applyBorder="1" applyAlignment="1" applyProtection="1">
      <alignment horizontal="center" vertical="center" wrapText="1"/>
      <protection locked="0"/>
    </xf>
    <xf numFmtId="0" fontId="0" fillId="0" borderId="98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22" fillId="0" borderId="19" xfId="4" applyFont="1" applyFill="1" applyBorder="1" applyAlignment="1" applyProtection="1">
      <alignment horizontal="center" vertical="center" wrapText="1"/>
      <protection locked="0"/>
    </xf>
    <xf numFmtId="0" fontId="22" fillId="0" borderId="22" xfId="4" applyFont="1" applyFill="1" applyBorder="1" applyAlignment="1" applyProtection="1">
      <alignment horizontal="center" vertical="center" wrapText="1"/>
      <protection locked="0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123" xfId="4" applyFont="1" applyFill="1" applyBorder="1" applyAlignment="1" applyProtection="1">
      <alignment horizontal="center" vertical="center" wrapTex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22" fillId="0" borderId="50" xfId="2" applyFont="1" applyBorder="1" applyAlignment="1" applyProtection="1">
      <alignment horizontal="center" vertical="center" wrapText="1"/>
      <protection locked="0"/>
    </xf>
    <xf numFmtId="0" fontId="22" fillId="0" borderId="54" xfId="2" applyFont="1" applyBorder="1" applyAlignment="1" applyProtection="1">
      <alignment horizontal="center" vertical="center" wrapText="1"/>
      <protection locked="0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22" fillId="0" borderId="50" xfId="0" applyFont="1" applyBorder="1" applyAlignment="1" applyProtection="1">
      <alignment horizontal="center" vertical="center" shrinkToFit="1"/>
      <protection locked="0"/>
    </xf>
    <xf numFmtId="0" fontId="22" fillId="0" borderId="54" xfId="0" applyFont="1" applyBorder="1" applyAlignment="1" applyProtection="1">
      <alignment horizontal="center" vertical="center" shrinkToFit="1"/>
      <protection locked="0"/>
    </xf>
    <xf numFmtId="0" fontId="23" fillId="13" borderId="24" xfId="0" applyFont="1" applyFill="1" applyBorder="1" applyAlignment="1" applyProtection="1">
      <alignment horizontal="center" vertical="center"/>
      <protection locked="0"/>
    </xf>
    <xf numFmtId="0" fontId="23" fillId="13" borderId="29" xfId="0" applyFont="1" applyFill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44" fillId="15" borderId="14" xfId="0" applyFont="1" applyFill="1" applyBorder="1" applyAlignment="1">
      <alignment horizontal="center" vertical="center" wrapText="1"/>
    </xf>
    <xf numFmtId="0" fontId="44" fillId="15" borderId="17" xfId="0" applyFont="1" applyFill="1" applyBorder="1" applyAlignment="1">
      <alignment horizontal="center" vertical="center" wrapText="1"/>
    </xf>
    <xf numFmtId="0" fontId="22" fillId="0" borderId="56" xfId="0" applyFont="1" applyBorder="1" applyAlignment="1" applyProtection="1">
      <alignment horizontal="center" vertical="center" shrinkToFit="1"/>
      <protection locked="0"/>
    </xf>
    <xf numFmtId="0" fontId="22" fillId="0" borderId="53" xfId="0" applyFont="1" applyBorder="1" applyAlignment="1" applyProtection="1">
      <alignment horizontal="center" vertical="center" shrinkToFit="1"/>
      <protection locked="0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123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22" fillId="0" borderId="104" xfId="0" applyFont="1" applyBorder="1" applyAlignment="1" applyProtection="1">
      <alignment horizontal="center" vertical="center" shrinkToFit="1"/>
      <protection locked="0"/>
    </xf>
    <xf numFmtId="0" fontId="22" fillId="0" borderId="105" xfId="0" applyFont="1" applyBorder="1" applyAlignment="1" applyProtection="1">
      <alignment horizontal="center" vertical="center" shrinkToFi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10" borderId="109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105" xfId="6" applyFont="1" applyFill="1" applyBorder="1" applyAlignment="1" applyProtection="1">
      <alignment horizontal="center" vertical="center" wrapText="1"/>
    </xf>
    <xf numFmtId="0" fontId="13" fillId="6" borderId="100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43" fillId="15" borderId="14" xfId="4" applyFont="1" applyFill="1" applyBorder="1" applyAlignment="1" applyProtection="1">
      <alignment horizontal="center" vertical="center" wrapText="1"/>
    </xf>
    <xf numFmtId="0" fontId="43" fillId="15" borderId="80" xfId="4" applyFont="1" applyFill="1" applyBorder="1" applyAlignment="1" applyProtection="1">
      <alignment horizontal="center" vertical="center" wrapText="1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5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1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15" borderId="22" xfId="4" applyFont="1" applyFill="1" applyBorder="1" applyAlignment="1" applyProtection="1">
      <alignment horizontal="center" vertical="center" wrapText="1"/>
    </xf>
    <xf numFmtId="0" fontId="22" fillId="15" borderId="75" xfId="4" applyFont="1" applyFill="1" applyBorder="1" applyAlignment="1" applyProtection="1">
      <alignment horizontal="center" vertical="center" wrapText="1"/>
    </xf>
    <xf numFmtId="0" fontId="22" fillId="15" borderId="62" xfId="4" applyFont="1" applyFill="1" applyBorder="1" applyAlignment="1" applyProtection="1">
      <alignment horizontal="center" vertical="center" wrapText="1"/>
    </xf>
    <xf numFmtId="0" fontId="22" fillId="0" borderId="81" xfId="4" applyFont="1" applyFill="1" applyBorder="1" applyAlignment="1" applyProtection="1">
      <alignment horizontal="center" vertical="center" wrapText="1"/>
      <protection locked="0"/>
    </xf>
    <xf numFmtId="0" fontId="22" fillId="0" borderId="61" xfId="4" applyFont="1" applyFill="1" applyBorder="1" applyAlignment="1" applyProtection="1">
      <alignment horizontal="center" vertical="center" wrapText="1"/>
      <protection locked="0"/>
    </xf>
    <xf numFmtId="0" fontId="22" fillId="0" borderId="63" xfId="4" applyFont="1" applyFill="1" applyBorder="1" applyAlignment="1" applyProtection="1">
      <alignment horizontal="center" vertical="center" wrapText="1"/>
      <protection locked="0"/>
    </xf>
    <xf numFmtId="0" fontId="22" fillId="0" borderId="72" xfId="4" applyFont="1" applyFill="1" applyBorder="1" applyAlignment="1" applyProtection="1">
      <alignment horizontal="center" vertical="center" wrapText="1"/>
      <protection locked="0"/>
    </xf>
    <xf numFmtId="0" fontId="22" fillId="0" borderId="79" xfId="4" applyFont="1" applyFill="1" applyBorder="1" applyAlignment="1" applyProtection="1">
      <alignment horizontal="center" vertical="center" wrapText="1"/>
      <protection locked="0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22" fillId="0" borderId="90" xfId="4" applyFont="1" applyFill="1" applyBorder="1" applyAlignment="1" applyProtection="1">
      <alignment horizontal="center" vertical="center" wrapText="1"/>
      <protection locked="0"/>
    </xf>
    <xf numFmtId="0" fontId="22" fillId="0" borderId="49" xfId="0" applyFont="1" applyBorder="1" applyAlignment="1" applyProtection="1">
      <alignment horizontal="center" vertical="center" shrinkToFit="1"/>
      <protection locked="0"/>
    </xf>
    <xf numFmtId="0" fontId="22" fillId="0" borderId="60" xfId="0" applyFont="1" applyBorder="1" applyAlignment="1" applyProtection="1">
      <alignment horizontal="center" vertical="center" shrinkToFit="1"/>
      <protection locked="0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25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170" xfId="0" applyFont="1" applyBorder="1" applyAlignment="1" applyProtection="1">
      <alignment horizontal="center" vertical="center" shrinkToFit="1"/>
      <protection locked="0"/>
    </xf>
    <xf numFmtId="0" fontId="13" fillId="0" borderId="73" xfId="0" applyFont="1" applyBorder="1" applyAlignment="1" applyProtection="1">
      <alignment horizontal="center" vertical="center" shrinkToFit="1"/>
      <protection locked="0"/>
    </xf>
    <xf numFmtId="0" fontId="22" fillId="0" borderId="170" xfId="4" applyFont="1" applyFill="1" applyBorder="1" applyAlignment="1" applyProtection="1">
      <alignment horizontal="center" vertical="center" wrapText="1"/>
      <protection locked="0"/>
    </xf>
    <xf numFmtId="0" fontId="22" fillId="0" borderId="171" xfId="4" applyFont="1" applyFill="1" applyBorder="1" applyAlignment="1" applyProtection="1">
      <alignment horizontal="center" vertical="center" wrapText="1"/>
      <protection locked="0"/>
    </xf>
    <xf numFmtId="0" fontId="22" fillId="0" borderId="37" xfId="4" applyFont="1" applyFill="1" applyBorder="1" applyAlignment="1" applyProtection="1">
      <alignment horizontal="center" vertical="center" wrapText="1"/>
      <protection locked="0"/>
    </xf>
    <xf numFmtId="0" fontId="22" fillId="0" borderId="177" xfId="4" applyFont="1" applyFill="1" applyBorder="1" applyAlignment="1" applyProtection="1">
      <alignment horizontal="center" vertical="center" wrapText="1"/>
      <protection locked="0"/>
    </xf>
    <xf numFmtId="0" fontId="22" fillId="0" borderId="173" xfId="4" applyFont="1" applyFill="1" applyBorder="1" applyAlignment="1" applyProtection="1">
      <alignment horizontal="center" vertical="center" wrapText="1"/>
      <protection locked="0"/>
    </xf>
    <xf numFmtId="0" fontId="22" fillId="0" borderId="172" xfId="4" applyFont="1" applyFill="1" applyBorder="1" applyAlignment="1" applyProtection="1">
      <alignment horizontal="center" vertical="center" wrapText="1"/>
      <protection locked="0"/>
    </xf>
    <xf numFmtId="0" fontId="22" fillId="0" borderId="73" xfId="4" applyFont="1" applyFill="1" applyBorder="1" applyAlignment="1" applyProtection="1">
      <alignment horizontal="center" vertical="center" wrapText="1"/>
      <protection locked="0"/>
    </xf>
    <xf numFmtId="0" fontId="13" fillId="15" borderId="56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54" xfId="0" applyFont="1" applyBorder="1" applyAlignment="1" applyProtection="1">
      <alignment horizontal="center" vertical="center" shrinkToFit="1"/>
      <protection locked="0"/>
    </xf>
    <xf numFmtId="0" fontId="43" fillId="15" borderId="17" xfId="4" applyFont="1" applyFill="1" applyBorder="1" applyAlignment="1" applyProtection="1">
      <alignment horizontal="center" vertical="center" wrapText="1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60" xfId="0" applyFont="1" applyBorder="1" applyAlignment="1" applyProtection="1">
      <alignment horizontal="center" vertical="center" shrinkToFit="1"/>
      <protection locked="0"/>
    </xf>
    <xf numFmtId="0" fontId="29" fillId="0" borderId="66" xfId="4" applyFont="1" applyFill="1" applyBorder="1" applyAlignment="1" applyProtection="1">
      <alignment horizontal="center" vertical="center" wrapText="1"/>
    </xf>
    <xf numFmtId="0" fontId="29" fillId="0" borderId="95" xfId="4" applyFont="1" applyFill="1" applyBorder="1" applyAlignment="1" applyProtection="1">
      <alignment horizontal="center" vertical="center" wrapText="1"/>
    </xf>
    <xf numFmtId="0" fontId="29" fillId="0" borderId="55" xfId="4" applyFont="1" applyFill="1" applyBorder="1" applyAlignment="1" applyProtection="1">
      <alignment horizontal="center" vertical="center" wrapText="1"/>
    </xf>
    <xf numFmtId="0" fontId="22" fillId="15" borderId="78" xfId="4" applyFont="1" applyFill="1" applyBorder="1" applyAlignment="1" applyProtection="1">
      <alignment horizontal="center" vertical="center" wrapText="1"/>
    </xf>
    <xf numFmtId="0" fontId="13" fillId="0" borderId="56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22" fillId="0" borderId="77" xfId="4" applyFont="1" applyFill="1" applyBorder="1" applyAlignment="1" applyProtection="1">
      <alignment horizontal="center" vertical="center" wrapText="1"/>
      <protection locked="0"/>
    </xf>
    <xf numFmtId="0" fontId="22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/>
      <protection locked="0"/>
    </xf>
    <xf numFmtId="0" fontId="13" fillId="0" borderId="54" xfId="0" applyFont="1" applyBorder="1" applyAlignment="1" applyProtection="1">
      <alignment horizontal="center" vertical="center"/>
      <protection locked="0"/>
    </xf>
    <xf numFmtId="0" fontId="22" fillId="0" borderId="20" xfId="4" applyFont="1" applyFill="1" applyBorder="1" applyAlignment="1" applyProtection="1">
      <alignment horizontal="center" vertical="center" wrapText="1"/>
      <protection locked="0"/>
    </xf>
    <xf numFmtId="0" fontId="22" fillId="0" borderId="91" xfId="4" applyFont="1" applyFill="1" applyBorder="1" applyAlignment="1" applyProtection="1">
      <alignment horizontal="center" vertical="center" wrapText="1"/>
      <protection locked="0"/>
    </xf>
    <xf numFmtId="0" fontId="22" fillId="0" borderId="7" xfId="4" applyFont="1" applyFill="1" applyBorder="1" applyAlignment="1" applyProtection="1">
      <alignment horizontal="center" vertical="center" wrapText="1"/>
      <protection locked="0"/>
    </xf>
    <xf numFmtId="0" fontId="22" fillId="15" borderId="50" xfId="5" applyFont="1" applyFill="1" applyBorder="1" applyAlignment="1" applyProtection="1">
      <alignment horizontal="center" vertical="center" wrapText="1"/>
    </xf>
    <xf numFmtId="0" fontId="22" fillId="15" borderId="54" xfId="5" applyFont="1" applyFill="1" applyBorder="1" applyAlignment="1" applyProtection="1">
      <alignment horizontal="center" vertical="center" wrapText="1"/>
    </xf>
    <xf numFmtId="0" fontId="22" fillId="15" borderId="6" xfId="5" applyFont="1" applyFill="1" applyBorder="1" applyAlignment="1" applyProtection="1">
      <alignment horizontal="center" vertical="center" wrapText="1"/>
    </xf>
    <xf numFmtId="0" fontId="22" fillId="15" borderId="21" xfId="5" applyFont="1" applyFill="1" applyBorder="1" applyAlignment="1" applyProtection="1">
      <alignment horizontal="center" vertical="center" wrapText="1"/>
    </xf>
    <xf numFmtId="0" fontId="22" fillId="15" borderId="19" xfId="5" applyFont="1" applyFill="1" applyBorder="1" applyAlignment="1" applyProtection="1">
      <alignment horizontal="center" vertical="center" wrapText="1"/>
    </xf>
    <xf numFmtId="0" fontId="22" fillId="15" borderId="22" xfId="5" applyFont="1" applyFill="1" applyBorder="1" applyAlignment="1" applyProtection="1">
      <alignment horizontal="center" vertical="center" wrapText="1"/>
    </xf>
    <xf numFmtId="0" fontId="22" fillId="15" borderId="4" xfId="5" applyFont="1" applyFill="1" applyBorder="1" applyAlignment="1" applyProtection="1">
      <alignment horizontal="center" vertical="center" wrapText="1"/>
    </xf>
    <xf numFmtId="0" fontId="22" fillId="15" borderId="25" xfId="5" applyFont="1" applyFill="1" applyBorder="1" applyAlignment="1" applyProtection="1">
      <alignment horizontal="center" vertical="center" wrapText="1"/>
    </xf>
    <xf numFmtId="0" fontId="43" fillId="0" borderId="16" xfId="0" applyFont="1" applyBorder="1" applyAlignment="1" applyProtection="1">
      <alignment horizontal="center" vertical="center" wrapText="1"/>
      <protection locked="0"/>
    </xf>
    <xf numFmtId="0" fontId="22" fillId="0" borderId="49" xfId="2" applyFont="1" applyBorder="1" applyAlignment="1" applyProtection="1">
      <alignment horizontal="center" vertical="center" wrapText="1"/>
      <protection locked="0"/>
    </xf>
    <xf numFmtId="0" fontId="22" fillId="0" borderId="60" xfId="2" applyFont="1" applyBorder="1" applyAlignment="1" applyProtection="1">
      <alignment horizontal="center" vertical="center" wrapText="1"/>
      <protection locked="0"/>
    </xf>
    <xf numFmtId="0" fontId="22" fillId="0" borderId="50" xfId="0" applyFont="1" applyFill="1" applyBorder="1" applyAlignment="1" applyProtection="1">
      <alignment horizontal="center" vertical="center" shrinkToFit="1"/>
      <protection locked="0"/>
    </xf>
    <xf numFmtId="0" fontId="22" fillId="0" borderId="54" xfId="0" applyFont="1" applyFill="1" applyBorder="1" applyAlignment="1" applyProtection="1">
      <alignment horizontal="center" vertical="center" shrinkToFit="1"/>
      <protection locked="0"/>
    </xf>
    <xf numFmtId="0" fontId="22" fillId="0" borderId="49" xfId="0" applyFont="1" applyFill="1" applyBorder="1" applyAlignment="1" applyProtection="1">
      <alignment horizontal="center" vertical="center" shrinkToFit="1"/>
      <protection locked="0"/>
    </xf>
    <xf numFmtId="0" fontId="22" fillId="0" borderId="60" xfId="0" applyFont="1" applyFill="1" applyBorder="1" applyAlignment="1" applyProtection="1">
      <alignment horizontal="center" vertical="center" shrinkToFit="1"/>
      <protection locked="0"/>
    </xf>
    <xf numFmtId="0" fontId="22" fillId="15" borderId="56" xfId="5" applyFont="1" applyFill="1" applyBorder="1" applyAlignment="1" applyProtection="1">
      <alignment horizontal="center" vertical="center" wrapText="1"/>
    </xf>
    <xf numFmtId="0" fontId="22" fillId="15" borderId="53" xfId="5" applyFont="1" applyFill="1" applyBorder="1" applyAlignment="1" applyProtection="1">
      <alignment horizontal="center" vertical="center" wrapText="1"/>
    </xf>
    <xf numFmtId="0" fontId="22" fillId="0" borderId="56" xfId="0" applyFont="1" applyFill="1" applyBorder="1" applyAlignment="1" applyProtection="1">
      <alignment horizontal="center" vertical="center" shrinkToFit="1"/>
      <protection locked="0"/>
    </xf>
    <xf numFmtId="0" fontId="22" fillId="0" borderId="53" xfId="0" applyFont="1" applyFill="1" applyBorder="1" applyAlignment="1" applyProtection="1">
      <alignment horizontal="center" vertical="center" shrinkToFit="1"/>
      <protection locked="0"/>
    </xf>
    <xf numFmtId="0" fontId="18" fillId="9" borderId="106" xfId="7" applyFont="1" applyFill="1" applyBorder="1" applyAlignment="1">
      <alignment horizontal="center" vertical="center" wrapText="1"/>
    </xf>
    <xf numFmtId="0" fontId="18" fillId="9" borderId="108" xfId="7" applyFont="1" applyFill="1" applyBorder="1" applyAlignment="1">
      <alignment horizontal="center" vertical="center" wrapText="1"/>
    </xf>
    <xf numFmtId="0" fontId="18" fillId="9" borderId="9" xfId="7" applyFont="1" applyFill="1" applyBorder="1" applyAlignment="1">
      <alignment horizontal="center" vertical="center" wrapText="1"/>
    </xf>
    <xf numFmtId="176" fontId="18" fillId="9" borderId="12" xfId="7" applyNumberFormat="1" applyFont="1" applyFill="1" applyBorder="1" applyAlignment="1">
      <alignment horizontal="center" vertical="center" wrapText="1"/>
    </xf>
    <xf numFmtId="0" fontId="18" fillId="9" borderId="32" xfId="7" applyFont="1" applyFill="1" applyBorder="1" applyAlignment="1">
      <alignment horizontal="center" vertical="center" wrapText="1"/>
    </xf>
    <xf numFmtId="0" fontId="18" fillId="9" borderId="98" xfId="7" applyFont="1" applyFill="1" applyBorder="1" applyAlignment="1">
      <alignment horizontal="center" vertical="center" wrapText="1"/>
    </xf>
    <xf numFmtId="0" fontId="18" fillId="16" borderId="98" xfId="7" applyFont="1" applyFill="1" applyBorder="1" applyAlignment="1">
      <alignment horizontal="center" vertical="center" shrinkToFit="1"/>
    </xf>
    <xf numFmtId="0" fontId="18" fillId="16" borderId="113" xfId="7" applyFont="1" applyFill="1" applyBorder="1" applyAlignment="1">
      <alignment horizontal="center" vertical="center" shrinkToFit="1"/>
    </xf>
    <xf numFmtId="0" fontId="17" fillId="11" borderId="97" xfId="7" applyFont="1" applyFill="1" applyBorder="1" applyAlignment="1">
      <alignment horizontal="center" vertical="center" shrinkToFit="1"/>
    </xf>
    <xf numFmtId="0" fontId="17" fillId="11" borderId="15" xfId="7" applyFont="1" applyFill="1" applyBorder="1" applyAlignment="1">
      <alignment horizontal="center" vertical="center" shrinkToFit="1"/>
    </xf>
    <xf numFmtId="0" fontId="17" fillId="11" borderId="98" xfId="7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92" xfId="0" applyFont="1" applyFill="1" applyBorder="1" applyAlignment="1">
      <alignment horizontal="center" vertical="center"/>
    </xf>
    <xf numFmtId="0" fontId="26" fillId="8" borderId="93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9" xfId="0" applyFont="1" applyFill="1" applyBorder="1" applyAlignment="1">
      <alignment horizontal="center" vertical="center"/>
    </xf>
    <xf numFmtId="0" fontId="0" fillId="0" borderId="94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82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3" xfId="7" applyFont="1" applyFill="1" applyBorder="1" applyAlignment="1">
      <alignment horizontal="center" vertical="center" wrapText="1"/>
    </xf>
    <xf numFmtId="0" fontId="17" fillId="11" borderId="9" xfId="7" applyFont="1" applyFill="1" applyBorder="1" applyAlignment="1">
      <alignment horizontal="center" vertical="center" wrapText="1"/>
    </xf>
    <xf numFmtId="0" fontId="17" fillId="11" borderId="97" xfId="7" applyFont="1" applyFill="1" applyBorder="1" applyAlignment="1">
      <alignment horizontal="center" vertical="center" wrapText="1"/>
    </xf>
    <xf numFmtId="0" fontId="17" fillId="11" borderId="15" xfId="7" applyFont="1" applyFill="1" applyBorder="1" applyAlignment="1">
      <alignment horizontal="center" vertical="center" wrapText="1"/>
    </xf>
    <xf numFmtId="0" fontId="17" fillId="11" borderId="98" xfId="7" applyFont="1" applyFill="1" applyBorder="1" applyAlignment="1">
      <alignment horizontal="center" vertical="center" wrapText="1"/>
    </xf>
    <xf numFmtId="0" fontId="17" fillId="11" borderId="97" xfId="7" applyFont="1" applyFill="1" applyBorder="1" applyAlignment="1">
      <alignment horizontal="center" vertical="center"/>
    </xf>
    <xf numFmtId="0" fontId="27" fillId="11" borderId="97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8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7" fillId="11" borderId="30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1" xfId="7" applyFont="1" applyFill="1" applyBorder="1" applyAlignment="1">
      <alignment horizontal="center" vertical="center"/>
    </xf>
    <xf numFmtId="0" fontId="18" fillId="9" borderId="99" xfId="7" applyFont="1" applyFill="1" applyBorder="1" applyAlignment="1">
      <alignment horizontal="center" vertical="center" wrapText="1"/>
    </xf>
    <xf numFmtId="0" fontId="18" fillId="9" borderId="26" xfId="7" applyFont="1" applyFill="1" applyBorder="1" applyAlignment="1">
      <alignment horizontal="center" vertical="center" wrapText="1"/>
    </xf>
    <xf numFmtId="0" fontId="18" fillId="9" borderId="27" xfId="7" applyFont="1" applyFill="1" applyBorder="1" applyAlignment="1">
      <alignment horizontal="center" vertical="center" wrapText="1"/>
    </xf>
    <xf numFmtId="176" fontId="18" fillId="9" borderId="112" xfId="7" applyNumberFormat="1" applyFont="1" applyFill="1" applyBorder="1" applyAlignment="1">
      <alignment horizontal="center" vertical="center" wrapText="1"/>
    </xf>
    <xf numFmtId="176" fontId="18" fillId="9" borderId="10" xfId="7" applyNumberFormat="1" applyFont="1" applyFill="1" applyBorder="1" applyAlignment="1">
      <alignment horizontal="center" vertical="center" wrapText="1"/>
    </xf>
    <xf numFmtId="176" fontId="18" fillId="9" borderId="113" xfId="7" applyNumberFormat="1" applyFont="1" applyFill="1" applyBorder="1" applyAlignment="1">
      <alignment horizontal="center" vertical="center" wrapText="1"/>
    </xf>
    <xf numFmtId="0" fontId="40" fillId="16" borderId="98" xfId="7" applyFont="1" applyFill="1" applyBorder="1" applyAlignment="1">
      <alignment horizontal="center" vertical="center" shrinkToFit="1"/>
    </xf>
    <xf numFmtId="0" fontId="18" fillId="9" borderId="5" xfId="7" applyFont="1" applyFill="1" applyBorder="1" applyAlignment="1">
      <alignment horizontal="center" vertical="center" wrapText="1"/>
    </xf>
    <xf numFmtId="176" fontId="18" fillId="9" borderId="97" xfId="7" applyNumberFormat="1" applyFont="1" applyFill="1" applyBorder="1" applyAlignment="1">
      <alignment horizontal="center" vertical="center" wrapText="1"/>
    </xf>
    <xf numFmtId="0" fontId="37" fillId="16" borderId="8" xfId="7" applyFont="1" applyFill="1" applyBorder="1" applyAlignment="1">
      <alignment horizontal="center" vertical="center" shrinkToFit="1"/>
    </xf>
    <xf numFmtId="0" fontId="37" fillId="16" borderId="18" xfId="7" applyFont="1" applyFill="1" applyBorder="1" applyAlignment="1">
      <alignment horizontal="center" vertical="center" shrinkToFit="1"/>
    </xf>
    <xf numFmtId="0" fontId="18" fillId="9" borderId="112" xfId="7" applyFont="1" applyFill="1" applyBorder="1" applyAlignment="1">
      <alignment horizontal="center" vertical="center" wrapText="1"/>
    </xf>
    <xf numFmtId="0" fontId="18" fillId="9" borderId="10" xfId="7" applyFont="1" applyFill="1" applyBorder="1" applyAlignment="1">
      <alignment horizontal="center" vertical="center" wrapText="1"/>
    </xf>
    <xf numFmtId="0" fontId="18" fillId="9" borderId="113" xfId="7" applyFont="1" applyFill="1" applyBorder="1" applyAlignment="1">
      <alignment horizontal="center" vertical="center" wrapText="1"/>
    </xf>
    <xf numFmtId="0" fontId="37" fillId="16" borderId="111" xfId="7" applyFont="1" applyFill="1" applyBorder="1" applyAlignment="1">
      <alignment horizontal="center" vertical="center" shrinkToFit="1"/>
    </xf>
    <xf numFmtId="0" fontId="37" fillId="16" borderId="32" xfId="7" applyFont="1" applyFill="1" applyBorder="1" applyAlignment="1">
      <alignment horizontal="center" vertical="center" shrinkToFit="1"/>
    </xf>
    <xf numFmtId="0" fontId="18" fillId="9" borderId="13" xfId="7" applyFont="1" applyFill="1" applyBorder="1" applyAlignment="1">
      <alignment horizontal="center" vertical="center" wrapText="1"/>
    </xf>
    <xf numFmtId="0" fontId="18" fillId="9" borderId="15" xfId="7" applyFont="1" applyFill="1" applyBorder="1" applyAlignment="1">
      <alignment horizontal="center" vertical="center" wrapText="1"/>
    </xf>
    <xf numFmtId="0" fontId="66" fillId="9" borderId="106" xfId="7" applyFont="1" applyFill="1" applyBorder="1" applyAlignment="1">
      <alignment horizontal="center" vertical="center" wrapText="1"/>
    </xf>
    <xf numFmtId="0" fontId="66" fillId="9" borderId="108" xfId="7" applyFont="1" applyFill="1" applyBorder="1" applyAlignment="1">
      <alignment horizontal="center" vertical="center" wrapText="1"/>
    </xf>
    <xf numFmtId="0" fontId="66" fillId="9" borderId="9" xfId="7" applyFont="1" applyFill="1" applyBorder="1" applyAlignment="1">
      <alignment horizontal="center" vertical="center" wrapText="1"/>
    </xf>
    <xf numFmtId="176" fontId="66" fillId="9" borderId="12" xfId="7" applyNumberFormat="1" applyFont="1" applyFill="1" applyBorder="1" applyAlignment="1">
      <alignment horizontal="center" vertical="center" wrapText="1"/>
    </xf>
    <xf numFmtId="0" fontId="66" fillId="9" borderId="32" xfId="7" applyFont="1" applyFill="1" applyBorder="1" applyAlignment="1">
      <alignment horizontal="center" vertical="center" wrapText="1"/>
    </xf>
    <xf numFmtId="0" fontId="66" fillId="9" borderId="98" xfId="7" applyFont="1" applyFill="1" applyBorder="1" applyAlignment="1">
      <alignment horizontal="center" vertical="center" wrapText="1"/>
    </xf>
    <xf numFmtId="0" fontId="67" fillId="16" borderId="98" xfId="7" applyFont="1" applyFill="1" applyBorder="1" applyAlignment="1">
      <alignment horizontal="center" vertical="center" shrinkToFit="1"/>
    </xf>
    <xf numFmtId="0" fontId="65" fillId="16" borderId="98" xfId="7" applyFont="1" applyFill="1" applyBorder="1" applyAlignment="1">
      <alignment horizontal="center" vertical="center" shrinkToFit="1"/>
    </xf>
    <xf numFmtId="0" fontId="66" fillId="9" borderId="26" xfId="7" applyFont="1" applyFill="1" applyBorder="1" applyAlignment="1">
      <alignment horizontal="center" vertical="center" wrapText="1"/>
    </xf>
    <xf numFmtId="176" fontId="66" fillId="9" borderId="10" xfId="7" applyNumberFormat="1" applyFont="1" applyFill="1" applyBorder="1" applyAlignment="1">
      <alignment horizontal="center" vertical="center" wrapText="1"/>
    </xf>
    <xf numFmtId="0" fontId="67" fillId="9" borderId="106" xfId="7" applyFont="1" applyFill="1" applyBorder="1" applyAlignment="1">
      <alignment horizontal="center" vertical="center" wrapText="1"/>
    </xf>
    <xf numFmtId="0" fontId="67" fillId="9" borderId="26" xfId="7" applyFont="1" applyFill="1" applyBorder="1" applyAlignment="1">
      <alignment horizontal="center" vertical="center" wrapText="1"/>
    </xf>
    <xf numFmtId="0" fontId="67" fillId="9" borderId="9" xfId="7" applyFont="1" applyFill="1" applyBorder="1" applyAlignment="1">
      <alignment horizontal="center" vertical="center" wrapText="1"/>
    </xf>
    <xf numFmtId="0" fontId="17" fillId="11" borderId="32" xfId="7" applyFont="1" applyFill="1" applyBorder="1" applyAlignment="1">
      <alignment horizontal="center" vertical="center" shrinkToFit="1"/>
    </xf>
    <xf numFmtId="0" fontId="67" fillId="9" borderId="99" xfId="7" applyFont="1" applyFill="1" applyBorder="1" applyAlignment="1">
      <alignment horizontal="center" vertical="center" wrapText="1"/>
    </xf>
    <xf numFmtId="0" fontId="67" fillId="9" borderId="27" xfId="7" applyFont="1" applyFill="1" applyBorder="1" applyAlignment="1">
      <alignment horizontal="center" vertical="center" wrapText="1"/>
    </xf>
    <xf numFmtId="176" fontId="12" fillId="9" borderId="112" xfId="7" applyNumberFormat="1" applyFont="1" applyFill="1" applyBorder="1" applyAlignment="1">
      <alignment horizontal="center" vertical="center" wrapText="1"/>
    </xf>
    <xf numFmtId="176" fontId="12" fillId="9" borderId="10" xfId="7" applyNumberFormat="1" applyFont="1" applyFill="1" applyBorder="1" applyAlignment="1">
      <alignment horizontal="center" vertical="center" wrapText="1"/>
    </xf>
    <xf numFmtId="176" fontId="12" fillId="9" borderId="113" xfId="7" applyNumberFormat="1" applyFont="1" applyFill="1" applyBorder="1" applyAlignment="1">
      <alignment horizontal="center" vertical="center" wrapText="1"/>
    </xf>
    <xf numFmtId="0" fontId="66" fillId="9" borderId="5" xfId="7" applyFont="1" applyFill="1" applyBorder="1" applyAlignment="1">
      <alignment horizontal="center" vertical="center" wrapText="1"/>
    </xf>
    <xf numFmtId="0" fontId="66" fillId="9" borderId="13" xfId="7" applyFont="1" applyFill="1" applyBorder="1" applyAlignment="1">
      <alignment horizontal="center" vertical="center" wrapText="1"/>
    </xf>
    <xf numFmtId="176" fontId="66" fillId="9" borderId="97" xfId="7" applyNumberFormat="1" applyFont="1" applyFill="1" applyBorder="1" applyAlignment="1">
      <alignment horizontal="center" vertical="center" wrapText="1"/>
    </xf>
    <xf numFmtId="0" fontId="66" fillId="9" borderId="15" xfId="7" applyFont="1" applyFill="1" applyBorder="1" applyAlignment="1">
      <alignment horizontal="center" vertical="center" wrapText="1"/>
    </xf>
    <xf numFmtId="0" fontId="66" fillId="9" borderId="27" xfId="7" applyFont="1" applyFill="1" applyBorder="1" applyAlignment="1">
      <alignment horizontal="center" vertical="center" wrapText="1"/>
    </xf>
    <xf numFmtId="0" fontId="66" fillId="9" borderId="112" xfId="7" applyFont="1" applyFill="1" applyBorder="1" applyAlignment="1">
      <alignment horizontal="center" vertical="center" wrapText="1"/>
    </xf>
    <xf numFmtId="0" fontId="66" fillId="9" borderId="10" xfId="7" applyFont="1" applyFill="1" applyBorder="1" applyAlignment="1">
      <alignment horizontal="center" vertical="center" wrapText="1"/>
    </xf>
    <xf numFmtId="0" fontId="66" fillId="9" borderId="113" xfId="7" applyFont="1" applyFill="1" applyBorder="1" applyAlignment="1">
      <alignment horizontal="center" vertical="center" wrapText="1"/>
    </xf>
    <xf numFmtId="0" fontId="17" fillId="9" borderId="108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32" xfId="7" applyFont="1" applyFill="1" applyBorder="1" applyAlignment="1" applyProtection="1">
      <alignment horizontal="center" vertical="center" wrapText="1"/>
    </xf>
    <xf numFmtId="0" fontId="17" fillId="9" borderId="98" xfId="7" applyFont="1" applyFill="1" applyBorder="1" applyAlignment="1" applyProtection="1">
      <alignment horizontal="center" vertical="center" wrapText="1"/>
    </xf>
    <xf numFmtId="0" fontId="18" fillId="16" borderId="98" xfId="7" applyNumberFormat="1" applyFont="1" applyFill="1" applyBorder="1" applyAlignment="1" applyProtection="1">
      <alignment horizontal="center" vertical="center" shrinkToFit="1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27" xfId="7" applyFont="1" applyFill="1" applyBorder="1" applyAlignment="1" applyProtection="1">
      <alignment horizontal="center" vertical="center" wrapText="1"/>
    </xf>
    <xf numFmtId="0" fontId="17" fillId="9" borderId="112" xfId="7" applyFont="1" applyFill="1" applyBorder="1" applyAlignment="1" applyProtection="1">
      <alignment horizontal="center" vertical="center" wrapText="1"/>
    </xf>
    <xf numFmtId="0" fontId="17" fillId="9" borderId="10" xfId="7" applyFont="1" applyFill="1" applyBorder="1" applyAlignment="1" applyProtection="1">
      <alignment horizontal="center" vertical="center" wrapText="1"/>
    </xf>
    <xf numFmtId="0" fontId="17" fillId="9" borderId="113" xfId="7" applyFont="1" applyFill="1" applyBorder="1" applyAlignment="1" applyProtection="1">
      <alignment horizontal="center" vertical="center" wrapText="1"/>
    </xf>
    <xf numFmtId="0" fontId="37" fillId="16" borderId="111" xfId="7" applyNumberFormat="1" applyFont="1" applyFill="1" applyBorder="1" applyAlignment="1" applyProtection="1">
      <alignment horizontal="center" vertical="center" shrinkToFit="1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17" fillId="9" borderId="13" xfId="7" applyFont="1" applyFill="1" applyBorder="1" applyAlignment="1" applyProtection="1">
      <alignment horizontal="center" vertical="center" wrapText="1"/>
    </xf>
    <xf numFmtId="0" fontId="17" fillId="9" borderId="15" xfId="7" applyFont="1" applyFill="1" applyBorder="1" applyAlignment="1" applyProtection="1">
      <alignment horizontal="center" vertical="center" wrapText="1"/>
    </xf>
    <xf numFmtId="0" fontId="37" fillId="16" borderId="18" xfId="7" applyNumberFormat="1" applyFont="1" applyFill="1" applyBorder="1" applyAlignment="1" applyProtection="1">
      <alignment horizontal="center" vertical="center" shrinkToFit="1"/>
    </xf>
    <xf numFmtId="0" fontId="37" fillId="16" borderId="98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8" xfId="7" applyNumberFormat="1" applyFont="1" applyFill="1" applyBorder="1" applyAlignment="1" applyProtection="1">
      <alignment horizontal="center" vertical="center" shrinkToFit="1"/>
    </xf>
    <xf numFmtId="0" fontId="17" fillId="9" borderId="106" xfId="7" applyFont="1" applyFill="1" applyBorder="1" applyAlignment="1" applyProtection="1">
      <alignment horizontal="center" vertical="center" wrapText="1"/>
    </xf>
    <xf numFmtId="176" fontId="17" fillId="9" borderId="12" xfId="7" applyNumberFormat="1" applyFont="1" applyFill="1" applyBorder="1" applyAlignment="1" applyProtection="1">
      <alignment horizontal="center" vertical="center" wrapText="1"/>
    </xf>
    <xf numFmtId="0" fontId="37" fillId="9" borderId="99" xfId="7" applyFont="1" applyFill="1" applyBorder="1" applyAlignment="1" applyProtection="1">
      <alignment horizontal="center" vertical="center" wrapText="1"/>
    </xf>
    <xf numFmtId="0" fontId="37" fillId="9" borderId="26" xfId="7" applyFont="1" applyFill="1" applyBorder="1" applyAlignment="1" applyProtection="1">
      <alignment horizontal="center" vertical="center" wrapText="1"/>
    </xf>
    <xf numFmtId="0" fontId="37" fillId="9" borderId="27" xfId="7" applyFont="1" applyFill="1" applyBorder="1" applyAlignment="1" applyProtection="1">
      <alignment horizontal="center" vertical="center" wrapText="1"/>
    </xf>
    <xf numFmtId="176" fontId="37" fillId="9" borderId="112" xfId="7" applyNumberFormat="1" applyFont="1" applyFill="1" applyBorder="1" applyAlignment="1" applyProtection="1">
      <alignment horizontal="center" vertical="center" wrapText="1"/>
    </xf>
    <xf numFmtId="176" fontId="37" fillId="9" borderId="10" xfId="7" applyNumberFormat="1" applyFont="1" applyFill="1" applyBorder="1" applyAlignment="1" applyProtection="1">
      <alignment horizontal="center" vertical="center" wrapText="1"/>
    </xf>
    <xf numFmtId="176" fontId="37" fillId="9" borderId="113" xfId="7" applyNumberFormat="1" applyFont="1" applyFill="1" applyBorder="1" applyAlignment="1" applyProtection="1">
      <alignment horizontal="center" vertical="center" wrapText="1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8" xfId="7" applyFont="1" applyFill="1" applyBorder="1" applyAlignment="1" applyProtection="1">
      <alignment horizontal="center" vertical="center" wrapText="1"/>
    </xf>
    <xf numFmtId="0" fontId="18" fillId="16" borderId="113" xfId="7" applyNumberFormat="1" applyFont="1" applyFill="1" applyBorder="1" applyAlignment="1" applyProtection="1">
      <alignment horizontal="center" vertical="center" shrinkToFit="1"/>
    </xf>
    <xf numFmtId="0" fontId="52" fillId="20" borderId="130" xfId="16" applyFont="1" applyFill="1" applyBorder="1" applyAlignment="1">
      <alignment horizontal="center" vertical="center"/>
    </xf>
    <xf numFmtId="0" fontId="45" fillId="0" borderId="130" xfId="16" applyFont="1" applyBorder="1"/>
    <xf numFmtId="0" fontId="45" fillId="0" borderId="131" xfId="16" applyFont="1" applyBorder="1"/>
    <xf numFmtId="0" fontId="52" fillId="0" borderId="132" xfId="16" applyFont="1" applyBorder="1" applyAlignment="1">
      <alignment horizontal="center" vertical="center"/>
    </xf>
    <xf numFmtId="0" fontId="48" fillId="0" borderId="0" xfId="16" applyFont="1" applyAlignment="1">
      <alignment horizontal="center" vertical="center"/>
    </xf>
    <xf numFmtId="0" fontId="50" fillId="0" borderId="0" xfId="16" applyFont="1" applyAlignment="1"/>
    <xf numFmtId="0" fontId="51" fillId="0" borderId="127" xfId="16" applyFont="1" applyBorder="1" applyAlignment="1">
      <alignment horizontal="center" vertical="center"/>
    </xf>
    <xf numFmtId="0" fontId="45" fillId="0" borderId="28" xfId="16" applyFont="1" applyBorder="1"/>
    <xf numFmtId="0" fontId="45" fillId="0" borderId="25" xfId="16" applyFont="1" applyBorder="1"/>
    <xf numFmtId="0" fontId="51" fillId="8" borderId="4" xfId="16" applyFont="1" applyFill="1" applyBorder="1" applyAlignment="1">
      <alignment horizontal="center" vertical="center"/>
    </xf>
    <xf numFmtId="0" fontId="45" fillId="8" borderId="28" xfId="16" applyFont="1" applyFill="1" applyBorder="1"/>
    <xf numFmtId="0" fontId="45" fillId="8" borderId="25" xfId="16" applyFont="1" applyFill="1" applyBorder="1"/>
    <xf numFmtId="0" fontId="36" fillId="19" borderId="126" xfId="16" applyFont="1" applyFill="1" applyBorder="1" applyAlignment="1">
      <alignment horizontal="center" vertical="center" wrapText="1"/>
    </xf>
    <xf numFmtId="0" fontId="45" fillId="0" borderId="128" xfId="16" applyFont="1" applyBorder="1"/>
    <xf numFmtId="0" fontId="45" fillId="0" borderId="133" xfId="16" applyFont="1" applyBorder="1"/>
    <xf numFmtId="0" fontId="52" fillId="20" borderId="135" xfId="16" applyFont="1" applyFill="1" applyBorder="1" applyAlignment="1">
      <alignment horizontal="center" vertical="center"/>
    </xf>
    <xf numFmtId="0" fontId="45" fillId="0" borderId="136" xfId="16" applyFont="1" applyBorder="1"/>
    <xf numFmtId="0" fontId="45" fillId="0" borderId="137" xfId="16" applyFont="1" applyBorder="1"/>
    <xf numFmtId="0" fontId="45" fillId="0" borderId="138" xfId="16" applyFont="1" applyBorder="1"/>
    <xf numFmtId="0" fontId="52" fillId="0" borderId="114" xfId="16" applyFont="1" applyBorder="1" applyAlignment="1">
      <alignment horizontal="center" vertical="center" wrapText="1"/>
    </xf>
    <xf numFmtId="0" fontId="45" fillId="0" borderId="135" xfId="16" applyFont="1" applyBorder="1"/>
    <xf numFmtId="0" fontId="45" fillId="0" borderId="139" xfId="16" applyFont="1" applyBorder="1"/>
    <xf numFmtId="0" fontId="53" fillId="21" borderId="142" xfId="16" applyFont="1" applyFill="1" applyBorder="1" applyAlignment="1">
      <alignment horizontal="center" vertical="center" wrapText="1"/>
    </xf>
    <xf numFmtId="0" fontId="45" fillId="0" borderId="143" xfId="16" applyFont="1" applyBorder="1"/>
    <xf numFmtId="0" fontId="54" fillId="0" borderId="144" xfId="16" applyFont="1" applyBorder="1" applyAlignment="1">
      <alignment horizontal="center" vertical="center" wrapText="1"/>
    </xf>
    <xf numFmtId="0" fontId="45" fillId="0" borderId="150" xfId="16" applyFont="1" applyBorder="1"/>
    <xf numFmtId="0" fontId="54" fillId="0" borderId="145" xfId="16" applyFont="1" applyBorder="1" applyAlignment="1">
      <alignment horizontal="center" vertical="center" wrapText="1"/>
    </xf>
    <xf numFmtId="0" fontId="45" fillId="0" borderId="151" xfId="16" applyFont="1" applyBorder="1"/>
    <xf numFmtId="0" fontId="45" fillId="0" borderId="155" xfId="16" applyFont="1" applyBorder="1"/>
    <xf numFmtId="0" fontId="54" fillId="0" borderId="147" xfId="16" applyFont="1" applyBorder="1" applyAlignment="1">
      <alignment horizontal="center" vertical="center" wrapText="1"/>
    </xf>
    <xf numFmtId="0" fontId="45" fillId="0" borderId="129" xfId="16" applyFont="1" applyBorder="1"/>
    <xf numFmtId="0" fontId="45" fillId="0" borderId="154" xfId="16" applyFont="1" applyBorder="1"/>
    <xf numFmtId="0" fontId="54" fillId="0" borderId="130" xfId="16" applyFont="1" applyBorder="1" applyAlignment="1">
      <alignment horizontal="center" vertical="center" wrapText="1"/>
    </xf>
    <xf numFmtId="0" fontId="56" fillId="0" borderId="132" xfId="16" applyFont="1" applyBorder="1" applyAlignment="1">
      <alignment horizontal="center" vertical="center" wrapText="1"/>
    </xf>
    <xf numFmtId="0" fontId="54" fillId="0" borderId="132" xfId="16" applyFont="1" applyBorder="1" applyAlignment="1">
      <alignment horizontal="center" vertical="center" wrapText="1"/>
    </xf>
    <xf numFmtId="0" fontId="54" fillId="21" borderId="132" xfId="16" applyFont="1" applyFill="1" applyBorder="1" applyAlignment="1">
      <alignment horizontal="center" vertical="center" wrapText="1"/>
    </xf>
    <xf numFmtId="0" fontId="56" fillId="21" borderId="132" xfId="16" applyFont="1" applyFill="1" applyBorder="1" applyAlignment="1">
      <alignment horizontal="center" vertical="center" wrapText="1"/>
    </xf>
    <xf numFmtId="0" fontId="45" fillId="0" borderId="149" xfId="16" applyFont="1" applyBorder="1"/>
    <xf numFmtId="0" fontId="16" fillId="0" borderId="0" xfId="16" applyFont="1" applyBorder="1" applyAlignment="1"/>
    <xf numFmtId="0" fontId="54" fillId="0" borderId="158" xfId="16" applyFont="1" applyBorder="1" applyAlignment="1">
      <alignment horizontal="center" vertical="center" wrapText="1"/>
    </xf>
    <xf numFmtId="0" fontId="54" fillId="0" borderId="160" xfId="16" applyFont="1" applyBorder="1" applyAlignment="1">
      <alignment horizontal="center" vertical="center" wrapText="1"/>
    </xf>
    <xf numFmtId="0" fontId="45" fillId="0" borderId="161" xfId="16" applyFont="1" applyBorder="1"/>
    <xf numFmtId="0" fontId="54" fillId="0" borderId="114" xfId="16" applyFont="1" applyBorder="1" applyAlignment="1">
      <alignment horizontal="center" vertical="center" wrapText="1"/>
    </xf>
    <xf numFmtId="0" fontId="54" fillId="0" borderId="162" xfId="16" applyFont="1" applyBorder="1" applyAlignment="1">
      <alignment horizontal="center" vertical="center" wrapText="1"/>
    </xf>
    <xf numFmtId="0" fontId="45" fillId="0" borderId="163" xfId="16" applyFont="1" applyBorder="1"/>
    <xf numFmtId="0" fontId="54" fillId="21" borderId="130" xfId="16" applyFont="1" applyFill="1" applyBorder="1" applyAlignment="1">
      <alignment horizontal="center" vertical="center" wrapText="1"/>
    </xf>
    <xf numFmtId="0" fontId="58" fillId="20" borderId="130" xfId="16" applyFont="1" applyFill="1" applyBorder="1" applyAlignment="1">
      <alignment horizontal="center" vertical="center"/>
    </xf>
    <xf numFmtId="0" fontId="58" fillId="0" borderId="132" xfId="16" applyFont="1" applyBorder="1" applyAlignment="1">
      <alignment horizontal="center" vertical="center"/>
    </xf>
    <xf numFmtId="0" fontId="52" fillId="0" borderId="132" xfId="16" applyFont="1" applyBorder="1" applyAlignment="1">
      <alignment horizontal="center" vertical="center" wrapText="1"/>
    </xf>
    <xf numFmtId="0" fontId="52" fillId="0" borderId="114" xfId="16" applyFont="1" applyBorder="1" applyAlignment="1">
      <alignment horizontal="center" vertical="center"/>
    </xf>
    <xf numFmtId="0" fontId="52" fillId="20" borderId="130" xfId="16" applyFont="1" applyFill="1" applyBorder="1" applyAlignment="1">
      <alignment horizontal="center" vertical="center" wrapText="1"/>
    </xf>
    <xf numFmtId="0" fontId="58" fillId="20" borderId="130" xfId="16" applyFont="1" applyFill="1" applyBorder="1" applyAlignment="1">
      <alignment horizontal="center" vertical="center" wrapText="1"/>
    </xf>
    <xf numFmtId="0" fontId="60" fillId="0" borderId="158" xfId="16" applyFont="1" applyBorder="1" applyAlignment="1">
      <alignment horizontal="center" vertical="center"/>
    </xf>
    <xf numFmtId="0" fontId="36" fillId="0" borderId="0" xfId="16" applyFont="1" applyBorder="1" applyAlignment="1">
      <alignment vertical="center" wrapText="1"/>
    </xf>
    <xf numFmtId="0" fontId="36" fillId="19" borderId="166" xfId="16" applyFont="1" applyFill="1" applyBorder="1" applyAlignment="1">
      <alignment horizontal="center" vertical="center" wrapText="1"/>
    </xf>
    <xf numFmtId="0" fontId="36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8" fillId="20" borderId="136" xfId="16" applyFont="1" applyFill="1" applyBorder="1" applyAlignment="1">
      <alignment horizontal="center" vertical="center"/>
    </xf>
    <xf numFmtId="0" fontId="58" fillId="20" borderId="132" xfId="16" applyFont="1" applyFill="1" applyBorder="1" applyAlignment="1">
      <alignment horizontal="center" vertical="center"/>
    </xf>
    <xf numFmtId="0" fontId="59" fillId="0" borderId="136" xfId="16" applyFont="1" applyBorder="1" applyAlignment="1">
      <alignment horizontal="center" vertical="center"/>
    </xf>
    <xf numFmtId="0" fontId="61" fillId="0" borderId="138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19BBFE09-03DD-44C9-A782-E460F1E4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97A35454-3A81-4D30-9D68-2C751C248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20B2-A48A-42B7-AE4A-516007A1E2E9}">
  <sheetPr>
    <pageSetUpPr fitToPage="1"/>
  </sheetPr>
  <dimension ref="B1:AD88"/>
  <sheetViews>
    <sheetView view="pageBreakPreview" zoomScale="70" zoomScaleNormal="100" zoomScaleSheetLayoutView="70" workbookViewId="0">
      <pane ySplit="8" topLeftCell="A20" activePane="bottomLeft" state="frozen"/>
      <selection pane="bottomLeft" activeCell="AC17" sqref="AC17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42" t="s">
        <v>514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3"/>
      <c r="V2" s="344" t="s">
        <v>130</v>
      </c>
      <c r="W2" s="345"/>
      <c r="X2" s="346">
        <v>2027</v>
      </c>
      <c r="Y2" s="347"/>
      <c r="AA2" s="348" t="s">
        <v>143</v>
      </c>
      <c r="AB2" s="19" t="s">
        <v>144</v>
      </c>
      <c r="AC2" s="54" t="s">
        <v>151</v>
      </c>
      <c r="AD2" s="20" t="s">
        <v>145</v>
      </c>
    </row>
    <row r="3" spans="2:30" ht="18" thickBot="1">
      <c r="B3" s="351" t="s">
        <v>358</v>
      </c>
      <c r="C3" s="353" t="s">
        <v>53</v>
      </c>
      <c r="D3" s="354"/>
      <c r="E3" s="354"/>
      <c r="F3" s="353" t="s">
        <v>64</v>
      </c>
      <c r="G3" s="357"/>
      <c r="H3" s="353" t="s">
        <v>54</v>
      </c>
      <c r="I3" s="354"/>
      <c r="J3" s="354"/>
      <c r="K3" s="353" t="s">
        <v>55</v>
      </c>
      <c r="L3" s="354"/>
      <c r="M3" s="354"/>
      <c r="N3" s="354"/>
      <c r="O3" s="357"/>
      <c r="P3" s="359" t="s">
        <v>56</v>
      </c>
      <c r="Q3" s="360"/>
      <c r="R3" s="360"/>
      <c r="S3" s="360"/>
      <c r="T3" s="360"/>
      <c r="U3" s="360"/>
      <c r="V3" s="360"/>
      <c r="W3" s="360"/>
      <c r="X3" s="360"/>
      <c r="Y3" s="361"/>
      <c r="AA3" s="349"/>
      <c r="AB3" s="21" t="s">
        <v>146</v>
      </c>
      <c r="AC3" s="68" t="s">
        <v>521</v>
      </c>
      <c r="AD3" s="22" t="s">
        <v>782</v>
      </c>
    </row>
    <row r="4" spans="2:30" ht="18" thickBot="1">
      <c r="B4" s="352"/>
      <c r="C4" s="355"/>
      <c r="D4" s="356"/>
      <c r="E4" s="356"/>
      <c r="F4" s="355"/>
      <c r="G4" s="358"/>
      <c r="H4" s="355"/>
      <c r="I4" s="356"/>
      <c r="J4" s="356"/>
      <c r="K4" s="355"/>
      <c r="L4" s="356"/>
      <c r="M4" s="356"/>
      <c r="N4" s="356"/>
      <c r="O4" s="358"/>
      <c r="P4" s="359" t="s">
        <v>127</v>
      </c>
      <c r="Q4" s="360"/>
      <c r="R4" s="360"/>
      <c r="S4" s="360"/>
      <c r="T4" s="359" t="s">
        <v>61</v>
      </c>
      <c r="U4" s="360"/>
      <c r="V4" s="361"/>
      <c r="W4" s="360" t="s">
        <v>128</v>
      </c>
      <c r="X4" s="360"/>
      <c r="Y4" s="361"/>
      <c r="AA4" s="349"/>
      <c r="AB4" s="23" t="s">
        <v>147</v>
      </c>
      <c r="AC4" s="69" t="s">
        <v>522</v>
      </c>
      <c r="AD4" s="22" t="s">
        <v>783</v>
      </c>
    </row>
    <row r="5" spans="2:30" ht="26.25" customHeight="1" thickBot="1">
      <c r="B5" s="107" t="s">
        <v>512</v>
      </c>
      <c r="C5" s="362" t="s">
        <v>515</v>
      </c>
      <c r="D5" s="363"/>
      <c r="E5" s="364"/>
      <c r="F5" s="362" t="s">
        <v>530</v>
      </c>
      <c r="G5" s="365"/>
      <c r="H5" s="366" t="s">
        <v>516</v>
      </c>
      <c r="I5" s="363"/>
      <c r="J5" s="364"/>
      <c r="K5" s="362"/>
      <c r="L5" s="363"/>
      <c r="M5" s="363"/>
      <c r="N5" s="363"/>
      <c r="O5" s="365"/>
      <c r="P5" s="366" t="s">
        <v>518</v>
      </c>
      <c r="Q5" s="363"/>
      <c r="R5" s="363"/>
      <c r="S5" s="364"/>
      <c r="T5" s="362" t="s">
        <v>519</v>
      </c>
      <c r="U5" s="363"/>
      <c r="V5" s="364"/>
      <c r="W5" s="367" t="s">
        <v>520</v>
      </c>
      <c r="X5" s="368"/>
      <c r="Y5" s="369"/>
      <c r="AA5" s="350"/>
      <c r="AB5" s="24" t="s">
        <v>148</v>
      </c>
      <c r="AC5" s="186" t="s">
        <v>523</v>
      </c>
      <c r="AD5" s="174" t="s">
        <v>524</v>
      </c>
    </row>
    <row r="6" spans="2:30" ht="15.75" customHeight="1" thickBot="1">
      <c r="U6" s="370"/>
      <c r="V6" s="370"/>
      <c r="W6" s="370"/>
      <c r="X6" s="370"/>
      <c r="Y6" s="370"/>
    </row>
    <row r="7" spans="2:30" s="10" customFormat="1" ht="22.5" customHeight="1">
      <c r="B7" s="371" t="s">
        <v>2</v>
      </c>
      <c r="C7" s="372"/>
      <c r="D7" s="375" t="s">
        <v>120</v>
      </c>
      <c r="E7" s="377" t="s">
        <v>57</v>
      </c>
      <c r="F7" s="378"/>
      <c r="G7" s="379"/>
      <c r="H7" s="380" t="s">
        <v>133</v>
      </c>
      <c r="I7" s="382" t="s">
        <v>134</v>
      </c>
      <c r="J7" s="384" t="s">
        <v>135</v>
      </c>
      <c r="K7" s="386" t="s">
        <v>58</v>
      </c>
      <c r="L7" s="382"/>
      <c r="M7" s="382"/>
      <c r="N7" s="387"/>
      <c r="O7" s="388" t="s">
        <v>59</v>
      </c>
      <c r="P7" s="382"/>
      <c r="Q7" s="382"/>
      <c r="R7" s="387"/>
      <c r="S7" s="386" t="s">
        <v>60</v>
      </c>
      <c r="T7" s="382"/>
      <c r="U7" s="382"/>
      <c r="V7" s="389"/>
      <c r="W7" s="380" t="s">
        <v>136</v>
      </c>
      <c r="X7" s="384"/>
      <c r="Y7" s="379" t="s">
        <v>137</v>
      </c>
      <c r="Z7" s="9"/>
    </row>
    <row r="8" spans="2:30" s="10" customFormat="1" ht="22.5" customHeight="1" thickBot="1">
      <c r="B8" s="373"/>
      <c r="C8" s="374"/>
      <c r="D8" s="376"/>
      <c r="E8" s="25" t="s">
        <v>18</v>
      </c>
      <c r="F8" s="405" t="s">
        <v>19</v>
      </c>
      <c r="G8" s="406"/>
      <c r="H8" s="381"/>
      <c r="I8" s="383"/>
      <c r="J8" s="385"/>
      <c r="K8" s="407" t="s">
        <v>0</v>
      </c>
      <c r="L8" s="383"/>
      <c r="M8" s="383" t="s">
        <v>62</v>
      </c>
      <c r="N8" s="408"/>
      <c r="O8" s="409" t="s">
        <v>0</v>
      </c>
      <c r="P8" s="383"/>
      <c r="Q8" s="383" t="s">
        <v>62</v>
      </c>
      <c r="R8" s="408"/>
      <c r="S8" s="407" t="s">
        <v>0</v>
      </c>
      <c r="T8" s="383"/>
      <c r="U8" s="383" t="s">
        <v>62</v>
      </c>
      <c r="V8" s="410"/>
      <c r="W8" s="381"/>
      <c r="X8" s="385"/>
      <c r="Y8" s="404"/>
      <c r="AA8" s="390" t="s">
        <v>498</v>
      </c>
      <c r="AB8" s="390"/>
      <c r="AC8" s="390"/>
      <c r="AD8" s="390"/>
    </row>
    <row r="9" spans="2:30" ht="16.5" customHeight="1" thickBot="1">
      <c r="B9" s="391" t="s">
        <v>335</v>
      </c>
      <c r="C9" s="392"/>
      <c r="D9" s="395" t="s">
        <v>21</v>
      </c>
      <c r="E9" s="70" t="s">
        <v>12</v>
      </c>
      <c r="F9" s="398" t="s">
        <v>199</v>
      </c>
      <c r="G9" s="399"/>
      <c r="H9" s="71">
        <v>4</v>
      </c>
      <c r="I9" s="72" t="s">
        <v>336</v>
      </c>
      <c r="J9" s="73">
        <v>3</v>
      </c>
      <c r="K9" s="398">
        <v>3</v>
      </c>
      <c r="L9" s="400"/>
      <c r="M9" s="401"/>
      <c r="N9" s="402"/>
      <c r="O9" s="403"/>
      <c r="P9" s="400"/>
      <c r="Q9" s="401"/>
      <c r="R9" s="402"/>
      <c r="S9" s="403"/>
      <c r="T9" s="400"/>
      <c r="U9" s="401"/>
      <c r="V9" s="399"/>
      <c r="W9" s="74">
        <f>SUM(K9:V9)</f>
        <v>3</v>
      </c>
      <c r="X9" s="417">
        <f>SUM(W9:W11)</f>
        <v>9</v>
      </c>
      <c r="Y9" s="419">
        <v>24</v>
      </c>
      <c r="AA9" s="168" t="s">
        <v>18</v>
      </c>
      <c r="AB9" s="169" t="s">
        <v>505</v>
      </c>
      <c r="AC9" s="169" t="s">
        <v>506</v>
      </c>
      <c r="AD9" s="170" t="s">
        <v>507</v>
      </c>
    </row>
    <row r="10" spans="2:30" ht="18" thickBot="1">
      <c r="B10" s="393"/>
      <c r="C10" s="394"/>
      <c r="D10" s="396"/>
      <c r="E10" s="75" t="s">
        <v>12</v>
      </c>
      <c r="F10" s="420" t="s">
        <v>200</v>
      </c>
      <c r="G10" s="421"/>
      <c r="H10" s="76">
        <v>4</v>
      </c>
      <c r="I10" s="77" t="s">
        <v>336</v>
      </c>
      <c r="J10" s="78">
        <v>3</v>
      </c>
      <c r="K10" s="420"/>
      <c r="L10" s="422"/>
      <c r="M10" s="423">
        <v>3</v>
      </c>
      <c r="N10" s="424"/>
      <c r="O10" s="425"/>
      <c r="P10" s="422"/>
      <c r="Q10" s="423"/>
      <c r="R10" s="424"/>
      <c r="S10" s="425"/>
      <c r="T10" s="422"/>
      <c r="U10" s="423"/>
      <c r="V10" s="421"/>
      <c r="W10" s="79">
        <f t="shared" ref="W10:W23" si="0">SUM(K10:V10)</f>
        <v>3</v>
      </c>
      <c r="X10" s="418"/>
      <c r="Y10" s="419"/>
      <c r="AA10" s="171" t="s">
        <v>500</v>
      </c>
      <c r="AB10" s="172">
        <v>4</v>
      </c>
      <c r="AC10" s="172">
        <v>-1</v>
      </c>
      <c r="AD10" s="22" t="s">
        <v>336</v>
      </c>
    </row>
    <row r="11" spans="2:30" ht="18" thickBot="1">
      <c r="B11" s="393"/>
      <c r="C11" s="394"/>
      <c r="D11" s="397"/>
      <c r="E11" s="80" t="s">
        <v>342</v>
      </c>
      <c r="F11" s="411" t="s">
        <v>4</v>
      </c>
      <c r="G11" s="416"/>
      <c r="H11" s="81">
        <v>4</v>
      </c>
      <c r="I11" s="82" t="s">
        <v>338</v>
      </c>
      <c r="J11" s="83">
        <v>3</v>
      </c>
      <c r="K11" s="411"/>
      <c r="L11" s="412"/>
      <c r="M11" s="413"/>
      <c r="N11" s="414"/>
      <c r="O11" s="415"/>
      <c r="P11" s="412"/>
      <c r="Q11" s="413">
        <v>3</v>
      </c>
      <c r="R11" s="414"/>
      <c r="S11" s="415"/>
      <c r="T11" s="412"/>
      <c r="U11" s="413"/>
      <c r="V11" s="416"/>
      <c r="W11" s="79">
        <f t="shared" si="0"/>
        <v>3</v>
      </c>
      <c r="X11" s="418"/>
      <c r="Y11" s="419"/>
      <c r="AA11" s="171" t="s">
        <v>501</v>
      </c>
      <c r="AB11" s="172">
        <v>3</v>
      </c>
      <c r="AC11" s="172"/>
      <c r="AD11" s="22">
        <v>3</v>
      </c>
    </row>
    <row r="12" spans="2:30" ht="18" thickBot="1">
      <c r="B12" s="393"/>
      <c r="C12" s="394"/>
      <c r="D12" s="395" t="s">
        <v>5</v>
      </c>
      <c r="E12" s="70" t="s">
        <v>12</v>
      </c>
      <c r="F12" s="398" t="s">
        <v>211</v>
      </c>
      <c r="G12" s="399"/>
      <c r="H12" s="71">
        <v>4</v>
      </c>
      <c r="I12" s="72" t="s">
        <v>336</v>
      </c>
      <c r="J12" s="73">
        <v>3</v>
      </c>
      <c r="K12" s="398">
        <v>3</v>
      </c>
      <c r="L12" s="400"/>
      <c r="M12" s="401"/>
      <c r="N12" s="402"/>
      <c r="O12" s="403"/>
      <c r="P12" s="400"/>
      <c r="Q12" s="401"/>
      <c r="R12" s="402"/>
      <c r="S12" s="403"/>
      <c r="T12" s="400"/>
      <c r="U12" s="401"/>
      <c r="V12" s="399"/>
      <c r="W12" s="74">
        <f t="shared" si="0"/>
        <v>3</v>
      </c>
      <c r="X12" s="417">
        <f t="shared" ref="X12" si="1">SUM(W12:W14)</f>
        <v>9</v>
      </c>
      <c r="Y12" s="419"/>
      <c r="AA12" s="171" t="s">
        <v>502</v>
      </c>
      <c r="AB12" s="172">
        <v>4</v>
      </c>
      <c r="AC12" s="172" t="s">
        <v>511</v>
      </c>
      <c r="AD12" s="22" t="s">
        <v>338</v>
      </c>
    </row>
    <row r="13" spans="2:30" ht="18" thickBot="1">
      <c r="B13" s="393"/>
      <c r="C13" s="394"/>
      <c r="D13" s="396"/>
      <c r="E13" s="75" t="s">
        <v>12</v>
      </c>
      <c r="F13" s="420" t="s">
        <v>213</v>
      </c>
      <c r="G13" s="421"/>
      <c r="H13" s="76">
        <v>4</v>
      </c>
      <c r="I13" s="77" t="s">
        <v>336</v>
      </c>
      <c r="J13" s="78">
        <v>3</v>
      </c>
      <c r="K13" s="420"/>
      <c r="L13" s="422"/>
      <c r="M13" s="423">
        <v>3</v>
      </c>
      <c r="N13" s="424"/>
      <c r="O13" s="425"/>
      <c r="P13" s="422"/>
      <c r="Q13" s="423"/>
      <c r="R13" s="424"/>
      <c r="S13" s="425"/>
      <c r="T13" s="422"/>
      <c r="U13" s="423"/>
      <c r="V13" s="421"/>
      <c r="W13" s="79">
        <f t="shared" si="0"/>
        <v>3</v>
      </c>
      <c r="X13" s="418"/>
      <c r="Y13" s="419"/>
      <c r="AA13" s="171" t="s">
        <v>503</v>
      </c>
      <c r="AB13" s="172">
        <v>3</v>
      </c>
      <c r="AC13" s="172" t="s">
        <v>511</v>
      </c>
      <c r="AD13" s="22" t="s">
        <v>344</v>
      </c>
    </row>
    <row r="14" spans="2:30" ht="18" thickBot="1">
      <c r="B14" s="393"/>
      <c r="C14" s="394"/>
      <c r="D14" s="397"/>
      <c r="E14" s="80" t="s">
        <v>342</v>
      </c>
      <c r="F14" s="411" t="s">
        <v>214</v>
      </c>
      <c r="G14" s="416"/>
      <c r="H14" s="81">
        <v>4</v>
      </c>
      <c r="I14" s="82" t="s">
        <v>338</v>
      </c>
      <c r="J14" s="83">
        <v>3</v>
      </c>
      <c r="K14" s="411"/>
      <c r="L14" s="412"/>
      <c r="M14" s="413"/>
      <c r="N14" s="414"/>
      <c r="O14" s="415">
        <v>3</v>
      </c>
      <c r="P14" s="412"/>
      <c r="Q14" s="413"/>
      <c r="R14" s="414"/>
      <c r="S14" s="415"/>
      <c r="T14" s="412"/>
      <c r="U14" s="413"/>
      <c r="V14" s="416"/>
      <c r="W14" s="79">
        <f t="shared" si="0"/>
        <v>3</v>
      </c>
      <c r="X14" s="418"/>
      <c r="Y14" s="419"/>
      <c r="AA14" s="173" t="s">
        <v>504</v>
      </c>
      <c r="AB14" s="430" t="s">
        <v>513</v>
      </c>
      <c r="AC14" s="430"/>
      <c r="AD14" s="431"/>
    </row>
    <row r="15" spans="2:30" ht="18" thickBot="1">
      <c r="B15" s="393"/>
      <c r="C15" s="394"/>
      <c r="D15" s="395" t="s">
        <v>6</v>
      </c>
      <c r="E15" s="70" t="s">
        <v>12</v>
      </c>
      <c r="F15" s="398" t="s">
        <v>218</v>
      </c>
      <c r="G15" s="399"/>
      <c r="H15" s="71">
        <v>4</v>
      </c>
      <c r="I15" s="72" t="s">
        <v>336</v>
      </c>
      <c r="J15" s="73">
        <v>3</v>
      </c>
      <c r="K15" s="398">
        <v>3</v>
      </c>
      <c r="L15" s="400"/>
      <c r="M15" s="401"/>
      <c r="N15" s="402"/>
      <c r="O15" s="403"/>
      <c r="P15" s="400"/>
      <c r="Q15" s="401"/>
      <c r="R15" s="402"/>
      <c r="S15" s="403"/>
      <c r="T15" s="400"/>
      <c r="U15" s="401"/>
      <c r="V15" s="399"/>
      <c r="W15" s="74">
        <f t="shared" si="0"/>
        <v>3</v>
      </c>
      <c r="X15" s="417">
        <f t="shared" ref="X15" si="2">SUM(W15:W17)</f>
        <v>9</v>
      </c>
      <c r="Y15" s="419"/>
    </row>
    <row r="16" spans="2:30" ht="18" thickBot="1">
      <c r="B16" s="393"/>
      <c r="C16" s="394"/>
      <c r="D16" s="396"/>
      <c r="E16" s="75" t="s">
        <v>12</v>
      </c>
      <c r="F16" s="420" t="s">
        <v>224</v>
      </c>
      <c r="G16" s="421"/>
      <c r="H16" s="76">
        <v>4</v>
      </c>
      <c r="I16" s="77" t="s">
        <v>336</v>
      </c>
      <c r="J16" s="78">
        <v>3</v>
      </c>
      <c r="K16" s="420"/>
      <c r="L16" s="422"/>
      <c r="M16" s="423">
        <v>3</v>
      </c>
      <c r="N16" s="424"/>
      <c r="O16" s="425"/>
      <c r="P16" s="422"/>
      <c r="Q16" s="423"/>
      <c r="R16" s="424"/>
      <c r="S16" s="425"/>
      <c r="T16" s="422"/>
      <c r="U16" s="423"/>
      <c r="V16" s="421"/>
      <c r="W16" s="79">
        <f t="shared" si="0"/>
        <v>3</v>
      </c>
      <c r="X16" s="418"/>
      <c r="Y16" s="419"/>
    </row>
    <row r="17" spans="2:29" ht="18" thickBot="1">
      <c r="B17" s="393"/>
      <c r="C17" s="394"/>
      <c r="D17" s="397"/>
      <c r="E17" s="84" t="s">
        <v>342</v>
      </c>
      <c r="F17" s="411" t="s">
        <v>38</v>
      </c>
      <c r="G17" s="416"/>
      <c r="H17" s="81">
        <v>4</v>
      </c>
      <c r="I17" s="82" t="s">
        <v>338</v>
      </c>
      <c r="J17" s="83">
        <v>3</v>
      </c>
      <c r="K17" s="411"/>
      <c r="L17" s="412"/>
      <c r="M17" s="413"/>
      <c r="N17" s="414"/>
      <c r="O17" s="415">
        <v>3</v>
      </c>
      <c r="P17" s="412"/>
      <c r="Q17" s="413"/>
      <c r="R17" s="414"/>
      <c r="S17" s="415"/>
      <c r="T17" s="412"/>
      <c r="U17" s="413"/>
      <c r="V17" s="416"/>
      <c r="W17" s="79">
        <f t="shared" si="0"/>
        <v>3</v>
      </c>
      <c r="X17" s="418"/>
      <c r="Y17" s="419"/>
    </row>
    <row r="18" spans="2:29" ht="18" customHeight="1" thickBot="1">
      <c r="B18" s="393"/>
      <c r="C18" s="394"/>
      <c r="D18" s="395" t="s">
        <v>339</v>
      </c>
      <c r="E18" s="70" t="s">
        <v>12</v>
      </c>
      <c r="F18" s="398" t="s">
        <v>232</v>
      </c>
      <c r="G18" s="399"/>
      <c r="H18" s="71">
        <v>3</v>
      </c>
      <c r="I18" s="85" t="s">
        <v>340</v>
      </c>
      <c r="J18" s="73">
        <v>3</v>
      </c>
      <c r="K18" s="436">
        <v>3</v>
      </c>
      <c r="L18" s="427"/>
      <c r="M18" s="428"/>
      <c r="N18" s="437"/>
      <c r="O18" s="426"/>
      <c r="P18" s="427"/>
      <c r="Q18" s="428"/>
      <c r="R18" s="437"/>
      <c r="S18" s="426"/>
      <c r="T18" s="427"/>
      <c r="U18" s="428"/>
      <c r="V18" s="429"/>
      <c r="W18" s="74">
        <f t="shared" si="0"/>
        <v>3</v>
      </c>
      <c r="X18" s="417">
        <f>SUM(W18:W19)</f>
        <v>6</v>
      </c>
      <c r="Y18" s="419">
        <v>6</v>
      </c>
    </row>
    <row r="19" spans="2:29" ht="18" thickBot="1">
      <c r="B19" s="393"/>
      <c r="C19" s="394"/>
      <c r="D19" s="396"/>
      <c r="E19" s="86" t="s">
        <v>12</v>
      </c>
      <c r="F19" s="434" t="s">
        <v>233</v>
      </c>
      <c r="G19" s="435"/>
      <c r="H19" s="87">
        <v>3</v>
      </c>
      <c r="I19" s="88" t="s">
        <v>340</v>
      </c>
      <c r="J19" s="273">
        <v>3</v>
      </c>
      <c r="K19" s="411"/>
      <c r="L19" s="412"/>
      <c r="M19" s="413">
        <v>3</v>
      </c>
      <c r="N19" s="414"/>
      <c r="O19" s="415"/>
      <c r="P19" s="412"/>
      <c r="Q19" s="413"/>
      <c r="R19" s="414"/>
      <c r="S19" s="415"/>
      <c r="T19" s="412"/>
      <c r="U19" s="413"/>
      <c r="V19" s="416"/>
      <c r="W19" s="89">
        <f t="shared" si="0"/>
        <v>3</v>
      </c>
      <c r="X19" s="433"/>
      <c r="Y19" s="419"/>
      <c r="AA19" s="432"/>
      <c r="AB19" s="432"/>
      <c r="AC19" s="175"/>
    </row>
    <row r="20" spans="2:29" ht="18" thickBot="1">
      <c r="B20" s="393"/>
      <c r="C20" s="394"/>
      <c r="D20" s="396"/>
      <c r="E20" s="70" t="s">
        <v>12</v>
      </c>
      <c r="F20" s="398" t="s">
        <v>235</v>
      </c>
      <c r="G20" s="399"/>
      <c r="H20" s="71">
        <v>4</v>
      </c>
      <c r="I20" s="85" t="s">
        <v>336</v>
      </c>
      <c r="J20" s="73">
        <v>3</v>
      </c>
      <c r="K20" s="398">
        <v>3</v>
      </c>
      <c r="L20" s="400"/>
      <c r="M20" s="401"/>
      <c r="N20" s="402"/>
      <c r="O20" s="403"/>
      <c r="P20" s="400"/>
      <c r="Q20" s="401"/>
      <c r="R20" s="402"/>
      <c r="S20" s="403"/>
      <c r="T20" s="400"/>
      <c r="U20" s="401"/>
      <c r="V20" s="399"/>
      <c r="W20" s="74">
        <f t="shared" si="0"/>
        <v>3</v>
      </c>
      <c r="X20" s="417">
        <f>SUM(W20:W21)</f>
        <v>6</v>
      </c>
      <c r="Y20" s="419">
        <v>12</v>
      </c>
    </row>
    <row r="21" spans="2:29" ht="18" thickBot="1">
      <c r="B21" s="393"/>
      <c r="C21" s="394"/>
      <c r="D21" s="397"/>
      <c r="E21" s="84" t="s">
        <v>12</v>
      </c>
      <c r="F21" s="411" t="s">
        <v>236</v>
      </c>
      <c r="G21" s="416"/>
      <c r="H21" s="81">
        <v>4</v>
      </c>
      <c r="I21" s="82" t="s">
        <v>336</v>
      </c>
      <c r="J21" s="83">
        <v>3</v>
      </c>
      <c r="K21" s="411"/>
      <c r="L21" s="412"/>
      <c r="M21" s="413">
        <v>3</v>
      </c>
      <c r="N21" s="414"/>
      <c r="O21" s="415"/>
      <c r="P21" s="412"/>
      <c r="Q21" s="413"/>
      <c r="R21" s="414"/>
      <c r="S21" s="415"/>
      <c r="T21" s="412"/>
      <c r="U21" s="413"/>
      <c r="V21" s="416"/>
      <c r="W21" s="89">
        <f t="shared" si="0"/>
        <v>3</v>
      </c>
      <c r="X21" s="433"/>
      <c r="Y21" s="419"/>
    </row>
    <row r="22" spans="2:29" ht="18" thickBot="1">
      <c r="B22" s="393"/>
      <c r="C22" s="394"/>
      <c r="D22" s="395" t="s">
        <v>26</v>
      </c>
      <c r="E22" s="70" t="s">
        <v>12</v>
      </c>
      <c r="F22" s="398" t="s">
        <v>253</v>
      </c>
      <c r="G22" s="399"/>
      <c r="H22" s="71">
        <v>4</v>
      </c>
      <c r="I22" s="85" t="s">
        <v>336</v>
      </c>
      <c r="J22" s="73">
        <v>3</v>
      </c>
      <c r="K22" s="398">
        <v>3</v>
      </c>
      <c r="L22" s="400"/>
      <c r="M22" s="401"/>
      <c r="N22" s="402"/>
      <c r="O22" s="403"/>
      <c r="P22" s="400"/>
      <c r="Q22" s="401"/>
      <c r="R22" s="402"/>
      <c r="S22" s="403"/>
      <c r="T22" s="400"/>
      <c r="U22" s="401"/>
      <c r="V22" s="399"/>
      <c r="W22" s="74">
        <f t="shared" si="0"/>
        <v>3</v>
      </c>
      <c r="X22" s="392">
        <f>SUM(W22:W23)</f>
        <v>6</v>
      </c>
      <c r="Y22" s="419"/>
    </row>
    <row r="23" spans="2:29" ht="18" thickBot="1">
      <c r="B23" s="393"/>
      <c r="C23" s="394"/>
      <c r="D23" s="396"/>
      <c r="E23" s="75" t="s">
        <v>12</v>
      </c>
      <c r="F23" s="420" t="s">
        <v>254</v>
      </c>
      <c r="G23" s="421"/>
      <c r="H23" s="76">
        <v>4</v>
      </c>
      <c r="I23" s="77" t="s">
        <v>336</v>
      </c>
      <c r="J23" s="78">
        <v>3</v>
      </c>
      <c r="K23" s="420"/>
      <c r="L23" s="422"/>
      <c r="M23" s="423">
        <v>3</v>
      </c>
      <c r="N23" s="424"/>
      <c r="O23" s="425"/>
      <c r="P23" s="422"/>
      <c r="Q23" s="423"/>
      <c r="R23" s="424"/>
      <c r="S23" s="425"/>
      <c r="T23" s="422"/>
      <c r="U23" s="423"/>
      <c r="V23" s="421"/>
      <c r="W23" s="79">
        <f t="shared" si="0"/>
        <v>3</v>
      </c>
      <c r="X23" s="394"/>
      <c r="Y23" s="419"/>
    </row>
    <row r="24" spans="2:29" ht="16.5" customHeight="1" thickBot="1">
      <c r="B24" s="393"/>
      <c r="C24" s="394"/>
      <c r="D24" s="395" t="s">
        <v>8</v>
      </c>
      <c r="E24" s="70" t="s">
        <v>342</v>
      </c>
      <c r="F24" s="398" t="s">
        <v>343</v>
      </c>
      <c r="G24" s="399"/>
      <c r="H24" s="71">
        <v>3</v>
      </c>
      <c r="I24" s="85" t="s">
        <v>344</v>
      </c>
      <c r="J24" s="73">
        <f t="shared" ref="J24:J25" si="3">SUM(K24:V24)</f>
        <v>2</v>
      </c>
      <c r="K24" s="398">
        <v>2</v>
      </c>
      <c r="L24" s="400"/>
      <c r="M24" s="401"/>
      <c r="N24" s="402"/>
      <c r="O24" s="403"/>
      <c r="P24" s="400"/>
      <c r="Q24" s="401"/>
      <c r="R24" s="402"/>
      <c r="S24" s="403"/>
      <c r="T24" s="400"/>
      <c r="U24" s="401"/>
      <c r="V24" s="399"/>
      <c r="W24" s="74">
        <f>SUM(K24:V24)</f>
        <v>2</v>
      </c>
      <c r="X24" s="438">
        <f>SUM(W24:W28)</f>
        <v>9</v>
      </c>
      <c r="Y24" s="419">
        <v>8</v>
      </c>
    </row>
    <row r="25" spans="2:29" ht="18" thickBot="1">
      <c r="B25" s="393"/>
      <c r="C25" s="394"/>
      <c r="D25" s="396"/>
      <c r="E25" s="75" t="s">
        <v>342</v>
      </c>
      <c r="F25" s="420" t="s">
        <v>345</v>
      </c>
      <c r="G25" s="421"/>
      <c r="H25" s="76">
        <v>3</v>
      </c>
      <c r="I25" s="77" t="s">
        <v>344</v>
      </c>
      <c r="J25" s="78">
        <f t="shared" si="3"/>
        <v>2</v>
      </c>
      <c r="K25" s="420"/>
      <c r="L25" s="422"/>
      <c r="M25" s="423">
        <v>2</v>
      </c>
      <c r="N25" s="424"/>
      <c r="O25" s="425"/>
      <c r="P25" s="422"/>
      <c r="Q25" s="423"/>
      <c r="R25" s="424"/>
      <c r="S25" s="425"/>
      <c r="T25" s="422"/>
      <c r="U25" s="423"/>
      <c r="V25" s="421"/>
      <c r="W25" s="79">
        <f t="shared" ref="W25:W28" si="4">SUM(K25:V25)</f>
        <v>2</v>
      </c>
      <c r="X25" s="439"/>
      <c r="Y25" s="419"/>
    </row>
    <row r="26" spans="2:29" ht="18" thickBot="1">
      <c r="B26" s="393"/>
      <c r="C26" s="394"/>
      <c r="D26" s="396"/>
      <c r="E26" s="75" t="s">
        <v>341</v>
      </c>
      <c r="F26" s="420" t="s">
        <v>346</v>
      </c>
      <c r="G26" s="421"/>
      <c r="H26" s="76">
        <v>3</v>
      </c>
      <c r="I26" s="77" t="s">
        <v>344</v>
      </c>
      <c r="J26" s="78">
        <v>2</v>
      </c>
      <c r="K26" s="420"/>
      <c r="L26" s="422"/>
      <c r="M26" s="423"/>
      <c r="N26" s="424"/>
      <c r="O26" s="425">
        <v>2</v>
      </c>
      <c r="P26" s="422"/>
      <c r="Q26" s="423"/>
      <c r="R26" s="424"/>
      <c r="S26" s="425"/>
      <c r="T26" s="422"/>
      <c r="U26" s="423"/>
      <c r="V26" s="421"/>
      <c r="W26" s="79">
        <f t="shared" si="4"/>
        <v>2</v>
      </c>
      <c r="X26" s="439"/>
      <c r="Y26" s="419"/>
    </row>
    <row r="27" spans="2:29" ht="18" thickBot="1">
      <c r="B27" s="393"/>
      <c r="C27" s="394"/>
      <c r="D27" s="396"/>
      <c r="E27" s="75" t="s">
        <v>341</v>
      </c>
      <c r="F27" s="420" t="s">
        <v>347</v>
      </c>
      <c r="G27" s="421"/>
      <c r="H27" s="76">
        <v>3</v>
      </c>
      <c r="I27" s="77" t="s">
        <v>344</v>
      </c>
      <c r="J27" s="78">
        <v>2</v>
      </c>
      <c r="K27" s="420"/>
      <c r="L27" s="422"/>
      <c r="M27" s="423"/>
      <c r="N27" s="424"/>
      <c r="O27" s="425"/>
      <c r="P27" s="422"/>
      <c r="Q27" s="423">
        <v>2</v>
      </c>
      <c r="R27" s="424"/>
      <c r="S27" s="425"/>
      <c r="T27" s="422"/>
      <c r="U27" s="423"/>
      <c r="V27" s="421"/>
      <c r="W27" s="79">
        <f t="shared" si="4"/>
        <v>2</v>
      </c>
      <c r="X27" s="439"/>
      <c r="Y27" s="419"/>
    </row>
    <row r="28" spans="2:29" ht="18" thickBot="1">
      <c r="B28" s="393"/>
      <c r="C28" s="394"/>
      <c r="D28" s="397"/>
      <c r="E28" s="84" t="s">
        <v>337</v>
      </c>
      <c r="F28" s="411" t="s">
        <v>366</v>
      </c>
      <c r="G28" s="416"/>
      <c r="H28" s="81">
        <v>2</v>
      </c>
      <c r="I28" s="82" t="s">
        <v>348</v>
      </c>
      <c r="J28" s="83">
        <v>1</v>
      </c>
      <c r="K28" s="411"/>
      <c r="L28" s="412"/>
      <c r="M28" s="413"/>
      <c r="N28" s="414"/>
      <c r="O28" s="415"/>
      <c r="P28" s="412"/>
      <c r="Q28" s="413"/>
      <c r="R28" s="414"/>
      <c r="S28" s="415">
        <v>1</v>
      </c>
      <c r="T28" s="412"/>
      <c r="U28" s="413"/>
      <c r="V28" s="416"/>
      <c r="W28" s="89">
        <f t="shared" si="4"/>
        <v>1</v>
      </c>
      <c r="X28" s="440"/>
      <c r="Y28" s="419"/>
    </row>
    <row r="29" spans="2:29" ht="18" thickBot="1">
      <c r="B29" s="393"/>
      <c r="C29" s="394"/>
      <c r="D29" s="395" t="s">
        <v>28</v>
      </c>
      <c r="E29" s="70" t="s">
        <v>342</v>
      </c>
      <c r="F29" s="398" t="s">
        <v>47</v>
      </c>
      <c r="G29" s="399"/>
      <c r="H29" s="71">
        <v>3</v>
      </c>
      <c r="I29" s="90" t="s">
        <v>344</v>
      </c>
      <c r="J29" s="73">
        <v>3</v>
      </c>
      <c r="K29" s="398"/>
      <c r="L29" s="400"/>
      <c r="M29" s="401"/>
      <c r="N29" s="402"/>
      <c r="O29" s="403">
        <v>3</v>
      </c>
      <c r="P29" s="400"/>
      <c r="Q29" s="401"/>
      <c r="R29" s="402"/>
      <c r="S29" s="403"/>
      <c r="T29" s="400"/>
      <c r="U29" s="401"/>
      <c r="V29" s="399"/>
      <c r="W29" s="441">
        <f>SUM(K29:V30)</f>
        <v>6</v>
      </c>
      <c r="X29" s="442"/>
      <c r="Y29" s="419">
        <v>6</v>
      </c>
    </row>
    <row r="30" spans="2:29" ht="18" thickBot="1">
      <c r="B30" s="393"/>
      <c r="C30" s="394"/>
      <c r="D30" s="396"/>
      <c r="E30" s="80" t="s">
        <v>342</v>
      </c>
      <c r="F30" s="420" t="s">
        <v>9</v>
      </c>
      <c r="G30" s="421"/>
      <c r="H30" s="76">
        <v>3</v>
      </c>
      <c r="I30" s="77" t="s">
        <v>344</v>
      </c>
      <c r="J30" s="78">
        <v>3</v>
      </c>
      <c r="K30" s="420"/>
      <c r="L30" s="422"/>
      <c r="M30" s="423"/>
      <c r="N30" s="424"/>
      <c r="O30" s="425"/>
      <c r="P30" s="422"/>
      <c r="Q30" s="423">
        <v>3</v>
      </c>
      <c r="R30" s="424"/>
      <c r="S30" s="425"/>
      <c r="T30" s="422"/>
      <c r="U30" s="423"/>
      <c r="V30" s="421"/>
      <c r="W30" s="443"/>
      <c r="X30" s="444"/>
      <c r="Y30" s="419"/>
    </row>
    <row r="31" spans="2:29" ht="16.5" customHeight="1" thickBot="1">
      <c r="B31" s="393"/>
      <c r="C31" s="394"/>
      <c r="D31" s="465" t="s">
        <v>349</v>
      </c>
      <c r="E31" s="192" t="s">
        <v>337</v>
      </c>
      <c r="F31" s="398" t="s">
        <v>525</v>
      </c>
      <c r="G31" s="399"/>
      <c r="H31" s="71">
        <v>3</v>
      </c>
      <c r="I31" s="85" t="s">
        <v>344</v>
      </c>
      <c r="J31" s="73">
        <v>4</v>
      </c>
      <c r="K31" s="398">
        <v>4</v>
      </c>
      <c r="L31" s="400"/>
      <c r="M31" s="401"/>
      <c r="N31" s="402"/>
      <c r="O31" s="403"/>
      <c r="P31" s="400"/>
      <c r="Q31" s="401"/>
      <c r="R31" s="402"/>
      <c r="S31" s="403"/>
      <c r="T31" s="400"/>
      <c r="U31" s="401"/>
      <c r="V31" s="399"/>
      <c r="W31" s="441">
        <f>SUM(K31:V32)</f>
        <v>8</v>
      </c>
      <c r="X31" s="442"/>
      <c r="Y31" s="419">
        <v>8</v>
      </c>
    </row>
    <row r="32" spans="2:29" ht="16.5" customHeight="1" thickBot="1">
      <c r="B32" s="393"/>
      <c r="C32" s="394"/>
      <c r="D32" s="466"/>
      <c r="E32" s="193" t="s">
        <v>337</v>
      </c>
      <c r="F32" s="420" t="s">
        <v>526</v>
      </c>
      <c r="G32" s="421"/>
      <c r="H32" s="76">
        <v>3</v>
      </c>
      <c r="I32" s="77" t="s">
        <v>344</v>
      </c>
      <c r="J32" s="78">
        <v>4</v>
      </c>
      <c r="K32" s="420"/>
      <c r="L32" s="422"/>
      <c r="M32" s="423"/>
      <c r="N32" s="424"/>
      <c r="O32" s="425"/>
      <c r="P32" s="422"/>
      <c r="Q32" s="423">
        <v>4</v>
      </c>
      <c r="R32" s="424"/>
      <c r="S32" s="425"/>
      <c r="T32" s="422"/>
      <c r="U32" s="423"/>
      <c r="V32" s="421"/>
      <c r="W32" s="443"/>
      <c r="X32" s="444"/>
      <c r="Y32" s="419"/>
    </row>
    <row r="33" spans="2:29" ht="24.75" customHeight="1" thickBot="1">
      <c r="B33" s="451" t="s">
        <v>359</v>
      </c>
      <c r="C33" s="459"/>
      <c r="D33" s="459"/>
      <c r="E33" s="459"/>
      <c r="F33" s="459"/>
      <c r="G33" s="460"/>
      <c r="H33" s="276">
        <f>SUM(H9:H32)</f>
        <v>84</v>
      </c>
      <c r="I33" s="18"/>
      <c r="J33" s="275">
        <f>SUM(J9:J32)</f>
        <v>68</v>
      </c>
      <c r="K33" s="461">
        <f>SUM(K9:L32)</f>
        <v>24</v>
      </c>
      <c r="L33" s="449"/>
      <c r="M33" s="449">
        <f>SUM(M9:N32)</f>
        <v>20</v>
      </c>
      <c r="N33" s="462"/>
      <c r="O33" s="463">
        <f>SUM(O9:P32)</f>
        <v>11</v>
      </c>
      <c r="P33" s="449"/>
      <c r="Q33" s="449">
        <f>SUM(Q9:R32)</f>
        <v>12</v>
      </c>
      <c r="R33" s="464"/>
      <c r="S33" s="452">
        <f>SUM(S9:T32)</f>
        <v>1</v>
      </c>
      <c r="T33" s="449"/>
      <c r="U33" s="449">
        <f>SUM(U9:V32)</f>
        <v>0</v>
      </c>
      <c r="V33" s="450"/>
      <c r="W33" s="451">
        <f>SUM(K33:V33)</f>
        <v>68</v>
      </c>
      <c r="X33" s="452"/>
      <c r="Y33" s="275">
        <f>SUM(Y9:Y32)</f>
        <v>64</v>
      </c>
      <c r="AA33" s="457" t="b">
        <f>W33&gt;=Y33</f>
        <v>1</v>
      </c>
      <c r="AB33" s="458"/>
    </row>
    <row r="34" spans="2:29" ht="17.25" customHeight="1">
      <c r="B34" s="537"/>
      <c r="C34" s="538"/>
      <c r="D34" s="91" t="s">
        <v>530</v>
      </c>
      <c r="E34" s="92" t="s">
        <v>350</v>
      </c>
      <c r="F34" s="446" t="s">
        <v>527</v>
      </c>
      <c r="G34" s="447"/>
      <c r="H34" s="60"/>
      <c r="I34" s="59"/>
      <c r="J34" s="199">
        <v>5</v>
      </c>
      <c r="K34" s="420">
        <v>5</v>
      </c>
      <c r="L34" s="422"/>
      <c r="M34" s="423"/>
      <c r="N34" s="448"/>
      <c r="O34" s="425"/>
      <c r="P34" s="422"/>
      <c r="Q34" s="423"/>
      <c r="R34" s="424"/>
      <c r="S34" s="448"/>
      <c r="T34" s="422"/>
      <c r="U34" s="423"/>
      <c r="V34" s="421"/>
      <c r="W34" s="453">
        <f t="shared" ref="W34:W42" si="5">SUM(K34:V34)</f>
        <v>5</v>
      </c>
      <c r="X34" s="454"/>
      <c r="Y34" s="445">
        <v>80</v>
      </c>
    </row>
    <row r="35" spans="2:29" ht="17.25" customHeight="1">
      <c r="B35" s="539"/>
      <c r="C35" s="540"/>
      <c r="D35" s="91" t="s">
        <v>530</v>
      </c>
      <c r="E35" s="92" t="s">
        <v>350</v>
      </c>
      <c r="F35" s="446" t="s">
        <v>528</v>
      </c>
      <c r="G35" s="447"/>
      <c r="H35" s="60"/>
      <c r="I35" s="59"/>
      <c r="J35" s="199">
        <v>5</v>
      </c>
      <c r="K35" s="420"/>
      <c r="L35" s="422"/>
      <c r="M35" s="423">
        <v>5</v>
      </c>
      <c r="N35" s="424"/>
      <c r="O35" s="425"/>
      <c r="P35" s="422"/>
      <c r="Q35" s="423"/>
      <c r="R35" s="424"/>
      <c r="S35" s="425"/>
      <c r="T35" s="422"/>
      <c r="U35" s="423"/>
      <c r="V35" s="421"/>
      <c r="W35" s="453">
        <f t="shared" si="5"/>
        <v>5</v>
      </c>
      <c r="X35" s="454"/>
      <c r="Y35" s="445"/>
    </row>
    <row r="36" spans="2:29" ht="17.25" customHeight="1">
      <c r="B36" s="539"/>
      <c r="C36" s="540"/>
      <c r="D36" s="91" t="s">
        <v>530</v>
      </c>
      <c r="E36" s="92" t="s">
        <v>350</v>
      </c>
      <c r="F36" s="446" t="s">
        <v>529</v>
      </c>
      <c r="G36" s="447"/>
      <c r="H36" s="60"/>
      <c r="I36" s="59"/>
      <c r="J36" s="199">
        <v>4</v>
      </c>
      <c r="K36" s="420"/>
      <c r="L36" s="422"/>
      <c r="M36" s="423">
        <v>4</v>
      </c>
      <c r="N36" s="424"/>
      <c r="O36" s="425"/>
      <c r="P36" s="422"/>
      <c r="Q36" s="423"/>
      <c r="R36" s="424"/>
      <c r="S36" s="425"/>
      <c r="T36" s="422"/>
      <c r="U36" s="423"/>
      <c r="V36" s="421"/>
      <c r="W36" s="453">
        <f t="shared" si="5"/>
        <v>4</v>
      </c>
      <c r="X36" s="454"/>
      <c r="Y36" s="445"/>
    </row>
    <row r="37" spans="2:29" ht="17.25" customHeight="1">
      <c r="B37" s="539"/>
      <c r="C37" s="540"/>
      <c r="D37" s="91" t="s">
        <v>530</v>
      </c>
      <c r="E37" s="92" t="s">
        <v>351</v>
      </c>
      <c r="F37" s="455" t="s">
        <v>797</v>
      </c>
      <c r="G37" s="456"/>
      <c r="H37" s="60"/>
      <c r="I37" s="59"/>
      <c r="J37" s="199">
        <v>19</v>
      </c>
      <c r="K37" s="420"/>
      <c r="L37" s="422"/>
      <c r="M37" s="423"/>
      <c r="N37" s="424"/>
      <c r="O37" s="425">
        <v>10</v>
      </c>
      <c r="P37" s="422"/>
      <c r="Q37" s="423">
        <v>9</v>
      </c>
      <c r="R37" s="424"/>
      <c r="S37" s="425"/>
      <c r="T37" s="422"/>
      <c r="U37" s="423"/>
      <c r="V37" s="421"/>
      <c r="W37" s="453">
        <f t="shared" si="5"/>
        <v>19</v>
      </c>
      <c r="X37" s="454"/>
      <c r="Y37" s="445"/>
    </row>
    <row r="38" spans="2:29" ht="17.25" customHeight="1">
      <c r="B38" s="539"/>
      <c r="C38" s="540"/>
      <c r="D38" s="91" t="s">
        <v>530</v>
      </c>
      <c r="E38" s="92" t="s">
        <v>351</v>
      </c>
      <c r="F38" s="455" t="s">
        <v>806</v>
      </c>
      <c r="G38" s="456"/>
      <c r="H38" s="60"/>
      <c r="I38" s="59"/>
      <c r="J38" s="199">
        <v>24</v>
      </c>
      <c r="K38" s="420"/>
      <c r="L38" s="422"/>
      <c r="M38" s="423"/>
      <c r="N38" s="448"/>
      <c r="O38" s="425"/>
      <c r="P38" s="422"/>
      <c r="Q38" s="423"/>
      <c r="R38" s="424"/>
      <c r="S38" s="448">
        <v>12</v>
      </c>
      <c r="T38" s="422"/>
      <c r="U38" s="423">
        <v>12</v>
      </c>
      <c r="V38" s="421"/>
      <c r="W38" s="453">
        <f t="shared" si="5"/>
        <v>24</v>
      </c>
      <c r="X38" s="454"/>
      <c r="Y38" s="445"/>
    </row>
    <row r="39" spans="2:29" ht="17.25" customHeight="1">
      <c r="B39" s="539"/>
      <c r="C39" s="540"/>
      <c r="D39" s="93" t="s">
        <v>530</v>
      </c>
      <c r="E39" s="92" t="s">
        <v>351</v>
      </c>
      <c r="F39" s="455" t="s">
        <v>562</v>
      </c>
      <c r="G39" s="456"/>
      <c r="H39" s="60"/>
      <c r="I39" s="181"/>
      <c r="J39" s="200">
        <v>12</v>
      </c>
      <c r="K39" s="420"/>
      <c r="L39" s="422"/>
      <c r="M39" s="423"/>
      <c r="N39" s="448"/>
      <c r="O39" s="425"/>
      <c r="P39" s="422"/>
      <c r="Q39" s="423"/>
      <c r="R39" s="424"/>
      <c r="S39" s="448">
        <v>6</v>
      </c>
      <c r="T39" s="422"/>
      <c r="U39" s="423">
        <v>6</v>
      </c>
      <c r="V39" s="421"/>
      <c r="W39" s="453">
        <f t="shared" si="5"/>
        <v>12</v>
      </c>
      <c r="X39" s="454"/>
      <c r="Y39" s="445"/>
    </row>
    <row r="40" spans="2:29" ht="17.25" customHeight="1">
      <c r="B40" s="539"/>
      <c r="C40" s="540"/>
      <c r="D40" s="93" t="s">
        <v>531</v>
      </c>
      <c r="E40" s="92" t="s">
        <v>351</v>
      </c>
      <c r="F40" s="455" t="s">
        <v>808</v>
      </c>
      <c r="G40" s="456"/>
      <c r="H40" s="56"/>
      <c r="I40" s="181"/>
      <c r="J40" s="200">
        <v>8</v>
      </c>
      <c r="K40" s="420"/>
      <c r="L40" s="422"/>
      <c r="M40" s="423"/>
      <c r="N40" s="424"/>
      <c r="O40" s="425"/>
      <c r="P40" s="422"/>
      <c r="Q40" s="423"/>
      <c r="R40" s="424"/>
      <c r="S40" s="425">
        <v>4</v>
      </c>
      <c r="T40" s="422"/>
      <c r="U40" s="423">
        <v>4</v>
      </c>
      <c r="V40" s="421"/>
      <c r="W40" s="453">
        <f t="shared" si="5"/>
        <v>8</v>
      </c>
      <c r="X40" s="454"/>
      <c r="Y40" s="445"/>
    </row>
    <row r="41" spans="2:29" ht="17.25" customHeight="1">
      <c r="B41" s="539"/>
      <c r="C41" s="540"/>
      <c r="D41" s="93" t="s">
        <v>531</v>
      </c>
      <c r="E41" s="92" t="s">
        <v>350</v>
      </c>
      <c r="F41" s="455" t="s">
        <v>554</v>
      </c>
      <c r="G41" s="456"/>
      <c r="H41" s="56"/>
      <c r="I41" s="181"/>
      <c r="J41" s="200">
        <v>3</v>
      </c>
      <c r="K41" s="420"/>
      <c r="L41" s="422"/>
      <c r="M41" s="423"/>
      <c r="N41" s="424"/>
      <c r="O41" s="425">
        <v>3</v>
      </c>
      <c r="P41" s="422"/>
      <c r="Q41" s="423"/>
      <c r="R41" s="424"/>
      <c r="S41" s="425"/>
      <c r="T41" s="422"/>
      <c r="U41" s="423"/>
      <c r="V41" s="421"/>
      <c r="W41" s="453">
        <f t="shared" si="5"/>
        <v>3</v>
      </c>
      <c r="X41" s="454"/>
      <c r="Y41" s="445"/>
    </row>
    <row r="42" spans="2:29" ht="17.25" customHeight="1" thickBot="1">
      <c r="B42" s="541"/>
      <c r="C42" s="542"/>
      <c r="D42" s="190" t="s">
        <v>68</v>
      </c>
      <c r="E42" s="191" t="s">
        <v>351</v>
      </c>
      <c r="F42" s="467" t="s">
        <v>534</v>
      </c>
      <c r="G42" s="468"/>
      <c r="H42" s="57"/>
      <c r="I42" s="280"/>
      <c r="J42" s="278">
        <v>3</v>
      </c>
      <c r="K42" s="411"/>
      <c r="L42" s="412"/>
      <c r="M42" s="413"/>
      <c r="N42" s="414"/>
      <c r="O42" s="415"/>
      <c r="P42" s="412"/>
      <c r="Q42" s="413">
        <v>3</v>
      </c>
      <c r="R42" s="414"/>
      <c r="S42" s="415"/>
      <c r="T42" s="412"/>
      <c r="U42" s="413"/>
      <c r="V42" s="416"/>
      <c r="W42" s="453">
        <f t="shared" si="5"/>
        <v>3</v>
      </c>
      <c r="X42" s="454"/>
      <c r="Y42" s="445"/>
    </row>
    <row r="43" spans="2:29" ht="17.25" customHeight="1">
      <c r="B43" s="535" t="s">
        <v>153</v>
      </c>
      <c r="C43" s="178" t="s">
        <v>352</v>
      </c>
      <c r="D43" s="105" t="s">
        <v>531</v>
      </c>
      <c r="E43" s="100" t="s">
        <v>351</v>
      </c>
      <c r="F43" s="481" t="s">
        <v>813</v>
      </c>
      <c r="G43" s="482"/>
      <c r="H43" s="60"/>
      <c r="I43" s="180"/>
      <c r="J43" s="543">
        <v>13</v>
      </c>
      <c r="K43" s="398"/>
      <c r="L43" s="400"/>
      <c r="M43" s="401"/>
      <c r="N43" s="402"/>
      <c r="O43" s="403"/>
      <c r="P43" s="400"/>
      <c r="Q43" s="401"/>
      <c r="R43" s="402"/>
      <c r="S43" s="426">
        <v>6</v>
      </c>
      <c r="T43" s="427"/>
      <c r="U43" s="428">
        <v>7</v>
      </c>
      <c r="V43" s="429"/>
      <c r="W43" s="441">
        <f>SUM(O43:V44)</f>
        <v>13</v>
      </c>
      <c r="X43" s="442"/>
      <c r="Y43" s="445"/>
    </row>
    <row r="44" spans="2:29" ht="17.25" customHeight="1" thickBot="1">
      <c r="B44" s="536"/>
      <c r="C44" s="98" t="s">
        <v>353</v>
      </c>
      <c r="D44" s="93" t="s">
        <v>531</v>
      </c>
      <c r="E44" s="100" t="s">
        <v>351</v>
      </c>
      <c r="F44" s="467" t="s">
        <v>822</v>
      </c>
      <c r="G44" s="468"/>
      <c r="H44" s="60"/>
      <c r="I44" s="279"/>
      <c r="J44" s="544"/>
      <c r="K44" s="411"/>
      <c r="L44" s="412"/>
      <c r="M44" s="413"/>
      <c r="N44" s="414"/>
      <c r="O44" s="415"/>
      <c r="P44" s="412"/>
      <c r="Q44" s="413"/>
      <c r="R44" s="414"/>
      <c r="S44" s="545"/>
      <c r="T44" s="546"/>
      <c r="U44" s="547"/>
      <c r="V44" s="435"/>
      <c r="W44" s="550"/>
      <c r="X44" s="551"/>
      <c r="Y44" s="445"/>
    </row>
    <row r="45" spans="2:29" ht="20.25" customHeight="1">
      <c r="B45" s="535" t="s">
        <v>153</v>
      </c>
      <c r="C45" s="178" t="s">
        <v>352</v>
      </c>
      <c r="D45" s="187" t="s">
        <v>531</v>
      </c>
      <c r="E45" s="101" t="s">
        <v>351</v>
      </c>
      <c r="F45" s="553" t="s">
        <v>532</v>
      </c>
      <c r="G45" s="554"/>
      <c r="H45" s="55"/>
      <c r="I45" s="195"/>
      <c r="J45" s="543">
        <v>10</v>
      </c>
      <c r="K45" s="398"/>
      <c r="L45" s="400"/>
      <c r="M45" s="401"/>
      <c r="N45" s="549"/>
      <c r="O45" s="426">
        <v>5</v>
      </c>
      <c r="P45" s="427"/>
      <c r="Q45" s="428">
        <v>5</v>
      </c>
      <c r="R45" s="437"/>
      <c r="S45" s="549"/>
      <c r="T45" s="400"/>
      <c r="U45" s="401"/>
      <c r="V45" s="399"/>
      <c r="W45" s="441">
        <f>SUM(O45:V46)</f>
        <v>10</v>
      </c>
      <c r="X45" s="442"/>
      <c r="Y45" s="445"/>
    </row>
    <row r="46" spans="2:29" ht="20.25" customHeight="1" thickBot="1">
      <c r="B46" s="536"/>
      <c r="C46" s="98" t="s">
        <v>353</v>
      </c>
      <c r="D46" s="103" t="s">
        <v>531</v>
      </c>
      <c r="E46" s="188" t="s">
        <v>351</v>
      </c>
      <c r="F46" s="467" t="s">
        <v>533</v>
      </c>
      <c r="G46" s="468"/>
      <c r="H46" s="65"/>
      <c r="I46" s="194"/>
      <c r="J46" s="544"/>
      <c r="K46" s="411"/>
      <c r="L46" s="412"/>
      <c r="M46" s="413"/>
      <c r="N46" s="548"/>
      <c r="O46" s="545"/>
      <c r="P46" s="546"/>
      <c r="Q46" s="547"/>
      <c r="R46" s="552"/>
      <c r="S46" s="548"/>
      <c r="T46" s="412"/>
      <c r="U46" s="547"/>
      <c r="V46" s="435"/>
      <c r="W46" s="550"/>
      <c r="X46" s="551"/>
      <c r="Y46" s="445"/>
    </row>
    <row r="47" spans="2:29" ht="24.75" customHeight="1">
      <c r="B47" s="483" t="s">
        <v>360</v>
      </c>
      <c r="C47" s="477"/>
      <c r="D47" s="477"/>
      <c r="E47" s="477"/>
      <c r="F47" s="477"/>
      <c r="G47" s="479"/>
      <c r="H47" s="487">
        <f>SUM(H34:H46)</f>
        <v>0</v>
      </c>
      <c r="I47" s="489">
        <f>SUM(I34:I40)</f>
        <v>0</v>
      </c>
      <c r="J47" s="491">
        <f>SUM(J34:J46)</f>
        <v>106</v>
      </c>
      <c r="K47" s="483">
        <f>SUM(K34:L46)</f>
        <v>5</v>
      </c>
      <c r="L47" s="470"/>
      <c r="M47" s="473">
        <f>SUM(M34:N46)</f>
        <v>9</v>
      </c>
      <c r="N47" s="477"/>
      <c r="O47" s="469">
        <f>SUM(O34:P46)</f>
        <v>18</v>
      </c>
      <c r="P47" s="470"/>
      <c r="Q47" s="473">
        <f>SUM(Q34:R46)</f>
        <v>17</v>
      </c>
      <c r="R47" s="474"/>
      <c r="S47" s="477">
        <f>SUM(S34:T46)</f>
        <v>28</v>
      </c>
      <c r="T47" s="470"/>
      <c r="U47" s="473">
        <f>SUM(U34:V46)</f>
        <v>29</v>
      </c>
      <c r="V47" s="479"/>
      <c r="W47" s="483">
        <f>SUM(K47:V48)</f>
        <v>106</v>
      </c>
      <c r="X47" s="479"/>
      <c r="Y47" s="485">
        <f>SUM(Y34:Y46)</f>
        <v>80</v>
      </c>
      <c r="AC47" s="175"/>
    </row>
    <row r="48" spans="2:29" ht="18" thickBot="1">
      <c r="B48" s="484"/>
      <c r="C48" s="478"/>
      <c r="D48" s="478"/>
      <c r="E48" s="478"/>
      <c r="F48" s="478"/>
      <c r="G48" s="480"/>
      <c r="H48" s="488"/>
      <c r="I48" s="490"/>
      <c r="J48" s="492"/>
      <c r="K48" s="484"/>
      <c r="L48" s="472"/>
      <c r="M48" s="475"/>
      <c r="N48" s="478"/>
      <c r="O48" s="471"/>
      <c r="P48" s="472"/>
      <c r="Q48" s="475"/>
      <c r="R48" s="476"/>
      <c r="S48" s="478"/>
      <c r="T48" s="472"/>
      <c r="U48" s="475"/>
      <c r="V48" s="480"/>
      <c r="W48" s="484"/>
      <c r="X48" s="480"/>
      <c r="Y48" s="486"/>
      <c r="AC48" s="104"/>
    </row>
    <row r="49" spans="2:28" ht="17.25" customHeight="1" thickBot="1">
      <c r="B49" s="451"/>
      <c r="C49" s="459"/>
      <c r="D49" s="459"/>
      <c r="E49" s="459"/>
      <c r="F49" s="459"/>
      <c r="G49" s="460"/>
      <c r="H49" s="277">
        <f>SUM(H33,H47)</f>
        <v>84</v>
      </c>
      <c r="I49" s="274">
        <f>SUM(I33,I47)</f>
        <v>0</v>
      </c>
      <c r="J49" s="275">
        <f>SUM(J33,J47)</f>
        <v>174</v>
      </c>
      <c r="K49" s="451">
        <f>SUM(K33,K47)</f>
        <v>29</v>
      </c>
      <c r="L49" s="452"/>
      <c r="M49" s="462">
        <f>SUM(M33,M47)</f>
        <v>29</v>
      </c>
      <c r="N49" s="511"/>
      <c r="O49" s="512">
        <f>SUM(O33,O47)</f>
        <v>29</v>
      </c>
      <c r="P49" s="452"/>
      <c r="Q49" s="462">
        <f>SUM(Q33,Q47)</f>
        <v>29</v>
      </c>
      <c r="R49" s="511"/>
      <c r="S49" s="512">
        <f>SUM(S33,S47)</f>
        <v>29</v>
      </c>
      <c r="T49" s="452"/>
      <c r="U49" s="462">
        <f>SUM(U33,U47)</f>
        <v>29</v>
      </c>
      <c r="V49" s="460"/>
      <c r="W49" s="451">
        <f>SUM(K49:V49)</f>
        <v>174</v>
      </c>
      <c r="X49" s="460"/>
      <c r="Y49" s="11">
        <f>Y47+Y33</f>
        <v>144</v>
      </c>
      <c r="AA49" s="432" t="s">
        <v>154</v>
      </c>
      <c r="AB49" s="432"/>
    </row>
    <row r="50" spans="2:28" ht="18.75" customHeight="1" thickBot="1">
      <c r="B50" s="494" t="s">
        <v>361</v>
      </c>
      <c r="C50" s="495"/>
      <c r="D50" s="495"/>
      <c r="E50" s="496"/>
      <c r="F50" s="503" t="s">
        <v>357</v>
      </c>
      <c r="G50" s="504"/>
      <c r="H50" s="504"/>
      <c r="I50" s="504"/>
      <c r="J50" s="505"/>
      <c r="K50" s="506">
        <v>16</v>
      </c>
      <c r="L50" s="507"/>
      <c r="M50" s="508">
        <v>16</v>
      </c>
      <c r="N50" s="509"/>
      <c r="O50" s="510">
        <v>16</v>
      </c>
      <c r="P50" s="507"/>
      <c r="Q50" s="508">
        <v>16</v>
      </c>
      <c r="R50" s="509"/>
      <c r="S50" s="510">
        <v>16</v>
      </c>
      <c r="T50" s="507"/>
      <c r="U50" s="508">
        <v>16</v>
      </c>
      <c r="V50" s="522"/>
      <c r="W50" s="494">
        <f>SUM(K50:V52)</f>
        <v>288</v>
      </c>
      <c r="X50" s="496"/>
      <c r="Y50" s="485">
        <f>Y53*16</f>
        <v>288</v>
      </c>
      <c r="AA50" s="493"/>
      <c r="AB50" s="493"/>
    </row>
    <row r="51" spans="2:28" ht="17.25" customHeight="1" thickBot="1">
      <c r="B51" s="497"/>
      <c r="C51" s="498"/>
      <c r="D51" s="498"/>
      <c r="E51" s="499"/>
      <c r="F51" s="513" t="s">
        <v>63</v>
      </c>
      <c r="G51" s="514"/>
      <c r="H51" s="514"/>
      <c r="I51" s="514"/>
      <c r="J51" s="515"/>
      <c r="K51" s="516">
        <v>16</v>
      </c>
      <c r="L51" s="517"/>
      <c r="M51" s="518">
        <v>16</v>
      </c>
      <c r="N51" s="519"/>
      <c r="O51" s="520">
        <v>16</v>
      </c>
      <c r="P51" s="517"/>
      <c r="Q51" s="518">
        <v>16</v>
      </c>
      <c r="R51" s="519"/>
      <c r="S51" s="520">
        <v>16</v>
      </c>
      <c r="T51" s="517"/>
      <c r="U51" s="518">
        <v>16</v>
      </c>
      <c r="V51" s="521"/>
      <c r="W51" s="497"/>
      <c r="X51" s="499"/>
      <c r="Y51" s="445"/>
      <c r="AA51" s="457" t="b">
        <f>W49&gt;=Y49</f>
        <v>1</v>
      </c>
      <c r="AB51" s="458"/>
    </row>
    <row r="52" spans="2:28" ht="17.25" customHeight="1">
      <c r="B52" s="497"/>
      <c r="C52" s="498"/>
      <c r="D52" s="498"/>
      <c r="E52" s="499"/>
      <c r="F52" s="513" t="s">
        <v>11</v>
      </c>
      <c r="G52" s="514"/>
      <c r="H52" s="514"/>
      <c r="I52" s="514"/>
      <c r="J52" s="515"/>
      <c r="K52" s="516">
        <v>16</v>
      </c>
      <c r="L52" s="517"/>
      <c r="M52" s="518">
        <v>16</v>
      </c>
      <c r="N52" s="519"/>
      <c r="O52" s="520">
        <v>16</v>
      </c>
      <c r="P52" s="517"/>
      <c r="Q52" s="518">
        <v>16</v>
      </c>
      <c r="R52" s="519"/>
      <c r="S52" s="520">
        <v>16</v>
      </c>
      <c r="T52" s="517"/>
      <c r="U52" s="518">
        <v>16</v>
      </c>
      <c r="V52" s="521"/>
      <c r="W52" s="523"/>
      <c r="X52" s="524"/>
      <c r="Y52" s="525"/>
    </row>
    <row r="53" spans="2:28" ht="17.25" customHeight="1" thickBot="1">
      <c r="B53" s="500"/>
      <c r="C53" s="501"/>
      <c r="D53" s="501"/>
      <c r="E53" s="502"/>
      <c r="F53" s="528" t="s">
        <v>149</v>
      </c>
      <c r="G53" s="530"/>
      <c r="H53" s="530"/>
      <c r="I53" s="530"/>
      <c r="J53" s="529"/>
      <c r="K53" s="531">
        <v>3</v>
      </c>
      <c r="L53" s="532"/>
      <c r="M53" s="526">
        <v>3</v>
      </c>
      <c r="N53" s="533"/>
      <c r="O53" s="534">
        <v>3</v>
      </c>
      <c r="P53" s="532"/>
      <c r="Q53" s="526">
        <v>3</v>
      </c>
      <c r="R53" s="533"/>
      <c r="S53" s="534">
        <v>3</v>
      </c>
      <c r="T53" s="532"/>
      <c r="U53" s="526">
        <v>3</v>
      </c>
      <c r="V53" s="527"/>
      <c r="W53" s="528">
        <f>SUM(K53:V53)</f>
        <v>18</v>
      </c>
      <c r="X53" s="529"/>
      <c r="Y53" s="106">
        <v>18</v>
      </c>
      <c r="AA53" s="432" t="s">
        <v>155</v>
      </c>
      <c r="AB53" s="432"/>
    </row>
    <row r="54" spans="2:28" ht="17.25" customHeight="1" thickBot="1">
      <c r="B54" s="451"/>
      <c r="C54" s="459"/>
      <c r="D54" s="459"/>
      <c r="E54" s="459"/>
      <c r="F54" s="459"/>
      <c r="G54" s="459"/>
      <c r="H54" s="459"/>
      <c r="I54" s="459"/>
      <c r="J54" s="460"/>
      <c r="K54" s="451">
        <v>32</v>
      </c>
      <c r="L54" s="452"/>
      <c r="M54" s="462">
        <v>32</v>
      </c>
      <c r="N54" s="511"/>
      <c r="O54" s="512">
        <v>32</v>
      </c>
      <c r="P54" s="452"/>
      <c r="Q54" s="462">
        <v>32</v>
      </c>
      <c r="R54" s="511"/>
      <c r="S54" s="512">
        <v>32</v>
      </c>
      <c r="T54" s="452"/>
      <c r="U54" s="462">
        <v>32</v>
      </c>
      <c r="V54" s="460"/>
      <c r="W54" s="451">
        <f>SUM(K54:V54)</f>
        <v>192</v>
      </c>
      <c r="X54" s="460"/>
      <c r="Y54" s="67">
        <f>W54</f>
        <v>192</v>
      </c>
      <c r="AA54" s="457" t="b">
        <f>W53&gt;=Y53</f>
        <v>1</v>
      </c>
      <c r="AB54" s="458"/>
    </row>
    <row r="55" spans="2:28" ht="17.25" customHeight="1" thickBot="1">
      <c r="B55" s="451"/>
      <c r="C55" s="459"/>
      <c r="D55" s="459"/>
      <c r="E55" s="459"/>
      <c r="F55" s="459"/>
      <c r="G55" s="459"/>
      <c r="H55" s="459"/>
      <c r="I55" s="459"/>
      <c r="J55" s="460"/>
      <c r="K55" s="451">
        <f>SUM(K54:N54)</f>
        <v>64</v>
      </c>
      <c r="L55" s="459"/>
      <c r="M55" s="459"/>
      <c r="N55" s="511"/>
      <c r="O55" s="512">
        <f>SUM(O54:R54)</f>
        <v>64</v>
      </c>
      <c r="P55" s="459"/>
      <c r="Q55" s="459"/>
      <c r="R55" s="511"/>
      <c r="S55" s="512">
        <f>SUM(S54:V54)</f>
        <v>64</v>
      </c>
      <c r="T55" s="459"/>
      <c r="U55" s="459"/>
      <c r="V55" s="460"/>
      <c r="W55" s="451">
        <f>SUM(K55:V55)</f>
        <v>192</v>
      </c>
      <c r="X55" s="460"/>
      <c r="Y55" s="11"/>
      <c r="AA55" s="432" t="s">
        <v>152</v>
      </c>
      <c r="AB55" s="432"/>
    </row>
    <row r="56" spans="2:28" ht="17.25" customHeight="1" thickBot="1">
      <c r="AA56" s="457" t="b">
        <f>W54&gt;=Y54</f>
        <v>1</v>
      </c>
      <c r="AB56" s="458"/>
    </row>
    <row r="57" spans="2:28" ht="17.25" customHeight="1"/>
    <row r="58" spans="2:28" ht="17.25" customHeight="1"/>
    <row r="59" spans="2:28" ht="17.25" customHeight="1"/>
    <row r="61" spans="2:28" ht="24.9" customHeight="1"/>
    <row r="62" spans="2:28" ht="24.9" customHeight="1"/>
    <row r="63" spans="2:28" ht="32.25" customHeight="1"/>
    <row r="64" spans="2:28" ht="24.9" customHeight="1"/>
    <row r="66" ht="16.5" customHeight="1"/>
    <row r="67" ht="17.2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244.5" customHeight="1"/>
  </sheetData>
  <mergeCells count="418">
    <mergeCell ref="B34:C42"/>
    <mergeCell ref="J43:J44"/>
    <mergeCell ref="S43:T44"/>
    <mergeCell ref="U43:V44"/>
    <mergeCell ref="S46:T46"/>
    <mergeCell ref="S45:T45"/>
    <mergeCell ref="W45:X46"/>
    <mergeCell ref="Q44:R44"/>
    <mergeCell ref="K42:L42"/>
    <mergeCell ref="W41:X41"/>
    <mergeCell ref="U45:V45"/>
    <mergeCell ref="U46:V46"/>
    <mergeCell ref="O45:P46"/>
    <mergeCell ref="Q45:R46"/>
    <mergeCell ref="W43:X44"/>
    <mergeCell ref="W42:X42"/>
    <mergeCell ref="F46:G46"/>
    <mergeCell ref="K46:L46"/>
    <mergeCell ref="M46:N46"/>
    <mergeCell ref="B45:B46"/>
    <mergeCell ref="F45:G45"/>
    <mergeCell ref="J45:J46"/>
    <mergeCell ref="K45:L45"/>
    <mergeCell ref="M45:N45"/>
    <mergeCell ref="AA56:AB56"/>
    <mergeCell ref="F40:G40"/>
    <mergeCell ref="B43:B44"/>
    <mergeCell ref="F44:G44"/>
    <mergeCell ref="K40:L40"/>
    <mergeCell ref="M40:N40"/>
    <mergeCell ref="O40:P40"/>
    <mergeCell ref="Q40:R40"/>
    <mergeCell ref="S40:T40"/>
    <mergeCell ref="U40:V40"/>
    <mergeCell ref="W54:X54"/>
    <mergeCell ref="AA54:AB54"/>
    <mergeCell ref="B55:J55"/>
    <mergeCell ref="K55:N55"/>
    <mergeCell ref="O55:R55"/>
    <mergeCell ref="S55:V55"/>
    <mergeCell ref="W55:X55"/>
    <mergeCell ref="AA55:AB55"/>
    <mergeCell ref="W40:X40"/>
    <mergeCell ref="K43:L43"/>
    <mergeCell ref="K44:L44"/>
    <mergeCell ref="M43:N43"/>
    <mergeCell ref="M44:N44"/>
    <mergeCell ref="O43:P43"/>
    <mergeCell ref="AA53:AB53"/>
    <mergeCell ref="B54:J54"/>
    <mergeCell ref="K54:L54"/>
    <mergeCell ref="M54:N54"/>
    <mergeCell ref="O54:P54"/>
    <mergeCell ref="Q54:R54"/>
    <mergeCell ref="S54:T54"/>
    <mergeCell ref="U54:V54"/>
    <mergeCell ref="F53:J53"/>
    <mergeCell ref="K53:L53"/>
    <mergeCell ref="M53:N53"/>
    <mergeCell ref="O53:P53"/>
    <mergeCell ref="Q53:R53"/>
    <mergeCell ref="S53:T53"/>
    <mergeCell ref="Y50:Y52"/>
    <mergeCell ref="F51:J51"/>
    <mergeCell ref="K51:L51"/>
    <mergeCell ref="M51:N51"/>
    <mergeCell ref="O51:P51"/>
    <mergeCell ref="Q51:R51"/>
    <mergeCell ref="S51:T51"/>
    <mergeCell ref="U51:V51"/>
    <mergeCell ref="U53:V53"/>
    <mergeCell ref="W53:X53"/>
    <mergeCell ref="AA49:AB50"/>
    <mergeCell ref="B50:E53"/>
    <mergeCell ref="F50:J50"/>
    <mergeCell ref="K50:L50"/>
    <mergeCell ref="M50:N50"/>
    <mergeCell ref="O50:P50"/>
    <mergeCell ref="Q50:R50"/>
    <mergeCell ref="S50:T50"/>
    <mergeCell ref="B49:G49"/>
    <mergeCell ref="K49:L49"/>
    <mergeCell ref="M49:N49"/>
    <mergeCell ref="O49:P49"/>
    <mergeCell ref="Q49:R49"/>
    <mergeCell ref="S49:T49"/>
    <mergeCell ref="AA51:AB51"/>
    <mergeCell ref="F52:J52"/>
    <mergeCell ref="K52:L52"/>
    <mergeCell ref="M52:N52"/>
    <mergeCell ref="O52:P52"/>
    <mergeCell ref="Q52:R52"/>
    <mergeCell ref="S52:T52"/>
    <mergeCell ref="U52:V52"/>
    <mergeCell ref="U50:V50"/>
    <mergeCell ref="W50:X52"/>
    <mergeCell ref="W47:X48"/>
    <mergeCell ref="Y47:Y48"/>
    <mergeCell ref="B47:G48"/>
    <mergeCell ref="H47:H48"/>
    <mergeCell ref="I47:I48"/>
    <mergeCell ref="J47:J48"/>
    <mergeCell ref="K47:L48"/>
    <mergeCell ref="M47:N48"/>
    <mergeCell ref="U49:V49"/>
    <mergeCell ref="W49:X49"/>
    <mergeCell ref="S41:T41"/>
    <mergeCell ref="F41:G41"/>
    <mergeCell ref="F42:G42"/>
    <mergeCell ref="M42:N42"/>
    <mergeCell ref="O42:P42"/>
    <mergeCell ref="Q42:R42"/>
    <mergeCell ref="S42:T42"/>
    <mergeCell ref="U42:V42"/>
    <mergeCell ref="O47:P48"/>
    <mergeCell ref="Q47:R48"/>
    <mergeCell ref="S47:T48"/>
    <mergeCell ref="U47:V48"/>
    <mergeCell ref="O44:P44"/>
    <mergeCell ref="Q43:R43"/>
    <mergeCell ref="U41:V41"/>
    <mergeCell ref="F43:G43"/>
    <mergeCell ref="K41:L41"/>
    <mergeCell ref="M41:N41"/>
    <mergeCell ref="O41:P41"/>
    <mergeCell ref="Q41:R41"/>
    <mergeCell ref="U38:V38"/>
    <mergeCell ref="W38:X38"/>
    <mergeCell ref="F39:G39"/>
    <mergeCell ref="K39:L39"/>
    <mergeCell ref="M39:N39"/>
    <mergeCell ref="O39:P39"/>
    <mergeCell ref="Q39:R39"/>
    <mergeCell ref="S39:T39"/>
    <mergeCell ref="U39:V39"/>
    <mergeCell ref="W39:X39"/>
    <mergeCell ref="F38:G38"/>
    <mergeCell ref="K38:L38"/>
    <mergeCell ref="M38:N38"/>
    <mergeCell ref="O38:P38"/>
    <mergeCell ref="Q38:R38"/>
    <mergeCell ref="S38:T38"/>
    <mergeCell ref="O37:P37"/>
    <mergeCell ref="Q37:R37"/>
    <mergeCell ref="S37:T37"/>
    <mergeCell ref="U37:V37"/>
    <mergeCell ref="W37:X37"/>
    <mergeCell ref="F36:G36"/>
    <mergeCell ref="K36:L36"/>
    <mergeCell ref="M36:N36"/>
    <mergeCell ref="O36:P36"/>
    <mergeCell ref="Q36:R36"/>
    <mergeCell ref="S36:T36"/>
    <mergeCell ref="AA33:AB33"/>
    <mergeCell ref="B33:G33"/>
    <mergeCell ref="K33:L33"/>
    <mergeCell ref="M33:N33"/>
    <mergeCell ref="O33:P33"/>
    <mergeCell ref="Q33:R33"/>
    <mergeCell ref="S33:T33"/>
    <mergeCell ref="U32:V32"/>
    <mergeCell ref="D31:D32"/>
    <mergeCell ref="S31:T31"/>
    <mergeCell ref="U31:V31"/>
    <mergeCell ref="W31:X32"/>
    <mergeCell ref="Y31:Y32"/>
    <mergeCell ref="F32:G32"/>
    <mergeCell ref="K32:L32"/>
    <mergeCell ref="M32:N32"/>
    <mergeCell ref="O32:P32"/>
    <mergeCell ref="Q32:R32"/>
    <mergeCell ref="S32:T32"/>
    <mergeCell ref="F31:G31"/>
    <mergeCell ref="K31:L31"/>
    <mergeCell ref="M31:N31"/>
    <mergeCell ref="O31:P31"/>
    <mergeCell ref="Q31:R31"/>
    <mergeCell ref="Y34:Y46"/>
    <mergeCell ref="F34:G34"/>
    <mergeCell ref="K34:L34"/>
    <mergeCell ref="M34:N34"/>
    <mergeCell ref="O34:P34"/>
    <mergeCell ref="Q34:R34"/>
    <mergeCell ref="S34:T34"/>
    <mergeCell ref="U33:V33"/>
    <mergeCell ref="W33:X33"/>
    <mergeCell ref="U34:V34"/>
    <mergeCell ref="W34:X34"/>
    <mergeCell ref="F35:G35"/>
    <mergeCell ref="K35:L35"/>
    <mergeCell ref="M35:N35"/>
    <mergeCell ref="O35:P35"/>
    <mergeCell ref="Q35:R35"/>
    <mergeCell ref="S35:T35"/>
    <mergeCell ref="U35:V35"/>
    <mergeCell ref="W35:X35"/>
    <mergeCell ref="U36:V36"/>
    <mergeCell ref="W36:X36"/>
    <mergeCell ref="F37:G37"/>
    <mergeCell ref="K37:L37"/>
    <mergeCell ref="M37:N37"/>
    <mergeCell ref="W29:X30"/>
    <mergeCell ref="Y29:Y30"/>
    <mergeCell ref="F30:G30"/>
    <mergeCell ref="K30:L30"/>
    <mergeCell ref="M30:N30"/>
    <mergeCell ref="O30:P30"/>
    <mergeCell ref="Q30:R30"/>
    <mergeCell ref="S30:T30"/>
    <mergeCell ref="U30:V30"/>
    <mergeCell ref="D29:D30"/>
    <mergeCell ref="F29:G29"/>
    <mergeCell ref="K29:L29"/>
    <mergeCell ref="M29:N29"/>
    <mergeCell ref="O29:P29"/>
    <mergeCell ref="Q29:R29"/>
    <mergeCell ref="S29:T29"/>
    <mergeCell ref="U29:V29"/>
    <mergeCell ref="F28:G28"/>
    <mergeCell ref="K28:L28"/>
    <mergeCell ref="M28:N28"/>
    <mergeCell ref="O28:P28"/>
    <mergeCell ref="Q28:R28"/>
    <mergeCell ref="S28:T28"/>
    <mergeCell ref="D24:D28"/>
    <mergeCell ref="Y24:Y28"/>
    <mergeCell ref="F25:G25"/>
    <mergeCell ref="K25:L25"/>
    <mergeCell ref="M25:N25"/>
    <mergeCell ref="O25:P25"/>
    <mergeCell ref="Q25:R25"/>
    <mergeCell ref="S25:T25"/>
    <mergeCell ref="U25:V25"/>
    <mergeCell ref="F24:G24"/>
    <mergeCell ref="K24:L24"/>
    <mergeCell ref="M24:N24"/>
    <mergeCell ref="O24:P24"/>
    <mergeCell ref="Q24:R24"/>
    <mergeCell ref="S24:T24"/>
    <mergeCell ref="U26:V26"/>
    <mergeCell ref="F27:G27"/>
    <mergeCell ref="K27:L27"/>
    <mergeCell ref="M27:N27"/>
    <mergeCell ref="O27:P27"/>
    <mergeCell ref="Q27:R27"/>
    <mergeCell ref="S27:T27"/>
    <mergeCell ref="U27:V27"/>
    <mergeCell ref="F26:G26"/>
    <mergeCell ref="K26:L26"/>
    <mergeCell ref="X22:X23"/>
    <mergeCell ref="F23:G23"/>
    <mergeCell ref="K23:L23"/>
    <mergeCell ref="M23:N23"/>
    <mergeCell ref="O23:P23"/>
    <mergeCell ref="Q23:R23"/>
    <mergeCell ref="S23:T23"/>
    <mergeCell ref="U23:V23"/>
    <mergeCell ref="U24:V24"/>
    <mergeCell ref="X24:X28"/>
    <mergeCell ref="M26:N26"/>
    <mergeCell ref="O26:P26"/>
    <mergeCell ref="Q26:R26"/>
    <mergeCell ref="S26:T26"/>
    <mergeCell ref="U28:V28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3:AB33 AC48 AA51:AB51 AA54:AB54 AA56:AB56">
    <cfRule type="containsText" dxfId="2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47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911527A-A598-47E5-B4D3-FBB24E1E7F71}">
          <x14:formula1>
            <xm:f>삭제금지!$H$2:$H$18</xm:f>
          </x14:formula1>
          <xm:sqref>B5</xm:sqref>
        </x14:dataValidation>
        <x14:dataValidation type="list" allowBlank="1" showInputMessage="1" showErrorMessage="1" xr:uid="{CBC581B5-6DA8-4974-ACD7-551FBF16CDB1}">
          <x14:formula1>
            <xm:f>삭제금지!$L$2:$L$4</xm:f>
          </x14:formula1>
          <xm:sqref>T5:V5</xm:sqref>
        </x14:dataValidation>
        <x14:dataValidation type="list" allowBlank="1" showInputMessage="1" showErrorMessage="1" xr:uid="{FF6471FC-3028-480C-B760-E4C190213DD9}">
          <x14:formula1>
            <xm:f>삭제금지!$K$2:$K$59</xm:f>
          </x14:formula1>
          <xm:sqref>K5:O5</xm:sqref>
        </x14:dataValidation>
        <x14:dataValidation type="list" allowBlank="1" showInputMessage="1" showErrorMessage="1" xr:uid="{8B63BB1E-919D-4817-9B36-97395BDF4702}">
          <x14:formula1>
            <xm:f>삭제금지!$I$2:$I$18</xm:f>
          </x14:formula1>
          <xm:sqref>F5:G5</xm:sqref>
        </x14:dataValidation>
        <x14:dataValidation type="list" allowBlank="1" showInputMessage="1" showErrorMessage="1" xr:uid="{CEDE4360-95DC-40B8-B11E-88386AAB7362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9DD5-FEB8-4AF5-A84E-EE54A6FD5654}">
  <sheetPr>
    <pageSetUpPr fitToPage="1"/>
  </sheetPr>
  <dimension ref="B1:AD92"/>
  <sheetViews>
    <sheetView tabSelected="1" view="pageBreakPreview" zoomScaleNormal="100" zoomScaleSheetLayoutView="100" workbookViewId="0">
      <pane ySplit="8" topLeftCell="A44" activePane="bottomLeft" state="frozen"/>
      <selection pane="bottomLeft" activeCell="F50" sqref="F50:G50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42" t="s">
        <v>514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3"/>
      <c r="V2" s="344" t="s">
        <v>130</v>
      </c>
      <c r="W2" s="345"/>
      <c r="X2" s="346">
        <v>2027</v>
      </c>
      <c r="Y2" s="347"/>
      <c r="AA2" s="348" t="s">
        <v>143</v>
      </c>
      <c r="AB2" s="19" t="s">
        <v>144</v>
      </c>
      <c r="AC2" s="54" t="s">
        <v>151</v>
      </c>
      <c r="AD2" s="20" t="s">
        <v>145</v>
      </c>
    </row>
    <row r="3" spans="2:30" ht="18" thickBot="1">
      <c r="B3" s="351" t="s">
        <v>358</v>
      </c>
      <c r="C3" s="353" t="s">
        <v>53</v>
      </c>
      <c r="D3" s="354"/>
      <c r="E3" s="354"/>
      <c r="F3" s="353" t="s">
        <v>64</v>
      </c>
      <c r="G3" s="357"/>
      <c r="H3" s="353" t="s">
        <v>54</v>
      </c>
      <c r="I3" s="354"/>
      <c r="J3" s="354"/>
      <c r="K3" s="353" t="s">
        <v>55</v>
      </c>
      <c r="L3" s="354"/>
      <c r="M3" s="354"/>
      <c r="N3" s="354"/>
      <c r="O3" s="357"/>
      <c r="P3" s="359" t="s">
        <v>56</v>
      </c>
      <c r="Q3" s="360"/>
      <c r="R3" s="360"/>
      <c r="S3" s="360"/>
      <c r="T3" s="360"/>
      <c r="U3" s="360"/>
      <c r="V3" s="360"/>
      <c r="W3" s="360"/>
      <c r="X3" s="360"/>
      <c r="Y3" s="361"/>
      <c r="AA3" s="349"/>
      <c r="AB3" s="21" t="s">
        <v>146</v>
      </c>
      <c r="AC3" s="68" t="s">
        <v>521</v>
      </c>
      <c r="AD3" s="22" t="s">
        <v>782</v>
      </c>
    </row>
    <row r="4" spans="2:30" ht="18" thickBot="1">
      <c r="B4" s="352"/>
      <c r="C4" s="355"/>
      <c r="D4" s="356"/>
      <c r="E4" s="356"/>
      <c r="F4" s="355"/>
      <c r="G4" s="358"/>
      <c r="H4" s="355"/>
      <c r="I4" s="356"/>
      <c r="J4" s="356"/>
      <c r="K4" s="355"/>
      <c r="L4" s="356"/>
      <c r="M4" s="356"/>
      <c r="N4" s="356"/>
      <c r="O4" s="358"/>
      <c r="P4" s="359" t="s">
        <v>127</v>
      </c>
      <c r="Q4" s="360"/>
      <c r="R4" s="360"/>
      <c r="S4" s="360"/>
      <c r="T4" s="359" t="s">
        <v>61</v>
      </c>
      <c r="U4" s="360"/>
      <c r="V4" s="361"/>
      <c r="W4" s="360" t="s">
        <v>128</v>
      </c>
      <c r="X4" s="360"/>
      <c r="Y4" s="361"/>
      <c r="AA4" s="349"/>
      <c r="AB4" s="23" t="s">
        <v>147</v>
      </c>
      <c r="AC4" s="69" t="s">
        <v>522</v>
      </c>
      <c r="AD4" s="22" t="s">
        <v>783</v>
      </c>
    </row>
    <row r="5" spans="2:30" ht="26.25" customHeight="1" thickBot="1">
      <c r="B5" s="107" t="s">
        <v>512</v>
      </c>
      <c r="C5" s="362" t="s">
        <v>515</v>
      </c>
      <c r="D5" s="363"/>
      <c r="E5" s="364"/>
      <c r="F5" s="362" t="s">
        <v>535</v>
      </c>
      <c r="G5" s="365"/>
      <c r="H5" s="366" t="s">
        <v>536</v>
      </c>
      <c r="I5" s="363"/>
      <c r="J5" s="364"/>
      <c r="K5" s="362"/>
      <c r="L5" s="363"/>
      <c r="M5" s="363"/>
      <c r="N5" s="363"/>
      <c r="O5" s="365"/>
      <c r="P5" s="366" t="s">
        <v>111</v>
      </c>
      <c r="Q5" s="363"/>
      <c r="R5" s="363"/>
      <c r="S5" s="364"/>
      <c r="T5" s="362" t="s">
        <v>34</v>
      </c>
      <c r="U5" s="363"/>
      <c r="V5" s="364"/>
      <c r="W5" s="367" t="s">
        <v>537</v>
      </c>
      <c r="X5" s="368"/>
      <c r="Y5" s="369"/>
      <c r="AA5" s="350"/>
      <c r="AB5" s="24" t="s">
        <v>148</v>
      </c>
      <c r="AC5" s="186" t="s">
        <v>523</v>
      </c>
      <c r="AD5" s="258" t="s">
        <v>524</v>
      </c>
    </row>
    <row r="6" spans="2:30" ht="15.75" customHeight="1" thickBot="1">
      <c r="U6" s="370"/>
      <c r="V6" s="370"/>
      <c r="W6" s="370"/>
      <c r="X6" s="370"/>
      <c r="Y6" s="370"/>
    </row>
    <row r="7" spans="2:30" s="10" customFormat="1" ht="22.5" customHeight="1">
      <c r="B7" s="371" t="s">
        <v>2</v>
      </c>
      <c r="C7" s="372"/>
      <c r="D7" s="375" t="s">
        <v>120</v>
      </c>
      <c r="E7" s="377" t="s">
        <v>57</v>
      </c>
      <c r="F7" s="378"/>
      <c r="G7" s="379"/>
      <c r="H7" s="380" t="s">
        <v>133</v>
      </c>
      <c r="I7" s="382" t="s">
        <v>134</v>
      </c>
      <c r="J7" s="384" t="s">
        <v>135</v>
      </c>
      <c r="K7" s="386" t="s">
        <v>58</v>
      </c>
      <c r="L7" s="382"/>
      <c r="M7" s="382"/>
      <c r="N7" s="387"/>
      <c r="O7" s="388" t="s">
        <v>59</v>
      </c>
      <c r="P7" s="382"/>
      <c r="Q7" s="382"/>
      <c r="R7" s="387"/>
      <c r="S7" s="386" t="s">
        <v>60</v>
      </c>
      <c r="T7" s="382"/>
      <c r="U7" s="382"/>
      <c r="V7" s="389"/>
      <c r="W7" s="380" t="s">
        <v>136</v>
      </c>
      <c r="X7" s="384"/>
      <c r="Y7" s="379" t="s">
        <v>137</v>
      </c>
      <c r="Z7" s="9"/>
    </row>
    <row r="8" spans="2:30" s="10" customFormat="1" ht="22.5" customHeight="1" thickBot="1">
      <c r="B8" s="373"/>
      <c r="C8" s="374"/>
      <c r="D8" s="376"/>
      <c r="E8" s="25" t="s">
        <v>18</v>
      </c>
      <c r="F8" s="405" t="s">
        <v>19</v>
      </c>
      <c r="G8" s="406"/>
      <c r="H8" s="381"/>
      <c r="I8" s="383"/>
      <c r="J8" s="385"/>
      <c r="K8" s="407" t="s">
        <v>0</v>
      </c>
      <c r="L8" s="383"/>
      <c r="M8" s="383" t="s">
        <v>62</v>
      </c>
      <c r="N8" s="408"/>
      <c r="O8" s="409" t="s">
        <v>0</v>
      </c>
      <c r="P8" s="383"/>
      <c r="Q8" s="383" t="s">
        <v>62</v>
      </c>
      <c r="R8" s="408"/>
      <c r="S8" s="407" t="s">
        <v>0</v>
      </c>
      <c r="T8" s="383"/>
      <c r="U8" s="383" t="s">
        <v>62</v>
      </c>
      <c r="V8" s="410"/>
      <c r="W8" s="381"/>
      <c r="X8" s="385"/>
      <c r="Y8" s="404"/>
      <c r="AA8" s="390" t="s">
        <v>498</v>
      </c>
      <c r="AB8" s="390"/>
      <c r="AC8" s="390"/>
      <c r="AD8" s="390"/>
    </row>
    <row r="9" spans="2:30" ht="16.5" customHeight="1" thickBot="1">
      <c r="B9" s="391" t="s">
        <v>335</v>
      </c>
      <c r="C9" s="392"/>
      <c r="D9" s="395" t="s">
        <v>21</v>
      </c>
      <c r="E9" s="70" t="s">
        <v>12</v>
      </c>
      <c r="F9" s="398" t="s">
        <v>199</v>
      </c>
      <c r="G9" s="399"/>
      <c r="H9" s="71">
        <v>4</v>
      </c>
      <c r="I9" s="72" t="s">
        <v>336</v>
      </c>
      <c r="J9" s="73">
        <v>3</v>
      </c>
      <c r="K9" s="506">
        <v>3</v>
      </c>
      <c r="L9" s="507"/>
      <c r="M9" s="508"/>
      <c r="N9" s="509"/>
      <c r="O9" s="510"/>
      <c r="P9" s="507"/>
      <c r="Q9" s="508"/>
      <c r="R9" s="509"/>
      <c r="S9" s="510"/>
      <c r="T9" s="507"/>
      <c r="U9" s="508"/>
      <c r="V9" s="522"/>
      <c r="W9" s="74">
        <f>SUM(K9:V9)</f>
        <v>3</v>
      </c>
      <c r="X9" s="417">
        <f>SUM(W9:W11)</f>
        <v>9</v>
      </c>
      <c r="Y9" s="419">
        <v>24</v>
      </c>
      <c r="AA9" s="168" t="s">
        <v>18</v>
      </c>
      <c r="AB9" s="169" t="s">
        <v>505</v>
      </c>
      <c r="AC9" s="169" t="s">
        <v>506</v>
      </c>
      <c r="AD9" s="170" t="s">
        <v>507</v>
      </c>
    </row>
    <row r="10" spans="2:30" ht="18" thickBot="1">
      <c r="B10" s="393"/>
      <c r="C10" s="394"/>
      <c r="D10" s="396"/>
      <c r="E10" s="75" t="s">
        <v>12</v>
      </c>
      <c r="F10" s="420" t="s">
        <v>200</v>
      </c>
      <c r="G10" s="421"/>
      <c r="H10" s="76">
        <v>4</v>
      </c>
      <c r="I10" s="77" t="s">
        <v>336</v>
      </c>
      <c r="J10" s="78">
        <v>3</v>
      </c>
      <c r="K10" s="516"/>
      <c r="L10" s="517"/>
      <c r="M10" s="518">
        <v>3</v>
      </c>
      <c r="N10" s="519"/>
      <c r="O10" s="520"/>
      <c r="P10" s="517"/>
      <c r="Q10" s="518"/>
      <c r="R10" s="519"/>
      <c r="S10" s="520"/>
      <c r="T10" s="517"/>
      <c r="U10" s="518"/>
      <c r="V10" s="521"/>
      <c r="W10" s="79">
        <f t="shared" ref="W10:W23" si="0">SUM(K10:V10)</f>
        <v>3</v>
      </c>
      <c r="X10" s="418"/>
      <c r="Y10" s="419"/>
      <c r="AA10" s="171" t="s">
        <v>500</v>
      </c>
      <c r="AB10" s="172">
        <v>4</v>
      </c>
      <c r="AC10" s="172">
        <v>-1</v>
      </c>
      <c r="AD10" s="22" t="s">
        <v>336</v>
      </c>
    </row>
    <row r="11" spans="2:30" ht="18" thickBot="1">
      <c r="B11" s="393"/>
      <c r="C11" s="394"/>
      <c r="D11" s="397"/>
      <c r="E11" s="80" t="s">
        <v>342</v>
      </c>
      <c r="F11" s="411" t="s">
        <v>4</v>
      </c>
      <c r="G11" s="416"/>
      <c r="H11" s="81">
        <v>4</v>
      </c>
      <c r="I11" s="82" t="s">
        <v>338</v>
      </c>
      <c r="J11" s="83">
        <v>3</v>
      </c>
      <c r="K11" s="555"/>
      <c r="L11" s="556"/>
      <c r="M11" s="557"/>
      <c r="N11" s="558"/>
      <c r="O11" s="559">
        <v>3</v>
      </c>
      <c r="P11" s="556"/>
      <c r="Q11" s="557"/>
      <c r="R11" s="558"/>
      <c r="S11" s="559"/>
      <c r="T11" s="556"/>
      <c r="U11" s="557"/>
      <c r="V11" s="560"/>
      <c r="W11" s="79">
        <f t="shared" si="0"/>
        <v>3</v>
      </c>
      <c r="X11" s="418"/>
      <c r="Y11" s="419"/>
      <c r="AA11" s="171" t="s">
        <v>501</v>
      </c>
      <c r="AB11" s="172">
        <v>3</v>
      </c>
      <c r="AC11" s="172"/>
      <c r="AD11" s="22">
        <v>3</v>
      </c>
    </row>
    <row r="12" spans="2:30" ht="18" thickBot="1">
      <c r="B12" s="393"/>
      <c r="C12" s="394"/>
      <c r="D12" s="395" t="s">
        <v>5</v>
      </c>
      <c r="E12" s="70" t="s">
        <v>12</v>
      </c>
      <c r="F12" s="398" t="s">
        <v>211</v>
      </c>
      <c r="G12" s="399"/>
      <c r="H12" s="71">
        <v>4</v>
      </c>
      <c r="I12" s="72" t="s">
        <v>336</v>
      </c>
      <c r="J12" s="73">
        <v>3</v>
      </c>
      <c r="K12" s="506">
        <v>3</v>
      </c>
      <c r="L12" s="507"/>
      <c r="M12" s="508"/>
      <c r="N12" s="509"/>
      <c r="O12" s="510"/>
      <c r="P12" s="507"/>
      <c r="Q12" s="508"/>
      <c r="R12" s="509"/>
      <c r="S12" s="510"/>
      <c r="T12" s="507"/>
      <c r="U12" s="508"/>
      <c r="V12" s="522"/>
      <c r="W12" s="74">
        <f t="shared" si="0"/>
        <v>3</v>
      </c>
      <c r="X12" s="417">
        <f t="shared" ref="X12" si="1">SUM(W12:W14)</f>
        <v>9</v>
      </c>
      <c r="Y12" s="419"/>
      <c r="AA12" s="171" t="s">
        <v>502</v>
      </c>
      <c r="AB12" s="172">
        <v>4</v>
      </c>
      <c r="AC12" s="172" t="s">
        <v>511</v>
      </c>
      <c r="AD12" s="22" t="s">
        <v>338</v>
      </c>
    </row>
    <row r="13" spans="2:30" ht="18" thickBot="1">
      <c r="B13" s="393"/>
      <c r="C13" s="394"/>
      <c r="D13" s="396"/>
      <c r="E13" s="75" t="s">
        <v>12</v>
      </c>
      <c r="F13" s="420" t="s">
        <v>213</v>
      </c>
      <c r="G13" s="421"/>
      <c r="H13" s="76">
        <v>4</v>
      </c>
      <c r="I13" s="77" t="s">
        <v>336</v>
      </c>
      <c r="J13" s="78">
        <v>3</v>
      </c>
      <c r="K13" s="516"/>
      <c r="L13" s="517"/>
      <c r="M13" s="518">
        <v>3</v>
      </c>
      <c r="N13" s="519"/>
      <c r="O13" s="520"/>
      <c r="P13" s="517"/>
      <c r="Q13" s="518"/>
      <c r="R13" s="519"/>
      <c r="S13" s="520"/>
      <c r="T13" s="517"/>
      <c r="U13" s="518"/>
      <c r="V13" s="521"/>
      <c r="W13" s="79">
        <f t="shared" si="0"/>
        <v>3</v>
      </c>
      <c r="X13" s="418"/>
      <c r="Y13" s="419"/>
      <c r="AA13" s="171" t="s">
        <v>503</v>
      </c>
      <c r="AB13" s="172">
        <v>3</v>
      </c>
      <c r="AC13" s="172" t="s">
        <v>511</v>
      </c>
      <c r="AD13" s="22" t="s">
        <v>344</v>
      </c>
    </row>
    <row r="14" spans="2:30" ht="18" thickBot="1">
      <c r="B14" s="393"/>
      <c r="C14" s="394"/>
      <c r="D14" s="397"/>
      <c r="E14" s="80" t="s">
        <v>342</v>
      </c>
      <c r="F14" s="411" t="s">
        <v>214</v>
      </c>
      <c r="G14" s="416"/>
      <c r="H14" s="81">
        <v>4</v>
      </c>
      <c r="I14" s="82" t="s">
        <v>338</v>
      </c>
      <c r="J14" s="83">
        <v>3</v>
      </c>
      <c r="K14" s="555"/>
      <c r="L14" s="556"/>
      <c r="M14" s="557"/>
      <c r="N14" s="558"/>
      <c r="O14" s="559"/>
      <c r="P14" s="556"/>
      <c r="Q14" s="557">
        <v>3</v>
      </c>
      <c r="R14" s="558"/>
      <c r="S14" s="559"/>
      <c r="T14" s="556"/>
      <c r="U14" s="557"/>
      <c r="V14" s="560"/>
      <c r="W14" s="79">
        <f t="shared" si="0"/>
        <v>3</v>
      </c>
      <c r="X14" s="418"/>
      <c r="Y14" s="419"/>
      <c r="AA14" s="173" t="s">
        <v>504</v>
      </c>
      <c r="AB14" s="430" t="s">
        <v>513</v>
      </c>
      <c r="AC14" s="430"/>
      <c r="AD14" s="431"/>
    </row>
    <row r="15" spans="2:30" ht="18" thickBot="1">
      <c r="B15" s="393"/>
      <c r="C15" s="394"/>
      <c r="D15" s="395" t="s">
        <v>6</v>
      </c>
      <c r="E15" s="70" t="s">
        <v>12</v>
      </c>
      <c r="F15" s="398" t="s">
        <v>218</v>
      </c>
      <c r="G15" s="399"/>
      <c r="H15" s="71">
        <v>4</v>
      </c>
      <c r="I15" s="72" t="s">
        <v>336</v>
      </c>
      <c r="J15" s="73">
        <v>3</v>
      </c>
      <c r="K15" s="506">
        <v>3</v>
      </c>
      <c r="L15" s="507"/>
      <c r="M15" s="508"/>
      <c r="N15" s="509"/>
      <c r="O15" s="510"/>
      <c r="P15" s="507"/>
      <c r="Q15" s="508"/>
      <c r="R15" s="509"/>
      <c r="S15" s="510"/>
      <c r="T15" s="507"/>
      <c r="U15" s="508"/>
      <c r="V15" s="522"/>
      <c r="W15" s="74">
        <f t="shared" si="0"/>
        <v>3</v>
      </c>
      <c r="X15" s="417">
        <f t="shared" ref="X15" si="2">SUM(W15:W17)</f>
        <v>9</v>
      </c>
      <c r="Y15" s="419"/>
    </row>
    <row r="16" spans="2:30" ht="18" thickBot="1">
      <c r="B16" s="393"/>
      <c r="C16" s="394"/>
      <c r="D16" s="396"/>
      <c r="E16" s="75" t="s">
        <v>12</v>
      </c>
      <c r="F16" s="420" t="s">
        <v>224</v>
      </c>
      <c r="G16" s="421"/>
      <c r="H16" s="76">
        <v>4</v>
      </c>
      <c r="I16" s="77" t="s">
        <v>336</v>
      </c>
      <c r="J16" s="78">
        <v>3</v>
      </c>
      <c r="K16" s="516"/>
      <c r="L16" s="517"/>
      <c r="M16" s="518">
        <v>3</v>
      </c>
      <c r="N16" s="519"/>
      <c r="O16" s="520"/>
      <c r="P16" s="517"/>
      <c r="Q16" s="518"/>
      <c r="R16" s="519"/>
      <c r="S16" s="520"/>
      <c r="T16" s="517"/>
      <c r="U16" s="518"/>
      <c r="V16" s="521"/>
      <c r="W16" s="79">
        <f t="shared" si="0"/>
        <v>3</v>
      </c>
      <c r="X16" s="418"/>
      <c r="Y16" s="419"/>
    </row>
    <row r="17" spans="2:29" ht="18" thickBot="1">
      <c r="B17" s="393"/>
      <c r="C17" s="394"/>
      <c r="D17" s="397"/>
      <c r="E17" s="84" t="s">
        <v>342</v>
      </c>
      <c r="F17" s="411" t="s">
        <v>38</v>
      </c>
      <c r="G17" s="416"/>
      <c r="H17" s="81">
        <v>4</v>
      </c>
      <c r="I17" s="82" t="s">
        <v>338</v>
      </c>
      <c r="J17" s="83">
        <v>3</v>
      </c>
      <c r="K17" s="555"/>
      <c r="L17" s="556"/>
      <c r="M17" s="557"/>
      <c r="N17" s="558"/>
      <c r="O17" s="559"/>
      <c r="P17" s="556"/>
      <c r="Q17" s="557">
        <v>3</v>
      </c>
      <c r="R17" s="558"/>
      <c r="S17" s="559"/>
      <c r="T17" s="556"/>
      <c r="U17" s="557"/>
      <c r="V17" s="560"/>
      <c r="W17" s="79">
        <f t="shared" si="0"/>
        <v>3</v>
      </c>
      <c r="X17" s="418"/>
      <c r="Y17" s="419"/>
    </row>
    <row r="18" spans="2:29" ht="18" customHeight="1" thickBot="1">
      <c r="B18" s="393"/>
      <c r="C18" s="394"/>
      <c r="D18" s="395" t="s">
        <v>339</v>
      </c>
      <c r="E18" s="70" t="s">
        <v>12</v>
      </c>
      <c r="F18" s="398" t="s">
        <v>232</v>
      </c>
      <c r="G18" s="399"/>
      <c r="H18" s="71">
        <v>3</v>
      </c>
      <c r="I18" s="85" t="s">
        <v>340</v>
      </c>
      <c r="J18" s="73">
        <v>3</v>
      </c>
      <c r="K18" s="565">
        <v>3</v>
      </c>
      <c r="L18" s="562"/>
      <c r="M18" s="563"/>
      <c r="N18" s="566"/>
      <c r="O18" s="561"/>
      <c r="P18" s="562"/>
      <c r="Q18" s="563"/>
      <c r="R18" s="566"/>
      <c r="S18" s="561"/>
      <c r="T18" s="562"/>
      <c r="U18" s="563"/>
      <c r="V18" s="564"/>
      <c r="W18" s="74">
        <f t="shared" si="0"/>
        <v>3</v>
      </c>
      <c r="X18" s="417">
        <f>SUM(W18:W19)</f>
        <v>6</v>
      </c>
      <c r="Y18" s="419">
        <v>6</v>
      </c>
    </row>
    <row r="19" spans="2:29" ht="18" thickBot="1">
      <c r="B19" s="393"/>
      <c r="C19" s="394"/>
      <c r="D19" s="396"/>
      <c r="E19" s="86" t="s">
        <v>12</v>
      </c>
      <c r="F19" s="434" t="s">
        <v>233</v>
      </c>
      <c r="G19" s="435"/>
      <c r="H19" s="87">
        <v>3</v>
      </c>
      <c r="I19" s="88" t="s">
        <v>340</v>
      </c>
      <c r="J19" s="270">
        <v>3</v>
      </c>
      <c r="K19" s="555"/>
      <c r="L19" s="556"/>
      <c r="M19" s="557">
        <v>3</v>
      </c>
      <c r="N19" s="558"/>
      <c r="O19" s="559"/>
      <c r="P19" s="556"/>
      <c r="Q19" s="557"/>
      <c r="R19" s="558"/>
      <c r="S19" s="559"/>
      <c r="T19" s="556"/>
      <c r="U19" s="557"/>
      <c r="V19" s="560"/>
      <c r="W19" s="89">
        <f t="shared" si="0"/>
        <v>3</v>
      </c>
      <c r="X19" s="433"/>
      <c r="Y19" s="419"/>
      <c r="AA19" s="432"/>
      <c r="AB19" s="432"/>
      <c r="AC19" s="175"/>
    </row>
    <row r="20" spans="2:29" ht="18" thickBot="1">
      <c r="B20" s="393"/>
      <c r="C20" s="394"/>
      <c r="D20" s="396"/>
      <c r="E20" s="70" t="s">
        <v>12</v>
      </c>
      <c r="F20" s="398" t="s">
        <v>235</v>
      </c>
      <c r="G20" s="399"/>
      <c r="H20" s="71">
        <v>4</v>
      </c>
      <c r="I20" s="85" t="s">
        <v>336</v>
      </c>
      <c r="J20" s="73">
        <v>3</v>
      </c>
      <c r="K20" s="506">
        <v>3</v>
      </c>
      <c r="L20" s="507"/>
      <c r="M20" s="508"/>
      <c r="N20" s="509"/>
      <c r="O20" s="510"/>
      <c r="P20" s="507"/>
      <c r="Q20" s="508"/>
      <c r="R20" s="509"/>
      <c r="S20" s="510"/>
      <c r="T20" s="507"/>
      <c r="U20" s="508"/>
      <c r="V20" s="522"/>
      <c r="W20" s="74">
        <f t="shared" si="0"/>
        <v>3</v>
      </c>
      <c r="X20" s="417">
        <f>SUM(W20:W21)</f>
        <v>6</v>
      </c>
      <c r="Y20" s="419">
        <v>12</v>
      </c>
    </row>
    <row r="21" spans="2:29" ht="18" thickBot="1">
      <c r="B21" s="393"/>
      <c r="C21" s="394"/>
      <c r="D21" s="397"/>
      <c r="E21" s="84" t="s">
        <v>12</v>
      </c>
      <c r="F21" s="411" t="s">
        <v>236</v>
      </c>
      <c r="G21" s="416"/>
      <c r="H21" s="81">
        <v>4</v>
      </c>
      <c r="I21" s="82" t="s">
        <v>336</v>
      </c>
      <c r="J21" s="83">
        <v>3</v>
      </c>
      <c r="K21" s="555"/>
      <c r="L21" s="556"/>
      <c r="M21" s="557">
        <v>3</v>
      </c>
      <c r="N21" s="558"/>
      <c r="O21" s="559"/>
      <c r="P21" s="556"/>
      <c r="Q21" s="557"/>
      <c r="R21" s="558"/>
      <c r="S21" s="559"/>
      <c r="T21" s="556"/>
      <c r="U21" s="557"/>
      <c r="V21" s="560"/>
      <c r="W21" s="89">
        <f t="shared" si="0"/>
        <v>3</v>
      </c>
      <c r="X21" s="433"/>
      <c r="Y21" s="419"/>
    </row>
    <row r="22" spans="2:29" ht="18" thickBot="1">
      <c r="B22" s="393"/>
      <c r="C22" s="394"/>
      <c r="D22" s="395" t="s">
        <v>26</v>
      </c>
      <c r="E22" s="70" t="s">
        <v>12</v>
      </c>
      <c r="F22" s="398" t="s">
        <v>253</v>
      </c>
      <c r="G22" s="399"/>
      <c r="H22" s="71">
        <v>4</v>
      </c>
      <c r="I22" s="85" t="s">
        <v>336</v>
      </c>
      <c r="J22" s="73">
        <v>3</v>
      </c>
      <c r="K22" s="506">
        <v>3</v>
      </c>
      <c r="L22" s="507"/>
      <c r="M22" s="508"/>
      <c r="N22" s="509"/>
      <c r="O22" s="510"/>
      <c r="P22" s="507"/>
      <c r="Q22" s="508"/>
      <c r="R22" s="509"/>
      <c r="S22" s="510"/>
      <c r="T22" s="507"/>
      <c r="U22" s="508"/>
      <c r="V22" s="522"/>
      <c r="W22" s="74">
        <f t="shared" si="0"/>
        <v>3</v>
      </c>
      <c r="X22" s="392">
        <f>SUM(W22:W23)</f>
        <v>6</v>
      </c>
      <c r="Y22" s="419"/>
    </row>
    <row r="23" spans="2:29" ht="18" thickBot="1">
      <c r="B23" s="393"/>
      <c r="C23" s="394"/>
      <c r="D23" s="396"/>
      <c r="E23" s="75" t="s">
        <v>12</v>
      </c>
      <c r="F23" s="420" t="s">
        <v>254</v>
      </c>
      <c r="G23" s="421"/>
      <c r="H23" s="76">
        <v>4</v>
      </c>
      <c r="I23" s="77" t="s">
        <v>336</v>
      </c>
      <c r="J23" s="78">
        <v>3</v>
      </c>
      <c r="K23" s="516"/>
      <c r="L23" s="517"/>
      <c r="M23" s="518">
        <v>3</v>
      </c>
      <c r="N23" s="519"/>
      <c r="O23" s="520"/>
      <c r="P23" s="517"/>
      <c r="Q23" s="518"/>
      <c r="R23" s="519"/>
      <c r="S23" s="520"/>
      <c r="T23" s="517"/>
      <c r="U23" s="518"/>
      <c r="V23" s="521"/>
      <c r="W23" s="79">
        <f t="shared" si="0"/>
        <v>3</v>
      </c>
      <c r="X23" s="394"/>
      <c r="Y23" s="419"/>
    </row>
    <row r="24" spans="2:29" ht="16.5" customHeight="1" thickBot="1">
      <c r="B24" s="393"/>
      <c r="C24" s="394"/>
      <c r="D24" s="395" t="s">
        <v>8</v>
      </c>
      <c r="E24" s="70" t="s">
        <v>342</v>
      </c>
      <c r="F24" s="398" t="s">
        <v>343</v>
      </c>
      <c r="G24" s="399"/>
      <c r="H24" s="71">
        <v>3</v>
      </c>
      <c r="I24" s="85" t="s">
        <v>344</v>
      </c>
      <c r="J24" s="73">
        <f t="shared" ref="J24:J25" si="3">SUM(K24:V24)</f>
        <v>2</v>
      </c>
      <c r="K24" s="506">
        <v>2</v>
      </c>
      <c r="L24" s="507"/>
      <c r="M24" s="508"/>
      <c r="N24" s="509"/>
      <c r="O24" s="510"/>
      <c r="P24" s="507"/>
      <c r="Q24" s="508"/>
      <c r="R24" s="509"/>
      <c r="S24" s="510"/>
      <c r="T24" s="507"/>
      <c r="U24" s="508"/>
      <c r="V24" s="522"/>
      <c r="W24" s="74">
        <f>SUM(K24:V24)</f>
        <v>2</v>
      </c>
      <c r="X24" s="438">
        <f>SUM(W24:W28)</f>
        <v>9</v>
      </c>
      <c r="Y24" s="419">
        <v>8</v>
      </c>
    </row>
    <row r="25" spans="2:29" ht="18" thickBot="1">
      <c r="B25" s="393"/>
      <c r="C25" s="394"/>
      <c r="D25" s="396"/>
      <c r="E25" s="75" t="s">
        <v>342</v>
      </c>
      <c r="F25" s="420" t="s">
        <v>345</v>
      </c>
      <c r="G25" s="421"/>
      <c r="H25" s="76">
        <v>3</v>
      </c>
      <c r="I25" s="77" t="s">
        <v>344</v>
      </c>
      <c r="J25" s="78">
        <f t="shared" si="3"/>
        <v>2</v>
      </c>
      <c r="K25" s="516"/>
      <c r="L25" s="517"/>
      <c r="M25" s="518">
        <v>2</v>
      </c>
      <c r="N25" s="519"/>
      <c r="O25" s="520"/>
      <c r="P25" s="517"/>
      <c r="Q25" s="518"/>
      <c r="R25" s="519"/>
      <c r="S25" s="520"/>
      <c r="T25" s="517"/>
      <c r="U25" s="518"/>
      <c r="V25" s="521"/>
      <c r="W25" s="79">
        <f t="shared" ref="W25:W28" si="4">SUM(K25:V25)</f>
        <v>2</v>
      </c>
      <c r="X25" s="439"/>
      <c r="Y25" s="419"/>
    </row>
    <row r="26" spans="2:29" ht="18" thickBot="1">
      <c r="B26" s="393"/>
      <c r="C26" s="394"/>
      <c r="D26" s="396"/>
      <c r="E26" s="75" t="s">
        <v>341</v>
      </c>
      <c r="F26" s="420" t="s">
        <v>346</v>
      </c>
      <c r="G26" s="421"/>
      <c r="H26" s="76">
        <v>3</v>
      </c>
      <c r="I26" s="77" t="s">
        <v>344</v>
      </c>
      <c r="J26" s="78">
        <v>2</v>
      </c>
      <c r="K26" s="516"/>
      <c r="L26" s="517"/>
      <c r="M26" s="518"/>
      <c r="N26" s="519"/>
      <c r="O26" s="520">
        <v>2</v>
      </c>
      <c r="P26" s="517"/>
      <c r="Q26" s="518"/>
      <c r="R26" s="519"/>
      <c r="S26" s="520"/>
      <c r="T26" s="517"/>
      <c r="U26" s="518"/>
      <c r="V26" s="521"/>
      <c r="W26" s="79">
        <f t="shared" si="4"/>
        <v>2</v>
      </c>
      <c r="X26" s="439"/>
      <c r="Y26" s="419"/>
    </row>
    <row r="27" spans="2:29" ht="18" thickBot="1">
      <c r="B27" s="393"/>
      <c r="C27" s="394"/>
      <c r="D27" s="396"/>
      <c r="E27" s="75" t="s">
        <v>341</v>
      </c>
      <c r="F27" s="420" t="s">
        <v>347</v>
      </c>
      <c r="G27" s="421"/>
      <c r="H27" s="76">
        <v>3</v>
      </c>
      <c r="I27" s="77" t="s">
        <v>344</v>
      </c>
      <c r="J27" s="78">
        <v>2</v>
      </c>
      <c r="K27" s="516"/>
      <c r="L27" s="517"/>
      <c r="M27" s="518"/>
      <c r="N27" s="519"/>
      <c r="O27" s="520"/>
      <c r="P27" s="517"/>
      <c r="Q27" s="518">
        <v>2</v>
      </c>
      <c r="R27" s="519"/>
      <c r="S27" s="520"/>
      <c r="T27" s="517"/>
      <c r="U27" s="518"/>
      <c r="V27" s="521"/>
      <c r="W27" s="79">
        <f t="shared" si="4"/>
        <v>2</v>
      </c>
      <c r="X27" s="439"/>
      <c r="Y27" s="419"/>
    </row>
    <row r="28" spans="2:29" ht="18" thickBot="1">
      <c r="B28" s="393"/>
      <c r="C28" s="394"/>
      <c r="D28" s="397"/>
      <c r="E28" s="84" t="s">
        <v>337</v>
      </c>
      <c r="F28" s="411" t="s">
        <v>366</v>
      </c>
      <c r="G28" s="416"/>
      <c r="H28" s="81">
        <v>2</v>
      </c>
      <c r="I28" s="82" t="s">
        <v>348</v>
      </c>
      <c r="J28" s="83">
        <v>1</v>
      </c>
      <c r="K28" s="555"/>
      <c r="L28" s="556"/>
      <c r="M28" s="557"/>
      <c r="N28" s="558"/>
      <c r="O28" s="559"/>
      <c r="P28" s="556"/>
      <c r="Q28" s="557"/>
      <c r="R28" s="558"/>
      <c r="S28" s="559">
        <v>1</v>
      </c>
      <c r="T28" s="556"/>
      <c r="U28" s="557"/>
      <c r="V28" s="560"/>
      <c r="W28" s="89">
        <f t="shared" si="4"/>
        <v>1</v>
      </c>
      <c r="X28" s="440"/>
      <c r="Y28" s="419"/>
    </row>
    <row r="29" spans="2:29" ht="18" thickBot="1">
      <c r="B29" s="393"/>
      <c r="C29" s="394"/>
      <c r="D29" s="395" t="s">
        <v>28</v>
      </c>
      <c r="E29" s="70" t="s">
        <v>342</v>
      </c>
      <c r="F29" s="398" t="s">
        <v>47</v>
      </c>
      <c r="G29" s="399"/>
      <c r="H29" s="71">
        <v>3</v>
      </c>
      <c r="I29" s="90" t="s">
        <v>344</v>
      </c>
      <c r="J29" s="73">
        <v>3</v>
      </c>
      <c r="K29" s="506"/>
      <c r="L29" s="507"/>
      <c r="M29" s="508"/>
      <c r="N29" s="509"/>
      <c r="O29" s="510">
        <v>3</v>
      </c>
      <c r="P29" s="507"/>
      <c r="Q29" s="508"/>
      <c r="R29" s="509"/>
      <c r="S29" s="510"/>
      <c r="T29" s="507"/>
      <c r="U29" s="508"/>
      <c r="V29" s="522"/>
      <c r="W29" s="441">
        <f>SUM(K29:V30)</f>
        <v>6</v>
      </c>
      <c r="X29" s="442"/>
      <c r="Y29" s="419">
        <v>6</v>
      </c>
    </row>
    <row r="30" spans="2:29" ht="18" thickBot="1">
      <c r="B30" s="393"/>
      <c r="C30" s="394"/>
      <c r="D30" s="396"/>
      <c r="E30" s="80" t="s">
        <v>342</v>
      </c>
      <c r="F30" s="420" t="s">
        <v>9</v>
      </c>
      <c r="G30" s="421"/>
      <c r="H30" s="76">
        <v>3</v>
      </c>
      <c r="I30" s="77" t="s">
        <v>344</v>
      </c>
      <c r="J30" s="78">
        <v>3</v>
      </c>
      <c r="K30" s="516"/>
      <c r="L30" s="517"/>
      <c r="M30" s="518"/>
      <c r="N30" s="519"/>
      <c r="O30" s="520"/>
      <c r="P30" s="517"/>
      <c r="Q30" s="518">
        <v>3</v>
      </c>
      <c r="R30" s="519"/>
      <c r="S30" s="520"/>
      <c r="T30" s="517"/>
      <c r="U30" s="518"/>
      <c r="V30" s="521"/>
      <c r="W30" s="443"/>
      <c r="X30" s="444"/>
      <c r="Y30" s="419"/>
    </row>
    <row r="31" spans="2:29" ht="16.5" customHeight="1" thickBot="1">
      <c r="B31" s="393"/>
      <c r="C31" s="394"/>
      <c r="D31" s="465" t="s">
        <v>349</v>
      </c>
      <c r="E31" s="192" t="s">
        <v>337</v>
      </c>
      <c r="F31" s="398" t="s">
        <v>525</v>
      </c>
      <c r="G31" s="399"/>
      <c r="H31" s="71">
        <v>3</v>
      </c>
      <c r="I31" s="85" t="s">
        <v>344</v>
      </c>
      <c r="J31" s="73">
        <v>4</v>
      </c>
      <c r="K31" s="506">
        <v>4</v>
      </c>
      <c r="L31" s="507"/>
      <c r="M31" s="508"/>
      <c r="N31" s="509"/>
      <c r="O31" s="510"/>
      <c r="P31" s="507"/>
      <c r="Q31" s="508"/>
      <c r="R31" s="509"/>
      <c r="S31" s="510"/>
      <c r="T31" s="507"/>
      <c r="U31" s="508"/>
      <c r="V31" s="522"/>
      <c r="W31" s="441">
        <f>SUM(K31:V32)</f>
        <v>8</v>
      </c>
      <c r="X31" s="442"/>
      <c r="Y31" s="419">
        <v>8</v>
      </c>
    </row>
    <row r="32" spans="2:29" ht="16.5" customHeight="1" thickBot="1">
      <c r="B32" s="393"/>
      <c r="C32" s="394"/>
      <c r="D32" s="466"/>
      <c r="E32" s="193" t="s">
        <v>337</v>
      </c>
      <c r="F32" s="420" t="s">
        <v>526</v>
      </c>
      <c r="G32" s="421"/>
      <c r="H32" s="76">
        <v>3</v>
      </c>
      <c r="I32" s="77" t="s">
        <v>344</v>
      </c>
      <c r="J32" s="78">
        <v>4</v>
      </c>
      <c r="K32" s="516"/>
      <c r="L32" s="517"/>
      <c r="M32" s="518"/>
      <c r="N32" s="519"/>
      <c r="O32" s="520"/>
      <c r="P32" s="517"/>
      <c r="Q32" s="518">
        <v>4</v>
      </c>
      <c r="R32" s="519"/>
      <c r="S32" s="520"/>
      <c r="T32" s="517"/>
      <c r="U32" s="518"/>
      <c r="V32" s="521"/>
      <c r="W32" s="443"/>
      <c r="X32" s="444"/>
      <c r="Y32" s="419"/>
    </row>
    <row r="33" spans="2:28" ht="24.75" customHeight="1" thickBot="1">
      <c r="B33" s="451" t="s">
        <v>359</v>
      </c>
      <c r="C33" s="459"/>
      <c r="D33" s="459"/>
      <c r="E33" s="459"/>
      <c r="F33" s="459"/>
      <c r="G33" s="460"/>
      <c r="H33" s="266">
        <f>SUM(H9:H32)</f>
        <v>84</v>
      </c>
      <c r="I33" s="18"/>
      <c r="J33" s="269">
        <f>SUM(J9:J32)</f>
        <v>68</v>
      </c>
      <c r="K33" s="461">
        <f>SUM(K9:L32)</f>
        <v>24</v>
      </c>
      <c r="L33" s="449"/>
      <c r="M33" s="449">
        <f>SUM(M9:N32)</f>
        <v>20</v>
      </c>
      <c r="N33" s="462"/>
      <c r="O33" s="463">
        <f>SUM(O9:P32)</f>
        <v>8</v>
      </c>
      <c r="P33" s="449"/>
      <c r="Q33" s="449">
        <f>SUM(Q9:R32)</f>
        <v>15</v>
      </c>
      <c r="R33" s="464"/>
      <c r="S33" s="452">
        <f>SUM(S9:T32)</f>
        <v>1</v>
      </c>
      <c r="T33" s="449"/>
      <c r="U33" s="449">
        <f>SUM(U9:V32)</f>
        <v>0</v>
      </c>
      <c r="V33" s="450"/>
      <c r="W33" s="451">
        <f>SUM(K33:V33)</f>
        <v>68</v>
      </c>
      <c r="X33" s="452"/>
      <c r="Y33" s="269">
        <f>SUM(Y9:Y32)</f>
        <v>64</v>
      </c>
      <c r="AA33" s="457" t="b">
        <f>W33&gt;=Y33</f>
        <v>1</v>
      </c>
      <c r="AB33" s="458"/>
    </row>
    <row r="34" spans="2:28" ht="17.25" customHeight="1">
      <c r="B34" s="539"/>
      <c r="C34" s="540"/>
      <c r="D34" s="91" t="s">
        <v>354</v>
      </c>
      <c r="E34" s="92" t="s">
        <v>350</v>
      </c>
      <c r="F34" s="446" t="s">
        <v>538</v>
      </c>
      <c r="G34" s="447"/>
      <c r="H34" s="60"/>
      <c r="I34" s="59"/>
      <c r="J34" s="199">
        <v>5</v>
      </c>
      <c r="K34" s="420">
        <v>5</v>
      </c>
      <c r="L34" s="422"/>
      <c r="M34" s="423"/>
      <c r="N34" s="448"/>
      <c r="O34" s="425"/>
      <c r="P34" s="422"/>
      <c r="Q34" s="423"/>
      <c r="R34" s="424"/>
      <c r="S34" s="448"/>
      <c r="T34" s="422"/>
      <c r="U34" s="423"/>
      <c r="V34" s="421"/>
      <c r="W34" s="453">
        <f t="shared" ref="W34:W43" si="5">SUM(K34:V34)</f>
        <v>5</v>
      </c>
      <c r="X34" s="454"/>
      <c r="Y34" s="445">
        <v>80</v>
      </c>
    </row>
    <row r="35" spans="2:28" ht="17.25" customHeight="1">
      <c r="B35" s="539"/>
      <c r="C35" s="540"/>
      <c r="D35" s="91" t="s">
        <v>547</v>
      </c>
      <c r="E35" s="92" t="s">
        <v>350</v>
      </c>
      <c r="F35" s="446" t="s">
        <v>539</v>
      </c>
      <c r="G35" s="447"/>
      <c r="H35" s="60"/>
      <c r="I35" s="59"/>
      <c r="J35" s="199">
        <v>3</v>
      </c>
      <c r="K35" s="420"/>
      <c r="L35" s="422"/>
      <c r="M35" s="423">
        <v>3</v>
      </c>
      <c r="N35" s="424"/>
      <c r="O35" s="425"/>
      <c r="P35" s="422"/>
      <c r="Q35" s="423"/>
      <c r="R35" s="424"/>
      <c r="S35" s="425"/>
      <c r="T35" s="422"/>
      <c r="U35" s="423"/>
      <c r="V35" s="421"/>
      <c r="W35" s="453">
        <f t="shared" si="5"/>
        <v>3</v>
      </c>
      <c r="X35" s="454"/>
      <c r="Y35" s="445"/>
    </row>
    <row r="36" spans="2:28" ht="17.25" customHeight="1">
      <c r="B36" s="539"/>
      <c r="C36" s="540"/>
      <c r="D36" s="91" t="s">
        <v>547</v>
      </c>
      <c r="E36" s="92" t="s">
        <v>351</v>
      </c>
      <c r="F36" s="446" t="s">
        <v>540</v>
      </c>
      <c r="G36" s="447"/>
      <c r="H36" s="60"/>
      <c r="I36" s="59"/>
      <c r="J36" s="199">
        <v>6</v>
      </c>
      <c r="K36" s="420"/>
      <c r="L36" s="422"/>
      <c r="M36" s="423">
        <v>6</v>
      </c>
      <c r="N36" s="424"/>
      <c r="O36" s="425"/>
      <c r="P36" s="422"/>
      <c r="Q36" s="423"/>
      <c r="R36" s="424"/>
      <c r="S36" s="425"/>
      <c r="T36" s="422"/>
      <c r="U36" s="423"/>
      <c r="V36" s="421"/>
      <c r="W36" s="453">
        <f t="shared" si="5"/>
        <v>6</v>
      </c>
      <c r="X36" s="454"/>
      <c r="Y36" s="445"/>
    </row>
    <row r="37" spans="2:28" ht="17.25" customHeight="1">
      <c r="B37" s="539"/>
      <c r="C37" s="540"/>
      <c r="D37" s="91" t="s">
        <v>547</v>
      </c>
      <c r="E37" s="92" t="s">
        <v>350</v>
      </c>
      <c r="F37" s="455" t="s">
        <v>542</v>
      </c>
      <c r="G37" s="456"/>
      <c r="H37" s="60"/>
      <c r="I37" s="59"/>
      <c r="J37" s="199">
        <v>5</v>
      </c>
      <c r="K37" s="420"/>
      <c r="L37" s="422"/>
      <c r="M37" s="423"/>
      <c r="N37" s="424"/>
      <c r="O37" s="425">
        <v>5</v>
      </c>
      <c r="P37" s="422"/>
      <c r="Q37" s="423"/>
      <c r="R37" s="424"/>
      <c r="S37" s="425"/>
      <c r="T37" s="422"/>
      <c r="U37" s="423"/>
      <c r="V37" s="421"/>
      <c r="W37" s="453">
        <f t="shared" si="5"/>
        <v>5</v>
      </c>
      <c r="X37" s="454"/>
      <c r="Y37" s="445"/>
    </row>
    <row r="38" spans="2:28" ht="17.25" customHeight="1">
      <c r="B38" s="539"/>
      <c r="C38" s="540"/>
      <c r="D38" s="91" t="s">
        <v>547</v>
      </c>
      <c r="E38" s="92" t="s">
        <v>351</v>
      </c>
      <c r="F38" s="455" t="s">
        <v>543</v>
      </c>
      <c r="G38" s="456"/>
      <c r="H38" s="60"/>
      <c r="I38" s="59"/>
      <c r="J38" s="199">
        <v>16</v>
      </c>
      <c r="K38" s="420"/>
      <c r="L38" s="422"/>
      <c r="M38" s="423"/>
      <c r="N38" s="448"/>
      <c r="O38" s="425">
        <v>8</v>
      </c>
      <c r="P38" s="422"/>
      <c r="Q38" s="423">
        <v>8</v>
      </c>
      <c r="R38" s="424"/>
      <c r="S38" s="448"/>
      <c r="T38" s="422"/>
      <c r="U38" s="423"/>
      <c r="V38" s="421"/>
      <c r="W38" s="453">
        <f t="shared" si="5"/>
        <v>16</v>
      </c>
      <c r="X38" s="454"/>
      <c r="Y38" s="445"/>
    </row>
    <row r="39" spans="2:28" ht="17.25" customHeight="1">
      <c r="B39" s="539"/>
      <c r="C39" s="540"/>
      <c r="D39" s="93" t="s">
        <v>547</v>
      </c>
      <c r="E39" s="92" t="s">
        <v>350</v>
      </c>
      <c r="F39" s="591" t="s">
        <v>794</v>
      </c>
      <c r="G39" s="592"/>
      <c r="H39" s="60"/>
      <c r="I39" s="181"/>
      <c r="J39" s="200">
        <v>4</v>
      </c>
      <c r="K39" s="420"/>
      <c r="L39" s="422"/>
      <c r="M39" s="423"/>
      <c r="N39" s="448"/>
      <c r="O39" s="425"/>
      <c r="P39" s="422"/>
      <c r="Q39" s="423"/>
      <c r="R39" s="424"/>
      <c r="S39" s="448"/>
      <c r="T39" s="422"/>
      <c r="U39" s="423">
        <v>4</v>
      </c>
      <c r="V39" s="421"/>
      <c r="W39" s="453">
        <f t="shared" si="5"/>
        <v>4</v>
      </c>
      <c r="X39" s="454"/>
      <c r="Y39" s="445"/>
    </row>
    <row r="40" spans="2:28" ht="16.5" customHeight="1">
      <c r="B40" s="539"/>
      <c r="C40" s="540"/>
      <c r="D40" s="94" t="s">
        <v>547</v>
      </c>
      <c r="E40" s="92" t="s">
        <v>350</v>
      </c>
      <c r="F40" s="578" t="s">
        <v>545</v>
      </c>
      <c r="G40" s="579"/>
      <c r="H40" s="56"/>
      <c r="I40" s="181"/>
      <c r="J40" s="200">
        <v>12</v>
      </c>
      <c r="K40" s="420"/>
      <c r="L40" s="422"/>
      <c r="M40" s="423"/>
      <c r="N40" s="448"/>
      <c r="O40" s="425"/>
      <c r="P40" s="422"/>
      <c r="Q40" s="423"/>
      <c r="R40" s="424"/>
      <c r="S40" s="448">
        <v>12</v>
      </c>
      <c r="T40" s="422"/>
      <c r="U40" s="423"/>
      <c r="V40" s="421"/>
      <c r="W40" s="453">
        <f t="shared" si="5"/>
        <v>12</v>
      </c>
      <c r="X40" s="454"/>
      <c r="Y40" s="445"/>
    </row>
    <row r="41" spans="2:28" ht="16.5" customHeight="1">
      <c r="B41" s="539"/>
      <c r="C41" s="540"/>
      <c r="D41" s="94" t="s">
        <v>547</v>
      </c>
      <c r="E41" s="92" t="s">
        <v>351</v>
      </c>
      <c r="F41" s="578" t="s">
        <v>546</v>
      </c>
      <c r="G41" s="579"/>
      <c r="H41" s="56"/>
      <c r="I41" s="181"/>
      <c r="J41" s="200">
        <v>14</v>
      </c>
      <c r="K41" s="420"/>
      <c r="L41" s="422"/>
      <c r="M41" s="423"/>
      <c r="N41" s="424"/>
      <c r="O41" s="425"/>
      <c r="P41" s="422"/>
      <c r="Q41" s="423"/>
      <c r="R41" s="424"/>
      <c r="S41" s="425">
        <v>4</v>
      </c>
      <c r="T41" s="422"/>
      <c r="U41" s="423">
        <v>10</v>
      </c>
      <c r="V41" s="421"/>
      <c r="W41" s="453">
        <f t="shared" si="5"/>
        <v>14</v>
      </c>
      <c r="X41" s="454"/>
      <c r="Y41" s="445"/>
    </row>
    <row r="42" spans="2:28" ht="16.5" customHeight="1" thickBot="1">
      <c r="B42" s="539"/>
      <c r="C42" s="540"/>
      <c r="D42" s="91" t="s">
        <v>354</v>
      </c>
      <c r="E42" s="196" t="s">
        <v>351</v>
      </c>
      <c r="F42" s="567" t="s">
        <v>795</v>
      </c>
      <c r="G42" s="568"/>
      <c r="H42" s="197"/>
      <c r="I42" s="198"/>
      <c r="J42" s="201">
        <v>6</v>
      </c>
      <c r="K42" s="569"/>
      <c r="L42" s="570"/>
      <c r="M42" s="571"/>
      <c r="N42" s="572"/>
      <c r="O42" s="573"/>
      <c r="P42" s="570"/>
      <c r="Q42" s="571"/>
      <c r="R42" s="574"/>
      <c r="S42" s="572">
        <v>6</v>
      </c>
      <c r="T42" s="570"/>
      <c r="U42" s="571"/>
      <c r="V42" s="575"/>
      <c r="W42" s="576">
        <f t="shared" si="5"/>
        <v>6</v>
      </c>
      <c r="X42" s="577"/>
      <c r="Y42" s="445"/>
    </row>
    <row r="43" spans="2:28" ht="16.5" customHeight="1">
      <c r="B43" s="535" t="s">
        <v>153</v>
      </c>
      <c r="C43" s="101" t="s">
        <v>352</v>
      </c>
      <c r="D43" s="96" t="s">
        <v>354</v>
      </c>
      <c r="E43" s="97" t="s">
        <v>351</v>
      </c>
      <c r="F43" s="581" t="s">
        <v>552</v>
      </c>
      <c r="G43" s="582"/>
      <c r="H43" s="55"/>
      <c r="I43" s="271"/>
      <c r="J43" s="543">
        <v>14</v>
      </c>
      <c r="K43" s="398"/>
      <c r="L43" s="400"/>
      <c r="M43" s="401"/>
      <c r="N43" s="402"/>
      <c r="O43" s="426"/>
      <c r="P43" s="427"/>
      <c r="Q43" s="428"/>
      <c r="R43" s="437"/>
      <c r="S43" s="426">
        <v>6</v>
      </c>
      <c r="T43" s="427"/>
      <c r="U43" s="428">
        <v>8</v>
      </c>
      <c r="V43" s="429"/>
      <c r="W43" s="443">
        <f t="shared" si="5"/>
        <v>14</v>
      </c>
      <c r="X43" s="444"/>
      <c r="Y43" s="445"/>
    </row>
    <row r="44" spans="2:28" ht="16.5" customHeight="1" thickBot="1">
      <c r="B44" s="536"/>
      <c r="C44" s="265" t="s">
        <v>353</v>
      </c>
      <c r="D44" s="190" t="s">
        <v>354</v>
      </c>
      <c r="E44" s="191" t="s">
        <v>351</v>
      </c>
      <c r="F44" s="587" t="s">
        <v>553</v>
      </c>
      <c r="G44" s="588"/>
      <c r="H44" s="57"/>
      <c r="I44" s="272"/>
      <c r="J44" s="544"/>
      <c r="K44" s="411"/>
      <c r="L44" s="412"/>
      <c r="M44" s="413"/>
      <c r="N44" s="414"/>
      <c r="O44" s="545"/>
      <c r="P44" s="546"/>
      <c r="Q44" s="547"/>
      <c r="R44" s="552"/>
      <c r="S44" s="545"/>
      <c r="T44" s="546"/>
      <c r="U44" s="547"/>
      <c r="V44" s="435"/>
      <c r="W44" s="550"/>
      <c r="X44" s="551"/>
      <c r="Y44" s="445"/>
    </row>
    <row r="45" spans="2:28" ht="20.25" customHeight="1">
      <c r="B45" s="535" t="s">
        <v>153</v>
      </c>
      <c r="C45" s="97" t="s">
        <v>352</v>
      </c>
      <c r="D45" s="96" t="s">
        <v>354</v>
      </c>
      <c r="E45" s="97" t="s">
        <v>351</v>
      </c>
      <c r="F45" s="581" t="s">
        <v>355</v>
      </c>
      <c r="G45" s="582"/>
      <c r="H45" s="55"/>
      <c r="I45" s="583"/>
      <c r="J45" s="543">
        <v>14</v>
      </c>
      <c r="K45" s="398"/>
      <c r="L45" s="400"/>
      <c r="M45" s="401"/>
      <c r="N45" s="549"/>
      <c r="O45" s="426">
        <v>8</v>
      </c>
      <c r="P45" s="427"/>
      <c r="Q45" s="428">
        <v>6</v>
      </c>
      <c r="R45" s="437"/>
      <c r="S45" s="549"/>
      <c r="T45" s="400"/>
      <c r="U45" s="401"/>
      <c r="V45" s="399"/>
      <c r="W45" s="441">
        <f>SUM(O45:V47)</f>
        <v>14</v>
      </c>
      <c r="X45" s="442"/>
      <c r="Y45" s="445"/>
    </row>
    <row r="46" spans="2:28" ht="20.25" customHeight="1">
      <c r="B46" s="580"/>
      <c r="C46" s="179" t="s">
        <v>353</v>
      </c>
      <c r="D46" s="94" t="s">
        <v>547</v>
      </c>
      <c r="E46" s="100" t="s">
        <v>351</v>
      </c>
      <c r="F46" s="578" t="s">
        <v>541</v>
      </c>
      <c r="G46" s="579"/>
      <c r="H46" s="189"/>
      <c r="I46" s="584"/>
      <c r="J46" s="586"/>
      <c r="K46" s="420"/>
      <c r="L46" s="422"/>
      <c r="M46" s="423"/>
      <c r="N46" s="424"/>
      <c r="O46" s="593"/>
      <c r="P46" s="594"/>
      <c r="Q46" s="589"/>
      <c r="R46" s="595"/>
      <c r="S46" s="425"/>
      <c r="T46" s="422"/>
      <c r="U46" s="423"/>
      <c r="V46" s="421"/>
      <c r="W46" s="443"/>
      <c r="X46" s="444"/>
      <c r="Y46" s="445"/>
    </row>
    <row r="47" spans="2:28" ht="20.25" customHeight="1" thickBot="1">
      <c r="B47" s="536"/>
      <c r="C47" s="98" t="s">
        <v>549</v>
      </c>
      <c r="D47" s="99" t="s">
        <v>547</v>
      </c>
      <c r="E47" s="92" t="s">
        <v>351</v>
      </c>
      <c r="F47" s="587" t="s">
        <v>548</v>
      </c>
      <c r="G47" s="588"/>
      <c r="H47" s="65"/>
      <c r="I47" s="585"/>
      <c r="J47" s="544"/>
      <c r="K47" s="411"/>
      <c r="L47" s="412"/>
      <c r="M47" s="413"/>
      <c r="N47" s="548"/>
      <c r="O47" s="545"/>
      <c r="P47" s="546"/>
      <c r="Q47" s="547"/>
      <c r="R47" s="552"/>
      <c r="S47" s="548"/>
      <c r="T47" s="412"/>
      <c r="U47" s="413"/>
      <c r="V47" s="416"/>
      <c r="W47" s="550"/>
      <c r="X47" s="551"/>
      <c r="Y47" s="445"/>
    </row>
    <row r="48" spans="2:28" ht="16.5" customHeight="1">
      <c r="B48" s="535" t="s">
        <v>153</v>
      </c>
      <c r="C48" s="97" t="s">
        <v>352</v>
      </c>
      <c r="D48" s="94" t="s">
        <v>547</v>
      </c>
      <c r="E48" s="97" t="s">
        <v>351</v>
      </c>
      <c r="F48" s="581" t="s">
        <v>550</v>
      </c>
      <c r="G48" s="582"/>
      <c r="H48" s="55"/>
      <c r="I48" s="583"/>
      <c r="J48" s="543">
        <v>7</v>
      </c>
      <c r="K48" s="398"/>
      <c r="L48" s="400"/>
      <c r="M48" s="401"/>
      <c r="N48" s="549"/>
      <c r="O48" s="403"/>
      <c r="P48" s="400"/>
      <c r="Q48" s="401"/>
      <c r="R48" s="402"/>
      <c r="S48" s="403"/>
      <c r="T48" s="400"/>
      <c r="U48" s="428">
        <v>7</v>
      </c>
      <c r="V48" s="429"/>
      <c r="W48" s="441">
        <f>SUM(K48:V50)</f>
        <v>7</v>
      </c>
      <c r="X48" s="442"/>
      <c r="Y48" s="445"/>
    </row>
    <row r="49" spans="2:29" ht="16.5" customHeight="1">
      <c r="B49" s="580"/>
      <c r="C49" s="179" t="s">
        <v>353</v>
      </c>
      <c r="D49" s="93" t="s">
        <v>547</v>
      </c>
      <c r="E49" s="100" t="s">
        <v>351</v>
      </c>
      <c r="F49" s="578" t="s">
        <v>551</v>
      </c>
      <c r="G49" s="579"/>
      <c r="H49" s="60"/>
      <c r="I49" s="584"/>
      <c r="J49" s="586"/>
      <c r="K49" s="420"/>
      <c r="L49" s="422"/>
      <c r="M49" s="423"/>
      <c r="N49" s="424"/>
      <c r="O49" s="425"/>
      <c r="P49" s="422"/>
      <c r="Q49" s="423"/>
      <c r="R49" s="424"/>
      <c r="S49" s="425"/>
      <c r="T49" s="422"/>
      <c r="U49" s="589"/>
      <c r="V49" s="590"/>
      <c r="W49" s="443"/>
      <c r="X49" s="444"/>
      <c r="Y49" s="445"/>
    </row>
    <row r="50" spans="2:29" ht="18" thickBot="1">
      <c r="B50" s="536"/>
      <c r="C50" s="98" t="s">
        <v>549</v>
      </c>
      <c r="D50" s="93" t="s">
        <v>354</v>
      </c>
      <c r="E50" s="100" t="s">
        <v>350</v>
      </c>
      <c r="F50" s="578" t="s">
        <v>544</v>
      </c>
      <c r="G50" s="579"/>
      <c r="H50" s="56"/>
      <c r="I50" s="584"/>
      <c r="J50" s="586"/>
      <c r="K50" s="420"/>
      <c r="L50" s="422"/>
      <c r="M50" s="423"/>
      <c r="N50" s="448"/>
      <c r="O50" s="425"/>
      <c r="P50" s="422"/>
      <c r="Q50" s="423"/>
      <c r="R50" s="424"/>
      <c r="S50" s="415"/>
      <c r="T50" s="412"/>
      <c r="U50" s="547"/>
      <c r="V50" s="435"/>
      <c r="W50" s="443"/>
      <c r="X50" s="444"/>
      <c r="Y50" s="445"/>
    </row>
    <row r="51" spans="2:29" ht="24.75" customHeight="1">
      <c r="B51" s="483" t="s">
        <v>360</v>
      </c>
      <c r="C51" s="477"/>
      <c r="D51" s="477"/>
      <c r="E51" s="477"/>
      <c r="F51" s="477"/>
      <c r="G51" s="479"/>
      <c r="H51" s="487">
        <f>SUM(H34:H42)</f>
        <v>0</v>
      </c>
      <c r="I51" s="489">
        <f>SUM(I34:I42)</f>
        <v>0</v>
      </c>
      <c r="J51" s="491">
        <f>SUM(J34:J50)</f>
        <v>106</v>
      </c>
      <c r="K51" s="483">
        <f>SUM(K34:L50)</f>
        <v>5</v>
      </c>
      <c r="L51" s="470"/>
      <c r="M51" s="473">
        <f>SUM(M34:N50)</f>
        <v>9</v>
      </c>
      <c r="N51" s="477"/>
      <c r="O51" s="469">
        <f>SUM(O34:P50)</f>
        <v>21</v>
      </c>
      <c r="P51" s="470"/>
      <c r="Q51" s="473">
        <f>SUM(Q34:R50)</f>
        <v>14</v>
      </c>
      <c r="R51" s="474"/>
      <c r="S51" s="477">
        <f>SUM(S34:T50)</f>
        <v>28</v>
      </c>
      <c r="T51" s="470"/>
      <c r="U51" s="473">
        <f>SUM(U34:V50)</f>
        <v>29</v>
      </c>
      <c r="V51" s="479"/>
      <c r="W51" s="483">
        <f>SUM(K51:V52)</f>
        <v>106</v>
      </c>
      <c r="X51" s="479"/>
      <c r="Y51" s="485">
        <f>SUM(Y34:Y50)</f>
        <v>80</v>
      </c>
      <c r="AC51" s="175"/>
    </row>
    <row r="52" spans="2:29" ht="18" thickBot="1">
      <c r="B52" s="484"/>
      <c r="C52" s="478"/>
      <c r="D52" s="478"/>
      <c r="E52" s="478"/>
      <c r="F52" s="478"/>
      <c r="G52" s="480"/>
      <c r="H52" s="488"/>
      <c r="I52" s="490"/>
      <c r="J52" s="492"/>
      <c r="K52" s="484"/>
      <c r="L52" s="472"/>
      <c r="M52" s="475"/>
      <c r="N52" s="478"/>
      <c r="O52" s="471"/>
      <c r="P52" s="472"/>
      <c r="Q52" s="475"/>
      <c r="R52" s="476"/>
      <c r="S52" s="478"/>
      <c r="T52" s="472"/>
      <c r="U52" s="475"/>
      <c r="V52" s="480"/>
      <c r="W52" s="484"/>
      <c r="X52" s="480"/>
      <c r="Y52" s="486"/>
      <c r="AC52" s="104"/>
    </row>
    <row r="53" spans="2:29" ht="17.25" customHeight="1" thickBot="1">
      <c r="B53" s="451"/>
      <c r="C53" s="459"/>
      <c r="D53" s="459"/>
      <c r="E53" s="459"/>
      <c r="F53" s="459"/>
      <c r="G53" s="460"/>
      <c r="H53" s="267">
        <f>SUM(H33,H51)</f>
        <v>84</v>
      </c>
      <c r="I53" s="268">
        <f>SUM(I33,I51)</f>
        <v>0</v>
      </c>
      <c r="J53" s="269">
        <f>SUM(J33,J51)</f>
        <v>174</v>
      </c>
      <c r="K53" s="451">
        <f>SUM(K33,K51)</f>
        <v>29</v>
      </c>
      <c r="L53" s="452"/>
      <c r="M53" s="462">
        <f>SUM(M33,M51)</f>
        <v>29</v>
      </c>
      <c r="N53" s="511"/>
      <c r="O53" s="512">
        <f>SUM(O33,O51)</f>
        <v>29</v>
      </c>
      <c r="P53" s="452"/>
      <c r="Q53" s="462">
        <f>SUM(Q33,Q51)</f>
        <v>29</v>
      </c>
      <c r="R53" s="511"/>
      <c r="S53" s="512">
        <f>SUM(S33,S51)</f>
        <v>29</v>
      </c>
      <c r="T53" s="452"/>
      <c r="U53" s="462">
        <f>SUM(U33,U51)</f>
        <v>29</v>
      </c>
      <c r="V53" s="460"/>
      <c r="W53" s="451">
        <f>SUM(K53:V53)</f>
        <v>174</v>
      </c>
      <c r="X53" s="460"/>
      <c r="Y53" s="11">
        <f>Y51+Y33</f>
        <v>144</v>
      </c>
      <c r="AA53" s="432" t="s">
        <v>154</v>
      </c>
      <c r="AB53" s="432"/>
    </row>
    <row r="54" spans="2:29" ht="18.75" customHeight="1" thickBot="1">
      <c r="B54" s="494" t="s">
        <v>361</v>
      </c>
      <c r="C54" s="495"/>
      <c r="D54" s="495"/>
      <c r="E54" s="496"/>
      <c r="F54" s="503" t="s">
        <v>357</v>
      </c>
      <c r="G54" s="504"/>
      <c r="H54" s="504"/>
      <c r="I54" s="504"/>
      <c r="J54" s="505"/>
      <c r="K54" s="506">
        <v>16</v>
      </c>
      <c r="L54" s="507"/>
      <c r="M54" s="508">
        <v>16</v>
      </c>
      <c r="N54" s="509"/>
      <c r="O54" s="510">
        <v>16</v>
      </c>
      <c r="P54" s="507"/>
      <c r="Q54" s="508">
        <v>16</v>
      </c>
      <c r="R54" s="509"/>
      <c r="S54" s="510">
        <v>16</v>
      </c>
      <c r="T54" s="507"/>
      <c r="U54" s="508">
        <v>16</v>
      </c>
      <c r="V54" s="522"/>
      <c r="W54" s="494">
        <f>SUM(K54:V56)</f>
        <v>288</v>
      </c>
      <c r="X54" s="496"/>
      <c r="Y54" s="485">
        <f>Y57*16</f>
        <v>288</v>
      </c>
      <c r="AA54" s="493"/>
      <c r="AB54" s="493"/>
    </row>
    <row r="55" spans="2:29" ht="17.25" customHeight="1" thickBot="1">
      <c r="B55" s="497"/>
      <c r="C55" s="498"/>
      <c r="D55" s="498"/>
      <c r="E55" s="499"/>
      <c r="F55" s="513" t="s">
        <v>63</v>
      </c>
      <c r="G55" s="514"/>
      <c r="H55" s="514"/>
      <c r="I55" s="514"/>
      <c r="J55" s="515"/>
      <c r="K55" s="516">
        <v>16</v>
      </c>
      <c r="L55" s="517"/>
      <c r="M55" s="518">
        <v>16</v>
      </c>
      <c r="N55" s="519"/>
      <c r="O55" s="520">
        <v>16</v>
      </c>
      <c r="P55" s="517"/>
      <c r="Q55" s="518">
        <v>16</v>
      </c>
      <c r="R55" s="519"/>
      <c r="S55" s="520">
        <v>16</v>
      </c>
      <c r="T55" s="517"/>
      <c r="U55" s="518">
        <v>16</v>
      </c>
      <c r="V55" s="521"/>
      <c r="W55" s="497"/>
      <c r="X55" s="499"/>
      <c r="Y55" s="445"/>
      <c r="AA55" s="457" t="b">
        <f>W53&gt;=Y53</f>
        <v>1</v>
      </c>
      <c r="AB55" s="458"/>
    </row>
    <row r="56" spans="2:29" ht="17.25" customHeight="1">
      <c r="B56" s="497"/>
      <c r="C56" s="498"/>
      <c r="D56" s="498"/>
      <c r="E56" s="499"/>
      <c r="F56" s="513" t="s">
        <v>11</v>
      </c>
      <c r="G56" s="514"/>
      <c r="H56" s="514"/>
      <c r="I56" s="514"/>
      <c r="J56" s="515"/>
      <c r="K56" s="516">
        <v>16</v>
      </c>
      <c r="L56" s="517"/>
      <c r="M56" s="518">
        <v>16</v>
      </c>
      <c r="N56" s="519"/>
      <c r="O56" s="520">
        <v>16</v>
      </c>
      <c r="P56" s="517"/>
      <c r="Q56" s="518">
        <v>16</v>
      </c>
      <c r="R56" s="519"/>
      <c r="S56" s="520">
        <v>16</v>
      </c>
      <c r="T56" s="517"/>
      <c r="U56" s="518">
        <v>16</v>
      </c>
      <c r="V56" s="521"/>
      <c r="W56" s="523"/>
      <c r="X56" s="524"/>
      <c r="Y56" s="525"/>
    </row>
    <row r="57" spans="2:29" ht="17.25" customHeight="1" thickBot="1">
      <c r="B57" s="500"/>
      <c r="C57" s="501"/>
      <c r="D57" s="501"/>
      <c r="E57" s="502"/>
      <c r="F57" s="528" t="s">
        <v>149</v>
      </c>
      <c r="G57" s="530"/>
      <c r="H57" s="530"/>
      <c r="I57" s="530"/>
      <c r="J57" s="529"/>
      <c r="K57" s="531">
        <v>3</v>
      </c>
      <c r="L57" s="532"/>
      <c r="M57" s="526">
        <v>3</v>
      </c>
      <c r="N57" s="533"/>
      <c r="O57" s="534">
        <v>3</v>
      </c>
      <c r="P57" s="532"/>
      <c r="Q57" s="526">
        <v>3</v>
      </c>
      <c r="R57" s="533"/>
      <c r="S57" s="534">
        <v>3</v>
      </c>
      <c r="T57" s="532"/>
      <c r="U57" s="526">
        <v>3</v>
      </c>
      <c r="V57" s="527"/>
      <c r="W57" s="528">
        <f>SUM(K57:V57)</f>
        <v>18</v>
      </c>
      <c r="X57" s="529"/>
      <c r="Y57" s="106">
        <v>18</v>
      </c>
      <c r="AA57" s="432" t="s">
        <v>155</v>
      </c>
      <c r="AB57" s="432"/>
    </row>
    <row r="58" spans="2:29" ht="17.25" customHeight="1" thickBot="1">
      <c r="B58" s="451"/>
      <c r="C58" s="459"/>
      <c r="D58" s="459"/>
      <c r="E58" s="459"/>
      <c r="F58" s="459"/>
      <c r="G58" s="459"/>
      <c r="H58" s="459"/>
      <c r="I58" s="459"/>
      <c r="J58" s="460"/>
      <c r="K58" s="451">
        <v>32</v>
      </c>
      <c r="L58" s="452"/>
      <c r="M58" s="462">
        <v>32</v>
      </c>
      <c r="N58" s="511"/>
      <c r="O58" s="512">
        <v>32</v>
      </c>
      <c r="P58" s="452"/>
      <c r="Q58" s="462">
        <v>32</v>
      </c>
      <c r="R58" s="511"/>
      <c r="S58" s="512">
        <v>32</v>
      </c>
      <c r="T58" s="452"/>
      <c r="U58" s="462">
        <v>32</v>
      </c>
      <c r="V58" s="460"/>
      <c r="W58" s="451">
        <f>SUM(K58:V58)</f>
        <v>192</v>
      </c>
      <c r="X58" s="460"/>
      <c r="Y58" s="67">
        <f>W58</f>
        <v>192</v>
      </c>
      <c r="AA58" s="457" t="b">
        <f>W57&gt;=Y57</f>
        <v>1</v>
      </c>
      <c r="AB58" s="458"/>
    </row>
    <row r="59" spans="2:29" ht="17.25" customHeight="1" thickBot="1">
      <c r="B59" s="451"/>
      <c r="C59" s="459"/>
      <c r="D59" s="459"/>
      <c r="E59" s="459"/>
      <c r="F59" s="459"/>
      <c r="G59" s="459"/>
      <c r="H59" s="459"/>
      <c r="I59" s="459"/>
      <c r="J59" s="460"/>
      <c r="K59" s="451">
        <f>SUM(K58:N58)</f>
        <v>64</v>
      </c>
      <c r="L59" s="459"/>
      <c r="M59" s="459"/>
      <c r="N59" s="511"/>
      <c r="O59" s="512">
        <f>SUM(O58:R58)</f>
        <v>64</v>
      </c>
      <c r="P59" s="459"/>
      <c r="Q59" s="459"/>
      <c r="R59" s="511"/>
      <c r="S59" s="512">
        <f>SUM(S58:V58)</f>
        <v>64</v>
      </c>
      <c r="T59" s="459"/>
      <c r="U59" s="459"/>
      <c r="V59" s="460"/>
      <c r="W59" s="451">
        <f>SUM(K59:V59)</f>
        <v>192</v>
      </c>
      <c r="X59" s="460"/>
      <c r="Y59" s="11"/>
      <c r="AA59" s="432" t="s">
        <v>152</v>
      </c>
      <c r="AB59" s="432"/>
    </row>
    <row r="60" spans="2:29" ht="17.25" customHeight="1" thickBot="1">
      <c r="AA60" s="457" t="b">
        <f>W58&gt;=Y58</f>
        <v>1</v>
      </c>
      <c r="AB60" s="458"/>
    </row>
    <row r="61" spans="2:29" ht="17.25" customHeight="1"/>
    <row r="62" spans="2:29" ht="17.25" customHeight="1"/>
    <row r="63" spans="2:29" ht="17.25" customHeight="1"/>
    <row r="65" ht="24.9" customHeight="1"/>
    <row r="66" ht="24.9" customHeight="1"/>
    <row r="67" ht="32.25" customHeight="1"/>
    <row r="68" ht="24.9" customHeight="1"/>
    <row r="70" ht="16.5" customHeight="1"/>
    <row r="71" ht="17.2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244.5" customHeight="1"/>
  </sheetData>
  <mergeCells count="447">
    <mergeCell ref="W43:X44"/>
    <mergeCell ref="J43:J44"/>
    <mergeCell ref="S43:T44"/>
    <mergeCell ref="U43:V44"/>
    <mergeCell ref="U45:V45"/>
    <mergeCell ref="U46:V46"/>
    <mergeCell ref="B48:B50"/>
    <mergeCell ref="B43:B44"/>
    <mergeCell ref="F43:G43"/>
    <mergeCell ref="F44:G44"/>
    <mergeCell ref="K43:L43"/>
    <mergeCell ref="K44:L44"/>
    <mergeCell ref="O44:P44"/>
    <mergeCell ref="Q44:R44"/>
    <mergeCell ref="S46:T46"/>
    <mergeCell ref="F46:G46"/>
    <mergeCell ref="O45:P47"/>
    <mergeCell ref="Q45:R47"/>
    <mergeCell ref="M43:N43"/>
    <mergeCell ref="M44:N44"/>
    <mergeCell ref="F50:G50"/>
    <mergeCell ref="K50:L50"/>
    <mergeCell ref="S50:T50"/>
    <mergeCell ref="S48:T48"/>
    <mergeCell ref="AA60:AB60"/>
    <mergeCell ref="F39:G39"/>
    <mergeCell ref="F41:G41"/>
    <mergeCell ref="K41:L41"/>
    <mergeCell ref="S41:T41"/>
    <mergeCell ref="U41:V41"/>
    <mergeCell ref="W41:X41"/>
    <mergeCell ref="M41:N41"/>
    <mergeCell ref="O41:P41"/>
    <mergeCell ref="Q41:R41"/>
    <mergeCell ref="W58:X58"/>
    <mergeCell ref="AA58:AB58"/>
    <mergeCell ref="B59:J59"/>
    <mergeCell ref="K59:N59"/>
    <mergeCell ref="O59:R59"/>
    <mergeCell ref="S59:V59"/>
    <mergeCell ref="W59:X59"/>
    <mergeCell ref="AA59:AB59"/>
    <mergeCell ref="U57:V57"/>
    <mergeCell ref="W57:X57"/>
    <mergeCell ref="AA57:AB57"/>
    <mergeCell ref="B58:J58"/>
    <mergeCell ref="K58:L58"/>
    <mergeCell ref="M58:N58"/>
    <mergeCell ref="O58:P58"/>
    <mergeCell ref="Q58:R58"/>
    <mergeCell ref="S58:T58"/>
    <mergeCell ref="U58:V58"/>
    <mergeCell ref="F57:J57"/>
    <mergeCell ref="K57:L57"/>
    <mergeCell ref="M57:N57"/>
    <mergeCell ref="O57:P57"/>
    <mergeCell ref="Q57:R57"/>
    <mergeCell ref="S57:T57"/>
    <mergeCell ref="U54:V54"/>
    <mergeCell ref="W54:X56"/>
    <mergeCell ref="Y54:Y56"/>
    <mergeCell ref="F55:J55"/>
    <mergeCell ref="K55:L55"/>
    <mergeCell ref="M55:N55"/>
    <mergeCell ref="O55:P55"/>
    <mergeCell ref="Q55:R55"/>
    <mergeCell ref="S55:T55"/>
    <mergeCell ref="U55:V55"/>
    <mergeCell ref="U53:V53"/>
    <mergeCell ref="W53:X53"/>
    <mergeCell ref="AA53:AB54"/>
    <mergeCell ref="B54:E57"/>
    <mergeCell ref="F54:J54"/>
    <mergeCell ref="K54:L54"/>
    <mergeCell ref="M54:N54"/>
    <mergeCell ref="O54:P54"/>
    <mergeCell ref="Q54:R54"/>
    <mergeCell ref="S54:T54"/>
    <mergeCell ref="B53:G53"/>
    <mergeCell ref="K53:L53"/>
    <mergeCell ref="M53:N53"/>
    <mergeCell ref="O53:P53"/>
    <mergeCell ref="Q53:R53"/>
    <mergeCell ref="S53:T53"/>
    <mergeCell ref="AA55:AB55"/>
    <mergeCell ref="F56:J56"/>
    <mergeCell ref="K56:L56"/>
    <mergeCell ref="M56:N56"/>
    <mergeCell ref="O56:P56"/>
    <mergeCell ref="Q56:R56"/>
    <mergeCell ref="S56:T56"/>
    <mergeCell ref="U56:V56"/>
    <mergeCell ref="Q48:R48"/>
    <mergeCell ref="O51:P52"/>
    <mergeCell ref="Q51:R52"/>
    <mergeCell ref="S51:T52"/>
    <mergeCell ref="U51:V52"/>
    <mergeCell ref="W51:X52"/>
    <mergeCell ref="Y51:Y52"/>
    <mergeCell ref="B51:G52"/>
    <mergeCell ref="H51:H52"/>
    <mergeCell ref="I51:I52"/>
    <mergeCell ref="J51:J52"/>
    <mergeCell ref="K51:L52"/>
    <mergeCell ref="M51:N52"/>
    <mergeCell ref="O43:P43"/>
    <mergeCell ref="Q43:R43"/>
    <mergeCell ref="M50:N50"/>
    <mergeCell ref="O50:P50"/>
    <mergeCell ref="Q50:R50"/>
    <mergeCell ref="W45:X47"/>
    <mergeCell ref="F47:G47"/>
    <mergeCell ref="K47:L47"/>
    <mergeCell ref="M47:N47"/>
    <mergeCell ref="U47:V47"/>
    <mergeCell ref="W48:X50"/>
    <mergeCell ref="F49:G49"/>
    <mergeCell ref="K49:L49"/>
    <mergeCell ref="M49:N49"/>
    <mergeCell ref="O49:P49"/>
    <mergeCell ref="Q49:R49"/>
    <mergeCell ref="S49:T49"/>
    <mergeCell ref="U48:V50"/>
    <mergeCell ref="F48:G48"/>
    <mergeCell ref="I48:I50"/>
    <mergeCell ref="J48:J50"/>
    <mergeCell ref="K48:L48"/>
    <mergeCell ref="M48:N48"/>
    <mergeCell ref="O48:P48"/>
    <mergeCell ref="B45:B47"/>
    <mergeCell ref="F45:G45"/>
    <mergeCell ref="I45:I47"/>
    <mergeCell ref="J45:J47"/>
    <mergeCell ref="K45:L45"/>
    <mergeCell ref="M45:N45"/>
    <mergeCell ref="K46:L46"/>
    <mergeCell ref="M46:N46"/>
    <mergeCell ref="S47:T47"/>
    <mergeCell ref="S45:T45"/>
    <mergeCell ref="U40:V40"/>
    <mergeCell ref="W40:X40"/>
    <mergeCell ref="F42:G42"/>
    <mergeCell ref="K42:L42"/>
    <mergeCell ref="M42:N42"/>
    <mergeCell ref="O42:P42"/>
    <mergeCell ref="Q42:R42"/>
    <mergeCell ref="S42:T42"/>
    <mergeCell ref="U42:V42"/>
    <mergeCell ref="W42:X42"/>
    <mergeCell ref="F40:G40"/>
    <mergeCell ref="K40:L40"/>
    <mergeCell ref="M40:N40"/>
    <mergeCell ref="O40:P40"/>
    <mergeCell ref="Q40:R40"/>
    <mergeCell ref="S40:T40"/>
    <mergeCell ref="U38:V38"/>
    <mergeCell ref="W38:X38"/>
    <mergeCell ref="F38:G38"/>
    <mergeCell ref="K39:L39"/>
    <mergeCell ref="M39:N39"/>
    <mergeCell ref="O39:P39"/>
    <mergeCell ref="Q39:R39"/>
    <mergeCell ref="S39:T39"/>
    <mergeCell ref="U39:V39"/>
    <mergeCell ref="W39:X39"/>
    <mergeCell ref="K38:L38"/>
    <mergeCell ref="M38:N38"/>
    <mergeCell ref="O38:P38"/>
    <mergeCell ref="Q38:R38"/>
    <mergeCell ref="S38:T38"/>
    <mergeCell ref="O35:P35"/>
    <mergeCell ref="Q35:R35"/>
    <mergeCell ref="S35:T35"/>
    <mergeCell ref="U35:V35"/>
    <mergeCell ref="W35:X35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6:G36"/>
    <mergeCell ref="K36:L36"/>
    <mergeCell ref="M36:N36"/>
    <mergeCell ref="O36:P36"/>
    <mergeCell ref="Q36:R36"/>
    <mergeCell ref="S36:T36"/>
    <mergeCell ref="AA33:AB33"/>
    <mergeCell ref="B34:C42"/>
    <mergeCell ref="B33:G33"/>
    <mergeCell ref="K33:L33"/>
    <mergeCell ref="M33:N33"/>
    <mergeCell ref="O33:P33"/>
    <mergeCell ref="Q33:R33"/>
    <mergeCell ref="S33:T33"/>
    <mergeCell ref="U32:V32"/>
    <mergeCell ref="D31:D32"/>
    <mergeCell ref="Y34:Y50"/>
    <mergeCell ref="F34:G34"/>
    <mergeCell ref="K34:L34"/>
    <mergeCell ref="M34:N34"/>
    <mergeCell ref="O34:P34"/>
    <mergeCell ref="Q34:R34"/>
    <mergeCell ref="S34:T34"/>
    <mergeCell ref="U33:V33"/>
    <mergeCell ref="W33:X33"/>
    <mergeCell ref="U34:V34"/>
    <mergeCell ref="W34:X34"/>
    <mergeCell ref="F35:G35"/>
    <mergeCell ref="K35:L35"/>
    <mergeCell ref="M35:N35"/>
    <mergeCell ref="S31:T31"/>
    <mergeCell ref="U31:V31"/>
    <mergeCell ref="W31:X32"/>
    <mergeCell ref="Y31:Y32"/>
    <mergeCell ref="F32:G32"/>
    <mergeCell ref="K32:L32"/>
    <mergeCell ref="M32:N32"/>
    <mergeCell ref="O32:P32"/>
    <mergeCell ref="Q32:R32"/>
    <mergeCell ref="S32:T32"/>
    <mergeCell ref="F31:G31"/>
    <mergeCell ref="K31:L31"/>
    <mergeCell ref="M31:N31"/>
    <mergeCell ref="O31:P31"/>
    <mergeCell ref="Q31:R31"/>
    <mergeCell ref="W29:X30"/>
    <mergeCell ref="Y29:Y30"/>
    <mergeCell ref="F30:G30"/>
    <mergeCell ref="K30:L30"/>
    <mergeCell ref="M30:N30"/>
    <mergeCell ref="O30:P30"/>
    <mergeCell ref="Q30:R30"/>
    <mergeCell ref="S30:T30"/>
    <mergeCell ref="U30:V30"/>
    <mergeCell ref="D29:D30"/>
    <mergeCell ref="F29:G29"/>
    <mergeCell ref="K29:L29"/>
    <mergeCell ref="M29:N29"/>
    <mergeCell ref="O29:P29"/>
    <mergeCell ref="Q29:R29"/>
    <mergeCell ref="S29:T29"/>
    <mergeCell ref="U29:V29"/>
    <mergeCell ref="F28:G28"/>
    <mergeCell ref="K28:L28"/>
    <mergeCell ref="M28:N28"/>
    <mergeCell ref="O28:P28"/>
    <mergeCell ref="Q28:R28"/>
    <mergeCell ref="S28:T28"/>
    <mergeCell ref="D24:D28"/>
    <mergeCell ref="Y24:Y28"/>
    <mergeCell ref="F25:G25"/>
    <mergeCell ref="K25:L25"/>
    <mergeCell ref="M25:N25"/>
    <mergeCell ref="O25:P25"/>
    <mergeCell ref="Q25:R25"/>
    <mergeCell ref="S25:T25"/>
    <mergeCell ref="U25:V25"/>
    <mergeCell ref="F24:G24"/>
    <mergeCell ref="K24:L24"/>
    <mergeCell ref="M24:N24"/>
    <mergeCell ref="O24:P24"/>
    <mergeCell ref="Q24:R24"/>
    <mergeCell ref="S24:T24"/>
    <mergeCell ref="U26:V26"/>
    <mergeCell ref="F27:G27"/>
    <mergeCell ref="K27:L27"/>
    <mergeCell ref="M27:N27"/>
    <mergeCell ref="O27:P27"/>
    <mergeCell ref="Q27:R27"/>
    <mergeCell ref="S27:T27"/>
    <mergeCell ref="U27:V27"/>
    <mergeCell ref="F26:G26"/>
    <mergeCell ref="K26:L26"/>
    <mergeCell ref="X22:X23"/>
    <mergeCell ref="F23:G23"/>
    <mergeCell ref="K23:L23"/>
    <mergeCell ref="M23:N23"/>
    <mergeCell ref="O23:P23"/>
    <mergeCell ref="Q23:R23"/>
    <mergeCell ref="S23:T23"/>
    <mergeCell ref="U23:V23"/>
    <mergeCell ref="U24:V24"/>
    <mergeCell ref="X24:X28"/>
    <mergeCell ref="M26:N26"/>
    <mergeCell ref="O26:P26"/>
    <mergeCell ref="Q26:R26"/>
    <mergeCell ref="S26:T26"/>
    <mergeCell ref="U28:V28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3:AB33 AC52 AA55:AB55 AA58:AB58 AA60:AB60">
    <cfRule type="containsText" dxfId="1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20104BD-1329-41C7-845A-C52F5A7200E5}">
          <x14:formula1>
            <xm:f>삭제금지!$J$2:$J$59</xm:f>
          </x14:formula1>
          <xm:sqref>H5:J5</xm:sqref>
        </x14:dataValidation>
        <x14:dataValidation type="list" allowBlank="1" showInputMessage="1" showErrorMessage="1" xr:uid="{F92F9004-5219-4D26-8838-35EF277C182D}">
          <x14:formula1>
            <xm:f>삭제금지!$I$2:$I$18</xm:f>
          </x14:formula1>
          <xm:sqref>F5:G5</xm:sqref>
        </x14:dataValidation>
        <x14:dataValidation type="list" allowBlank="1" showInputMessage="1" showErrorMessage="1" xr:uid="{EF5CDD0E-B8BD-4B2F-8867-B36B7F6780B3}">
          <x14:formula1>
            <xm:f>삭제금지!$K$2:$K$59</xm:f>
          </x14:formula1>
          <xm:sqref>K5:O5</xm:sqref>
        </x14:dataValidation>
        <x14:dataValidation type="list" allowBlank="1" showInputMessage="1" showErrorMessage="1" xr:uid="{747FE873-DFFF-46B9-AF61-C1D6E6DB0671}">
          <x14:formula1>
            <xm:f>삭제금지!$L$2:$L$4</xm:f>
          </x14:formula1>
          <xm:sqref>T5:V5</xm:sqref>
        </x14:dataValidation>
        <x14:dataValidation type="list" allowBlank="1" showInputMessage="1" showErrorMessage="1" xr:uid="{F278842F-AA83-4CE7-BF86-FF0F58C5CD60}">
          <x14:formula1>
            <xm:f>삭제금지!$H$2:$H$18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92"/>
  <sheetViews>
    <sheetView view="pageBreakPreview" zoomScaleNormal="100" zoomScaleSheetLayoutView="100" workbookViewId="0">
      <pane ySplit="8" topLeftCell="A17" activePane="bottomLeft" state="frozen"/>
      <selection pane="bottomLeft" activeCell="K22" sqref="K22:L2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42" t="s">
        <v>514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3"/>
      <c r="V2" s="344" t="s">
        <v>130</v>
      </c>
      <c r="W2" s="345"/>
      <c r="X2" s="346">
        <v>2027</v>
      </c>
      <c r="Y2" s="347"/>
      <c r="AA2" s="348" t="s">
        <v>143</v>
      </c>
      <c r="AB2" s="19" t="s">
        <v>144</v>
      </c>
      <c r="AC2" s="54" t="s">
        <v>151</v>
      </c>
      <c r="AD2" s="20" t="s">
        <v>145</v>
      </c>
    </row>
    <row r="3" spans="2:30" ht="18" thickBot="1">
      <c r="B3" s="351" t="s">
        <v>358</v>
      </c>
      <c r="C3" s="353" t="s">
        <v>53</v>
      </c>
      <c r="D3" s="354"/>
      <c r="E3" s="354"/>
      <c r="F3" s="353" t="s">
        <v>64</v>
      </c>
      <c r="G3" s="357"/>
      <c r="H3" s="353" t="s">
        <v>54</v>
      </c>
      <c r="I3" s="354"/>
      <c r="J3" s="354"/>
      <c r="K3" s="353" t="s">
        <v>55</v>
      </c>
      <c r="L3" s="354"/>
      <c r="M3" s="354"/>
      <c r="N3" s="354"/>
      <c r="O3" s="357"/>
      <c r="P3" s="359" t="s">
        <v>56</v>
      </c>
      <c r="Q3" s="360"/>
      <c r="R3" s="360"/>
      <c r="S3" s="360"/>
      <c r="T3" s="360"/>
      <c r="U3" s="360"/>
      <c r="V3" s="360"/>
      <c r="W3" s="360"/>
      <c r="X3" s="360"/>
      <c r="Y3" s="361"/>
      <c r="AA3" s="349"/>
      <c r="AB3" s="21" t="s">
        <v>146</v>
      </c>
      <c r="AC3" s="68" t="s">
        <v>521</v>
      </c>
      <c r="AD3" s="22" t="s">
        <v>782</v>
      </c>
    </row>
    <row r="4" spans="2:30" ht="18" thickBot="1">
      <c r="B4" s="352"/>
      <c r="C4" s="355"/>
      <c r="D4" s="356"/>
      <c r="E4" s="356"/>
      <c r="F4" s="355"/>
      <c r="G4" s="358"/>
      <c r="H4" s="355"/>
      <c r="I4" s="356"/>
      <c r="J4" s="356"/>
      <c r="K4" s="355"/>
      <c r="L4" s="356"/>
      <c r="M4" s="356"/>
      <c r="N4" s="356"/>
      <c r="O4" s="358"/>
      <c r="P4" s="359" t="s">
        <v>127</v>
      </c>
      <c r="Q4" s="360"/>
      <c r="R4" s="360"/>
      <c r="S4" s="360"/>
      <c r="T4" s="359" t="s">
        <v>61</v>
      </c>
      <c r="U4" s="360"/>
      <c r="V4" s="361"/>
      <c r="W4" s="360" t="s">
        <v>128</v>
      </c>
      <c r="X4" s="360"/>
      <c r="Y4" s="361"/>
      <c r="AA4" s="349"/>
      <c r="AB4" s="23" t="s">
        <v>147</v>
      </c>
      <c r="AC4" s="69" t="s">
        <v>522</v>
      </c>
      <c r="AD4" s="22" t="s">
        <v>783</v>
      </c>
    </row>
    <row r="5" spans="2:30" ht="26.25" customHeight="1" thickBot="1">
      <c r="B5" s="107" t="s">
        <v>512</v>
      </c>
      <c r="C5" s="362" t="s">
        <v>515</v>
      </c>
      <c r="D5" s="363"/>
      <c r="E5" s="364"/>
      <c r="F5" s="362" t="s">
        <v>530</v>
      </c>
      <c r="G5" s="365"/>
      <c r="H5" s="366" t="s">
        <v>568</v>
      </c>
      <c r="I5" s="363"/>
      <c r="J5" s="364"/>
      <c r="K5" s="362"/>
      <c r="L5" s="363"/>
      <c r="M5" s="363"/>
      <c r="N5" s="363"/>
      <c r="O5" s="365"/>
      <c r="P5" s="366" t="s">
        <v>569</v>
      </c>
      <c r="Q5" s="363"/>
      <c r="R5" s="363"/>
      <c r="S5" s="364"/>
      <c r="T5" s="362" t="s">
        <v>34</v>
      </c>
      <c r="U5" s="363"/>
      <c r="V5" s="364"/>
      <c r="W5" s="604" t="s">
        <v>570</v>
      </c>
      <c r="X5" s="368"/>
      <c r="Y5" s="369"/>
      <c r="AA5" s="350"/>
      <c r="AB5" s="24" t="s">
        <v>148</v>
      </c>
      <c r="AC5" s="186" t="s">
        <v>523</v>
      </c>
      <c r="AD5" s="258" t="s">
        <v>524</v>
      </c>
    </row>
    <row r="6" spans="2:30" ht="15.75" customHeight="1" thickBot="1">
      <c r="U6" s="370"/>
      <c r="V6" s="370"/>
      <c r="W6" s="370"/>
      <c r="X6" s="370"/>
      <c r="Y6" s="370"/>
    </row>
    <row r="7" spans="2:30" s="10" customFormat="1" ht="22.5" customHeight="1">
      <c r="B7" s="371" t="s">
        <v>2</v>
      </c>
      <c r="C7" s="372"/>
      <c r="D7" s="375" t="s">
        <v>120</v>
      </c>
      <c r="E7" s="377" t="s">
        <v>57</v>
      </c>
      <c r="F7" s="378"/>
      <c r="G7" s="379"/>
      <c r="H7" s="380" t="s">
        <v>133</v>
      </c>
      <c r="I7" s="382" t="s">
        <v>134</v>
      </c>
      <c r="J7" s="384" t="s">
        <v>135</v>
      </c>
      <c r="K7" s="386" t="s">
        <v>58</v>
      </c>
      <c r="L7" s="382"/>
      <c r="M7" s="382"/>
      <c r="N7" s="387"/>
      <c r="O7" s="388" t="s">
        <v>59</v>
      </c>
      <c r="P7" s="382"/>
      <c r="Q7" s="382"/>
      <c r="R7" s="387"/>
      <c r="S7" s="386" t="s">
        <v>60</v>
      </c>
      <c r="T7" s="382"/>
      <c r="U7" s="382"/>
      <c r="V7" s="389"/>
      <c r="W7" s="380" t="s">
        <v>136</v>
      </c>
      <c r="X7" s="384"/>
      <c r="Y7" s="379" t="s">
        <v>137</v>
      </c>
      <c r="Z7" s="9"/>
    </row>
    <row r="8" spans="2:30" s="10" customFormat="1" ht="22.5" customHeight="1" thickBot="1">
      <c r="B8" s="373"/>
      <c r="C8" s="374"/>
      <c r="D8" s="376"/>
      <c r="E8" s="25" t="s">
        <v>18</v>
      </c>
      <c r="F8" s="405" t="s">
        <v>19</v>
      </c>
      <c r="G8" s="406"/>
      <c r="H8" s="381"/>
      <c r="I8" s="383"/>
      <c r="J8" s="385"/>
      <c r="K8" s="407" t="s">
        <v>0</v>
      </c>
      <c r="L8" s="383"/>
      <c r="M8" s="383" t="s">
        <v>62</v>
      </c>
      <c r="N8" s="408"/>
      <c r="O8" s="409" t="s">
        <v>0</v>
      </c>
      <c r="P8" s="383"/>
      <c r="Q8" s="383" t="s">
        <v>62</v>
      </c>
      <c r="R8" s="408"/>
      <c r="S8" s="407" t="s">
        <v>0</v>
      </c>
      <c r="T8" s="383"/>
      <c r="U8" s="383" t="s">
        <v>62</v>
      </c>
      <c r="V8" s="410"/>
      <c r="W8" s="381"/>
      <c r="X8" s="385"/>
      <c r="Y8" s="404"/>
      <c r="AA8" s="390" t="s">
        <v>498</v>
      </c>
      <c r="AB8" s="390"/>
      <c r="AC8" s="390"/>
      <c r="AD8" s="390"/>
    </row>
    <row r="9" spans="2:30" ht="16.5" customHeight="1" thickBot="1">
      <c r="B9" s="391" t="s">
        <v>335</v>
      </c>
      <c r="C9" s="392"/>
      <c r="D9" s="395" t="s">
        <v>21</v>
      </c>
      <c r="E9" s="70" t="s">
        <v>12</v>
      </c>
      <c r="F9" s="398" t="s">
        <v>199</v>
      </c>
      <c r="G9" s="399"/>
      <c r="H9" s="71">
        <v>4</v>
      </c>
      <c r="I9" s="72" t="s">
        <v>336</v>
      </c>
      <c r="J9" s="73">
        <v>3</v>
      </c>
      <c r="K9" s="398">
        <v>3</v>
      </c>
      <c r="L9" s="400"/>
      <c r="M9" s="401"/>
      <c r="N9" s="402"/>
      <c r="O9" s="403"/>
      <c r="P9" s="400"/>
      <c r="Q9" s="401"/>
      <c r="R9" s="402"/>
      <c r="S9" s="403"/>
      <c r="T9" s="400"/>
      <c r="U9" s="401"/>
      <c r="V9" s="399"/>
      <c r="W9" s="74">
        <f>SUM(K9:V9)</f>
        <v>3</v>
      </c>
      <c r="X9" s="417">
        <f>SUM(W9:W11)</f>
        <v>9</v>
      </c>
      <c r="Y9" s="419">
        <v>24</v>
      </c>
      <c r="AA9" s="168" t="s">
        <v>499</v>
      </c>
      <c r="AB9" s="169" t="s">
        <v>505</v>
      </c>
      <c r="AC9" s="169" t="s">
        <v>506</v>
      </c>
      <c r="AD9" s="170" t="s">
        <v>507</v>
      </c>
    </row>
    <row r="10" spans="2:30" ht="18" thickBot="1">
      <c r="B10" s="393"/>
      <c r="C10" s="394"/>
      <c r="D10" s="396"/>
      <c r="E10" s="75" t="s">
        <v>12</v>
      </c>
      <c r="F10" s="420" t="s">
        <v>200</v>
      </c>
      <c r="G10" s="421"/>
      <c r="H10" s="76">
        <v>4</v>
      </c>
      <c r="I10" s="77" t="s">
        <v>336</v>
      </c>
      <c r="J10" s="78">
        <v>3</v>
      </c>
      <c r="K10" s="420"/>
      <c r="L10" s="422"/>
      <c r="M10" s="423">
        <v>3</v>
      </c>
      <c r="N10" s="424"/>
      <c r="O10" s="425"/>
      <c r="P10" s="422"/>
      <c r="Q10" s="423"/>
      <c r="R10" s="424"/>
      <c r="S10" s="425"/>
      <c r="T10" s="422"/>
      <c r="U10" s="423"/>
      <c r="V10" s="421"/>
      <c r="W10" s="79">
        <f t="shared" ref="W10:W23" si="0">SUM(K10:V10)</f>
        <v>3</v>
      </c>
      <c r="X10" s="418"/>
      <c r="Y10" s="419"/>
      <c r="AA10" s="171" t="s">
        <v>500</v>
      </c>
      <c r="AB10" s="172">
        <v>4</v>
      </c>
      <c r="AC10" s="172">
        <v>-1</v>
      </c>
      <c r="AD10" s="22" t="s">
        <v>508</v>
      </c>
    </row>
    <row r="11" spans="2:30" ht="18" thickBot="1">
      <c r="B11" s="393"/>
      <c r="C11" s="394"/>
      <c r="D11" s="397"/>
      <c r="E11" s="80" t="s">
        <v>342</v>
      </c>
      <c r="F11" s="411" t="s">
        <v>4</v>
      </c>
      <c r="G11" s="416"/>
      <c r="H11" s="81">
        <v>4</v>
      </c>
      <c r="I11" s="82" t="s">
        <v>338</v>
      </c>
      <c r="J11" s="83">
        <v>3</v>
      </c>
      <c r="K11" s="411"/>
      <c r="L11" s="412"/>
      <c r="M11" s="413"/>
      <c r="N11" s="414"/>
      <c r="O11" s="415"/>
      <c r="P11" s="412"/>
      <c r="Q11" s="413">
        <v>3</v>
      </c>
      <c r="R11" s="414"/>
      <c r="S11" s="415"/>
      <c r="T11" s="412"/>
      <c r="U11" s="413"/>
      <c r="V11" s="416"/>
      <c r="W11" s="79">
        <f t="shared" si="0"/>
        <v>3</v>
      </c>
      <c r="X11" s="418"/>
      <c r="Y11" s="419"/>
      <c r="AA11" s="171" t="s">
        <v>501</v>
      </c>
      <c r="AB11" s="172">
        <v>3</v>
      </c>
      <c r="AC11" s="172"/>
      <c r="AD11" s="22">
        <v>3</v>
      </c>
    </row>
    <row r="12" spans="2:30" ht="18" thickBot="1">
      <c r="B12" s="393"/>
      <c r="C12" s="394"/>
      <c r="D12" s="395" t="s">
        <v>5</v>
      </c>
      <c r="E12" s="70" t="s">
        <v>12</v>
      </c>
      <c r="F12" s="398" t="s">
        <v>211</v>
      </c>
      <c r="G12" s="399"/>
      <c r="H12" s="71">
        <v>4</v>
      </c>
      <c r="I12" s="72" t="s">
        <v>336</v>
      </c>
      <c r="J12" s="73">
        <v>3</v>
      </c>
      <c r="K12" s="398">
        <v>3</v>
      </c>
      <c r="L12" s="400"/>
      <c r="M12" s="401"/>
      <c r="N12" s="402"/>
      <c r="O12" s="403"/>
      <c r="P12" s="400"/>
      <c r="Q12" s="401"/>
      <c r="R12" s="402"/>
      <c r="S12" s="403"/>
      <c r="T12" s="400"/>
      <c r="U12" s="401"/>
      <c r="V12" s="399"/>
      <c r="W12" s="74">
        <f t="shared" si="0"/>
        <v>3</v>
      </c>
      <c r="X12" s="417">
        <f t="shared" ref="X12" si="1">SUM(W12:W14)</f>
        <v>9</v>
      </c>
      <c r="Y12" s="419"/>
      <c r="AA12" s="171" t="s">
        <v>502</v>
      </c>
      <c r="AB12" s="172">
        <v>4</v>
      </c>
      <c r="AC12" s="172" t="s">
        <v>511</v>
      </c>
      <c r="AD12" s="22" t="s">
        <v>509</v>
      </c>
    </row>
    <row r="13" spans="2:30" ht="18" thickBot="1">
      <c r="B13" s="393"/>
      <c r="C13" s="394"/>
      <c r="D13" s="396"/>
      <c r="E13" s="75" t="s">
        <v>12</v>
      </c>
      <c r="F13" s="420" t="s">
        <v>213</v>
      </c>
      <c r="G13" s="421"/>
      <c r="H13" s="76">
        <v>4</v>
      </c>
      <c r="I13" s="77" t="s">
        <v>336</v>
      </c>
      <c r="J13" s="78">
        <v>3</v>
      </c>
      <c r="K13" s="420"/>
      <c r="L13" s="422"/>
      <c r="M13" s="423">
        <v>3</v>
      </c>
      <c r="N13" s="424"/>
      <c r="O13" s="425"/>
      <c r="P13" s="422"/>
      <c r="Q13" s="423"/>
      <c r="R13" s="424"/>
      <c r="S13" s="425"/>
      <c r="T13" s="422"/>
      <c r="U13" s="423"/>
      <c r="V13" s="421"/>
      <c r="W13" s="79">
        <f t="shared" si="0"/>
        <v>3</v>
      </c>
      <c r="X13" s="418"/>
      <c r="Y13" s="419"/>
      <c r="AA13" s="171" t="s">
        <v>503</v>
      </c>
      <c r="AB13" s="172">
        <v>3</v>
      </c>
      <c r="AC13" s="172" t="s">
        <v>511</v>
      </c>
      <c r="AD13" s="22" t="s">
        <v>510</v>
      </c>
    </row>
    <row r="14" spans="2:30" ht="18" thickBot="1">
      <c r="B14" s="393"/>
      <c r="C14" s="394"/>
      <c r="D14" s="397"/>
      <c r="E14" s="80" t="s">
        <v>342</v>
      </c>
      <c r="F14" s="411" t="s">
        <v>214</v>
      </c>
      <c r="G14" s="416"/>
      <c r="H14" s="81">
        <v>4</v>
      </c>
      <c r="I14" s="82" t="s">
        <v>338</v>
      </c>
      <c r="J14" s="83">
        <v>3</v>
      </c>
      <c r="K14" s="411"/>
      <c r="L14" s="412"/>
      <c r="M14" s="413"/>
      <c r="N14" s="414"/>
      <c r="O14" s="415">
        <v>3</v>
      </c>
      <c r="P14" s="412"/>
      <c r="Q14" s="413"/>
      <c r="R14" s="414"/>
      <c r="S14" s="415"/>
      <c r="T14" s="412"/>
      <c r="U14" s="413"/>
      <c r="V14" s="416"/>
      <c r="W14" s="79">
        <f t="shared" si="0"/>
        <v>3</v>
      </c>
      <c r="X14" s="418"/>
      <c r="Y14" s="419"/>
      <c r="AA14" s="173" t="s">
        <v>504</v>
      </c>
      <c r="AB14" s="430" t="s">
        <v>513</v>
      </c>
      <c r="AC14" s="430"/>
      <c r="AD14" s="431"/>
    </row>
    <row r="15" spans="2:30" ht="18" thickBot="1">
      <c r="B15" s="393"/>
      <c r="C15" s="394"/>
      <c r="D15" s="395" t="s">
        <v>6</v>
      </c>
      <c r="E15" s="70" t="s">
        <v>12</v>
      </c>
      <c r="F15" s="398" t="s">
        <v>218</v>
      </c>
      <c r="G15" s="399"/>
      <c r="H15" s="71">
        <v>4</v>
      </c>
      <c r="I15" s="72" t="s">
        <v>336</v>
      </c>
      <c r="J15" s="73">
        <v>3</v>
      </c>
      <c r="K15" s="398">
        <v>3</v>
      </c>
      <c r="L15" s="400"/>
      <c r="M15" s="401"/>
      <c r="N15" s="402"/>
      <c r="O15" s="403"/>
      <c r="P15" s="400"/>
      <c r="Q15" s="401"/>
      <c r="R15" s="402"/>
      <c r="S15" s="403"/>
      <c r="T15" s="400"/>
      <c r="U15" s="401"/>
      <c r="V15" s="399"/>
      <c r="W15" s="74">
        <f t="shared" si="0"/>
        <v>3</v>
      </c>
      <c r="X15" s="417">
        <f t="shared" ref="X15" si="2">SUM(W15:W17)</f>
        <v>9</v>
      </c>
      <c r="Y15" s="419"/>
    </row>
    <row r="16" spans="2:30" ht="18" thickBot="1">
      <c r="B16" s="393"/>
      <c r="C16" s="394"/>
      <c r="D16" s="396"/>
      <c r="E16" s="75" t="s">
        <v>12</v>
      </c>
      <c r="F16" s="420" t="s">
        <v>224</v>
      </c>
      <c r="G16" s="421"/>
      <c r="H16" s="76">
        <v>4</v>
      </c>
      <c r="I16" s="77" t="s">
        <v>336</v>
      </c>
      <c r="J16" s="78">
        <v>3</v>
      </c>
      <c r="K16" s="420"/>
      <c r="L16" s="422"/>
      <c r="M16" s="423">
        <v>3</v>
      </c>
      <c r="N16" s="424"/>
      <c r="O16" s="425"/>
      <c r="P16" s="422"/>
      <c r="Q16" s="423"/>
      <c r="R16" s="424"/>
      <c r="S16" s="425"/>
      <c r="T16" s="422"/>
      <c r="U16" s="423"/>
      <c r="V16" s="421"/>
      <c r="W16" s="79">
        <f t="shared" si="0"/>
        <v>3</v>
      </c>
      <c r="X16" s="418"/>
      <c r="Y16" s="419"/>
    </row>
    <row r="17" spans="2:29" ht="18" thickBot="1">
      <c r="B17" s="393"/>
      <c r="C17" s="394"/>
      <c r="D17" s="397"/>
      <c r="E17" s="84" t="s">
        <v>342</v>
      </c>
      <c r="F17" s="411" t="s">
        <v>38</v>
      </c>
      <c r="G17" s="416"/>
      <c r="H17" s="81">
        <v>4</v>
      </c>
      <c r="I17" s="82" t="s">
        <v>338</v>
      </c>
      <c r="J17" s="83">
        <v>3</v>
      </c>
      <c r="K17" s="411"/>
      <c r="L17" s="412"/>
      <c r="M17" s="413"/>
      <c r="N17" s="414"/>
      <c r="O17" s="415">
        <v>3</v>
      </c>
      <c r="P17" s="412"/>
      <c r="Q17" s="413"/>
      <c r="R17" s="414"/>
      <c r="S17" s="415"/>
      <c r="T17" s="412"/>
      <c r="U17" s="413"/>
      <c r="V17" s="416"/>
      <c r="W17" s="79">
        <f t="shared" si="0"/>
        <v>3</v>
      </c>
      <c r="X17" s="418"/>
      <c r="Y17" s="419"/>
    </row>
    <row r="18" spans="2:29" ht="18" thickBot="1">
      <c r="B18" s="393"/>
      <c r="C18" s="394"/>
      <c r="D18" s="395" t="s">
        <v>339</v>
      </c>
      <c r="E18" s="70" t="s">
        <v>12</v>
      </c>
      <c r="F18" s="398" t="s">
        <v>232</v>
      </c>
      <c r="G18" s="399"/>
      <c r="H18" s="71">
        <v>3</v>
      </c>
      <c r="I18" s="85" t="s">
        <v>340</v>
      </c>
      <c r="J18" s="73">
        <v>3</v>
      </c>
      <c r="K18" s="436">
        <v>3</v>
      </c>
      <c r="L18" s="427"/>
      <c r="M18" s="428"/>
      <c r="N18" s="437"/>
      <c r="O18" s="426"/>
      <c r="P18" s="427"/>
      <c r="Q18" s="428"/>
      <c r="R18" s="437"/>
      <c r="S18" s="426"/>
      <c r="T18" s="427"/>
      <c r="U18" s="428"/>
      <c r="V18" s="429"/>
      <c r="W18" s="74">
        <f t="shared" si="0"/>
        <v>3</v>
      </c>
      <c r="X18" s="417">
        <f>SUM(W18:W19)</f>
        <v>6</v>
      </c>
      <c r="Y18" s="419">
        <v>6</v>
      </c>
    </row>
    <row r="19" spans="2:29" ht="18" thickBot="1">
      <c r="B19" s="393"/>
      <c r="C19" s="394"/>
      <c r="D19" s="396"/>
      <c r="E19" s="86" t="s">
        <v>12</v>
      </c>
      <c r="F19" s="434" t="s">
        <v>233</v>
      </c>
      <c r="G19" s="435"/>
      <c r="H19" s="87">
        <v>3</v>
      </c>
      <c r="I19" s="88" t="s">
        <v>340</v>
      </c>
      <c r="J19" s="182">
        <v>3</v>
      </c>
      <c r="K19" s="411"/>
      <c r="L19" s="412"/>
      <c r="M19" s="413">
        <v>3</v>
      </c>
      <c r="N19" s="414"/>
      <c r="O19" s="415"/>
      <c r="P19" s="412"/>
      <c r="Q19" s="413"/>
      <c r="R19" s="414"/>
      <c r="S19" s="415"/>
      <c r="T19" s="412"/>
      <c r="U19" s="413"/>
      <c r="V19" s="416"/>
      <c r="W19" s="89">
        <f t="shared" si="0"/>
        <v>3</v>
      </c>
      <c r="X19" s="433"/>
      <c r="Y19" s="419"/>
      <c r="AA19" s="432"/>
      <c r="AB19" s="432"/>
      <c r="AC19" s="61"/>
    </row>
    <row r="20" spans="2:29" ht="18" thickBot="1">
      <c r="B20" s="393"/>
      <c r="C20" s="394"/>
      <c r="D20" s="396"/>
      <c r="E20" s="70" t="s">
        <v>12</v>
      </c>
      <c r="F20" s="398" t="s">
        <v>235</v>
      </c>
      <c r="G20" s="399"/>
      <c r="H20" s="71">
        <v>4</v>
      </c>
      <c r="I20" s="85" t="s">
        <v>336</v>
      </c>
      <c r="J20" s="73">
        <v>3</v>
      </c>
      <c r="K20" s="398">
        <v>3</v>
      </c>
      <c r="L20" s="400"/>
      <c r="M20" s="401"/>
      <c r="N20" s="402"/>
      <c r="O20" s="403"/>
      <c r="P20" s="400"/>
      <c r="Q20" s="401"/>
      <c r="R20" s="402"/>
      <c r="S20" s="403"/>
      <c r="T20" s="400"/>
      <c r="U20" s="401"/>
      <c r="V20" s="399"/>
      <c r="W20" s="74">
        <f t="shared" si="0"/>
        <v>3</v>
      </c>
      <c r="X20" s="417">
        <f>SUM(W20:W21)</f>
        <v>6</v>
      </c>
      <c r="Y20" s="419">
        <v>12</v>
      </c>
    </row>
    <row r="21" spans="2:29" ht="18" thickBot="1">
      <c r="B21" s="393"/>
      <c r="C21" s="394"/>
      <c r="D21" s="397"/>
      <c r="E21" s="84" t="s">
        <v>12</v>
      </c>
      <c r="F21" s="411" t="s">
        <v>236</v>
      </c>
      <c r="G21" s="416"/>
      <c r="H21" s="81">
        <v>4</v>
      </c>
      <c r="I21" s="82" t="s">
        <v>336</v>
      </c>
      <c r="J21" s="83">
        <v>3</v>
      </c>
      <c r="K21" s="411"/>
      <c r="L21" s="412"/>
      <c r="M21" s="413">
        <v>3</v>
      </c>
      <c r="N21" s="414"/>
      <c r="O21" s="415"/>
      <c r="P21" s="412"/>
      <c r="Q21" s="413"/>
      <c r="R21" s="414"/>
      <c r="S21" s="415"/>
      <c r="T21" s="412"/>
      <c r="U21" s="413"/>
      <c r="V21" s="416"/>
      <c r="W21" s="89">
        <f t="shared" si="0"/>
        <v>3</v>
      </c>
      <c r="X21" s="433"/>
      <c r="Y21" s="419"/>
    </row>
    <row r="22" spans="2:29" ht="18" thickBot="1">
      <c r="B22" s="393"/>
      <c r="C22" s="394"/>
      <c r="D22" s="395" t="s">
        <v>26</v>
      </c>
      <c r="E22" s="70" t="s">
        <v>12</v>
      </c>
      <c r="F22" s="398" t="s">
        <v>253</v>
      </c>
      <c r="G22" s="399"/>
      <c r="H22" s="71">
        <v>4</v>
      </c>
      <c r="I22" s="85" t="s">
        <v>336</v>
      </c>
      <c r="J22" s="73">
        <v>3</v>
      </c>
      <c r="K22" s="398">
        <v>3</v>
      </c>
      <c r="L22" s="400"/>
      <c r="M22" s="401"/>
      <c r="N22" s="402"/>
      <c r="O22" s="403"/>
      <c r="P22" s="400"/>
      <c r="Q22" s="401"/>
      <c r="R22" s="402"/>
      <c r="S22" s="403"/>
      <c r="T22" s="400"/>
      <c r="U22" s="401"/>
      <c r="V22" s="399"/>
      <c r="W22" s="74">
        <f t="shared" si="0"/>
        <v>3</v>
      </c>
      <c r="X22" s="392">
        <f>SUM(W22:W23)</f>
        <v>6</v>
      </c>
      <c r="Y22" s="419"/>
    </row>
    <row r="23" spans="2:29" ht="18" thickBot="1">
      <c r="B23" s="393"/>
      <c r="C23" s="394"/>
      <c r="D23" s="396"/>
      <c r="E23" s="75" t="s">
        <v>12</v>
      </c>
      <c r="F23" s="420" t="s">
        <v>254</v>
      </c>
      <c r="G23" s="421"/>
      <c r="H23" s="76">
        <v>4</v>
      </c>
      <c r="I23" s="77" t="s">
        <v>336</v>
      </c>
      <c r="J23" s="78">
        <v>3</v>
      </c>
      <c r="K23" s="420"/>
      <c r="L23" s="422"/>
      <c r="M23" s="423">
        <v>3</v>
      </c>
      <c r="N23" s="424"/>
      <c r="O23" s="425"/>
      <c r="P23" s="422"/>
      <c r="Q23" s="423"/>
      <c r="R23" s="424"/>
      <c r="S23" s="425"/>
      <c r="T23" s="422"/>
      <c r="U23" s="423"/>
      <c r="V23" s="421"/>
      <c r="W23" s="79">
        <f t="shared" si="0"/>
        <v>3</v>
      </c>
      <c r="X23" s="394"/>
      <c r="Y23" s="419"/>
    </row>
    <row r="24" spans="2:29" ht="16.5" customHeight="1" thickBot="1">
      <c r="B24" s="393"/>
      <c r="C24" s="394"/>
      <c r="D24" s="395" t="s">
        <v>8</v>
      </c>
      <c r="E24" s="70" t="s">
        <v>342</v>
      </c>
      <c r="F24" s="398" t="s">
        <v>343</v>
      </c>
      <c r="G24" s="399"/>
      <c r="H24" s="71">
        <v>3</v>
      </c>
      <c r="I24" s="85" t="s">
        <v>344</v>
      </c>
      <c r="J24" s="73">
        <f t="shared" ref="J24:J25" si="3">SUM(K24:V24)</f>
        <v>2</v>
      </c>
      <c r="K24" s="398">
        <v>2</v>
      </c>
      <c r="L24" s="400"/>
      <c r="M24" s="401"/>
      <c r="N24" s="402"/>
      <c r="O24" s="403"/>
      <c r="P24" s="400"/>
      <c r="Q24" s="401"/>
      <c r="R24" s="402"/>
      <c r="S24" s="403"/>
      <c r="T24" s="400"/>
      <c r="U24" s="401"/>
      <c r="V24" s="399"/>
      <c r="W24" s="74">
        <f>SUM(K24:V24)</f>
        <v>2</v>
      </c>
      <c r="X24" s="438">
        <f>SUM(W24:W28)</f>
        <v>9</v>
      </c>
      <c r="Y24" s="419">
        <v>8</v>
      </c>
    </row>
    <row r="25" spans="2:29" ht="18" thickBot="1">
      <c r="B25" s="393"/>
      <c r="C25" s="394"/>
      <c r="D25" s="396"/>
      <c r="E25" s="75" t="s">
        <v>342</v>
      </c>
      <c r="F25" s="420" t="s">
        <v>345</v>
      </c>
      <c r="G25" s="421"/>
      <c r="H25" s="76">
        <v>3</v>
      </c>
      <c r="I25" s="77" t="s">
        <v>344</v>
      </c>
      <c r="J25" s="78">
        <f t="shared" si="3"/>
        <v>2</v>
      </c>
      <c r="K25" s="420"/>
      <c r="L25" s="422"/>
      <c r="M25" s="423">
        <v>2</v>
      </c>
      <c r="N25" s="424"/>
      <c r="O25" s="425"/>
      <c r="P25" s="422"/>
      <c r="Q25" s="423"/>
      <c r="R25" s="424"/>
      <c r="S25" s="425"/>
      <c r="T25" s="422"/>
      <c r="U25" s="423"/>
      <c r="V25" s="421"/>
      <c r="W25" s="79">
        <f t="shared" ref="W25:W28" si="4">SUM(K25:V25)</f>
        <v>2</v>
      </c>
      <c r="X25" s="439"/>
      <c r="Y25" s="419"/>
    </row>
    <row r="26" spans="2:29" ht="18" thickBot="1">
      <c r="B26" s="393"/>
      <c r="C26" s="394"/>
      <c r="D26" s="396"/>
      <c r="E26" s="75" t="s">
        <v>341</v>
      </c>
      <c r="F26" s="420" t="s">
        <v>346</v>
      </c>
      <c r="G26" s="421"/>
      <c r="H26" s="76">
        <v>3</v>
      </c>
      <c r="I26" s="77" t="s">
        <v>344</v>
      </c>
      <c r="J26" s="78">
        <v>2</v>
      </c>
      <c r="K26" s="420"/>
      <c r="L26" s="422"/>
      <c r="M26" s="423"/>
      <c r="N26" s="424"/>
      <c r="O26" s="425">
        <v>2</v>
      </c>
      <c r="P26" s="422"/>
      <c r="Q26" s="423"/>
      <c r="R26" s="424"/>
      <c r="S26" s="425"/>
      <c r="T26" s="422"/>
      <c r="U26" s="423"/>
      <c r="V26" s="421"/>
      <c r="W26" s="79">
        <f t="shared" si="4"/>
        <v>2</v>
      </c>
      <c r="X26" s="439"/>
      <c r="Y26" s="419"/>
    </row>
    <row r="27" spans="2:29" ht="18" thickBot="1">
      <c r="B27" s="393"/>
      <c r="C27" s="394"/>
      <c r="D27" s="396"/>
      <c r="E27" s="75" t="s">
        <v>341</v>
      </c>
      <c r="F27" s="420" t="s">
        <v>347</v>
      </c>
      <c r="G27" s="421"/>
      <c r="H27" s="76">
        <v>3</v>
      </c>
      <c r="I27" s="77" t="s">
        <v>344</v>
      </c>
      <c r="J27" s="78">
        <v>2</v>
      </c>
      <c r="K27" s="420"/>
      <c r="L27" s="422"/>
      <c r="M27" s="423"/>
      <c r="N27" s="424"/>
      <c r="O27" s="425"/>
      <c r="P27" s="422"/>
      <c r="Q27" s="423">
        <v>2</v>
      </c>
      <c r="R27" s="424"/>
      <c r="S27" s="425"/>
      <c r="T27" s="422"/>
      <c r="U27" s="423"/>
      <c r="V27" s="421"/>
      <c r="W27" s="79">
        <f t="shared" si="4"/>
        <v>2</v>
      </c>
      <c r="X27" s="439"/>
      <c r="Y27" s="419"/>
    </row>
    <row r="28" spans="2:29" ht="18" thickBot="1">
      <c r="B28" s="393"/>
      <c r="C28" s="394"/>
      <c r="D28" s="397"/>
      <c r="E28" s="84" t="s">
        <v>337</v>
      </c>
      <c r="F28" s="411" t="s">
        <v>366</v>
      </c>
      <c r="G28" s="416"/>
      <c r="H28" s="81">
        <v>2</v>
      </c>
      <c r="I28" s="82" t="s">
        <v>348</v>
      </c>
      <c r="J28" s="83">
        <v>1</v>
      </c>
      <c r="K28" s="411"/>
      <c r="L28" s="412"/>
      <c r="M28" s="413"/>
      <c r="N28" s="414"/>
      <c r="O28" s="415"/>
      <c r="P28" s="412"/>
      <c r="Q28" s="413"/>
      <c r="R28" s="414"/>
      <c r="S28" s="415">
        <v>1</v>
      </c>
      <c r="T28" s="412"/>
      <c r="U28" s="413"/>
      <c r="V28" s="416"/>
      <c r="W28" s="89">
        <f t="shared" si="4"/>
        <v>1</v>
      </c>
      <c r="X28" s="440"/>
      <c r="Y28" s="419"/>
    </row>
    <row r="29" spans="2:29" ht="18" thickBot="1">
      <c r="B29" s="393"/>
      <c r="C29" s="394"/>
      <c r="D29" s="395" t="s">
        <v>28</v>
      </c>
      <c r="E29" s="70" t="s">
        <v>342</v>
      </c>
      <c r="F29" s="398" t="s">
        <v>47</v>
      </c>
      <c r="G29" s="399"/>
      <c r="H29" s="71">
        <v>3</v>
      </c>
      <c r="I29" s="90" t="s">
        <v>344</v>
      </c>
      <c r="J29" s="73">
        <v>3</v>
      </c>
      <c r="K29" s="398"/>
      <c r="L29" s="400"/>
      <c r="M29" s="401"/>
      <c r="N29" s="402"/>
      <c r="O29" s="403">
        <v>3</v>
      </c>
      <c r="P29" s="400"/>
      <c r="Q29" s="401"/>
      <c r="R29" s="402"/>
      <c r="S29" s="403"/>
      <c r="T29" s="400"/>
      <c r="U29" s="401"/>
      <c r="V29" s="399"/>
      <c r="W29" s="441">
        <f>SUM(K29:V30)</f>
        <v>6</v>
      </c>
      <c r="X29" s="442"/>
      <c r="Y29" s="419">
        <v>6</v>
      </c>
    </row>
    <row r="30" spans="2:29" ht="18" thickBot="1">
      <c r="B30" s="393"/>
      <c r="C30" s="394"/>
      <c r="D30" s="396"/>
      <c r="E30" s="80" t="s">
        <v>342</v>
      </c>
      <c r="F30" s="420" t="s">
        <v>9</v>
      </c>
      <c r="G30" s="421"/>
      <c r="H30" s="76">
        <v>3</v>
      </c>
      <c r="I30" s="77" t="s">
        <v>344</v>
      </c>
      <c r="J30" s="78">
        <v>3</v>
      </c>
      <c r="K30" s="420"/>
      <c r="L30" s="422"/>
      <c r="M30" s="423"/>
      <c r="N30" s="424"/>
      <c r="O30" s="425"/>
      <c r="P30" s="422"/>
      <c r="Q30" s="423">
        <v>3</v>
      </c>
      <c r="R30" s="424"/>
      <c r="S30" s="425"/>
      <c r="T30" s="422"/>
      <c r="U30" s="423"/>
      <c r="V30" s="421"/>
      <c r="W30" s="443"/>
      <c r="X30" s="444"/>
      <c r="Y30" s="419"/>
    </row>
    <row r="31" spans="2:29" ht="16.5" customHeight="1" thickBot="1">
      <c r="B31" s="393"/>
      <c r="C31" s="394"/>
      <c r="D31" s="465" t="s">
        <v>349</v>
      </c>
      <c r="E31" s="192" t="s">
        <v>337</v>
      </c>
      <c r="F31" s="398" t="s">
        <v>525</v>
      </c>
      <c r="G31" s="399"/>
      <c r="H31" s="71">
        <v>3</v>
      </c>
      <c r="I31" s="85" t="s">
        <v>344</v>
      </c>
      <c r="J31" s="73">
        <v>4</v>
      </c>
      <c r="K31" s="398">
        <v>4</v>
      </c>
      <c r="L31" s="400"/>
      <c r="M31" s="401"/>
      <c r="N31" s="402"/>
      <c r="O31" s="403"/>
      <c r="P31" s="400"/>
      <c r="Q31" s="401"/>
      <c r="R31" s="402"/>
      <c r="S31" s="403"/>
      <c r="T31" s="400"/>
      <c r="U31" s="401"/>
      <c r="V31" s="399"/>
      <c r="W31" s="441">
        <f>SUM(K31:V32)</f>
        <v>8</v>
      </c>
      <c r="X31" s="442"/>
      <c r="Y31" s="419">
        <v>8</v>
      </c>
    </row>
    <row r="32" spans="2:29" ht="16.5" customHeight="1" thickBot="1">
      <c r="B32" s="393"/>
      <c r="C32" s="394"/>
      <c r="D32" s="466"/>
      <c r="E32" s="193" t="s">
        <v>337</v>
      </c>
      <c r="F32" s="420" t="s">
        <v>526</v>
      </c>
      <c r="G32" s="421"/>
      <c r="H32" s="76">
        <v>3</v>
      </c>
      <c r="I32" s="77" t="s">
        <v>344</v>
      </c>
      <c r="J32" s="78">
        <v>4</v>
      </c>
      <c r="K32" s="420"/>
      <c r="L32" s="422"/>
      <c r="M32" s="423"/>
      <c r="N32" s="424"/>
      <c r="O32" s="425"/>
      <c r="P32" s="422"/>
      <c r="Q32" s="423">
        <v>4</v>
      </c>
      <c r="R32" s="424"/>
      <c r="S32" s="425"/>
      <c r="T32" s="422"/>
      <c r="U32" s="423"/>
      <c r="V32" s="421"/>
      <c r="W32" s="443"/>
      <c r="X32" s="444"/>
      <c r="Y32" s="419"/>
    </row>
    <row r="33" spans="2:28" ht="24.75" customHeight="1" thickBot="1">
      <c r="B33" s="451" t="s">
        <v>359</v>
      </c>
      <c r="C33" s="459"/>
      <c r="D33" s="459"/>
      <c r="E33" s="459"/>
      <c r="F33" s="459"/>
      <c r="G33" s="460"/>
      <c r="H33" s="64">
        <f>SUM(H9:H32)</f>
        <v>84</v>
      </c>
      <c r="I33" s="18"/>
      <c r="J33" s="66">
        <f>SUM(J9:J32)</f>
        <v>68</v>
      </c>
      <c r="K33" s="461">
        <f>SUM(K9:L32)</f>
        <v>24</v>
      </c>
      <c r="L33" s="449"/>
      <c r="M33" s="449">
        <f>SUM(M9:N32)</f>
        <v>20</v>
      </c>
      <c r="N33" s="462"/>
      <c r="O33" s="463">
        <f>SUM(O9:P32)</f>
        <v>11</v>
      </c>
      <c r="P33" s="449"/>
      <c r="Q33" s="449">
        <f>SUM(Q9:R32)</f>
        <v>12</v>
      </c>
      <c r="R33" s="464"/>
      <c r="S33" s="452">
        <f>SUM(S9:T32)</f>
        <v>1</v>
      </c>
      <c r="T33" s="449"/>
      <c r="U33" s="449">
        <f>SUM(U9:V32)</f>
        <v>0</v>
      </c>
      <c r="V33" s="450"/>
      <c r="W33" s="451">
        <f>SUM(K33:V33)</f>
        <v>68</v>
      </c>
      <c r="X33" s="452"/>
      <c r="Y33" s="66">
        <f>SUM(Y9:Y32)</f>
        <v>64</v>
      </c>
      <c r="AA33" s="457" t="b">
        <f>W33&gt;=Y33</f>
        <v>1</v>
      </c>
      <c r="AB33" s="458"/>
    </row>
    <row r="34" spans="2:28" ht="17.25" customHeight="1">
      <c r="B34" s="537"/>
      <c r="C34" s="538"/>
      <c r="D34" s="91" t="s">
        <v>531</v>
      </c>
      <c r="E34" s="92" t="s">
        <v>350</v>
      </c>
      <c r="F34" s="605" t="s">
        <v>554</v>
      </c>
      <c r="G34" s="606"/>
      <c r="H34" s="60"/>
      <c r="I34" s="59"/>
      <c r="J34" s="199">
        <v>5</v>
      </c>
      <c r="K34" s="420">
        <v>5</v>
      </c>
      <c r="L34" s="422"/>
      <c r="M34" s="423"/>
      <c r="N34" s="448"/>
      <c r="O34" s="425"/>
      <c r="P34" s="422"/>
      <c r="Q34" s="423"/>
      <c r="R34" s="424"/>
      <c r="S34" s="448"/>
      <c r="T34" s="422"/>
      <c r="U34" s="423"/>
      <c r="V34" s="421"/>
      <c r="W34" s="596">
        <f t="shared" ref="W34:W41" si="5">SUM(K34:V34)</f>
        <v>5</v>
      </c>
      <c r="X34" s="597"/>
      <c r="Y34" s="445">
        <v>80</v>
      </c>
    </row>
    <row r="35" spans="2:28" ht="17.25" customHeight="1">
      <c r="B35" s="539"/>
      <c r="C35" s="540"/>
      <c r="D35" s="91" t="s">
        <v>530</v>
      </c>
      <c r="E35" s="92" t="s">
        <v>350</v>
      </c>
      <c r="F35" s="446" t="s">
        <v>555</v>
      </c>
      <c r="G35" s="447"/>
      <c r="H35" s="60"/>
      <c r="I35" s="59"/>
      <c r="J35" s="199">
        <v>5</v>
      </c>
      <c r="K35" s="420"/>
      <c r="L35" s="422"/>
      <c r="M35" s="423">
        <v>5</v>
      </c>
      <c r="N35" s="424"/>
      <c r="O35" s="425"/>
      <c r="P35" s="422"/>
      <c r="Q35" s="423"/>
      <c r="R35" s="424"/>
      <c r="S35" s="425"/>
      <c r="T35" s="422"/>
      <c r="U35" s="423"/>
      <c r="V35" s="421"/>
      <c r="W35" s="596">
        <f t="shared" si="5"/>
        <v>5</v>
      </c>
      <c r="X35" s="597"/>
      <c r="Y35" s="445"/>
    </row>
    <row r="36" spans="2:28" ht="17.25" customHeight="1">
      <c r="B36" s="539"/>
      <c r="C36" s="540"/>
      <c r="D36" s="91" t="s">
        <v>71</v>
      </c>
      <c r="E36" s="92" t="s">
        <v>350</v>
      </c>
      <c r="F36" s="446" t="s">
        <v>556</v>
      </c>
      <c r="G36" s="447"/>
      <c r="H36" s="60"/>
      <c r="I36" s="59"/>
      <c r="J36" s="199">
        <v>11</v>
      </c>
      <c r="K36" s="420"/>
      <c r="L36" s="422"/>
      <c r="M36" s="423"/>
      <c r="N36" s="424"/>
      <c r="O36" s="425">
        <v>11</v>
      </c>
      <c r="P36" s="422"/>
      <c r="Q36" s="423"/>
      <c r="R36" s="424"/>
      <c r="S36" s="425"/>
      <c r="T36" s="422"/>
      <c r="U36" s="423"/>
      <c r="V36" s="421"/>
      <c r="W36" s="596">
        <f t="shared" si="5"/>
        <v>11</v>
      </c>
      <c r="X36" s="597"/>
      <c r="Y36" s="445"/>
    </row>
    <row r="37" spans="2:28" ht="17.25" customHeight="1">
      <c r="B37" s="539"/>
      <c r="C37" s="540"/>
      <c r="D37" s="91" t="s">
        <v>530</v>
      </c>
      <c r="E37" s="92" t="s">
        <v>350</v>
      </c>
      <c r="F37" s="607" t="s">
        <v>557</v>
      </c>
      <c r="G37" s="608"/>
      <c r="H37" s="60"/>
      <c r="I37" s="59"/>
      <c r="J37" s="199">
        <v>5</v>
      </c>
      <c r="K37" s="420"/>
      <c r="L37" s="422"/>
      <c r="M37" s="423"/>
      <c r="N37" s="424"/>
      <c r="O37" s="425"/>
      <c r="P37" s="422"/>
      <c r="Q37" s="423">
        <v>5</v>
      </c>
      <c r="R37" s="424"/>
      <c r="S37" s="425"/>
      <c r="T37" s="422"/>
      <c r="U37" s="423"/>
      <c r="V37" s="421"/>
      <c r="W37" s="596">
        <f t="shared" si="5"/>
        <v>5</v>
      </c>
      <c r="X37" s="597"/>
      <c r="Y37" s="445"/>
    </row>
    <row r="38" spans="2:28" ht="17.25" customHeight="1">
      <c r="B38" s="539"/>
      <c r="C38" s="540"/>
      <c r="D38" s="91" t="s">
        <v>531</v>
      </c>
      <c r="E38" s="92" t="s">
        <v>350</v>
      </c>
      <c r="F38" s="607" t="s">
        <v>558</v>
      </c>
      <c r="G38" s="608"/>
      <c r="H38" s="60"/>
      <c r="I38" s="59"/>
      <c r="J38" s="199">
        <v>3</v>
      </c>
      <c r="K38" s="420"/>
      <c r="L38" s="422"/>
      <c r="M38" s="423"/>
      <c r="N38" s="448"/>
      <c r="O38" s="425">
        <v>3</v>
      </c>
      <c r="P38" s="422"/>
      <c r="Q38" s="423"/>
      <c r="R38" s="424"/>
      <c r="S38" s="448"/>
      <c r="T38" s="422"/>
      <c r="U38" s="423"/>
      <c r="V38" s="421"/>
      <c r="W38" s="596">
        <f>SUM(K38:V38)</f>
        <v>3</v>
      </c>
      <c r="X38" s="597"/>
      <c r="Y38" s="445"/>
    </row>
    <row r="39" spans="2:28" ht="17.25" customHeight="1">
      <c r="B39" s="539"/>
      <c r="C39" s="540"/>
      <c r="D39" s="93" t="s">
        <v>767</v>
      </c>
      <c r="E39" s="92" t="s">
        <v>351</v>
      </c>
      <c r="F39" s="607" t="s">
        <v>559</v>
      </c>
      <c r="G39" s="608"/>
      <c r="H39" s="60"/>
      <c r="I39" s="58"/>
      <c r="J39" s="200">
        <v>17</v>
      </c>
      <c r="K39" s="420"/>
      <c r="L39" s="422"/>
      <c r="M39" s="423"/>
      <c r="N39" s="448"/>
      <c r="O39" s="425"/>
      <c r="P39" s="422"/>
      <c r="Q39" s="423"/>
      <c r="R39" s="424"/>
      <c r="S39" s="448">
        <v>8</v>
      </c>
      <c r="T39" s="422"/>
      <c r="U39" s="423">
        <v>9</v>
      </c>
      <c r="V39" s="421"/>
      <c r="W39" s="596">
        <f t="shared" si="5"/>
        <v>17</v>
      </c>
      <c r="X39" s="597"/>
      <c r="Y39" s="445"/>
    </row>
    <row r="40" spans="2:28" ht="16.5" customHeight="1">
      <c r="B40" s="539"/>
      <c r="C40" s="540"/>
      <c r="D40" s="94" t="s">
        <v>531</v>
      </c>
      <c r="E40" s="92" t="s">
        <v>351</v>
      </c>
      <c r="F40" s="455" t="s">
        <v>560</v>
      </c>
      <c r="G40" s="456"/>
      <c r="H40" s="56"/>
      <c r="I40" s="58"/>
      <c r="J40" s="200">
        <v>18</v>
      </c>
      <c r="K40" s="420"/>
      <c r="L40" s="422"/>
      <c r="M40" s="423"/>
      <c r="N40" s="448"/>
      <c r="O40" s="425"/>
      <c r="P40" s="422"/>
      <c r="Q40" s="423"/>
      <c r="R40" s="424"/>
      <c r="S40" s="448">
        <v>9</v>
      </c>
      <c r="T40" s="422"/>
      <c r="U40" s="423">
        <v>9</v>
      </c>
      <c r="V40" s="421"/>
      <c r="W40" s="596">
        <f t="shared" si="5"/>
        <v>18</v>
      </c>
      <c r="X40" s="597"/>
      <c r="Y40" s="445"/>
    </row>
    <row r="41" spans="2:28" ht="16.5" customHeight="1">
      <c r="B41" s="539"/>
      <c r="C41" s="540"/>
      <c r="D41" s="93" t="s">
        <v>356</v>
      </c>
      <c r="E41" s="92" t="s">
        <v>351</v>
      </c>
      <c r="F41" s="455" t="s">
        <v>561</v>
      </c>
      <c r="G41" s="456"/>
      <c r="H41" s="56"/>
      <c r="I41" s="58"/>
      <c r="J41" s="200">
        <v>10</v>
      </c>
      <c r="K41" s="420"/>
      <c r="L41" s="422"/>
      <c r="M41" s="423"/>
      <c r="N41" s="448"/>
      <c r="O41" s="425"/>
      <c r="P41" s="422"/>
      <c r="Q41" s="423"/>
      <c r="R41" s="424"/>
      <c r="S41" s="448">
        <v>5</v>
      </c>
      <c r="T41" s="422"/>
      <c r="U41" s="423">
        <v>5</v>
      </c>
      <c r="V41" s="421"/>
      <c r="W41" s="596">
        <f t="shared" si="5"/>
        <v>10</v>
      </c>
      <c r="X41" s="597"/>
      <c r="Y41" s="445"/>
    </row>
    <row r="42" spans="2:28" ht="16.5" customHeight="1" thickBot="1">
      <c r="B42" s="541"/>
      <c r="C42" s="542"/>
      <c r="D42" s="105" t="s">
        <v>531</v>
      </c>
      <c r="E42" s="100" t="s">
        <v>351</v>
      </c>
      <c r="F42" s="467" t="s">
        <v>562</v>
      </c>
      <c r="G42" s="468"/>
      <c r="H42" s="60"/>
      <c r="I42" s="177"/>
      <c r="J42" s="205">
        <v>3</v>
      </c>
      <c r="K42" s="420"/>
      <c r="L42" s="422"/>
      <c r="M42" s="423"/>
      <c r="N42" s="448"/>
      <c r="O42" s="425"/>
      <c r="P42" s="422"/>
      <c r="Q42" s="413">
        <v>3</v>
      </c>
      <c r="R42" s="414"/>
      <c r="S42" s="425"/>
      <c r="T42" s="422"/>
      <c r="U42" s="413"/>
      <c r="V42" s="416"/>
      <c r="W42" s="611">
        <f t="shared" ref="W42" si="6">SUM(K42:V42)</f>
        <v>3</v>
      </c>
      <c r="X42" s="612"/>
      <c r="Y42" s="445"/>
    </row>
    <row r="43" spans="2:28" ht="20.25" customHeight="1">
      <c r="B43" s="535" t="s">
        <v>153</v>
      </c>
      <c r="C43" s="95" t="s">
        <v>352</v>
      </c>
      <c r="D43" s="96" t="s">
        <v>68</v>
      </c>
      <c r="E43" s="97" t="s">
        <v>351</v>
      </c>
      <c r="F43" s="553" t="s">
        <v>534</v>
      </c>
      <c r="G43" s="554"/>
      <c r="H43" s="55"/>
      <c r="I43" s="583"/>
      <c r="J43" s="543">
        <v>4</v>
      </c>
      <c r="K43" s="398"/>
      <c r="L43" s="400"/>
      <c r="M43" s="428">
        <v>4</v>
      </c>
      <c r="N43" s="437"/>
      <c r="O43" s="403"/>
      <c r="P43" s="400"/>
      <c r="Q43" s="401"/>
      <c r="R43" s="402"/>
      <c r="S43" s="549"/>
      <c r="T43" s="400"/>
      <c r="U43" s="428"/>
      <c r="V43" s="429"/>
      <c r="W43" s="598">
        <f t="shared" ref="W43" si="7">SUM(K43:V43)</f>
        <v>4</v>
      </c>
      <c r="X43" s="599"/>
      <c r="Y43" s="445"/>
    </row>
    <row r="44" spans="2:28" ht="20.25" customHeight="1" thickBot="1">
      <c r="B44" s="536"/>
      <c r="C44" s="98" t="s">
        <v>353</v>
      </c>
      <c r="D44" s="99" t="s">
        <v>356</v>
      </c>
      <c r="E44" s="92" t="s">
        <v>351</v>
      </c>
      <c r="F44" s="467" t="s">
        <v>563</v>
      </c>
      <c r="G44" s="468"/>
      <c r="H44" s="65"/>
      <c r="I44" s="585"/>
      <c r="J44" s="544"/>
      <c r="K44" s="411"/>
      <c r="L44" s="412"/>
      <c r="M44" s="547"/>
      <c r="N44" s="552"/>
      <c r="O44" s="415"/>
      <c r="P44" s="412"/>
      <c r="Q44" s="413"/>
      <c r="R44" s="414"/>
      <c r="S44" s="548"/>
      <c r="T44" s="412"/>
      <c r="U44" s="547"/>
      <c r="V44" s="435"/>
      <c r="W44" s="600"/>
      <c r="X44" s="601"/>
      <c r="Y44" s="445"/>
    </row>
    <row r="45" spans="2:28" ht="16.5" customHeight="1">
      <c r="B45" s="535" t="s">
        <v>153</v>
      </c>
      <c r="C45" s="97" t="s">
        <v>352</v>
      </c>
      <c r="D45" s="94" t="s">
        <v>356</v>
      </c>
      <c r="E45" s="97" t="s">
        <v>351</v>
      </c>
      <c r="F45" s="553" t="s">
        <v>787</v>
      </c>
      <c r="G45" s="554"/>
      <c r="H45" s="55"/>
      <c r="I45" s="583"/>
      <c r="J45" s="543">
        <v>8</v>
      </c>
      <c r="K45" s="398"/>
      <c r="L45" s="400"/>
      <c r="M45" s="401"/>
      <c r="N45" s="549"/>
      <c r="O45" s="426">
        <v>4</v>
      </c>
      <c r="P45" s="427"/>
      <c r="Q45" s="428">
        <v>4</v>
      </c>
      <c r="R45" s="437"/>
      <c r="S45" s="549"/>
      <c r="T45" s="400"/>
      <c r="U45" s="401"/>
      <c r="V45" s="399"/>
      <c r="W45" s="602">
        <f>SUM(K45:V46)</f>
        <v>8</v>
      </c>
      <c r="X45" s="603"/>
      <c r="Y45" s="445"/>
    </row>
    <row r="46" spans="2:28" ht="16.5" customHeight="1" thickBot="1">
      <c r="B46" s="536"/>
      <c r="C46" s="179" t="s">
        <v>353</v>
      </c>
      <c r="D46" s="93" t="s">
        <v>356</v>
      </c>
      <c r="E46" s="100" t="s">
        <v>351</v>
      </c>
      <c r="F46" s="607" t="s">
        <v>788</v>
      </c>
      <c r="G46" s="608"/>
      <c r="H46" s="60"/>
      <c r="I46" s="584"/>
      <c r="J46" s="544"/>
      <c r="K46" s="420"/>
      <c r="L46" s="422"/>
      <c r="M46" s="423"/>
      <c r="N46" s="424"/>
      <c r="O46" s="545"/>
      <c r="P46" s="546"/>
      <c r="Q46" s="547"/>
      <c r="R46" s="552"/>
      <c r="S46" s="425"/>
      <c r="T46" s="422"/>
      <c r="U46" s="423"/>
      <c r="V46" s="421"/>
      <c r="W46" s="598"/>
      <c r="X46" s="599"/>
      <c r="Y46" s="445"/>
    </row>
    <row r="47" spans="2:28" ht="17.399999999999999" customHeight="1">
      <c r="B47" s="535" t="s">
        <v>153</v>
      </c>
      <c r="C47" s="97" t="s">
        <v>352</v>
      </c>
      <c r="D47" s="96" t="s">
        <v>531</v>
      </c>
      <c r="E47" s="101" t="s">
        <v>350</v>
      </c>
      <c r="F47" s="609" t="s">
        <v>564</v>
      </c>
      <c r="G47" s="610"/>
      <c r="H47" s="55"/>
      <c r="I47" s="195"/>
      <c r="J47" s="586">
        <v>5</v>
      </c>
      <c r="K47" s="398"/>
      <c r="L47" s="400"/>
      <c r="M47" s="401"/>
      <c r="N47" s="549"/>
      <c r="O47" s="403"/>
      <c r="P47" s="400"/>
      <c r="Q47" s="428">
        <v>5</v>
      </c>
      <c r="R47" s="437"/>
      <c r="S47" s="549"/>
      <c r="T47" s="400"/>
      <c r="U47" s="401"/>
      <c r="V47" s="399"/>
      <c r="W47" s="602">
        <f>SUM(K47:V48)</f>
        <v>5</v>
      </c>
      <c r="X47" s="603"/>
      <c r="Y47" s="445"/>
    </row>
    <row r="48" spans="2:28" ht="18" thickBot="1">
      <c r="B48" s="536"/>
      <c r="C48" s="191" t="s">
        <v>353</v>
      </c>
      <c r="D48" s="190" t="s">
        <v>531</v>
      </c>
      <c r="E48" s="176" t="s">
        <v>350</v>
      </c>
      <c r="F48" s="613" t="s">
        <v>565</v>
      </c>
      <c r="G48" s="614"/>
      <c r="H48" s="57"/>
      <c r="I48" s="194"/>
      <c r="J48" s="544"/>
      <c r="K48" s="411"/>
      <c r="L48" s="412"/>
      <c r="M48" s="413"/>
      <c r="N48" s="414"/>
      <c r="O48" s="415"/>
      <c r="P48" s="412"/>
      <c r="Q48" s="547"/>
      <c r="R48" s="552"/>
      <c r="S48" s="415"/>
      <c r="T48" s="412"/>
      <c r="U48" s="413"/>
      <c r="V48" s="416"/>
      <c r="W48" s="600"/>
      <c r="X48" s="601"/>
      <c r="Y48" s="445"/>
    </row>
    <row r="49" spans="2:29">
      <c r="B49" s="535" t="s">
        <v>153</v>
      </c>
      <c r="C49" s="179" t="s">
        <v>352</v>
      </c>
      <c r="D49" s="105" t="s">
        <v>68</v>
      </c>
      <c r="E49" s="202" t="s">
        <v>351</v>
      </c>
      <c r="F49" s="609" t="s">
        <v>566</v>
      </c>
      <c r="G49" s="610"/>
      <c r="H49" s="60"/>
      <c r="I49" s="203"/>
      <c r="J49" s="543">
        <v>12</v>
      </c>
      <c r="K49" s="398"/>
      <c r="L49" s="400"/>
      <c r="M49" s="401"/>
      <c r="N49" s="402"/>
      <c r="O49" s="403"/>
      <c r="P49" s="400"/>
      <c r="Q49" s="401"/>
      <c r="R49" s="402"/>
      <c r="S49" s="426">
        <v>6</v>
      </c>
      <c r="T49" s="427"/>
      <c r="U49" s="428">
        <v>6</v>
      </c>
      <c r="V49" s="429"/>
      <c r="W49" s="602">
        <f>SUM(K49:V50)</f>
        <v>12</v>
      </c>
      <c r="X49" s="603"/>
      <c r="Y49" s="445"/>
    </row>
    <row r="50" spans="2:29" ht="18" thickBot="1">
      <c r="B50" s="536"/>
      <c r="C50" s="179" t="s">
        <v>353</v>
      </c>
      <c r="D50" s="102" t="s">
        <v>71</v>
      </c>
      <c r="E50" s="92" t="s">
        <v>351</v>
      </c>
      <c r="F50" s="607" t="s">
        <v>567</v>
      </c>
      <c r="G50" s="608"/>
      <c r="H50" s="56"/>
      <c r="I50" s="204"/>
      <c r="J50" s="544"/>
      <c r="K50" s="420"/>
      <c r="L50" s="422"/>
      <c r="M50" s="423"/>
      <c r="N50" s="448"/>
      <c r="O50" s="425"/>
      <c r="P50" s="422"/>
      <c r="Q50" s="423"/>
      <c r="R50" s="424"/>
      <c r="S50" s="545"/>
      <c r="T50" s="546"/>
      <c r="U50" s="547"/>
      <c r="V50" s="435"/>
      <c r="W50" s="600"/>
      <c r="X50" s="601"/>
      <c r="Y50" s="445"/>
    </row>
    <row r="51" spans="2:29" ht="24.75" customHeight="1">
      <c r="B51" s="483" t="s">
        <v>360</v>
      </c>
      <c r="C51" s="477"/>
      <c r="D51" s="477"/>
      <c r="E51" s="477"/>
      <c r="F51" s="477"/>
      <c r="G51" s="479"/>
      <c r="H51" s="487">
        <f>SUM(H34:H41)</f>
        <v>0</v>
      </c>
      <c r="I51" s="489">
        <f>SUM(I34:I41)</f>
        <v>0</v>
      </c>
      <c r="J51" s="491">
        <f>SUM(J34:J50)</f>
        <v>106</v>
      </c>
      <c r="K51" s="483">
        <f>SUM(K34:L50)</f>
        <v>5</v>
      </c>
      <c r="L51" s="470"/>
      <c r="M51" s="473">
        <f>SUM(M34:N46)</f>
        <v>9</v>
      </c>
      <c r="N51" s="477"/>
      <c r="O51" s="469">
        <f>SUM(O34:P46)</f>
        <v>18</v>
      </c>
      <c r="P51" s="470"/>
      <c r="Q51" s="473">
        <f>SUM(Q34:R50)</f>
        <v>17</v>
      </c>
      <c r="R51" s="474"/>
      <c r="S51" s="477">
        <f>SUM(S34:T50)</f>
        <v>28</v>
      </c>
      <c r="T51" s="470"/>
      <c r="U51" s="473">
        <f>SUM(U34:V50)</f>
        <v>29</v>
      </c>
      <c r="V51" s="479"/>
      <c r="W51" s="483">
        <f>SUM(K51:V52)</f>
        <v>106</v>
      </c>
      <c r="X51" s="479"/>
      <c r="Y51" s="485">
        <f>SUM(Y34:Y47)</f>
        <v>80</v>
      </c>
      <c r="AC51" s="61"/>
    </row>
    <row r="52" spans="2:29" ht="18" thickBot="1">
      <c r="B52" s="484"/>
      <c r="C52" s="478"/>
      <c r="D52" s="478"/>
      <c r="E52" s="478"/>
      <c r="F52" s="478"/>
      <c r="G52" s="480"/>
      <c r="H52" s="488"/>
      <c r="I52" s="490"/>
      <c r="J52" s="492"/>
      <c r="K52" s="484"/>
      <c r="L52" s="472"/>
      <c r="M52" s="475"/>
      <c r="N52" s="478"/>
      <c r="O52" s="471"/>
      <c r="P52" s="472"/>
      <c r="Q52" s="475"/>
      <c r="R52" s="476"/>
      <c r="S52" s="478"/>
      <c r="T52" s="472"/>
      <c r="U52" s="475"/>
      <c r="V52" s="480"/>
      <c r="W52" s="484"/>
      <c r="X52" s="480"/>
      <c r="Y52" s="486"/>
      <c r="AC52" s="104"/>
    </row>
    <row r="53" spans="2:29" ht="17.25" customHeight="1" thickBot="1">
      <c r="B53" s="451"/>
      <c r="C53" s="459"/>
      <c r="D53" s="459"/>
      <c r="E53" s="459"/>
      <c r="F53" s="459"/>
      <c r="G53" s="460"/>
      <c r="H53" s="62">
        <f>SUM(H33,H51)</f>
        <v>84</v>
      </c>
      <c r="I53" s="63">
        <f>SUM(I33,I51)</f>
        <v>0</v>
      </c>
      <c r="J53" s="66">
        <f>SUM(J33,J51)</f>
        <v>174</v>
      </c>
      <c r="K53" s="451">
        <f>SUM(K33,K51)</f>
        <v>29</v>
      </c>
      <c r="L53" s="452"/>
      <c r="M53" s="462">
        <f>SUM(M33,M51)</f>
        <v>29</v>
      </c>
      <c r="N53" s="511"/>
      <c r="O53" s="512">
        <f>SUM(O33,O51)</f>
        <v>29</v>
      </c>
      <c r="P53" s="452"/>
      <c r="Q53" s="462">
        <f>SUM(Q33,Q51)</f>
        <v>29</v>
      </c>
      <c r="R53" s="511"/>
      <c r="S53" s="512">
        <f>SUM(S33,S51)</f>
        <v>29</v>
      </c>
      <c r="T53" s="452"/>
      <c r="U53" s="462">
        <f>SUM(U33,U51)</f>
        <v>29</v>
      </c>
      <c r="V53" s="460"/>
      <c r="W53" s="451">
        <f>SUM(K53:V53)</f>
        <v>174</v>
      </c>
      <c r="X53" s="460"/>
      <c r="Y53" s="11">
        <f>Y51+Y33</f>
        <v>144</v>
      </c>
      <c r="AA53" s="432" t="s">
        <v>154</v>
      </c>
      <c r="AB53" s="432"/>
    </row>
    <row r="54" spans="2:29" ht="18.75" customHeight="1" thickBot="1">
      <c r="B54" s="494" t="s">
        <v>361</v>
      </c>
      <c r="C54" s="495"/>
      <c r="D54" s="495"/>
      <c r="E54" s="496"/>
      <c r="F54" s="503" t="s">
        <v>357</v>
      </c>
      <c r="G54" s="504"/>
      <c r="H54" s="504"/>
      <c r="I54" s="504"/>
      <c r="J54" s="505"/>
      <c r="K54" s="506">
        <v>16</v>
      </c>
      <c r="L54" s="507"/>
      <c r="M54" s="508">
        <v>16</v>
      </c>
      <c r="N54" s="509"/>
      <c r="O54" s="510">
        <v>16</v>
      </c>
      <c r="P54" s="507"/>
      <c r="Q54" s="508">
        <v>16</v>
      </c>
      <c r="R54" s="509"/>
      <c r="S54" s="510">
        <v>16</v>
      </c>
      <c r="T54" s="507"/>
      <c r="U54" s="508">
        <v>16</v>
      </c>
      <c r="V54" s="522"/>
      <c r="W54" s="494">
        <f>SUM(K54:V56)</f>
        <v>288</v>
      </c>
      <c r="X54" s="496"/>
      <c r="Y54" s="485">
        <f>Y57*16</f>
        <v>288</v>
      </c>
      <c r="AA54" s="493"/>
      <c r="AB54" s="493"/>
    </row>
    <row r="55" spans="2:29" ht="17.25" customHeight="1" thickBot="1">
      <c r="B55" s="497"/>
      <c r="C55" s="498"/>
      <c r="D55" s="498"/>
      <c r="E55" s="499"/>
      <c r="F55" s="513" t="s">
        <v>63</v>
      </c>
      <c r="G55" s="514"/>
      <c r="H55" s="514"/>
      <c r="I55" s="514"/>
      <c r="J55" s="515"/>
      <c r="K55" s="516">
        <v>16</v>
      </c>
      <c r="L55" s="517"/>
      <c r="M55" s="518">
        <v>16</v>
      </c>
      <c r="N55" s="519"/>
      <c r="O55" s="520">
        <v>16</v>
      </c>
      <c r="P55" s="517"/>
      <c r="Q55" s="518">
        <v>16</v>
      </c>
      <c r="R55" s="519"/>
      <c r="S55" s="520">
        <v>16</v>
      </c>
      <c r="T55" s="517"/>
      <c r="U55" s="518">
        <v>16</v>
      </c>
      <c r="V55" s="521"/>
      <c r="W55" s="497"/>
      <c r="X55" s="499"/>
      <c r="Y55" s="445"/>
      <c r="AA55" s="457" t="b">
        <f>W53&gt;=Y53</f>
        <v>1</v>
      </c>
      <c r="AB55" s="458"/>
    </row>
    <row r="56" spans="2:29" ht="17.25" customHeight="1">
      <c r="B56" s="497"/>
      <c r="C56" s="498"/>
      <c r="D56" s="498"/>
      <c r="E56" s="499"/>
      <c r="F56" s="513" t="s">
        <v>11</v>
      </c>
      <c r="G56" s="514"/>
      <c r="H56" s="514"/>
      <c r="I56" s="514"/>
      <c r="J56" s="515"/>
      <c r="K56" s="516">
        <v>16</v>
      </c>
      <c r="L56" s="517"/>
      <c r="M56" s="518">
        <v>16</v>
      </c>
      <c r="N56" s="519"/>
      <c r="O56" s="520">
        <v>16</v>
      </c>
      <c r="P56" s="517"/>
      <c r="Q56" s="518">
        <v>16</v>
      </c>
      <c r="R56" s="519"/>
      <c r="S56" s="520">
        <v>16</v>
      </c>
      <c r="T56" s="517"/>
      <c r="U56" s="518">
        <v>16</v>
      </c>
      <c r="V56" s="521"/>
      <c r="W56" s="523"/>
      <c r="X56" s="524"/>
      <c r="Y56" s="525"/>
    </row>
    <row r="57" spans="2:29" ht="17.25" customHeight="1" thickBot="1">
      <c r="B57" s="500"/>
      <c r="C57" s="501"/>
      <c r="D57" s="501"/>
      <c r="E57" s="502"/>
      <c r="F57" s="528" t="s">
        <v>149</v>
      </c>
      <c r="G57" s="530"/>
      <c r="H57" s="530"/>
      <c r="I57" s="530"/>
      <c r="J57" s="529"/>
      <c r="K57" s="531">
        <v>3</v>
      </c>
      <c r="L57" s="532"/>
      <c r="M57" s="526">
        <v>3</v>
      </c>
      <c r="N57" s="533"/>
      <c r="O57" s="534">
        <v>3</v>
      </c>
      <c r="P57" s="532"/>
      <c r="Q57" s="526">
        <v>3</v>
      </c>
      <c r="R57" s="533"/>
      <c r="S57" s="534">
        <v>3</v>
      </c>
      <c r="T57" s="532"/>
      <c r="U57" s="526">
        <v>3</v>
      </c>
      <c r="V57" s="527"/>
      <c r="W57" s="528">
        <f>SUM(K57:V57)</f>
        <v>18</v>
      </c>
      <c r="X57" s="529"/>
      <c r="Y57" s="106">
        <v>18</v>
      </c>
      <c r="AA57" s="432" t="s">
        <v>155</v>
      </c>
      <c r="AB57" s="432"/>
    </row>
    <row r="58" spans="2:29" ht="17.25" customHeight="1" thickBot="1">
      <c r="B58" s="451"/>
      <c r="C58" s="459"/>
      <c r="D58" s="459"/>
      <c r="E58" s="459"/>
      <c r="F58" s="459"/>
      <c r="G58" s="459"/>
      <c r="H58" s="459"/>
      <c r="I58" s="459"/>
      <c r="J58" s="460"/>
      <c r="K58" s="451">
        <v>32</v>
      </c>
      <c r="L58" s="452"/>
      <c r="M58" s="462">
        <v>32</v>
      </c>
      <c r="N58" s="511"/>
      <c r="O58" s="512">
        <v>32</v>
      </c>
      <c r="P58" s="452"/>
      <c r="Q58" s="462">
        <v>32</v>
      </c>
      <c r="R58" s="511"/>
      <c r="S58" s="512">
        <v>32</v>
      </c>
      <c r="T58" s="452"/>
      <c r="U58" s="462">
        <v>32</v>
      </c>
      <c r="V58" s="460"/>
      <c r="W58" s="451">
        <f>SUM(K58:V58)</f>
        <v>192</v>
      </c>
      <c r="X58" s="460"/>
      <c r="Y58" s="67">
        <f>W58</f>
        <v>192</v>
      </c>
      <c r="AA58" s="457" t="b">
        <f>W57&gt;=Y57</f>
        <v>1</v>
      </c>
      <c r="AB58" s="458"/>
    </row>
    <row r="59" spans="2:29" ht="17.25" customHeight="1" thickBot="1">
      <c r="B59" s="451"/>
      <c r="C59" s="459"/>
      <c r="D59" s="459"/>
      <c r="E59" s="459"/>
      <c r="F59" s="459"/>
      <c r="G59" s="459"/>
      <c r="H59" s="459"/>
      <c r="I59" s="459"/>
      <c r="J59" s="460"/>
      <c r="K59" s="451">
        <f>SUM(K58:N58)</f>
        <v>64</v>
      </c>
      <c r="L59" s="459"/>
      <c r="M59" s="459"/>
      <c r="N59" s="511"/>
      <c r="O59" s="512">
        <f>SUM(O58:R58)</f>
        <v>64</v>
      </c>
      <c r="P59" s="459"/>
      <c r="Q59" s="459"/>
      <c r="R59" s="511"/>
      <c r="S59" s="512">
        <f>SUM(S58:V58)</f>
        <v>64</v>
      </c>
      <c r="T59" s="459"/>
      <c r="U59" s="459"/>
      <c r="V59" s="460"/>
      <c r="W59" s="451">
        <f>SUM(K59:V59)</f>
        <v>192</v>
      </c>
      <c r="X59" s="460"/>
      <c r="Y59" s="11"/>
      <c r="AA59" s="432" t="s">
        <v>152</v>
      </c>
      <c r="AB59" s="432"/>
    </row>
    <row r="60" spans="2:29" ht="17.25" customHeight="1" thickBot="1">
      <c r="AA60" s="457" t="b">
        <f>W58&gt;=Y58</f>
        <v>1</v>
      </c>
      <c r="AB60" s="458"/>
    </row>
    <row r="61" spans="2:29" ht="17.25" customHeight="1"/>
    <row r="62" spans="2:29" ht="17.25" customHeight="1"/>
    <row r="63" spans="2:29" ht="17.25" customHeight="1"/>
    <row r="65" ht="24.9" customHeight="1"/>
    <row r="66" ht="24.9" customHeight="1"/>
    <row r="67" ht="32.25" customHeight="1"/>
    <row r="68" ht="24.9" customHeight="1"/>
    <row r="70" ht="16.5" customHeight="1"/>
    <row r="71" ht="17.2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244.5" customHeight="1"/>
  </sheetData>
  <mergeCells count="452">
    <mergeCell ref="B47:B48"/>
    <mergeCell ref="B49:B50"/>
    <mergeCell ref="W47:X48"/>
    <mergeCell ref="K48:L48"/>
    <mergeCell ref="M48:N48"/>
    <mergeCell ref="F48:G48"/>
    <mergeCell ref="J45:J46"/>
    <mergeCell ref="J47:J48"/>
    <mergeCell ref="J49:J50"/>
    <mergeCell ref="O45:P46"/>
    <mergeCell ref="Q45:R46"/>
    <mergeCell ref="Q47:R48"/>
    <mergeCell ref="O48:P48"/>
    <mergeCell ref="S48:T48"/>
    <mergeCell ref="U48:V48"/>
    <mergeCell ref="W49:X50"/>
    <mergeCell ref="S49:T50"/>
    <mergeCell ref="U49:V50"/>
    <mergeCell ref="F42:G42"/>
    <mergeCell ref="Q42:R42"/>
    <mergeCell ref="K42:L42"/>
    <mergeCell ref="M42:N42"/>
    <mergeCell ref="O42:P42"/>
    <mergeCell ref="S42:T42"/>
    <mergeCell ref="U42:V42"/>
    <mergeCell ref="W42:X42"/>
    <mergeCell ref="B45:B46"/>
    <mergeCell ref="M43:N44"/>
    <mergeCell ref="U43:V43"/>
    <mergeCell ref="U44:V44"/>
    <mergeCell ref="B34:C42"/>
    <mergeCell ref="B43:B44"/>
    <mergeCell ref="F43:G43"/>
    <mergeCell ref="I43:I44"/>
    <mergeCell ref="J43:J44"/>
    <mergeCell ref="K43:L43"/>
    <mergeCell ref="O43:P43"/>
    <mergeCell ref="Q43:R43"/>
    <mergeCell ref="F44:G44"/>
    <mergeCell ref="K44:L44"/>
    <mergeCell ref="O44:P44"/>
    <mergeCell ref="Q44:R44"/>
    <mergeCell ref="AB14:AD14"/>
    <mergeCell ref="AA8:AD8"/>
    <mergeCell ref="B59:J59"/>
    <mergeCell ref="K59:N59"/>
    <mergeCell ref="O59:R59"/>
    <mergeCell ref="S59:V59"/>
    <mergeCell ref="W59:X59"/>
    <mergeCell ref="AA59:AB59"/>
    <mergeCell ref="F57:J57"/>
    <mergeCell ref="K57:L57"/>
    <mergeCell ref="M57:N57"/>
    <mergeCell ref="O57:P57"/>
    <mergeCell ref="Q57:R57"/>
    <mergeCell ref="S57:T57"/>
    <mergeCell ref="U57:V57"/>
    <mergeCell ref="W57:X57"/>
    <mergeCell ref="AA57:AB57"/>
    <mergeCell ref="S55:T55"/>
    <mergeCell ref="U55:V55"/>
    <mergeCell ref="AA55:AB55"/>
    <mergeCell ref="F56:J56"/>
    <mergeCell ref="K56:L56"/>
    <mergeCell ref="M56:N56"/>
    <mergeCell ref="K53:L53"/>
    <mergeCell ref="M53:N53"/>
    <mergeCell ref="O53:P53"/>
    <mergeCell ref="Q53:R53"/>
    <mergeCell ref="S53:T53"/>
    <mergeCell ref="U53:V53"/>
    <mergeCell ref="AA60:AB60"/>
    <mergeCell ref="B58:J58"/>
    <mergeCell ref="K58:L58"/>
    <mergeCell ref="M58:N58"/>
    <mergeCell ref="O58:P58"/>
    <mergeCell ref="Q58:R58"/>
    <mergeCell ref="S58:T58"/>
    <mergeCell ref="U58:V58"/>
    <mergeCell ref="W58:X58"/>
    <mergeCell ref="AA58:AB58"/>
    <mergeCell ref="W51:X52"/>
    <mergeCell ref="Y51:Y52"/>
    <mergeCell ref="W53:X53"/>
    <mergeCell ref="AA53:AB54"/>
    <mergeCell ref="B54:E57"/>
    <mergeCell ref="F54:J54"/>
    <mergeCell ref="K54:L54"/>
    <mergeCell ref="M54:N54"/>
    <mergeCell ref="O54:P54"/>
    <mergeCell ref="Q54:R54"/>
    <mergeCell ref="S54:T54"/>
    <mergeCell ref="U54:V54"/>
    <mergeCell ref="W54:X56"/>
    <mergeCell ref="Y54:Y56"/>
    <mergeCell ref="F55:J55"/>
    <mergeCell ref="K55:L55"/>
    <mergeCell ref="M55:N55"/>
    <mergeCell ref="O55:P55"/>
    <mergeCell ref="Q55:R55"/>
    <mergeCell ref="O56:P56"/>
    <mergeCell ref="Q56:R56"/>
    <mergeCell ref="S56:T56"/>
    <mergeCell ref="U56:V56"/>
    <mergeCell ref="B53:G53"/>
    <mergeCell ref="B51:G52"/>
    <mergeCell ref="H51:H52"/>
    <mergeCell ref="I51:I52"/>
    <mergeCell ref="J51:J52"/>
    <mergeCell ref="K51:L52"/>
    <mergeCell ref="M51:N52"/>
    <mergeCell ref="O51:P52"/>
    <mergeCell ref="Q51:R52"/>
    <mergeCell ref="S51:T52"/>
    <mergeCell ref="U51:V52"/>
    <mergeCell ref="F47:G47"/>
    <mergeCell ref="K47:L47"/>
    <mergeCell ref="F50:G50"/>
    <mergeCell ref="K50:L50"/>
    <mergeCell ref="F49:G49"/>
    <mergeCell ref="K49:L49"/>
    <mergeCell ref="F45:G45"/>
    <mergeCell ref="I45:I46"/>
    <mergeCell ref="K45:L45"/>
    <mergeCell ref="M45:N45"/>
    <mergeCell ref="F46:G46"/>
    <mergeCell ref="K46:L46"/>
    <mergeCell ref="M46:N46"/>
    <mergeCell ref="M50:N50"/>
    <mergeCell ref="Q50:R50"/>
    <mergeCell ref="O49:P49"/>
    <mergeCell ref="M49:N49"/>
    <mergeCell ref="Q49:R49"/>
    <mergeCell ref="M47:N47"/>
    <mergeCell ref="O50:P50"/>
    <mergeCell ref="O47:P47"/>
    <mergeCell ref="S47:T47"/>
    <mergeCell ref="U47:V47"/>
    <mergeCell ref="B33:G33"/>
    <mergeCell ref="K33:L33"/>
    <mergeCell ref="AA33:AB33"/>
    <mergeCell ref="F34:G34"/>
    <mergeCell ref="Y34:Y50"/>
    <mergeCell ref="K34:L34"/>
    <mergeCell ref="F35:G35"/>
    <mergeCell ref="K35:L35"/>
    <mergeCell ref="F36:G36"/>
    <mergeCell ref="K36:L36"/>
    <mergeCell ref="F37:G37"/>
    <mergeCell ref="K37:L37"/>
    <mergeCell ref="F38:G38"/>
    <mergeCell ref="K38:L38"/>
    <mergeCell ref="F39:G39"/>
    <mergeCell ref="K39:L39"/>
    <mergeCell ref="F40:G40"/>
    <mergeCell ref="K40:L40"/>
    <mergeCell ref="F41:G41"/>
    <mergeCell ref="K41:L41"/>
    <mergeCell ref="M41:N41"/>
    <mergeCell ref="O41:P41"/>
    <mergeCell ref="Q41:R41"/>
    <mergeCell ref="S41:T41"/>
    <mergeCell ref="D29:D30"/>
    <mergeCell ref="F29:G29"/>
    <mergeCell ref="K29:L29"/>
    <mergeCell ref="W29:X30"/>
    <mergeCell ref="Y29:Y30"/>
    <mergeCell ref="F30:G30"/>
    <mergeCell ref="K30:L30"/>
    <mergeCell ref="D31:D32"/>
    <mergeCell ref="F31:G31"/>
    <mergeCell ref="K31:L31"/>
    <mergeCell ref="W31:X32"/>
    <mergeCell ref="Y31:Y32"/>
    <mergeCell ref="F32:G32"/>
    <mergeCell ref="K32:L32"/>
    <mergeCell ref="O30:P30"/>
    <mergeCell ref="Q30:R30"/>
    <mergeCell ref="S30:T30"/>
    <mergeCell ref="U30:V30"/>
    <mergeCell ref="M29:N29"/>
    <mergeCell ref="O29:P29"/>
    <mergeCell ref="Q29:R29"/>
    <mergeCell ref="S29:T29"/>
    <mergeCell ref="M30:N30"/>
    <mergeCell ref="F23:G23"/>
    <mergeCell ref="K23:L23"/>
    <mergeCell ref="F24:G24"/>
    <mergeCell ref="D24:D28"/>
    <mergeCell ref="K24:L24"/>
    <mergeCell ref="X24:X28"/>
    <mergeCell ref="F25:G25"/>
    <mergeCell ref="K25:L25"/>
    <mergeCell ref="F26:G26"/>
    <mergeCell ref="K26:L26"/>
    <mergeCell ref="F27:G27"/>
    <mergeCell ref="K27:L27"/>
    <mergeCell ref="F28:G28"/>
    <mergeCell ref="K28:L28"/>
    <mergeCell ref="O26:P26"/>
    <mergeCell ref="Q26:R26"/>
    <mergeCell ref="S26:T26"/>
    <mergeCell ref="U26:V26"/>
    <mergeCell ref="M24:N24"/>
    <mergeCell ref="O24:P24"/>
    <mergeCell ref="Q24:R24"/>
    <mergeCell ref="S24:T24"/>
    <mergeCell ref="U24:V24"/>
    <mergeCell ref="M25:N25"/>
    <mergeCell ref="X15:X17"/>
    <mergeCell ref="F16:G16"/>
    <mergeCell ref="K16:L16"/>
    <mergeCell ref="F17:G17"/>
    <mergeCell ref="K17:L17"/>
    <mergeCell ref="D18:D21"/>
    <mergeCell ref="F18:G18"/>
    <mergeCell ref="K18:L18"/>
    <mergeCell ref="X18:X19"/>
    <mergeCell ref="F19:G19"/>
    <mergeCell ref="K19:L19"/>
    <mergeCell ref="F20:G20"/>
    <mergeCell ref="K20:L20"/>
    <mergeCell ref="X20:X21"/>
    <mergeCell ref="F21:G21"/>
    <mergeCell ref="K21:L21"/>
    <mergeCell ref="U19:V19"/>
    <mergeCell ref="M19:N19"/>
    <mergeCell ref="O19:P19"/>
    <mergeCell ref="S19:T19"/>
    <mergeCell ref="X12:X14"/>
    <mergeCell ref="F13:G13"/>
    <mergeCell ref="K13:L13"/>
    <mergeCell ref="F14:G14"/>
    <mergeCell ref="K14:L14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U41:V41"/>
    <mergeCell ref="W41:X41"/>
    <mergeCell ref="S43:T43"/>
    <mergeCell ref="W43:X44"/>
    <mergeCell ref="S44:T44"/>
    <mergeCell ref="S45:T45"/>
    <mergeCell ref="U45:V45"/>
    <mergeCell ref="W45:X46"/>
    <mergeCell ref="S46:T46"/>
    <mergeCell ref="U46:V46"/>
    <mergeCell ref="B9:C32"/>
    <mergeCell ref="D9:D11"/>
    <mergeCell ref="F9:G9"/>
    <mergeCell ref="K9:L9"/>
    <mergeCell ref="F10:G10"/>
    <mergeCell ref="K10:L10"/>
    <mergeCell ref="M23:N23"/>
    <mergeCell ref="O23:P23"/>
    <mergeCell ref="Q23:R23"/>
    <mergeCell ref="M22:N22"/>
    <mergeCell ref="O22:P22"/>
    <mergeCell ref="Q22:R22"/>
    <mergeCell ref="Q19:R19"/>
    <mergeCell ref="F11:G11"/>
    <mergeCell ref="K11:L11"/>
    <mergeCell ref="D12:D14"/>
    <mergeCell ref="F12:G12"/>
    <mergeCell ref="K12:L12"/>
    <mergeCell ref="D15:D17"/>
    <mergeCell ref="F15:G15"/>
    <mergeCell ref="K15:L15"/>
    <mergeCell ref="D22:D23"/>
    <mergeCell ref="F22:G22"/>
    <mergeCell ref="K22:L22"/>
    <mergeCell ref="Y20:Y23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S22:T22"/>
    <mergeCell ref="U22:V22"/>
    <mergeCell ref="S23:T23"/>
    <mergeCell ref="U23:V23"/>
    <mergeCell ref="X22:X23"/>
    <mergeCell ref="Y18:Y19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Y9:Y17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M9:N9"/>
    <mergeCell ref="X2:Y2"/>
    <mergeCell ref="B2:U2"/>
    <mergeCell ref="V2:W2"/>
    <mergeCell ref="AA2:AA5"/>
    <mergeCell ref="S40:T40"/>
    <mergeCell ref="U39:V39"/>
    <mergeCell ref="W39:X39"/>
    <mergeCell ref="U40:V40"/>
    <mergeCell ref="W38:X38"/>
    <mergeCell ref="M37:N37"/>
    <mergeCell ref="O37:P37"/>
    <mergeCell ref="M38:N38"/>
    <mergeCell ref="O38:P38"/>
    <mergeCell ref="Q37:R37"/>
    <mergeCell ref="S37:T37"/>
    <mergeCell ref="Q31:R31"/>
    <mergeCell ref="Q32:R32"/>
    <mergeCell ref="S31:T31"/>
    <mergeCell ref="S32:T32"/>
    <mergeCell ref="U31:V31"/>
    <mergeCell ref="U32:V32"/>
    <mergeCell ref="U13:V13"/>
    <mergeCell ref="M10:N10"/>
    <mergeCell ref="O10:P10"/>
    <mergeCell ref="S8:T8"/>
    <mergeCell ref="U8:V8"/>
    <mergeCell ref="Q10:R10"/>
    <mergeCell ref="S10:T10"/>
    <mergeCell ref="U10:V10"/>
    <mergeCell ref="U29:V29"/>
    <mergeCell ref="S39:T39"/>
    <mergeCell ref="M39:N39"/>
    <mergeCell ref="O39:P39"/>
    <mergeCell ref="U38:V38"/>
    <mergeCell ref="M35:N35"/>
    <mergeCell ref="M36:N36"/>
    <mergeCell ref="O35:P35"/>
    <mergeCell ref="O36:P36"/>
    <mergeCell ref="S35:T35"/>
    <mergeCell ref="U35:V35"/>
    <mergeCell ref="M11:N11"/>
    <mergeCell ref="O11:P11"/>
    <mergeCell ref="Q11:R11"/>
    <mergeCell ref="S11:T11"/>
    <mergeCell ref="U11:V11"/>
    <mergeCell ref="O34:P34"/>
    <mergeCell ref="U33:V33"/>
    <mergeCell ref="O25:P25"/>
    <mergeCell ref="Y24:Y28"/>
    <mergeCell ref="M31:N31"/>
    <mergeCell ref="M32:N32"/>
    <mergeCell ref="M33:N33"/>
    <mergeCell ref="O33:P33"/>
    <mergeCell ref="O32:P32"/>
    <mergeCell ref="M34:N34"/>
    <mergeCell ref="U34:V34"/>
    <mergeCell ref="O31:P31"/>
    <mergeCell ref="S34:T34"/>
    <mergeCell ref="Q25:R25"/>
    <mergeCell ref="S25:T25"/>
    <mergeCell ref="U25:V25"/>
    <mergeCell ref="M28:N28"/>
    <mergeCell ref="O28:P28"/>
    <mergeCell ref="Q28:R28"/>
    <mergeCell ref="S28:T28"/>
    <mergeCell ref="U28:V28"/>
    <mergeCell ref="M27:N27"/>
    <mergeCell ref="O27:P27"/>
    <mergeCell ref="Q27:R27"/>
    <mergeCell ref="S27:T27"/>
    <mergeCell ref="U27:V27"/>
    <mergeCell ref="M26:N26"/>
    <mergeCell ref="W33:X33"/>
    <mergeCell ref="W36:X36"/>
    <mergeCell ref="W34:X34"/>
    <mergeCell ref="Q34:R34"/>
    <mergeCell ref="Q33:R33"/>
    <mergeCell ref="S33:T33"/>
    <mergeCell ref="M40:N40"/>
    <mergeCell ref="O40:P40"/>
    <mergeCell ref="W40:X40"/>
    <mergeCell ref="Q39:R39"/>
    <mergeCell ref="Q40:R40"/>
    <mergeCell ref="U37:V37"/>
    <mergeCell ref="W37:X37"/>
    <mergeCell ref="W35:X35"/>
    <mergeCell ref="Q35:R35"/>
    <mergeCell ref="Q36:R36"/>
    <mergeCell ref="S36:T36"/>
    <mergeCell ref="U36:V36"/>
    <mergeCell ref="Q38:R38"/>
    <mergeCell ref="S38:T38"/>
  </mergeCells>
  <phoneticPr fontId="9" type="noConversion"/>
  <conditionalFormatting sqref="AA33:AB33 AC52 AA55:AB55 AA58:AB58 AA60:AB60">
    <cfRule type="containsText" dxfId="0" priority="1" operator="containsText" text="FALSE">
      <formula>NOT(ISERROR(SEARCH("FALSE",AA33)))</formula>
    </cfRule>
  </conditionalFormatting>
  <dataValidations count="1">
    <dataValidation type="list" allowBlank="1" showInputMessage="1" showErrorMessage="1" sqref="D50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F352-9E99-4814-B95E-651261F2826A}">
  <sheetPr>
    <pageSetUpPr fitToPage="1"/>
  </sheetPr>
  <dimension ref="B2:AG53"/>
  <sheetViews>
    <sheetView showGridLines="0" view="pageBreakPreview" topLeftCell="A25" zoomScale="90" zoomScaleNormal="85" zoomScaleSheetLayoutView="90" workbookViewId="0">
      <selection activeCell="H43" sqref="H43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26" t="s">
        <v>150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</row>
    <row r="3" spans="2:33" ht="27" customHeight="1" thickBot="1"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627" t="s">
        <v>129</v>
      </c>
      <c r="O3" s="628"/>
      <c r="P3" s="629"/>
      <c r="Q3" s="627" t="s">
        <v>127</v>
      </c>
      <c r="R3" s="628"/>
      <c r="S3" s="629"/>
      <c r="T3" s="630" t="s">
        <v>130</v>
      </c>
      <c r="U3" s="631"/>
    </row>
    <row r="4" spans="2:33" ht="27" customHeight="1" thickBot="1"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632" t="s">
        <v>515</v>
      </c>
      <c r="O4" s="633"/>
      <c r="P4" s="634"/>
      <c r="Q4" s="635" t="s">
        <v>518</v>
      </c>
      <c r="R4" s="636"/>
      <c r="S4" s="637"/>
      <c r="T4" s="638">
        <v>2027</v>
      </c>
      <c r="U4" s="639"/>
    </row>
    <row r="5" spans="2:33" ht="24" customHeight="1" thickBot="1">
      <c r="B5" s="640"/>
      <c r="C5" s="640"/>
    </row>
    <row r="6" spans="2:33" ht="20.25" customHeight="1">
      <c r="B6" s="641" t="s">
        <v>13</v>
      </c>
      <c r="C6" s="644" t="s">
        <v>140</v>
      </c>
      <c r="D6" s="623" t="s">
        <v>14</v>
      </c>
      <c r="E6" s="623" t="s">
        <v>15</v>
      </c>
      <c r="F6" s="623" t="s">
        <v>141</v>
      </c>
      <c r="G6" s="623" t="s">
        <v>142</v>
      </c>
      <c r="H6" s="647" t="s">
        <v>58</v>
      </c>
      <c r="I6" s="647"/>
      <c r="J6" s="647"/>
      <c r="K6" s="647"/>
      <c r="L6" s="647" t="s">
        <v>59</v>
      </c>
      <c r="M6" s="647"/>
      <c r="N6" s="647"/>
      <c r="O6" s="647"/>
      <c r="P6" s="647" t="s">
        <v>60</v>
      </c>
      <c r="Q6" s="647"/>
      <c r="R6" s="647"/>
      <c r="S6" s="647"/>
      <c r="T6" s="648" t="s">
        <v>139</v>
      </c>
      <c r="U6" s="658" t="s">
        <v>126</v>
      </c>
      <c r="W6" s="651" t="s">
        <v>131</v>
      </c>
      <c r="X6" s="652"/>
      <c r="Y6" s="652"/>
      <c r="Z6" s="652"/>
      <c r="AA6" s="652"/>
      <c r="AB6" s="652"/>
      <c r="AC6" s="652"/>
      <c r="AD6" s="652"/>
      <c r="AE6" s="652"/>
      <c r="AF6" s="653"/>
      <c r="AG6" s="13"/>
    </row>
    <row r="7" spans="2:33" ht="16.5" customHeight="1">
      <c r="B7" s="642"/>
      <c r="C7" s="645"/>
      <c r="D7" s="624"/>
      <c r="E7" s="624"/>
      <c r="F7" s="624"/>
      <c r="G7" s="624"/>
      <c r="H7" s="654" t="s">
        <v>124</v>
      </c>
      <c r="I7" s="654"/>
      <c r="J7" s="654" t="s">
        <v>62</v>
      </c>
      <c r="K7" s="654"/>
      <c r="L7" s="654" t="s">
        <v>124</v>
      </c>
      <c r="M7" s="654"/>
      <c r="N7" s="654" t="s">
        <v>62</v>
      </c>
      <c r="O7" s="654"/>
      <c r="P7" s="654" t="s">
        <v>124</v>
      </c>
      <c r="Q7" s="654"/>
      <c r="R7" s="654" t="s">
        <v>62</v>
      </c>
      <c r="S7" s="654"/>
      <c r="T7" s="649"/>
      <c r="U7" s="659"/>
      <c r="W7" s="655" t="s">
        <v>132</v>
      </c>
      <c r="X7" s="656"/>
      <c r="Y7" s="656"/>
      <c r="Z7" s="656"/>
      <c r="AA7" s="656"/>
      <c r="AB7" s="656"/>
      <c r="AC7" s="656"/>
      <c r="AD7" s="656"/>
      <c r="AE7" s="656"/>
      <c r="AF7" s="657"/>
      <c r="AG7" s="13"/>
    </row>
    <row r="8" spans="2:33" ht="17.25" customHeight="1" thickBot="1">
      <c r="B8" s="643"/>
      <c r="C8" s="646"/>
      <c r="D8" s="625"/>
      <c r="E8" s="625"/>
      <c r="F8" s="625"/>
      <c r="G8" s="625"/>
      <c r="H8" s="281" t="s">
        <v>138</v>
      </c>
      <c r="I8" s="281" t="s">
        <v>125</v>
      </c>
      <c r="J8" s="281" t="s">
        <v>138</v>
      </c>
      <c r="K8" s="281" t="s">
        <v>125</v>
      </c>
      <c r="L8" s="281" t="s">
        <v>138</v>
      </c>
      <c r="M8" s="281" t="s">
        <v>125</v>
      </c>
      <c r="N8" s="281" t="s">
        <v>138</v>
      </c>
      <c r="O8" s="281" t="s">
        <v>125</v>
      </c>
      <c r="P8" s="281" t="s">
        <v>138</v>
      </c>
      <c r="Q8" s="281" t="s">
        <v>125</v>
      </c>
      <c r="R8" s="281" t="s">
        <v>138</v>
      </c>
      <c r="S8" s="281" t="s">
        <v>125</v>
      </c>
      <c r="T8" s="650"/>
      <c r="U8" s="660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61" t="s">
        <v>797</v>
      </c>
      <c r="C9" s="664">
        <v>19</v>
      </c>
      <c r="D9" s="225" t="s">
        <v>639</v>
      </c>
      <c r="E9" s="225" t="s">
        <v>640</v>
      </c>
      <c r="F9" s="320">
        <v>40</v>
      </c>
      <c r="G9" s="320">
        <v>4</v>
      </c>
      <c r="H9" s="321"/>
      <c r="I9" s="321">
        <f>H9*16</f>
        <v>0</v>
      </c>
      <c r="J9" s="321"/>
      <c r="K9" s="321">
        <f>J9*16</f>
        <v>0</v>
      </c>
      <c r="L9" s="321">
        <v>3</v>
      </c>
      <c r="M9" s="321">
        <f>L9*16</f>
        <v>48</v>
      </c>
      <c r="N9" s="321"/>
      <c r="O9" s="321"/>
      <c r="P9" s="321"/>
      <c r="Q9" s="321"/>
      <c r="R9" s="321"/>
      <c r="S9" s="321"/>
      <c r="T9" s="229">
        <v>3</v>
      </c>
      <c r="U9" s="234"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62"/>
      <c r="C10" s="665"/>
      <c r="D10" s="225" t="s">
        <v>641</v>
      </c>
      <c r="E10" s="225" t="s">
        <v>642</v>
      </c>
      <c r="F10" s="322">
        <v>40</v>
      </c>
      <c r="G10" s="322">
        <v>2</v>
      </c>
      <c r="H10" s="323"/>
      <c r="I10" s="323">
        <f t="shared" ref="I10" si="0">H10*16</f>
        <v>0</v>
      </c>
      <c r="J10" s="323"/>
      <c r="K10" s="323">
        <f t="shared" ref="K10" si="1">J10*16</f>
        <v>0</v>
      </c>
      <c r="L10" s="323">
        <v>3</v>
      </c>
      <c r="M10" s="323">
        <f>L10*16</f>
        <v>48</v>
      </c>
      <c r="N10" s="323"/>
      <c r="O10" s="323"/>
      <c r="P10" s="323"/>
      <c r="Q10" s="323"/>
      <c r="R10" s="323"/>
      <c r="S10" s="323"/>
      <c r="T10" s="229">
        <v>3</v>
      </c>
      <c r="U10" s="235"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62"/>
      <c r="C11" s="665"/>
      <c r="D11" s="225" t="s">
        <v>643</v>
      </c>
      <c r="E11" s="225" t="s">
        <v>644</v>
      </c>
      <c r="F11" s="324">
        <v>60</v>
      </c>
      <c r="G11" s="324">
        <v>2</v>
      </c>
      <c r="H11" s="325"/>
      <c r="I11" s="325"/>
      <c r="J11" s="325"/>
      <c r="K11" s="325"/>
      <c r="L11" s="325">
        <v>4</v>
      </c>
      <c r="M11" s="323">
        <f t="shared" ref="M11:M14" si="2">L11*16</f>
        <v>64</v>
      </c>
      <c r="N11" s="325"/>
      <c r="O11" s="325"/>
      <c r="P11" s="325"/>
      <c r="Q11" s="325"/>
      <c r="R11" s="325"/>
      <c r="S11" s="325"/>
      <c r="T11" s="229">
        <v>4</v>
      </c>
      <c r="U11" s="236">
        <v>64</v>
      </c>
    </row>
    <row r="12" spans="2:33">
      <c r="B12" s="662"/>
      <c r="C12" s="665"/>
      <c r="D12" s="225" t="s">
        <v>645</v>
      </c>
      <c r="E12" s="225" t="s">
        <v>673</v>
      </c>
      <c r="F12" s="324">
        <v>40</v>
      </c>
      <c r="G12" s="324">
        <v>3</v>
      </c>
      <c r="H12" s="325"/>
      <c r="I12" s="325"/>
      <c r="J12" s="325"/>
      <c r="K12" s="325"/>
      <c r="L12" s="325"/>
      <c r="M12" s="323">
        <f t="shared" si="2"/>
        <v>0</v>
      </c>
      <c r="N12" s="325">
        <v>3</v>
      </c>
      <c r="O12" s="325">
        <f>N12*16</f>
        <v>48</v>
      </c>
      <c r="P12" s="325"/>
      <c r="Q12" s="325"/>
      <c r="R12" s="325"/>
      <c r="S12" s="325"/>
      <c r="T12" s="229">
        <v>3</v>
      </c>
      <c r="U12" s="236">
        <v>48</v>
      </c>
    </row>
    <row r="13" spans="2:33">
      <c r="B13" s="662"/>
      <c r="C13" s="665"/>
      <c r="D13" s="225" t="s">
        <v>646</v>
      </c>
      <c r="E13" s="225" t="s">
        <v>674</v>
      </c>
      <c r="F13" s="324">
        <v>40</v>
      </c>
      <c r="G13" s="324">
        <v>4</v>
      </c>
      <c r="H13" s="325"/>
      <c r="I13" s="325"/>
      <c r="J13" s="325"/>
      <c r="K13" s="325"/>
      <c r="L13" s="325"/>
      <c r="M13" s="323">
        <f t="shared" si="2"/>
        <v>0</v>
      </c>
      <c r="N13" s="325">
        <v>3</v>
      </c>
      <c r="O13" s="325">
        <f t="shared" ref="O13:O14" si="3">N13*16</f>
        <v>48</v>
      </c>
      <c r="P13" s="325"/>
      <c r="Q13" s="325"/>
      <c r="R13" s="325"/>
      <c r="S13" s="325"/>
      <c r="T13" s="229">
        <v>3</v>
      </c>
      <c r="U13" s="235">
        <v>48</v>
      </c>
    </row>
    <row r="14" spans="2:33">
      <c r="B14" s="662"/>
      <c r="C14" s="665"/>
      <c r="D14" s="225" t="s">
        <v>798</v>
      </c>
      <c r="E14" s="225" t="s">
        <v>647</v>
      </c>
      <c r="F14" s="324">
        <v>40</v>
      </c>
      <c r="G14" s="324">
        <v>2</v>
      </c>
      <c r="H14" s="325"/>
      <c r="I14" s="325"/>
      <c r="J14" s="325"/>
      <c r="K14" s="325"/>
      <c r="L14" s="325"/>
      <c r="M14" s="323">
        <f t="shared" si="2"/>
        <v>0</v>
      </c>
      <c r="N14" s="325">
        <v>3</v>
      </c>
      <c r="O14" s="325">
        <f t="shared" si="3"/>
        <v>48</v>
      </c>
      <c r="P14" s="325"/>
      <c r="Q14" s="325"/>
      <c r="R14" s="325"/>
      <c r="S14" s="325"/>
      <c r="T14" s="229">
        <v>3</v>
      </c>
      <c r="U14" s="235">
        <v>48</v>
      </c>
    </row>
    <row r="15" spans="2:33" ht="18" thickBot="1">
      <c r="B15" s="663"/>
      <c r="C15" s="666"/>
      <c r="D15" s="621" t="s">
        <v>16</v>
      </c>
      <c r="E15" s="667"/>
      <c r="F15" s="326"/>
      <c r="G15" s="326"/>
      <c r="H15" s="327">
        <f>SUM(H11:H14)</f>
        <v>0</v>
      </c>
      <c r="I15" s="327">
        <f>SUM(I11:I14)</f>
        <v>0</v>
      </c>
      <c r="J15" s="327">
        <f>SUM(J11:J14)</f>
        <v>0</v>
      </c>
      <c r="K15" s="327">
        <f>SUM(K11:K14)</f>
        <v>0</v>
      </c>
      <c r="L15" s="327">
        <f t="shared" ref="L15:U15" si="4">SUM(L9:L14)</f>
        <v>10</v>
      </c>
      <c r="M15" s="327">
        <f t="shared" si="4"/>
        <v>160</v>
      </c>
      <c r="N15" s="327">
        <f t="shared" si="4"/>
        <v>9</v>
      </c>
      <c r="O15" s="327">
        <f t="shared" si="4"/>
        <v>144</v>
      </c>
      <c r="P15" s="327">
        <f t="shared" si="4"/>
        <v>0</v>
      </c>
      <c r="Q15" s="327">
        <f t="shared" si="4"/>
        <v>0</v>
      </c>
      <c r="R15" s="327">
        <f t="shared" si="4"/>
        <v>0</v>
      </c>
      <c r="S15" s="327">
        <f t="shared" si="4"/>
        <v>0</v>
      </c>
      <c r="T15" s="328">
        <f t="shared" si="4"/>
        <v>19</v>
      </c>
      <c r="U15" s="328">
        <f t="shared" si="4"/>
        <v>304</v>
      </c>
    </row>
    <row r="16" spans="2:33">
      <c r="B16" s="668" t="s">
        <v>532</v>
      </c>
      <c r="C16" s="669">
        <v>10</v>
      </c>
      <c r="D16" s="227" t="s">
        <v>648</v>
      </c>
      <c r="E16" s="227" t="s">
        <v>649</v>
      </c>
      <c r="F16" s="329">
        <v>30</v>
      </c>
      <c r="G16" s="329">
        <v>3</v>
      </c>
      <c r="H16" s="330"/>
      <c r="I16" s="330"/>
      <c r="J16" s="330"/>
      <c r="K16" s="330"/>
      <c r="L16" s="330">
        <v>2</v>
      </c>
      <c r="M16" s="330">
        <f>L16*16</f>
        <v>32</v>
      </c>
      <c r="N16" s="330"/>
      <c r="O16" s="330"/>
      <c r="P16" s="330"/>
      <c r="Q16" s="330"/>
      <c r="R16" s="330"/>
      <c r="S16" s="330"/>
      <c r="T16" s="226">
        <v>2</v>
      </c>
      <c r="U16" s="230">
        <v>32</v>
      </c>
      <c r="W16" s="49"/>
    </row>
    <row r="17" spans="2:21">
      <c r="B17" s="615"/>
      <c r="C17" s="618"/>
      <c r="D17" s="225" t="s">
        <v>650</v>
      </c>
      <c r="E17" s="225" t="s">
        <v>651</v>
      </c>
      <c r="F17" s="331">
        <v>40</v>
      </c>
      <c r="G17" s="331">
        <v>3</v>
      </c>
      <c r="H17" s="332"/>
      <c r="I17" s="332"/>
      <c r="J17" s="332"/>
      <c r="K17" s="332"/>
      <c r="L17" s="332">
        <v>3</v>
      </c>
      <c r="M17" s="332">
        <f>L17*16</f>
        <v>48</v>
      </c>
      <c r="N17" s="332"/>
      <c r="O17" s="332"/>
      <c r="P17" s="332"/>
      <c r="Q17" s="332"/>
      <c r="R17" s="332"/>
      <c r="S17" s="333"/>
      <c r="T17" s="226">
        <v>3</v>
      </c>
      <c r="U17" s="231">
        <v>48</v>
      </c>
    </row>
    <row r="18" spans="2:21">
      <c r="B18" s="615"/>
      <c r="C18" s="618"/>
      <c r="D18" s="225" t="s">
        <v>799</v>
      </c>
      <c r="E18" s="225" t="s">
        <v>652</v>
      </c>
      <c r="F18" s="331">
        <v>30</v>
      </c>
      <c r="G18" s="331">
        <v>3</v>
      </c>
      <c r="H18" s="332"/>
      <c r="I18" s="332"/>
      <c r="J18" s="332"/>
      <c r="K18" s="332"/>
      <c r="L18" s="332"/>
      <c r="M18" s="332"/>
      <c r="N18" s="332">
        <v>2</v>
      </c>
      <c r="O18" s="332">
        <v>32</v>
      </c>
      <c r="P18" s="332"/>
      <c r="Q18" s="332"/>
      <c r="R18" s="332"/>
      <c r="S18" s="333"/>
      <c r="T18" s="226">
        <v>2</v>
      </c>
      <c r="U18" s="231">
        <v>32</v>
      </c>
    </row>
    <row r="19" spans="2:21">
      <c r="B19" s="615"/>
      <c r="C19" s="618"/>
      <c r="D19" s="225" t="s">
        <v>653</v>
      </c>
      <c r="E19" s="225" t="s">
        <v>654</v>
      </c>
      <c r="F19" s="331">
        <v>40</v>
      </c>
      <c r="G19" s="331">
        <v>3</v>
      </c>
      <c r="H19" s="332"/>
      <c r="I19" s="332"/>
      <c r="J19" s="332"/>
      <c r="K19" s="332"/>
      <c r="L19" s="332"/>
      <c r="M19" s="332"/>
      <c r="N19" s="332">
        <v>3</v>
      </c>
      <c r="O19" s="332">
        <v>48</v>
      </c>
      <c r="P19" s="332"/>
      <c r="Q19" s="332"/>
      <c r="R19" s="332"/>
      <c r="S19" s="333"/>
      <c r="T19" s="226">
        <v>3</v>
      </c>
      <c r="U19" s="231">
        <v>48</v>
      </c>
    </row>
    <row r="20" spans="2:21" ht="18" thickBot="1">
      <c r="B20" s="617"/>
      <c r="C20" s="620"/>
      <c r="D20" s="670" t="s">
        <v>16</v>
      </c>
      <c r="E20" s="671"/>
      <c r="F20" s="334"/>
      <c r="G20" s="334"/>
      <c r="H20" s="335"/>
      <c r="I20" s="335"/>
      <c r="J20" s="335"/>
      <c r="K20" s="335"/>
      <c r="L20" s="237">
        <f t="shared" ref="L20:S20" si="5">SUM(L16:L19)</f>
        <v>5</v>
      </c>
      <c r="M20" s="237">
        <f t="shared" si="5"/>
        <v>80</v>
      </c>
      <c r="N20" s="237">
        <f t="shared" si="5"/>
        <v>5</v>
      </c>
      <c r="O20" s="237">
        <f t="shared" si="5"/>
        <v>80</v>
      </c>
      <c r="P20" s="219">
        <f t="shared" si="5"/>
        <v>0</v>
      </c>
      <c r="Q20" s="219">
        <f t="shared" si="5"/>
        <v>0</v>
      </c>
      <c r="R20" s="219">
        <f t="shared" si="5"/>
        <v>0</v>
      </c>
      <c r="S20" s="219">
        <f t="shared" si="5"/>
        <v>0</v>
      </c>
      <c r="T20" s="219">
        <f>SUM(T16:T19)</f>
        <v>10</v>
      </c>
      <c r="U20" s="232">
        <f>SUM(U16:U19)</f>
        <v>160</v>
      </c>
    </row>
    <row r="21" spans="2:21">
      <c r="B21" s="662" t="s">
        <v>533</v>
      </c>
      <c r="C21" s="672">
        <v>10</v>
      </c>
      <c r="D21" s="225" t="s">
        <v>800</v>
      </c>
      <c r="E21" s="225" t="s">
        <v>655</v>
      </c>
      <c r="F21" s="331">
        <v>25</v>
      </c>
      <c r="G21" s="331">
        <v>2</v>
      </c>
      <c r="H21" s="332"/>
      <c r="I21" s="332"/>
      <c r="J21" s="332"/>
      <c r="K21" s="332"/>
      <c r="L21" s="332">
        <v>2</v>
      </c>
      <c r="M21" s="332">
        <v>32</v>
      </c>
      <c r="N21" s="332"/>
      <c r="O21" s="332"/>
      <c r="P21" s="332"/>
      <c r="Q21" s="332"/>
      <c r="R21" s="332"/>
      <c r="S21" s="332"/>
      <c r="T21" s="226">
        <v>2</v>
      </c>
      <c r="U21" s="231">
        <v>32</v>
      </c>
    </row>
    <row r="22" spans="2:21">
      <c r="B22" s="662"/>
      <c r="C22" s="673"/>
      <c r="D22" s="225" t="s">
        <v>801</v>
      </c>
      <c r="E22" s="225" t="s">
        <v>656</v>
      </c>
      <c r="F22" s="331">
        <v>40</v>
      </c>
      <c r="G22" s="331">
        <v>2</v>
      </c>
      <c r="H22" s="332"/>
      <c r="I22" s="332"/>
      <c r="J22" s="332"/>
      <c r="K22" s="332"/>
      <c r="L22" s="332">
        <v>3</v>
      </c>
      <c r="M22" s="332">
        <v>48</v>
      </c>
      <c r="N22" s="332"/>
      <c r="O22" s="332"/>
      <c r="P22" s="332"/>
      <c r="Q22" s="332"/>
      <c r="R22" s="332"/>
      <c r="S22" s="332"/>
      <c r="T22" s="226">
        <v>3</v>
      </c>
      <c r="U22" s="231">
        <v>48</v>
      </c>
    </row>
    <row r="23" spans="2:21">
      <c r="B23" s="662"/>
      <c r="C23" s="673"/>
      <c r="D23" s="225" t="s">
        <v>802</v>
      </c>
      <c r="E23" s="225" t="s">
        <v>803</v>
      </c>
      <c r="F23" s="331">
        <v>30</v>
      </c>
      <c r="G23" s="331">
        <v>3</v>
      </c>
      <c r="H23" s="332"/>
      <c r="I23" s="332"/>
      <c r="J23" s="332"/>
      <c r="K23" s="332"/>
      <c r="L23" s="332"/>
      <c r="M23" s="332"/>
      <c r="N23" s="332">
        <v>2</v>
      </c>
      <c r="O23" s="332">
        <v>32</v>
      </c>
      <c r="P23" s="332"/>
      <c r="Q23" s="332"/>
      <c r="R23" s="332"/>
      <c r="S23" s="332"/>
      <c r="T23" s="226">
        <v>2</v>
      </c>
      <c r="U23" s="231">
        <v>32</v>
      </c>
    </row>
    <row r="24" spans="2:21">
      <c r="B24" s="662"/>
      <c r="C24" s="673"/>
      <c r="D24" s="225" t="s">
        <v>804</v>
      </c>
      <c r="E24" s="225" t="s">
        <v>657</v>
      </c>
      <c r="F24" s="331">
        <v>40</v>
      </c>
      <c r="G24" s="331">
        <v>3</v>
      </c>
      <c r="H24" s="332"/>
      <c r="I24" s="332"/>
      <c r="J24" s="332"/>
      <c r="K24" s="332"/>
      <c r="L24" s="332"/>
      <c r="M24" s="332"/>
      <c r="N24" s="332">
        <v>3</v>
      </c>
      <c r="O24" s="332">
        <v>48</v>
      </c>
      <c r="P24" s="332"/>
      <c r="Q24" s="332"/>
      <c r="R24" s="332"/>
      <c r="S24" s="333"/>
      <c r="T24" s="226">
        <v>3</v>
      </c>
      <c r="U24" s="231">
        <v>48</v>
      </c>
    </row>
    <row r="25" spans="2:21" ht="18" thickBot="1">
      <c r="B25" s="663"/>
      <c r="C25" s="674"/>
      <c r="D25" s="675" t="s">
        <v>16</v>
      </c>
      <c r="E25" s="676"/>
      <c r="F25" s="336"/>
      <c r="G25" s="336"/>
      <c r="H25" s="337"/>
      <c r="I25" s="337"/>
      <c r="J25" s="337"/>
      <c r="K25" s="337"/>
      <c r="L25" s="337">
        <f>SUM(L21:L24)</f>
        <v>5</v>
      </c>
      <c r="M25" s="337">
        <f t="shared" ref="M25:U25" si="6">SUM(M21:M24)</f>
        <v>80</v>
      </c>
      <c r="N25" s="337">
        <f t="shared" si="6"/>
        <v>5</v>
      </c>
      <c r="O25" s="337">
        <f t="shared" si="6"/>
        <v>80</v>
      </c>
      <c r="P25" s="337">
        <f t="shared" si="6"/>
        <v>0</v>
      </c>
      <c r="Q25" s="337">
        <f t="shared" si="6"/>
        <v>0</v>
      </c>
      <c r="R25" s="337">
        <f t="shared" si="6"/>
        <v>0</v>
      </c>
      <c r="S25" s="337">
        <f t="shared" si="6"/>
        <v>0</v>
      </c>
      <c r="T25" s="338">
        <f t="shared" si="6"/>
        <v>10</v>
      </c>
      <c r="U25" s="338">
        <f t="shared" si="6"/>
        <v>160</v>
      </c>
    </row>
    <row r="26" spans="2:21">
      <c r="B26" s="668" t="s">
        <v>534</v>
      </c>
      <c r="C26" s="669">
        <v>3</v>
      </c>
      <c r="D26" s="329" t="s">
        <v>571</v>
      </c>
      <c r="E26" s="329" t="s">
        <v>573</v>
      </c>
      <c r="F26" s="329">
        <v>15</v>
      </c>
      <c r="G26" s="339">
        <v>2</v>
      </c>
      <c r="H26" s="330"/>
      <c r="I26" s="330"/>
      <c r="J26" s="330"/>
      <c r="K26" s="330"/>
      <c r="L26" s="330"/>
      <c r="M26" s="330"/>
      <c r="N26" s="330">
        <v>1</v>
      </c>
      <c r="O26" s="330">
        <v>16</v>
      </c>
      <c r="P26" s="330"/>
      <c r="Q26" s="330"/>
      <c r="R26" s="330"/>
      <c r="S26" s="330"/>
      <c r="T26" s="220">
        <v>1</v>
      </c>
      <c r="U26" s="230">
        <v>16</v>
      </c>
    </row>
    <row r="27" spans="2:21">
      <c r="B27" s="677"/>
      <c r="C27" s="678"/>
      <c r="D27" s="340" t="s">
        <v>805</v>
      </c>
      <c r="E27" s="331" t="s">
        <v>574</v>
      </c>
      <c r="F27" s="340">
        <v>30</v>
      </c>
      <c r="G27" s="340">
        <v>3</v>
      </c>
      <c r="H27" s="333"/>
      <c r="I27" s="333"/>
      <c r="J27" s="333"/>
      <c r="K27" s="333"/>
      <c r="L27" s="333"/>
      <c r="M27" s="333"/>
      <c r="N27" s="333">
        <v>2</v>
      </c>
      <c r="O27" s="333">
        <v>32</v>
      </c>
      <c r="P27" s="333"/>
      <c r="Q27" s="333"/>
      <c r="R27" s="333"/>
      <c r="S27" s="333"/>
      <c r="T27" s="221">
        <v>2</v>
      </c>
      <c r="U27" s="233">
        <v>32</v>
      </c>
    </row>
    <row r="28" spans="2:21" ht="18" thickBot="1">
      <c r="B28" s="617"/>
      <c r="C28" s="620"/>
      <c r="D28" s="675" t="s">
        <v>16</v>
      </c>
      <c r="E28" s="676"/>
      <c r="F28" s="334"/>
      <c r="G28" s="334"/>
      <c r="H28" s="335"/>
      <c r="I28" s="335"/>
      <c r="J28" s="335"/>
      <c r="K28" s="335"/>
      <c r="L28" s="335"/>
      <c r="M28" s="335"/>
      <c r="N28" s="335">
        <f>SUM(N26:N27)</f>
        <v>3</v>
      </c>
      <c r="O28" s="335">
        <v>48</v>
      </c>
      <c r="P28" s="335"/>
      <c r="Q28" s="335"/>
      <c r="R28" s="335"/>
      <c r="S28" s="335"/>
      <c r="T28" s="219">
        <v>3</v>
      </c>
      <c r="U28" s="232">
        <f>SUM(U26:U27)</f>
        <v>48</v>
      </c>
    </row>
    <row r="29" spans="2:21">
      <c r="B29" s="615" t="s">
        <v>806</v>
      </c>
      <c r="C29" s="618">
        <v>24</v>
      </c>
      <c r="D29" s="261" t="s">
        <v>658</v>
      </c>
      <c r="E29" s="262" t="s">
        <v>659</v>
      </c>
      <c r="F29" s="340">
        <v>90</v>
      </c>
      <c r="G29" s="331">
        <v>2</v>
      </c>
      <c r="H29" s="332"/>
      <c r="I29" s="332"/>
      <c r="J29" s="332"/>
      <c r="K29" s="332"/>
      <c r="L29" s="332"/>
      <c r="M29" s="332"/>
      <c r="N29" s="332"/>
      <c r="O29" s="332"/>
      <c r="P29" s="222">
        <v>6</v>
      </c>
      <c r="Q29" s="222">
        <f>P29*16</f>
        <v>96</v>
      </c>
      <c r="R29" s="222"/>
      <c r="S29" s="222"/>
      <c r="T29" s="223">
        <v>6</v>
      </c>
      <c r="U29" s="231">
        <v>96</v>
      </c>
    </row>
    <row r="30" spans="2:21">
      <c r="B30" s="615"/>
      <c r="C30" s="618"/>
      <c r="D30" s="225" t="s">
        <v>660</v>
      </c>
      <c r="E30" s="225" t="s">
        <v>661</v>
      </c>
      <c r="F30" s="331">
        <v>90</v>
      </c>
      <c r="G30" s="331">
        <v>3</v>
      </c>
      <c r="H30" s="332"/>
      <c r="I30" s="332"/>
      <c r="J30" s="332"/>
      <c r="K30" s="332"/>
      <c r="L30" s="332"/>
      <c r="M30" s="332"/>
      <c r="N30" s="332"/>
      <c r="O30" s="332"/>
      <c r="P30" s="222">
        <v>6</v>
      </c>
      <c r="Q30" s="222">
        <v>96</v>
      </c>
      <c r="R30" s="222"/>
      <c r="S30" s="222"/>
      <c r="T30" s="223">
        <v>6</v>
      </c>
      <c r="U30" s="231">
        <v>96</v>
      </c>
    </row>
    <row r="31" spans="2:21">
      <c r="B31" s="616"/>
      <c r="C31" s="619"/>
      <c r="D31" s="225" t="s">
        <v>662</v>
      </c>
      <c r="E31" s="225" t="s">
        <v>663</v>
      </c>
      <c r="F31" s="340">
        <v>90</v>
      </c>
      <c r="G31" s="331">
        <v>4</v>
      </c>
      <c r="H31" s="332"/>
      <c r="I31" s="332"/>
      <c r="J31" s="332"/>
      <c r="K31" s="332"/>
      <c r="L31" s="332"/>
      <c r="M31" s="332"/>
      <c r="N31" s="332"/>
      <c r="O31" s="332"/>
      <c r="P31" s="222"/>
      <c r="Q31" s="222"/>
      <c r="R31" s="222">
        <v>6</v>
      </c>
      <c r="S31" s="222">
        <v>96</v>
      </c>
      <c r="T31" s="223">
        <v>6</v>
      </c>
      <c r="U31" s="231">
        <v>96</v>
      </c>
    </row>
    <row r="32" spans="2:21">
      <c r="B32" s="616"/>
      <c r="C32" s="619"/>
      <c r="D32" s="225" t="s">
        <v>664</v>
      </c>
      <c r="E32" s="225" t="s">
        <v>665</v>
      </c>
      <c r="F32" s="341">
        <v>90</v>
      </c>
      <c r="G32" s="340">
        <v>3</v>
      </c>
      <c r="H32" s="333"/>
      <c r="I32" s="333"/>
      <c r="J32" s="333"/>
      <c r="K32" s="333"/>
      <c r="L32" s="333"/>
      <c r="M32" s="333"/>
      <c r="N32" s="333"/>
      <c r="O32" s="333"/>
      <c r="P32" s="224"/>
      <c r="Q32" s="224"/>
      <c r="R32" s="224">
        <v>6</v>
      </c>
      <c r="S32" s="224">
        <v>96</v>
      </c>
      <c r="T32" s="221">
        <v>6</v>
      </c>
      <c r="U32" s="233">
        <v>96</v>
      </c>
    </row>
    <row r="33" spans="2:21" ht="18" thickBot="1">
      <c r="B33" s="617"/>
      <c r="C33" s="620"/>
      <c r="D33" s="621" t="s">
        <v>16</v>
      </c>
      <c r="E33" s="621"/>
      <c r="F33" s="326"/>
      <c r="G33" s="326"/>
      <c r="H33" s="327"/>
      <c r="I33" s="327"/>
      <c r="J33" s="327"/>
      <c r="K33" s="327"/>
      <c r="L33" s="327"/>
      <c r="M33" s="327"/>
      <c r="N33" s="327"/>
      <c r="O33" s="327"/>
      <c r="P33" s="327">
        <f>SUM(P29:P32)</f>
        <v>12</v>
      </c>
      <c r="Q33" s="327">
        <f t="shared" ref="Q33:U33" si="7">SUM(Q29:Q32)</f>
        <v>192</v>
      </c>
      <c r="R33" s="327">
        <f t="shared" si="7"/>
        <v>12</v>
      </c>
      <c r="S33" s="327">
        <f t="shared" si="7"/>
        <v>192</v>
      </c>
      <c r="T33" s="328">
        <f t="shared" si="7"/>
        <v>24</v>
      </c>
      <c r="U33" s="328">
        <f t="shared" si="7"/>
        <v>384</v>
      </c>
    </row>
    <row r="34" spans="2:21">
      <c r="B34" s="615" t="s">
        <v>562</v>
      </c>
      <c r="C34" s="618">
        <v>12</v>
      </c>
      <c r="D34" s="225" t="s">
        <v>786</v>
      </c>
      <c r="E34" s="225" t="s">
        <v>590</v>
      </c>
      <c r="F34" s="340">
        <v>40</v>
      </c>
      <c r="G34" s="331">
        <v>2</v>
      </c>
      <c r="H34" s="332"/>
      <c r="I34" s="332"/>
      <c r="J34" s="332"/>
      <c r="K34" s="332"/>
      <c r="L34" s="332"/>
      <c r="M34" s="332"/>
      <c r="N34" s="332"/>
      <c r="O34" s="332"/>
      <c r="P34" s="222">
        <v>3</v>
      </c>
      <c r="Q34" s="222">
        <v>48</v>
      </c>
      <c r="R34" s="222"/>
      <c r="S34" s="222"/>
      <c r="T34" s="223">
        <v>3</v>
      </c>
      <c r="U34" s="231">
        <v>48</v>
      </c>
    </row>
    <row r="35" spans="2:21">
      <c r="B35" s="615"/>
      <c r="C35" s="618"/>
      <c r="D35" s="228" t="s">
        <v>666</v>
      </c>
      <c r="E35" s="225" t="s">
        <v>667</v>
      </c>
      <c r="F35" s="331">
        <v>40</v>
      </c>
      <c r="G35" s="331">
        <v>2</v>
      </c>
      <c r="H35" s="332"/>
      <c r="I35" s="332"/>
      <c r="J35" s="332"/>
      <c r="K35" s="332"/>
      <c r="L35" s="332"/>
      <c r="M35" s="332"/>
      <c r="N35" s="332"/>
      <c r="O35" s="332"/>
      <c r="P35" s="222">
        <v>3</v>
      </c>
      <c r="Q35" s="222">
        <v>48</v>
      </c>
      <c r="R35" s="222"/>
      <c r="S35" s="222"/>
      <c r="T35" s="223">
        <v>3</v>
      </c>
      <c r="U35" s="231">
        <v>48</v>
      </c>
    </row>
    <row r="36" spans="2:21">
      <c r="B36" s="616"/>
      <c r="C36" s="619"/>
      <c r="D36" s="228" t="s">
        <v>588</v>
      </c>
      <c r="E36" s="225" t="s">
        <v>589</v>
      </c>
      <c r="F36" s="340">
        <v>40</v>
      </c>
      <c r="G36" s="331">
        <v>2</v>
      </c>
      <c r="H36" s="332"/>
      <c r="I36" s="332"/>
      <c r="J36" s="332"/>
      <c r="K36" s="332"/>
      <c r="L36" s="332"/>
      <c r="M36" s="332"/>
      <c r="N36" s="332"/>
      <c r="O36" s="332"/>
      <c r="P36" s="222"/>
      <c r="Q36" s="222"/>
      <c r="R36" s="222">
        <v>3</v>
      </c>
      <c r="S36" s="222">
        <v>48</v>
      </c>
      <c r="T36" s="223">
        <v>3</v>
      </c>
      <c r="U36" s="231">
        <v>48</v>
      </c>
    </row>
    <row r="37" spans="2:21">
      <c r="B37" s="616"/>
      <c r="C37" s="619"/>
      <c r="D37" s="228" t="s">
        <v>807</v>
      </c>
      <c r="E37" s="225" t="s">
        <v>668</v>
      </c>
      <c r="F37" s="341">
        <v>40</v>
      </c>
      <c r="G37" s="340">
        <v>4</v>
      </c>
      <c r="H37" s="333"/>
      <c r="I37" s="333"/>
      <c r="J37" s="333"/>
      <c r="K37" s="333"/>
      <c r="L37" s="333"/>
      <c r="M37" s="333"/>
      <c r="N37" s="333"/>
      <c r="O37" s="333"/>
      <c r="P37" s="224"/>
      <c r="Q37" s="224"/>
      <c r="R37" s="224">
        <v>3</v>
      </c>
      <c r="S37" s="224">
        <v>48</v>
      </c>
      <c r="T37" s="221">
        <v>3</v>
      </c>
      <c r="U37" s="233">
        <v>48</v>
      </c>
    </row>
    <row r="38" spans="2:21" ht="18" thickBot="1">
      <c r="B38" s="617"/>
      <c r="C38" s="620"/>
      <c r="D38" s="621" t="s">
        <v>16</v>
      </c>
      <c r="E38" s="621"/>
      <c r="F38" s="326"/>
      <c r="G38" s="326"/>
      <c r="H38" s="327"/>
      <c r="I38" s="327"/>
      <c r="J38" s="327"/>
      <c r="K38" s="327"/>
      <c r="L38" s="327"/>
      <c r="M38" s="327"/>
      <c r="N38" s="327"/>
      <c r="O38" s="327"/>
      <c r="P38" s="327">
        <f>SUM(P34:P37)</f>
        <v>6</v>
      </c>
      <c r="Q38" s="327">
        <f t="shared" ref="Q38:U38" si="8">SUM(Q34:Q37)</f>
        <v>96</v>
      </c>
      <c r="R38" s="327">
        <f t="shared" si="8"/>
        <v>6</v>
      </c>
      <c r="S38" s="327">
        <f t="shared" si="8"/>
        <v>96</v>
      </c>
      <c r="T38" s="328">
        <f t="shared" si="8"/>
        <v>12</v>
      </c>
      <c r="U38" s="328">
        <f t="shared" si="8"/>
        <v>192</v>
      </c>
    </row>
    <row r="39" spans="2:21">
      <c r="B39" s="615" t="s">
        <v>808</v>
      </c>
      <c r="C39" s="618">
        <v>8</v>
      </c>
      <c r="D39" s="225" t="s">
        <v>809</v>
      </c>
      <c r="E39" s="225" t="s">
        <v>669</v>
      </c>
      <c r="F39" s="340">
        <v>25</v>
      </c>
      <c r="G39" s="331">
        <v>3</v>
      </c>
      <c r="H39" s="332"/>
      <c r="I39" s="332"/>
      <c r="J39" s="332"/>
      <c r="K39" s="332"/>
      <c r="L39" s="332"/>
      <c r="M39" s="332"/>
      <c r="N39" s="332"/>
      <c r="O39" s="332"/>
      <c r="P39" s="222">
        <v>2</v>
      </c>
      <c r="Q39" s="222">
        <v>32</v>
      </c>
      <c r="R39" s="222"/>
      <c r="S39" s="222"/>
      <c r="T39" s="223">
        <v>2</v>
      </c>
      <c r="U39" s="231">
        <v>32</v>
      </c>
    </row>
    <row r="40" spans="2:21" ht="34.799999999999997">
      <c r="B40" s="615"/>
      <c r="C40" s="618"/>
      <c r="D40" s="225" t="s">
        <v>810</v>
      </c>
      <c r="E40" s="225" t="s">
        <v>670</v>
      </c>
      <c r="F40" s="331">
        <v>30</v>
      </c>
      <c r="G40" s="331">
        <v>2</v>
      </c>
      <c r="H40" s="332"/>
      <c r="I40" s="332"/>
      <c r="J40" s="332"/>
      <c r="K40" s="332"/>
      <c r="L40" s="332"/>
      <c r="M40" s="332"/>
      <c r="N40" s="332"/>
      <c r="O40" s="332"/>
      <c r="P40" s="222">
        <v>2</v>
      </c>
      <c r="Q40" s="222">
        <v>32</v>
      </c>
      <c r="R40" s="222"/>
      <c r="S40" s="222"/>
      <c r="T40" s="223">
        <v>2</v>
      </c>
      <c r="U40" s="231">
        <v>32</v>
      </c>
    </row>
    <row r="41" spans="2:21" ht="34.799999999999997">
      <c r="B41" s="616"/>
      <c r="C41" s="619"/>
      <c r="D41" s="225" t="s">
        <v>811</v>
      </c>
      <c r="E41" s="225" t="s">
        <v>671</v>
      </c>
      <c r="F41" s="340">
        <v>30</v>
      </c>
      <c r="G41" s="331">
        <v>2</v>
      </c>
      <c r="H41" s="332"/>
      <c r="I41" s="332"/>
      <c r="J41" s="332"/>
      <c r="K41" s="332"/>
      <c r="L41" s="332"/>
      <c r="M41" s="332"/>
      <c r="N41" s="332"/>
      <c r="O41" s="332"/>
      <c r="P41" s="222"/>
      <c r="Q41" s="222"/>
      <c r="R41" s="222">
        <v>2</v>
      </c>
      <c r="S41" s="222">
        <v>32</v>
      </c>
      <c r="T41" s="223">
        <v>2</v>
      </c>
      <c r="U41" s="231">
        <v>32</v>
      </c>
    </row>
    <row r="42" spans="2:21" ht="34.799999999999997">
      <c r="B42" s="616"/>
      <c r="C42" s="619"/>
      <c r="D42" s="225" t="s">
        <v>812</v>
      </c>
      <c r="E42" s="225" t="s">
        <v>672</v>
      </c>
      <c r="F42" s="341">
        <v>30</v>
      </c>
      <c r="G42" s="340">
        <v>2</v>
      </c>
      <c r="H42" s="333"/>
      <c r="I42" s="333"/>
      <c r="J42" s="333"/>
      <c r="K42" s="333"/>
      <c r="L42" s="333"/>
      <c r="M42" s="333"/>
      <c r="N42" s="333"/>
      <c r="O42" s="333"/>
      <c r="P42" s="224"/>
      <c r="Q42" s="224"/>
      <c r="R42" s="224">
        <v>2</v>
      </c>
      <c r="S42" s="224">
        <v>32</v>
      </c>
      <c r="T42" s="221">
        <v>2</v>
      </c>
      <c r="U42" s="233">
        <v>32</v>
      </c>
    </row>
    <row r="43" spans="2:21" ht="18" thickBot="1">
      <c r="B43" s="617"/>
      <c r="C43" s="620"/>
      <c r="D43" s="621" t="s">
        <v>16</v>
      </c>
      <c r="E43" s="621"/>
      <c r="F43" s="326"/>
      <c r="G43" s="326"/>
      <c r="H43" s="327"/>
      <c r="I43" s="327"/>
      <c r="J43" s="327"/>
      <c r="K43" s="327"/>
      <c r="L43" s="327"/>
      <c r="M43" s="327"/>
      <c r="N43" s="327"/>
      <c r="O43" s="327"/>
      <c r="P43" s="327">
        <f>SUM(P39:P42)</f>
        <v>4</v>
      </c>
      <c r="Q43" s="327">
        <f t="shared" ref="Q43:U43" si="9">SUM(Q39:Q42)</f>
        <v>64</v>
      </c>
      <c r="R43" s="327">
        <f t="shared" si="9"/>
        <v>4</v>
      </c>
      <c r="S43" s="327">
        <f t="shared" si="9"/>
        <v>64</v>
      </c>
      <c r="T43" s="328">
        <f t="shared" si="9"/>
        <v>8</v>
      </c>
      <c r="U43" s="328">
        <f t="shared" si="9"/>
        <v>128</v>
      </c>
    </row>
    <row r="44" spans="2:21" ht="34.799999999999997">
      <c r="B44" s="615" t="s">
        <v>813</v>
      </c>
      <c r="C44" s="618">
        <v>13</v>
      </c>
      <c r="D44" s="225" t="s">
        <v>814</v>
      </c>
      <c r="E44" s="225" t="s">
        <v>815</v>
      </c>
      <c r="F44" s="340">
        <v>40</v>
      </c>
      <c r="G44" s="331">
        <v>4</v>
      </c>
      <c r="H44" s="332"/>
      <c r="I44" s="332"/>
      <c r="J44" s="332"/>
      <c r="K44" s="332"/>
      <c r="L44" s="332"/>
      <c r="M44" s="332"/>
      <c r="N44" s="332"/>
      <c r="O44" s="332"/>
      <c r="P44" s="222">
        <v>3</v>
      </c>
      <c r="Q44" s="222">
        <v>48</v>
      </c>
      <c r="R44" s="222"/>
      <c r="S44" s="222"/>
      <c r="T44" s="223">
        <v>3</v>
      </c>
      <c r="U44" s="231">
        <v>48</v>
      </c>
    </row>
    <row r="45" spans="2:21">
      <c r="B45" s="615"/>
      <c r="C45" s="618"/>
      <c r="D45" s="225" t="s">
        <v>816</v>
      </c>
      <c r="E45" s="225" t="s">
        <v>817</v>
      </c>
      <c r="F45" s="331">
        <v>40</v>
      </c>
      <c r="G45" s="331">
        <v>3</v>
      </c>
      <c r="H45" s="332"/>
      <c r="I45" s="332"/>
      <c r="J45" s="332"/>
      <c r="K45" s="332"/>
      <c r="L45" s="332"/>
      <c r="M45" s="332"/>
      <c r="N45" s="332"/>
      <c r="O45" s="332"/>
      <c r="P45" s="222">
        <v>3</v>
      </c>
      <c r="Q45" s="222">
        <v>48</v>
      </c>
      <c r="R45" s="222"/>
      <c r="S45" s="222"/>
      <c r="T45" s="223">
        <v>3</v>
      </c>
      <c r="U45" s="231">
        <v>48</v>
      </c>
    </row>
    <row r="46" spans="2:21">
      <c r="B46" s="616"/>
      <c r="C46" s="619"/>
      <c r="D46" s="225" t="s">
        <v>818</v>
      </c>
      <c r="E46" s="225" t="s">
        <v>819</v>
      </c>
      <c r="F46" s="340">
        <v>40</v>
      </c>
      <c r="G46" s="331">
        <v>3</v>
      </c>
      <c r="H46" s="332"/>
      <c r="I46" s="332"/>
      <c r="J46" s="332"/>
      <c r="K46" s="332"/>
      <c r="L46" s="332"/>
      <c r="M46" s="332"/>
      <c r="N46" s="332"/>
      <c r="O46" s="332"/>
      <c r="P46" s="222"/>
      <c r="Q46" s="222"/>
      <c r="R46" s="222">
        <v>3</v>
      </c>
      <c r="S46" s="222">
        <v>48</v>
      </c>
      <c r="T46" s="223">
        <v>3</v>
      </c>
      <c r="U46" s="231">
        <v>48</v>
      </c>
    </row>
    <row r="47" spans="2:21">
      <c r="B47" s="616"/>
      <c r="C47" s="619"/>
      <c r="D47" s="225" t="s">
        <v>820</v>
      </c>
      <c r="E47" s="225" t="s">
        <v>821</v>
      </c>
      <c r="F47" s="341">
        <v>60</v>
      </c>
      <c r="G47" s="340">
        <v>3</v>
      </c>
      <c r="H47" s="333"/>
      <c r="I47" s="333"/>
      <c r="J47" s="333"/>
      <c r="K47" s="333"/>
      <c r="L47" s="333"/>
      <c r="M47" s="333"/>
      <c r="N47" s="333"/>
      <c r="O47" s="333"/>
      <c r="P47" s="224"/>
      <c r="Q47" s="224"/>
      <c r="R47" s="224">
        <v>4</v>
      </c>
      <c r="S47" s="224">
        <f>R47*16</f>
        <v>64</v>
      </c>
      <c r="T47" s="221">
        <v>4</v>
      </c>
      <c r="U47" s="233">
        <v>64</v>
      </c>
    </row>
    <row r="48" spans="2:21" ht="18" thickBot="1">
      <c r="B48" s="617"/>
      <c r="C48" s="620"/>
      <c r="D48" s="621" t="s">
        <v>16</v>
      </c>
      <c r="E48" s="621"/>
      <c r="F48" s="326"/>
      <c r="G48" s="326"/>
      <c r="H48" s="327"/>
      <c r="I48" s="327"/>
      <c r="J48" s="327"/>
      <c r="K48" s="327"/>
      <c r="L48" s="327"/>
      <c r="M48" s="327"/>
      <c r="N48" s="327"/>
      <c r="O48" s="327"/>
      <c r="P48" s="327">
        <f>SUM(P44:P47)</f>
        <v>6</v>
      </c>
      <c r="Q48" s="327">
        <f t="shared" ref="Q48:U48" si="10">SUM(Q44:Q47)</f>
        <v>96</v>
      </c>
      <c r="R48" s="327">
        <f t="shared" si="10"/>
        <v>7</v>
      </c>
      <c r="S48" s="327">
        <f t="shared" si="10"/>
        <v>112</v>
      </c>
      <c r="T48" s="328">
        <f t="shared" si="10"/>
        <v>13</v>
      </c>
      <c r="U48" s="328">
        <f t="shared" si="10"/>
        <v>208</v>
      </c>
    </row>
    <row r="49" spans="2:21">
      <c r="B49" s="615" t="s">
        <v>822</v>
      </c>
      <c r="C49" s="618">
        <v>13</v>
      </c>
      <c r="D49" s="225" t="s">
        <v>823</v>
      </c>
      <c r="E49" s="225" t="s">
        <v>824</v>
      </c>
      <c r="F49" s="340">
        <v>40</v>
      </c>
      <c r="G49" s="331">
        <v>3</v>
      </c>
      <c r="H49" s="332"/>
      <c r="I49" s="332"/>
      <c r="J49" s="332"/>
      <c r="K49" s="332"/>
      <c r="L49" s="332"/>
      <c r="M49" s="332"/>
      <c r="N49" s="332"/>
      <c r="O49" s="332"/>
      <c r="P49" s="222">
        <v>3</v>
      </c>
      <c r="Q49" s="222">
        <v>48</v>
      </c>
      <c r="R49" s="222"/>
      <c r="S49" s="222"/>
      <c r="T49" s="223">
        <v>3</v>
      </c>
      <c r="U49" s="231">
        <v>48</v>
      </c>
    </row>
    <row r="50" spans="2:21">
      <c r="B50" s="615"/>
      <c r="C50" s="618"/>
      <c r="D50" s="225" t="s">
        <v>825</v>
      </c>
      <c r="E50" s="225" t="s">
        <v>826</v>
      </c>
      <c r="F50" s="331">
        <v>40</v>
      </c>
      <c r="G50" s="331">
        <v>3</v>
      </c>
      <c r="H50" s="332"/>
      <c r="I50" s="332"/>
      <c r="J50" s="332"/>
      <c r="K50" s="332"/>
      <c r="L50" s="332"/>
      <c r="M50" s="332"/>
      <c r="N50" s="332"/>
      <c r="O50" s="332"/>
      <c r="P50" s="222">
        <v>3</v>
      </c>
      <c r="Q50" s="222">
        <v>48</v>
      </c>
      <c r="R50" s="222"/>
      <c r="S50" s="222"/>
      <c r="T50" s="223">
        <v>3</v>
      </c>
      <c r="U50" s="231">
        <v>48</v>
      </c>
    </row>
    <row r="51" spans="2:21">
      <c r="B51" s="616"/>
      <c r="C51" s="619"/>
      <c r="D51" s="225" t="s">
        <v>827</v>
      </c>
      <c r="E51" s="225" t="s">
        <v>828</v>
      </c>
      <c r="F51" s="340">
        <v>40</v>
      </c>
      <c r="G51" s="331">
        <v>4</v>
      </c>
      <c r="H51" s="332"/>
      <c r="I51" s="332"/>
      <c r="J51" s="332"/>
      <c r="K51" s="332"/>
      <c r="L51" s="332"/>
      <c r="M51" s="332"/>
      <c r="N51" s="332"/>
      <c r="O51" s="332"/>
      <c r="P51" s="222"/>
      <c r="Q51" s="222"/>
      <c r="R51" s="222">
        <v>3</v>
      </c>
      <c r="S51" s="222">
        <v>48</v>
      </c>
      <c r="T51" s="223">
        <v>3</v>
      </c>
      <c r="U51" s="231">
        <v>48</v>
      </c>
    </row>
    <row r="52" spans="2:21">
      <c r="B52" s="616"/>
      <c r="C52" s="619"/>
      <c r="D52" s="259" t="s">
        <v>829</v>
      </c>
      <c r="E52" s="260" t="s">
        <v>830</v>
      </c>
      <c r="F52" s="341">
        <v>60</v>
      </c>
      <c r="G52" s="340">
        <v>3</v>
      </c>
      <c r="H52" s="333"/>
      <c r="I52" s="333"/>
      <c r="J52" s="333"/>
      <c r="K52" s="333"/>
      <c r="L52" s="333"/>
      <c r="M52" s="333"/>
      <c r="N52" s="333"/>
      <c r="O52" s="333"/>
      <c r="P52" s="224"/>
      <c r="Q52" s="224"/>
      <c r="R52" s="224">
        <v>4</v>
      </c>
      <c r="S52" s="224">
        <v>64</v>
      </c>
      <c r="T52" s="221">
        <v>4</v>
      </c>
      <c r="U52" s="233">
        <v>64</v>
      </c>
    </row>
    <row r="53" spans="2:21" ht="18" thickBot="1">
      <c r="B53" s="617"/>
      <c r="C53" s="620"/>
      <c r="D53" s="622" t="s">
        <v>16</v>
      </c>
      <c r="E53" s="622"/>
      <c r="F53" s="326"/>
      <c r="G53" s="326"/>
      <c r="H53" s="327"/>
      <c r="I53" s="327"/>
      <c r="J53" s="327"/>
      <c r="K53" s="327"/>
      <c r="L53" s="327"/>
      <c r="M53" s="327"/>
      <c r="N53" s="327"/>
      <c r="O53" s="327"/>
      <c r="P53" s="327">
        <f>SUM(P49:P52)</f>
        <v>6</v>
      </c>
      <c r="Q53" s="327">
        <f t="shared" ref="Q53:U53" si="11">SUM(Q49:Q52)</f>
        <v>96</v>
      </c>
      <c r="R53" s="327">
        <f t="shared" si="11"/>
        <v>7</v>
      </c>
      <c r="S53" s="327">
        <f t="shared" si="11"/>
        <v>112</v>
      </c>
      <c r="T53" s="328">
        <f t="shared" si="11"/>
        <v>13</v>
      </c>
      <c r="U53" s="328">
        <f t="shared" si="11"/>
        <v>208</v>
      </c>
    </row>
  </sheetData>
  <mergeCells count="54">
    <mergeCell ref="B29:B33"/>
    <mergeCell ref="C29:C33"/>
    <mergeCell ref="D33:E33"/>
    <mergeCell ref="B21:B25"/>
    <mergeCell ref="C21:C25"/>
    <mergeCell ref="D25:E25"/>
    <mergeCell ref="B26:B28"/>
    <mergeCell ref="C26:C28"/>
    <mergeCell ref="D28:E28"/>
    <mergeCell ref="B9:B15"/>
    <mergeCell ref="C9:C15"/>
    <mergeCell ref="D15:E15"/>
    <mergeCell ref="B16:B20"/>
    <mergeCell ref="C16:C20"/>
    <mergeCell ref="D20:E20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B34:B38"/>
    <mergeCell ref="C34:C38"/>
    <mergeCell ref="D38:E38"/>
    <mergeCell ref="B39:B43"/>
    <mergeCell ref="C39:C43"/>
    <mergeCell ref="D43:E43"/>
    <mergeCell ref="B44:B48"/>
    <mergeCell ref="C44:C48"/>
    <mergeCell ref="D48:E48"/>
    <mergeCell ref="B49:B53"/>
    <mergeCell ref="C49:C53"/>
    <mergeCell ref="D53:E5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B80B-EAF0-4E62-B51E-948E62B3C49A}">
  <sheetPr>
    <pageSetUpPr fitToPage="1"/>
  </sheetPr>
  <dimension ref="B2:AG70"/>
  <sheetViews>
    <sheetView showGridLines="0" view="pageBreakPreview" zoomScale="90" zoomScaleNormal="85" zoomScaleSheetLayoutView="90" workbookViewId="0">
      <selection activeCell="Q18" sqref="Q18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26" t="s">
        <v>150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</row>
    <row r="3" spans="2:33" ht="27" customHeight="1" thickBot="1"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627" t="s">
        <v>129</v>
      </c>
      <c r="O3" s="628"/>
      <c r="P3" s="629"/>
      <c r="Q3" s="627" t="s">
        <v>127</v>
      </c>
      <c r="R3" s="628"/>
      <c r="S3" s="629"/>
      <c r="T3" s="630" t="s">
        <v>130</v>
      </c>
      <c r="U3" s="631"/>
    </row>
    <row r="4" spans="2:33" ht="27" customHeight="1" thickBot="1"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632" t="s">
        <v>515</v>
      </c>
      <c r="O4" s="633"/>
      <c r="P4" s="634"/>
      <c r="Q4" s="635" t="s">
        <v>111</v>
      </c>
      <c r="R4" s="636"/>
      <c r="S4" s="637"/>
      <c r="T4" s="638">
        <v>2027</v>
      </c>
      <c r="U4" s="639"/>
    </row>
    <row r="5" spans="2:33" ht="24" customHeight="1" thickBot="1">
      <c r="B5" s="640"/>
      <c r="C5" s="640"/>
    </row>
    <row r="6" spans="2:33" ht="20.25" customHeight="1">
      <c r="B6" s="641" t="s">
        <v>13</v>
      </c>
      <c r="C6" s="644" t="s">
        <v>140</v>
      </c>
      <c r="D6" s="623" t="s">
        <v>14</v>
      </c>
      <c r="E6" s="623" t="s">
        <v>15</v>
      </c>
      <c r="F6" s="623" t="s">
        <v>141</v>
      </c>
      <c r="G6" s="623" t="s">
        <v>142</v>
      </c>
      <c r="H6" s="647" t="s">
        <v>58</v>
      </c>
      <c r="I6" s="647"/>
      <c r="J6" s="647"/>
      <c r="K6" s="647"/>
      <c r="L6" s="647" t="s">
        <v>59</v>
      </c>
      <c r="M6" s="647"/>
      <c r="N6" s="647"/>
      <c r="O6" s="647"/>
      <c r="P6" s="647" t="s">
        <v>60</v>
      </c>
      <c r="Q6" s="647"/>
      <c r="R6" s="647"/>
      <c r="S6" s="647"/>
      <c r="T6" s="648" t="s">
        <v>139</v>
      </c>
      <c r="U6" s="658" t="s">
        <v>126</v>
      </c>
      <c r="W6" s="651" t="s">
        <v>131</v>
      </c>
      <c r="X6" s="652"/>
      <c r="Y6" s="652"/>
      <c r="Z6" s="652"/>
      <c r="AA6" s="652"/>
      <c r="AB6" s="652"/>
      <c r="AC6" s="652"/>
      <c r="AD6" s="652"/>
      <c r="AE6" s="652"/>
      <c r="AF6" s="653"/>
      <c r="AG6" s="13"/>
    </row>
    <row r="7" spans="2:33" ht="16.5" customHeight="1">
      <c r="B7" s="642"/>
      <c r="C7" s="645"/>
      <c r="D7" s="624"/>
      <c r="E7" s="624"/>
      <c r="F7" s="624"/>
      <c r="G7" s="624"/>
      <c r="H7" s="654" t="s">
        <v>124</v>
      </c>
      <c r="I7" s="654"/>
      <c r="J7" s="654" t="s">
        <v>62</v>
      </c>
      <c r="K7" s="654"/>
      <c r="L7" s="654" t="s">
        <v>124</v>
      </c>
      <c r="M7" s="654"/>
      <c r="N7" s="654" t="s">
        <v>62</v>
      </c>
      <c r="O7" s="654"/>
      <c r="P7" s="654" t="s">
        <v>124</v>
      </c>
      <c r="Q7" s="654"/>
      <c r="R7" s="654" t="s">
        <v>62</v>
      </c>
      <c r="S7" s="654"/>
      <c r="T7" s="649"/>
      <c r="U7" s="659"/>
      <c r="W7" s="655" t="s">
        <v>132</v>
      </c>
      <c r="X7" s="656"/>
      <c r="Y7" s="656"/>
      <c r="Z7" s="656"/>
      <c r="AA7" s="656"/>
      <c r="AB7" s="656"/>
      <c r="AC7" s="656"/>
      <c r="AD7" s="656"/>
      <c r="AE7" s="656"/>
      <c r="AF7" s="657"/>
      <c r="AG7" s="13"/>
    </row>
    <row r="8" spans="2:33" ht="17.25" customHeight="1" thickBot="1">
      <c r="B8" s="643"/>
      <c r="C8" s="646"/>
      <c r="D8" s="692"/>
      <c r="E8" s="692"/>
      <c r="F8" s="625"/>
      <c r="G8" s="625"/>
      <c r="H8" s="281" t="s">
        <v>138</v>
      </c>
      <c r="I8" s="281" t="s">
        <v>125</v>
      </c>
      <c r="J8" s="281" t="s">
        <v>138</v>
      </c>
      <c r="K8" s="281" t="s">
        <v>125</v>
      </c>
      <c r="L8" s="281" t="s">
        <v>138</v>
      </c>
      <c r="M8" s="281" t="s">
        <v>125</v>
      </c>
      <c r="N8" s="281" t="s">
        <v>138</v>
      </c>
      <c r="O8" s="281" t="s">
        <v>125</v>
      </c>
      <c r="P8" s="281" t="s">
        <v>138</v>
      </c>
      <c r="Q8" s="281" t="s">
        <v>125</v>
      </c>
      <c r="R8" s="281" t="s">
        <v>138</v>
      </c>
      <c r="S8" s="281" t="s">
        <v>125</v>
      </c>
      <c r="T8" s="650"/>
      <c r="U8" s="660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93" t="s">
        <v>540</v>
      </c>
      <c r="C9" s="695">
        <v>6</v>
      </c>
      <c r="D9" s="263" t="s">
        <v>765</v>
      </c>
      <c r="E9" s="264" t="s">
        <v>680</v>
      </c>
      <c r="F9" s="282">
        <v>30</v>
      </c>
      <c r="G9" s="283">
        <v>2</v>
      </c>
      <c r="H9" s="284"/>
      <c r="I9" s="284"/>
      <c r="J9" s="285">
        <v>2</v>
      </c>
      <c r="K9" s="285">
        <f>J9*16</f>
        <v>32</v>
      </c>
      <c r="L9" s="285"/>
      <c r="M9" s="285"/>
      <c r="N9" s="285"/>
      <c r="O9" s="285"/>
      <c r="P9" s="285"/>
      <c r="Q9" s="285"/>
      <c r="R9" s="285"/>
      <c r="S9" s="285"/>
      <c r="T9" s="243">
        <v>2</v>
      </c>
      <c r="U9" s="244"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90"/>
      <c r="C10" s="696"/>
      <c r="D10" s="206" t="s">
        <v>681</v>
      </c>
      <c r="E10" s="206" t="s">
        <v>682</v>
      </c>
      <c r="F10" s="286">
        <v>15</v>
      </c>
      <c r="G10" s="287">
        <v>2</v>
      </c>
      <c r="H10" s="288"/>
      <c r="I10" s="288"/>
      <c r="J10" s="289">
        <v>1</v>
      </c>
      <c r="K10" s="289">
        <f>J10*16</f>
        <v>16</v>
      </c>
      <c r="L10" s="289"/>
      <c r="M10" s="289"/>
      <c r="N10" s="289"/>
      <c r="O10" s="289"/>
      <c r="P10" s="289"/>
      <c r="Q10" s="289"/>
      <c r="R10" s="289"/>
      <c r="S10" s="289"/>
      <c r="T10" s="245">
        <v>1</v>
      </c>
      <c r="U10" s="246">
        <v>16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90"/>
      <c r="C11" s="696"/>
      <c r="D11" s="206" t="s">
        <v>766</v>
      </c>
      <c r="E11" s="206" t="s">
        <v>683</v>
      </c>
      <c r="F11" s="290">
        <v>30</v>
      </c>
      <c r="G11" s="291">
        <v>2</v>
      </c>
      <c r="H11" s="292"/>
      <c r="I11" s="292"/>
      <c r="J11" s="293">
        <v>2</v>
      </c>
      <c r="K11" s="289">
        <f t="shared" ref="K11:K12" si="0">J11*16</f>
        <v>32</v>
      </c>
      <c r="L11" s="293"/>
      <c r="M11" s="293"/>
      <c r="N11" s="293"/>
      <c r="O11" s="293"/>
      <c r="P11" s="293"/>
      <c r="Q11" s="293"/>
      <c r="R11" s="293"/>
      <c r="S11" s="293"/>
      <c r="T11" s="247">
        <v>2</v>
      </c>
      <c r="U11" s="248">
        <v>32</v>
      </c>
    </row>
    <row r="12" spans="2:33">
      <c r="B12" s="690"/>
      <c r="C12" s="696"/>
      <c r="D12" s="206" t="s">
        <v>684</v>
      </c>
      <c r="E12" s="206" t="s">
        <v>685</v>
      </c>
      <c r="F12" s="290">
        <v>15</v>
      </c>
      <c r="G12" s="291">
        <v>4</v>
      </c>
      <c r="H12" s="292"/>
      <c r="I12" s="292"/>
      <c r="J12" s="293">
        <v>1</v>
      </c>
      <c r="K12" s="289">
        <f t="shared" si="0"/>
        <v>16</v>
      </c>
      <c r="L12" s="293"/>
      <c r="M12" s="293"/>
      <c r="N12" s="293"/>
      <c r="O12" s="293"/>
      <c r="P12" s="293"/>
      <c r="Q12" s="293"/>
      <c r="R12" s="293"/>
      <c r="S12" s="293"/>
      <c r="T12" s="247">
        <v>1</v>
      </c>
      <c r="U12" s="248">
        <v>16</v>
      </c>
    </row>
    <row r="13" spans="2:33" ht="18" thickBot="1">
      <c r="B13" s="694"/>
      <c r="C13" s="697"/>
      <c r="D13" s="685" t="s">
        <v>16</v>
      </c>
      <c r="E13" s="686"/>
      <c r="F13" s="294"/>
      <c r="G13" s="294"/>
      <c r="H13" s="295"/>
      <c r="I13" s="295"/>
      <c r="J13" s="296">
        <f>SUM(J9:J12)</f>
        <v>6</v>
      </c>
      <c r="K13" s="296">
        <f t="shared" ref="K13:U13" si="1">SUM(K9:K12)</f>
        <v>96</v>
      </c>
      <c r="L13" s="296">
        <f t="shared" si="1"/>
        <v>0</v>
      </c>
      <c r="M13" s="296">
        <f t="shared" si="1"/>
        <v>0</v>
      </c>
      <c r="N13" s="296">
        <f t="shared" si="1"/>
        <v>0</v>
      </c>
      <c r="O13" s="296">
        <f t="shared" si="1"/>
        <v>0</v>
      </c>
      <c r="P13" s="296">
        <f t="shared" si="1"/>
        <v>0</v>
      </c>
      <c r="Q13" s="296">
        <f t="shared" si="1"/>
        <v>0</v>
      </c>
      <c r="R13" s="296">
        <f t="shared" si="1"/>
        <v>0</v>
      </c>
      <c r="S13" s="296">
        <f t="shared" si="1"/>
        <v>0</v>
      </c>
      <c r="T13" s="297">
        <f t="shared" si="1"/>
        <v>6</v>
      </c>
      <c r="U13" s="297">
        <f t="shared" si="1"/>
        <v>96</v>
      </c>
    </row>
    <row r="14" spans="2:33">
      <c r="B14" s="698" t="s">
        <v>675</v>
      </c>
      <c r="C14" s="700">
        <v>14</v>
      </c>
      <c r="D14" s="250" t="s">
        <v>686</v>
      </c>
      <c r="E14" s="250" t="s">
        <v>687</v>
      </c>
      <c r="F14" s="282">
        <v>40</v>
      </c>
      <c r="G14" s="282">
        <v>3</v>
      </c>
      <c r="H14" s="298"/>
      <c r="I14" s="298"/>
      <c r="J14" s="298"/>
      <c r="K14" s="298"/>
      <c r="L14" s="298">
        <v>3</v>
      </c>
      <c r="M14" s="298">
        <f>L14*16</f>
        <v>48</v>
      </c>
      <c r="N14" s="298"/>
      <c r="O14" s="298"/>
      <c r="P14" s="298"/>
      <c r="Q14" s="298"/>
      <c r="R14" s="298"/>
      <c r="S14" s="298"/>
      <c r="T14" s="47">
        <v>3</v>
      </c>
      <c r="U14" s="251">
        <v>48</v>
      </c>
      <c r="V14" s="249"/>
      <c r="W14" s="49"/>
    </row>
    <row r="15" spans="2:33">
      <c r="B15" s="679"/>
      <c r="C15" s="682"/>
      <c r="D15" s="206" t="s">
        <v>688</v>
      </c>
      <c r="E15" s="206" t="s">
        <v>689</v>
      </c>
      <c r="F15" s="290">
        <v>40</v>
      </c>
      <c r="G15" s="290">
        <v>3</v>
      </c>
      <c r="H15" s="299"/>
      <c r="I15" s="299"/>
      <c r="J15" s="299"/>
      <c r="K15" s="299"/>
      <c r="L15" s="299">
        <v>3</v>
      </c>
      <c r="M15" s="299">
        <f>L15*16</f>
        <v>48</v>
      </c>
      <c r="N15" s="299"/>
      <c r="O15" s="299"/>
      <c r="P15" s="299"/>
      <c r="Q15" s="299"/>
      <c r="R15" s="299"/>
      <c r="S15" s="300"/>
      <c r="T15" s="44">
        <v>3</v>
      </c>
      <c r="U15" s="241">
        <v>48</v>
      </c>
    </row>
    <row r="16" spans="2:33">
      <c r="B16" s="679"/>
      <c r="C16" s="682"/>
      <c r="D16" s="206" t="s">
        <v>690</v>
      </c>
      <c r="E16" s="206" t="s">
        <v>691</v>
      </c>
      <c r="F16" s="290">
        <v>25</v>
      </c>
      <c r="G16" s="290">
        <v>2</v>
      </c>
      <c r="H16" s="299"/>
      <c r="I16" s="299"/>
      <c r="J16" s="299"/>
      <c r="K16" s="299"/>
      <c r="L16" s="299">
        <v>2</v>
      </c>
      <c r="M16" s="299">
        <f t="shared" ref="M16:M18" si="2">L16*16</f>
        <v>32</v>
      </c>
      <c r="N16" s="299"/>
      <c r="O16" s="299"/>
      <c r="P16" s="299"/>
      <c r="Q16" s="299"/>
      <c r="R16" s="299"/>
      <c r="S16" s="300"/>
      <c r="T16" s="44">
        <v>2</v>
      </c>
      <c r="U16" s="241">
        <v>32</v>
      </c>
    </row>
    <row r="17" spans="2:22">
      <c r="B17" s="679"/>
      <c r="C17" s="682"/>
      <c r="D17" s="206" t="s">
        <v>692</v>
      </c>
      <c r="E17" s="206" t="s">
        <v>693</v>
      </c>
      <c r="F17" s="290">
        <v>40</v>
      </c>
      <c r="G17" s="290">
        <v>2</v>
      </c>
      <c r="H17" s="299"/>
      <c r="I17" s="299"/>
      <c r="J17" s="299"/>
      <c r="K17" s="299"/>
      <c r="L17" s="299"/>
      <c r="M17" s="299">
        <f t="shared" si="2"/>
        <v>0</v>
      </c>
      <c r="N17" s="299">
        <v>3</v>
      </c>
      <c r="O17" s="299">
        <f>N17*16</f>
        <v>48</v>
      </c>
      <c r="P17" s="299"/>
      <c r="Q17" s="299"/>
      <c r="R17" s="299"/>
      <c r="S17" s="300"/>
      <c r="T17" s="44">
        <v>3</v>
      </c>
      <c r="U17" s="241">
        <v>48</v>
      </c>
    </row>
    <row r="18" spans="2:22">
      <c r="B18" s="699"/>
      <c r="C18" s="701"/>
      <c r="D18" s="206" t="s">
        <v>694</v>
      </c>
      <c r="E18" s="206" t="s">
        <v>695</v>
      </c>
      <c r="F18" s="286">
        <v>40</v>
      </c>
      <c r="G18" s="286">
        <v>2</v>
      </c>
      <c r="H18" s="300"/>
      <c r="I18" s="300"/>
      <c r="J18" s="300"/>
      <c r="K18" s="300"/>
      <c r="L18" s="300"/>
      <c r="M18" s="299">
        <f t="shared" si="2"/>
        <v>0</v>
      </c>
      <c r="N18" s="300">
        <v>3</v>
      </c>
      <c r="O18" s="299">
        <f>N18*16</f>
        <v>48</v>
      </c>
      <c r="P18" s="300"/>
      <c r="Q18" s="300"/>
      <c r="R18" s="300"/>
      <c r="S18" s="300"/>
      <c r="T18" s="41">
        <v>3</v>
      </c>
      <c r="U18" s="242">
        <v>48</v>
      </c>
    </row>
    <row r="19" spans="2:22" ht="18" thickBot="1">
      <c r="B19" s="681"/>
      <c r="C19" s="684"/>
      <c r="D19" s="685" t="s">
        <v>16</v>
      </c>
      <c r="E19" s="686"/>
      <c r="F19" s="301"/>
      <c r="G19" s="301"/>
      <c r="H19" s="302"/>
      <c r="I19" s="302"/>
      <c r="J19" s="302"/>
      <c r="K19" s="302"/>
      <c r="L19" s="302">
        <f>SUM(L14:L18)</f>
        <v>8</v>
      </c>
      <c r="M19" s="302">
        <f t="shared" ref="M19:U19" si="3">SUM(M14:M18)</f>
        <v>128</v>
      </c>
      <c r="N19" s="302">
        <f t="shared" si="3"/>
        <v>6</v>
      </c>
      <c r="O19" s="302">
        <f t="shared" si="3"/>
        <v>96</v>
      </c>
      <c r="P19" s="302">
        <f t="shared" si="3"/>
        <v>0</v>
      </c>
      <c r="Q19" s="302">
        <f t="shared" si="3"/>
        <v>0</v>
      </c>
      <c r="R19" s="302">
        <f t="shared" si="3"/>
        <v>0</v>
      </c>
      <c r="S19" s="302">
        <f t="shared" si="3"/>
        <v>0</v>
      </c>
      <c r="T19" s="303">
        <f t="shared" si="3"/>
        <v>14</v>
      </c>
      <c r="U19" s="303">
        <f t="shared" si="3"/>
        <v>224</v>
      </c>
    </row>
    <row r="20" spans="2:22" ht="34.799999999999997">
      <c r="B20" s="687" t="s">
        <v>676</v>
      </c>
      <c r="C20" s="703">
        <v>14</v>
      </c>
      <c r="D20" s="206" t="s">
        <v>696</v>
      </c>
      <c r="E20" s="206" t="s">
        <v>697</v>
      </c>
      <c r="F20" s="290">
        <v>40</v>
      </c>
      <c r="G20" s="290">
        <v>2</v>
      </c>
      <c r="H20" s="299"/>
      <c r="I20" s="299"/>
      <c r="J20" s="299"/>
      <c r="K20" s="299"/>
      <c r="L20" s="299">
        <v>3</v>
      </c>
      <c r="M20" s="299">
        <v>48</v>
      </c>
      <c r="N20" s="299"/>
      <c r="O20" s="299"/>
      <c r="P20" s="299"/>
      <c r="Q20" s="299"/>
      <c r="R20" s="299"/>
      <c r="S20" s="299"/>
      <c r="T20" s="44">
        <v>3</v>
      </c>
      <c r="U20" s="241">
        <v>48</v>
      </c>
    </row>
    <row r="21" spans="2:22" ht="34.799999999999997">
      <c r="B21" s="687"/>
      <c r="C21" s="704"/>
      <c r="D21" s="206" t="s">
        <v>698</v>
      </c>
      <c r="E21" s="206" t="s">
        <v>699</v>
      </c>
      <c r="F21" s="290">
        <v>40</v>
      </c>
      <c r="G21" s="290">
        <v>2</v>
      </c>
      <c r="H21" s="299"/>
      <c r="I21" s="299"/>
      <c r="J21" s="299"/>
      <c r="K21" s="299"/>
      <c r="L21" s="299">
        <v>3</v>
      </c>
      <c r="M21" s="299">
        <v>48</v>
      </c>
      <c r="N21" s="299"/>
      <c r="O21" s="299"/>
      <c r="P21" s="299"/>
      <c r="Q21" s="299"/>
      <c r="R21" s="299"/>
      <c r="S21" s="299"/>
      <c r="T21" s="44">
        <v>3</v>
      </c>
      <c r="U21" s="241">
        <v>48</v>
      </c>
    </row>
    <row r="22" spans="2:22">
      <c r="B22" s="687"/>
      <c r="C22" s="704"/>
      <c r="D22" s="206" t="s">
        <v>700</v>
      </c>
      <c r="E22" s="206" t="s">
        <v>701</v>
      </c>
      <c r="F22" s="290">
        <v>25</v>
      </c>
      <c r="G22" s="290">
        <v>3</v>
      </c>
      <c r="H22" s="299"/>
      <c r="I22" s="299"/>
      <c r="J22" s="299"/>
      <c r="K22" s="299"/>
      <c r="L22" s="299">
        <v>2</v>
      </c>
      <c r="M22" s="299">
        <v>32</v>
      </c>
      <c r="N22" s="299"/>
      <c r="O22" s="299"/>
      <c r="P22" s="299"/>
      <c r="Q22" s="299"/>
      <c r="R22" s="299"/>
      <c r="S22" s="299"/>
      <c r="T22" s="44">
        <v>2</v>
      </c>
      <c r="U22" s="241">
        <v>32</v>
      </c>
    </row>
    <row r="23" spans="2:22">
      <c r="B23" s="687"/>
      <c r="C23" s="704"/>
      <c r="D23" s="206" t="s">
        <v>702</v>
      </c>
      <c r="E23" s="206" t="s">
        <v>703</v>
      </c>
      <c r="F23" s="290">
        <v>40</v>
      </c>
      <c r="G23" s="290">
        <v>3</v>
      </c>
      <c r="H23" s="299"/>
      <c r="I23" s="299"/>
      <c r="J23" s="299"/>
      <c r="K23" s="299"/>
      <c r="L23" s="299"/>
      <c r="M23" s="299"/>
      <c r="N23" s="299">
        <v>3</v>
      </c>
      <c r="O23" s="299">
        <v>48</v>
      </c>
      <c r="P23" s="299"/>
      <c r="Q23" s="299"/>
      <c r="R23" s="299"/>
      <c r="S23" s="299"/>
      <c r="T23" s="44">
        <v>3</v>
      </c>
      <c r="U23" s="241">
        <v>48</v>
      </c>
    </row>
    <row r="24" spans="2:22">
      <c r="B24" s="687"/>
      <c r="C24" s="704"/>
      <c r="D24" s="206" t="s">
        <v>704</v>
      </c>
      <c r="E24" s="206" t="s">
        <v>705</v>
      </c>
      <c r="F24" s="290">
        <v>40</v>
      </c>
      <c r="G24" s="290">
        <v>3</v>
      </c>
      <c r="H24" s="299"/>
      <c r="I24" s="299"/>
      <c r="J24" s="299"/>
      <c r="K24" s="299"/>
      <c r="L24" s="299"/>
      <c r="M24" s="299"/>
      <c r="N24" s="299">
        <v>3</v>
      </c>
      <c r="O24" s="299">
        <v>48</v>
      </c>
      <c r="P24" s="299"/>
      <c r="Q24" s="299"/>
      <c r="R24" s="299"/>
      <c r="S24" s="300"/>
      <c r="T24" s="44">
        <v>3</v>
      </c>
      <c r="U24" s="241">
        <v>48</v>
      </c>
    </row>
    <row r="25" spans="2:22" ht="18" thickBot="1">
      <c r="B25" s="702"/>
      <c r="C25" s="705"/>
      <c r="D25" s="685" t="s">
        <v>16</v>
      </c>
      <c r="E25" s="686"/>
      <c r="F25" s="304"/>
      <c r="G25" s="304"/>
      <c r="H25" s="305"/>
      <c r="I25" s="305"/>
      <c r="J25" s="305"/>
      <c r="K25" s="305"/>
      <c r="L25" s="305">
        <f>SUM(L20:L24)</f>
        <v>8</v>
      </c>
      <c r="M25" s="305">
        <f t="shared" ref="M25:U25" si="4">SUM(M20:M24)</f>
        <v>128</v>
      </c>
      <c r="N25" s="305">
        <f t="shared" si="4"/>
        <v>6</v>
      </c>
      <c r="O25" s="305">
        <f t="shared" si="4"/>
        <v>96</v>
      </c>
      <c r="P25" s="305">
        <f t="shared" si="4"/>
        <v>0</v>
      </c>
      <c r="Q25" s="305">
        <f t="shared" si="4"/>
        <v>0</v>
      </c>
      <c r="R25" s="305">
        <f t="shared" si="4"/>
        <v>0</v>
      </c>
      <c r="S25" s="305">
        <f t="shared" si="4"/>
        <v>0</v>
      </c>
      <c r="T25" s="306">
        <f t="shared" si="4"/>
        <v>14</v>
      </c>
      <c r="U25" s="306">
        <f t="shared" si="4"/>
        <v>224</v>
      </c>
    </row>
    <row r="26" spans="2:22" ht="34.799999999999997">
      <c r="B26" s="698" t="s">
        <v>677</v>
      </c>
      <c r="C26" s="700">
        <v>14</v>
      </c>
      <c r="D26" s="206" t="s">
        <v>706</v>
      </c>
      <c r="E26" s="206" t="s">
        <v>707</v>
      </c>
      <c r="F26" s="282">
        <v>40</v>
      </c>
      <c r="G26" s="307">
        <v>2</v>
      </c>
      <c r="H26" s="298"/>
      <c r="I26" s="298"/>
      <c r="J26" s="298"/>
      <c r="K26" s="298"/>
      <c r="L26" s="298">
        <v>3</v>
      </c>
      <c r="M26" s="298">
        <v>48</v>
      </c>
      <c r="N26" s="298"/>
      <c r="O26" s="298"/>
      <c r="P26" s="298"/>
      <c r="Q26" s="298"/>
      <c r="R26" s="298"/>
      <c r="S26" s="298"/>
      <c r="T26" s="47">
        <v>3</v>
      </c>
      <c r="U26" s="240">
        <v>48</v>
      </c>
    </row>
    <row r="27" spans="2:22" ht="34.799999999999997">
      <c r="B27" s="699"/>
      <c r="C27" s="701"/>
      <c r="D27" s="206" t="s">
        <v>708</v>
      </c>
      <c r="E27" s="206" t="s">
        <v>709</v>
      </c>
      <c r="F27" s="290">
        <v>40</v>
      </c>
      <c r="G27" s="290">
        <v>2</v>
      </c>
      <c r="H27" s="299"/>
      <c r="I27" s="299"/>
      <c r="J27" s="299"/>
      <c r="K27" s="299"/>
      <c r="L27" s="299">
        <v>3</v>
      </c>
      <c r="M27" s="299">
        <v>48</v>
      </c>
      <c r="N27" s="299"/>
      <c r="O27" s="299"/>
      <c r="P27" s="299"/>
      <c r="Q27" s="299"/>
      <c r="R27" s="299"/>
      <c r="S27" s="299"/>
      <c r="T27" s="44">
        <v>3</v>
      </c>
      <c r="U27" s="241">
        <v>48</v>
      </c>
    </row>
    <row r="28" spans="2:22">
      <c r="B28" s="699"/>
      <c r="C28" s="701"/>
      <c r="D28" s="206" t="s">
        <v>710</v>
      </c>
      <c r="E28" s="206" t="s">
        <v>711</v>
      </c>
      <c r="F28" s="290">
        <v>25</v>
      </c>
      <c r="G28" s="290">
        <v>3</v>
      </c>
      <c r="H28" s="299"/>
      <c r="I28" s="299"/>
      <c r="J28" s="299"/>
      <c r="K28" s="299"/>
      <c r="L28" s="299">
        <v>2</v>
      </c>
      <c r="M28" s="299">
        <v>32</v>
      </c>
      <c r="N28" s="299"/>
      <c r="O28" s="299"/>
      <c r="P28" s="299"/>
      <c r="Q28" s="299"/>
      <c r="R28" s="299"/>
      <c r="S28" s="299"/>
      <c r="T28" s="44">
        <v>2</v>
      </c>
      <c r="U28" s="241">
        <v>32</v>
      </c>
    </row>
    <row r="29" spans="2:22">
      <c r="B29" s="699"/>
      <c r="C29" s="701"/>
      <c r="D29" s="206" t="s">
        <v>712</v>
      </c>
      <c r="E29" s="206" t="s">
        <v>713</v>
      </c>
      <c r="F29" s="286">
        <v>40</v>
      </c>
      <c r="G29" s="286">
        <v>3</v>
      </c>
      <c r="H29" s="300"/>
      <c r="I29" s="300"/>
      <c r="J29" s="300"/>
      <c r="K29" s="300"/>
      <c r="L29" s="300"/>
      <c r="M29" s="300"/>
      <c r="N29" s="300">
        <v>3</v>
      </c>
      <c r="O29" s="300">
        <v>48</v>
      </c>
      <c r="P29" s="300"/>
      <c r="Q29" s="300"/>
      <c r="R29" s="300"/>
      <c r="S29" s="300"/>
      <c r="T29" s="41">
        <v>3</v>
      </c>
      <c r="U29" s="242">
        <v>48</v>
      </c>
    </row>
    <row r="30" spans="2:22">
      <c r="B30" s="699"/>
      <c r="C30" s="701"/>
      <c r="D30" s="206" t="s">
        <v>796</v>
      </c>
      <c r="E30" s="206" t="s">
        <v>714</v>
      </c>
      <c r="F30" s="286">
        <v>40</v>
      </c>
      <c r="G30" s="286">
        <v>3</v>
      </c>
      <c r="H30" s="300"/>
      <c r="I30" s="300"/>
      <c r="J30" s="300"/>
      <c r="K30" s="300"/>
      <c r="L30" s="300"/>
      <c r="M30" s="300"/>
      <c r="N30" s="300">
        <v>3</v>
      </c>
      <c r="O30" s="300">
        <v>48</v>
      </c>
      <c r="P30" s="300"/>
      <c r="Q30" s="300"/>
      <c r="R30" s="300"/>
      <c r="S30" s="300"/>
      <c r="T30" s="41">
        <v>3</v>
      </c>
      <c r="U30" s="242">
        <v>48</v>
      </c>
    </row>
    <row r="31" spans="2:22" ht="18" thickBot="1">
      <c r="B31" s="681"/>
      <c r="C31" s="684"/>
      <c r="D31" s="685" t="s">
        <v>16</v>
      </c>
      <c r="E31" s="686"/>
      <c r="F31" s="301"/>
      <c r="G31" s="301"/>
      <c r="H31" s="302"/>
      <c r="I31" s="302"/>
      <c r="J31" s="302"/>
      <c r="K31" s="302"/>
      <c r="L31" s="302">
        <f>SUM(L26:L30)</f>
        <v>8</v>
      </c>
      <c r="M31" s="302">
        <f t="shared" ref="M31:U31" si="5">SUM(M26:M30)</f>
        <v>128</v>
      </c>
      <c r="N31" s="302">
        <f t="shared" si="5"/>
        <v>6</v>
      </c>
      <c r="O31" s="302">
        <f t="shared" si="5"/>
        <v>96</v>
      </c>
      <c r="P31" s="302">
        <f t="shared" si="5"/>
        <v>0</v>
      </c>
      <c r="Q31" s="302">
        <f t="shared" si="5"/>
        <v>0</v>
      </c>
      <c r="R31" s="302">
        <f t="shared" si="5"/>
        <v>0</v>
      </c>
      <c r="S31" s="302">
        <f t="shared" si="5"/>
        <v>0</v>
      </c>
      <c r="T31" s="303">
        <f t="shared" si="5"/>
        <v>14</v>
      </c>
      <c r="U31" s="303">
        <f t="shared" si="5"/>
        <v>224</v>
      </c>
    </row>
    <row r="32" spans="2:22" ht="34.799999999999997">
      <c r="B32" s="679" t="s">
        <v>543</v>
      </c>
      <c r="C32" s="682">
        <v>16</v>
      </c>
      <c r="D32" s="250" t="s">
        <v>715</v>
      </c>
      <c r="E32" s="250" t="s">
        <v>716</v>
      </c>
      <c r="F32" s="286">
        <v>25</v>
      </c>
      <c r="G32" s="290">
        <v>3</v>
      </c>
      <c r="H32" s="299"/>
      <c r="I32" s="299"/>
      <c r="J32" s="299"/>
      <c r="K32" s="299"/>
      <c r="L32" s="299">
        <v>2</v>
      </c>
      <c r="M32" s="299">
        <v>32</v>
      </c>
      <c r="N32" s="299"/>
      <c r="O32" s="299"/>
      <c r="P32" s="238"/>
      <c r="Q32" s="238"/>
      <c r="R32" s="238"/>
      <c r="S32" s="238"/>
      <c r="T32" s="44">
        <v>2</v>
      </c>
      <c r="U32" s="43">
        <v>32</v>
      </c>
      <c r="V32" s="249"/>
    </row>
    <row r="33" spans="2:22" ht="34.799999999999997">
      <c r="B33" s="679"/>
      <c r="C33" s="682"/>
      <c r="D33" s="250" t="s">
        <v>717</v>
      </c>
      <c r="E33" s="250" t="s">
        <v>718</v>
      </c>
      <c r="F33" s="290">
        <v>40</v>
      </c>
      <c r="G33" s="290">
        <v>3</v>
      </c>
      <c r="H33" s="299"/>
      <c r="I33" s="299"/>
      <c r="J33" s="299"/>
      <c r="K33" s="299"/>
      <c r="L33" s="299">
        <v>3</v>
      </c>
      <c r="M33" s="299">
        <v>48</v>
      </c>
      <c r="N33" s="299"/>
      <c r="O33" s="299"/>
      <c r="P33" s="238"/>
      <c r="Q33" s="238"/>
      <c r="R33" s="238"/>
      <c r="S33" s="238"/>
      <c r="T33" s="44">
        <v>3</v>
      </c>
      <c r="U33" s="43">
        <v>48</v>
      </c>
    </row>
    <row r="34" spans="2:22">
      <c r="B34" s="679"/>
      <c r="C34" s="682"/>
      <c r="D34" s="250" t="s">
        <v>719</v>
      </c>
      <c r="E34" s="250" t="s">
        <v>720</v>
      </c>
      <c r="F34" s="290">
        <v>40</v>
      </c>
      <c r="G34" s="290">
        <v>3</v>
      </c>
      <c r="H34" s="299"/>
      <c r="I34" s="299"/>
      <c r="J34" s="299"/>
      <c r="K34" s="299"/>
      <c r="L34" s="299">
        <v>3</v>
      </c>
      <c r="M34" s="299">
        <v>48</v>
      </c>
      <c r="N34" s="299"/>
      <c r="O34" s="299"/>
      <c r="P34" s="238"/>
      <c r="Q34" s="238"/>
      <c r="R34" s="238"/>
      <c r="S34" s="238"/>
      <c r="T34" s="44">
        <v>3</v>
      </c>
      <c r="U34" s="43">
        <v>48</v>
      </c>
    </row>
    <row r="35" spans="2:22">
      <c r="B35" s="687"/>
      <c r="C35" s="688"/>
      <c r="D35" s="250" t="s">
        <v>721</v>
      </c>
      <c r="E35" s="250" t="s">
        <v>722</v>
      </c>
      <c r="F35" s="290">
        <v>40</v>
      </c>
      <c r="G35" s="290">
        <v>3</v>
      </c>
      <c r="H35" s="299"/>
      <c r="I35" s="299"/>
      <c r="J35" s="299"/>
      <c r="K35" s="299"/>
      <c r="L35" s="299"/>
      <c r="M35" s="299"/>
      <c r="N35" s="299">
        <v>3</v>
      </c>
      <c r="O35" s="299">
        <v>48</v>
      </c>
      <c r="P35" s="238"/>
      <c r="Q35" s="238"/>
      <c r="R35" s="238"/>
      <c r="S35" s="238"/>
      <c r="T35" s="44">
        <v>3</v>
      </c>
      <c r="U35" s="43">
        <v>48</v>
      </c>
    </row>
    <row r="36" spans="2:22">
      <c r="B36" s="680"/>
      <c r="C36" s="683"/>
      <c r="D36" s="250" t="s">
        <v>723</v>
      </c>
      <c r="E36" s="250" t="s">
        <v>724</v>
      </c>
      <c r="F36" s="286">
        <v>40</v>
      </c>
      <c r="G36" s="290">
        <v>2</v>
      </c>
      <c r="H36" s="299"/>
      <c r="I36" s="299"/>
      <c r="J36" s="299"/>
      <c r="K36" s="299"/>
      <c r="L36" s="299"/>
      <c r="M36" s="299"/>
      <c r="N36" s="299">
        <v>3</v>
      </c>
      <c r="O36" s="299">
        <v>48</v>
      </c>
      <c r="P36" s="238"/>
      <c r="Q36" s="238"/>
      <c r="R36" s="238"/>
      <c r="S36" s="238"/>
      <c r="T36" s="44">
        <v>3</v>
      </c>
      <c r="U36" s="43">
        <v>48</v>
      </c>
    </row>
    <row r="37" spans="2:22">
      <c r="B37" s="680"/>
      <c r="C37" s="683"/>
      <c r="D37" s="250" t="s">
        <v>725</v>
      </c>
      <c r="E37" s="250" t="s">
        <v>726</v>
      </c>
      <c r="F37" s="308">
        <v>25</v>
      </c>
      <c r="G37" s="286">
        <v>2</v>
      </c>
      <c r="H37" s="300"/>
      <c r="I37" s="300"/>
      <c r="J37" s="300"/>
      <c r="K37" s="300"/>
      <c r="L37" s="300"/>
      <c r="M37" s="300"/>
      <c r="N37" s="300">
        <v>2</v>
      </c>
      <c r="O37" s="300">
        <v>32</v>
      </c>
      <c r="P37" s="239"/>
      <c r="Q37" s="239"/>
      <c r="R37" s="239"/>
      <c r="S37" s="239"/>
      <c r="T37" s="41">
        <v>2</v>
      </c>
      <c r="U37" s="40">
        <v>32</v>
      </c>
    </row>
    <row r="38" spans="2:22" ht="18" thickBot="1">
      <c r="B38" s="681"/>
      <c r="C38" s="684"/>
      <c r="D38" s="685" t="s">
        <v>16</v>
      </c>
      <c r="E38" s="686"/>
      <c r="F38" s="309"/>
      <c r="G38" s="309"/>
      <c r="H38" s="296"/>
      <c r="I38" s="296"/>
      <c r="J38" s="296"/>
      <c r="K38" s="296"/>
      <c r="L38" s="296">
        <f>SUM(L32:L37)</f>
        <v>8</v>
      </c>
      <c r="M38" s="296">
        <f t="shared" ref="M38:U38" si="6">SUM(M32:M37)</f>
        <v>128</v>
      </c>
      <c r="N38" s="296">
        <f t="shared" si="6"/>
        <v>8</v>
      </c>
      <c r="O38" s="296">
        <f t="shared" si="6"/>
        <v>128</v>
      </c>
      <c r="P38" s="296">
        <f t="shared" si="6"/>
        <v>0</v>
      </c>
      <c r="Q38" s="296">
        <f t="shared" si="6"/>
        <v>0</v>
      </c>
      <c r="R38" s="296">
        <f t="shared" si="6"/>
        <v>0</v>
      </c>
      <c r="S38" s="296">
        <f t="shared" si="6"/>
        <v>0</v>
      </c>
      <c r="T38" s="297">
        <f t="shared" si="6"/>
        <v>16</v>
      </c>
      <c r="U38" s="297">
        <f t="shared" si="6"/>
        <v>256</v>
      </c>
    </row>
    <row r="39" spans="2:22">
      <c r="B39" s="679" t="s">
        <v>552</v>
      </c>
      <c r="C39" s="682">
        <v>14</v>
      </c>
      <c r="D39" s="250" t="s">
        <v>768</v>
      </c>
      <c r="E39" s="250" t="s">
        <v>769</v>
      </c>
      <c r="F39" s="252">
        <v>25</v>
      </c>
      <c r="G39" s="253">
        <v>2</v>
      </c>
      <c r="H39" s="254"/>
      <c r="I39" s="254"/>
      <c r="J39" s="254"/>
      <c r="K39" s="254"/>
      <c r="L39" s="254"/>
      <c r="M39" s="254"/>
      <c r="N39" s="254"/>
      <c r="O39" s="254"/>
      <c r="P39" s="310">
        <v>2</v>
      </c>
      <c r="Q39" s="310">
        <v>32</v>
      </c>
      <c r="R39" s="310"/>
      <c r="S39" s="310"/>
      <c r="T39" s="311">
        <v>2</v>
      </c>
      <c r="U39" s="312">
        <v>32</v>
      </c>
    </row>
    <row r="40" spans="2:22">
      <c r="B40" s="679"/>
      <c r="C40" s="682"/>
      <c r="D40" s="250" t="s">
        <v>770</v>
      </c>
      <c r="E40" s="250" t="s">
        <v>771</v>
      </c>
      <c r="F40" s="253">
        <v>25</v>
      </c>
      <c r="G40" s="253">
        <v>2</v>
      </c>
      <c r="H40" s="254"/>
      <c r="I40" s="254"/>
      <c r="J40" s="254"/>
      <c r="K40" s="254"/>
      <c r="L40" s="254"/>
      <c r="M40" s="254"/>
      <c r="N40" s="254"/>
      <c r="O40" s="254"/>
      <c r="P40" s="310">
        <v>2</v>
      </c>
      <c r="Q40" s="310">
        <v>32</v>
      </c>
      <c r="R40" s="310"/>
      <c r="S40" s="310"/>
      <c r="T40" s="311">
        <v>2</v>
      </c>
      <c r="U40" s="312">
        <v>32</v>
      </c>
    </row>
    <row r="41" spans="2:22">
      <c r="B41" s="687"/>
      <c r="C41" s="688"/>
      <c r="D41" s="250" t="s">
        <v>772</v>
      </c>
      <c r="E41" s="250" t="s">
        <v>773</v>
      </c>
      <c r="F41" s="253">
        <v>25</v>
      </c>
      <c r="G41" s="253">
        <v>2</v>
      </c>
      <c r="H41" s="254"/>
      <c r="I41" s="254"/>
      <c r="J41" s="254"/>
      <c r="K41" s="254"/>
      <c r="L41" s="254"/>
      <c r="M41" s="254"/>
      <c r="N41" s="254"/>
      <c r="O41" s="254"/>
      <c r="P41" s="310">
        <v>2</v>
      </c>
      <c r="Q41" s="310">
        <v>32</v>
      </c>
      <c r="R41" s="310"/>
      <c r="S41" s="310"/>
      <c r="T41" s="311">
        <v>2</v>
      </c>
      <c r="U41" s="312">
        <v>32</v>
      </c>
    </row>
    <row r="42" spans="2:22">
      <c r="B42" s="687"/>
      <c r="C42" s="688"/>
      <c r="D42" s="250" t="s">
        <v>774</v>
      </c>
      <c r="E42" s="250" t="s">
        <v>727</v>
      </c>
      <c r="F42" s="253">
        <v>40</v>
      </c>
      <c r="G42" s="253">
        <v>3</v>
      </c>
      <c r="H42" s="254"/>
      <c r="I42" s="254"/>
      <c r="J42" s="254"/>
      <c r="K42" s="254"/>
      <c r="L42" s="254"/>
      <c r="M42" s="254"/>
      <c r="N42" s="254"/>
      <c r="O42" s="254"/>
      <c r="P42" s="310"/>
      <c r="Q42" s="310"/>
      <c r="R42" s="310">
        <v>3</v>
      </c>
      <c r="S42" s="310">
        <v>48</v>
      </c>
      <c r="T42" s="311">
        <v>3</v>
      </c>
      <c r="U42" s="312">
        <v>48</v>
      </c>
    </row>
    <row r="43" spans="2:22">
      <c r="B43" s="680"/>
      <c r="C43" s="683"/>
      <c r="D43" s="250" t="s">
        <v>728</v>
      </c>
      <c r="E43" s="250" t="s">
        <v>729</v>
      </c>
      <c r="F43" s="252">
        <v>40</v>
      </c>
      <c r="G43" s="253">
        <v>2</v>
      </c>
      <c r="H43" s="254"/>
      <c r="I43" s="254"/>
      <c r="J43" s="254"/>
      <c r="K43" s="254"/>
      <c r="L43" s="254"/>
      <c r="M43" s="254"/>
      <c r="N43" s="254"/>
      <c r="O43" s="254"/>
      <c r="P43" s="310"/>
      <c r="Q43" s="310"/>
      <c r="R43" s="310">
        <v>3</v>
      </c>
      <c r="S43" s="310">
        <v>48</v>
      </c>
      <c r="T43" s="311">
        <v>3</v>
      </c>
      <c r="U43" s="312">
        <v>48</v>
      </c>
    </row>
    <row r="44" spans="2:22" ht="34.799999999999997">
      <c r="B44" s="680"/>
      <c r="C44" s="683"/>
      <c r="D44" s="250" t="s">
        <v>775</v>
      </c>
      <c r="E44" s="250" t="s">
        <v>776</v>
      </c>
      <c r="F44" s="255">
        <v>25</v>
      </c>
      <c r="G44" s="252">
        <v>5</v>
      </c>
      <c r="H44" s="256"/>
      <c r="I44" s="256"/>
      <c r="J44" s="256"/>
      <c r="K44" s="256"/>
      <c r="L44" s="256"/>
      <c r="M44" s="256"/>
      <c r="N44" s="256"/>
      <c r="O44" s="256"/>
      <c r="P44" s="313"/>
      <c r="Q44" s="313"/>
      <c r="R44" s="313">
        <v>2</v>
      </c>
      <c r="S44" s="313">
        <v>32</v>
      </c>
      <c r="T44" s="314">
        <v>2</v>
      </c>
      <c r="U44" s="315">
        <v>32</v>
      </c>
    </row>
    <row r="45" spans="2:22" ht="18" thickBot="1">
      <c r="B45" s="681"/>
      <c r="C45" s="684"/>
      <c r="D45" s="685" t="s">
        <v>16</v>
      </c>
      <c r="E45" s="686"/>
      <c r="F45" s="309"/>
      <c r="G45" s="309"/>
      <c r="H45" s="296"/>
      <c r="I45" s="296"/>
      <c r="J45" s="296"/>
      <c r="K45" s="296"/>
      <c r="L45" s="296"/>
      <c r="M45" s="296"/>
      <c r="N45" s="296"/>
      <c r="O45" s="296"/>
      <c r="P45" s="296">
        <f>SUM(P39:P44)</f>
        <v>6</v>
      </c>
      <c r="Q45" s="296">
        <f t="shared" ref="Q45:U45" si="7">SUM(Q39:Q44)</f>
        <v>96</v>
      </c>
      <c r="R45" s="296">
        <f t="shared" si="7"/>
        <v>8</v>
      </c>
      <c r="S45" s="296">
        <f t="shared" si="7"/>
        <v>128</v>
      </c>
      <c r="T45" s="297">
        <f t="shared" si="7"/>
        <v>14</v>
      </c>
      <c r="U45" s="297">
        <f t="shared" si="7"/>
        <v>224</v>
      </c>
    </row>
    <row r="46" spans="2:22">
      <c r="B46" s="689" t="s">
        <v>795</v>
      </c>
      <c r="C46" s="682">
        <v>6</v>
      </c>
      <c r="D46" s="250" t="s">
        <v>730</v>
      </c>
      <c r="E46" s="250" t="s">
        <v>731</v>
      </c>
      <c r="F46" s="252">
        <v>25</v>
      </c>
      <c r="G46" s="253">
        <v>3</v>
      </c>
      <c r="H46" s="254"/>
      <c r="I46" s="254"/>
      <c r="J46" s="254"/>
      <c r="K46" s="254"/>
      <c r="L46" s="254"/>
      <c r="M46" s="254"/>
      <c r="N46" s="254"/>
      <c r="O46" s="254"/>
      <c r="P46" s="310">
        <v>2</v>
      </c>
      <c r="Q46" s="310">
        <v>32</v>
      </c>
      <c r="R46" s="310"/>
      <c r="S46" s="310"/>
      <c r="T46" s="311">
        <v>2</v>
      </c>
      <c r="U46" s="312">
        <v>32</v>
      </c>
      <c r="V46" s="249"/>
    </row>
    <row r="47" spans="2:22">
      <c r="B47" s="689"/>
      <c r="C47" s="682"/>
      <c r="D47" s="250" t="s">
        <v>777</v>
      </c>
      <c r="E47" s="250" t="s">
        <v>778</v>
      </c>
      <c r="F47" s="253">
        <v>25</v>
      </c>
      <c r="G47" s="253">
        <v>3</v>
      </c>
      <c r="H47" s="254"/>
      <c r="I47" s="254"/>
      <c r="J47" s="254"/>
      <c r="K47" s="254"/>
      <c r="L47" s="254"/>
      <c r="M47" s="254"/>
      <c r="N47" s="254"/>
      <c r="O47" s="254"/>
      <c r="P47" s="310">
        <v>2</v>
      </c>
      <c r="Q47" s="310">
        <v>32</v>
      </c>
      <c r="R47" s="310"/>
      <c r="S47" s="310"/>
      <c r="T47" s="311">
        <v>2</v>
      </c>
      <c r="U47" s="312">
        <v>32</v>
      </c>
    </row>
    <row r="48" spans="2:22">
      <c r="B48" s="690"/>
      <c r="C48" s="688"/>
      <c r="D48" s="250" t="s">
        <v>733</v>
      </c>
      <c r="E48" s="250" t="s">
        <v>732</v>
      </c>
      <c r="F48" s="253">
        <v>25</v>
      </c>
      <c r="G48" s="253">
        <v>2</v>
      </c>
      <c r="H48" s="254"/>
      <c r="I48" s="254"/>
      <c r="J48" s="254"/>
      <c r="K48" s="254"/>
      <c r="L48" s="254"/>
      <c r="M48" s="254"/>
      <c r="N48" s="254"/>
      <c r="O48" s="254"/>
      <c r="P48" s="310">
        <v>2</v>
      </c>
      <c r="Q48" s="310">
        <v>32</v>
      </c>
      <c r="R48" s="310"/>
      <c r="S48" s="310"/>
      <c r="T48" s="311">
        <v>2</v>
      </c>
      <c r="U48" s="312">
        <v>32</v>
      </c>
    </row>
    <row r="49" spans="2:22" ht="18" thickBot="1">
      <c r="B49" s="691"/>
      <c r="C49" s="684"/>
      <c r="D49" s="685" t="s">
        <v>16</v>
      </c>
      <c r="E49" s="686"/>
      <c r="F49" s="309"/>
      <c r="G49" s="309"/>
      <c r="H49" s="296"/>
      <c r="I49" s="296"/>
      <c r="J49" s="296"/>
      <c r="K49" s="296"/>
      <c r="L49" s="296"/>
      <c r="M49" s="296"/>
      <c r="N49" s="296"/>
      <c r="O49" s="296"/>
      <c r="P49" s="296">
        <f t="shared" ref="P49:U49" si="8">SUM(P46:P48)</f>
        <v>6</v>
      </c>
      <c r="Q49" s="296">
        <f t="shared" si="8"/>
        <v>96</v>
      </c>
      <c r="R49" s="296">
        <f t="shared" si="8"/>
        <v>0</v>
      </c>
      <c r="S49" s="296">
        <f t="shared" si="8"/>
        <v>0</v>
      </c>
      <c r="T49" s="297">
        <f t="shared" si="8"/>
        <v>6</v>
      </c>
      <c r="U49" s="297">
        <f t="shared" si="8"/>
        <v>96</v>
      </c>
    </row>
    <row r="50" spans="2:22" ht="34.799999999999997">
      <c r="B50" s="679" t="s">
        <v>546</v>
      </c>
      <c r="C50" s="682">
        <v>14</v>
      </c>
      <c r="D50" s="250" t="s">
        <v>734</v>
      </c>
      <c r="E50" s="250" t="s">
        <v>735</v>
      </c>
      <c r="F50" s="252">
        <v>25</v>
      </c>
      <c r="G50" s="253">
        <v>3</v>
      </c>
      <c r="H50" s="254"/>
      <c r="I50" s="254"/>
      <c r="J50" s="254"/>
      <c r="K50" s="254"/>
      <c r="L50" s="254"/>
      <c r="M50" s="254"/>
      <c r="N50" s="254"/>
      <c r="O50" s="254"/>
      <c r="P50" s="310">
        <v>2</v>
      </c>
      <c r="Q50" s="310">
        <v>32</v>
      </c>
      <c r="R50" s="310"/>
      <c r="S50" s="310"/>
      <c r="T50" s="311">
        <v>2</v>
      </c>
      <c r="U50" s="312">
        <v>32</v>
      </c>
      <c r="V50" s="249"/>
    </row>
    <row r="51" spans="2:22">
      <c r="B51" s="679"/>
      <c r="C51" s="682"/>
      <c r="D51" s="250" t="s">
        <v>779</v>
      </c>
      <c r="E51" s="250" t="s">
        <v>736</v>
      </c>
      <c r="F51" s="253">
        <v>25</v>
      </c>
      <c r="G51" s="253">
        <v>3</v>
      </c>
      <c r="H51" s="254"/>
      <c r="I51" s="254"/>
      <c r="J51" s="254"/>
      <c r="K51" s="254"/>
      <c r="L51" s="254"/>
      <c r="M51" s="254"/>
      <c r="N51" s="254"/>
      <c r="O51" s="254"/>
      <c r="P51" s="310">
        <v>2</v>
      </c>
      <c r="Q51" s="310">
        <v>32</v>
      </c>
      <c r="R51" s="310"/>
      <c r="S51" s="310"/>
      <c r="T51" s="311">
        <v>2</v>
      </c>
      <c r="U51" s="312">
        <v>32</v>
      </c>
    </row>
    <row r="52" spans="2:22">
      <c r="B52" s="687"/>
      <c r="C52" s="688"/>
      <c r="D52" s="250" t="s">
        <v>737</v>
      </c>
      <c r="E52" s="250" t="s">
        <v>738</v>
      </c>
      <c r="F52" s="252">
        <v>60</v>
      </c>
      <c r="G52" s="253">
        <v>3</v>
      </c>
      <c r="H52" s="254"/>
      <c r="I52" s="254"/>
      <c r="J52" s="254"/>
      <c r="K52" s="254"/>
      <c r="L52" s="254"/>
      <c r="M52" s="254"/>
      <c r="N52" s="254"/>
      <c r="O52" s="254"/>
      <c r="P52" s="310"/>
      <c r="Q52" s="310"/>
      <c r="R52" s="310">
        <v>4</v>
      </c>
      <c r="S52" s="310">
        <v>64</v>
      </c>
      <c r="T52" s="311">
        <v>4</v>
      </c>
      <c r="U52" s="312">
        <v>64</v>
      </c>
    </row>
    <row r="53" spans="2:22">
      <c r="B53" s="680"/>
      <c r="C53" s="683"/>
      <c r="D53" s="250" t="s">
        <v>739</v>
      </c>
      <c r="E53" s="250" t="s">
        <v>740</v>
      </c>
      <c r="F53" s="255">
        <v>40</v>
      </c>
      <c r="G53" s="252">
        <v>3</v>
      </c>
      <c r="H53" s="256"/>
      <c r="I53" s="256"/>
      <c r="J53" s="256"/>
      <c r="K53" s="256"/>
      <c r="L53" s="256"/>
      <c r="M53" s="256"/>
      <c r="N53" s="256"/>
      <c r="O53" s="256"/>
      <c r="P53" s="313"/>
      <c r="Q53" s="313"/>
      <c r="R53" s="313">
        <v>3</v>
      </c>
      <c r="S53" s="313">
        <v>48</v>
      </c>
      <c r="T53" s="314">
        <v>3</v>
      </c>
      <c r="U53" s="315">
        <v>48</v>
      </c>
    </row>
    <row r="54" spans="2:22">
      <c r="B54" s="680"/>
      <c r="C54" s="683"/>
      <c r="D54" s="316" t="s">
        <v>780</v>
      </c>
      <c r="E54" s="317" t="s">
        <v>781</v>
      </c>
      <c r="F54" s="255">
        <v>40</v>
      </c>
      <c r="G54" s="255">
        <v>2</v>
      </c>
      <c r="H54" s="257"/>
      <c r="I54" s="257"/>
      <c r="J54" s="257"/>
      <c r="K54" s="257"/>
      <c r="L54" s="257"/>
      <c r="M54" s="257"/>
      <c r="N54" s="257"/>
      <c r="O54" s="257"/>
      <c r="P54" s="318"/>
      <c r="Q54" s="318"/>
      <c r="R54" s="318">
        <v>3</v>
      </c>
      <c r="S54" s="318">
        <v>48</v>
      </c>
      <c r="T54" s="319">
        <v>3</v>
      </c>
      <c r="U54" s="315">
        <v>48</v>
      </c>
    </row>
    <row r="55" spans="2:22" ht="18" thickBot="1">
      <c r="B55" s="681"/>
      <c r="C55" s="684"/>
      <c r="D55" s="685" t="s">
        <v>16</v>
      </c>
      <c r="E55" s="686"/>
      <c r="F55" s="309"/>
      <c r="G55" s="309"/>
      <c r="H55" s="296"/>
      <c r="I55" s="296"/>
      <c r="J55" s="296"/>
      <c r="K55" s="296"/>
      <c r="L55" s="296"/>
      <c r="M55" s="296"/>
      <c r="N55" s="296"/>
      <c r="O55" s="296"/>
      <c r="P55" s="296">
        <f>SUM(P50:P54)</f>
        <v>4</v>
      </c>
      <c r="Q55" s="296">
        <f t="shared" ref="Q55:U55" si="9">SUM(Q50:Q54)</f>
        <v>64</v>
      </c>
      <c r="R55" s="296">
        <f t="shared" si="9"/>
        <v>10</v>
      </c>
      <c r="S55" s="296">
        <f t="shared" si="9"/>
        <v>160</v>
      </c>
      <c r="T55" s="297">
        <f t="shared" si="9"/>
        <v>14</v>
      </c>
      <c r="U55" s="297">
        <f t="shared" si="9"/>
        <v>224</v>
      </c>
    </row>
    <row r="56" spans="2:22">
      <c r="B56" s="679" t="s">
        <v>553</v>
      </c>
      <c r="C56" s="682">
        <v>14</v>
      </c>
      <c r="D56" s="206" t="s">
        <v>741</v>
      </c>
      <c r="E56" s="206" t="s">
        <v>742</v>
      </c>
      <c r="F56" s="286">
        <v>25</v>
      </c>
      <c r="G56" s="290">
        <v>2</v>
      </c>
      <c r="H56" s="299"/>
      <c r="I56" s="299"/>
      <c r="J56" s="299"/>
      <c r="K56" s="299"/>
      <c r="L56" s="299"/>
      <c r="M56" s="299"/>
      <c r="N56" s="299"/>
      <c r="O56" s="299"/>
      <c r="P56" s="238">
        <v>2</v>
      </c>
      <c r="Q56" s="238">
        <v>32</v>
      </c>
      <c r="R56" s="238"/>
      <c r="S56" s="238"/>
      <c r="T56" s="44">
        <v>2</v>
      </c>
      <c r="U56" s="241">
        <v>32</v>
      </c>
    </row>
    <row r="57" spans="2:22">
      <c r="B57" s="679"/>
      <c r="C57" s="682"/>
      <c r="D57" s="206" t="s">
        <v>743</v>
      </c>
      <c r="E57" s="206" t="s">
        <v>744</v>
      </c>
      <c r="F57" s="290">
        <v>25</v>
      </c>
      <c r="G57" s="290">
        <v>2</v>
      </c>
      <c r="H57" s="299"/>
      <c r="I57" s="299"/>
      <c r="J57" s="299"/>
      <c r="K57" s="299"/>
      <c r="L57" s="299"/>
      <c r="M57" s="299"/>
      <c r="N57" s="299"/>
      <c r="O57" s="299"/>
      <c r="P57" s="238">
        <v>2</v>
      </c>
      <c r="Q57" s="238">
        <v>32</v>
      </c>
      <c r="R57" s="238"/>
      <c r="S57" s="238"/>
      <c r="T57" s="44">
        <v>2</v>
      </c>
      <c r="U57" s="241">
        <v>32</v>
      </c>
    </row>
    <row r="58" spans="2:22">
      <c r="B58" s="687"/>
      <c r="C58" s="688"/>
      <c r="D58" s="206" t="s">
        <v>745</v>
      </c>
      <c r="E58" s="206" t="s">
        <v>746</v>
      </c>
      <c r="F58" s="290">
        <v>25</v>
      </c>
      <c r="G58" s="290">
        <v>3</v>
      </c>
      <c r="H58" s="299"/>
      <c r="I58" s="299"/>
      <c r="J58" s="299"/>
      <c r="K58" s="299"/>
      <c r="L58" s="299"/>
      <c r="M58" s="299"/>
      <c r="N58" s="299"/>
      <c r="O58" s="299"/>
      <c r="P58" s="238">
        <v>2</v>
      </c>
      <c r="Q58" s="238">
        <v>32</v>
      </c>
      <c r="R58" s="238"/>
      <c r="S58" s="238"/>
      <c r="T58" s="44">
        <v>2</v>
      </c>
      <c r="U58" s="241">
        <v>32</v>
      </c>
    </row>
    <row r="59" spans="2:22">
      <c r="B59" s="687"/>
      <c r="C59" s="688"/>
      <c r="D59" s="206" t="s">
        <v>747</v>
      </c>
      <c r="E59" s="206" t="s">
        <v>748</v>
      </c>
      <c r="F59" s="290">
        <v>25</v>
      </c>
      <c r="G59" s="290">
        <v>3</v>
      </c>
      <c r="H59" s="299"/>
      <c r="I59" s="299"/>
      <c r="J59" s="299"/>
      <c r="K59" s="299"/>
      <c r="L59" s="299"/>
      <c r="M59" s="299"/>
      <c r="N59" s="299"/>
      <c r="O59" s="299"/>
      <c r="P59" s="238"/>
      <c r="Q59" s="238"/>
      <c r="R59" s="238">
        <v>2</v>
      </c>
      <c r="S59" s="238">
        <v>32</v>
      </c>
      <c r="T59" s="44">
        <v>2</v>
      </c>
      <c r="U59" s="241">
        <v>32</v>
      </c>
    </row>
    <row r="60" spans="2:22">
      <c r="B60" s="680"/>
      <c r="C60" s="683"/>
      <c r="D60" s="206" t="s">
        <v>749</v>
      </c>
      <c r="E60" s="206" t="s">
        <v>750</v>
      </c>
      <c r="F60" s="286">
        <v>25</v>
      </c>
      <c r="G60" s="290">
        <v>3</v>
      </c>
      <c r="H60" s="299"/>
      <c r="I60" s="299"/>
      <c r="J60" s="299"/>
      <c r="K60" s="299"/>
      <c r="L60" s="299"/>
      <c r="M60" s="299"/>
      <c r="N60" s="299"/>
      <c r="O60" s="299"/>
      <c r="P60" s="238"/>
      <c r="Q60" s="238"/>
      <c r="R60" s="238">
        <v>2</v>
      </c>
      <c r="S60" s="238">
        <v>32</v>
      </c>
      <c r="T60" s="44">
        <v>2</v>
      </c>
      <c r="U60" s="241">
        <v>32</v>
      </c>
    </row>
    <row r="61" spans="2:22">
      <c r="B61" s="680"/>
      <c r="C61" s="683"/>
      <c r="D61" s="206" t="s">
        <v>751</v>
      </c>
      <c r="E61" s="206" t="s">
        <v>752</v>
      </c>
      <c r="F61" s="308">
        <v>60</v>
      </c>
      <c r="G61" s="286">
        <v>3</v>
      </c>
      <c r="H61" s="300"/>
      <c r="I61" s="300"/>
      <c r="J61" s="300"/>
      <c r="K61" s="300"/>
      <c r="L61" s="300"/>
      <c r="M61" s="300"/>
      <c r="N61" s="300"/>
      <c r="O61" s="300"/>
      <c r="P61" s="239"/>
      <c r="Q61" s="239"/>
      <c r="R61" s="239">
        <v>4</v>
      </c>
      <c r="S61" s="239">
        <v>64</v>
      </c>
      <c r="T61" s="41">
        <v>4</v>
      </c>
      <c r="U61" s="242">
        <v>64</v>
      </c>
    </row>
    <row r="62" spans="2:22" ht="18" thickBot="1">
      <c r="B62" s="681"/>
      <c r="C62" s="684"/>
      <c r="D62" s="685" t="s">
        <v>16</v>
      </c>
      <c r="E62" s="686"/>
      <c r="F62" s="309"/>
      <c r="G62" s="309"/>
      <c r="H62" s="296"/>
      <c r="I62" s="296"/>
      <c r="J62" s="296"/>
      <c r="K62" s="296"/>
      <c r="L62" s="296"/>
      <c r="M62" s="296"/>
      <c r="N62" s="296"/>
      <c r="O62" s="296"/>
      <c r="P62" s="296">
        <f>SUM(P56:P61)</f>
        <v>6</v>
      </c>
      <c r="Q62" s="296">
        <f t="shared" ref="Q62:U62" si="10">SUM(Q56:Q61)</f>
        <v>96</v>
      </c>
      <c r="R62" s="296">
        <f t="shared" si="10"/>
        <v>8</v>
      </c>
      <c r="S62" s="296">
        <f t="shared" si="10"/>
        <v>128</v>
      </c>
      <c r="T62" s="297">
        <f t="shared" si="10"/>
        <v>14</v>
      </c>
      <c r="U62" s="297">
        <f t="shared" si="10"/>
        <v>224</v>
      </c>
    </row>
    <row r="63" spans="2:22">
      <c r="B63" s="679" t="s">
        <v>678</v>
      </c>
      <c r="C63" s="682">
        <v>7</v>
      </c>
      <c r="D63" s="206" t="s">
        <v>753</v>
      </c>
      <c r="E63" s="206" t="s">
        <v>754</v>
      </c>
      <c r="F63" s="286">
        <v>25</v>
      </c>
      <c r="G63" s="290">
        <v>2</v>
      </c>
      <c r="H63" s="299"/>
      <c r="I63" s="299"/>
      <c r="J63" s="299"/>
      <c r="K63" s="299"/>
      <c r="L63" s="299"/>
      <c r="M63" s="299"/>
      <c r="N63" s="299"/>
      <c r="O63" s="299"/>
      <c r="P63" s="238"/>
      <c r="Q63" s="238"/>
      <c r="R63" s="238">
        <v>2</v>
      </c>
      <c r="S63" s="238">
        <v>32</v>
      </c>
      <c r="T63" s="44">
        <v>2</v>
      </c>
      <c r="U63" s="241">
        <v>32</v>
      </c>
    </row>
    <row r="64" spans="2:22">
      <c r="B64" s="679"/>
      <c r="C64" s="682"/>
      <c r="D64" s="206" t="s">
        <v>755</v>
      </c>
      <c r="E64" s="206" t="s">
        <v>756</v>
      </c>
      <c r="F64" s="290">
        <v>25</v>
      </c>
      <c r="G64" s="290">
        <v>4</v>
      </c>
      <c r="H64" s="299"/>
      <c r="I64" s="299"/>
      <c r="J64" s="299"/>
      <c r="K64" s="299"/>
      <c r="L64" s="299"/>
      <c r="M64" s="299"/>
      <c r="N64" s="299"/>
      <c r="O64" s="299"/>
      <c r="P64" s="238"/>
      <c r="Q64" s="238"/>
      <c r="R64" s="238">
        <v>2</v>
      </c>
      <c r="S64" s="238">
        <v>32</v>
      </c>
      <c r="T64" s="44">
        <v>2</v>
      </c>
      <c r="U64" s="241">
        <v>32</v>
      </c>
    </row>
    <row r="65" spans="2:21">
      <c r="B65" s="680"/>
      <c r="C65" s="683"/>
      <c r="D65" s="206" t="s">
        <v>757</v>
      </c>
      <c r="E65" s="206" t="s">
        <v>758</v>
      </c>
      <c r="F65" s="286">
        <v>40</v>
      </c>
      <c r="G65" s="290">
        <v>4</v>
      </c>
      <c r="H65" s="299"/>
      <c r="I65" s="299"/>
      <c r="J65" s="299"/>
      <c r="K65" s="299"/>
      <c r="L65" s="299"/>
      <c r="M65" s="299"/>
      <c r="N65" s="299"/>
      <c r="O65" s="299"/>
      <c r="P65" s="238"/>
      <c r="Q65" s="238"/>
      <c r="R65" s="238">
        <v>3</v>
      </c>
      <c r="S65" s="238">
        <v>48</v>
      </c>
      <c r="T65" s="44">
        <v>3</v>
      </c>
      <c r="U65" s="241">
        <v>48</v>
      </c>
    </row>
    <row r="66" spans="2:21" ht="18" thickBot="1">
      <c r="B66" s="681"/>
      <c r="C66" s="684"/>
      <c r="D66" s="685" t="s">
        <v>16</v>
      </c>
      <c r="E66" s="686"/>
      <c r="F66" s="309"/>
      <c r="G66" s="309"/>
      <c r="H66" s="296"/>
      <c r="I66" s="296"/>
      <c r="J66" s="296"/>
      <c r="K66" s="296"/>
      <c r="L66" s="296"/>
      <c r="M66" s="296"/>
      <c r="N66" s="296"/>
      <c r="O66" s="296"/>
      <c r="P66" s="296">
        <f>SUM(P63:P65)</f>
        <v>0</v>
      </c>
      <c r="Q66" s="296">
        <f t="shared" ref="Q66:U66" si="11">SUM(Q63:Q65)</f>
        <v>0</v>
      </c>
      <c r="R66" s="296">
        <f t="shared" si="11"/>
        <v>7</v>
      </c>
      <c r="S66" s="296">
        <f t="shared" si="11"/>
        <v>112</v>
      </c>
      <c r="T66" s="297">
        <f t="shared" si="11"/>
        <v>7</v>
      </c>
      <c r="U66" s="297">
        <f t="shared" si="11"/>
        <v>112</v>
      </c>
    </row>
    <row r="67" spans="2:21">
      <c r="B67" s="679" t="s">
        <v>679</v>
      </c>
      <c r="C67" s="682">
        <v>7</v>
      </c>
      <c r="D67" s="206" t="s">
        <v>759</v>
      </c>
      <c r="E67" s="206" t="s">
        <v>760</v>
      </c>
      <c r="F67" s="286">
        <v>25</v>
      </c>
      <c r="G67" s="290">
        <v>2</v>
      </c>
      <c r="H67" s="299"/>
      <c r="I67" s="299"/>
      <c r="J67" s="299"/>
      <c r="K67" s="299"/>
      <c r="L67" s="299"/>
      <c r="M67" s="299"/>
      <c r="N67" s="299"/>
      <c r="O67" s="299"/>
      <c r="P67" s="238"/>
      <c r="Q67" s="238"/>
      <c r="R67" s="238">
        <v>2</v>
      </c>
      <c r="S67" s="238">
        <v>32</v>
      </c>
      <c r="T67" s="44">
        <v>2</v>
      </c>
      <c r="U67" s="241">
        <v>32</v>
      </c>
    </row>
    <row r="68" spans="2:21">
      <c r="B68" s="679"/>
      <c r="C68" s="682"/>
      <c r="D68" s="206" t="s">
        <v>761</v>
      </c>
      <c r="E68" s="206" t="s">
        <v>762</v>
      </c>
      <c r="F68" s="290">
        <v>25</v>
      </c>
      <c r="G68" s="290">
        <v>3</v>
      </c>
      <c r="H68" s="299"/>
      <c r="I68" s="299"/>
      <c r="J68" s="299"/>
      <c r="K68" s="299"/>
      <c r="L68" s="299"/>
      <c r="M68" s="299"/>
      <c r="N68" s="299"/>
      <c r="O68" s="299"/>
      <c r="P68" s="238"/>
      <c r="Q68" s="238"/>
      <c r="R68" s="238">
        <v>2</v>
      </c>
      <c r="S68" s="238">
        <v>32</v>
      </c>
      <c r="T68" s="44">
        <v>2</v>
      </c>
      <c r="U68" s="241">
        <v>32</v>
      </c>
    </row>
    <row r="69" spans="2:21">
      <c r="B69" s="680"/>
      <c r="C69" s="683"/>
      <c r="D69" s="206" t="s">
        <v>763</v>
      </c>
      <c r="E69" s="206" t="s">
        <v>764</v>
      </c>
      <c r="F69" s="286">
        <v>40</v>
      </c>
      <c r="G69" s="290">
        <v>3</v>
      </c>
      <c r="H69" s="299"/>
      <c r="I69" s="299"/>
      <c r="J69" s="299"/>
      <c r="K69" s="299"/>
      <c r="L69" s="299"/>
      <c r="M69" s="299"/>
      <c r="N69" s="299"/>
      <c r="O69" s="299"/>
      <c r="P69" s="238"/>
      <c r="Q69" s="238"/>
      <c r="R69" s="238">
        <v>3</v>
      </c>
      <c r="S69" s="238">
        <v>48</v>
      </c>
      <c r="T69" s="44">
        <v>3</v>
      </c>
      <c r="U69" s="241">
        <v>48</v>
      </c>
    </row>
    <row r="70" spans="2:21" ht="18" thickBot="1">
      <c r="B70" s="681"/>
      <c r="C70" s="684"/>
      <c r="D70" s="685" t="s">
        <v>16</v>
      </c>
      <c r="E70" s="686"/>
      <c r="F70" s="309"/>
      <c r="G70" s="309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>
        <f>SUM(R67:R69)</f>
        <v>7</v>
      </c>
      <c r="S70" s="296">
        <f t="shared" ref="S70:U70" si="12">SUM(S67:S69)</f>
        <v>112</v>
      </c>
      <c r="T70" s="297">
        <f t="shared" si="12"/>
        <v>7</v>
      </c>
      <c r="U70" s="297">
        <f t="shared" si="12"/>
        <v>112</v>
      </c>
    </row>
  </sheetData>
  <mergeCells count="60">
    <mergeCell ref="B32:B38"/>
    <mergeCell ref="C32:C38"/>
    <mergeCell ref="D38:E38"/>
    <mergeCell ref="B20:B25"/>
    <mergeCell ref="C20:C25"/>
    <mergeCell ref="D25:E25"/>
    <mergeCell ref="B26:B31"/>
    <mergeCell ref="C26:C31"/>
    <mergeCell ref="D31:E31"/>
    <mergeCell ref="B9:B13"/>
    <mergeCell ref="C9:C13"/>
    <mergeCell ref="D13:E13"/>
    <mergeCell ref="B14:B19"/>
    <mergeCell ref="C14:C19"/>
    <mergeCell ref="D19:E19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B39:B45"/>
    <mergeCell ref="C39:C45"/>
    <mergeCell ref="D45:E45"/>
    <mergeCell ref="B46:B49"/>
    <mergeCell ref="C46:C49"/>
    <mergeCell ref="D49:E49"/>
    <mergeCell ref="B50:B55"/>
    <mergeCell ref="C50:C55"/>
    <mergeCell ref="D55:E55"/>
    <mergeCell ref="B56:B62"/>
    <mergeCell ref="C56:C62"/>
    <mergeCell ref="D62:E62"/>
    <mergeCell ref="B63:B66"/>
    <mergeCell ref="C63:C66"/>
    <mergeCell ref="D66:E66"/>
    <mergeCell ref="B67:B70"/>
    <mergeCell ref="C67:C70"/>
    <mergeCell ref="D70:E70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36" orientation="landscape" cellComments="asDisplaye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56"/>
  <sheetViews>
    <sheetView showGridLines="0" view="pageBreakPreview" topLeftCell="A45" zoomScale="90" zoomScaleNormal="85" zoomScaleSheetLayoutView="90" workbookViewId="0">
      <selection activeCell="L22" sqref="L22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26" t="s">
        <v>150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</row>
    <row r="3" spans="2:33" ht="27" customHeight="1" thickBot="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627" t="s">
        <v>129</v>
      </c>
      <c r="O3" s="628"/>
      <c r="P3" s="629"/>
      <c r="Q3" s="627" t="s">
        <v>127</v>
      </c>
      <c r="R3" s="628"/>
      <c r="S3" s="629"/>
      <c r="T3" s="630" t="s">
        <v>130</v>
      </c>
      <c r="U3" s="631"/>
    </row>
    <row r="4" spans="2:33" ht="27" customHeight="1" thickBot="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632" t="s">
        <v>515</v>
      </c>
      <c r="O4" s="633"/>
      <c r="P4" s="634"/>
      <c r="Q4" s="635" t="s">
        <v>569</v>
      </c>
      <c r="R4" s="636"/>
      <c r="S4" s="637"/>
      <c r="T4" s="638">
        <v>2027</v>
      </c>
      <c r="U4" s="639"/>
    </row>
    <row r="5" spans="2:33" ht="24" customHeight="1" thickBot="1">
      <c r="B5" s="640"/>
      <c r="C5" s="640"/>
    </row>
    <row r="6" spans="2:33" ht="20.25" customHeight="1">
      <c r="B6" s="733" t="s">
        <v>13</v>
      </c>
      <c r="C6" s="736" t="s">
        <v>140</v>
      </c>
      <c r="D6" s="722" t="s">
        <v>14</v>
      </c>
      <c r="E6" s="722" t="s">
        <v>15</v>
      </c>
      <c r="F6" s="722" t="s">
        <v>141</v>
      </c>
      <c r="G6" s="722" t="s">
        <v>142</v>
      </c>
      <c r="H6" s="647" t="s">
        <v>58</v>
      </c>
      <c r="I6" s="647"/>
      <c r="J6" s="647"/>
      <c r="K6" s="647"/>
      <c r="L6" s="647" t="s">
        <v>59</v>
      </c>
      <c r="M6" s="647"/>
      <c r="N6" s="647"/>
      <c r="O6" s="647"/>
      <c r="P6" s="647" t="s">
        <v>60</v>
      </c>
      <c r="Q6" s="647"/>
      <c r="R6" s="647"/>
      <c r="S6" s="647"/>
      <c r="T6" s="648" t="s">
        <v>139</v>
      </c>
      <c r="U6" s="658" t="s">
        <v>126</v>
      </c>
      <c r="W6" s="651" t="s">
        <v>131</v>
      </c>
      <c r="X6" s="652"/>
      <c r="Y6" s="652"/>
      <c r="Z6" s="652"/>
      <c r="AA6" s="652"/>
      <c r="AB6" s="652"/>
      <c r="AC6" s="652"/>
      <c r="AD6" s="652"/>
      <c r="AE6" s="652"/>
      <c r="AF6" s="653"/>
      <c r="AG6" s="13"/>
    </row>
    <row r="7" spans="2:33" ht="16.5" customHeight="1">
      <c r="B7" s="734"/>
      <c r="C7" s="737"/>
      <c r="D7" s="723"/>
      <c r="E7" s="723"/>
      <c r="F7" s="723"/>
      <c r="G7" s="723"/>
      <c r="H7" s="654" t="s">
        <v>124</v>
      </c>
      <c r="I7" s="654"/>
      <c r="J7" s="654" t="s">
        <v>62</v>
      </c>
      <c r="K7" s="654"/>
      <c r="L7" s="654" t="s">
        <v>124</v>
      </c>
      <c r="M7" s="654"/>
      <c r="N7" s="654" t="s">
        <v>62</v>
      </c>
      <c r="O7" s="654"/>
      <c r="P7" s="654" t="s">
        <v>124</v>
      </c>
      <c r="Q7" s="654"/>
      <c r="R7" s="654" t="s">
        <v>62</v>
      </c>
      <c r="S7" s="654"/>
      <c r="T7" s="649"/>
      <c r="U7" s="659"/>
      <c r="W7" s="655" t="s">
        <v>132</v>
      </c>
      <c r="X7" s="656"/>
      <c r="Y7" s="656"/>
      <c r="Z7" s="656"/>
      <c r="AA7" s="656"/>
      <c r="AB7" s="656"/>
      <c r="AC7" s="656"/>
      <c r="AD7" s="656"/>
      <c r="AE7" s="656"/>
      <c r="AF7" s="657"/>
      <c r="AG7" s="13"/>
    </row>
    <row r="8" spans="2:33" ht="17.25" customHeight="1" thickBot="1">
      <c r="B8" s="735"/>
      <c r="C8" s="738"/>
      <c r="D8" s="724"/>
      <c r="E8" s="724"/>
      <c r="F8" s="724"/>
      <c r="G8" s="724"/>
      <c r="H8" s="30" t="s">
        <v>138</v>
      </c>
      <c r="I8" s="30" t="s">
        <v>125</v>
      </c>
      <c r="J8" s="30" t="s">
        <v>138</v>
      </c>
      <c r="K8" s="30" t="s">
        <v>125</v>
      </c>
      <c r="L8" s="30" t="s">
        <v>138</v>
      </c>
      <c r="M8" s="30" t="s">
        <v>125</v>
      </c>
      <c r="N8" s="30" t="s">
        <v>138</v>
      </c>
      <c r="O8" s="30" t="s">
        <v>125</v>
      </c>
      <c r="P8" s="30" t="s">
        <v>138</v>
      </c>
      <c r="Q8" s="30" t="s">
        <v>125</v>
      </c>
      <c r="R8" s="30" t="s">
        <v>138</v>
      </c>
      <c r="S8" s="30" t="s">
        <v>125</v>
      </c>
      <c r="T8" s="650"/>
      <c r="U8" s="660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727" t="s">
        <v>534</v>
      </c>
      <c r="C9" s="730">
        <v>4</v>
      </c>
      <c r="D9" s="31" t="s">
        <v>571</v>
      </c>
      <c r="E9" s="31" t="s">
        <v>573</v>
      </c>
      <c r="F9" s="217">
        <v>30</v>
      </c>
      <c r="G9" s="217">
        <v>2</v>
      </c>
      <c r="H9" s="50"/>
      <c r="I9" s="50">
        <f>H9*16</f>
        <v>0</v>
      </c>
      <c r="J9" s="32">
        <v>2</v>
      </c>
      <c r="K9" s="32">
        <f>J9*16</f>
        <v>32</v>
      </c>
      <c r="L9" s="32"/>
      <c r="M9" s="32"/>
      <c r="N9" s="32"/>
      <c r="O9" s="32"/>
      <c r="P9" s="32"/>
      <c r="Q9" s="32">
        <f>P9*16</f>
        <v>0</v>
      </c>
      <c r="R9" s="32"/>
      <c r="S9" s="32">
        <f>R9*16</f>
        <v>0</v>
      </c>
      <c r="T9" s="210">
        <f>SUM(H9,J9,L9,N9,P9,R9)</f>
        <v>2</v>
      </c>
      <c r="U9" s="211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728"/>
      <c r="C10" s="731"/>
      <c r="D10" s="26" t="s">
        <v>572</v>
      </c>
      <c r="E10" s="46" t="s">
        <v>574</v>
      </c>
      <c r="F10" s="218">
        <v>30</v>
      </c>
      <c r="G10" s="218">
        <v>3</v>
      </c>
      <c r="H10" s="51"/>
      <c r="I10" s="51">
        <f t="shared" ref="I10" si="0">H10*16</f>
        <v>0</v>
      </c>
      <c r="J10" s="27">
        <v>2</v>
      </c>
      <c r="K10" s="27">
        <f t="shared" ref="K10" si="1">J10*16</f>
        <v>32</v>
      </c>
      <c r="L10" s="27"/>
      <c r="M10" s="27"/>
      <c r="N10" s="27"/>
      <c r="O10" s="27"/>
      <c r="P10" s="27"/>
      <c r="Q10" s="27">
        <f t="shared" ref="Q10" si="2">P10*16</f>
        <v>0</v>
      </c>
      <c r="R10" s="27"/>
      <c r="S10" s="27">
        <f t="shared" ref="S10" si="3">R10*16</f>
        <v>0</v>
      </c>
      <c r="T10" s="212">
        <f t="shared" ref="T10" si="4">SUM(H10,J10,L10,N10,P10,R10)</f>
        <v>2</v>
      </c>
      <c r="U10" s="213">
        <f t="shared" ref="U10" si="5">SUM(I10,K10,M10,O10,Q10,S10)</f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729"/>
      <c r="C11" s="732"/>
      <c r="D11" s="717" t="s">
        <v>16</v>
      </c>
      <c r="E11" s="717"/>
      <c r="F11" s="52"/>
      <c r="G11" s="52"/>
      <c r="H11" s="53">
        <f t="shared" ref="H11:I11" si="6">SUM(H9:H10)</f>
        <v>0</v>
      </c>
      <c r="I11" s="53">
        <f t="shared" si="6"/>
        <v>0</v>
      </c>
      <c r="J11" s="33">
        <f t="shared" ref="J11:O11" si="7">SUM(J9:J10)</f>
        <v>4</v>
      </c>
      <c r="K11" s="33">
        <f t="shared" si="7"/>
        <v>64</v>
      </c>
      <c r="L11" s="33">
        <f t="shared" si="7"/>
        <v>0</v>
      </c>
      <c r="M11" s="33">
        <f t="shared" si="7"/>
        <v>0</v>
      </c>
      <c r="N11" s="33">
        <f t="shared" si="7"/>
        <v>0</v>
      </c>
      <c r="O11" s="33">
        <f t="shared" si="7"/>
        <v>0</v>
      </c>
      <c r="P11" s="33">
        <f t="shared" ref="P11:S11" si="8">SUM(P9:P10)</f>
        <v>0</v>
      </c>
      <c r="Q11" s="33">
        <f t="shared" si="8"/>
        <v>0</v>
      </c>
      <c r="R11" s="33">
        <f t="shared" si="8"/>
        <v>0</v>
      </c>
      <c r="S11" s="33">
        <f t="shared" si="8"/>
        <v>0</v>
      </c>
      <c r="T11" s="214">
        <f>SUM(T9:T10)</f>
        <v>4</v>
      </c>
      <c r="U11" s="214">
        <f>SUM(U9:U10)</f>
        <v>64</v>
      </c>
    </row>
    <row r="12" spans="2:33">
      <c r="B12" s="725" t="s">
        <v>563</v>
      </c>
      <c r="C12" s="726">
        <v>4</v>
      </c>
      <c r="D12" s="263" t="s">
        <v>575</v>
      </c>
      <c r="E12" s="264" t="s">
        <v>576</v>
      </c>
      <c r="F12" s="46">
        <v>25</v>
      </c>
      <c r="G12" s="46">
        <v>4</v>
      </c>
      <c r="H12" s="45"/>
      <c r="I12" s="45"/>
      <c r="J12" s="45">
        <v>2</v>
      </c>
      <c r="K12" s="32">
        <f>J12*16</f>
        <v>32</v>
      </c>
      <c r="L12" s="45"/>
      <c r="M12" s="45"/>
      <c r="N12" s="45"/>
      <c r="O12" s="45"/>
      <c r="P12" s="45"/>
      <c r="Q12" s="45"/>
      <c r="R12" s="45"/>
      <c r="S12" s="27"/>
      <c r="T12" s="210">
        <f>SUM(H12,J12,L12,N12,P12,R12)</f>
        <v>2</v>
      </c>
      <c r="U12" s="211">
        <f>SUM(I12,K12,M12,O12,Q12,S12)</f>
        <v>32</v>
      </c>
    </row>
    <row r="13" spans="2:33" ht="34.799999999999997">
      <c r="B13" s="718"/>
      <c r="C13" s="719"/>
      <c r="D13" s="206" t="s">
        <v>577</v>
      </c>
      <c r="E13" s="206" t="s">
        <v>578</v>
      </c>
      <c r="F13" s="26">
        <v>25</v>
      </c>
      <c r="G13" s="26">
        <v>3</v>
      </c>
      <c r="H13" s="27"/>
      <c r="I13" s="27"/>
      <c r="J13" s="27">
        <v>2</v>
      </c>
      <c r="K13" s="27">
        <f t="shared" ref="K13:O18" si="9">J13*16</f>
        <v>32</v>
      </c>
      <c r="L13" s="27"/>
      <c r="M13" s="27"/>
      <c r="N13" s="27"/>
      <c r="O13" s="27"/>
      <c r="P13" s="27"/>
      <c r="Q13" s="27"/>
      <c r="R13" s="27"/>
      <c r="S13" s="27"/>
      <c r="T13" s="212">
        <f t="shared" ref="T13" si="10">SUM(H13,J13,L13,N13,P13,R13)</f>
        <v>2</v>
      </c>
      <c r="U13" s="213">
        <f t="shared" ref="U13" si="11">SUM(I13,K13,M13,O13,Q13,S13)</f>
        <v>32</v>
      </c>
    </row>
    <row r="14" spans="2:33" ht="18" thickBot="1">
      <c r="B14" s="707"/>
      <c r="C14" s="709"/>
      <c r="D14" s="721" t="s">
        <v>16</v>
      </c>
      <c r="E14" s="721"/>
      <c r="F14" s="36"/>
      <c r="G14" s="36"/>
      <c r="H14" s="33"/>
      <c r="I14" s="33"/>
      <c r="J14" s="33">
        <f>SUM(J12:J13)</f>
        <v>4</v>
      </c>
      <c r="K14" s="33">
        <f>SUM(K12:K13)</f>
        <v>64</v>
      </c>
      <c r="L14" s="33"/>
      <c r="M14" s="33"/>
      <c r="N14" s="33"/>
      <c r="O14" s="33"/>
      <c r="P14" s="33"/>
      <c r="Q14" s="33"/>
      <c r="R14" s="33"/>
      <c r="S14" s="33"/>
      <c r="T14" s="214">
        <f>SUM(T12:T13)</f>
        <v>4</v>
      </c>
      <c r="U14" s="214">
        <f>SUM(U12:U13)</f>
        <v>64</v>
      </c>
    </row>
    <row r="15" spans="2:33">
      <c r="B15" s="711" t="s">
        <v>787</v>
      </c>
      <c r="C15" s="713">
        <v>8</v>
      </c>
      <c r="D15" s="206" t="s">
        <v>793</v>
      </c>
      <c r="E15" s="206" t="s">
        <v>579</v>
      </c>
      <c r="F15" s="46">
        <v>30</v>
      </c>
      <c r="G15" s="46">
        <v>2</v>
      </c>
      <c r="H15" s="45"/>
      <c r="I15" s="45"/>
      <c r="J15" s="45"/>
      <c r="K15" s="45"/>
      <c r="L15" s="45">
        <v>2</v>
      </c>
      <c r="M15" s="27">
        <f t="shared" si="9"/>
        <v>32</v>
      </c>
      <c r="N15" s="45"/>
      <c r="O15" s="45"/>
      <c r="P15" s="45"/>
      <c r="Q15" s="45"/>
      <c r="R15" s="45"/>
      <c r="S15" s="45"/>
      <c r="T15" s="44">
        <v>2</v>
      </c>
      <c r="U15" s="43">
        <v>32</v>
      </c>
    </row>
    <row r="16" spans="2:33">
      <c r="B16" s="711"/>
      <c r="C16" s="714"/>
      <c r="D16" s="206" t="s">
        <v>580</v>
      </c>
      <c r="E16" s="206" t="s">
        <v>581</v>
      </c>
      <c r="F16" s="46">
        <v>30</v>
      </c>
      <c r="G16" s="46">
        <v>3</v>
      </c>
      <c r="H16" s="45"/>
      <c r="I16" s="45"/>
      <c r="J16" s="45"/>
      <c r="K16" s="45"/>
      <c r="L16" s="45">
        <v>2</v>
      </c>
      <c r="M16" s="27">
        <f t="shared" si="9"/>
        <v>32</v>
      </c>
      <c r="N16" s="45"/>
      <c r="O16" s="45"/>
      <c r="P16" s="45"/>
      <c r="Q16" s="45"/>
      <c r="R16" s="45"/>
      <c r="S16" s="45"/>
      <c r="T16">
        <v>2</v>
      </c>
      <c r="U16" s="43">
        <v>32</v>
      </c>
    </row>
    <row r="17" spans="2:21">
      <c r="B17" s="711"/>
      <c r="C17" s="714"/>
      <c r="D17" s="206" t="s">
        <v>785</v>
      </c>
      <c r="E17" s="206" t="s">
        <v>784</v>
      </c>
      <c r="F17" s="46">
        <v>30</v>
      </c>
      <c r="G17" s="46">
        <v>2</v>
      </c>
      <c r="H17" s="45"/>
      <c r="I17" s="45"/>
      <c r="J17" s="45"/>
      <c r="K17" s="45"/>
      <c r="L17" s="45"/>
      <c r="M17" s="45"/>
      <c r="N17" s="45">
        <v>2</v>
      </c>
      <c r="O17" s="27">
        <f t="shared" si="9"/>
        <v>32</v>
      </c>
      <c r="P17" s="45"/>
      <c r="Q17" s="45"/>
      <c r="R17" s="45"/>
      <c r="S17" s="45"/>
      <c r="T17" s="44">
        <v>2</v>
      </c>
      <c r="U17" s="43">
        <v>32</v>
      </c>
    </row>
    <row r="18" spans="2:21">
      <c r="B18" s="711"/>
      <c r="C18" s="714"/>
      <c r="D18" s="206" t="s">
        <v>582</v>
      </c>
      <c r="E18" s="206" t="s">
        <v>583</v>
      </c>
      <c r="F18" s="46">
        <v>30</v>
      </c>
      <c r="G18" s="46">
        <v>2</v>
      </c>
      <c r="H18" s="45"/>
      <c r="I18" s="45"/>
      <c r="J18" s="45"/>
      <c r="K18" s="45"/>
      <c r="L18" s="45"/>
      <c r="M18" s="45"/>
      <c r="N18" s="45">
        <v>2</v>
      </c>
      <c r="O18" s="27">
        <f t="shared" si="9"/>
        <v>32</v>
      </c>
      <c r="P18" s="45"/>
      <c r="Q18" s="45"/>
      <c r="R18" s="45"/>
      <c r="S18" s="27"/>
      <c r="T18" s="44">
        <v>2</v>
      </c>
      <c r="U18" s="43">
        <v>32</v>
      </c>
    </row>
    <row r="19" spans="2:21" ht="18" thickBot="1">
      <c r="B19" s="712"/>
      <c r="C19" s="715"/>
      <c r="D19" s="716" t="s">
        <v>16</v>
      </c>
      <c r="E19" s="717"/>
      <c r="F19" s="48"/>
      <c r="G19" s="185"/>
      <c r="H19" s="185"/>
      <c r="I19" s="185"/>
      <c r="J19" s="185"/>
      <c r="K19" s="185"/>
      <c r="L19" s="185">
        <f t="shared" ref="L19:O19" si="12">SUM(L15:L18)</f>
        <v>4</v>
      </c>
      <c r="M19" s="185">
        <f t="shared" si="12"/>
        <v>64</v>
      </c>
      <c r="N19" s="185">
        <f t="shared" si="12"/>
        <v>4</v>
      </c>
      <c r="O19" s="185">
        <f t="shared" si="12"/>
        <v>64</v>
      </c>
      <c r="P19" s="185"/>
      <c r="Q19" s="185"/>
      <c r="R19" s="185"/>
      <c r="S19" s="185"/>
      <c r="T19" s="215">
        <v>8</v>
      </c>
      <c r="U19" s="215">
        <v>128</v>
      </c>
    </row>
    <row r="20" spans="2:21">
      <c r="B20" s="718" t="s">
        <v>788</v>
      </c>
      <c r="C20" s="719">
        <v>8</v>
      </c>
      <c r="D20" s="206" t="s">
        <v>584</v>
      </c>
      <c r="E20" s="206" t="s">
        <v>789</v>
      </c>
      <c r="F20" s="26">
        <v>25</v>
      </c>
      <c r="G20" s="26">
        <v>4</v>
      </c>
      <c r="H20" s="27"/>
      <c r="I20" s="27"/>
      <c r="J20" s="27"/>
      <c r="K20" s="27"/>
      <c r="L20" s="27">
        <v>2</v>
      </c>
      <c r="M20" s="27">
        <f>L20*16</f>
        <v>32</v>
      </c>
      <c r="N20" s="27"/>
      <c r="O20" s="27"/>
      <c r="P20" s="27"/>
      <c r="Q20" s="27"/>
      <c r="R20" s="27"/>
      <c r="T20" s="41">
        <v>2</v>
      </c>
      <c r="U20" s="40">
        <v>32</v>
      </c>
    </row>
    <row r="21" spans="2:21" ht="34.799999999999997">
      <c r="B21" s="718"/>
      <c r="C21" s="719"/>
      <c r="D21" s="206" t="s">
        <v>585</v>
      </c>
      <c r="E21" s="206" t="s">
        <v>790</v>
      </c>
      <c r="F21" s="26">
        <v>25</v>
      </c>
      <c r="G21" s="26">
        <v>3</v>
      </c>
      <c r="H21" s="27"/>
      <c r="I21" s="27"/>
      <c r="J21" s="27"/>
      <c r="K21" s="27"/>
      <c r="L21" s="27">
        <v>2</v>
      </c>
      <c r="M21" s="27">
        <f>L21*16</f>
        <v>32</v>
      </c>
      <c r="N21" s="27"/>
      <c r="O21" s="27"/>
      <c r="P21" s="27"/>
      <c r="Q21" s="27"/>
      <c r="R21" s="27"/>
      <c r="S21" s="27"/>
      <c r="T21" s="41">
        <v>2</v>
      </c>
      <c r="U21" s="40">
        <v>32</v>
      </c>
    </row>
    <row r="22" spans="2:21" ht="34.799999999999997">
      <c r="B22" s="718"/>
      <c r="C22" s="719"/>
      <c r="D22" s="206" t="s">
        <v>586</v>
      </c>
      <c r="E22" s="206" t="s">
        <v>791</v>
      </c>
      <c r="F22" s="26">
        <v>25</v>
      </c>
      <c r="G22" s="26">
        <v>4</v>
      </c>
      <c r="H22" s="27"/>
      <c r="I22" s="27"/>
      <c r="J22" s="27"/>
      <c r="K22" s="27"/>
      <c r="L22" s="27"/>
      <c r="M22" s="27"/>
      <c r="N22" s="27">
        <v>2</v>
      </c>
      <c r="O22" s="27">
        <f>N22*16</f>
        <v>32</v>
      </c>
      <c r="P22" s="27"/>
      <c r="Q22" s="27"/>
      <c r="R22" s="27"/>
      <c r="S22" s="27"/>
      <c r="T22" s="41">
        <v>2</v>
      </c>
      <c r="U22" s="40">
        <v>32</v>
      </c>
    </row>
    <row r="23" spans="2:21" ht="34.799999999999997">
      <c r="B23" s="718"/>
      <c r="C23" s="719"/>
      <c r="D23" s="206" t="s">
        <v>587</v>
      </c>
      <c r="E23" s="206" t="s">
        <v>792</v>
      </c>
      <c r="F23" s="26">
        <v>25</v>
      </c>
      <c r="G23" s="26">
        <v>3</v>
      </c>
      <c r="H23" s="27"/>
      <c r="I23" s="27"/>
      <c r="J23" s="27"/>
      <c r="K23" s="27"/>
      <c r="L23" s="27"/>
      <c r="M23" s="27"/>
      <c r="N23" s="27">
        <v>2</v>
      </c>
      <c r="O23" s="27">
        <f>N23*16</f>
        <v>32</v>
      </c>
      <c r="P23" s="27"/>
      <c r="Q23" s="27"/>
      <c r="R23" s="27"/>
      <c r="S23" s="27"/>
      <c r="T23" s="41">
        <v>2</v>
      </c>
      <c r="U23" s="40">
        <v>32</v>
      </c>
    </row>
    <row r="24" spans="2:21" ht="18" thickBot="1">
      <c r="B24" s="707"/>
      <c r="C24" s="709"/>
      <c r="D24" s="720" t="s">
        <v>16</v>
      </c>
      <c r="E24" s="721"/>
      <c r="F24" s="36"/>
      <c r="G24" s="36"/>
      <c r="H24" s="33"/>
      <c r="I24" s="33"/>
      <c r="J24" s="33"/>
      <c r="K24" s="33"/>
      <c r="L24" s="33">
        <f>SUM(L20:L23)</f>
        <v>4</v>
      </c>
      <c r="M24" s="33">
        <f t="shared" ref="M24:O24" si="13">SUM(M20:M23)</f>
        <v>64</v>
      </c>
      <c r="N24" s="33">
        <f t="shared" si="13"/>
        <v>4</v>
      </c>
      <c r="O24" s="33">
        <f t="shared" si="13"/>
        <v>64</v>
      </c>
      <c r="P24" s="33"/>
      <c r="Q24" s="33"/>
      <c r="R24" s="33"/>
      <c r="S24" s="33"/>
      <c r="T24" s="38">
        <v>8</v>
      </c>
      <c r="U24" s="39">
        <v>128</v>
      </c>
    </row>
    <row r="25" spans="2:21">
      <c r="B25" s="706" t="s">
        <v>562</v>
      </c>
      <c r="C25" s="708">
        <v>3</v>
      </c>
      <c r="D25" s="207" t="s">
        <v>588</v>
      </c>
      <c r="E25" s="207" t="s">
        <v>589</v>
      </c>
      <c r="F25" s="26">
        <v>10</v>
      </c>
      <c r="G25" s="46">
        <v>2</v>
      </c>
      <c r="H25" s="45"/>
      <c r="I25" s="45"/>
      <c r="J25" s="45"/>
      <c r="K25" s="45"/>
      <c r="L25" s="45"/>
      <c r="M25" s="45"/>
      <c r="N25" s="45">
        <v>1</v>
      </c>
      <c r="O25" s="45">
        <f>N25*16</f>
        <v>16</v>
      </c>
      <c r="P25" s="34"/>
      <c r="Q25" s="34"/>
      <c r="R25" s="34"/>
      <c r="S25" s="34"/>
      <c r="T25" s="44">
        <v>1</v>
      </c>
      <c r="U25" s="43">
        <v>16</v>
      </c>
    </row>
    <row r="26" spans="2:21">
      <c r="B26" s="706"/>
      <c r="C26" s="708"/>
      <c r="D26" s="207" t="s">
        <v>786</v>
      </c>
      <c r="E26" s="207" t="s">
        <v>590</v>
      </c>
      <c r="F26" s="42">
        <v>25</v>
      </c>
      <c r="G26" s="26">
        <v>2</v>
      </c>
      <c r="H26" s="27"/>
      <c r="I26" s="27"/>
      <c r="J26" s="27"/>
      <c r="K26" s="27"/>
      <c r="L26" s="27"/>
      <c r="M26" s="27"/>
      <c r="N26" s="27">
        <v>2</v>
      </c>
      <c r="O26" s="27">
        <f>N26*16</f>
        <v>32</v>
      </c>
      <c r="P26" s="28"/>
      <c r="Q26" s="28"/>
      <c r="R26" s="28"/>
      <c r="S26" s="28"/>
      <c r="T26" s="41">
        <v>2</v>
      </c>
      <c r="U26" s="40">
        <v>32</v>
      </c>
    </row>
    <row r="27" spans="2:21" ht="18" thickBot="1">
      <c r="B27" s="707"/>
      <c r="C27" s="709"/>
      <c r="D27" s="710" t="s">
        <v>16</v>
      </c>
      <c r="E27" s="710"/>
      <c r="F27" s="37"/>
      <c r="G27" s="37"/>
      <c r="H27" s="29"/>
      <c r="I27" s="29"/>
      <c r="J27" s="29"/>
      <c r="K27" s="29"/>
      <c r="L27" s="29"/>
      <c r="M27" s="29"/>
      <c r="N27" s="29">
        <f>SUM(N25:N26)</f>
        <v>3</v>
      </c>
      <c r="O27" s="29">
        <f>SUM(O25:O26)</f>
        <v>48</v>
      </c>
      <c r="P27" s="29"/>
      <c r="Q27" s="29"/>
      <c r="R27" s="29"/>
      <c r="S27" s="29"/>
      <c r="T27" s="38">
        <v>3</v>
      </c>
      <c r="U27" s="39">
        <v>48</v>
      </c>
    </row>
    <row r="28" spans="2:21">
      <c r="B28" s="725" t="s">
        <v>559</v>
      </c>
      <c r="C28" s="726">
        <v>17</v>
      </c>
      <c r="D28" s="206" t="s">
        <v>591</v>
      </c>
      <c r="E28" s="206" t="s">
        <v>592</v>
      </c>
      <c r="F28" s="26">
        <v>25</v>
      </c>
      <c r="G28" s="46">
        <v>2</v>
      </c>
      <c r="H28" s="45"/>
      <c r="I28" s="45"/>
      <c r="J28" s="45"/>
      <c r="K28" s="45"/>
      <c r="L28" s="45"/>
      <c r="M28" s="45"/>
      <c r="N28" s="45"/>
      <c r="O28" s="45"/>
      <c r="P28" s="34">
        <v>2</v>
      </c>
      <c r="Q28" s="34">
        <f>P28*16</f>
        <v>32</v>
      </c>
      <c r="R28" s="34"/>
      <c r="S28" s="34"/>
      <c r="T28" s="44">
        <v>2</v>
      </c>
      <c r="U28" s="43">
        <v>32</v>
      </c>
    </row>
    <row r="29" spans="2:21">
      <c r="B29" s="725"/>
      <c r="C29" s="726"/>
      <c r="D29" s="206" t="s">
        <v>593</v>
      </c>
      <c r="E29" s="206" t="s">
        <v>594</v>
      </c>
      <c r="F29" s="46">
        <v>40</v>
      </c>
      <c r="G29" s="46">
        <v>3</v>
      </c>
      <c r="H29" s="45"/>
      <c r="I29" s="45"/>
      <c r="J29" s="45"/>
      <c r="K29" s="45"/>
      <c r="L29" s="45"/>
      <c r="M29" s="45"/>
      <c r="N29" s="45"/>
      <c r="O29" s="45"/>
      <c r="P29" s="34">
        <v>3</v>
      </c>
      <c r="Q29" s="34">
        <f t="shared" ref="Q29:Q30" si="14">P29*16</f>
        <v>48</v>
      </c>
      <c r="R29" s="34"/>
      <c r="S29" s="34"/>
      <c r="T29" s="44">
        <v>3</v>
      </c>
      <c r="U29" s="43">
        <v>48</v>
      </c>
    </row>
    <row r="30" spans="2:21">
      <c r="B30" s="725"/>
      <c r="C30" s="726"/>
      <c r="D30" s="206" t="s">
        <v>595</v>
      </c>
      <c r="E30" s="206" t="s">
        <v>596</v>
      </c>
      <c r="F30" s="46">
        <v>40</v>
      </c>
      <c r="G30" s="46">
        <v>2</v>
      </c>
      <c r="H30" s="45"/>
      <c r="I30" s="45"/>
      <c r="J30" s="45"/>
      <c r="K30" s="45"/>
      <c r="L30" s="45"/>
      <c r="M30" s="45"/>
      <c r="N30" s="45"/>
      <c r="O30" s="45"/>
      <c r="P30" s="34">
        <v>3</v>
      </c>
      <c r="Q30" s="34">
        <f t="shared" si="14"/>
        <v>48</v>
      </c>
      <c r="R30" s="34"/>
      <c r="S30" s="34"/>
      <c r="T30" s="44">
        <v>3</v>
      </c>
      <c r="U30" s="43">
        <v>48</v>
      </c>
    </row>
    <row r="31" spans="2:21">
      <c r="B31" s="725"/>
      <c r="C31" s="726"/>
      <c r="D31" s="206" t="s">
        <v>597</v>
      </c>
      <c r="E31" s="206" t="s">
        <v>598</v>
      </c>
      <c r="F31" s="46">
        <v>40</v>
      </c>
      <c r="G31" s="46">
        <v>2</v>
      </c>
      <c r="H31" s="45"/>
      <c r="I31" s="45"/>
      <c r="J31" s="45"/>
      <c r="K31" s="45"/>
      <c r="L31" s="45"/>
      <c r="M31" s="45"/>
      <c r="N31" s="45"/>
      <c r="O31" s="45"/>
      <c r="P31" s="34"/>
      <c r="Q31" s="34"/>
      <c r="R31" s="34">
        <v>3</v>
      </c>
      <c r="S31" s="34">
        <f>R31*16</f>
        <v>48</v>
      </c>
      <c r="T31" s="44">
        <v>3</v>
      </c>
      <c r="U31" s="43">
        <v>48</v>
      </c>
    </row>
    <row r="32" spans="2:21">
      <c r="B32" s="706"/>
      <c r="C32" s="708"/>
      <c r="D32" s="206" t="s">
        <v>599</v>
      </c>
      <c r="E32" s="206" t="s">
        <v>600</v>
      </c>
      <c r="F32" s="26">
        <v>40</v>
      </c>
      <c r="G32" s="46">
        <v>2</v>
      </c>
      <c r="H32" s="45"/>
      <c r="I32" s="45"/>
      <c r="J32" s="45"/>
      <c r="K32" s="45"/>
      <c r="L32" s="45"/>
      <c r="M32" s="45"/>
      <c r="N32" s="45"/>
      <c r="O32" s="45"/>
      <c r="P32" s="34"/>
      <c r="Q32" s="34"/>
      <c r="R32" s="34">
        <v>3</v>
      </c>
      <c r="S32" s="34">
        <f t="shared" ref="S32:S33" si="15">R32*16</f>
        <v>48</v>
      </c>
      <c r="T32" s="44">
        <v>3</v>
      </c>
      <c r="U32" s="43">
        <v>48</v>
      </c>
    </row>
    <row r="33" spans="2:21">
      <c r="B33" s="706"/>
      <c r="C33" s="708"/>
      <c r="D33" s="206" t="s">
        <v>601</v>
      </c>
      <c r="E33" s="206" t="s">
        <v>602</v>
      </c>
      <c r="F33" s="42">
        <v>40</v>
      </c>
      <c r="G33" s="26">
        <v>2</v>
      </c>
      <c r="H33" s="27"/>
      <c r="I33" s="27"/>
      <c r="J33" s="27"/>
      <c r="K33" s="27"/>
      <c r="L33" s="27"/>
      <c r="M33" s="27"/>
      <c r="N33" s="27"/>
      <c r="O33" s="27"/>
      <c r="P33" s="28"/>
      <c r="Q33" s="28"/>
      <c r="R33" s="28">
        <v>3</v>
      </c>
      <c r="S33" s="34">
        <f t="shared" si="15"/>
        <v>48</v>
      </c>
      <c r="T33" s="41">
        <v>3</v>
      </c>
      <c r="U33" s="40">
        <v>48</v>
      </c>
    </row>
    <row r="34" spans="2:21" ht="18" thickBot="1">
      <c r="B34" s="707"/>
      <c r="C34" s="709"/>
      <c r="D34" s="710" t="s">
        <v>16</v>
      </c>
      <c r="E34" s="710"/>
      <c r="F34" s="184"/>
      <c r="G34" s="184"/>
      <c r="H34" s="29"/>
      <c r="I34" s="29"/>
      <c r="J34" s="29"/>
      <c r="K34" s="29"/>
      <c r="L34" s="29"/>
      <c r="M34" s="29"/>
      <c r="N34" s="29"/>
      <c r="O34" s="29"/>
      <c r="P34" s="29">
        <f>SUM(P28:P33)</f>
        <v>8</v>
      </c>
      <c r="Q34" s="29">
        <f t="shared" ref="Q34:S34" si="16">SUM(Q28:Q33)</f>
        <v>128</v>
      </c>
      <c r="R34" s="29">
        <f t="shared" si="16"/>
        <v>9</v>
      </c>
      <c r="S34" s="29">
        <f t="shared" si="16"/>
        <v>144</v>
      </c>
      <c r="T34" s="38">
        <f>SUM(T28:T33)</f>
        <v>17</v>
      </c>
      <c r="U34" s="39">
        <f>SUM(U28:U33)</f>
        <v>272</v>
      </c>
    </row>
    <row r="35" spans="2:21" ht="34.799999999999997">
      <c r="B35" s="725" t="s">
        <v>560</v>
      </c>
      <c r="C35" s="726">
        <v>18</v>
      </c>
      <c r="D35" s="206" t="s">
        <v>603</v>
      </c>
      <c r="E35" s="206" t="s">
        <v>604</v>
      </c>
      <c r="F35" s="26">
        <v>40</v>
      </c>
      <c r="G35" s="46">
        <v>4</v>
      </c>
      <c r="H35" s="45"/>
      <c r="I35" s="45"/>
      <c r="J35" s="45"/>
      <c r="K35" s="45"/>
      <c r="L35" s="45"/>
      <c r="M35" s="45"/>
      <c r="N35" s="45"/>
      <c r="O35" s="45"/>
      <c r="P35" s="34">
        <v>3</v>
      </c>
      <c r="Q35" s="34">
        <f>SUM(P35*16)</f>
        <v>48</v>
      </c>
      <c r="R35" s="34"/>
      <c r="S35" s="34"/>
      <c r="T35" s="44">
        <v>3</v>
      </c>
      <c r="U35" s="43">
        <v>48</v>
      </c>
    </row>
    <row r="36" spans="2:21">
      <c r="B36" s="725"/>
      <c r="C36" s="726"/>
      <c r="D36" s="206" t="s">
        <v>605</v>
      </c>
      <c r="E36" s="206" t="s">
        <v>606</v>
      </c>
      <c r="F36" s="46">
        <v>40</v>
      </c>
      <c r="G36" s="46">
        <v>3</v>
      </c>
      <c r="H36" s="45"/>
      <c r="I36" s="45"/>
      <c r="J36" s="45"/>
      <c r="K36" s="45"/>
      <c r="L36" s="45"/>
      <c r="M36" s="45"/>
      <c r="N36" s="45"/>
      <c r="O36" s="45"/>
      <c r="P36" s="34">
        <v>3</v>
      </c>
      <c r="Q36" s="34">
        <f t="shared" ref="Q36:Q37" si="17">SUM(P36*16)</f>
        <v>48</v>
      </c>
      <c r="R36" s="34"/>
      <c r="S36" s="34"/>
      <c r="T36" s="44">
        <v>3</v>
      </c>
      <c r="U36" s="43">
        <v>48</v>
      </c>
    </row>
    <row r="37" spans="2:21" ht="34.799999999999997">
      <c r="B37" s="725"/>
      <c r="C37" s="726"/>
      <c r="D37" s="206" t="s">
        <v>607</v>
      </c>
      <c r="E37" s="206" t="s">
        <v>608</v>
      </c>
      <c r="F37" s="46">
        <v>40</v>
      </c>
      <c r="G37" s="46">
        <v>3</v>
      </c>
      <c r="H37" s="45"/>
      <c r="I37" s="45"/>
      <c r="J37" s="45"/>
      <c r="K37" s="45"/>
      <c r="L37" s="45"/>
      <c r="M37" s="45"/>
      <c r="N37" s="45"/>
      <c r="O37" s="45"/>
      <c r="P37" s="34">
        <v>3</v>
      </c>
      <c r="Q37" s="34">
        <f t="shared" si="17"/>
        <v>48</v>
      </c>
      <c r="R37" s="34"/>
      <c r="S37" s="34"/>
      <c r="T37" s="44">
        <v>3</v>
      </c>
      <c r="U37" s="43">
        <v>48</v>
      </c>
    </row>
    <row r="38" spans="2:21" ht="34.799999999999997">
      <c r="B38" s="725"/>
      <c r="C38" s="726"/>
      <c r="D38" s="206" t="s">
        <v>609</v>
      </c>
      <c r="E38" s="206" t="s">
        <v>610</v>
      </c>
      <c r="F38" s="46">
        <v>40</v>
      </c>
      <c r="G38" s="46">
        <v>3</v>
      </c>
      <c r="H38" s="45"/>
      <c r="I38" s="45"/>
      <c r="J38" s="45"/>
      <c r="K38" s="45"/>
      <c r="L38" s="45"/>
      <c r="M38" s="45"/>
      <c r="N38" s="45"/>
      <c r="O38" s="45"/>
      <c r="P38" s="34"/>
      <c r="Q38" s="34"/>
      <c r="R38" s="34">
        <v>3</v>
      </c>
      <c r="S38" s="34">
        <f>R38*16</f>
        <v>48</v>
      </c>
      <c r="T38" s="44">
        <v>3</v>
      </c>
      <c r="U38" s="43">
        <v>48</v>
      </c>
    </row>
    <row r="39" spans="2:21">
      <c r="B39" s="706"/>
      <c r="C39" s="708"/>
      <c r="D39" s="206" t="s">
        <v>611</v>
      </c>
      <c r="E39" s="206" t="s">
        <v>612</v>
      </c>
      <c r="F39" s="26">
        <v>40</v>
      </c>
      <c r="G39" s="46">
        <v>3</v>
      </c>
      <c r="H39" s="45"/>
      <c r="I39" s="45"/>
      <c r="J39" s="45"/>
      <c r="K39" s="45"/>
      <c r="L39" s="45"/>
      <c r="M39" s="45"/>
      <c r="N39" s="45"/>
      <c r="O39" s="45"/>
      <c r="P39" s="34"/>
      <c r="Q39" s="34"/>
      <c r="R39" s="34">
        <v>3</v>
      </c>
      <c r="S39" s="34">
        <f t="shared" ref="S39:S40" si="18">R39*16</f>
        <v>48</v>
      </c>
      <c r="T39" s="44">
        <v>3</v>
      </c>
      <c r="U39" s="43">
        <v>48</v>
      </c>
    </row>
    <row r="40" spans="2:21">
      <c r="B40" s="706"/>
      <c r="C40" s="708"/>
      <c r="D40" s="206" t="s">
        <v>613</v>
      </c>
      <c r="E40" s="206" t="s">
        <v>614</v>
      </c>
      <c r="F40" s="42">
        <v>40</v>
      </c>
      <c r="G40" s="26">
        <v>4</v>
      </c>
      <c r="H40" s="27"/>
      <c r="I40" s="27"/>
      <c r="J40" s="27"/>
      <c r="K40" s="27"/>
      <c r="L40" s="27"/>
      <c r="M40" s="27"/>
      <c r="N40" s="27"/>
      <c r="O40" s="27"/>
      <c r="P40" s="28"/>
      <c r="Q40" s="28"/>
      <c r="R40" s="28">
        <v>3</v>
      </c>
      <c r="S40" s="34">
        <f t="shared" si="18"/>
        <v>48</v>
      </c>
      <c r="T40" s="41">
        <v>3</v>
      </c>
      <c r="U40" s="40">
        <v>48</v>
      </c>
    </row>
    <row r="41" spans="2:21" ht="18" thickBot="1">
      <c r="B41" s="707"/>
      <c r="C41" s="709"/>
      <c r="D41" s="710" t="s">
        <v>16</v>
      </c>
      <c r="E41" s="710"/>
      <c r="F41" s="184"/>
      <c r="G41" s="184"/>
      <c r="H41" s="29"/>
      <c r="I41" s="29"/>
      <c r="J41" s="29"/>
      <c r="K41" s="29"/>
      <c r="L41" s="29"/>
      <c r="M41" s="29"/>
      <c r="N41" s="29"/>
      <c r="O41" s="29"/>
      <c r="P41" s="29">
        <f>SUM(P35:P40)</f>
        <v>9</v>
      </c>
      <c r="Q41" s="29">
        <f t="shared" ref="Q41:U41" si="19">SUM(Q35:Q40)</f>
        <v>144</v>
      </c>
      <c r="R41" s="29">
        <f t="shared" si="19"/>
        <v>9</v>
      </c>
      <c r="S41" s="29">
        <f t="shared" si="19"/>
        <v>144</v>
      </c>
      <c r="T41" s="216">
        <f t="shared" si="19"/>
        <v>18</v>
      </c>
      <c r="U41" s="216">
        <f t="shared" si="19"/>
        <v>288</v>
      </c>
    </row>
    <row r="42" spans="2:21" ht="34.799999999999997">
      <c r="B42" s="725" t="s">
        <v>561</v>
      </c>
      <c r="C42" s="726">
        <v>10</v>
      </c>
      <c r="D42" s="206" t="s">
        <v>615</v>
      </c>
      <c r="E42" s="206" t="s">
        <v>616</v>
      </c>
      <c r="F42" s="26">
        <v>40</v>
      </c>
      <c r="G42" s="46">
        <v>3</v>
      </c>
      <c r="H42" s="45"/>
      <c r="I42" s="45"/>
      <c r="J42" s="45"/>
      <c r="K42" s="45"/>
      <c r="L42" s="45"/>
      <c r="M42" s="45"/>
      <c r="N42" s="45"/>
      <c r="O42" s="45"/>
      <c r="P42" s="34">
        <v>3</v>
      </c>
      <c r="Q42" s="34">
        <f>P42*16</f>
        <v>48</v>
      </c>
      <c r="R42" s="34"/>
      <c r="S42" s="34"/>
      <c r="T42" s="44">
        <v>3</v>
      </c>
      <c r="U42" s="43">
        <v>48</v>
      </c>
    </row>
    <row r="43" spans="2:21" ht="34.799999999999997">
      <c r="B43" s="725"/>
      <c r="C43" s="726"/>
      <c r="D43" s="206" t="s">
        <v>617</v>
      </c>
      <c r="E43" s="206" t="s">
        <v>618</v>
      </c>
      <c r="F43" s="46">
        <v>25</v>
      </c>
      <c r="G43" s="46">
        <v>3</v>
      </c>
      <c r="H43" s="45"/>
      <c r="I43" s="45"/>
      <c r="J43" s="45"/>
      <c r="K43" s="45"/>
      <c r="L43" s="45"/>
      <c r="M43" s="45"/>
      <c r="N43" s="45"/>
      <c r="O43" s="45"/>
      <c r="P43" s="34">
        <v>2</v>
      </c>
      <c r="Q43" s="34">
        <f>P43*16</f>
        <v>32</v>
      </c>
      <c r="R43" s="34"/>
      <c r="S43" s="34"/>
      <c r="T43" s="44">
        <v>2</v>
      </c>
      <c r="U43" s="43">
        <v>32</v>
      </c>
    </row>
    <row r="44" spans="2:21" ht="34.799999999999997">
      <c r="B44" s="706"/>
      <c r="C44" s="708"/>
      <c r="D44" s="206" t="s">
        <v>619</v>
      </c>
      <c r="E44" s="206" t="s">
        <v>620</v>
      </c>
      <c r="F44" s="26">
        <v>40</v>
      </c>
      <c r="G44" s="46">
        <v>3</v>
      </c>
      <c r="H44" s="45"/>
      <c r="I44" s="45"/>
      <c r="J44" s="45"/>
      <c r="K44" s="45"/>
      <c r="L44" s="45"/>
      <c r="M44" s="45"/>
      <c r="N44" s="45"/>
      <c r="O44" s="45"/>
      <c r="P44" s="34"/>
      <c r="Q44" s="34"/>
      <c r="R44" s="34">
        <v>3</v>
      </c>
      <c r="S44" s="34">
        <f>R44*16</f>
        <v>48</v>
      </c>
      <c r="T44" s="44">
        <v>3</v>
      </c>
      <c r="U44" s="43">
        <v>48</v>
      </c>
    </row>
    <row r="45" spans="2:21">
      <c r="B45" s="706"/>
      <c r="C45" s="708"/>
      <c r="D45" s="206" t="s">
        <v>621</v>
      </c>
      <c r="E45" s="206" t="s">
        <v>622</v>
      </c>
      <c r="F45" s="42">
        <v>25</v>
      </c>
      <c r="G45" s="26">
        <v>4</v>
      </c>
      <c r="H45" s="27"/>
      <c r="I45" s="27"/>
      <c r="J45" s="27"/>
      <c r="K45" s="27"/>
      <c r="L45" s="27"/>
      <c r="M45" s="27"/>
      <c r="N45" s="27"/>
      <c r="O45" s="27"/>
      <c r="P45" s="28"/>
      <c r="Q45" s="28"/>
      <c r="R45" s="28">
        <v>2</v>
      </c>
      <c r="S45" s="34">
        <f>R45*16</f>
        <v>32</v>
      </c>
      <c r="T45" s="41">
        <v>2</v>
      </c>
      <c r="U45" s="40">
        <v>32</v>
      </c>
    </row>
    <row r="46" spans="2:21" ht="18" thickBot="1">
      <c r="B46" s="707"/>
      <c r="C46" s="709"/>
      <c r="D46" s="710" t="s">
        <v>16</v>
      </c>
      <c r="E46" s="710"/>
      <c r="F46" s="184"/>
      <c r="G46" s="184"/>
      <c r="H46" s="29"/>
      <c r="I46" s="29"/>
      <c r="J46" s="29"/>
      <c r="K46" s="29"/>
      <c r="L46" s="29"/>
      <c r="M46" s="29"/>
      <c r="N46" s="29"/>
      <c r="O46" s="29"/>
      <c r="P46" s="29">
        <f>SUM(P42:P45)</f>
        <v>5</v>
      </c>
      <c r="Q46" s="29">
        <f t="shared" ref="Q46:U46" si="20">SUM(Q42:Q45)</f>
        <v>80</v>
      </c>
      <c r="R46" s="29">
        <f t="shared" si="20"/>
        <v>5</v>
      </c>
      <c r="S46" s="29">
        <f t="shared" si="20"/>
        <v>80</v>
      </c>
      <c r="T46" s="216">
        <f t="shared" si="20"/>
        <v>10</v>
      </c>
      <c r="U46" s="216">
        <f t="shared" si="20"/>
        <v>160</v>
      </c>
    </row>
    <row r="47" spans="2:21" ht="34.799999999999997">
      <c r="B47" s="725" t="s">
        <v>566</v>
      </c>
      <c r="C47" s="726">
        <v>12</v>
      </c>
      <c r="D47" s="206" t="s">
        <v>630</v>
      </c>
      <c r="E47" s="206" t="s">
        <v>623</v>
      </c>
      <c r="F47" s="26">
        <v>40</v>
      </c>
      <c r="G47" s="46">
        <v>3</v>
      </c>
      <c r="H47" s="45"/>
      <c r="I47" s="45"/>
      <c r="J47" s="45"/>
      <c r="K47" s="45"/>
      <c r="L47" s="45"/>
      <c r="M47" s="45"/>
      <c r="N47" s="45"/>
      <c r="O47" s="45"/>
      <c r="P47" s="34">
        <v>3</v>
      </c>
      <c r="Q47" s="34">
        <f>P47*16</f>
        <v>48</v>
      </c>
      <c r="R47" s="34"/>
      <c r="S47" s="34"/>
      <c r="T47" s="44">
        <v>3</v>
      </c>
      <c r="U47" s="43">
        <v>48</v>
      </c>
    </row>
    <row r="48" spans="2:21" ht="34.799999999999997">
      <c r="B48" s="725"/>
      <c r="C48" s="726"/>
      <c r="D48" s="206" t="s">
        <v>624</v>
      </c>
      <c r="E48" s="206" t="s">
        <v>625</v>
      </c>
      <c r="F48" s="46">
        <v>40</v>
      </c>
      <c r="G48" s="46">
        <v>3</v>
      </c>
      <c r="H48" s="45"/>
      <c r="I48" s="45"/>
      <c r="J48" s="45"/>
      <c r="K48" s="45"/>
      <c r="L48" s="45"/>
      <c r="M48" s="45"/>
      <c r="N48" s="45"/>
      <c r="O48" s="45"/>
      <c r="P48" s="34">
        <v>3</v>
      </c>
      <c r="Q48" s="34">
        <f>P48*16</f>
        <v>48</v>
      </c>
      <c r="R48" s="34"/>
      <c r="S48" s="34"/>
      <c r="T48" s="44">
        <v>3</v>
      </c>
      <c r="U48" s="43">
        <v>48</v>
      </c>
    </row>
    <row r="49" spans="2:21" ht="34.799999999999997">
      <c r="B49" s="706"/>
      <c r="C49" s="708"/>
      <c r="D49" s="206" t="s">
        <v>626</v>
      </c>
      <c r="E49" s="206" t="s">
        <v>627</v>
      </c>
      <c r="F49" s="26">
        <v>40</v>
      </c>
      <c r="G49" s="46">
        <v>4</v>
      </c>
      <c r="H49" s="45"/>
      <c r="I49" s="45"/>
      <c r="J49" s="45"/>
      <c r="K49" s="45"/>
      <c r="L49" s="45"/>
      <c r="M49" s="45"/>
      <c r="N49" s="45"/>
      <c r="O49" s="45"/>
      <c r="P49" s="34"/>
      <c r="Q49" s="34"/>
      <c r="R49" s="34">
        <v>3</v>
      </c>
      <c r="S49" s="34">
        <f>R49*16</f>
        <v>48</v>
      </c>
      <c r="T49" s="44">
        <v>3</v>
      </c>
      <c r="U49" s="43">
        <v>48</v>
      </c>
    </row>
    <row r="50" spans="2:21" ht="34.799999999999997">
      <c r="B50" s="706"/>
      <c r="C50" s="708"/>
      <c r="D50" s="206" t="s">
        <v>628</v>
      </c>
      <c r="E50" s="206" t="s">
        <v>629</v>
      </c>
      <c r="F50" s="42">
        <v>40</v>
      </c>
      <c r="G50" s="26">
        <v>3</v>
      </c>
      <c r="H50" s="27"/>
      <c r="I50" s="27"/>
      <c r="J50" s="27"/>
      <c r="K50" s="27"/>
      <c r="L50" s="27"/>
      <c r="M50" s="27"/>
      <c r="N50" s="27"/>
      <c r="O50" s="27"/>
      <c r="P50" s="28"/>
      <c r="Q50" s="28"/>
      <c r="R50" s="28">
        <v>3</v>
      </c>
      <c r="S50" s="34">
        <f>R50*16</f>
        <v>48</v>
      </c>
      <c r="T50" s="41">
        <v>3</v>
      </c>
      <c r="U50" s="40">
        <v>48</v>
      </c>
    </row>
    <row r="51" spans="2:21" ht="18" thickBot="1">
      <c r="B51" s="707"/>
      <c r="C51" s="709"/>
      <c r="D51" s="710" t="s">
        <v>16</v>
      </c>
      <c r="E51" s="710"/>
      <c r="F51" s="184"/>
      <c r="G51" s="184"/>
      <c r="H51" s="29"/>
      <c r="I51" s="29"/>
      <c r="J51" s="29"/>
      <c r="K51" s="29"/>
      <c r="L51" s="29"/>
      <c r="M51" s="29"/>
      <c r="N51" s="29"/>
      <c r="O51" s="29"/>
      <c r="P51" s="29">
        <f>SUM(P47:P50)</f>
        <v>6</v>
      </c>
      <c r="Q51" s="29">
        <f t="shared" ref="Q51:U51" si="21">SUM(Q47:Q50)</f>
        <v>96</v>
      </c>
      <c r="R51" s="29">
        <f t="shared" si="21"/>
        <v>6</v>
      </c>
      <c r="S51" s="29">
        <f t="shared" si="21"/>
        <v>96</v>
      </c>
      <c r="T51" s="216">
        <f t="shared" si="21"/>
        <v>12</v>
      </c>
      <c r="U51" s="216">
        <f t="shared" si="21"/>
        <v>192</v>
      </c>
    </row>
    <row r="52" spans="2:21">
      <c r="B52" s="725" t="s">
        <v>567</v>
      </c>
      <c r="C52" s="726">
        <v>12</v>
      </c>
      <c r="D52" s="206" t="s">
        <v>631</v>
      </c>
      <c r="E52" s="206" t="s">
        <v>632</v>
      </c>
      <c r="F52" s="26">
        <v>40</v>
      </c>
      <c r="G52" s="46">
        <v>2</v>
      </c>
      <c r="H52" s="45"/>
      <c r="I52" s="45"/>
      <c r="J52" s="45"/>
      <c r="K52" s="45"/>
      <c r="L52" s="45"/>
      <c r="M52" s="45"/>
      <c r="N52" s="45"/>
      <c r="O52" s="45"/>
      <c r="P52" s="34">
        <v>3</v>
      </c>
      <c r="Q52" s="34">
        <f>P52*16</f>
        <v>48</v>
      </c>
      <c r="R52" s="34"/>
      <c r="S52" s="34"/>
      <c r="T52" s="44">
        <v>3</v>
      </c>
      <c r="U52" s="43">
        <v>48</v>
      </c>
    </row>
    <row r="53" spans="2:21">
      <c r="B53" s="725"/>
      <c r="C53" s="726"/>
      <c r="D53" s="206" t="s">
        <v>633</v>
      </c>
      <c r="E53" s="206" t="s">
        <v>634</v>
      </c>
      <c r="F53" s="46">
        <v>40</v>
      </c>
      <c r="G53" s="46">
        <v>2</v>
      </c>
      <c r="H53" s="45"/>
      <c r="I53" s="45"/>
      <c r="J53" s="45"/>
      <c r="K53" s="45"/>
      <c r="L53" s="45"/>
      <c r="M53" s="45"/>
      <c r="N53" s="45"/>
      <c r="O53" s="45"/>
      <c r="P53" s="34">
        <v>3</v>
      </c>
      <c r="Q53" s="34">
        <f>P53*16</f>
        <v>48</v>
      </c>
      <c r="R53" s="34"/>
      <c r="S53" s="34"/>
      <c r="T53" s="44">
        <v>3</v>
      </c>
      <c r="U53" s="43">
        <v>48</v>
      </c>
    </row>
    <row r="54" spans="2:21">
      <c r="B54" s="706"/>
      <c r="C54" s="708"/>
      <c r="D54" s="206" t="s">
        <v>635</v>
      </c>
      <c r="E54" s="206" t="s">
        <v>636</v>
      </c>
      <c r="F54" s="26">
        <v>40</v>
      </c>
      <c r="G54" s="46">
        <v>2</v>
      </c>
      <c r="H54" s="45"/>
      <c r="I54" s="45"/>
      <c r="J54" s="45"/>
      <c r="K54" s="45"/>
      <c r="L54" s="45"/>
      <c r="M54" s="45"/>
      <c r="N54" s="45"/>
      <c r="O54" s="45"/>
      <c r="P54" s="34"/>
      <c r="Q54" s="34"/>
      <c r="R54" s="34">
        <v>3</v>
      </c>
      <c r="S54" s="34">
        <f>R54*16</f>
        <v>48</v>
      </c>
      <c r="T54" s="44">
        <v>3</v>
      </c>
      <c r="U54" s="43">
        <v>48</v>
      </c>
    </row>
    <row r="55" spans="2:21">
      <c r="B55" s="706"/>
      <c r="C55" s="708"/>
      <c r="D55" s="208" t="s">
        <v>637</v>
      </c>
      <c r="E55" s="209" t="s">
        <v>638</v>
      </c>
      <c r="F55" s="42">
        <v>40</v>
      </c>
      <c r="G55" s="26">
        <v>2</v>
      </c>
      <c r="H55" s="27"/>
      <c r="I55" s="27"/>
      <c r="J55" s="27"/>
      <c r="K55" s="27"/>
      <c r="L55" s="27"/>
      <c r="M55" s="27"/>
      <c r="N55" s="27"/>
      <c r="O55" s="27"/>
      <c r="P55" s="28"/>
      <c r="Q55" s="28"/>
      <c r="R55" s="28">
        <v>3</v>
      </c>
      <c r="S55" s="34">
        <f>R55*16</f>
        <v>48</v>
      </c>
      <c r="T55" s="41">
        <v>3</v>
      </c>
      <c r="U55" s="40">
        <v>48</v>
      </c>
    </row>
    <row r="56" spans="2:21" ht="18" thickBot="1">
      <c r="B56" s="707"/>
      <c r="C56" s="709"/>
      <c r="D56" s="739" t="s">
        <v>16</v>
      </c>
      <c r="E56" s="739"/>
      <c r="F56" s="184"/>
      <c r="G56" s="184"/>
      <c r="H56" s="29"/>
      <c r="I56" s="29"/>
      <c r="J56" s="29"/>
      <c r="K56" s="29"/>
      <c r="L56" s="29"/>
      <c r="M56" s="29"/>
      <c r="N56" s="29"/>
      <c r="O56" s="29"/>
      <c r="P56" s="29">
        <f>SUM(P52:P55)</f>
        <v>6</v>
      </c>
      <c r="Q56" s="29">
        <f t="shared" ref="Q56:U56" si="22">SUM(Q52:Q55)</f>
        <v>96</v>
      </c>
      <c r="R56" s="29">
        <f t="shared" si="22"/>
        <v>6</v>
      </c>
      <c r="S56" s="29">
        <f t="shared" si="22"/>
        <v>96</v>
      </c>
      <c r="T56" s="216">
        <f t="shared" si="22"/>
        <v>12</v>
      </c>
      <c r="U56" s="216">
        <f t="shared" si="22"/>
        <v>192</v>
      </c>
    </row>
  </sheetData>
  <mergeCells count="57">
    <mergeCell ref="B52:B56"/>
    <mergeCell ref="C52:C56"/>
    <mergeCell ref="D56:E56"/>
    <mergeCell ref="B42:B46"/>
    <mergeCell ref="C42:C46"/>
    <mergeCell ref="D46:E46"/>
    <mergeCell ref="B47:B51"/>
    <mergeCell ref="C47:C51"/>
    <mergeCell ref="D51:E51"/>
    <mergeCell ref="B28:B34"/>
    <mergeCell ref="C28:C34"/>
    <mergeCell ref="D34:E34"/>
    <mergeCell ref="B35:B41"/>
    <mergeCell ref="C35:C41"/>
    <mergeCell ref="D41:E41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2:B14"/>
    <mergeCell ref="C12:C14"/>
    <mergeCell ref="D14:E14"/>
    <mergeCell ref="D11:E11"/>
    <mergeCell ref="B9:B11"/>
    <mergeCell ref="C9:C11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25:B27"/>
    <mergeCell ref="C25:C27"/>
    <mergeCell ref="D27:E27"/>
    <mergeCell ref="B15:B19"/>
    <mergeCell ref="C15:C19"/>
    <mergeCell ref="D19:E19"/>
    <mergeCell ref="B20:B24"/>
    <mergeCell ref="C20:C24"/>
    <mergeCell ref="D24:E2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39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6" sqref="I16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199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336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200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336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202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338</v>
      </c>
      <c r="G4" s="5"/>
      <c r="H4" s="3" t="s">
        <v>76</v>
      </c>
      <c r="I4" s="3" t="s">
        <v>156</v>
      </c>
      <c r="J4" s="3" t="s">
        <v>93</v>
      </c>
      <c r="K4" s="3" t="s">
        <v>93</v>
      </c>
      <c r="L4" s="3" t="s">
        <v>119</v>
      </c>
    </row>
    <row r="5" spans="1:12">
      <c r="A5" s="3" t="s">
        <v>203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338</v>
      </c>
      <c r="G5" s="5"/>
      <c r="H5" s="3" t="s">
        <v>77</v>
      </c>
      <c r="I5" s="3" t="s">
        <v>157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338</v>
      </c>
      <c r="G6" s="5"/>
      <c r="H6" s="3" t="s">
        <v>78</v>
      </c>
      <c r="I6" s="3" t="s">
        <v>158</v>
      </c>
      <c r="J6" s="3" t="s">
        <v>168</v>
      </c>
      <c r="K6" s="3" t="s">
        <v>168</v>
      </c>
      <c r="L6" s="8"/>
    </row>
    <row r="7" spans="1:12">
      <c r="A7" s="3" t="s">
        <v>204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338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205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338</v>
      </c>
      <c r="G8" s="5"/>
      <c r="H8" s="3" t="s">
        <v>80</v>
      </c>
      <c r="I8" s="3" t="s">
        <v>159</v>
      </c>
      <c r="J8" s="3" t="s">
        <v>169</v>
      </c>
      <c r="K8" s="3" t="s">
        <v>169</v>
      </c>
      <c r="L8" s="5"/>
    </row>
    <row r="9" spans="1:12">
      <c r="A9" s="3" t="s">
        <v>206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338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207</v>
      </c>
      <c r="B10" s="3" t="s">
        <v>17</v>
      </c>
      <c r="C10" s="3" t="s">
        <v>21</v>
      </c>
      <c r="D10" s="3" t="s">
        <v>210</v>
      </c>
      <c r="E10" s="3">
        <v>4</v>
      </c>
      <c r="F10" s="7" t="s">
        <v>338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208</v>
      </c>
      <c r="B11" s="3" t="s">
        <v>17</v>
      </c>
      <c r="C11" s="3" t="s">
        <v>21</v>
      </c>
      <c r="D11" s="3" t="s">
        <v>210</v>
      </c>
      <c r="E11" s="3">
        <v>4</v>
      </c>
      <c r="F11" s="7" t="s">
        <v>338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209</v>
      </c>
      <c r="B12" s="3" t="s">
        <v>17</v>
      </c>
      <c r="C12" s="3" t="s">
        <v>21</v>
      </c>
      <c r="D12" s="3" t="s">
        <v>210</v>
      </c>
      <c r="E12" s="3">
        <v>4</v>
      </c>
      <c r="F12" s="7" t="s">
        <v>338</v>
      </c>
      <c r="G12" s="5"/>
      <c r="H12" s="3" t="s">
        <v>84</v>
      </c>
      <c r="I12" s="3" t="s">
        <v>160</v>
      </c>
      <c r="J12" s="3" t="s">
        <v>96</v>
      </c>
      <c r="K12" s="3" t="s">
        <v>96</v>
      </c>
      <c r="L12" s="5"/>
    </row>
    <row r="13" spans="1:12">
      <c r="A13" s="3" t="s">
        <v>211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336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213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336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214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338</v>
      </c>
      <c r="G15" s="5"/>
      <c r="H15" s="3" t="s">
        <v>87</v>
      </c>
      <c r="I15" s="3" t="s">
        <v>161</v>
      </c>
      <c r="J15" s="3" t="s">
        <v>172</v>
      </c>
      <c r="K15" s="3" t="s">
        <v>172</v>
      </c>
      <c r="L15" s="5"/>
    </row>
    <row r="16" spans="1:12">
      <c r="A16" s="3" t="s">
        <v>215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338</v>
      </c>
      <c r="G16" s="5"/>
      <c r="H16" s="3" t="s">
        <v>88</v>
      </c>
      <c r="I16" s="3" t="s">
        <v>531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338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216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338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338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338</v>
      </c>
      <c r="G20" s="5"/>
      <c r="J20" s="3" t="s">
        <v>176</v>
      </c>
      <c r="K20" s="3" t="s">
        <v>176</v>
      </c>
      <c r="L20" s="5"/>
    </row>
    <row r="21" spans="1:12">
      <c r="A21" s="3" t="s">
        <v>217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338</v>
      </c>
      <c r="G21" s="5"/>
      <c r="J21" s="3" t="s">
        <v>98</v>
      </c>
      <c r="K21" s="3" t="s">
        <v>98</v>
      </c>
      <c r="L21" s="5"/>
    </row>
    <row r="22" spans="1:12">
      <c r="A22" s="3" t="s">
        <v>219</v>
      </c>
      <c r="B22" s="3" t="s">
        <v>17</v>
      </c>
      <c r="C22" s="3" t="s">
        <v>5</v>
      </c>
      <c r="D22" s="3" t="s">
        <v>220</v>
      </c>
      <c r="E22" s="3">
        <v>4</v>
      </c>
      <c r="F22" s="7" t="s">
        <v>338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221</v>
      </c>
      <c r="B23" s="3" t="s">
        <v>17</v>
      </c>
      <c r="C23" s="3" t="s">
        <v>5</v>
      </c>
      <c r="D23" s="3" t="s">
        <v>210</v>
      </c>
      <c r="E23" s="3">
        <v>4</v>
      </c>
      <c r="F23" s="7" t="s">
        <v>338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222</v>
      </c>
      <c r="B24" s="3" t="s">
        <v>17</v>
      </c>
      <c r="C24" s="3" t="s">
        <v>5</v>
      </c>
      <c r="D24" s="3" t="s">
        <v>210</v>
      </c>
      <c r="E24" s="3">
        <v>4</v>
      </c>
      <c r="F24" s="7" t="s">
        <v>338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223</v>
      </c>
      <c r="B25" s="3" t="s">
        <v>17</v>
      </c>
      <c r="C25" s="3" t="s">
        <v>5</v>
      </c>
      <c r="D25" s="3" t="s">
        <v>210</v>
      </c>
      <c r="E25" s="3">
        <v>4</v>
      </c>
      <c r="F25" s="7" t="s">
        <v>338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218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336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224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338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338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338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338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338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225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338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226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338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227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338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228</v>
      </c>
      <c r="B35" s="3" t="s">
        <v>17</v>
      </c>
      <c r="C35" s="3" t="s">
        <v>6</v>
      </c>
      <c r="D35" s="3" t="s">
        <v>220</v>
      </c>
      <c r="E35" s="3">
        <v>4</v>
      </c>
      <c r="F35" s="7" t="s">
        <v>338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229</v>
      </c>
      <c r="B36" s="3" t="s">
        <v>17</v>
      </c>
      <c r="C36" s="3" t="s">
        <v>6</v>
      </c>
      <c r="D36" s="3" t="s">
        <v>210</v>
      </c>
      <c r="E36" s="3">
        <v>4</v>
      </c>
      <c r="F36" s="7" t="s">
        <v>338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230</v>
      </c>
      <c r="B37" s="3" t="s">
        <v>17</v>
      </c>
      <c r="C37" s="3" t="s">
        <v>6</v>
      </c>
      <c r="D37" s="3" t="s">
        <v>210</v>
      </c>
      <c r="E37" s="3">
        <v>4</v>
      </c>
      <c r="F37" s="7" t="s">
        <v>338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231</v>
      </c>
      <c r="B38" s="3" t="s">
        <v>17</v>
      </c>
      <c r="C38" s="3" t="s">
        <v>6</v>
      </c>
      <c r="D38" s="3" t="s">
        <v>210</v>
      </c>
      <c r="E38" s="3">
        <v>4</v>
      </c>
      <c r="F38" s="7" t="s">
        <v>338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232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363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233</v>
      </c>
      <c r="B40" s="3" t="s">
        <v>17</v>
      </c>
      <c r="C40" s="3" t="s">
        <v>7</v>
      </c>
      <c r="D40" s="3" t="s">
        <v>234</v>
      </c>
      <c r="E40" s="3">
        <v>3</v>
      </c>
      <c r="F40" s="7" t="s">
        <v>363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235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336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236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336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248</v>
      </c>
      <c r="B43" s="3" t="s">
        <v>17</v>
      </c>
      <c r="C43" s="3" t="s">
        <v>25</v>
      </c>
      <c r="D43" s="3" t="s">
        <v>252</v>
      </c>
      <c r="E43" s="3">
        <v>4</v>
      </c>
      <c r="F43" s="7" t="s">
        <v>338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249</v>
      </c>
      <c r="B44" s="3" t="s">
        <v>17</v>
      </c>
      <c r="C44" s="3" t="s">
        <v>25</v>
      </c>
      <c r="D44" s="3" t="s">
        <v>252</v>
      </c>
      <c r="E44" s="3">
        <v>4</v>
      </c>
      <c r="F44" s="7" t="s">
        <v>338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250</v>
      </c>
      <c r="B45" s="3" t="s">
        <v>17</v>
      </c>
      <c r="C45" s="3" t="s">
        <v>25</v>
      </c>
      <c r="D45" s="3" t="s">
        <v>252</v>
      </c>
      <c r="E45" s="3">
        <v>4</v>
      </c>
      <c r="F45" s="7" t="s">
        <v>338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251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338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237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338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238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338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239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338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240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338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338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241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338</v>
      </c>
      <c r="G52" s="5"/>
      <c r="H52" s="5"/>
      <c r="I52" s="5"/>
      <c r="J52" s="5" t="s">
        <v>517</v>
      </c>
      <c r="K52" s="5" t="s">
        <v>517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338</v>
      </c>
      <c r="G53" s="5"/>
      <c r="H53" s="5"/>
      <c r="I53" s="5"/>
      <c r="J53" s="5" t="s">
        <v>191</v>
      </c>
      <c r="K53" s="5" t="s">
        <v>191</v>
      </c>
      <c r="L53" s="5"/>
    </row>
    <row r="54" spans="1:12">
      <c r="A54" s="3" t="s">
        <v>242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338</v>
      </c>
      <c r="G54" s="5"/>
      <c r="H54" s="5"/>
      <c r="I54" s="5"/>
      <c r="J54" s="5" t="s">
        <v>192</v>
      </c>
      <c r="K54" s="5" t="s">
        <v>192</v>
      </c>
      <c r="L54" s="5"/>
    </row>
    <row r="55" spans="1:12">
      <c r="A55" s="3" t="s">
        <v>243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338</v>
      </c>
      <c r="G55" s="5"/>
      <c r="H55" s="5"/>
      <c r="I55" s="5"/>
      <c r="J55" s="5" t="s">
        <v>194</v>
      </c>
      <c r="K55" s="5" t="s">
        <v>194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210</v>
      </c>
      <c r="E56" s="3">
        <v>4</v>
      </c>
      <c r="F56" s="7" t="s">
        <v>338</v>
      </c>
      <c r="G56" s="5"/>
      <c r="H56" s="5"/>
      <c r="I56" s="5"/>
      <c r="J56" s="5" t="s">
        <v>193</v>
      </c>
      <c r="K56" s="5" t="s">
        <v>193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210</v>
      </c>
      <c r="E57" s="3">
        <v>4</v>
      </c>
      <c r="F57" s="7" t="s">
        <v>338</v>
      </c>
      <c r="G57" s="5"/>
      <c r="H57" s="5"/>
      <c r="I57" s="5"/>
      <c r="J57" s="5" t="s">
        <v>195</v>
      </c>
      <c r="K57" s="5" t="s">
        <v>195</v>
      </c>
      <c r="L57" s="5"/>
    </row>
    <row r="58" spans="1:12">
      <c r="A58" s="3" t="s">
        <v>244</v>
      </c>
      <c r="B58" s="3" t="s">
        <v>17</v>
      </c>
      <c r="C58" s="3" t="s">
        <v>25</v>
      </c>
      <c r="D58" s="3" t="s">
        <v>210</v>
      </c>
      <c r="E58" s="3">
        <v>4</v>
      </c>
      <c r="F58" s="7" t="s">
        <v>338</v>
      </c>
      <c r="G58" s="5"/>
      <c r="H58" s="5"/>
      <c r="I58" s="5"/>
      <c r="J58" s="5" t="s">
        <v>196</v>
      </c>
      <c r="K58" s="5" t="s">
        <v>196</v>
      </c>
      <c r="L58" s="5"/>
    </row>
    <row r="59" spans="1:12">
      <c r="A59" s="3" t="s">
        <v>245</v>
      </c>
      <c r="B59" s="3" t="s">
        <v>17</v>
      </c>
      <c r="C59" s="3" t="s">
        <v>25</v>
      </c>
      <c r="D59" s="3" t="s">
        <v>210</v>
      </c>
      <c r="E59" s="3">
        <v>4</v>
      </c>
      <c r="F59" s="7" t="s">
        <v>338</v>
      </c>
      <c r="G59" s="5"/>
      <c r="H59" s="5"/>
      <c r="I59" s="5"/>
      <c r="J59" s="5" t="s">
        <v>197</v>
      </c>
      <c r="K59" s="5" t="s">
        <v>197</v>
      </c>
      <c r="L59" s="5"/>
    </row>
    <row r="60" spans="1:12">
      <c r="A60" s="3" t="s">
        <v>246</v>
      </c>
      <c r="B60" s="3" t="s">
        <v>17</v>
      </c>
      <c r="C60" s="3" t="s">
        <v>25</v>
      </c>
      <c r="D60" s="3" t="s">
        <v>210</v>
      </c>
      <c r="E60" s="3">
        <v>4</v>
      </c>
      <c r="F60" s="7" t="s">
        <v>338</v>
      </c>
      <c r="G60" s="5"/>
      <c r="H60" s="5"/>
      <c r="I60" s="5"/>
      <c r="J60" s="3"/>
      <c r="K60" s="3"/>
      <c r="L60" s="5"/>
    </row>
    <row r="61" spans="1:12">
      <c r="A61" s="3" t="s">
        <v>247</v>
      </c>
      <c r="B61" s="3" t="s">
        <v>17</v>
      </c>
      <c r="C61" s="3" t="s">
        <v>25</v>
      </c>
      <c r="D61" s="3" t="s">
        <v>210</v>
      </c>
      <c r="E61" s="3">
        <v>4</v>
      </c>
      <c r="F61" s="7" t="s">
        <v>338</v>
      </c>
      <c r="G61" s="5"/>
      <c r="H61" s="5"/>
      <c r="I61" s="5"/>
      <c r="J61" s="3"/>
      <c r="K61" s="3"/>
      <c r="L61" s="5"/>
    </row>
    <row r="62" spans="1:12">
      <c r="A62" s="3" t="s">
        <v>253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336</v>
      </c>
      <c r="G62" s="5"/>
      <c r="H62" s="5"/>
      <c r="I62" s="5"/>
      <c r="L62" s="5"/>
    </row>
    <row r="63" spans="1:12">
      <c r="A63" s="3" t="s">
        <v>254</v>
      </c>
      <c r="B63" s="3" t="s">
        <v>17</v>
      </c>
      <c r="C63" s="3" t="s">
        <v>26</v>
      </c>
      <c r="D63" s="3" t="s">
        <v>234</v>
      </c>
      <c r="E63" s="3">
        <v>4</v>
      </c>
      <c r="F63" s="7" t="s">
        <v>336</v>
      </c>
      <c r="G63" s="5"/>
      <c r="H63" s="5"/>
      <c r="I63" s="5"/>
      <c r="J63" s="3"/>
      <c r="K63" s="3"/>
      <c r="L63" s="5"/>
    </row>
    <row r="64" spans="1:12">
      <c r="A64" s="3" t="s">
        <v>255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336</v>
      </c>
      <c r="G64" s="5"/>
      <c r="H64" s="5"/>
      <c r="I64" s="5"/>
      <c r="L64" s="5"/>
    </row>
    <row r="65" spans="1:12">
      <c r="A65" s="3" t="s">
        <v>256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336</v>
      </c>
      <c r="G65" s="5"/>
      <c r="H65" s="5"/>
      <c r="I65" s="5"/>
      <c r="J65" s="3"/>
      <c r="K65" s="3"/>
      <c r="L65" s="5"/>
    </row>
    <row r="66" spans="1:12">
      <c r="A66" s="3" t="s">
        <v>257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338</v>
      </c>
      <c r="G66" s="5"/>
      <c r="H66" s="5"/>
      <c r="I66" s="5"/>
      <c r="J66" s="3"/>
      <c r="K66" s="3"/>
      <c r="L66" s="5"/>
    </row>
    <row r="67" spans="1:12">
      <c r="A67" s="3" t="s">
        <v>258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338</v>
      </c>
      <c r="G67" s="5"/>
      <c r="H67" s="5"/>
      <c r="I67" s="5"/>
      <c r="J67" s="3"/>
      <c r="K67" s="3"/>
      <c r="L67" s="5"/>
    </row>
    <row r="68" spans="1:12">
      <c r="A68" s="3" t="s">
        <v>259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338</v>
      </c>
      <c r="G68" s="5"/>
      <c r="H68" s="5"/>
      <c r="I68" s="5"/>
      <c r="J68" s="3"/>
      <c r="K68" s="3"/>
      <c r="L68" s="5"/>
    </row>
    <row r="69" spans="1:12">
      <c r="A69" s="3" t="s">
        <v>260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338</v>
      </c>
      <c r="G69" s="5"/>
      <c r="H69" s="5"/>
      <c r="I69" s="5"/>
      <c r="L69" s="5"/>
    </row>
    <row r="70" spans="1:12">
      <c r="A70" s="3" t="s">
        <v>261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338</v>
      </c>
      <c r="G70" s="5"/>
      <c r="H70" s="5"/>
      <c r="I70" s="5"/>
      <c r="L70" s="5"/>
    </row>
    <row r="71" spans="1:12">
      <c r="A71" s="3" t="s">
        <v>262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338</v>
      </c>
      <c r="G71" s="5"/>
      <c r="H71" s="5"/>
      <c r="I71" s="5"/>
      <c r="L71" s="5"/>
    </row>
    <row r="72" spans="1:12">
      <c r="A72" s="3" t="s">
        <v>263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338</v>
      </c>
      <c r="G72" s="5"/>
      <c r="H72" s="5"/>
      <c r="I72" s="5"/>
      <c r="L72" s="5"/>
    </row>
    <row r="73" spans="1:12">
      <c r="A73" s="3" t="s">
        <v>264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338</v>
      </c>
      <c r="G73" s="5"/>
      <c r="H73" s="5"/>
      <c r="I73" s="5"/>
      <c r="L73" s="5"/>
    </row>
    <row r="74" spans="1:12">
      <c r="A74" s="3" t="s">
        <v>265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338</v>
      </c>
      <c r="G74" s="5"/>
      <c r="H74" s="5"/>
      <c r="I74" s="5"/>
      <c r="L74" s="5"/>
    </row>
    <row r="75" spans="1:12">
      <c r="A75" s="3" t="s">
        <v>266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338</v>
      </c>
      <c r="G75" s="5"/>
      <c r="H75" s="5"/>
      <c r="I75" s="5"/>
      <c r="L75" s="5"/>
    </row>
    <row r="76" spans="1:12">
      <c r="A76" s="3" t="s">
        <v>267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338</v>
      </c>
      <c r="G76" s="5"/>
      <c r="H76" s="5"/>
      <c r="I76" s="5"/>
      <c r="L76" s="5"/>
    </row>
    <row r="77" spans="1:12">
      <c r="A77" s="3" t="s">
        <v>268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338</v>
      </c>
      <c r="G77" s="5"/>
      <c r="H77" s="5"/>
      <c r="I77" s="5"/>
      <c r="L77" s="5"/>
    </row>
    <row r="78" spans="1:12">
      <c r="A78" s="3" t="s">
        <v>269</v>
      </c>
      <c r="B78" s="3" t="s">
        <v>17</v>
      </c>
      <c r="C78" s="3" t="s">
        <v>26</v>
      </c>
      <c r="D78" s="3" t="s">
        <v>272</v>
      </c>
      <c r="E78" s="3">
        <v>4</v>
      </c>
      <c r="F78" s="7" t="s">
        <v>338</v>
      </c>
      <c r="G78" s="5"/>
      <c r="H78" s="5"/>
      <c r="I78" s="5"/>
      <c r="L78" s="5"/>
    </row>
    <row r="79" spans="1:12">
      <c r="A79" s="3" t="s">
        <v>270</v>
      </c>
      <c r="B79" s="3" t="s">
        <v>17</v>
      </c>
      <c r="C79" s="3" t="s">
        <v>26</v>
      </c>
      <c r="D79" s="3" t="s">
        <v>210</v>
      </c>
      <c r="E79" s="3">
        <v>4</v>
      </c>
      <c r="F79" s="7" t="s">
        <v>338</v>
      </c>
      <c r="G79" s="5"/>
      <c r="H79" s="5"/>
      <c r="I79" s="5"/>
      <c r="L79" s="5"/>
    </row>
    <row r="80" spans="1:12">
      <c r="A80" s="3" t="s">
        <v>271</v>
      </c>
      <c r="B80" s="3" t="s">
        <v>17</v>
      </c>
      <c r="C80" s="3" t="s">
        <v>26</v>
      </c>
      <c r="D80" s="3" t="s">
        <v>210</v>
      </c>
      <c r="E80" s="3">
        <v>4</v>
      </c>
      <c r="F80" s="7" t="s">
        <v>338</v>
      </c>
      <c r="G80" s="5"/>
      <c r="H80" s="5"/>
      <c r="I80" s="5"/>
      <c r="L80" s="5"/>
    </row>
    <row r="81" spans="1:12">
      <c r="A81" s="3" t="s">
        <v>273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344</v>
      </c>
      <c r="G81" s="5"/>
      <c r="H81" s="5"/>
      <c r="I81" s="5"/>
      <c r="L81" s="5"/>
    </row>
    <row r="82" spans="1:12">
      <c r="A82" s="3" t="s">
        <v>274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344</v>
      </c>
      <c r="G82" s="5"/>
      <c r="H82" s="5"/>
      <c r="I82" s="5"/>
      <c r="L82" s="5"/>
    </row>
    <row r="83" spans="1:12">
      <c r="A83" s="3" t="s">
        <v>275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344</v>
      </c>
      <c r="G83" s="5"/>
      <c r="H83" s="5"/>
      <c r="I83" s="5"/>
      <c r="L83" s="5"/>
    </row>
    <row r="84" spans="1:12">
      <c r="A84" s="3" t="s">
        <v>276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344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348</v>
      </c>
      <c r="G85" s="5"/>
      <c r="H85" s="5"/>
      <c r="I85" s="5"/>
      <c r="J85" s="5"/>
      <c r="K85" s="5"/>
      <c r="L85" s="5"/>
    </row>
    <row r="86" spans="1:12">
      <c r="A86" s="3" t="s">
        <v>277</v>
      </c>
      <c r="B86" s="3" t="s">
        <v>17</v>
      </c>
      <c r="C86" s="3" t="s">
        <v>8</v>
      </c>
      <c r="D86" s="3" t="s">
        <v>210</v>
      </c>
      <c r="E86" s="3">
        <v>3</v>
      </c>
      <c r="F86" s="7" t="s">
        <v>344</v>
      </c>
      <c r="G86" s="5"/>
      <c r="H86" s="5"/>
      <c r="I86" s="5"/>
      <c r="J86" s="5"/>
      <c r="K86" s="5"/>
      <c r="L86" s="5"/>
    </row>
    <row r="87" spans="1:12">
      <c r="A87" s="3" t="s">
        <v>278</v>
      </c>
      <c r="B87" s="3" t="s">
        <v>17</v>
      </c>
      <c r="C87" s="3" t="s">
        <v>8</v>
      </c>
      <c r="D87" s="3" t="s">
        <v>210</v>
      </c>
      <c r="E87" s="3">
        <v>2</v>
      </c>
      <c r="F87" s="7" t="s">
        <v>348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344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344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344</v>
      </c>
      <c r="G90" s="5"/>
      <c r="H90" s="5"/>
      <c r="I90" s="5"/>
      <c r="J90" s="5"/>
      <c r="K90" s="5"/>
      <c r="L90" s="5"/>
    </row>
    <row r="91" spans="1:12">
      <c r="A91" s="3" t="s">
        <v>279</v>
      </c>
      <c r="B91" s="3" t="s">
        <v>17</v>
      </c>
      <c r="C91" s="3" t="s">
        <v>28</v>
      </c>
      <c r="D91" s="3" t="s">
        <v>220</v>
      </c>
      <c r="E91" s="3">
        <v>3</v>
      </c>
      <c r="F91" s="7" t="s">
        <v>344</v>
      </c>
      <c r="G91" s="5"/>
      <c r="H91" s="5"/>
      <c r="I91" s="5"/>
      <c r="J91" s="5"/>
      <c r="K91" s="5"/>
      <c r="L91" s="5"/>
    </row>
    <row r="92" spans="1:12">
      <c r="A92" s="3" t="s">
        <v>280</v>
      </c>
      <c r="B92" s="3" t="s">
        <v>17</v>
      </c>
      <c r="C92" s="3" t="s">
        <v>28</v>
      </c>
      <c r="D92" s="3" t="s">
        <v>220</v>
      </c>
      <c r="E92" s="3">
        <v>3</v>
      </c>
      <c r="F92" s="7" t="s">
        <v>344</v>
      </c>
      <c r="G92" s="5"/>
      <c r="H92" s="5"/>
      <c r="I92" s="5"/>
      <c r="J92" s="5"/>
      <c r="K92" s="5"/>
      <c r="L92" s="5"/>
    </row>
    <row r="93" spans="1:12">
      <c r="A93" s="3" t="s">
        <v>281</v>
      </c>
      <c r="B93" s="3" t="s">
        <v>17</v>
      </c>
      <c r="C93" s="3" t="s">
        <v>28</v>
      </c>
      <c r="D93" s="3" t="s">
        <v>220</v>
      </c>
      <c r="E93" s="3">
        <v>3</v>
      </c>
      <c r="F93" s="7" t="s">
        <v>344</v>
      </c>
      <c r="G93" s="5"/>
      <c r="H93" s="5"/>
      <c r="I93" s="5"/>
      <c r="J93" s="5"/>
      <c r="K93" s="5"/>
      <c r="L93" s="5"/>
    </row>
    <row r="94" spans="1:12">
      <c r="A94" s="3" t="s">
        <v>282</v>
      </c>
      <c r="B94" s="3" t="s">
        <v>17</v>
      </c>
      <c r="C94" s="3" t="s">
        <v>28</v>
      </c>
      <c r="D94" s="3" t="s">
        <v>220</v>
      </c>
      <c r="E94" s="3">
        <v>3</v>
      </c>
      <c r="F94" s="7" t="s">
        <v>344</v>
      </c>
      <c r="G94" s="5"/>
      <c r="H94" s="5"/>
      <c r="I94" s="5"/>
      <c r="J94" s="5"/>
      <c r="K94" s="5"/>
      <c r="L94" s="5"/>
    </row>
    <row r="95" spans="1:12">
      <c r="A95" s="3" t="s">
        <v>283</v>
      </c>
      <c r="B95" s="3" t="s">
        <v>17</v>
      </c>
      <c r="C95" s="3" t="s">
        <v>28</v>
      </c>
      <c r="D95" s="3" t="s">
        <v>210</v>
      </c>
      <c r="E95" s="3">
        <v>3</v>
      </c>
      <c r="F95" s="7" t="s">
        <v>344</v>
      </c>
      <c r="G95" s="5"/>
      <c r="H95" s="5"/>
      <c r="I95" s="5"/>
      <c r="J95" s="5"/>
      <c r="K95" s="5"/>
      <c r="L95" s="5"/>
    </row>
    <row r="96" spans="1:12">
      <c r="A96" s="3" t="s">
        <v>284</v>
      </c>
      <c r="B96" s="3" t="s">
        <v>17</v>
      </c>
      <c r="C96" s="3" t="s">
        <v>28</v>
      </c>
      <c r="D96" s="3" t="s">
        <v>210</v>
      </c>
      <c r="E96" s="3">
        <v>3</v>
      </c>
      <c r="F96" s="7" t="s">
        <v>344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338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338</v>
      </c>
      <c r="G98" s="5"/>
      <c r="H98" s="5"/>
      <c r="I98" s="5"/>
      <c r="J98" s="5"/>
      <c r="K98" s="5"/>
      <c r="L98" s="5"/>
    </row>
    <row r="99" spans="1:12">
      <c r="A99" s="3" t="s">
        <v>285</v>
      </c>
      <c r="B99" s="3" t="s">
        <v>17</v>
      </c>
      <c r="C99" s="3" t="s">
        <v>10</v>
      </c>
      <c r="D99" s="3" t="s">
        <v>220</v>
      </c>
      <c r="E99" s="3">
        <v>4</v>
      </c>
      <c r="F99" s="7" t="s">
        <v>338</v>
      </c>
      <c r="G99" s="5"/>
      <c r="H99" s="5"/>
      <c r="I99" s="5"/>
      <c r="J99" s="5"/>
      <c r="K99" s="5"/>
      <c r="L99" s="5"/>
    </row>
    <row r="100" spans="1:12">
      <c r="A100" s="3" t="s">
        <v>286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338</v>
      </c>
      <c r="G100" s="5"/>
      <c r="H100" s="5"/>
      <c r="I100" s="5"/>
      <c r="J100" s="5"/>
      <c r="K100" s="5"/>
      <c r="L100" s="5"/>
    </row>
    <row r="101" spans="1:12">
      <c r="A101" s="3" t="s">
        <v>287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338</v>
      </c>
      <c r="G101" s="5"/>
      <c r="H101" s="5"/>
      <c r="I101" s="5"/>
      <c r="J101" s="5"/>
      <c r="K101" s="5"/>
      <c r="L101" s="5"/>
    </row>
    <row r="102" spans="1:12">
      <c r="A102" s="3" t="s">
        <v>288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338</v>
      </c>
      <c r="G102" s="5"/>
      <c r="H102" s="5"/>
      <c r="I102" s="5"/>
      <c r="J102" s="5"/>
      <c r="K102" s="5"/>
      <c r="L102" s="5"/>
    </row>
    <row r="103" spans="1:12">
      <c r="A103" s="3" t="s">
        <v>289</v>
      </c>
      <c r="B103" s="3" t="s">
        <v>17</v>
      </c>
      <c r="C103" s="3" t="s">
        <v>10</v>
      </c>
      <c r="D103" s="3" t="s">
        <v>210</v>
      </c>
      <c r="E103" s="3">
        <v>4</v>
      </c>
      <c r="F103" s="7" t="s">
        <v>338</v>
      </c>
      <c r="G103" s="5"/>
      <c r="H103" s="5"/>
      <c r="I103" s="5"/>
      <c r="J103" s="5"/>
      <c r="K103" s="5"/>
      <c r="L103" s="5"/>
    </row>
    <row r="104" spans="1:12">
      <c r="A104" s="3" t="s">
        <v>290</v>
      </c>
      <c r="B104" s="3" t="s">
        <v>17</v>
      </c>
      <c r="C104" s="3" t="s">
        <v>10</v>
      </c>
      <c r="D104" s="3" t="s">
        <v>210</v>
      </c>
      <c r="E104" s="3">
        <v>4</v>
      </c>
      <c r="F104" s="7" t="s">
        <v>338</v>
      </c>
      <c r="G104" s="5"/>
      <c r="H104" s="5"/>
      <c r="I104" s="5"/>
      <c r="J104" s="5"/>
      <c r="K104" s="5"/>
      <c r="L104" s="5"/>
    </row>
    <row r="105" spans="1:12">
      <c r="A105" s="3" t="s">
        <v>291</v>
      </c>
      <c r="B105" s="3" t="s">
        <v>17</v>
      </c>
      <c r="C105" s="3" t="s">
        <v>10</v>
      </c>
      <c r="D105" s="3" t="s">
        <v>210</v>
      </c>
      <c r="E105" s="3">
        <v>4</v>
      </c>
      <c r="F105" s="7" t="s">
        <v>338</v>
      </c>
      <c r="G105" s="5"/>
      <c r="H105" s="5"/>
      <c r="I105" s="5"/>
      <c r="J105" s="5"/>
      <c r="K105" s="5"/>
      <c r="L105" s="5"/>
    </row>
    <row r="106" spans="1:12">
      <c r="A106" s="3" t="s">
        <v>292</v>
      </c>
      <c r="B106" s="3" t="s">
        <v>17</v>
      </c>
      <c r="C106" s="3" t="s">
        <v>10</v>
      </c>
      <c r="D106" s="3" t="s">
        <v>210</v>
      </c>
      <c r="E106" s="3">
        <v>2</v>
      </c>
      <c r="F106" s="7" t="s">
        <v>348</v>
      </c>
      <c r="G106" s="5"/>
      <c r="H106" s="5"/>
      <c r="I106" s="5"/>
      <c r="J106" s="5"/>
      <c r="K106" s="5"/>
      <c r="L106" s="5"/>
    </row>
    <row r="107" spans="1:12">
      <c r="A107" s="3" t="s">
        <v>293</v>
      </c>
      <c r="B107" s="3" t="s">
        <v>17</v>
      </c>
      <c r="C107" s="3" t="s">
        <v>10</v>
      </c>
      <c r="D107" s="3" t="s">
        <v>210</v>
      </c>
      <c r="E107" s="3">
        <v>4</v>
      </c>
      <c r="F107" s="7" t="s">
        <v>338</v>
      </c>
      <c r="G107" s="5"/>
      <c r="H107" s="5"/>
      <c r="I107" s="5"/>
      <c r="J107" s="5"/>
      <c r="K107" s="5"/>
      <c r="L107" s="5"/>
    </row>
    <row r="108" spans="1:12">
      <c r="A108" s="3" t="s">
        <v>294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338</v>
      </c>
      <c r="G108" s="5"/>
      <c r="H108" s="5"/>
      <c r="I108" s="5"/>
      <c r="J108" s="5"/>
      <c r="K108" s="5"/>
      <c r="L108" s="5"/>
    </row>
    <row r="109" spans="1:12">
      <c r="A109" s="3" t="s">
        <v>295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338</v>
      </c>
      <c r="G109" s="5"/>
      <c r="H109" s="5"/>
      <c r="I109" s="5"/>
      <c r="J109" s="5"/>
      <c r="K109" s="5"/>
      <c r="L109" s="5"/>
    </row>
    <row r="110" spans="1:12">
      <c r="A110" s="3" t="s">
        <v>296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338</v>
      </c>
      <c r="G110" s="5"/>
      <c r="H110" s="5"/>
      <c r="I110" s="5"/>
      <c r="J110" s="5"/>
      <c r="K110" s="5"/>
      <c r="L110" s="5"/>
    </row>
    <row r="111" spans="1:12">
      <c r="A111" s="3" t="s">
        <v>297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338</v>
      </c>
      <c r="G111" s="5"/>
      <c r="H111" s="5"/>
      <c r="I111" s="5"/>
      <c r="J111" s="5"/>
      <c r="K111" s="5"/>
      <c r="L111" s="5"/>
    </row>
    <row r="112" spans="1:12">
      <c r="A112" s="3" t="s">
        <v>298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338</v>
      </c>
      <c r="G112" s="5"/>
      <c r="H112" s="5"/>
      <c r="I112" s="5"/>
      <c r="J112" s="5"/>
      <c r="K112" s="5"/>
      <c r="L112" s="5"/>
    </row>
    <row r="113" spans="1:12">
      <c r="A113" s="3" t="s">
        <v>299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338</v>
      </c>
      <c r="G113" s="5"/>
      <c r="H113" s="5"/>
      <c r="I113" s="5"/>
      <c r="J113" s="5"/>
      <c r="K113" s="5"/>
      <c r="L113" s="5"/>
    </row>
    <row r="114" spans="1:12">
      <c r="A114" s="3" t="s">
        <v>300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338</v>
      </c>
      <c r="G114" s="5"/>
      <c r="H114" s="5"/>
      <c r="I114" s="5"/>
      <c r="J114" s="5"/>
      <c r="K114" s="5"/>
      <c r="L114" s="5"/>
    </row>
    <row r="115" spans="1:12">
      <c r="A115" s="3" t="s">
        <v>301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338</v>
      </c>
      <c r="G115" s="5"/>
      <c r="H115" s="5"/>
      <c r="I115" s="5"/>
      <c r="J115" s="5"/>
      <c r="K115" s="5"/>
      <c r="L115" s="5"/>
    </row>
    <row r="116" spans="1:12">
      <c r="A116" s="3" t="s">
        <v>302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338</v>
      </c>
      <c r="G116" s="5"/>
      <c r="H116" s="5"/>
      <c r="I116" s="5"/>
      <c r="J116" s="5"/>
      <c r="K116" s="5"/>
      <c r="L116" s="5"/>
    </row>
    <row r="117" spans="1:12">
      <c r="A117" s="3" t="s">
        <v>303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338</v>
      </c>
      <c r="G117" s="5"/>
      <c r="H117" s="5"/>
      <c r="I117" s="5"/>
      <c r="J117" s="5"/>
      <c r="K117" s="5"/>
      <c r="L117" s="5"/>
    </row>
    <row r="118" spans="1:12">
      <c r="A118" s="3" t="s">
        <v>304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338</v>
      </c>
      <c r="G118" s="5"/>
      <c r="H118" s="5"/>
      <c r="I118" s="5"/>
      <c r="J118" s="5"/>
      <c r="K118" s="5"/>
      <c r="L118" s="5"/>
    </row>
    <row r="119" spans="1:12">
      <c r="A119" s="3" t="s">
        <v>305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338</v>
      </c>
      <c r="G119" s="5"/>
      <c r="H119" s="5"/>
      <c r="I119" s="5"/>
      <c r="J119" s="5"/>
      <c r="K119" s="5"/>
      <c r="L119" s="5"/>
    </row>
    <row r="120" spans="1:12">
      <c r="A120" s="3" t="s">
        <v>306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338</v>
      </c>
      <c r="G120" s="5"/>
      <c r="H120" s="5"/>
      <c r="I120" s="5"/>
      <c r="J120" s="5"/>
      <c r="K120" s="5"/>
      <c r="L120" s="5"/>
    </row>
    <row r="121" spans="1:12">
      <c r="A121" s="3" t="s">
        <v>307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338</v>
      </c>
      <c r="G121" s="5"/>
      <c r="H121" s="5"/>
      <c r="I121" s="5"/>
      <c r="J121" s="5"/>
      <c r="K121" s="5"/>
      <c r="L121" s="5"/>
    </row>
    <row r="122" spans="1:12">
      <c r="A122" s="3" t="s">
        <v>308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338</v>
      </c>
      <c r="G122" s="5"/>
      <c r="H122" s="5"/>
      <c r="I122" s="5"/>
      <c r="J122" s="5"/>
      <c r="K122" s="5"/>
      <c r="L122" s="5"/>
    </row>
    <row r="123" spans="1:12">
      <c r="A123" s="3" t="s">
        <v>309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338</v>
      </c>
      <c r="G123" s="5"/>
      <c r="H123" s="5"/>
      <c r="I123" s="5"/>
      <c r="J123" s="5"/>
      <c r="K123" s="5"/>
      <c r="L123" s="5"/>
    </row>
    <row r="124" spans="1:12">
      <c r="A124" s="3" t="s">
        <v>310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338</v>
      </c>
      <c r="G124" s="5"/>
      <c r="H124" s="5"/>
      <c r="I124" s="5"/>
      <c r="J124" s="5"/>
      <c r="K124" s="5"/>
      <c r="L124" s="5"/>
    </row>
    <row r="125" spans="1:12">
      <c r="A125" s="3" t="s">
        <v>311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338</v>
      </c>
      <c r="G125" s="5"/>
      <c r="H125" s="5"/>
      <c r="I125" s="5"/>
      <c r="J125" s="5"/>
      <c r="K125" s="5"/>
      <c r="L125" s="5"/>
    </row>
    <row r="126" spans="1:12">
      <c r="A126" s="3" t="s">
        <v>313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338</v>
      </c>
      <c r="G126" s="5"/>
      <c r="H126" s="5"/>
      <c r="I126" s="5"/>
      <c r="J126" s="5"/>
      <c r="K126" s="5"/>
      <c r="L126" s="5"/>
    </row>
    <row r="127" spans="1:12">
      <c r="A127" s="3" t="s">
        <v>312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338</v>
      </c>
      <c r="G127" s="5"/>
      <c r="H127" s="5"/>
      <c r="I127" s="5"/>
      <c r="J127" s="5"/>
      <c r="K127" s="5"/>
      <c r="L127" s="5"/>
    </row>
    <row r="128" spans="1:12">
      <c r="A128" s="3" t="s">
        <v>314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338</v>
      </c>
      <c r="G128" s="5"/>
      <c r="H128" s="5"/>
      <c r="I128" s="5"/>
      <c r="J128" s="5"/>
      <c r="K128" s="5"/>
      <c r="L128" s="5"/>
    </row>
    <row r="129" spans="1:12">
      <c r="A129" s="3" t="s">
        <v>315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338</v>
      </c>
      <c r="G129" s="5"/>
      <c r="H129" s="5"/>
      <c r="I129" s="5"/>
      <c r="J129" s="5"/>
      <c r="K129" s="5"/>
      <c r="L129" s="5"/>
    </row>
    <row r="130" spans="1:12">
      <c r="A130" s="3" t="s">
        <v>316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338</v>
      </c>
      <c r="G130" s="5"/>
      <c r="H130" s="5"/>
      <c r="I130" s="5"/>
      <c r="J130" s="5"/>
      <c r="K130" s="5"/>
      <c r="L130" s="5"/>
    </row>
    <row r="131" spans="1:12">
      <c r="A131" s="3" t="s">
        <v>320</v>
      </c>
      <c r="B131" s="3" t="s">
        <v>17</v>
      </c>
      <c r="C131" s="3" t="s">
        <v>30</v>
      </c>
      <c r="D131" s="3" t="s">
        <v>210</v>
      </c>
      <c r="E131" s="3">
        <v>4</v>
      </c>
      <c r="F131" s="7" t="s">
        <v>338</v>
      </c>
      <c r="G131" s="5"/>
      <c r="H131" s="5"/>
      <c r="I131" s="5"/>
      <c r="J131" s="5"/>
      <c r="K131" s="5"/>
      <c r="L131" s="5"/>
    </row>
    <row r="132" spans="1:12">
      <c r="A132" s="3" t="s">
        <v>321</v>
      </c>
      <c r="B132" s="3" t="s">
        <v>17</v>
      </c>
      <c r="C132" s="3" t="s">
        <v>30</v>
      </c>
      <c r="D132" s="3" t="s">
        <v>210</v>
      </c>
      <c r="E132" s="3">
        <v>4</v>
      </c>
      <c r="F132" s="7" t="s">
        <v>338</v>
      </c>
      <c r="G132" s="5"/>
      <c r="H132" s="5"/>
      <c r="I132" s="5"/>
      <c r="J132" s="5"/>
      <c r="K132" s="5"/>
      <c r="L132" s="5"/>
    </row>
    <row r="133" spans="1:12">
      <c r="A133" s="3" t="s">
        <v>322</v>
      </c>
      <c r="B133" s="3" t="s">
        <v>17</v>
      </c>
      <c r="C133" s="3" t="s">
        <v>30</v>
      </c>
      <c r="D133" s="3" t="s">
        <v>210</v>
      </c>
      <c r="E133" s="3">
        <v>4</v>
      </c>
      <c r="F133" s="7" t="s">
        <v>338</v>
      </c>
      <c r="G133" s="5"/>
      <c r="H133" s="5"/>
      <c r="I133" s="5"/>
      <c r="J133" s="5"/>
      <c r="K133" s="5"/>
      <c r="L133" s="5"/>
    </row>
    <row r="134" spans="1:12">
      <c r="A134" s="3" t="s">
        <v>323</v>
      </c>
      <c r="B134" s="3" t="s">
        <v>17</v>
      </c>
      <c r="C134" s="3" t="s">
        <v>30</v>
      </c>
      <c r="D134" s="3" t="s">
        <v>210</v>
      </c>
      <c r="E134" s="3">
        <v>4</v>
      </c>
      <c r="F134" s="7" t="s">
        <v>338</v>
      </c>
      <c r="G134" s="5"/>
      <c r="H134" s="5"/>
      <c r="I134" s="5"/>
      <c r="J134" s="5"/>
      <c r="K134" s="5"/>
      <c r="L134" s="5"/>
    </row>
    <row r="135" spans="1:12">
      <c r="A135" s="3" t="s">
        <v>324</v>
      </c>
      <c r="B135" s="3" t="s">
        <v>17</v>
      </c>
      <c r="C135" s="3" t="s">
        <v>30</v>
      </c>
      <c r="D135" s="3" t="s">
        <v>210</v>
      </c>
      <c r="E135" s="3">
        <v>4</v>
      </c>
      <c r="F135" s="7" t="s">
        <v>338</v>
      </c>
      <c r="G135" s="5"/>
      <c r="H135" s="5"/>
      <c r="I135" s="5"/>
      <c r="J135" s="5"/>
      <c r="K135" s="5"/>
      <c r="L135" s="5"/>
    </row>
    <row r="136" spans="1:12">
      <c r="A136" s="3" t="s">
        <v>325</v>
      </c>
      <c r="B136" s="3" t="s">
        <v>17</v>
      </c>
      <c r="C136" s="3" t="s">
        <v>30</v>
      </c>
      <c r="D136" s="3" t="s">
        <v>210</v>
      </c>
      <c r="E136" s="3">
        <v>4</v>
      </c>
      <c r="F136" s="7" t="s">
        <v>338</v>
      </c>
      <c r="G136" s="5"/>
      <c r="H136" s="5"/>
      <c r="I136" s="5"/>
      <c r="J136" s="5"/>
      <c r="K136" s="5"/>
      <c r="L136" s="5"/>
    </row>
    <row r="137" spans="1:12">
      <c r="A137" s="3" t="s">
        <v>326</v>
      </c>
      <c r="B137" s="3" t="s">
        <v>17</v>
      </c>
      <c r="C137" s="3" t="s">
        <v>30</v>
      </c>
      <c r="D137" s="3" t="s">
        <v>210</v>
      </c>
      <c r="E137" s="3">
        <v>4</v>
      </c>
      <c r="F137" s="7" t="s">
        <v>338</v>
      </c>
      <c r="G137" s="5"/>
      <c r="H137" s="5"/>
      <c r="I137" s="5"/>
      <c r="J137" s="5"/>
      <c r="K137" s="5"/>
      <c r="L137" s="5"/>
    </row>
    <row r="138" spans="1:12">
      <c r="A138" s="3" t="s">
        <v>327</v>
      </c>
      <c r="B138" s="3" t="s">
        <v>17</v>
      </c>
      <c r="C138" s="3" t="s">
        <v>30</v>
      </c>
      <c r="D138" s="3" t="s">
        <v>210</v>
      </c>
      <c r="E138" s="3">
        <v>4</v>
      </c>
      <c r="F138" s="7" t="s">
        <v>338</v>
      </c>
      <c r="G138" s="5"/>
      <c r="H138" s="5"/>
      <c r="I138" s="5"/>
      <c r="J138" s="5"/>
      <c r="K138" s="5"/>
      <c r="L138" s="5"/>
    </row>
    <row r="139" spans="1:12">
      <c r="A139" s="3" t="s">
        <v>318</v>
      </c>
      <c r="B139" s="3" t="s">
        <v>17</v>
      </c>
      <c r="C139" s="3" t="s">
        <v>318</v>
      </c>
      <c r="D139" s="3" t="s">
        <v>252</v>
      </c>
      <c r="E139" s="3">
        <v>4</v>
      </c>
      <c r="F139" s="7" t="s">
        <v>338</v>
      </c>
      <c r="G139" s="5"/>
      <c r="H139" s="5"/>
      <c r="I139" s="5"/>
      <c r="J139" s="5"/>
      <c r="K139" s="5"/>
      <c r="L139" s="5"/>
    </row>
    <row r="140" spans="1:12">
      <c r="A140" s="3" t="s">
        <v>317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338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344</v>
      </c>
      <c r="G141" s="5"/>
      <c r="H141" s="5"/>
      <c r="I141" s="5"/>
      <c r="J141" s="5"/>
      <c r="K141" s="5"/>
      <c r="L141" s="5"/>
    </row>
    <row r="142" spans="1:12">
      <c r="A142" s="3" t="s">
        <v>328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344</v>
      </c>
      <c r="G142" s="5"/>
      <c r="H142" s="5"/>
      <c r="I142" s="5"/>
      <c r="J142" s="5"/>
      <c r="K142" s="5"/>
      <c r="L142" s="5"/>
    </row>
    <row r="143" spans="1:12">
      <c r="A143" s="3" t="s">
        <v>329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344</v>
      </c>
      <c r="G143" s="5"/>
      <c r="H143" s="5"/>
      <c r="I143" s="5"/>
      <c r="J143" s="5"/>
      <c r="K143" s="5"/>
      <c r="L143" s="5"/>
    </row>
    <row r="144" spans="1:12">
      <c r="A144" s="3" t="s">
        <v>330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344</v>
      </c>
      <c r="G144" s="5"/>
      <c r="H144" s="5"/>
      <c r="I144" s="5"/>
      <c r="J144" s="5"/>
      <c r="K144" s="5"/>
      <c r="L144" s="5"/>
    </row>
    <row r="145" spans="1:12">
      <c r="A145" s="3" t="s">
        <v>331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344</v>
      </c>
      <c r="G145" s="5"/>
      <c r="H145" s="5"/>
      <c r="I145" s="5"/>
      <c r="J145" s="5"/>
      <c r="K145" s="5"/>
      <c r="L145" s="5"/>
    </row>
    <row r="146" spans="1:12">
      <c r="A146" s="3" t="s">
        <v>332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344</v>
      </c>
      <c r="G146" s="5"/>
      <c r="H146" s="5"/>
      <c r="I146" s="5"/>
      <c r="J146" s="5"/>
      <c r="K146" s="5"/>
      <c r="L146" s="5"/>
    </row>
    <row r="147" spans="1:12">
      <c r="A147" s="3" t="s">
        <v>333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344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344</v>
      </c>
      <c r="G148" s="5"/>
      <c r="H148" s="5"/>
      <c r="I148" s="5"/>
      <c r="J148" s="5"/>
      <c r="K148" s="5"/>
      <c r="L148" s="5"/>
    </row>
    <row r="149" spans="1:12">
      <c r="A149" s="3" t="s">
        <v>334</v>
      </c>
      <c r="B149" s="3" t="s">
        <v>17</v>
      </c>
      <c r="C149" s="3" t="s">
        <v>32</v>
      </c>
      <c r="D149" s="3" t="s">
        <v>272</v>
      </c>
      <c r="E149" s="3">
        <v>3</v>
      </c>
      <c r="F149" s="7" t="s">
        <v>344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210</v>
      </c>
      <c r="E150" s="3">
        <v>3</v>
      </c>
      <c r="F150" s="7" t="s">
        <v>344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48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109" customWidth="1"/>
    <col min="2" max="2" width="7.5" style="109" customWidth="1"/>
    <col min="3" max="3" width="0.8984375" style="109" customWidth="1"/>
    <col min="4" max="4" width="4" style="109" customWidth="1"/>
    <col min="5" max="5" width="5.8984375" style="109" customWidth="1"/>
    <col min="6" max="6" width="5.59765625" style="109" customWidth="1"/>
    <col min="7" max="7" width="11.19921875" style="109" customWidth="1"/>
    <col min="8" max="8" width="9.09765625" style="109" customWidth="1"/>
    <col min="9" max="9" width="12.69921875" style="109" customWidth="1"/>
    <col min="10" max="10" width="1.3984375" style="109" customWidth="1"/>
    <col min="11" max="11" width="1" style="109" customWidth="1"/>
    <col min="12" max="12" width="10.69921875" style="109" customWidth="1"/>
    <col min="13" max="13" width="10.09765625" style="109" customWidth="1"/>
    <col min="14" max="14" width="16.59765625" style="109" customWidth="1"/>
    <col min="15" max="15" width="8.3984375" style="109" customWidth="1"/>
    <col min="16" max="16" width="9.5" style="109" customWidth="1"/>
    <col min="17" max="17" width="1.19921875" style="109" customWidth="1"/>
    <col min="18" max="18" width="0.5" style="109" customWidth="1"/>
    <col min="19" max="26" width="0" style="109" hidden="1" customWidth="1"/>
    <col min="27" max="16384" width="11" style="109" hidden="1"/>
  </cols>
  <sheetData>
    <row r="1" spans="2:26" ht="15.6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2:26" ht="36.6" thickBot="1">
      <c r="B2" s="744" t="s">
        <v>367</v>
      </c>
      <c r="C2" s="745"/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108"/>
      <c r="S2" s="108"/>
      <c r="T2" s="108"/>
      <c r="U2" s="108"/>
      <c r="V2" s="108"/>
      <c r="W2" s="108"/>
      <c r="X2" s="108"/>
      <c r="Y2" s="108"/>
      <c r="Z2" s="108"/>
    </row>
    <row r="3" spans="2:26" ht="24" customHeight="1" thickBot="1">
      <c r="B3" s="110" t="s">
        <v>368</v>
      </c>
      <c r="C3" s="746" t="s">
        <v>369</v>
      </c>
      <c r="D3" s="747"/>
      <c r="E3" s="747"/>
      <c r="F3" s="747"/>
      <c r="G3" s="747"/>
      <c r="H3" s="747"/>
      <c r="I3" s="747"/>
      <c r="J3" s="748"/>
      <c r="K3" s="749" t="s">
        <v>370</v>
      </c>
      <c r="L3" s="750"/>
      <c r="M3" s="750"/>
      <c r="N3" s="750"/>
      <c r="O3" s="750"/>
      <c r="P3" s="750"/>
      <c r="Q3" s="751"/>
      <c r="R3" s="108"/>
      <c r="S3" s="108"/>
      <c r="T3" s="108"/>
      <c r="U3" s="108"/>
      <c r="V3" s="108"/>
      <c r="W3" s="108"/>
      <c r="X3" s="108"/>
      <c r="Y3" s="108"/>
      <c r="Z3" s="108"/>
    </row>
    <row r="4" spans="2:26" ht="15.6">
      <c r="B4" s="752" t="s">
        <v>371</v>
      </c>
      <c r="C4" s="111" t="s">
        <v>372</v>
      </c>
      <c r="D4" s="112"/>
      <c r="E4" s="112"/>
      <c r="F4" s="112"/>
      <c r="G4" s="112"/>
      <c r="H4" s="112"/>
      <c r="I4" s="112"/>
      <c r="J4" s="113"/>
      <c r="K4" s="114" t="s">
        <v>372</v>
      </c>
      <c r="L4" s="112"/>
      <c r="M4" s="112"/>
      <c r="N4" s="112"/>
      <c r="O4" s="112"/>
      <c r="P4" s="112"/>
      <c r="Q4" s="113"/>
      <c r="R4" s="108"/>
      <c r="S4" s="108"/>
      <c r="T4" s="108"/>
      <c r="U4" s="108"/>
      <c r="V4" s="108"/>
      <c r="W4" s="108"/>
      <c r="X4" s="108"/>
      <c r="Y4" s="108"/>
      <c r="Z4" s="108"/>
    </row>
    <row r="5" spans="2:26" ht="18.75" customHeight="1">
      <c r="B5" s="753"/>
      <c r="C5" s="115"/>
      <c r="D5" s="740" t="s">
        <v>373</v>
      </c>
      <c r="E5" s="741"/>
      <c r="F5" s="741"/>
      <c r="G5" s="742"/>
      <c r="H5" s="743" t="s">
        <v>374</v>
      </c>
      <c r="I5" s="741"/>
      <c r="J5" s="116"/>
      <c r="K5" s="117"/>
      <c r="L5" s="740" t="s">
        <v>373</v>
      </c>
      <c r="M5" s="741"/>
      <c r="N5" s="742"/>
      <c r="O5" s="743" t="s">
        <v>375</v>
      </c>
      <c r="P5" s="741"/>
      <c r="Q5" s="116"/>
      <c r="R5" s="108"/>
      <c r="S5" s="108"/>
      <c r="T5" s="108"/>
      <c r="U5" s="108"/>
      <c r="V5" s="108"/>
      <c r="W5" s="108"/>
      <c r="X5" s="108"/>
      <c r="Y5" s="108"/>
      <c r="Z5" s="108"/>
    </row>
    <row r="6" spans="2:26" ht="18.75" customHeight="1">
      <c r="B6" s="753"/>
      <c r="C6" s="115"/>
      <c r="D6" s="740" t="s">
        <v>376</v>
      </c>
      <c r="E6" s="741"/>
      <c r="F6" s="741"/>
      <c r="G6" s="742"/>
      <c r="H6" s="743" t="s">
        <v>377</v>
      </c>
      <c r="I6" s="741"/>
      <c r="J6" s="116"/>
      <c r="K6" s="117"/>
      <c r="L6" s="740" t="s">
        <v>376</v>
      </c>
      <c r="M6" s="741"/>
      <c r="N6" s="742"/>
      <c r="O6" s="743" t="s">
        <v>378</v>
      </c>
      <c r="P6" s="741"/>
      <c r="Q6" s="116"/>
      <c r="R6" s="108"/>
      <c r="S6" s="108"/>
      <c r="T6" s="108"/>
      <c r="U6" s="108"/>
      <c r="V6" s="108"/>
      <c r="W6" s="108"/>
      <c r="X6" s="108"/>
      <c r="Y6" s="108"/>
      <c r="Z6" s="108"/>
    </row>
    <row r="7" spans="2:26" ht="18.75" customHeight="1">
      <c r="B7" s="753"/>
      <c r="C7" s="115"/>
      <c r="D7" s="740" t="s">
        <v>379</v>
      </c>
      <c r="E7" s="741"/>
      <c r="F7" s="741"/>
      <c r="G7" s="742"/>
      <c r="H7" s="743" t="s">
        <v>380</v>
      </c>
      <c r="I7" s="741"/>
      <c r="J7" s="116"/>
      <c r="K7" s="117"/>
      <c r="L7" s="740" t="s">
        <v>379</v>
      </c>
      <c r="M7" s="741"/>
      <c r="N7" s="742"/>
      <c r="O7" s="743" t="s">
        <v>381</v>
      </c>
      <c r="P7" s="741"/>
      <c r="Q7" s="116"/>
      <c r="R7" s="108"/>
      <c r="S7" s="108"/>
      <c r="T7" s="108"/>
      <c r="U7" s="108"/>
      <c r="V7" s="108"/>
      <c r="W7" s="108"/>
      <c r="X7" s="108"/>
      <c r="Y7" s="108"/>
      <c r="Z7" s="108"/>
    </row>
    <row r="8" spans="2:26" ht="18.75" customHeight="1">
      <c r="B8" s="753"/>
      <c r="C8" s="115"/>
      <c r="D8" s="740" t="s">
        <v>382</v>
      </c>
      <c r="E8" s="741"/>
      <c r="F8" s="741"/>
      <c r="G8" s="742"/>
      <c r="H8" s="743" t="s">
        <v>383</v>
      </c>
      <c r="I8" s="741"/>
      <c r="J8" s="116"/>
      <c r="K8" s="117"/>
      <c r="L8" s="740" t="s">
        <v>382</v>
      </c>
      <c r="M8" s="741"/>
      <c r="N8" s="742"/>
      <c r="O8" s="743" t="s">
        <v>383</v>
      </c>
      <c r="P8" s="741"/>
      <c r="Q8" s="116"/>
      <c r="R8" s="108"/>
      <c r="S8" s="108"/>
      <c r="T8" s="108"/>
      <c r="U8" s="108"/>
      <c r="V8" s="108"/>
      <c r="W8" s="108"/>
      <c r="X8" s="108"/>
      <c r="Y8" s="108"/>
      <c r="Z8" s="108"/>
    </row>
    <row r="9" spans="2:26" ht="8.25" customHeight="1" thickBot="1">
      <c r="B9" s="754"/>
      <c r="C9" s="118"/>
      <c r="D9" s="119"/>
      <c r="E9" s="119"/>
      <c r="F9" s="119"/>
      <c r="G9" s="119"/>
      <c r="H9" s="119"/>
      <c r="I9" s="119"/>
      <c r="J9" s="120"/>
      <c r="K9" s="121"/>
      <c r="L9" s="119"/>
      <c r="M9" s="119"/>
      <c r="N9" s="119"/>
      <c r="O9" s="119"/>
      <c r="P9" s="119"/>
      <c r="Q9" s="120"/>
      <c r="R9" s="108"/>
      <c r="S9" s="108"/>
      <c r="T9" s="108"/>
      <c r="U9" s="108"/>
      <c r="V9" s="108"/>
      <c r="W9" s="108"/>
      <c r="X9" s="108"/>
      <c r="Y9" s="108"/>
      <c r="Z9" s="108"/>
    </row>
    <row r="10" spans="2:26" ht="6.75" customHeight="1">
      <c r="B10" s="752" t="s">
        <v>384</v>
      </c>
      <c r="C10" s="111"/>
      <c r="D10" s="112"/>
      <c r="E10" s="112"/>
      <c r="F10" s="112"/>
      <c r="G10" s="112"/>
      <c r="H10" s="112"/>
      <c r="I10" s="112"/>
      <c r="J10" s="113"/>
      <c r="K10" s="114"/>
      <c r="L10" s="112"/>
      <c r="M10" s="112"/>
      <c r="N10" s="112"/>
      <c r="O10" s="112"/>
      <c r="P10" s="112"/>
      <c r="Q10" s="113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2:26" ht="16.5" customHeight="1">
      <c r="B11" s="753"/>
      <c r="C11" s="115"/>
      <c r="D11" s="740" t="s">
        <v>319</v>
      </c>
      <c r="E11" s="741"/>
      <c r="F11" s="741"/>
      <c r="G11" s="743" t="s">
        <v>385</v>
      </c>
      <c r="H11" s="741"/>
      <c r="I11" s="741"/>
      <c r="J11" s="116"/>
      <c r="K11" s="117"/>
      <c r="L11" s="755" t="s">
        <v>319</v>
      </c>
      <c r="M11" s="756"/>
      <c r="N11" s="759" t="s">
        <v>386</v>
      </c>
      <c r="O11" s="760"/>
      <c r="P11" s="760"/>
      <c r="Q11" s="116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2:26" ht="16.5" customHeight="1">
      <c r="B12" s="753"/>
      <c r="C12" s="115"/>
      <c r="D12" s="740" t="s">
        <v>387</v>
      </c>
      <c r="E12" s="741"/>
      <c r="F12" s="741"/>
      <c r="G12" s="743" t="s">
        <v>388</v>
      </c>
      <c r="H12" s="741"/>
      <c r="I12" s="741"/>
      <c r="J12" s="116"/>
      <c r="K12" s="117"/>
      <c r="L12" s="757"/>
      <c r="M12" s="758"/>
      <c r="N12" s="761"/>
      <c r="O12" s="757"/>
      <c r="P12" s="757"/>
      <c r="Q12" s="116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2:26" ht="16.5" customHeight="1">
      <c r="B13" s="753"/>
      <c r="C13" s="115"/>
      <c r="D13" s="740" t="s">
        <v>389</v>
      </c>
      <c r="E13" s="741"/>
      <c r="F13" s="741"/>
      <c r="G13" s="743" t="s">
        <v>390</v>
      </c>
      <c r="H13" s="741"/>
      <c r="I13" s="741"/>
      <c r="J13" s="116"/>
      <c r="K13" s="117"/>
      <c r="L13" s="740" t="s">
        <v>391</v>
      </c>
      <c r="M13" s="742"/>
      <c r="N13" s="743" t="s">
        <v>390</v>
      </c>
      <c r="O13" s="741"/>
      <c r="P13" s="741"/>
      <c r="Q13" s="116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2:26" ht="6.75" customHeight="1" thickBot="1">
      <c r="B14" s="754"/>
      <c r="C14" s="118"/>
      <c r="D14" s="119"/>
      <c r="E14" s="119"/>
      <c r="F14" s="119"/>
      <c r="G14" s="119"/>
      <c r="H14" s="119"/>
      <c r="I14" s="119"/>
      <c r="J14" s="120"/>
      <c r="K14" s="121"/>
      <c r="L14" s="119"/>
      <c r="M14" s="119"/>
      <c r="N14" s="119"/>
      <c r="O14" s="119"/>
      <c r="P14" s="119"/>
      <c r="Q14" s="120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2:26" ht="6.75" customHeight="1">
      <c r="B15" s="752" t="s">
        <v>392</v>
      </c>
      <c r="C15" s="111"/>
      <c r="D15" s="112"/>
      <c r="E15" s="112"/>
      <c r="F15" s="112"/>
      <c r="G15" s="112"/>
      <c r="H15" s="112"/>
      <c r="I15" s="112"/>
      <c r="J15" s="113"/>
      <c r="K15" s="114"/>
      <c r="L15" s="112"/>
      <c r="M15" s="112"/>
      <c r="N15" s="112"/>
      <c r="O15" s="112"/>
      <c r="P15" s="112"/>
      <c r="Q15" s="113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2:26" ht="20.25" customHeight="1">
      <c r="B16" s="753"/>
      <c r="C16" s="115"/>
      <c r="D16" s="740" t="s">
        <v>393</v>
      </c>
      <c r="E16" s="741"/>
      <c r="F16" s="741"/>
      <c r="G16" s="742"/>
      <c r="H16" s="743">
        <v>1</v>
      </c>
      <c r="I16" s="741"/>
      <c r="J16" s="116"/>
      <c r="K16" s="117"/>
      <c r="L16" s="740" t="s">
        <v>393</v>
      </c>
      <c r="M16" s="741"/>
      <c r="N16" s="742"/>
      <c r="O16" s="743" t="s">
        <v>394</v>
      </c>
      <c r="P16" s="741"/>
      <c r="Q16" s="116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2:26" ht="20.25" customHeight="1">
      <c r="B17" s="753"/>
      <c r="C17" s="115"/>
      <c r="D17" s="740" t="s">
        <v>395</v>
      </c>
      <c r="E17" s="741"/>
      <c r="F17" s="741"/>
      <c r="G17" s="742"/>
      <c r="H17" s="743">
        <v>179</v>
      </c>
      <c r="I17" s="741"/>
      <c r="J17" s="116"/>
      <c r="K17" s="117"/>
      <c r="L17" s="740" t="s">
        <v>396</v>
      </c>
      <c r="M17" s="741"/>
      <c r="N17" s="742"/>
      <c r="O17" s="743" t="s">
        <v>397</v>
      </c>
      <c r="P17" s="741"/>
      <c r="Q17" s="116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2:26" ht="20.25" customHeight="1">
      <c r="B18" s="753"/>
      <c r="C18" s="115"/>
      <c r="D18" s="740" t="s">
        <v>398</v>
      </c>
      <c r="E18" s="741"/>
      <c r="F18" s="741"/>
      <c r="G18" s="742"/>
      <c r="H18" s="743">
        <v>368</v>
      </c>
      <c r="I18" s="741"/>
      <c r="J18" s="116"/>
      <c r="K18" s="117"/>
      <c r="L18" s="740" t="s">
        <v>399</v>
      </c>
      <c r="M18" s="741"/>
      <c r="N18" s="742"/>
      <c r="O18" s="743" t="s">
        <v>400</v>
      </c>
      <c r="P18" s="741"/>
      <c r="Q18" s="116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2:26" ht="20.25" customHeight="1">
      <c r="B19" s="753"/>
      <c r="C19" s="115"/>
      <c r="D19" s="740" t="s">
        <v>401</v>
      </c>
      <c r="E19" s="741"/>
      <c r="F19" s="741"/>
      <c r="G19" s="742"/>
      <c r="H19" s="743">
        <v>548</v>
      </c>
      <c r="I19" s="741"/>
      <c r="J19" s="116"/>
      <c r="K19" s="117"/>
      <c r="L19" s="740" t="s">
        <v>401</v>
      </c>
      <c r="M19" s="741"/>
      <c r="N19" s="742"/>
      <c r="O19" s="743" t="s">
        <v>402</v>
      </c>
      <c r="P19" s="741"/>
      <c r="Q19" s="116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2:26" ht="5.25" customHeight="1" thickBot="1">
      <c r="B20" s="754"/>
      <c r="C20" s="118"/>
      <c r="D20" s="119"/>
      <c r="E20" s="119"/>
      <c r="F20" s="119"/>
      <c r="G20" s="119"/>
      <c r="H20" s="119"/>
      <c r="I20" s="119"/>
      <c r="J20" s="120"/>
      <c r="K20" s="121"/>
      <c r="L20" s="119"/>
      <c r="M20" s="119"/>
      <c r="N20" s="119"/>
      <c r="O20" s="119"/>
      <c r="P20" s="119"/>
      <c r="Q20" s="120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2:26" ht="5.25" customHeight="1">
      <c r="B21" s="752" t="s">
        <v>403</v>
      </c>
      <c r="C21" s="111"/>
      <c r="D21" s="112"/>
      <c r="E21" s="112"/>
      <c r="F21" s="112"/>
      <c r="G21" s="112"/>
      <c r="H21" s="112"/>
      <c r="I21" s="112"/>
      <c r="J21" s="113"/>
      <c r="K21" s="114"/>
      <c r="L21" s="112"/>
      <c r="M21" s="112"/>
      <c r="N21" s="112"/>
      <c r="O21" s="112"/>
      <c r="P21" s="112"/>
      <c r="Q21" s="113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2:26" ht="31.8" thickBot="1">
      <c r="B22" s="753"/>
      <c r="C22" s="115"/>
      <c r="D22" s="122"/>
      <c r="E22" s="123"/>
      <c r="F22" s="124" t="s">
        <v>404</v>
      </c>
      <c r="G22" s="124" t="s">
        <v>405</v>
      </c>
      <c r="H22" s="124" t="s">
        <v>406</v>
      </c>
      <c r="I22" s="125" t="s">
        <v>407</v>
      </c>
      <c r="J22" s="126"/>
      <c r="K22" s="127"/>
      <c r="L22" s="122"/>
      <c r="M22" s="124" t="s">
        <v>405</v>
      </c>
      <c r="N22" s="124" t="s">
        <v>408</v>
      </c>
      <c r="O22" s="762" t="s">
        <v>407</v>
      </c>
      <c r="P22" s="763"/>
      <c r="Q22" s="116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2:26" ht="16.2" thickTop="1">
      <c r="B23" s="753"/>
      <c r="C23" s="115"/>
      <c r="D23" s="764" t="s">
        <v>405</v>
      </c>
      <c r="E23" s="766" t="s">
        <v>409</v>
      </c>
      <c r="F23" s="766" t="s">
        <v>410</v>
      </c>
      <c r="G23" s="128" t="s">
        <v>411</v>
      </c>
      <c r="H23" s="128" t="s">
        <v>412</v>
      </c>
      <c r="I23" s="769">
        <v>24</v>
      </c>
      <c r="J23" s="126"/>
      <c r="K23" s="127"/>
      <c r="L23" s="764" t="s">
        <v>413</v>
      </c>
      <c r="M23" s="129" t="s">
        <v>411</v>
      </c>
      <c r="N23" s="129" t="s">
        <v>414</v>
      </c>
      <c r="O23" s="769">
        <v>24</v>
      </c>
      <c r="P23" s="777"/>
      <c r="Q23" s="116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2:26" ht="15.6">
      <c r="B24" s="753"/>
      <c r="C24" s="115"/>
      <c r="D24" s="765"/>
      <c r="E24" s="767"/>
      <c r="F24" s="767"/>
      <c r="G24" s="130" t="s">
        <v>415</v>
      </c>
      <c r="H24" s="130" t="s">
        <v>416</v>
      </c>
      <c r="I24" s="770"/>
      <c r="J24" s="126"/>
      <c r="K24" s="127"/>
      <c r="L24" s="765"/>
      <c r="M24" s="131" t="s">
        <v>415</v>
      </c>
      <c r="N24" s="131" t="s">
        <v>417</v>
      </c>
      <c r="O24" s="770"/>
      <c r="P24" s="778"/>
      <c r="Q24" s="116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2:26" ht="15.6">
      <c r="B25" s="753"/>
      <c r="C25" s="115"/>
      <c r="D25" s="765"/>
      <c r="E25" s="767"/>
      <c r="F25" s="767"/>
      <c r="G25" s="130" t="s">
        <v>418</v>
      </c>
      <c r="H25" s="130" t="s">
        <v>419</v>
      </c>
      <c r="I25" s="771"/>
      <c r="J25" s="126"/>
      <c r="K25" s="127"/>
      <c r="L25" s="765"/>
      <c r="M25" s="131" t="s">
        <v>418</v>
      </c>
      <c r="N25" s="131" t="s">
        <v>420</v>
      </c>
      <c r="O25" s="761"/>
      <c r="P25" s="757"/>
      <c r="Q25" s="116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2:26" ht="15.6">
      <c r="B26" s="753"/>
      <c r="C26" s="115"/>
      <c r="D26" s="765"/>
      <c r="E26" s="767"/>
      <c r="F26" s="768"/>
      <c r="G26" s="132" t="s">
        <v>421</v>
      </c>
      <c r="H26" s="132" t="s">
        <v>422</v>
      </c>
      <c r="I26" s="133">
        <v>6</v>
      </c>
      <c r="J26" s="126"/>
      <c r="K26" s="127"/>
      <c r="L26" s="765"/>
      <c r="M26" s="779" t="s">
        <v>423</v>
      </c>
      <c r="N26" s="134" t="s">
        <v>424</v>
      </c>
      <c r="O26" s="780">
        <v>6</v>
      </c>
      <c r="P26" s="781"/>
      <c r="Q26" s="116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2:26" ht="46.8">
      <c r="B27" s="753"/>
      <c r="C27" s="115"/>
      <c r="D27" s="765"/>
      <c r="E27" s="767"/>
      <c r="F27" s="779" t="s">
        <v>425</v>
      </c>
      <c r="G27" s="134" t="s">
        <v>423</v>
      </c>
      <c r="H27" s="134" t="s">
        <v>426</v>
      </c>
      <c r="I27" s="782">
        <v>12</v>
      </c>
      <c r="J27" s="126"/>
      <c r="K27" s="127"/>
      <c r="L27" s="765"/>
      <c r="M27" s="768"/>
      <c r="N27" s="132" t="s">
        <v>427</v>
      </c>
      <c r="O27" s="783">
        <v>12</v>
      </c>
      <c r="P27" s="784"/>
      <c r="Q27" s="116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2:26" ht="31.2">
      <c r="B28" s="753"/>
      <c r="C28" s="115"/>
      <c r="D28" s="765"/>
      <c r="E28" s="767"/>
      <c r="F28" s="768"/>
      <c r="G28" s="132" t="s">
        <v>428</v>
      </c>
      <c r="H28" s="132" t="s">
        <v>429</v>
      </c>
      <c r="I28" s="761"/>
      <c r="J28" s="126"/>
      <c r="K28" s="127"/>
      <c r="L28" s="765"/>
      <c r="M28" s="131" t="s">
        <v>428</v>
      </c>
      <c r="N28" s="131" t="s">
        <v>430</v>
      </c>
      <c r="O28" s="761"/>
      <c r="P28" s="757"/>
      <c r="Q28" s="116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2:26" ht="15.6">
      <c r="B29" s="753"/>
      <c r="C29" s="115"/>
      <c r="D29" s="765"/>
      <c r="E29" s="767"/>
      <c r="F29" s="779" t="s">
        <v>431</v>
      </c>
      <c r="G29" s="134" t="s">
        <v>432</v>
      </c>
      <c r="H29" s="135"/>
      <c r="I29" s="136">
        <v>8</v>
      </c>
      <c r="J29" s="126"/>
      <c r="K29" s="127"/>
      <c r="L29" s="765"/>
      <c r="M29" s="131" t="s">
        <v>432</v>
      </c>
      <c r="N29" s="137"/>
      <c r="O29" s="774">
        <v>8</v>
      </c>
      <c r="P29" s="741"/>
      <c r="Q29" s="116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2:26" ht="15.6">
      <c r="B30" s="753"/>
      <c r="C30" s="115"/>
      <c r="D30" s="765"/>
      <c r="E30" s="767"/>
      <c r="F30" s="768"/>
      <c r="G30" s="132" t="s">
        <v>433</v>
      </c>
      <c r="H30" s="138"/>
      <c r="I30" s="133">
        <v>6</v>
      </c>
      <c r="J30" s="126"/>
      <c r="K30" s="127"/>
      <c r="L30" s="765"/>
      <c r="M30" s="131" t="s">
        <v>433</v>
      </c>
      <c r="N30" s="137"/>
      <c r="O30" s="774">
        <v>6</v>
      </c>
      <c r="P30" s="741"/>
      <c r="Q30" s="116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2:26" ht="62.4">
      <c r="B31" s="753"/>
      <c r="C31" s="115"/>
      <c r="D31" s="765"/>
      <c r="E31" s="767"/>
      <c r="F31" s="131" t="s">
        <v>434</v>
      </c>
      <c r="G31" s="131" t="s">
        <v>435</v>
      </c>
      <c r="H31" s="137"/>
      <c r="I31" s="139">
        <v>10</v>
      </c>
      <c r="J31" s="126"/>
      <c r="K31" s="127"/>
      <c r="L31" s="765"/>
      <c r="M31" s="131" t="s">
        <v>436</v>
      </c>
      <c r="N31" s="137"/>
      <c r="O31" s="774">
        <v>8</v>
      </c>
      <c r="P31" s="741"/>
      <c r="Q31" s="116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2:26" ht="18.75" customHeight="1">
      <c r="B32" s="753"/>
      <c r="C32" s="115"/>
      <c r="D32" s="765"/>
      <c r="E32" s="768"/>
      <c r="F32" s="775" t="s">
        <v>401</v>
      </c>
      <c r="G32" s="741"/>
      <c r="H32" s="742"/>
      <c r="I32" s="140">
        <v>66</v>
      </c>
      <c r="J32" s="126"/>
      <c r="K32" s="127"/>
      <c r="L32" s="758"/>
      <c r="M32" s="775" t="s">
        <v>401</v>
      </c>
      <c r="N32" s="742"/>
      <c r="O32" s="776">
        <v>64</v>
      </c>
      <c r="P32" s="741"/>
      <c r="Q32" s="116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2:26" ht="35.25" customHeight="1">
      <c r="B33" s="753"/>
      <c r="C33" s="115"/>
      <c r="D33" s="758"/>
      <c r="E33" s="141" t="s">
        <v>437</v>
      </c>
      <c r="F33" s="775" t="s">
        <v>438</v>
      </c>
      <c r="G33" s="741"/>
      <c r="H33" s="742"/>
      <c r="I33" s="140">
        <v>86</v>
      </c>
      <c r="J33" s="126"/>
      <c r="K33" s="127"/>
      <c r="L33" s="142" t="s">
        <v>439</v>
      </c>
      <c r="M33" s="775" t="s">
        <v>440</v>
      </c>
      <c r="N33" s="742"/>
      <c r="O33" s="776">
        <v>80</v>
      </c>
      <c r="P33" s="741"/>
      <c r="Q33" s="116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2:26" ht="21.75" customHeight="1">
      <c r="B34" s="753"/>
      <c r="C34" s="115"/>
      <c r="D34" s="772" t="s">
        <v>379</v>
      </c>
      <c r="E34" s="741"/>
      <c r="F34" s="741"/>
      <c r="G34" s="741"/>
      <c r="H34" s="742"/>
      <c r="I34" s="143">
        <v>22</v>
      </c>
      <c r="J34" s="126"/>
      <c r="K34" s="127"/>
      <c r="L34" s="772" t="s">
        <v>379</v>
      </c>
      <c r="M34" s="741"/>
      <c r="N34" s="742"/>
      <c r="O34" s="773">
        <v>30</v>
      </c>
      <c r="P34" s="741"/>
      <c r="Q34" s="116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2:26" ht="24" customHeight="1">
      <c r="B35" s="753"/>
      <c r="C35" s="115"/>
      <c r="D35" s="772" t="s">
        <v>382</v>
      </c>
      <c r="E35" s="741"/>
      <c r="F35" s="741"/>
      <c r="G35" s="741"/>
      <c r="H35" s="742"/>
      <c r="I35" s="143">
        <v>18</v>
      </c>
      <c r="J35" s="126"/>
      <c r="K35" s="127"/>
      <c r="L35" s="772" t="s">
        <v>382</v>
      </c>
      <c r="M35" s="741"/>
      <c r="N35" s="742"/>
      <c r="O35" s="773">
        <v>18</v>
      </c>
      <c r="P35" s="741"/>
      <c r="Q35" s="116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2:26" ht="15.6">
      <c r="B36" s="753"/>
      <c r="C36" s="115"/>
      <c r="D36" s="785" t="s">
        <v>441</v>
      </c>
      <c r="E36" s="741"/>
      <c r="F36" s="741"/>
      <c r="G36" s="741"/>
      <c r="H36" s="742"/>
      <c r="I36" s="140">
        <v>192</v>
      </c>
      <c r="J36" s="126"/>
      <c r="K36" s="127"/>
      <c r="L36" s="785" t="s">
        <v>441</v>
      </c>
      <c r="M36" s="741"/>
      <c r="N36" s="742"/>
      <c r="O36" s="776">
        <v>192</v>
      </c>
      <c r="P36" s="741"/>
      <c r="Q36" s="116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2:26" ht="5.25" customHeight="1" thickBot="1">
      <c r="B37" s="754"/>
      <c r="C37" s="118"/>
      <c r="D37" s="119"/>
      <c r="E37" s="119"/>
      <c r="F37" s="119"/>
      <c r="G37" s="119"/>
      <c r="H37" s="119"/>
      <c r="I37" s="119"/>
      <c r="J37" s="120"/>
      <c r="K37" s="121"/>
      <c r="L37" s="119"/>
      <c r="M37" s="119"/>
      <c r="N37" s="119"/>
      <c r="O37" s="119"/>
      <c r="P37" s="119"/>
      <c r="Q37" s="120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2:26" ht="5.25" customHeight="1">
      <c r="B38" s="752" t="s">
        <v>442</v>
      </c>
      <c r="C38" s="111"/>
      <c r="D38" s="112"/>
      <c r="E38" s="112"/>
      <c r="F38" s="112"/>
      <c r="G38" s="112"/>
      <c r="H38" s="112"/>
      <c r="I38" s="112"/>
      <c r="J38" s="113"/>
      <c r="K38" s="114"/>
      <c r="L38" s="112"/>
      <c r="M38" s="112"/>
      <c r="N38" s="112"/>
      <c r="O38" s="112"/>
      <c r="P38" s="112"/>
      <c r="Q38" s="113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2:26" ht="15.6">
      <c r="B39" s="753"/>
      <c r="C39" s="115" t="s">
        <v>443</v>
      </c>
      <c r="D39" s="144"/>
      <c r="E39" s="144"/>
      <c r="F39" s="144"/>
      <c r="G39" s="144"/>
      <c r="H39" s="144"/>
      <c r="I39" s="144"/>
      <c r="J39" s="116"/>
      <c r="K39" s="117"/>
      <c r="L39" s="144" t="s">
        <v>444</v>
      </c>
      <c r="M39" s="144"/>
      <c r="N39" s="144"/>
      <c r="O39" s="144"/>
      <c r="P39" s="144"/>
      <c r="Q39" s="116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2:26" ht="15.6">
      <c r="B40" s="753"/>
      <c r="C40" s="115" t="s">
        <v>445</v>
      </c>
      <c r="D40" s="144"/>
      <c r="E40" s="144"/>
      <c r="F40" s="144"/>
      <c r="G40" s="144"/>
      <c r="H40" s="144"/>
      <c r="I40" s="144"/>
      <c r="J40" s="116"/>
      <c r="K40" s="117"/>
      <c r="L40" s="144" t="s">
        <v>446</v>
      </c>
      <c r="M40" s="144"/>
      <c r="N40" s="144"/>
      <c r="O40" s="144"/>
      <c r="P40" s="144"/>
      <c r="Q40" s="116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2:26" ht="5.25" customHeight="1" thickBot="1">
      <c r="B41" s="754"/>
      <c r="C41" s="118"/>
      <c r="D41" s="119"/>
      <c r="E41" s="119"/>
      <c r="F41" s="119"/>
      <c r="G41" s="119"/>
      <c r="H41" s="119"/>
      <c r="I41" s="119"/>
      <c r="J41" s="120"/>
      <c r="K41" s="121"/>
      <c r="L41" s="119"/>
      <c r="M41" s="119"/>
      <c r="N41" s="119"/>
      <c r="O41" s="119"/>
      <c r="P41" s="119"/>
      <c r="Q41" s="120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2:26" ht="5.25" customHeight="1">
      <c r="B42" s="752" t="s">
        <v>447</v>
      </c>
      <c r="C42" s="111"/>
      <c r="D42" s="112"/>
      <c r="E42" s="112"/>
      <c r="F42" s="112"/>
      <c r="G42" s="112"/>
      <c r="H42" s="112"/>
      <c r="I42" s="112"/>
      <c r="J42" s="113"/>
      <c r="K42" s="114"/>
      <c r="L42" s="112"/>
      <c r="M42" s="112"/>
      <c r="N42" s="112"/>
      <c r="O42" s="112"/>
      <c r="P42" s="112"/>
      <c r="Q42" s="113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2:26" ht="15.6">
      <c r="B43" s="753"/>
      <c r="C43" s="115"/>
      <c r="D43" s="144" t="s">
        <v>448</v>
      </c>
      <c r="E43" s="144"/>
      <c r="F43" s="144"/>
      <c r="G43" s="144"/>
      <c r="H43" s="144"/>
      <c r="I43" s="144"/>
      <c r="J43" s="116"/>
      <c r="K43" s="117"/>
      <c r="L43" s="144" t="s">
        <v>449</v>
      </c>
      <c r="M43" s="144"/>
      <c r="N43" s="144"/>
      <c r="O43" s="144"/>
      <c r="P43" s="144"/>
      <c r="Q43" s="116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2:26" ht="15.6">
      <c r="B44" s="753"/>
      <c r="C44" s="115"/>
      <c r="D44" s="144" t="s">
        <v>450</v>
      </c>
      <c r="E44" s="145"/>
      <c r="F44" s="145"/>
      <c r="G44" s="145"/>
      <c r="H44" s="145"/>
      <c r="I44" s="145"/>
      <c r="J44" s="116"/>
      <c r="K44" s="117"/>
      <c r="L44" s="144"/>
      <c r="M44" s="144"/>
      <c r="N44" s="144"/>
      <c r="O44" s="144"/>
      <c r="P44" s="144"/>
      <c r="Q44" s="116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2:26" ht="15.6">
      <c r="B45" s="753"/>
      <c r="C45" s="115"/>
      <c r="D45" s="786" t="s">
        <v>368</v>
      </c>
      <c r="E45" s="741"/>
      <c r="F45" s="742"/>
      <c r="G45" s="787" t="s">
        <v>451</v>
      </c>
      <c r="H45" s="742"/>
      <c r="I45" s="146" t="s">
        <v>452</v>
      </c>
      <c r="J45" s="116"/>
      <c r="K45" s="117"/>
      <c r="L45" s="786" t="s">
        <v>368</v>
      </c>
      <c r="M45" s="742"/>
      <c r="N45" s="787" t="s">
        <v>451</v>
      </c>
      <c r="O45" s="742"/>
      <c r="P45" s="146" t="s">
        <v>453</v>
      </c>
      <c r="Q45" s="116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2:26" ht="38.25" customHeight="1">
      <c r="B46" s="753"/>
      <c r="C46" s="115"/>
      <c r="D46" s="740" t="s">
        <v>454</v>
      </c>
      <c r="E46" s="742"/>
      <c r="F46" s="147">
        <v>1</v>
      </c>
      <c r="G46" s="788" t="s">
        <v>455</v>
      </c>
      <c r="H46" s="742"/>
      <c r="I46" s="789">
        <v>86</v>
      </c>
      <c r="J46" s="116"/>
      <c r="K46" s="117"/>
      <c r="L46" s="148" t="s">
        <v>454</v>
      </c>
      <c r="M46" s="147">
        <v>3</v>
      </c>
      <c r="N46" s="788" t="s">
        <v>456</v>
      </c>
      <c r="O46" s="742"/>
      <c r="P46" s="789">
        <v>80</v>
      </c>
      <c r="Q46" s="116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2:26" ht="16.5" customHeight="1">
      <c r="B47" s="753"/>
      <c r="C47" s="115"/>
      <c r="D47" s="740" t="s">
        <v>457</v>
      </c>
      <c r="E47" s="742"/>
      <c r="F47" s="147">
        <v>179</v>
      </c>
      <c r="G47" s="743" t="s">
        <v>440</v>
      </c>
      <c r="H47" s="742"/>
      <c r="I47" s="770"/>
      <c r="J47" s="116"/>
      <c r="K47" s="117"/>
      <c r="L47" s="148" t="s">
        <v>458</v>
      </c>
      <c r="M47" s="147">
        <v>216</v>
      </c>
      <c r="N47" s="743" t="s">
        <v>440</v>
      </c>
      <c r="O47" s="742"/>
      <c r="P47" s="770"/>
      <c r="Q47" s="116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2:26" ht="16.5" customHeight="1">
      <c r="B48" s="753"/>
      <c r="C48" s="115"/>
      <c r="D48" s="740" t="s">
        <v>459</v>
      </c>
      <c r="E48" s="742"/>
      <c r="F48" s="147">
        <v>368</v>
      </c>
      <c r="G48" s="743" t="s">
        <v>440</v>
      </c>
      <c r="H48" s="742"/>
      <c r="I48" s="761"/>
      <c r="J48" s="116"/>
      <c r="K48" s="117"/>
      <c r="L48" s="148" t="s">
        <v>460</v>
      </c>
      <c r="M48" s="147">
        <v>309</v>
      </c>
      <c r="N48" s="743" t="s">
        <v>440</v>
      </c>
      <c r="O48" s="742"/>
      <c r="P48" s="761"/>
      <c r="Q48" s="116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2:26" ht="5.25" customHeight="1" thickBot="1">
      <c r="B49" s="754"/>
      <c r="C49" s="118"/>
      <c r="D49" s="119"/>
      <c r="E49" s="119"/>
      <c r="F49" s="119"/>
      <c r="G49" s="119"/>
      <c r="H49" s="119"/>
      <c r="I49" s="119"/>
      <c r="J49" s="120"/>
      <c r="K49" s="121"/>
      <c r="L49" s="119"/>
      <c r="M49" s="119"/>
      <c r="N49" s="119"/>
      <c r="O49" s="119"/>
      <c r="P49" s="119"/>
      <c r="Q49" s="120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2:26" ht="5.25" customHeight="1">
      <c r="B50" s="752" t="s">
        <v>461</v>
      </c>
      <c r="C50" s="111"/>
      <c r="D50" s="112"/>
      <c r="E50" s="112"/>
      <c r="F50" s="112"/>
      <c r="G50" s="112"/>
      <c r="H50" s="112"/>
      <c r="I50" s="112"/>
      <c r="J50" s="113"/>
      <c r="K50" s="114"/>
      <c r="L50" s="112"/>
      <c r="M50" s="112"/>
      <c r="N50" s="112"/>
      <c r="O50" s="112"/>
      <c r="P50" s="112"/>
      <c r="Q50" s="113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2:26" ht="26.4">
      <c r="B51" s="753"/>
      <c r="C51" s="115"/>
      <c r="D51" s="791" t="s">
        <v>368</v>
      </c>
      <c r="E51" s="741"/>
      <c r="F51" s="742"/>
      <c r="G51" s="149" t="s">
        <v>462</v>
      </c>
      <c r="H51" s="149" t="s">
        <v>463</v>
      </c>
      <c r="I51" s="150" t="s">
        <v>464</v>
      </c>
      <c r="J51" s="126"/>
      <c r="K51" s="127"/>
      <c r="L51" s="791" t="s">
        <v>368</v>
      </c>
      <c r="M51" s="742"/>
      <c r="N51" s="149" t="s">
        <v>462</v>
      </c>
      <c r="O51" s="149" t="s">
        <v>463</v>
      </c>
      <c r="P51" s="150" t="s">
        <v>465</v>
      </c>
      <c r="Q51" s="116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2:26" ht="15.6">
      <c r="B52" s="753"/>
      <c r="C52" s="115"/>
      <c r="D52" s="790" t="s">
        <v>466</v>
      </c>
      <c r="E52" s="741"/>
      <c r="F52" s="742"/>
      <c r="G52" s="151">
        <v>8</v>
      </c>
      <c r="H52" s="151">
        <v>-2</v>
      </c>
      <c r="I52" s="152" t="s">
        <v>467</v>
      </c>
      <c r="J52" s="126"/>
      <c r="K52" s="127"/>
      <c r="L52" s="790" t="s">
        <v>466</v>
      </c>
      <c r="M52" s="742"/>
      <c r="N52" s="151">
        <v>4</v>
      </c>
      <c r="O52" s="151">
        <v>-1</v>
      </c>
      <c r="P52" s="152" t="s">
        <v>362</v>
      </c>
      <c r="Q52" s="116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2:26" ht="27.75" customHeight="1">
      <c r="B53" s="753"/>
      <c r="C53" s="115"/>
      <c r="D53" s="790" t="s">
        <v>468</v>
      </c>
      <c r="E53" s="741"/>
      <c r="F53" s="742"/>
      <c r="G53" s="151">
        <v>6</v>
      </c>
      <c r="H53" s="153"/>
      <c r="I53" s="152" t="s">
        <v>469</v>
      </c>
      <c r="J53" s="126"/>
      <c r="K53" s="127"/>
      <c r="L53" s="790" t="s">
        <v>470</v>
      </c>
      <c r="M53" s="742"/>
      <c r="N53" s="151">
        <v>3</v>
      </c>
      <c r="O53" s="153"/>
      <c r="P53" s="152">
        <v>3</v>
      </c>
      <c r="Q53" s="116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2:26" ht="15.6">
      <c r="B54" s="753"/>
      <c r="C54" s="115"/>
      <c r="D54" s="790" t="s">
        <v>471</v>
      </c>
      <c r="E54" s="741"/>
      <c r="F54" s="742"/>
      <c r="G54" s="151">
        <v>5</v>
      </c>
      <c r="H54" s="151" t="s">
        <v>472</v>
      </c>
      <c r="I54" s="152" t="s">
        <v>473</v>
      </c>
      <c r="J54" s="126"/>
      <c r="K54" s="127"/>
      <c r="L54" s="790" t="s">
        <v>474</v>
      </c>
      <c r="M54" s="742"/>
      <c r="N54" s="151">
        <v>4</v>
      </c>
      <c r="O54" s="151" t="s">
        <v>475</v>
      </c>
      <c r="P54" s="152" t="s">
        <v>364</v>
      </c>
      <c r="Q54" s="116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2:26" ht="15.6">
      <c r="B55" s="753"/>
      <c r="C55" s="115"/>
      <c r="D55" s="790" t="s">
        <v>476</v>
      </c>
      <c r="E55" s="741"/>
      <c r="F55" s="742"/>
      <c r="G55" s="151">
        <v>5</v>
      </c>
      <c r="H55" s="151" t="s">
        <v>477</v>
      </c>
      <c r="I55" s="152" t="s">
        <v>478</v>
      </c>
      <c r="J55" s="126"/>
      <c r="K55" s="127"/>
      <c r="L55" s="790" t="s">
        <v>479</v>
      </c>
      <c r="M55" s="742"/>
      <c r="N55" s="151">
        <v>3</v>
      </c>
      <c r="O55" s="151" t="s">
        <v>475</v>
      </c>
      <c r="P55" s="152" t="s">
        <v>365</v>
      </c>
      <c r="Q55" s="116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2:26" ht="15.6">
      <c r="B56" s="753"/>
      <c r="C56" s="115"/>
      <c r="D56" s="790" t="s">
        <v>480</v>
      </c>
      <c r="E56" s="741"/>
      <c r="F56" s="742"/>
      <c r="G56" s="151">
        <v>5</v>
      </c>
      <c r="H56" s="151" t="s">
        <v>477</v>
      </c>
      <c r="I56" s="152" t="s">
        <v>478</v>
      </c>
      <c r="J56" s="126"/>
      <c r="K56" s="127"/>
      <c r="L56" s="790" t="s">
        <v>391</v>
      </c>
      <c r="M56" s="742"/>
      <c r="N56" s="788" t="s">
        <v>481</v>
      </c>
      <c r="O56" s="741"/>
      <c r="P56" s="741"/>
      <c r="Q56" s="116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2:26" ht="15.6">
      <c r="B57" s="753"/>
      <c r="C57" s="115"/>
      <c r="D57" s="790" t="s">
        <v>389</v>
      </c>
      <c r="E57" s="741"/>
      <c r="F57" s="742"/>
      <c r="G57" s="788" t="s">
        <v>481</v>
      </c>
      <c r="H57" s="741"/>
      <c r="I57" s="741"/>
      <c r="J57" s="126"/>
      <c r="K57" s="127"/>
      <c r="L57" s="154"/>
      <c r="M57" s="144"/>
      <c r="N57" s="144"/>
      <c r="O57" s="144"/>
      <c r="P57" s="144"/>
      <c r="Q57" s="116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2:26" ht="15.6">
      <c r="B58" s="753"/>
      <c r="C58" s="115"/>
      <c r="D58" s="144"/>
      <c r="E58" s="144"/>
      <c r="F58" s="144"/>
      <c r="G58" s="144"/>
      <c r="H58" s="144"/>
      <c r="I58" s="144"/>
      <c r="J58" s="116"/>
      <c r="K58" s="117"/>
      <c r="L58" s="144"/>
      <c r="M58" s="144"/>
      <c r="N58" s="144"/>
      <c r="O58" s="144"/>
      <c r="P58" s="144"/>
      <c r="Q58" s="116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2:26" ht="33.75" customHeight="1">
      <c r="B59" s="753"/>
      <c r="C59" s="115"/>
      <c r="D59" s="793" t="s">
        <v>482</v>
      </c>
      <c r="E59" s="778"/>
      <c r="F59" s="778"/>
      <c r="G59" s="778"/>
      <c r="H59" s="778"/>
      <c r="I59" s="778"/>
      <c r="J59" s="116"/>
      <c r="K59" s="117"/>
      <c r="L59" s="793" t="s">
        <v>483</v>
      </c>
      <c r="M59" s="793"/>
      <c r="N59" s="793"/>
      <c r="O59" s="793"/>
      <c r="P59" s="793"/>
      <c r="Q59" s="116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2:26" ht="5.25" customHeight="1" thickBot="1">
      <c r="B60" s="754"/>
      <c r="C60" s="118"/>
      <c r="D60" s="119"/>
      <c r="E60" s="119"/>
      <c r="F60" s="119"/>
      <c r="G60" s="119"/>
      <c r="H60" s="119"/>
      <c r="I60" s="119"/>
      <c r="J60" s="120"/>
      <c r="K60" s="121"/>
      <c r="L60" s="119"/>
      <c r="M60" s="119"/>
      <c r="N60" s="119"/>
      <c r="O60" s="119"/>
      <c r="P60" s="119"/>
      <c r="Q60" s="120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2:26" ht="5.25" customHeight="1">
      <c r="B61" s="795" t="s">
        <v>484</v>
      </c>
      <c r="C61" s="115"/>
      <c r="D61" s="144"/>
      <c r="E61" s="144"/>
      <c r="F61" s="144"/>
      <c r="G61" s="144"/>
      <c r="H61" s="144"/>
      <c r="I61" s="144"/>
      <c r="J61" s="144"/>
      <c r="K61" s="114"/>
      <c r="L61" s="112"/>
      <c r="M61" s="112"/>
      <c r="N61" s="112"/>
      <c r="O61" s="112"/>
      <c r="P61" s="112"/>
      <c r="Q61" s="113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2:26" ht="15.6">
      <c r="B62" s="796"/>
      <c r="C62" s="115"/>
      <c r="D62" s="144"/>
      <c r="E62" s="144"/>
      <c r="F62" s="144"/>
      <c r="G62" s="144"/>
      <c r="H62" s="144"/>
      <c r="I62" s="144"/>
      <c r="J62" s="144"/>
      <c r="K62" s="117"/>
      <c r="L62" s="144" t="s">
        <v>485</v>
      </c>
      <c r="M62" s="144"/>
      <c r="N62" s="144"/>
      <c r="O62" s="144"/>
      <c r="P62" s="144"/>
      <c r="Q62" s="116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2:26" ht="15.6">
      <c r="B63" s="796"/>
      <c r="C63" s="115"/>
      <c r="D63" s="144"/>
      <c r="E63" s="144"/>
      <c r="F63" s="144"/>
      <c r="G63" s="144"/>
      <c r="H63" s="144"/>
      <c r="I63" s="144"/>
      <c r="J63" s="144"/>
      <c r="K63" s="117"/>
      <c r="L63" s="144" t="s">
        <v>486</v>
      </c>
      <c r="M63" s="144"/>
      <c r="N63" s="144"/>
      <c r="O63" s="144"/>
      <c r="P63" s="144"/>
      <c r="Q63" s="116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2:26" ht="15.6">
      <c r="B64" s="796"/>
      <c r="C64" s="115"/>
      <c r="D64" s="144"/>
      <c r="E64" s="144"/>
      <c r="F64" s="144"/>
      <c r="G64" s="144"/>
      <c r="H64" s="144"/>
      <c r="I64" s="144"/>
      <c r="J64" s="144"/>
      <c r="K64" s="117"/>
      <c r="L64" s="797" t="s">
        <v>368</v>
      </c>
      <c r="M64" s="798" t="s">
        <v>487</v>
      </c>
      <c r="N64" s="742"/>
      <c r="O64" s="798" t="s">
        <v>488</v>
      </c>
      <c r="P64" s="741"/>
      <c r="Q64" s="116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2:26" ht="15.6">
      <c r="B65" s="796"/>
      <c r="C65" s="115"/>
      <c r="D65" s="144"/>
      <c r="E65" s="144"/>
      <c r="F65" s="144"/>
      <c r="G65" s="144"/>
      <c r="H65" s="144"/>
      <c r="I65" s="144"/>
      <c r="J65" s="144"/>
      <c r="K65" s="117"/>
      <c r="L65" s="758"/>
      <c r="M65" s="147" t="s">
        <v>0</v>
      </c>
      <c r="N65" s="147" t="s">
        <v>489</v>
      </c>
      <c r="O65" s="147" t="s">
        <v>0</v>
      </c>
      <c r="P65" s="155" t="s">
        <v>489</v>
      </c>
      <c r="Q65" s="116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2:26" ht="15.6">
      <c r="B66" s="796"/>
      <c r="C66" s="115"/>
      <c r="D66" s="144"/>
      <c r="E66" s="144"/>
      <c r="F66" s="144"/>
      <c r="G66" s="144"/>
      <c r="H66" s="144"/>
      <c r="I66" s="144"/>
      <c r="J66" s="144"/>
      <c r="K66" s="117"/>
      <c r="L66" s="156" t="s">
        <v>198</v>
      </c>
      <c r="M66" s="157">
        <v>2</v>
      </c>
      <c r="N66" s="157">
        <v>2</v>
      </c>
      <c r="O66" s="157">
        <v>4</v>
      </c>
      <c r="P66" s="146">
        <v>0</v>
      </c>
      <c r="Q66" s="116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2:26" ht="15.6">
      <c r="B67" s="796"/>
      <c r="C67" s="115"/>
      <c r="D67" s="144"/>
      <c r="E67" s="144"/>
      <c r="F67" s="144"/>
      <c r="G67" s="144"/>
      <c r="H67" s="144"/>
      <c r="I67" s="144"/>
      <c r="J67" s="144"/>
      <c r="K67" s="117"/>
      <c r="L67" s="156" t="s">
        <v>212</v>
      </c>
      <c r="M67" s="157">
        <v>2</v>
      </c>
      <c r="N67" s="157">
        <v>2</v>
      </c>
      <c r="O67" s="157">
        <v>0</v>
      </c>
      <c r="P67" s="146">
        <v>4</v>
      </c>
      <c r="Q67" s="116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2:26" ht="15.6">
      <c r="B68" s="796"/>
      <c r="C68" s="115"/>
      <c r="D68" s="144"/>
      <c r="E68" s="144"/>
      <c r="F68" s="144"/>
      <c r="G68" s="144"/>
      <c r="H68" s="144"/>
      <c r="I68" s="144"/>
      <c r="J68" s="144"/>
      <c r="K68" s="117"/>
      <c r="L68" s="156" t="s">
        <v>201</v>
      </c>
      <c r="M68" s="157">
        <v>2</v>
      </c>
      <c r="N68" s="157">
        <v>2</v>
      </c>
      <c r="O68" s="157">
        <v>4</v>
      </c>
      <c r="P68" s="146">
        <v>0</v>
      </c>
      <c r="Q68" s="116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2:26" ht="15.6">
      <c r="B69" s="796"/>
      <c r="C69" s="115"/>
      <c r="D69" s="144"/>
      <c r="E69" s="144"/>
      <c r="F69" s="144"/>
      <c r="G69" s="144"/>
      <c r="H69" s="144"/>
      <c r="I69" s="144"/>
      <c r="J69" s="144"/>
      <c r="K69" s="117"/>
      <c r="L69" s="144" t="s">
        <v>490</v>
      </c>
      <c r="M69" s="144"/>
      <c r="N69" s="144"/>
      <c r="O69" s="144"/>
      <c r="P69" s="144"/>
      <c r="Q69" s="116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2:26" ht="15.6">
      <c r="B70" s="796"/>
      <c r="C70" s="115"/>
      <c r="D70" s="144"/>
      <c r="E70" s="144"/>
      <c r="F70" s="144"/>
      <c r="G70" s="144"/>
      <c r="H70" s="144"/>
      <c r="I70" s="144"/>
      <c r="J70" s="144"/>
      <c r="K70" s="117"/>
      <c r="L70" s="797" t="s">
        <v>368</v>
      </c>
      <c r="M70" s="798" t="s">
        <v>487</v>
      </c>
      <c r="N70" s="742"/>
      <c r="O70" s="798" t="s">
        <v>488</v>
      </c>
      <c r="P70" s="741"/>
      <c r="Q70" s="116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2:26" ht="15.6">
      <c r="B71" s="796"/>
      <c r="C71" s="115"/>
      <c r="D71" s="144"/>
      <c r="E71" s="144"/>
      <c r="F71" s="144"/>
      <c r="G71" s="144"/>
      <c r="H71" s="144"/>
      <c r="I71" s="144"/>
      <c r="J71" s="144"/>
      <c r="K71" s="117"/>
      <c r="L71" s="758"/>
      <c r="M71" s="147" t="s">
        <v>0</v>
      </c>
      <c r="N71" s="147" t="s">
        <v>489</v>
      </c>
      <c r="O71" s="147" t="s">
        <v>0</v>
      </c>
      <c r="P71" s="155" t="s">
        <v>489</v>
      </c>
      <c r="Q71" s="116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2:26" ht="15.6">
      <c r="B72" s="796"/>
      <c r="C72" s="115"/>
      <c r="D72" s="144"/>
      <c r="E72" s="144"/>
      <c r="F72" s="144"/>
      <c r="G72" s="144"/>
      <c r="H72" s="144"/>
      <c r="I72" s="144"/>
      <c r="J72" s="144"/>
      <c r="K72" s="117"/>
      <c r="L72" s="156" t="s">
        <v>454</v>
      </c>
      <c r="M72" s="157">
        <v>1</v>
      </c>
      <c r="N72" s="157">
        <v>1</v>
      </c>
      <c r="O72" s="157">
        <v>2</v>
      </c>
      <c r="P72" s="146">
        <v>0</v>
      </c>
      <c r="Q72" s="116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2:26" ht="15.6">
      <c r="B73" s="796"/>
      <c r="C73" s="115"/>
      <c r="D73" s="144"/>
      <c r="E73" s="144"/>
      <c r="F73" s="144"/>
      <c r="G73" s="144"/>
      <c r="H73" s="144"/>
      <c r="I73" s="144"/>
      <c r="J73" s="144"/>
      <c r="K73" s="117"/>
      <c r="L73" s="156" t="s">
        <v>458</v>
      </c>
      <c r="M73" s="157">
        <v>2</v>
      </c>
      <c r="N73" s="157">
        <v>2</v>
      </c>
      <c r="O73" s="157">
        <v>0</v>
      </c>
      <c r="P73" s="146">
        <v>4</v>
      </c>
      <c r="Q73" s="116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2:26" ht="15.6">
      <c r="B74" s="796"/>
      <c r="C74" s="115"/>
      <c r="D74" s="144"/>
      <c r="E74" s="144"/>
      <c r="F74" s="144"/>
      <c r="G74" s="144"/>
      <c r="H74" s="144"/>
      <c r="I74" s="144"/>
      <c r="J74" s="144"/>
      <c r="K74" s="117"/>
      <c r="L74" s="799" t="s">
        <v>491</v>
      </c>
      <c r="M74" s="792" t="s">
        <v>492</v>
      </c>
      <c r="N74" s="792" t="s">
        <v>492</v>
      </c>
      <c r="O74" s="158">
        <v>8</v>
      </c>
      <c r="P74" s="159">
        <v>0</v>
      </c>
      <c r="Q74" s="116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2:26" ht="15.6">
      <c r="B75" s="796"/>
      <c r="C75" s="115"/>
      <c r="D75" s="144"/>
      <c r="E75" s="144"/>
      <c r="F75" s="144"/>
      <c r="G75" s="144"/>
      <c r="H75" s="144"/>
      <c r="I75" s="144"/>
      <c r="J75" s="144"/>
      <c r="K75" s="117"/>
      <c r="L75" s="800"/>
      <c r="M75" s="768"/>
      <c r="N75" s="768"/>
      <c r="O75" s="158">
        <v>4</v>
      </c>
      <c r="P75" s="159">
        <v>4</v>
      </c>
      <c r="Q75" s="116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2:26" ht="33.75" customHeight="1">
      <c r="B76" s="796"/>
      <c r="C76" s="115"/>
      <c r="D76" s="144"/>
      <c r="E76" s="144"/>
      <c r="F76" s="144"/>
      <c r="G76" s="144"/>
      <c r="H76" s="144"/>
      <c r="I76" s="144"/>
      <c r="J76" s="144"/>
      <c r="K76" s="117"/>
      <c r="L76" s="793" t="s">
        <v>493</v>
      </c>
      <c r="M76" s="778"/>
      <c r="N76" s="778"/>
      <c r="O76" s="778"/>
      <c r="P76" s="778"/>
      <c r="Q76" s="116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2:26" ht="5.25" customHeight="1">
      <c r="B77" s="796"/>
      <c r="C77" s="160"/>
      <c r="D77" s="161"/>
      <c r="E77" s="161"/>
      <c r="F77" s="161"/>
      <c r="G77" s="161"/>
      <c r="H77" s="161"/>
      <c r="I77" s="161"/>
      <c r="J77" s="161"/>
      <c r="K77" s="162"/>
      <c r="L77" s="161"/>
      <c r="M77" s="161"/>
      <c r="N77" s="161"/>
      <c r="O77" s="161"/>
      <c r="P77" s="161"/>
      <c r="Q77" s="163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2:26" ht="5.25" customHeight="1">
      <c r="B78" s="794" t="s">
        <v>494</v>
      </c>
      <c r="C78" s="164"/>
      <c r="D78" s="165"/>
      <c r="E78" s="165"/>
      <c r="F78" s="165"/>
      <c r="G78" s="165"/>
      <c r="H78" s="165"/>
      <c r="I78" s="165"/>
      <c r="J78" s="165"/>
      <c r="K78" s="166"/>
      <c r="L78" s="165"/>
      <c r="M78" s="165"/>
      <c r="N78" s="165"/>
      <c r="O78" s="165"/>
      <c r="P78" s="165"/>
      <c r="Q78" s="167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2:26" ht="15.6">
      <c r="B79" s="753"/>
      <c r="C79" s="115"/>
      <c r="D79" s="144" t="s">
        <v>495</v>
      </c>
      <c r="E79" s="144"/>
      <c r="F79" s="144"/>
      <c r="G79" s="144"/>
      <c r="H79" s="144"/>
      <c r="I79" s="144"/>
      <c r="J79" s="144"/>
      <c r="K79" s="117"/>
      <c r="L79" s="144" t="s">
        <v>496</v>
      </c>
      <c r="M79" s="144"/>
      <c r="N79" s="144"/>
      <c r="O79" s="144"/>
      <c r="P79" s="144"/>
      <c r="Q79" s="116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2:26" ht="15.6">
      <c r="B80" s="753"/>
      <c r="C80" s="115"/>
      <c r="D80" s="144"/>
      <c r="E80" s="144"/>
      <c r="F80" s="144"/>
      <c r="G80" s="144"/>
      <c r="H80" s="144"/>
      <c r="I80" s="144"/>
      <c r="J80" s="144"/>
      <c r="K80" s="117"/>
      <c r="L80" s="144" t="s">
        <v>497</v>
      </c>
      <c r="M80" s="144"/>
      <c r="N80" s="144"/>
      <c r="O80" s="144"/>
      <c r="P80" s="144"/>
      <c r="Q80" s="116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2:26" ht="5.25" customHeight="1" thickBot="1">
      <c r="B81" s="754"/>
      <c r="C81" s="118"/>
      <c r="D81" s="119"/>
      <c r="E81" s="119"/>
      <c r="F81" s="119"/>
      <c r="G81" s="119"/>
      <c r="H81" s="119"/>
      <c r="I81" s="119"/>
      <c r="J81" s="119"/>
      <c r="K81" s="121"/>
      <c r="L81" s="119"/>
      <c r="M81" s="119"/>
      <c r="N81" s="119"/>
      <c r="O81" s="119"/>
      <c r="P81" s="119"/>
      <c r="Q81" s="120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2:26" ht="4.5" customHeight="1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2:26" ht="15.6" hidden="1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2:26" ht="15.6" hidden="1"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2:26" ht="15.6" hidden="1"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2:26" ht="15.6" hidden="1"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2:26" ht="15.6" hidden="1"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2:26" ht="15.6" hidden="1"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2:26" ht="15.6" hidden="1"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2:26" ht="15.6" hidden="1"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2:26" ht="15.6" hidden="1"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2:26" ht="15.6" hidden="1"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2:26" ht="15.6" hidden="1"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2:26" ht="15.6" hidden="1"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2:26" ht="15.6" hidden="1"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2:26" ht="15.6" hidden="1"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2:26" ht="15.6" hidden="1"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2:26" ht="15.6" hidden="1"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2:26" ht="15.6" hidden="1"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2:26" ht="15.6" hidden="1"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2:26" ht="15.6" hidden="1"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2:26" ht="15.6" hidden="1"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2:26" ht="15.6" hidden="1"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2:26" ht="15.6" hidden="1"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2:26" ht="15.6" hidden="1"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2:26" ht="15.6" hidden="1"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2:26" ht="15.6" hidden="1"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2:26" ht="15.6" hidden="1"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2:26" ht="15.6" hidden="1"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2:26" ht="15.6" hidden="1"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2:26" ht="15.6" hidden="1"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2:26" ht="15.6" hidden="1"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2:26" ht="15.6" hidden="1"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2:26" ht="15.6" hidden="1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2:26" ht="15.6" hidden="1"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2:26" ht="15.6" hidden="1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2:26" ht="15.6" hidden="1"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2:26" ht="15.6" hidden="1"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2:26" ht="15.6" hidden="1"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2:26" ht="15.6" hidden="1"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2:26" ht="15.6" hidden="1"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2:26" ht="15.6" hidden="1"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2:26" ht="15.6" hidden="1"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2:26" ht="15.6" hidden="1"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2:26" ht="15.6" hidden="1"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2:26" ht="15.6" hidden="1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2:26" ht="15.6" hidden="1"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2:26" ht="15.6" hidden="1"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2:26" ht="15.6" hidden="1"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2:26" ht="15.6" hidden="1"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2:26" ht="15.6" hidden="1"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2:26" ht="15.6" hidden="1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2:26" ht="15.6" hidden="1"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2:26" ht="15.6" hidden="1"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2:26" ht="15.6" hidden="1"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2:26" ht="15.6" hidden="1"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2:26" ht="15.6" hidden="1"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2:26" ht="15.6" hidden="1"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2:26" ht="15.6" hidden="1"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2:26" ht="15.6" hidden="1"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2:26" ht="15.6" hidden="1"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2:26" ht="15.6" hidden="1"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2:26" ht="15.6" hidden="1"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2:26" ht="15.6" hidden="1"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2:26" ht="15.6" hidden="1"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2:26" ht="15.6" hidden="1"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2:26" ht="15.6" hidden="1"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2:26" ht="15.6" hidden="1"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2:26" ht="15.6" hidden="1"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2:26" ht="15.6" hidden="1"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2:26" ht="15.6" hidden="1"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2:26" ht="15.6" hidden="1"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2:26" ht="15.6" hidden="1"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2:26" ht="15.6" hidden="1"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2:26" ht="15.6" hidden="1"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2:26" ht="15.6" hidden="1"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2:26" ht="15.6" hidden="1"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2:26" ht="15.6" hidden="1"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2:26" ht="15.6" hidden="1"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2:26" ht="15.6" hidden="1"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2:26" ht="15.6" hidden="1"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2:26" ht="15.6" hidden="1"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2:26" ht="15.6" hidden="1"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2:26" ht="15.6" hidden="1"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2:26" ht="15.6" hidden="1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2:26" ht="15.6" hidden="1"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2:26" ht="15.6" hidden="1"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2:26" ht="15.6" hidden="1"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2:26" ht="15.6" hidden="1"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2:26" ht="15.6" hidden="1"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2:26" ht="15.6" hidden="1"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2:26" ht="15.6" hidden="1"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2:26" ht="15.6" hidden="1"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2:26" ht="15.6" hidden="1"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2:26" ht="15.6" hidden="1"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2:26" ht="15.6" hidden="1"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2:26" ht="15.6" hidden="1"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2:26" ht="15.6" hidden="1"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2:26" ht="15.6" hidden="1"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2:26" ht="15.6" hidden="1"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2:26" ht="15.6" hidden="1"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2:26" ht="15.6" hidden="1"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2:26" ht="15.6" hidden="1"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2:26" ht="15.6" hidden="1"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2:26" ht="15.6" hidden="1"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2:26" ht="15.6" hidden="1"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2:26" ht="15.6" hidden="1"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2:26" ht="15.6" hidden="1"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2:26" ht="15.6" hidden="1"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2:26" ht="15.6" hidden="1"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2:26" ht="15.6" hidden="1"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2:26" ht="15.6" hidden="1"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2:26" ht="15.6" hidden="1"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2:26" ht="15.6" hidden="1"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2:26" ht="15.6" hidden="1"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2:26" ht="15.6" hidden="1"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2:26" ht="15.6" hidden="1"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2:26" ht="15.6" hidden="1"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2:26" ht="15.6" hidden="1"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2:26" ht="15.6" hidden="1"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2:26" ht="15.6" hidden="1"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2:26" ht="15.6" hidden="1"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2:26" ht="15.6" hidden="1"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2:26" ht="15.6" hidden="1"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2:26" ht="15.6" hidden="1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2:26" ht="15.6" hidden="1"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2:26" ht="15.6" hidden="1"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2:26" ht="15.6" hidden="1"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2:26" ht="15.6" hidden="1"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2:26" ht="15.6" hidden="1"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2:26" ht="15.6" hidden="1"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2:26" ht="15.6" hidden="1"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2:26" ht="15.6" hidden="1"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2:26" ht="15.6" hidden="1"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2:26" ht="15.6" hidden="1"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2:26" ht="15.6" hidden="1"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2:26" ht="15.6" hidden="1"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2:26" ht="15.6" hidden="1"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2:26" ht="15.6" hidden="1"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2:26" ht="15.6" hidden="1"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2:26" ht="15.6" hidden="1"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2:26" ht="15.6" hidden="1"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2:26" ht="15.6" hidden="1"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2:26" ht="15.6" hidden="1"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2:26" ht="15.6" hidden="1"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2:26" ht="15.6" hidden="1"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2:26" ht="15.6" hidden="1"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2:26" ht="15.6" hidden="1"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2:26" ht="15.6" hidden="1"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2:26" ht="15.6" hidden="1"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2:26" ht="15.6" hidden="1"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2:26" ht="15.6" hidden="1"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2:26" ht="15.6" hidden="1"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2:26" ht="15.6" hidden="1"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2:26" ht="15.6" hidden="1"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2:26" ht="15.6" hidden="1"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2:26" ht="15.6" hidden="1"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2:26" ht="15.6" hidden="1"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2:26" ht="15.6" hidden="1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2:26" ht="15.6" hidden="1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2:26" ht="15.6" hidden="1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2:26" ht="15.6" hidden="1"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2:26" ht="15.6" hidden="1"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2:26" ht="15.6" hidden="1"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2:26" ht="15.6" hidden="1"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2:26" ht="15.6" hidden="1"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2:26" ht="15.6" hidden="1"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2:26" ht="15.6" hidden="1"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2:26" ht="15.6" hidden="1"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2:26" ht="15.6" hidden="1"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2:26" ht="15.6" hidden="1"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2:26" ht="15.6" hidden="1"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2:26" ht="15.6" hidden="1"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2:26" ht="15.6" hidden="1"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2:26" ht="15.6" hidden="1"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2:26" ht="15.6" hidden="1"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2:26" ht="15.6" hidden="1"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2:26" ht="15.6" hidden="1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2:26" ht="15.6" hidden="1"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2:26" ht="15.6" hidden="1"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2:26" ht="15.6" hidden="1"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2:26" ht="15.6" hidden="1"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2:26" ht="15.6" hidden="1"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2:26" ht="15.6" hidden="1"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2:26" ht="15.6" hidden="1"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2:26" ht="15.6" hidden="1"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2:26" ht="15.6" hidden="1"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2:26" ht="15.6" hidden="1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2:26" ht="15.6" hidden="1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2:26" ht="15.6" hidden="1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2:26" ht="15.6" hidden="1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2:26" ht="15.6" hidden="1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2:26" ht="15.6" hidden="1"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2:26" ht="15.6" hidden="1"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2:26" ht="15.6" hidden="1"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2:26" ht="15.6" hidden="1"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2:26" ht="15.6" hidden="1"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2:26" ht="15.6" hidden="1"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2:26" ht="15.6" hidden="1"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2:26" ht="15.6" hidden="1"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2:26" ht="15.6" hidden="1"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2:26" ht="15.6" hidden="1"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2:26" ht="15.6" hidden="1"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2:26" ht="15.6" hidden="1"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2:26" ht="15.6" hidden="1"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2:26" ht="15.6" hidden="1"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2:26" ht="15.6" hidden="1"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2:26" ht="15.6" hidden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2:26" ht="15.6" hidden="1"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2:26" ht="15.6" hidden="1"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2:26" ht="15.6" hidden="1"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2:26" ht="15.6" hidden="1"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2:26" ht="15.6" hidden="1"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2:26" ht="15.6" hidden="1"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2:26" ht="15.6" hidden="1"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2:26" ht="15.6" hidden="1"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2:26" ht="15.6" hidden="1"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2:26" ht="15.6" hidden="1"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2:26" ht="15.6" hidden="1"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2:26" ht="15.6" hidden="1"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2:26" ht="15.6" hidden="1"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2:26" ht="15.6" hidden="1"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2:26" ht="15.6" hidden="1"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2:26" ht="15.6" hidden="1"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2:26" ht="15.6" hidden="1"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2:26" ht="15.6" hidden="1"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2:26" ht="15.6" hidden="1"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2:26" ht="15.6" hidden="1"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2:26" ht="15.6" hidden="1"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2:26" ht="15.6" hidden="1"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2:26" ht="15.6" hidden="1"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2:26" ht="15.6" hidden="1"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2:26" ht="15.6" hidden="1"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2:26" ht="15.6" hidden="1"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2:26" ht="15.6" hidden="1"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2:26" ht="15.6" hidden="1"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2:26" ht="15.6" hidden="1"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2:26" ht="15.6" hidden="1"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2:26" ht="15.6" hidden="1"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2:26" ht="15.6" hidden="1"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2:26" ht="15.6" hidden="1"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2:26" ht="15.6" hidden="1"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2:26" ht="15.6" hidden="1"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2:26" ht="15.6" hidden="1"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2:26" ht="15.6" hidden="1"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2:26" ht="15.6" hidden="1"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2:26" ht="15.6" hidden="1"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2:26" ht="15.6" hidden="1"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2:26" ht="15.6" hidden="1"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2:26" ht="15.6" hidden="1"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2:26" ht="15.6" hidden="1"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2:26" ht="15.6" hidden="1"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2:26" ht="15.6" hidden="1"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2:26" ht="15.6" hidden="1"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2:26" ht="15.6" hidden="1"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2:26" ht="15.6" hidden="1"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2:26" ht="15.6" hidden="1"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2:26" ht="15.6" hidden="1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2:26" ht="15.6" hidden="1"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2:26" ht="15.6" hidden="1"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2:26" ht="15.6" hidden="1"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2:26" ht="15.6" hidden="1"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2:26" ht="15.6" hidden="1"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2:26" ht="15.6" hidden="1"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2:26" ht="15.6" hidden="1"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2:26" ht="15.6" hidden="1"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2:26" ht="15.6" hidden="1"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2:26" ht="15.6" hidden="1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2:26" ht="15.6" hidden="1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2:26" ht="15.6" hidden="1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2:26" ht="15.6" hidden="1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2:26" ht="15.6" hidden="1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2:26" ht="15.6" hidden="1"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2:26" ht="15.6" hidden="1"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2:26" ht="15.6" hidden="1"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2:26" ht="15.6" hidden="1"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2:26" ht="15.6" hidden="1"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2:26" ht="15.6" hidden="1"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2:26" ht="15.6" hidden="1"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2:26" ht="15.6" hidden="1"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2:26" ht="15.6" hidden="1"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2:26" ht="15.6" hidden="1"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2:26" ht="15.6" hidden="1"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2:26" ht="15.6" hidden="1"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2:26" ht="15.6" hidden="1"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2:26" ht="15.6" hidden="1"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2:26" ht="15.6" hidden="1"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2:26" ht="15.6" hidden="1"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2:26" ht="15.6" hidden="1"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2:26" ht="15.6" hidden="1"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2:26" ht="15.6" hidden="1"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2:26" ht="15.6" hidden="1"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2:26" ht="15.6" hidden="1"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2:26" ht="15.6" hidden="1"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2:26" ht="15.6" hidden="1"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2:26" ht="15.6" hidden="1"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2:26" ht="15.6" hidden="1"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2:26" ht="15.6" hidden="1"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2:26" ht="15.6" hidden="1"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2:26" ht="15.6" hidden="1"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2:26" ht="15.6" hidden="1"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2:26" ht="15.6" hidden="1"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2:26" ht="15.6" hidden="1"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2:26" ht="15.6" hidden="1"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2:26" ht="15.6" hidden="1"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2:26" ht="15.6" hidden="1"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2:26" ht="15.6" hidden="1"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2:26" ht="15.6" hidden="1"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2:26" ht="15.6" hidden="1"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2:26" ht="15.6" hidden="1"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2:26" ht="15.6" hidden="1"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2:26" ht="15.6" hidden="1"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2:26" ht="15.6" hidden="1"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2:26" ht="15.6" hidden="1"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2:26" ht="15.6" hidden="1"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2:26" ht="15.6" hidden="1"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2:26" ht="15.6" hidden="1"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2:26" ht="15.6" hidden="1"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2:26" ht="15.6" hidden="1"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2:26" ht="15.6" hidden="1"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2:26" ht="15.6" hidden="1"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2:26" ht="15.6" hidden="1"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2:26" ht="15.6" hidden="1"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2:26" ht="15.6" hidden="1"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2:26" ht="15.6" hidden="1"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2:26" ht="15.6" hidden="1"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2:26" ht="15.6" hidden="1"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2:26" ht="15.6" hidden="1"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2:26" ht="15.6" hidden="1"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2:26" ht="15.6" hidden="1"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2:26" ht="15.6" hidden="1"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2:26" ht="15.6" hidden="1"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2:26" ht="15.6" hidden="1"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2:26" ht="15.6" hidden="1"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2:26" ht="15.6" hidden="1"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2:26" ht="15.6" hidden="1"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2:26" ht="15.6" hidden="1"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2:26" ht="15.6" hidden="1"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2:26" ht="15.6" hidden="1"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2:26" ht="15.6" hidden="1"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2:26" ht="15.6" hidden="1"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2:26" ht="15.6" hidden="1"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2:26" ht="15.6" hidden="1"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2:26" ht="15.6" hidden="1"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2:26" ht="15.6" hidden="1"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2:26" ht="15.6" hidden="1"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2:26" ht="15.6" hidden="1"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2:26" ht="15.6" hidden="1"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2:26" ht="15.6" hidden="1"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2:26" ht="15.6" hidden="1"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2:26" ht="15.6" hidden="1"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2:26" ht="15.6" hidden="1"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2:26" ht="15.6" hidden="1"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2:26" ht="15.6" hidden="1"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2:26" ht="15.6" hidden="1"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2:26" ht="15.6" hidden="1"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2:26" ht="15.6" hidden="1"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2:26" ht="15.6" hidden="1"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2:26" ht="15.6" hidden="1"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2:26" ht="15.6" hidden="1"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2:26" ht="15.6" hidden="1"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2:26" ht="15.6" hidden="1"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2:26" ht="15.6" hidden="1"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2:26" ht="15.6" hidden="1"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2:26" ht="15.6" hidden="1"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2:26" ht="15.6" hidden="1"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2:26" ht="15.6" hidden="1"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2:26" ht="15.6" hidden="1"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2:26" ht="15.6" hidden="1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2:26" ht="15.6" hidden="1"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2:26" ht="15.6" hidden="1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2:26" ht="15.6" hidden="1"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2:26" ht="15.6" hidden="1"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2:26" ht="15.6" hidden="1"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2:26" ht="15.6" hidden="1"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2:26" ht="15.6" hidden="1"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2:26" ht="15.6" hidden="1"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2:26" ht="15.6" hidden="1"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2:26" ht="15.6" hidden="1"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2:26" ht="15.6" hidden="1"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2:26" ht="15.6" hidden="1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2:26" ht="15.6" hidden="1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2:26" ht="15.6" hidden="1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2:26" ht="15.6" hidden="1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2:26" ht="15.6" hidden="1"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2:26" ht="15.6" hidden="1"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2:26" ht="15.6" hidden="1"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2:26" ht="15.6" hidden="1"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2:26" ht="15.6" hidden="1"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2:26" ht="15.6" hidden="1"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2:26" ht="15.6" hidden="1"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2:26" ht="15.6" hidden="1"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2:26" ht="15.6" hidden="1"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2:26" ht="15.6" hidden="1"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2:26" ht="15.6" hidden="1"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2:26" ht="15.6" hidden="1"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2:26" ht="15.6" hidden="1"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2:26" ht="15.6" hidden="1"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2:26" ht="15.6" hidden="1"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2:26" ht="15.6" hidden="1"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2:26" ht="15.6" hidden="1"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2:26" ht="15.6" hidden="1"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2:26" ht="15.6" hidden="1"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2:26" ht="15.6" hidden="1"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2:26" ht="15.6" hidden="1"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2:26" ht="15.6" hidden="1"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2:26" ht="15.6" hidden="1"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2:26" ht="15.6" hidden="1"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2:26" ht="15.6" hidden="1"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2:26" ht="15.6" hidden="1"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2:26" ht="15.6" hidden="1"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2:26" ht="15.6" hidden="1"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2:26" ht="15.6" hidden="1"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2:26" ht="15.6" hidden="1"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2:26" ht="15.6" hidden="1"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2:26" ht="15.6" hidden="1"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2:26" ht="15.6" hidden="1"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2:26" ht="15.6" hidden="1"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2:26" ht="15.6" hidden="1"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2:26" ht="15.6" hidden="1"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2:26" ht="15.6" hidden="1"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2:26" ht="15.6" hidden="1"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2:26" ht="15.6" hidden="1"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2:26" ht="15.6" hidden="1"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2:26" ht="15.6" hidden="1"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2:26" ht="15.6" hidden="1"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2:26" ht="15.6" hidden="1"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2:26" ht="15.6" hidden="1"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2:26" ht="15.6" hidden="1"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2:26" ht="15.6" hidden="1"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2:26" ht="15.6" hidden="1"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2:26" ht="15.6" hidden="1"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2:26" ht="15.6" hidden="1"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2:26" ht="15.6" hidden="1"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2:26" ht="15.6" hidden="1"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2:26" ht="15.6" hidden="1"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2:26" ht="15.6" hidden="1"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2:26" ht="15.6" hidden="1"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2:26" ht="15.6" hidden="1"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2:26" ht="15.6" hidden="1"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2:26" ht="15.6" hidden="1"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2:26" ht="15.6" hidden="1"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2:26" ht="15.6" hidden="1"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2:26" ht="15.6" hidden="1"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2:26" ht="15.6" hidden="1"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2:26" ht="15.6" hidden="1"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2:26" ht="15.6" hidden="1"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2:26" ht="15.6" hidden="1"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2:26" ht="15.6" hidden="1"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2:26" ht="15.6" hidden="1"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2:26" ht="15.6" hidden="1"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2:26" ht="15.6" hidden="1"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2:26" ht="15.6" hidden="1"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2:26" ht="15.6" hidden="1"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2:26" ht="15.6" hidden="1"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2:26" ht="15.6" hidden="1"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2:26" ht="15.6" hidden="1"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2:26" ht="15.6" hidden="1"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2:26" ht="15.6" hidden="1"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2:26" ht="15.6" hidden="1"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2:26" ht="15.6" hidden="1"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2:26" ht="15.6" hidden="1"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2:26" ht="15.6" hidden="1"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2:26" ht="15.6" hidden="1"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2:26" ht="15.6" hidden="1"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2:26" ht="15.6" hidden="1"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2:26" ht="15.6" hidden="1"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2:26" ht="15.6" hidden="1"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2:26" ht="15.6" hidden="1"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2:26" ht="15.6" hidden="1"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2:26" ht="15.6" hidden="1"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2:26" ht="15.6" hidden="1"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2:26" ht="15.6" hidden="1"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2:26" ht="15.6" hidden="1"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2:26" ht="15.6" hidden="1"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2:26" ht="15.6" hidden="1"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2:26" ht="15.6" hidden="1"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2:26" ht="15.6" hidden="1"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2:26" ht="15.6" hidden="1"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2:26" ht="15.6" hidden="1"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2:26" ht="15.6" hidden="1"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2:26" ht="15.6" hidden="1"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2:26" ht="15.6" hidden="1"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2:26" ht="15.6" hidden="1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2:26" ht="15.6" hidden="1"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2:26" ht="15.6" hidden="1"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2:26" ht="15.6" hidden="1"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2:26" ht="15.6" hidden="1"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2:26" ht="15.6" hidden="1"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2:26" ht="15.6" hidden="1"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2:26" ht="15.6" hidden="1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2:26" ht="15.6" hidden="1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2:26" ht="15.6" hidden="1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2:26" ht="15.6" hidden="1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2:26" ht="15.6" hidden="1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2:26" ht="15.6" hidden="1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2:26" ht="15.6" hidden="1"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2:26" ht="15.6" hidden="1"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2:26" ht="15.6" hidden="1"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2:26" ht="15.6" hidden="1"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2:26" ht="15.6" hidden="1"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2:26" ht="15.6" hidden="1"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2:26" ht="15.6" hidden="1"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2:26" ht="15.6" hidden="1"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2:26" ht="15.6" hidden="1"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2:26" ht="15.6" hidden="1"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2:26" ht="15.6" hidden="1"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2:26" ht="15.6" hidden="1"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2:26" ht="15.6" hidden="1"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2:26" ht="15.6" hidden="1"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2:26" ht="15.6" hidden="1"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2:26" ht="15.6" hidden="1"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2:26" ht="15.6" hidden="1"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2:26" ht="15.6" hidden="1"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2:26" ht="15.6" hidden="1"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2:26" ht="15.6" hidden="1"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2:26" ht="15.6" hidden="1"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2:26" ht="15.6" hidden="1"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2:26" ht="15.6" hidden="1"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2:26" ht="15.6" hidden="1"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2:26" ht="15.6" hidden="1"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2:26" ht="15.6" hidden="1"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2:26" ht="15.6" hidden="1"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2:26" ht="15.6" hidden="1"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2:26" ht="15.6" hidden="1"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2:26" ht="15.6" hidden="1"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2:26" ht="15.6" hidden="1"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2:26" ht="15.6" hidden="1"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2:26" ht="15.6" hidden="1"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2:26" ht="15.6" hidden="1"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2:26" ht="15.6" hidden="1"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2:26" ht="15.6" hidden="1"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2:26" ht="15.6" hidden="1"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2:26" ht="15.6" hidden="1"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2:26" ht="15.6" hidden="1"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2:26" ht="15.6" hidden="1"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2:26" ht="15.6" hidden="1"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2:26" ht="15.6" hidden="1"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2:26" ht="15.6" hidden="1"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2:26" ht="15.6" hidden="1"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2:26" ht="15.6" hidden="1"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2:26" ht="15.6" hidden="1"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2:26" ht="15.6" hidden="1"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2:26" ht="15.6" hidden="1"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2:26" ht="15.6" hidden="1"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2:26" ht="15.6" hidden="1"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2:26" ht="15.6" hidden="1"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2:26" ht="15.6" hidden="1"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2:26" ht="15.6" hidden="1"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2:26" ht="15.6" hidden="1"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2:26" ht="15.6" hidden="1"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2:26" ht="15.6" hidden="1"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2:26" ht="15.6" hidden="1"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2:26" ht="15.6" hidden="1"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2:26" ht="15.6" hidden="1"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2:26" ht="15.6" hidden="1"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2:26" ht="15.6" hidden="1"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2:26" ht="15.6" hidden="1"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2:26" ht="15.6" hidden="1"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2:26" ht="15.6" hidden="1"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2:26" ht="15.6" hidden="1"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2:26" ht="15.6" hidden="1"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2:26" ht="15.6" hidden="1"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2:26" ht="15.6" hidden="1"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2:26" ht="15.6" hidden="1"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2:26" ht="15.6" hidden="1"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2:26" ht="15.6" hidden="1"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2:26" ht="15.6" hidden="1"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2:26" ht="15.6" hidden="1"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2:26" ht="15.6" hidden="1"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2:26" ht="15.6" hidden="1"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2:26" ht="15.6" hidden="1"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2:26" ht="15.6" hidden="1"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2:26" ht="15.6" hidden="1"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2:26" ht="15.6" hidden="1"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2:26" ht="15.6" hidden="1"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2:26" ht="15.6" hidden="1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2:26" ht="15.6" hidden="1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2:26" ht="15.6" hidden="1"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2:26" ht="15.6" hidden="1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2:26" ht="15.6" hidden="1"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2:26" ht="15.6" hidden="1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2:26" ht="15.6" hidden="1"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2:26" ht="15.6" hidden="1"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2:26" ht="15.6" hidden="1"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2:26" ht="15.6" hidden="1"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2:26" ht="15.6" hidden="1"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2:26" ht="15.6" hidden="1"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2:26" ht="15.6" hidden="1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2:26" ht="15.6" hidden="1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2:26" ht="15.6" hidden="1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2:26" ht="15.6" hidden="1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2:26" ht="15.6" hidden="1"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2:26" ht="15.6" hidden="1"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2:26" ht="15.6" hidden="1"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2:26" ht="15.6" hidden="1"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2:26" ht="15.6" hidden="1"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2:26" ht="15.6" hidden="1"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2:26" ht="15.6" hidden="1"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2:26" ht="15.6" hidden="1"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2:26" ht="15.6" hidden="1"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2:26" ht="15.6" hidden="1"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2:26" ht="15.6" hidden="1"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2:26" ht="15.6" hidden="1"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2:26" ht="15.6" hidden="1"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2:26" ht="15.6" hidden="1"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2:26" ht="15.6" hidden="1"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2:26" ht="15.6" hidden="1"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2:26" ht="15.6" hidden="1"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2:26" ht="15.6" hidden="1"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2:26" ht="15.6" hidden="1"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2:26" ht="15.6" hidden="1"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2:26" ht="15.6" hidden="1"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2:26" ht="15.6" hidden="1"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2:26" ht="15.6" hidden="1"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2:26" ht="15.6" hidden="1"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2:26" ht="15.6" hidden="1"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2:26" ht="15.6" hidden="1"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2:26" ht="15.6" hidden="1"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2:26" ht="15.6" hidden="1"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2:26" ht="15.6" hidden="1"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2:26" ht="15.6" hidden="1"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2:26" ht="15.6" hidden="1"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2:26" ht="15.6" hidden="1"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2:26" ht="15.6" hidden="1"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2:26" ht="15.6" hidden="1"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2:26" ht="15.6" hidden="1"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2:26" ht="15.6" hidden="1"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2:26" ht="15.6" hidden="1"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2:26" ht="15.6" hidden="1"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2:26" ht="15.6" hidden="1"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2:26" ht="15.6" hidden="1"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2:26" ht="15.6" hidden="1"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2:26" ht="15.6" hidden="1"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2:26" ht="15.6" hidden="1"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2:26" ht="15.6" hidden="1"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2:26" ht="15.6" hidden="1"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2:26" ht="15.6" hidden="1"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2:26" ht="15.6" hidden="1"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2:26" ht="15.6" hidden="1"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2:26" ht="15.6" hidden="1"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2:26" ht="15.6" hidden="1"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2:26" ht="15.6" hidden="1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2:26" ht="15.6" hidden="1"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2:26" ht="15.6" hidden="1"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2:26" ht="15.6" hidden="1"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2:26" ht="15.6" hidden="1"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2:26" ht="15.6" hidden="1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2:26" ht="15.6" hidden="1"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2:26" ht="15.6" hidden="1"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2:26" ht="15.6" hidden="1"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2:26" ht="15.6" hidden="1"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2:26" ht="15.6" hidden="1"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2:26" ht="15.6" hidden="1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2:26" ht="15.6" hidden="1"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2:26" ht="15.6" hidden="1"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2:26" ht="15.6" hidden="1"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2:26" ht="15.6" hidden="1"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2:26" ht="15.6" hidden="1"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2:26" ht="15.6" hidden="1"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2:26" ht="15.6" hidden="1"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2:26" ht="15.6" hidden="1"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2:26" ht="15.6" hidden="1"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2:26" ht="15.6" hidden="1"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2:26" ht="15.6" hidden="1"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2:26" ht="15.6" hidden="1"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2:26" ht="15.6" hidden="1"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2:26" ht="15.6" hidden="1"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2:26" ht="15.6" hidden="1"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2:26" ht="15.6" hidden="1"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2:26" ht="15.6" hidden="1"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2:26" ht="15.6" hidden="1"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2:26" ht="15.6" hidden="1"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2:26" ht="15.6" hidden="1"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2:26" ht="15.6" hidden="1"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2:26" ht="15.6" hidden="1"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2:26" ht="15.6" hidden="1"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2:26" ht="15.6" hidden="1"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2:26" ht="15.6" hidden="1"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2:26" ht="15.6" hidden="1"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2:26" ht="15.6" hidden="1"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2:26" ht="15.6" hidden="1"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2:26" ht="15.6" hidden="1"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2:26" ht="15.6" hidden="1"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2:26" ht="15.6" hidden="1"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2:26" ht="15.6" hidden="1"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2:26" ht="15.6" hidden="1"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2:26" ht="15.6" hidden="1"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2:26" ht="15.6" hidden="1"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2:26" ht="15.6" hidden="1"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2:26" ht="15.6" hidden="1"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2:26" ht="15.6" hidden="1"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2:26" ht="15.6" hidden="1"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2:26" ht="15.6" hidden="1"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2:26" ht="15.6" hidden="1"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2:26" ht="15.6" hidden="1"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2:26" ht="15.6" hidden="1"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2:26" ht="15.6" hidden="1"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2:26" ht="15.6" hidden="1"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2:26" ht="15.6" hidden="1"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2:26" ht="15.6" hidden="1"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2:26" ht="15.6" hidden="1"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2:26" ht="15.6" hidden="1"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2:26" ht="15.6" hidden="1"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2:26" ht="15.6" hidden="1"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2:26" ht="15.6" hidden="1"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2:26" ht="15.6" hidden="1"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2:26" ht="15.6" hidden="1"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2:26" ht="15.6" hidden="1"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2:26" ht="15.6" hidden="1"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2:26" ht="15.6" hidden="1"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2:26" ht="15.6" hidden="1"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2:26" ht="15.6" hidden="1"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2:26" ht="15.6" hidden="1"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2:26" ht="15.6" hidden="1"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2:26" ht="15.6" hidden="1"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2:26" ht="15.6" hidden="1"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2:26" ht="15.6" hidden="1"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2:26" ht="15.6" hidden="1"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2:26" ht="15.6" hidden="1"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2:26" ht="15.6" hidden="1"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2:26" ht="15.6" hidden="1"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2:26" ht="15.6" hidden="1"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2:26" ht="15.6" hidden="1"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2:26" ht="15.6" hidden="1"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2:26" ht="15.6" hidden="1"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2:26" ht="15.6" hidden="1"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2:26" ht="15.6" hidden="1"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2:26" ht="15.6" hidden="1"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2:26" ht="15.6" hidden="1"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2:26" ht="15.6" hidden="1"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2:26" ht="15.6" hidden="1"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2:26" ht="15.6" hidden="1"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2:26" ht="15.6" hidden="1"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2:26" ht="15.6" hidden="1"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2:26" ht="15.6" hidden="1"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2:26" ht="15.6" hidden="1"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2:26" ht="15.6" hidden="1"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2:26" ht="15.6" hidden="1"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2:26" ht="15.6" hidden="1"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2:26" ht="15.6" hidden="1"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2:26" ht="15.6" hidden="1"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2:26" ht="15.6" hidden="1"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2:26" ht="15.6" hidden="1"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2:26" ht="15.6" hidden="1"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2:26" ht="15.6" hidden="1"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2:26" ht="15.6" hidden="1"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2:26" ht="15.6" hidden="1"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2:26" ht="15.6" hidden="1"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2:26" ht="15.6" hidden="1"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2:26" ht="15.6" hidden="1"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2:26" ht="15.6" hidden="1"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2:26" ht="15.6" hidden="1"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2:26" ht="15.6" hidden="1"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2:26" ht="15.6" hidden="1"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2:26" ht="15.6" hidden="1"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2:26" ht="15.6" hidden="1"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2:26" ht="15.6" hidden="1"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2:26" ht="15.6" hidden="1"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2:26" ht="15.6" hidden="1"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2:26" ht="15.6" hidden="1"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2:26" ht="15.6" hidden="1"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2:26" ht="15.6" hidden="1"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2:26" ht="15.6" hidden="1"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2:26" ht="15.6" hidden="1"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2:26" ht="15.6" hidden="1"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2:26" ht="15.6" hidden="1"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2:26" ht="15.6" hidden="1"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2:26" ht="15.6" hidden="1"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2:26" ht="15.6" hidden="1"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2:26" ht="15.6" hidden="1"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2:26" ht="15.6" hidden="1"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2:26" ht="15.6" hidden="1"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2:26" ht="15.6" hidden="1"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2:26" ht="15.6" hidden="1"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2:26" ht="15.6" hidden="1"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2:26" ht="15.6" hidden="1"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2:26" ht="15.6" hidden="1"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2:26" ht="15.6" hidden="1"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2:26" ht="15.6" hidden="1"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2:26" ht="15.6" hidden="1"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2:26" ht="15.6" hidden="1"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2:26" ht="15.6" hidden="1"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2:26" ht="15.6" hidden="1"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2:26" ht="15.6" hidden="1"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2:26" ht="15.6" hidden="1"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2:26" ht="15.6" hidden="1"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2:26" ht="15.6" hidden="1"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2:26" ht="15.6" hidden="1"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2:26" ht="15.6" hidden="1"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2:26" ht="15.6" hidden="1"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2:26" ht="15.6" hidden="1"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2:26" ht="15.6" hidden="1"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2:26" ht="15.6" hidden="1"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2:26" ht="15.6" hidden="1"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2:26" ht="15.6" hidden="1"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2:26" ht="15.6" hidden="1"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2:26" ht="15.6" hidden="1"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2:26" ht="15.6" hidden="1"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2:26" ht="15.6" hidden="1"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2:26" ht="15.6" hidden="1"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2:26" ht="15.6" hidden="1"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2:26" ht="15.6" hidden="1"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2:26" ht="15.6" hidden="1"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2:26" ht="15.6" hidden="1"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2:26" ht="15.6" hidden="1"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2:26" ht="15.6" hidden="1"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2:26" ht="15.6" hidden="1"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2:26" ht="15.6" hidden="1"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2:26" ht="15.6" hidden="1"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2:26" ht="15.6" hidden="1"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2:26" ht="15.6" hidden="1"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2:26" ht="15.6" hidden="1"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2:26" ht="15.6" hidden="1"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2:26" ht="15.6" hidden="1"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2:26" ht="15.6" hidden="1"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2:26" ht="15.6" hidden="1"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2:26" ht="15.6" hidden="1"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2:26" ht="15.6" hidden="1"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2:26" ht="15.6" hidden="1"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2:26" ht="15.6" hidden="1"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2:26" ht="15.6" hidden="1"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2:26" ht="15.6" hidden="1"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2:26" ht="15.6" hidden="1"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2:26" ht="15.6" hidden="1"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2:26" ht="15.6" hidden="1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2:26" ht="15.6" hidden="1"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2:26" ht="15.6" hidden="1"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2:26" ht="15.6" hidden="1"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2:26" ht="15.6" hidden="1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2:26" ht="15.6" hidden="1"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2:26" ht="15.6" hidden="1"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2:26" ht="15.6" hidden="1"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2:26" ht="15.6" hidden="1"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2:26" ht="15.6" hidden="1"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2:26" ht="15.6" hidden="1"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2:26" ht="15.6" hidden="1"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2:26" ht="15.6" hidden="1"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2:26" ht="15.6" hidden="1"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2:26" ht="15.6" hidden="1"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2:26" ht="15.6" hidden="1"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2:26" ht="15.6" hidden="1"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2:26" ht="15.6" hidden="1"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2:26" ht="15.6" hidden="1"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2:26" ht="15.6" hidden="1"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2:26" ht="15.6" hidden="1"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2:26" ht="15.6" hidden="1"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2:26" ht="15.6" hidden="1"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2:26" ht="15.6" hidden="1"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2:26" ht="15.6" hidden="1"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2:26" ht="15.6" hidden="1"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2:26" ht="15.6" hidden="1"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2:26" ht="15.6" hidden="1"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2:26" ht="15.6" hidden="1"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2:26" ht="15.6" hidden="1"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2:26" ht="15.6" hidden="1"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2:26" ht="15.6" hidden="1"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2:26" ht="15.6" hidden="1"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2:26" ht="15.6" hidden="1"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2:26" ht="15.6" hidden="1"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2:26" ht="15.6" hidden="1"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2:26" ht="15.6" hidden="1"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2:26" ht="15.6" hidden="1"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2:26" ht="15.6" hidden="1"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2:26" ht="15.6" hidden="1"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2:26" ht="15.6" hidden="1"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2:26" ht="15.6" hidden="1"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2:26" ht="15.6" hidden="1"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2:26" ht="15.6" hidden="1"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2:26" ht="15.6" hidden="1"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2:26" ht="15.6" hidden="1"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2:26" ht="15.6" hidden="1"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2:26" ht="15.6" hidden="1"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2:26" ht="15.6" hidden="1"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2:26" ht="15.6" hidden="1"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2:26" ht="15.6" hidden="1"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2:26" ht="15.6" hidden="1"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2:26" ht="15.6" hidden="1"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2:26" ht="15.6" hidden="1"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2:26" ht="15.6" hidden="1"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2:26" ht="15.6" hidden="1"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2:26" ht="15.6" hidden="1"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2:26" ht="15.6" hidden="1"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2:26" ht="15.6" hidden="1"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2:26" ht="15.6" hidden="1"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2:26" ht="15.6" hidden="1"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2:26" ht="15.6" hidden="1"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2:26" ht="15.6" hidden="1"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2:26" ht="15.6" hidden="1"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2:26" ht="15.6" hidden="1"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2:26" ht="15.6" hidden="1"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2:26" ht="15.6" hidden="1"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2:26" ht="15.6" hidden="1"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2:26" ht="15.6" hidden="1"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2:26" ht="15.6" hidden="1"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2:26" ht="15.6" hidden="1"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2:26" ht="15.6" hidden="1"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2:26" ht="15.6" hidden="1"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2:26" ht="15.6" hidden="1"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2:26" ht="15.6" hidden="1"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2:26" ht="15.6" hidden="1"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2:26" ht="15.6" hidden="1"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2:26" ht="15.6" hidden="1"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2:26" ht="15.6" hidden="1"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2:26" ht="15.6" hidden="1"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2:26" ht="15.6" hidden="1"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2:26" ht="15.6" hidden="1"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2:26" ht="15.6" hidden="1"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2:26" ht="15.6" hidden="1"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2:26" ht="15.6" hidden="1"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2:26" ht="15.6" hidden="1"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2:26" ht="15.6" hidden="1"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2:26" ht="15.6" hidden="1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2:26" ht="15.6" hidden="1"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2:26" ht="15.6" hidden="1"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2:26" ht="15.6" hidden="1"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2:26" ht="15.6" hidden="1"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2:26" ht="15.6" hidden="1"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2:26" ht="15.6" hidden="1"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교육과정편제표(생태경관디자인과)</vt:lpstr>
      <vt:lpstr>교육과정편제표(식품가공과)</vt:lpstr>
      <vt:lpstr>교육과정편제표(산업설비기계과)</vt:lpstr>
      <vt:lpstr>실무과목 능력단위(생태경관디자인과)</vt:lpstr>
      <vt:lpstr>실무과목 능력단위(식품가공과)</vt:lpstr>
      <vt:lpstr>실무과목 능력단위(산업설비기계과)</vt:lpstr>
      <vt:lpstr>삭제금지</vt:lpstr>
      <vt:lpstr>(참고1) 편성 기준🔐</vt:lpstr>
      <vt:lpstr>'교육과정편제표(산업설비기계과)'!Print_Area</vt:lpstr>
      <vt:lpstr>'교육과정편제표(생태경관디자인과)'!Print_Area</vt:lpstr>
      <vt:lpstr>'교육과정편제표(식품가공과)'!Print_Area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2026-10-23T02:37:12Z</dcterms:modified>
</cp:coreProperties>
</file>