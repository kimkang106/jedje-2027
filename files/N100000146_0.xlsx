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학교\2026\★업무_교육과정부장\교육과정 편성·운영\2027학년도 편제(안)\"/>
    </mc:Choice>
  </mc:AlternateContent>
  <xr:revisionPtr revIDLastSave="0" documentId="13_ncr:1_{7765AB28-7131-4D1A-8F3E-12ED19F6EB7B}" xr6:coauthVersionLast="47" xr6:coauthVersionMax="47" xr10:uidLastSave="{00000000-0000-0000-0000-000000000000}"/>
  <bookViews>
    <workbookView xWindow="28680" yWindow="-120" windowWidth="29040" windowHeight="15720" tabRatio="795" xr2:uid="{00000000-000D-0000-FFFF-FFFF00000000}"/>
  </bookViews>
  <sheets>
    <sheet name="교육과정편제표(그린바이오과)" sheetId="20" r:id="rId1"/>
    <sheet name="실무과목 능력단위(그린바이오과)" sheetId="19" r:id="rId2"/>
    <sheet name="교육과정편제표(바이오스마트테크과)" sheetId="17" r:id="rId3"/>
    <sheet name="실무과목 능력단위(바이오스마트테크과)" sheetId="18" r:id="rId4"/>
    <sheet name="교육과정편제표(바이오스마트경영과)" sheetId="8" r:id="rId5"/>
    <sheet name="실무과목 능력단위(바이오스마트경영과)" sheetId="14" r:id="rId6"/>
    <sheet name="삭제금지" sheetId="4" r:id="rId7"/>
    <sheet name="(참고1) 편성 기준🔐" sheetId="16" r:id="rId8"/>
  </sheets>
  <definedNames>
    <definedName name="_xlnm._FilterDatabase" localSheetId="0" hidden="1">'교육과정편제표(그린바이오과)'!$M$3:$P$4</definedName>
    <definedName name="_xlnm._FilterDatabase" localSheetId="4" hidden="1">'교육과정편제표(바이오스마트경영과)'!$M$3:$P$4</definedName>
    <definedName name="_xlnm._FilterDatabase" localSheetId="2" hidden="1">'교육과정편제표(바이오스마트테크과)'!$M$3:$P$4</definedName>
    <definedName name="_xlnm._FilterDatabase" localSheetId="6" hidden="1">삭제금지!$A$1:$F$151</definedName>
    <definedName name="_xlnm._FilterDatabase" localSheetId="1" hidden="1">'실무과목 능력단위(그린바이오과)'!#REF!</definedName>
    <definedName name="_xlnm._FilterDatabase" localSheetId="5" hidden="1">'실무과목 능력단위(바이오스마트경영과)'!#REF!</definedName>
    <definedName name="_xlnm._FilterDatabase" localSheetId="3" hidden="1">'실무과목 능력단위(바이오스마트테크과)'!#REF!</definedName>
    <definedName name="_xlnm.Print_Area" localSheetId="0">'교육과정편제표(그린바이오과)'!$A$1:$AE$71</definedName>
    <definedName name="_xlnm.Print_Area" localSheetId="4">'교육과정편제표(바이오스마트경영과)'!$A$1:$AE$70</definedName>
    <definedName name="_xlnm.Print_Area" localSheetId="2">'교육과정편제표(바이오스마트테크과)'!$A$1:$AE$66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4" i="19" l="1"/>
  <c r="U14" i="19" s="1"/>
  <c r="T14" i="19"/>
  <c r="J11" i="19"/>
  <c r="H11" i="19"/>
  <c r="I27" i="19"/>
  <c r="K27" i="19"/>
  <c r="M27" i="19"/>
  <c r="O27" i="19"/>
  <c r="Q27" i="19"/>
  <c r="S27" i="19"/>
  <c r="S29" i="19" s="1"/>
  <c r="T27" i="19"/>
  <c r="I28" i="19"/>
  <c r="K28" i="19"/>
  <c r="M28" i="19"/>
  <c r="O28" i="19"/>
  <c r="Q28" i="19"/>
  <c r="S28" i="19"/>
  <c r="T28" i="19"/>
  <c r="M29" i="19"/>
  <c r="L29" i="19"/>
  <c r="N29" i="19"/>
  <c r="P29" i="19"/>
  <c r="R29" i="19"/>
  <c r="U27" i="19" l="1"/>
  <c r="T29" i="19"/>
  <c r="C27" i="19" s="1"/>
  <c r="O29" i="19"/>
  <c r="Q29" i="19"/>
  <c r="U28" i="19"/>
  <c r="U29" i="19" l="1"/>
  <c r="R47" i="19" l="1"/>
  <c r="P47" i="19"/>
  <c r="N47" i="19"/>
  <c r="L47" i="19"/>
  <c r="J47" i="19"/>
  <c r="H47" i="19"/>
  <c r="T46" i="19"/>
  <c r="S46" i="19"/>
  <c r="Q46" i="19"/>
  <c r="O46" i="19"/>
  <c r="M46" i="19"/>
  <c r="K46" i="19"/>
  <c r="I46" i="19"/>
  <c r="T45" i="19"/>
  <c r="S45" i="19"/>
  <c r="Q45" i="19"/>
  <c r="O45" i="19"/>
  <c r="M45" i="19"/>
  <c r="K45" i="19"/>
  <c r="I45" i="19"/>
  <c r="T44" i="19"/>
  <c r="S44" i="19"/>
  <c r="Q44" i="19"/>
  <c r="O44" i="19"/>
  <c r="M44" i="19"/>
  <c r="K44" i="19"/>
  <c r="I44" i="19"/>
  <c r="T43" i="19"/>
  <c r="S43" i="19"/>
  <c r="Q43" i="19"/>
  <c r="O43" i="19"/>
  <c r="M43" i="19"/>
  <c r="K43" i="19"/>
  <c r="I43" i="19"/>
  <c r="I9" i="19"/>
  <c r="I11" i="19" s="1"/>
  <c r="K9" i="19"/>
  <c r="K11" i="19" s="1"/>
  <c r="M9" i="19"/>
  <c r="O9" i="19"/>
  <c r="Q9" i="19"/>
  <c r="S9" i="19"/>
  <c r="T9" i="19"/>
  <c r="I10" i="19"/>
  <c r="K10" i="19"/>
  <c r="M10" i="19"/>
  <c r="O10" i="19"/>
  <c r="Q10" i="19"/>
  <c r="S10" i="19"/>
  <c r="T10" i="19"/>
  <c r="I30" i="19"/>
  <c r="K30" i="19"/>
  <c r="M30" i="19"/>
  <c r="O30" i="19"/>
  <c r="Q30" i="19"/>
  <c r="S30" i="19"/>
  <c r="T30" i="19"/>
  <c r="I31" i="19"/>
  <c r="K31" i="19"/>
  <c r="M31" i="19"/>
  <c r="O31" i="19"/>
  <c r="Q31" i="19"/>
  <c r="S31" i="19"/>
  <c r="T31" i="19"/>
  <c r="L32" i="19"/>
  <c r="N32" i="19"/>
  <c r="P32" i="19"/>
  <c r="R32" i="19"/>
  <c r="U43" i="19" l="1"/>
  <c r="K47" i="19"/>
  <c r="U9" i="19"/>
  <c r="O47" i="19"/>
  <c r="M32" i="19"/>
  <c r="U44" i="19"/>
  <c r="T32" i="19"/>
  <c r="C30" i="19" s="1"/>
  <c r="Q47" i="19"/>
  <c r="U10" i="19"/>
  <c r="I47" i="19"/>
  <c r="U46" i="19"/>
  <c r="S47" i="19"/>
  <c r="T47" i="19"/>
  <c r="C43" i="19" s="1"/>
  <c r="M47" i="19"/>
  <c r="U45" i="19"/>
  <c r="U30" i="19"/>
  <c r="S32" i="19"/>
  <c r="U31" i="19"/>
  <c r="Q32" i="19"/>
  <c r="O32" i="19"/>
  <c r="U47" i="19" l="1"/>
  <c r="U32" i="19"/>
  <c r="J49" i="17" l="1"/>
  <c r="C45" i="18"/>
  <c r="C40" i="18"/>
  <c r="C37" i="18"/>
  <c r="C32" i="18"/>
  <c r="C23" i="18"/>
  <c r="C20" i="18"/>
  <c r="C17" i="18"/>
  <c r="C14" i="18"/>
  <c r="C9" i="18"/>
  <c r="T47" i="14" l="1"/>
  <c r="T48" i="14"/>
  <c r="S48" i="14"/>
  <c r="U48" i="14" s="1"/>
  <c r="S47" i="14"/>
  <c r="U47" i="14" s="1"/>
  <c r="J53" i="8"/>
  <c r="S50" i="20"/>
  <c r="K36" i="17"/>
  <c r="T28" i="18"/>
  <c r="T29" i="18"/>
  <c r="S28" i="18"/>
  <c r="U28" i="18" s="1"/>
  <c r="S29" i="18"/>
  <c r="U29" i="18" s="1"/>
  <c r="W16" i="8" l="1"/>
  <c r="W13" i="8"/>
  <c r="W10" i="8"/>
  <c r="W23" i="8" l="1"/>
  <c r="W23" i="17"/>
  <c r="W23" i="20"/>
  <c r="W24" i="8"/>
  <c r="W24" i="20" l="1"/>
  <c r="W16" i="20"/>
  <c r="W13" i="20"/>
  <c r="W10" i="20"/>
  <c r="W24" i="17" l="1"/>
  <c r="W16" i="17"/>
  <c r="W14" i="17"/>
  <c r="W13" i="17"/>
  <c r="W10" i="17"/>
  <c r="W9" i="17"/>
  <c r="J44" i="20"/>
  <c r="I21" i="19" l="1"/>
  <c r="K21" i="19"/>
  <c r="M21" i="19"/>
  <c r="O21" i="19"/>
  <c r="Q21" i="19"/>
  <c r="S21" i="19"/>
  <c r="T21" i="19"/>
  <c r="I22" i="19"/>
  <c r="K22" i="19"/>
  <c r="M22" i="19"/>
  <c r="O22" i="19"/>
  <c r="Q22" i="19"/>
  <c r="S22" i="19"/>
  <c r="T22" i="19"/>
  <c r="J28" i="20"/>
  <c r="J27" i="20"/>
  <c r="J47" i="20"/>
  <c r="J46" i="20"/>
  <c r="W45" i="20"/>
  <c r="J45" i="20"/>
  <c r="W44" i="20"/>
  <c r="W43" i="20"/>
  <c r="J43" i="20"/>
  <c r="J42" i="20"/>
  <c r="W42" i="20"/>
  <c r="J41" i="20"/>
  <c r="J40" i="20"/>
  <c r="J39" i="20"/>
  <c r="J38" i="20"/>
  <c r="J49" i="20"/>
  <c r="J48" i="20"/>
  <c r="J37" i="20"/>
  <c r="J46" i="17"/>
  <c r="J45" i="17"/>
  <c r="J44" i="17"/>
  <c r="J43" i="17"/>
  <c r="J42" i="17"/>
  <c r="J41" i="17"/>
  <c r="J40" i="17"/>
  <c r="J39" i="17"/>
  <c r="J38" i="17"/>
  <c r="J37" i="17"/>
  <c r="J48" i="17"/>
  <c r="J47" i="17"/>
  <c r="W47" i="17"/>
  <c r="J52" i="8"/>
  <c r="J51" i="8"/>
  <c r="J37" i="8"/>
  <c r="U22" i="19" l="1"/>
  <c r="U21" i="19"/>
  <c r="J50" i="20"/>
  <c r="M20" i="14" l="1"/>
  <c r="O20" i="14"/>
  <c r="M21" i="14"/>
  <c r="O21" i="14"/>
  <c r="M53" i="8"/>
  <c r="J50" i="8"/>
  <c r="J49" i="8"/>
  <c r="J48" i="8"/>
  <c r="J47" i="8"/>
  <c r="J46" i="8"/>
  <c r="J45" i="8"/>
  <c r="J44" i="8"/>
  <c r="J43" i="8"/>
  <c r="J42" i="8"/>
  <c r="J41" i="8"/>
  <c r="W41" i="8"/>
  <c r="J40" i="8"/>
  <c r="W40" i="8"/>
  <c r="J39" i="8"/>
  <c r="J38" i="8"/>
  <c r="S58" i="20" l="1"/>
  <c r="O58" i="20"/>
  <c r="K58" i="20"/>
  <c r="W57" i="20"/>
  <c r="W56" i="20"/>
  <c r="AA68" i="20" s="1"/>
  <c r="Y53" i="20"/>
  <c r="W53" i="20"/>
  <c r="Y50" i="20"/>
  <c r="U50" i="20"/>
  <c r="Q50" i="20"/>
  <c r="O50" i="20"/>
  <c r="M50" i="20"/>
  <c r="K50" i="20"/>
  <c r="I50" i="20"/>
  <c r="I52" i="20" s="1"/>
  <c r="H50" i="20"/>
  <c r="W48" i="20"/>
  <c r="W47" i="20"/>
  <c r="W46" i="20"/>
  <c r="W41" i="20"/>
  <c r="W40" i="20"/>
  <c r="W39" i="20"/>
  <c r="W38" i="20"/>
  <c r="W37" i="20"/>
  <c r="Y36" i="20"/>
  <c r="U36" i="20"/>
  <c r="S36" i="20"/>
  <c r="Q36" i="20"/>
  <c r="O36" i="20"/>
  <c r="M36" i="20"/>
  <c r="K36" i="20"/>
  <c r="H36" i="20"/>
  <c r="W33" i="20"/>
  <c r="W29" i="20"/>
  <c r="W28" i="20"/>
  <c r="W27" i="20"/>
  <c r="W26" i="20"/>
  <c r="J26" i="20"/>
  <c r="W25" i="20"/>
  <c r="J25" i="20"/>
  <c r="W22" i="20"/>
  <c r="W21" i="20"/>
  <c r="W20" i="20"/>
  <c r="W19" i="20"/>
  <c r="W18" i="20"/>
  <c r="W17" i="20"/>
  <c r="W15" i="20"/>
  <c r="W14" i="20"/>
  <c r="W12" i="20"/>
  <c r="W11" i="20"/>
  <c r="W9" i="20"/>
  <c r="R42" i="19"/>
  <c r="P42" i="19"/>
  <c r="N42" i="19"/>
  <c r="L42" i="19"/>
  <c r="J42" i="19"/>
  <c r="H42" i="19"/>
  <c r="T41" i="19"/>
  <c r="S41" i="19"/>
  <c r="Q41" i="19"/>
  <c r="O41" i="19"/>
  <c r="M41" i="19"/>
  <c r="K41" i="19"/>
  <c r="I41" i="19"/>
  <c r="T40" i="19"/>
  <c r="S40" i="19"/>
  <c r="Q40" i="19"/>
  <c r="O40" i="19"/>
  <c r="M40" i="19"/>
  <c r="K40" i="19"/>
  <c r="I40" i="19"/>
  <c r="T39" i="19"/>
  <c r="S39" i="19"/>
  <c r="Q39" i="19"/>
  <c r="O39" i="19"/>
  <c r="M39" i="19"/>
  <c r="K39" i="19"/>
  <c r="I39" i="19"/>
  <c r="T38" i="19"/>
  <c r="S38" i="19"/>
  <c r="Q38" i="19"/>
  <c r="O38" i="19"/>
  <c r="M38" i="19"/>
  <c r="K38" i="19"/>
  <c r="I38" i="19"/>
  <c r="R37" i="19"/>
  <c r="P37" i="19"/>
  <c r="N37" i="19"/>
  <c r="L37" i="19"/>
  <c r="J37" i="19"/>
  <c r="H37" i="19"/>
  <c r="T36" i="19"/>
  <c r="S36" i="19"/>
  <c r="Q36" i="19"/>
  <c r="O36" i="19"/>
  <c r="M36" i="19"/>
  <c r="K36" i="19"/>
  <c r="I36" i="19"/>
  <c r="T35" i="19"/>
  <c r="S35" i="19"/>
  <c r="Q35" i="19"/>
  <c r="O35" i="19"/>
  <c r="M35" i="19"/>
  <c r="K35" i="19"/>
  <c r="I35" i="19"/>
  <c r="T34" i="19"/>
  <c r="S34" i="19"/>
  <c r="Q34" i="19"/>
  <c r="O34" i="19"/>
  <c r="M34" i="19"/>
  <c r="K34" i="19"/>
  <c r="I34" i="19"/>
  <c r="T33" i="19"/>
  <c r="S33" i="19"/>
  <c r="Q33" i="19"/>
  <c r="O33" i="19"/>
  <c r="M33" i="19"/>
  <c r="K33" i="19"/>
  <c r="I33" i="19"/>
  <c r="R26" i="19"/>
  <c r="P26" i="19"/>
  <c r="N26" i="19"/>
  <c r="L26" i="19"/>
  <c r="T25" i="19"/>
  <c r="S25" i="19"/>
  <c r="Q25" i="19"/>
  <c r="O25" i="19"/>
  <c r="M25" i="19"/>
  <c r="K25" i="19"/>
  <c r="I25" i="19"/>
  <c r="T24" i="19"/>
  <c r="S24" i="19"/>
  <c r="Q24" i="19"/>
  <c r="O24" i="19"/>
  <c r="M24" i="19"/>
  <c r="K24" i="19"/>
  <c r="I24" i="19"/>
  <c r="R23" i="19"/>
  <c r="P23" i="19"/>
  <c r="N23" i="19"/>
  <c r="L23" i="19"/>
  <c r="J23" i="19"/>
  <c r="H23" i="19"/>
  <c r="T20" i="19"/>
  <c r="S20" i="19"/>
  <c r="Q20" i="19"/>
  <c r="O20" i="19"/>
  <c r="M20" i="19"/>
  <c r="K20" i="19"/>
  <c r="I20" i="19"/>
  <c r="R19" i="19"/>
  <c r="P19" i="19"/>
  <c r="N19" i="19"/>
  <c r="L19" i="19"/>
  <c r="T18" i="19"/>
  <c r="S18" i="19"/>
  <c r="Q18" i="19"/>
  <c r="O18" i="19"/>
  <c r="M18" i="19"/>
  <c r="K18" i="19"/>
  <c r="I18" i="19"/>
  <c r="T17" i="19"/>
  <c r="S17" i="19"/>
  <c r="Q17" i="19"/>
  <c r="O17" i="19"/>
  <c r="M17" i="19"/>
  <c r="K17" i="19"/>
  <c r="I17" i="19"/>
  <c r="R16" i="19"/>
  <c r="P16" i="19"/>
  <c r="N16" i="19"/>
  <c r="L16" i="19"/>
  <c r="J16" i="19"/>
  <c r="H16" i="19"/>
  <c r="T15" i="19"/>
  <c r="S15" i="19"/>
  <c r="Q15" i="19"/>
  <c r="O15" i="19"/>
  <c r="M15" i="19"/>
  <c r="K15" i="19"/>
  <c r="I15" i="19"/>
  <c r="T13" i="19"/>
  <c r="S13" i="19"/>
  <c r="Q13" i="19"/>
  <c r="O13" i="19"/>
  <c r="M13" i="19"/>
  <c r="K13" i="19"/>
  <c r="I13" i="19"/>
  <c r="T12" i="19"/>
  <c r="S12" i="19"/>
  <c r="Q12" i="19"/>
  <c r="O12" i="19"/>
  <c r="M12" i="19"/>
  <c r="K12" i="19"/>
  <c r="I12" i="19"/>
  <c r="R11" i="19"/>
  <c r="P11" i="19"/>
  <c r="N11" i="19"/>
  <c r="L11" i="19"/>
  <c r="R47" i="18"/>
  <c r="P47" i="18"/>
  <c r="N47" i="18"/>
  <c r="L47" i="18"/>
  <c r="T46" i="18"/>
  <c r="S46" i="18"/>
  <c r="Q46" i="18"/>
  <c r="O46" i="18"/>
  <c r="M46" i="18"/>
  <c r="K46" i="18"/>
  <c r="I46" i="18"/>
  <c r="T45" i="18"/>
  <c r="S45" i="18"/>
  <c r="Q45" i="18"/>
  <c r="O45" i="18"/>
  <c r="M45" i="18"/>
  <c r="K45" i="18"/>
  <c r="I45" i="18"/>
  <c r="R44" i="18"/>
  <c r="P44" i="18"/>
  <c r="N44" i="18"/>
  <c r="L44" i="18"/>
  <c r="J44" i="18"/>
  <c r="H44" i="18"/>
  <c r="T43" i="18"/>
  <c r="S43" i="18"/>
  <c r="Q43" i="18"/>
  <c r="O43" i="18"/>
  <c r="M43" i="18"/>
  <c r="K43" i="18"/>
  <c r="I43" i="18"/>
  <c r="T42" i="18"/>
  <c r="S42" i="18"/>
  <c r="Q42" i="18"/>
  <c r="O42" i="18"/>
  <c r="M42" i="18"/>
  <c r="K42" i="18"/>
  <c r="I42" i="18"/>
  <c r="T41" i="18"/>
  <c r="S41" i="18"/>
  <c r="Q41" i="18"/>
  <c r="O41" i="18"/>
  <c r="M41" i="18"/>
  <c r="K41" i="18"/>
  <c r="I41" i="18"/>
  <c r="T40" i="18"/>
  <c r="S40" i="18"/>
  <c r="Q40" i="18"/>
  <c r="O40" i="18"/>
  <c r="M40" i="18"/>
  <c r="K40" i="18"/>
  <c r="I40" i="18"/>
  <c r="R39" i="18"/>
  <c r="P39" i="18"/>
  <c r="N39" i="18"/>
  <c r="L39" i="18"/>
  <c r="T38" i="18"/>
  <c r="S38" i="18"/>
  <c r="Q38" i="18"/>
  <c r="O38" i="18"/>
  <c r="M38" i="18"/>
  <c r="K38" i="18"/>
  <c r="I38" i="18"/>
  <c r="T37" i="18"/>
  <c r="S37" i="18"/>
  <c r="Q37" i="18"/>
  <c r="O37" i="18"/>
  <c r="M37" i="18"/>
  <c r="K37" i="18"/>
  <c r="I37" i="18"/>
  <c r="R36" i="18"/>
  <c r="P36" i="18"/>
  <c r="N36" i="18"/>
  <c r="L36" i="18"/>
  <c r="J36" i="18"/>
  <c r="H36" i="18"/>
  <c r="T35" i="18"/>
  <c r="S35" i="18"/>
  <c r="Q35" i="18"/>
  <c r="O35" i="18"/>
  <c r="M35" i="18"/>
  <c r="K35" i="18"/>
  <c r="I35" i="18"/>
  <c r="T34" i="18"/>
  <c r="S34" i="18"/>
  <c r="Q34" i="18"/>
  <c r="O34" i="18"/>
  <c r="M34" i="18"/>
  <c r="K34" i="18"/>
  <c r="I34" i="18"/>
  <c r="T33" i="18"/>
  <c r="S33" i="18"/>
  <c r="Q33" i="18"/>
  <c r="O33" i="18"/>
  <c r="M33" i="18"/>
  <c r="K33" i="18"/>
  <c r="I33" i="18"/>
  <c r="T32" i="18"/>
  <c r="S32" i="18"/>
  <c r="Q32" i="18"/>
  <c r="O32" i="18"/>
  <c r="M32" i="18"/>
  <c r="K32" i="18"/>
  <c r="I32" i="18"/>
  <c r="R31" i="18"/>
  <c r="P31" i="18"/>
  <c r="N31" i="18"/>
  <c r="L31" i="18"/>
  <c r="J31" i="18"/>
  <c r="H31" i="18"/>
  <c r="T30" i="18"/>
  <c r="S30" i="18"/>
  <c r="Q30" i="18"/>
  <c r="O30" i="18"/>
  <c r="M30" i="18"/>
  <c r="K30" i="18"/>
  <c r="I30" i="18"/>
  <c r="T27" i="18"/>
  <c r="S27" i="18"/>
  <c r="Q27" i="18"/>
  <c r="O27" i="18"/>
  <c r="M27" i="18"/>
  <c r="K27" i="18"/>
  <c r="I27" i="18"/>
  <c r="T26" i="18"/>
  <c r="S26" i="18"/>
  <c r="Q26" i="18"/>
  <c r="O26" i="18"/>
  <c r="M26" i="18"/>
  <c r="K26" i="18"/>
  <c r="I26" i="18"/>
  <c r="T25" i="18"/>
  <c r="S25" i="18"/>
  <c r="Q25" i="18"/>
  <c r="O25" i="18"/>
  <c r="M25" i="18"/>
  <c r="K25" i="18"/>
  <c r="I25" i="18"/>
  <c r="T24" i="18"/>
  <c r="S24" i="18"/>
  <c r="Q24" i="18"/>
  <c r="O24" i="18"/>
  <c r="M24" i="18"/>
  <c r="K24" i="18"/>
  <c r="I24" i="18"/>
  <c r="T23" i="18"/>
  <c r="S23" i="18"/>
  <c r="Q23" i="18"/>
  <c r="O23" i="18"/>
  <c r="M23" i="18"/>
  <c r="K23" i="18"/>
  <c r="I23" i="18"/>
  <c r="R22" i="18"/>
  <c r="P22" i="18"/>
  <c r="N22" i="18"/>
  <c r="L22" i="18"/>
  <c r="T21" i="18"/>
  <c r="S21" i="18"/>
  <c r="Q21" i="18"/>
  <c r="O21" i="18"/>
  <c r="M21" i="18"/>
  <c r="K21" i="18"/>
  <c r="I21" i="18"/>
  <c r="T20" i="18"/>
  <c r="S20" i="18"/>
  <c r="Q20" i="18"/>
  <c r="O20" i="18"/>
  <c r="M20" i="18"/>
  <c r="K20" i="18"/>
  <c r="I20" i="18"/>
  <c r="R19" i="18"/>
  <c r="P19" i="18"/>
  <c r="N19" i="18"/>
  <c r="L19" i="18"/>
  <c r="T18" i="18"/>
  <c r="S18" i="18"/>
  <c r="Q18" i="18"/>
  <c r="O18" i="18"/>
  <c r="M18" i="18"/>
  <c r="K18" i="18"/>
  <c r="I18" i="18"/>
  <c r="T17" i="18"/>
  <c r="S17" i="18"/>
  <c r="Q17" i="18"/>
  <c r="O17" i="18"/>
  <c r="M17" i="18"/>
  <c r="K17" i="18"/>
  <c r="I17" i="18"/>
  <c r="R16" i="18"/>
  <c r="P16" i="18"/>
  <c r="N16" i="18"/>
  <c r="L16" i="18"/>
  <c r="T15" i="18"/>
  <c r="S15" i="18"/>
  <c r="Q15" i="18"/>
  <c r="O15" i="18"/>
  <c r="M15" i="18"/>
  <c r="K15" i="18"/>
  <c r="I15" i="18"/>
  <c r="T14" i="18"/>
  <c r="S14" i="18"/>
  <c r="Q14" i="18"/>
  <c r="O14" i="18"/>
  <c r="M14" i="18"/>
  <c r="K14" i="18"/>
  <c r="I14" i="18"/>
  <c r="R13" i="18"/>
  <c r="P13" i="18"/>
  <c r="N13" i="18"/>
  <c r="L13" i="18"/>
  <c r="J13" i="18"/>
  <c r="H13" i="18"/>
  <c r="T12" i="18"/>
  <c r="S12" i="18"/>
  <c r="Q12" i="18"/>
  <c r="O12" i="18"/>
  <c r="M12" i="18"/>
  <c r="K12" i="18"/>
  <c r="I12" i="18"/>
  <c r="T11" i="18"/>
  <c r="S11" i="18"/>
  <c r="Q11" i="18"/>
  <c r="O11" i="18"/>
  <c r="M11" i="18"/>
  <c r="K11" i="18"/>
  <c r="I11" i="18"/>
  <c r="T10" i="18"/>
  <c r="S10" i="18"/>
  <c r="Q10" i="18"/>
  <c r="O10" i="18"/>
  <c r="M10" i="18"/>
  <c r="K10" i="18"/>
  <c r="I10" i="18"/>
  <c r="T9" i="18"/>
  <c r="S9" i="18"/>
  <c r="Q9" i="18"/>
  <c r="O9" i="18"/>
  <c r="M9" i="18"/>
  <c r="K9" i="18"/>
  <c r="I9" i="18"/>
  <c r="S57" i="17"/>
  <c r="O57" i="17"/>
  <c r="K57" i="17"/>
  <c r="W56" i="17"/>
  <c r="W55" i="17"/>
  <c r="AA63" i="17" s="1"/>
  <c r="Y52" i="17"/>
  <c r="W52" i="17"/>
  <c r="Y49" i="17"/>
  <c r="U49" i="17"/>
  <c r="S49" i="17"/>
  <c r="Q49" i="17"/>
  <c r="O49" i="17"/>
  <c r="M49" i="17"/>
  <c r="K49" i="17"/>
  <c r="I49" i="17"/>
  <c r="I51" i="17" s="1"/>
  <c r="H49" i="17"/>
  <c r="W43" i="17"/>
  <c r="W42" i="17"/>
  <c r="W41" i="17"/>
  <c r="W40" i="17"/>
  <c r="W39" i="17"/>
  <c r="W38" i="17"/>
  <c r="W37" i="17"/>
  <c r="Y36" i="17"/>
  <c r="U36" i="17"/>
  <c r="S36" i="17"/>
  <c r="Q36" i="17"/>
  <c r="O36" i="17"/>
  <c r="M36" i="17"/>
  <c r="H36" i="17"/>
  <c r="W33" i="17"/>
  <c r="W29" i="17"/>
  <c r="W28" i="17"/>
  <c r="W27" i="17"/>
  <c r="W26" i="17"/>
  <c r="J26" i="17"/>
  <c r="W25" i="17"/>
  <c r="J25" i="17"/>
  <c r="W22" i="17"/>
  <c r="W21" i="17"/>
  <c r="W20" i="17"/>
  <c r="W19" i="17"/>
  <c r="W18" i="17"/>
  <c r="W17" i="17"/>
  <c r="W15" i="17"/>
  <c r="W12" i="17"/>
  <c r="W11" i="17"/>
  <c r="H36" i="8"/>
  <c r="W47" i="8"/>
  <c r="K36" i="8"/>
  <c r="S53" i="8"/>
  <c r="U53" i="8"/>
  <c r="X15" i="20" l="1"/>
  <c r="J36" i="17"/>
  <c r="X18" i="17"/>
  <c r="X20" i="17"/>
  <c r="S51" i="17"/>
  <c r="W49" i="17"/>
  <c r="Y52" i="20"/>
  <c r="H52" i="20"/>
  <c r="O39" i="18"/>
  <c r="U40" i="18"/>
  <c r="U37" i="18"/>
  <c r="U23" i="18"/>
  <c r="U21" i="18"/>
  <c r="U41" i="18"/>
  <c r="U24" i="18"/>
  <c r="U33" i="18"/>
  <c r="U26" i="18"/>
  <c r="K31" i="18"/>
  <c r="O36" i="18"/>
  <c r="K36" i="18"/>
  <c r="U10" i="18"/>
  <c r="U42" i="18"/>
  <c r="S13" i="18"/>
  <c r="U12" i="18"/>
  <c r="O19" i="18"/>
  <c r="U30" i="18"/>
  <c r="T13" i="18"/>
  <c r="Q19" i="18"/>
  <c r="Q13" i="18"/>
  <c r="M36" i="18"/>
  <c r="T19" i="18"/>
  <c r="S39" i="18"/>
  <c r="T44" i="18"/>
  <c r="M22" i="18"/>
  <c r="T47" i="18"/>
  <c r="S16" i="18"/>
  <c r="Q39" i="18"/>
  <c r="Q44" i="18"/>
  <c r="Q47" i="18"/>
  <c r="S47" i="18"/>
  <c r="T16" i="18"/>
  <c r="S44" i="18"/>
  <c r="S19" i="18"/>
  <c r="S22" i="18"/>
  <c r="M31" i="18"/>
  <c r="M44" i="18"/>
  <c r="U15" i="18"/>
  <c r="S31" i="18"/>
  <c r="T31" i="18"/>
  <c r="S36" i="18"/>
  <c r="M13" i="18"/>
  <c r="U18" i="18"/>
  <c r="T36" i="18"/>
  <c r="T39" i="18"/>
  <c r="U38" i="18"/>
  <c r="U11" i="18"/>
  <c r="M16" i="18"/>
  <c r="U17" i="18"/>
  <c r="U27" i="18"/>
  <c r="O44" i="18"/>
  <c r="U45" i="18"/>
  <c r="Q22" i="18"/>
  <c r="T22" i="18"/>
  <c r="M39" i="18"/>
  <c r="O47" i="18"/>
  <c r="K13" i="18"/>
  <c r="U20" i="18"/>
  <c r="O22" i="18"/>
  <c r="O13" i="18"/>
  <c r="O31" i="18"/>
  <c r="U34" i="18"/>
  <c r="O16" i="18"/>
  <c r="Q31" i="18"/>
  <c r="Q36" i="18"/>
  <c r="U46" i="18"/>
  <c r="I36" i="18"/>
  <c r="K44" i="18"/>
  <c r="U14" i="18"/>
  <c r="U9" i="18"/>
  <c r="Q16" i="18"/>
  <c r="M19" i="18"/>
  <c r="U25" i="18"/>
  <c r="U43" i="18"/>
  <c r="M47" i="18"/>
  <c r="U33" i="19"/>
  <c r="K16" i="19"/>
  <c r="U12" i="19"/>
  <c r="Q23" i="19"/>
  <c r="Q37" i="19"/>
  <c r="K42" i="19"/>
  <c r="Q11" i="19"/>
  <c r="M26" i="19"/>
  <c r="S11" i="19"/>
  <c r="M11" i="19"/>
  <c r="U41" i="19"/>
  <c r="O37" i="19"/>
  <c r="S16" i="19"/>
  <c r="S23" i="19"/>
  <c r="U36" i="19"/>
  <c r="O19" i="19"/>
  <c r="U35" i="19"/>
  <c r="Q19" i="19"/>
  <c r="U25" i="19"/>
  <c r="K37" i="19"/>
  <c r="I42" i="19"/>
  <c r="Q26" i="19"/>
  <c r="I23" i="19"/>
  <c r="O16" i="19"/>
  <c r="K23" i="19"/>
  <c r="M19" i="19"/>
  <c r="M23" i="19"/>
  <c r="T37" i="19"/>
  <c r="C33" i="19" s="1"/>
  <c r="S26" i="19"/>
  <c r="U39" i="19"/>
  <c r="M37" i="19"/>
  <c r="M42" i="19"/>
  <c r="U17" i="19"/>
  <c r="U20" i="19"/>
  <c r="O42" i="19"/>
  <c r="T16" i="19"/>
  <c r="C12" i="19" s="1"/>
  <c r="T11" i="19"/>
  <c r="C9" i="19" s="1"/>
  <c r="Q16" i="19"/>
  <c r="S19" i="19"/>
  <c r="T19" i="19"/>
  <c r="C17" i="19" s="1"/>
  <c r="Q42" i="19"/>
  <c r="U15" i="19"/>
  <c r="S52" i="20"/>
  <c r="W50" i="20"/>
  <c r="X25" i="20"/>
  <c r="X9" i="20"/>
  <c r="X18" i="20"/>
  <c r="X12" i="20"/>
  <c r="Q52" i="20"/>
  <c r="X20" i="20"/>
  <c r="W36" i="20"/>
  <c r="AA36" i="20" s="1"/>
  <c r="J36" i="20"/>
  <c r="J52" i="20" s="1"/>
  <c r="K52" i="20"/>
  <c r="M52" i="20"/>
  <c r="O52" i="20"/>
  <c r="X22" i="20"/>
  <c r="W58" i="20"/>
  <c r="U51" i="17"/>
  <c r="Y51" i="17"/>
  <c r="J51" i="17"/>
  <c r="X12" i="17"/>
  <c r="X25" i="17"/>
  <c r="X9" i="17"/>
  <c r="H51" i="17"/>
  <c r="W36" i="17"/>
  <c r="AA36" i="17" s="1"/>
  <c r="X15" i="17"/>
  <c r="W57" i="17"/>
  <c r="K51" i="17"/>
  <c r="M51" i="17"/>
  <c r="O51" i="17"/>
  <c r="X22" i="17"/>
  <c r="Q51" i="17"/>
  <c r="S42" i="19"/>
  <c r="T42" i="19"/>
  <c r="C38" i="19" s="1"/>
  <c r="U38" i="19"/>
  <c r="S37" i="19"/>
  <c r="T26" i="19"/>
  <c r="C24" i="19" s="1"/>
  <c r="U24" i="19"/>
  <c r="O26" i="19"/>
  <c r="O23" i="19"/>
  <c r="T23" i="19"/>
  <c r="C20" i="19" s="1"/>
  <c r="M16" i="19"/>
  <c r="O11" i="19"/>
  <c r="U52" i="20"/>
  <c r="Y57" i="20"/>
  <c r="AA70" i="20" s="1"/>
  <c r="U34" i="19"/>
  <c r="U13" i="19"/>
  <c r="I37" i="19"/>
  <c r="I16" i="19"/>
  <c r="U40" i="19"/>
  <c r="U18" i="19"/>
  <c r="U32" i="18"/>
  <c r="U35" i="18"/>
  <c r="I31" i="18"/>
  <c r="I13" i="18"/>
  <c r="I44" i="18"/>
  <c r="Y56" i="17"/>
  <c r="AA65" i="17" s="1"/>
  <c r="K53" i="8"/>
  <c r="Q53" i="8"/>
  <c r="O53" i="8"/>
  <c r="R16" i="14"/>
  <c r="P16" i="14"/>
  <c r="N16" i="14"/>
  <c r="L16" i="14"/>
  <c r="T15" i="14"/>
  <c r="S15" i="14"/>
  <c r="Q15" i="14"/>
  <c r="O15" i="14"/>
  <c r="M15" i="14"/>
  <c r="K15" i="14"/>
  <c r="I15" i="14"/>
  <c r="T14" i="14"/>
  <c r="S14" i="14"/>
  <c r="Q14" i="14"/>
  <c r="O14" i="14"/>
  <c r="M14" i="14"/>
  <c r="K14" i="14"/>
  <c r="I14" i="14"/>
  <c r="R19" i="14"/>
  <c r="P19" i="14"/>
  <c r="N19" i="14"/>
  <c r="L19" i="14"/>
  <c r="T18" i="14"/>
  <c r="S18" i="14"/>
  <c r="Q18" i="14"/>
  <c r="O18" i="14"/>
  <c r="M18" i="14"/>
  <c r="K18" i="14"/>
  <c r="I18" i="14"/>
  <c r="T17" i="14"/>
  <c r="S17" i="14"/>
  <c r="Q17" i="14"/>
  <c r="O17" i="14"/>
  <c r="M17" i="14"/>
  <c r="K17" i="14"/>
  <c r="I17" i="14"/>
  <c r="R24" i="14"/>
  <c r="P24" i="14"/>
  <c r="N24" i="14"/>
  <c r="L24" i="14"/>
  <c r="J24" i="14"/>
  <c r="H24" i="14"/>
  <c r="T23" i="14"/>
  <c r="S23" i="14"/>
  <c r="Q23" i="14"/>
  <c r="O23" i="14"/>
  <c r="M23" i="14"/>
  <c r="K23" i="14"/>
  <c r="I23" i="14"/>
  <c r="T22" i="14"/>
  <c r="S22" i="14"/>
  <c r="Q22" i="14"/>
  <c r="O22" i="14"/>
  <c r="M22" i="14"/>
  <c r="K22" i="14"/>
  <c r="I22" i="14"/>
  <c r="T21" i="14"/>
  <c r="S21" i="14"/>
  <c r="Q21" i="14"/>
  <c r="K21" i="14"/>
  <c r="I21" i="14"/>
  <c r="T20" i="14"/>
  <c r="S20" i="14"/>
  <c r="Q20" i="14"/>
  <c r="K20" i="14"/>
  <c r="I20" i="14"/>
  <c r="R29" i="14"/>
  <c r="P29" i="14"/>
  <c r="N29" i="14"/>
  <c r="L29" i="14"/>
  <c r="J29" i="14"/>
  <c r="H29" i="14"/>
  <c r="T28" i="14"/>
  <c r="S28" i="14"/>
  <c r="Q28" i="14"/>
  <c r="O28" i="14"/>
  <c r="M28" i="14"/>
  <c r="K28" i="14"/>
  <c r="I28" i="14"/>
  <c r="T27" i="14"/>
  <c r="S27" i="14"/>
  <c r="Q27" i="14"/>
  <c r="O27" i="14"/>
  <c r="M27" i="14"/>
  <c r="K27" i="14"/>
  <c r="I27" i="14"/>
  <c r="T26" i="14"/>
  <c r="S26" i="14"/>
  <c r="Q26" i="14"/>
  <c r="O26" i="14"/>
  <c r="M26" i="14"/>
  <c r="K26" i="14"/>
  <c r="I26" i="14"/>
  <c r="T25" i="14"/>
  <c r="S25" i="14"/>
  <c r="Q25" i="14"/>
  <c r="O25" i="14"/>
  <c r="M25" i="14"/>
  <c r="K25" i="14"/>
  <c r="I25" i="14"/>
  <c r="R34" i="14"/>
  <c r="P34" i="14"/>
  <c r="N34" i="14"/>
  <c r="L34" i="14"/>
  <c r="J34" i="14"/>
  <c r="H34" i="14"/>
  <c r="T33" i="14"/>
  <c r="S33" i="14"/>
  <c r="Q33" i="14"/>
  <c r="O33" i="14"/>
  <c r="M33" i="14"/>
  <c r="K33" i="14"/>
  <c r="I33" i="14"/>
  <c r="T32" i="14"/>
  <c r="S32" i="14"/>
  <c r="Q32" i="14"/>
  <c r="O32" i="14"/>
  <c r="M32" i="14"/>
  <c r="K32" i="14"/>
  <c r="I32" i="14"/>
  <c r="T31" i="14"/>
  <c r="S31" i="14"/>
  <c r="Q31" i="14"/>
  <c r="O31" i="14"/>
  <c r="M31" i="14"/>
  <c r="K31" i="14"/>
  <c r="I31" i="14"/>
  <c r="T30" i="14"/>
  <c r="S30" i="14"/>
  <c r="Q30" i="14"/>
  <c r="O30" i="14"/>
  <c r="M30" i="14"/>
  <c r="K30" i="14"/>
  <c r="I30" i="14"/>
  <c r="R39" i="14"/>
  <c r="P39" i="14"/>
  <c r="N39" i="14"/>
  <c r="L39" i="14"/>
  <c r="J39" i="14"/>
  <c r="H39" i="14"/>
  <c r="T38" i="14"/>
  <c r="S38" i="14"/>
  <c r="Q38" i="14"/>
  <c r="O38" i="14"/>
  <c r="M38" i="14"/>
  <c r="K38" i="14"/>
  <c r="I38" i="14"/>
  <c r="T37" i="14"/>
  <c r="S37" i="14"/>
  <c r="Q37" i="14"/>
  <c r="O37" i="14"/>
  <c r="M37" i="14"/>
  <c r="K37" i="14"/>
  <c r="I37" i="14"/>
  <c r="T36" i="14"/>
  <c r="S36" i="14"/>
  <c r="Q36" i="14"/>
  <c r="O36" i="14"/>
  <c r="M36" i="14"/>
  <c r="K36" i="14"/>
  <c r="I36" i="14"/>
  <c r="T35" i="14"/>
  <c r="S35" i="14"/>
  <c r="Q35" i="14"/>
  <c r="O35" i="14"/>
  <c r="M35" i="14"/>
  <c r="K35" i="14"/>
  <c r="I35" i="14"/>
  <c r="R49" i="14"/>
  <c r="P49" i="14"/>
  <c r="N49" i="14"/>
  <c r="L49" i="14"/>
  <c r="T46" i="14"/>
  <c r="S46" i="14"/>
  <c r="Q46" i="14"/>
  <c r="O46" i="14"/>
  <c r="M46" i="14"/>
  <c r="K46" i="14"/>
  <c r="I46" i="14"/>
  <c r="T45" i="14"/>
  <c r="S45" i="14"/>
  <c r="Q45" i="14"/>
  <c r="O45" i="14"/>
  <c r="M45" i="14"/>
  <c r="K45" i="14"/>
  <c r="I45" i="14"/>
  <c r="R44" i="14"/>
  <c r="P44" i="14"/>
  <c r="N44" i="14"/>
  <c r="L44" i="14"/>
  <c r="J44" i="14"/>
  <c r="H44" i="14"/>
  <c r="T43" i="14"/>
  <c r="S43" i="14"/>
  <c r="Q43" i="14"/>
  <c r="O43" i="14"/>
  <c r="M43" i="14"/>
  <c r="K43" i="14"/>
  <c r="I43" i="14"/>
  <c r="T42" i="14"/>
  <c r="S42" i="14"/>
  <c r="Q42" i="14"/>
  <c r="O42" i="14"/>
  <c r="M42" i="14"/>
  <c r="K42" i="14"/>
  <c r="I42" i="14"/>
  <c r="T41" i="14"/>
  <c r="S41" i="14"/>
  <c r="Q41" i="14"/>
  <c r="O41" i="14"/>
  <c r="M41" i="14"/>
  <c r="K41" i="14"/>
  <c r="I41" i="14"/>
  <c r="T40" i="14"/>
  <c r="S40" i="14"/>
  <c r="Q40" i="14"/>
  <c r="O40" i="14"/>
  <c r="M40" i="14"/>
  <c r="K40" i="14"/>
  <c r="I40" i="14"/>
  <c r="S12" i="14"/>
  <c r="S11" i="14"/>
  <c r="Q12" i="14"/>
  <c r="Q11" i="14"/>
  <c r="O10" i="14"/>
  <c r="M12" i="14"/>
  <c r="M11" i="14"/>
  <c r="K12" i="14"/>
  <c r="K11" i="14"/>
  <c r="I12" i="14"/>
  <c r="I11" i="14"/>
  <c r="I10" i="14"/>
  <c r="O12" i="14"/>
  <c r="T11" i="14"/>
  <c r="O11" i="14"/>
  <c r="U16" i="18" l="1"/>
  <c r="U39" i="18"/>
  <c r="U44" i="18"/>
  <c r="U13" i="18"/>
  <c r="U47" i="18"/>
  <c r="U22" i="18"/>
  <c r="U31" i="18"/>
  <c r="U36" i="18"/>
  <c r="U19" i="18"/>
  <c r="U42" i="19"/>
  <c r="U16" i="19"/>
  <c r="U37" i="19"/>
  <c r="U11" i="19"/>
  <c r="U19" i="19"/>
  <c r="U23" i="19"/>
  <c r="U26" i="19"/>
  <c r="W52" i="20"/>
  <c r="AA65" i="20" s="1"/>
  <c r="W51" i="17"/>
  <c r="AA60" i="17" s="1"/>
  <c r="Q29" i="14"/>
  <c r="U33" i="14"/>
  <c r="U28" i="14"/>
  <c r="U23" i="14"/>
  <c r="U26" i="14"/>
  <c r="U21" i="14"/>
  <c r="U18" i="14"/>
  <c r="M24" i="14"/>
  <c r="M16" i="14"/>
  <c r="Q16" i="14"/>
  <c r="S16" i="14"/>
  <c r="U14" i="14"/>
  <c r="O16" i="14"/>
  <c r="U15" i="14"/>
  <c r="T16" i="14"/>
  <c r="C14" i="14" s="1"/>
  <c r="O24" i="14"/>
  <c r="O19" i="14"/>
  <c r="T19" i="14"/>
  <c r="C17" i="14" s="1"/>
  <c r="Q19" i="14"/>
  <c r="M19" i="14"/>
  <c r="O29" i="14"/>
  <c r="S19" i="14"/>
  <c r="U17" i="14"/>
  <c r="Q24" i="14"/>
  <c r="S24" i="14"/>
  <c r="T24" i="14"/>
  <c r="C20" i="14" s="1"/>
  <c r="U22" i="14"/>
  <c r="U20" i="14"/>
  <c r="K24" i="14"/>
  <c r="S29" i="14"/>
  <c r="I24" i="14"/>
  <c r="U31" i="14"/>
  <c r="T29" i="14"/>
  <c r="C25" i="14" s="1"/>
  <c r="U27" i="14"/>
  <c r="U25" i="14"/>
  <c r="K29" i="14"/>
  <c r="M29" i="14"/>
  <c r="M34" i="14"/>
  <c r="Q34" i="14"/>
  <c r="I29" i="14"/>
  <c r="U43" i="14"/>
  <c r="S34" i="14"/>
  <c r="T34" i="14"/>
  <c r="C30" i="14" s="1"/>
  <c r="O34" i="14"/>
  <c r="I39" i="14"/>
  <c r="K39" i="14"/>
  <c r="I34" i="14"/>
  <c r="U35" i="14"/>
  <c r="U30" i="14"/>
  <c r="K34" i="14"/>
  <c r="Q39" i="14"/>
  <c r="S39" i="14"/>
  <c r="T39" i="14"/>
  <c r="C35" i="14" s="1"/>
  <c r="U41" i="14"/>
  <c r="U46" i="14"/>
  <c r="U32" i="14"/>
  <c r="U36" i="14"/>
  <c r="M39" i="14"/>
  <c r="O39" i="14"/>
  <c r="U38" i="14"/>
  <c r="U37" i="14"/>
  <c r="M49" i="14"/>
  <c r="O49" i="14"/>
  <c r="S49" i="14"/>
  <c r="T49" i="14"/>
  <c r="C45" i="14" s="1"/>
  <c r="Q49" i="14"/>
  <c r="U45" i="14"/>
  <c r="M44" i="14"/>
  <c r="Q44" i="14"/>
  <c r="S44" i="14"/>
  <c r="U42" i="14"/>
  <c r="O44" i="14"/>
  <c r="T44" i="14"/>
  <c r="C40" i="14" s="1"/>
  <c r="U40" i="14"/>
  <c r="K44" i="14"/>
  <c r="I44" i="14"/>
  <c r="U24" i="14" l="1"/>
  <c r="U19" i="14"/>
  <c r="U16" i="14"/>
  <c r="U29" i="14"/>
  <c r="U34" i="14"/>
  <c r="U49" i="14"/>
  <c r="U39" i="14"/>
  <c r="U44" i="14"/>
  <c r="S61" i="8" l="1"/>
  <c r="O61" i="8"/>
  <c r="K61" i="8"/>
  <c r="W60" i="8"/>
  <c r="Y60" i="8" s="1"/>
  <c r="W59" i="8"/>
  <c r="AA67" i="8" s="1"/>
  <c r="Y56" i="8"/>
  <c r="W56" i="8"/>
  <c r="Y53" i="8"/>
  <c r="W53" i="8"/>
  <c r="I53" i="8"/>
  <c r="I55" i="8" s="1"/>
  <c r="H53" i="8"/>
  <c r="W51" i="8"/>
  <c r="W46" i="8"/>
  <c r="W45" i="8"/>
  <c r="W44" i="8"/>
  <c r="W43" i="8"/>
  <c r="W42" i="8"/>
  <c r="W39" i="8"/>
  <c r="W38" i="8"/>
  <c r="W37" i="8"/>
  <c r="Y36" i="8"/>
  <c r="U36" i="8"/>
  <c r="S36" i="8"/>
  <c r="Q36" i="8"/>
  <c r="O36" i="8"/>
  <c r="M36" i="8"/>
  <c r="W33" i="8"/>
  <c r="W29" i="8"/>
  <c r="W28" i="8"/>
  <c r="W27" i="8"/>
  <c r="W26" i="8"/>
  <c r="J26" i="8"/>
  <c r="W25" i="8"/>
  <c r="J25" i="8"/>
  <c r="W22" i="8"/>
  <c r="W21" i="8"/>
  <c r="W20" i="8"/>
  <c r="W19" i="8"/>
  <c r="W18" i="8"/>
  <c r="W17" i="8"/>
  <c r="W15" i="8"/>
  <c r="W14" i="8"/>
  <c r="W12" i="8"/>
  <c r="W11" i="8"/>
  <c r="W9" i="8"/>
  <c r="J36" i="8" l="1"/>
  <c r="J55" i="8" s="1"/>
  <c r="X20" i="8"/>
  <c r="O55" i="8"/>
  <c r="X25" i="8"/>
  <c r="X15" i="8"/>
  <c r="M55" i="8"/>
  <c r="W61" i="8"/>
  <c r="Q55" i="8"/>
  <c r="U55" i="8"/>
  <c r="X22" i="8"/>
  <c r="S55" i="8"/>
  <c r="X12" i="8"/>
  <c r="X9" i="8"/>
  <c r="AA69" i="8"/>
  <c r="Y55" i="8"/>
  <c r="H55" i="8"/>
  <c r="W36" i="8"/>
  <c r="AA36" i="8" s="1"/>
  <c r="X18" i="8"/>
  <c r="K55" i="8"/>
  <c r="U11" i="14"/>
  <c r="T12" i="14"/>
  <c r="U12" i="14"/>
  <c r="T10" i="14"/>
  <c r="S10" i="14"/>
  <c r="Q10" i="14"/>
  <c r="M10" i="14"/>
  <c r="K10" i="14"/>
  <c r="U10" i="14" l="1"/>
  <c r="W55" i="8"/>
  <c r="AA64" i="8" s="1"/>
  <c r="I9" i="14"/>
  <c r="K9" i="14"/>
  <c r="M9" i="14"/>
  <c r="M13" i="14" s="1"/>
  <c r="O9" i="14"/>
  <c r="O13" i="14" s="1"/>
  <c r="Q9" i="14"/>
  <c r="S9" i="14"/>
  <c r="T9" i="14"/>
  <c r="H13" i="14"/>
  <c r="I13" i="14"/>
  <c r="J13" i="14"/>
  <c r="K13" i="14"/>
  <c r="L13" i="14"/>
  <c r="N13" i="14"/>
  <c r="P13" i="14"/>
  <c r="R13" i="14"/>
  <c r="U9" i="14" l="1"/>
  <c r="Q13" i="14"/>
  <c r="S13" i="14"/>
  <c r="T13" i="14"/>
  <c r="C9" i="14" s="1"/>
  <c r="U13" i="14" l="1"/>
</calcChain>
</file>

<file path=xl/sharedStrings.xml><?xml version="1.0" encoding="utf-8"?>
<sst xmlns="http://schemas.openxmlformats.org/spreadsheetml/2006/main" count="2092" uniqueCount="760">
  <si>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</si>
  <si>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</si>
  <si>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</si>
  <si>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</si>
  <si>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</si>
  <si>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</si>
  <si>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</si>
  <si>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</si>
  <si>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</si>
  <si>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</si>
  <si>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</si>
  <si>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</si>
  <si>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</si>
  <si>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</si>
  <si>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</si>
  <si>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</si>
  <si>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</si>
  <si>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</si>
  <si>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</si>
  <si>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</si>
  <si>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</si>
  <si>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</si>
  <si>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</si>
  <si>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</si>
  <si>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</si>
  <si>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</si>
  <si>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</si>
  <si>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</si>
  <si>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</si>
  <si>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</si>
  <si>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</si>
  <si>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</si>
  <si>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</si>
  <si>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</si>
  <si>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</si>
  <si>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</si>
  <si>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</si>
  <si>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</si>
  <si>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</si>
  <si>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</si>
  <si>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</si>
  <si>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</si>
  <si>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</si>
  <si>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</si>
  <si>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</si>
  <si>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</si>
  <si>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</si>
  <si>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</si>
  <si>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</si>
  <si>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</si>
  <si>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</si>
  <si>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</si>
  <si>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</si>
  <si>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</si>
  <si>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</si>
  <si>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</si>
  <si>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</si>
  <si>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</si>
  <si>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</si>
  <si>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</si>
  <si>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</si>
  <si>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</si>
  <si>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</si>
  <si>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</si>
  <si>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</si>
  <si>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</si>
  <si>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</si>
  <si>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</si>
  <si>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</si>
  <si>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</si>
  <si>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</si>
  <si>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</si>
  <si>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</si>
  <si>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</si>
  <si>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</si>
  <si>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</si>
  <si>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</si>
  <si>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</si>
  <si>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</si>
  <si>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</si>
  <si>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</si>
  <si>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</si>
  <si>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</si>
  <si>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</si>
  <si>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</si>
  <si>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</si>
  <si>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</si>
  <si>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</si>
  <si>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</si>
  <si>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</si>
  <si>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</si>
  <si>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</si>
  <si>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</si>
  <si>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</si>
  <si>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</si>
  <si>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</si>
  <si>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</si>
  <si>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</si>
  <si>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</si>
  <si>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</si>
  <si>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</si>
  <si>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</si>
  <si>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</si>
  <si>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</si>
  <si>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</si>
  <si>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</si>
  <si>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</si>
  <si>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</si>
  <si>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</si>
  <si>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</si>
  <si>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</si>
  <si>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</si>
  <si>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</si>
  <si>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</si>
  <si>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</si>
  <si>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</si>
  <si>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</si>
  <si>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</si>
  <si>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</si>
  <si>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</si>
  <si>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</si>
  <si>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</si>
  <si>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</si>
  <si>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</si>
  <si>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</si>
  <si>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</si>
  <si>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</si>
  <si>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</si>
  <si>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</si>
  <si>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</si>
  <si>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</si>
  <si>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</si>
  <si>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</si>
  <si>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</si>
  <si>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</si>
  <si>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</si>
  <si>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</si>
  <si>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</si>
  <si>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</si>
  <si>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</si>
  <si>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</si>
  <si>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</si>
  <si>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</si>
  <si>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</si>
  <si>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</si>
  <si>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</si>
  <si>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</si>
  <si>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</si>
  <si>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교육과정담당</t>
    <phoneticPr fontId="9" type="noConversion"/>
  </si>
  <si>
    <t>학기별 이수학점</t>
    <phoneticPr fontId="9" type="noConversion"/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</si>
  <si>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</si>
  <si>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</si>
  <si>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</si>
  <si>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전공
선택
(택1)</t>
    <phoneticPr fontId="9" type="noConversion"/>
  </si>
  <si>
    <t>학과
융합
(택1)</t>
    <phoneticPr fontId="9" type="noConversion"/>
  </si>
  <si>
    <t>전기·전자</t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</si>
  <si>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</si>
  <si>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</si>
  <si>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</si>
  <si>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</si>
  <si>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</si>
  <si>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</si>
  <si>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</si>
  <si>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</si>
  <si>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</si>
  <si>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</si>
  <si>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</si>
  <si>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</si>
  <si>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</si>
  <si>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</si>
  <si>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</si>
  <si>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</si>
  <si>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</si>
  <si>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</si>
  <si>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</si>
  <si>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</si>
  <si>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</si>
  <si>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</si>
  <si>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</si>
  <si>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</si>
  <si>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</si>
  <si>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</si>
  <si>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</si>
  <si>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</si>
  <si>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</si>
  <si>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</si>
  <si>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</si>
  <si>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전기과</t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</si>
  <si>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</si>
  <si>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</si>
  <si>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</si>
  <si>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</si>
  <si>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</si>
  <si>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</si>
  <si>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</si>
  <si>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</si>
  <si>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</si>
  <si>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</si>
  <si>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</si>
  <si>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</si>
  <si>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</si>
  <si>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</si>
  <si>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</si>
  <si>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</si>
  <si>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</si>
  <si>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</si>
  <si>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</si>
  <si>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</si>
  <si>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</si>
  <si>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</si>
  <si>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</si>
  <si>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</si>
  <si>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</si>
  <si>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</si>
  <si>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</si>
  <si>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</si>
  <si>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</si>
  <si>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</si>
  <si>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</si>
  <si>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</si>
  <si>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</si>
  <si>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</si>
  <si>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</si>
  <si>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</si>
  <si>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</si>
  <si>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</si>
  <si>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</si>
  <si>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</si>
  <si>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</si>
  <si>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</si>
  <si>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</si>
  <si>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</si>
  <si>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</si>
  <si>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</si>
  <si>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</si>
  <si>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</si>
  <si>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</si>
  <si>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</si>
  <si>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</si>
  <si>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</si>
  <si>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</si>
  <si>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</si>
  <si>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</si>
  <si>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</si>
  <si>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</si>
  <si>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</si>
  <si>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</si>
  <si>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</si>
  <si>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</si>
  <si>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</si>
  <si>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</si>
  <si>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</si>
  <si>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</si>
  <si>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</si>
  <si>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</si>
  <si>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</si>
  <si>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</si>
  <si>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</si>
  <si>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</si>
  <si>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</si>
  <si>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</si>
  <si>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</si>
  <si>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</si>
  <si>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</si>
  <si>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</si>
  <si>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</si>
  <si>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</si>
  <si>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</si>
  <si>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</si>
  <si>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</si>
  <si>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</si>
  <si>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</si>
  <si>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</si>
  <si>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</si>
  <si>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</si>
  <si>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</si>
  <si>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</si>
  <si>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</si>
  <si>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</si>
  <si>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</si>
  <si>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</si>
  <si>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</si>
  <si>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</si>
  <si>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</si>
  <si>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</si>
  <si>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</si>
  <si>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</si>
  <si>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</si>
  <si>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</si>
  <si>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</si>
  <si>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</si>
  <si>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</si>
  <si>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</si>
  <si>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</si>
  <si>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</si>
  <si>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</si>
  <si>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</si>
  <si>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</si>
  <si>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</si>
  <si>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</si>
  <si>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</si>
  <si>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</si>
  <si>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</si>
  <si>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</si>
  <si>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</si>
  <si>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</si>
  <si>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</si>
  <si>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</si>
  <si>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</si>
  <si>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</si>
  <si>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</si>
  <si>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</si>
  <si>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</si>
  <si>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</si>
  <si>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</si>
  <si>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</si>
  <si>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</si>
  <si>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</si>
  <si>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</si>
  <si>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</si>
  <si>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</si>
  <si>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</si>
  <si>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</si>
  <si>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</si>
  <si>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</si>
  <si>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</si>
  <si>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</si>
  <si>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</si>
  <si>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</si>
  <si>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</si>
  <si>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</si>
  <si>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</si>
  <si>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</si>
  <si>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</si>
  <si>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</si>
  <si>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</si>
  <si>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</si>
  <si>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</si>
  <si>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</si>
  <si>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</si>
  <si>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</si>
  <si>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</si>
  <si>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</si>
  <si>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3~5</t>
    <phoneticPr fontId="9" type="noConversion"/>
  </si>
  <si>
    <t>공통영어1</t>
    <phoneticPr fontId="9" type="noConversion"/>
  </si>
  <si>
    <t>사회(역사/도덕 포함)</t>
    <phoneticPr fontId="9" type="noConversion"/>
  </si>
  <si>
    <t>한국사2</t>
    <phoneticPr fontId="9" type="noConversion"/>
  </si>
  <si>
    <t>통합사회2</t>
    <phoneticPr fontId="9" type="noConversion"/>
  </si>
  <si>
    <t>융합선택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</si>
  <si>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</si>
  <si>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</si>
  <si>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</si>
  <si>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</si>
  <si>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</si>
  <si>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</si>
  <si>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</t>
    <phoneticPr fontId="9" type="noConversion"/>
  </si>
  <si>
    <t>전문공통</t>
    <phoneticPr fontId="9" type="noConversion"/>
  </si>
  <si>
    <t>전공일반</t>
    <phoneticPr fontId="9" type="noConversion"/>
  </si>
  <si>
    <t>전공실무</t>
    <phoneticPr fontId="9" type="noConversion"/>
  </si>
  <si>
    <t>심화코스1</t>
    <phoneticPr fontId="9" type="noConversion"/>
  </si>
  <si>
    <t>심화코스2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</si>
  <si>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</si>
  <si>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</si>
  <si>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</si>
  <si>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</si>
  <si>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</si>
  <si>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</si>
  <si>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</si>
  <si>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</si>
  <si>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</si>
  <si>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</si>
  <si>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</si>
  <si>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</si>
  <si>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</si>
  <si>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</si>
  <si>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</si>
  <si>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</si>
  <si>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</si>
  <si>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</si>
  <si>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</si>
  <si>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</si>
  <si>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</si>
  <si>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</si>
  <si>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</si>
  <si>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</si>
  <si>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</si>
  <si>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</si>
  <si>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</si>
  <si>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</si>
  <si>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</si>
  <si>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</si>
  <si>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</si>
  <si>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</si>
  <si>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</si>
  <si>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</si>
  <si>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</si>
  <si>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</si>
  <si>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</si>
  <si>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</si>
  <si>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</si>
  <si>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</si>
  <si>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</si>
  <si>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</si>
  <si>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</si>
  <si>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</si>
  <si>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</si>
  <si>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</si>
  <si>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</si>
  <si>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</si>
  <si>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</si>
  <si>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</si>
  <si>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</si>
  <si>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</si>
  <si>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</si>
  <si>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</si>
  <si>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</si>
  <si>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</si>
  <si>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</si>
  <si>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</si>
  <si>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</si>
  <si>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</si>
  <si>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</si>
  <si>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</si>
  <si>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</si>
  <si>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</si>
  <si>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</si>
  <si>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</si>
  <si>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</si>
  <si>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</si>
  <si>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</si>
  <si>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</si>
  <si>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</si>
  <si>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</si>
  <si>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</si>
  <si>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</si>
  <si>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</si>
  <si>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</si>
  <si>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</si>
  <si>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</si>
  <si>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</si>
  <si>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</si>
  <si>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</si>
  <si>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</si>
  <si>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</si>
  <si>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</si>
  <si>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</si>
  <si>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</si>
  <si>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</si>
  <si>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</si>
  <si>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</si>
  <si>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</si>
  <si>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</si>
  <si>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</si>
  <si>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</si>
  <si>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</si>
  <si>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</si>
  <si>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</si>
  <si>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</si>
  <si>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</si>
  <si>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</si>
  <si>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</si>
  <si>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</si>
  <si>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</si>
  <si>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</si>
  <si>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</si>
  <si>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</si>
  <si>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</si>
  <si>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</si>
  <si>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</si>
  <si>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</si>
  <si>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</si>
  <si>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</si>
  <si>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</si>
  <si>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</si>
  <si>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</si>
  <si>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</si>
  <si>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</si>
  <si>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</si>
  <si>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</si>
  <si>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</si>
  <si>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</si>
  <si>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</si>
  <si>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</si>
  <si>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</si>
  <si>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</si>
  <si>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</si>
  <si>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</si>
  <si>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</si>
  <si>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</si>
  <si>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</si>
  <si>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</si>
  <si>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</si>
  <si>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</si>
  <si>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</si>
  <si>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</si>
  <si>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</si>
  <si>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</si>
  <si>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</si>
  <si>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</si>
  <si>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</si>
  <si>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</si>
  <si>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공통과목</t>
    <phoneticPr fontId="9" type="noConversion"/>
  </si>
  <si>
    <t>한국사 1,2</t>
    <phoneticPr fontId="9" type="noConversion"/>
  </si>
  <si>
    <t>선택과목</t>
    <phoneticPr fontId="9" type="noConversion"/>
  </si>
  <si>
    <t>체육, 예술, 교양 교과군</t>
    <phoneticPr fontId="9" type="noConversion"/>
  </si>
  <si>
    <t>전문교과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</si>
  <si>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</si>
  <si>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</si>
  <si>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</si>
  <si>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±1</t>
    <phoneticPr fontId="9" type="noConversion"/>
  </si>
  <si>
    <t>충남</t>
  </si>
  <si>
    <t>학교장</t>
    <phoneticPr fontId="9" type="noConversion"/>
  </si>
  <si>
    <t>금산산업고등학교</t>
    <phoneticPr fontId="9" type="noConversion"/>
  </si>
  <si>
    <t>바이오스마트테크과</t>
    <phoneticPr fontId="9" type="noConversion"/>
  </si>
  <si>
    <t>과정평가형</t>
  </si>
  <si>
    <t>운동과 건강</t>
    <phoneticPr fontId="9" type="noConversion"/>
  </si>
  <si>
    <t>성공적인 직업 생활</t>
    <phoneticPr fontId="9" type="noConversion"/>
  </si>
  <si>
    <t>기술·가정 대체</t>
    <phoneticPr fontId="9" type="noConversion"/>
  </si>
  <si>
    <t>전기·전자 일반</t>
    <phoneticPr fontId="5" type="noConversion"/>
  </si>
  <si>
    <t>자동화 설비</t>
    <phoneticPr fontId="5" type="noConversion"/>
  </si>
  <si>
    <t>디지털 논리 회로</t>
    <phoneticPr fontId="9" type="noConversion"/>
  </si>
  <si>
    <t>전기 기기 설계</t>
    <phoneticPr fontId="9" type="noConversion"/>
  </si>
  <si>
    <t>전기 기기 제작</t>
    <phoneticPr fontId="9" type="noConversion"/>
  </si>
  <si>
    <t>자동 제어 기기 제작</t>
    <phoneticPr fontId="9" type="noConversion"/>
  </si>
  <si>
    <t>자동 제어 시스템 운영</t>
    <phoneticPr fontId="9" type="noConversion"/>
  </si>
  <si>
    <t>기계 수동 조립</t>
    <phoneticPr fontId="9" type="noConversion"/>
  </si>
  <si>
    <t>기계 소프트웨어 개발</t>
    <phoneticPr fontId="9" type="noConversion"/>
  </si>
  <si>
    <t>내선 공사</t>
    <phoneticPr fontId="9" type="noConversion"/>
  </si>
  <si>
    <t>자동 제어 시스템 유지 정비</t>
    <phoneticPr fontId="9" type="noConversion"/>
  </si>
  <si>
    <t>그린바이오</t>
    <phoneticPr fontId="9" type="noConversion"/>
  </si>
  <si>
    <t>사무 행정</t>
    <phoneticPr fontId="9" type="noConversion"/>
  </si>
  <si>
    <r>
      <rPr>
        <sz val="5"/>
        <color theme="1"/>
        <rFont val="맑은 고딕"/>
        <family val="3"/>
        <charset val="129"/>
        <scheme val="minor"/>
      </rPr>
      <t>자동제어시스템제작및유지보수원</t>
    </r>
    <r>
      <rPr>
        <sz val="6"/>
        <color theme="1"/>
        <rFont val="맑은 고딕"/>
        <family val="3"/>
        <charset val="129"/>
        <scheme val="minor"/>
      </rPr>
      <t xml:space="preserve">
전기기기제작및유지보수원</t>
    </r>
    <phoneticPr fontId="9" type="noConversion"/>
  </si>
  <si>
    <t>바이오스마트경영</t>
    <phoneticPr fontId="9" type="noConversion"/>
  </si>
  <si>
    <t>기계 부품 조립</t>
    <phoneticPr fontId="9" type="noConversion"/>
  </si>
  <si>
    <t>조립 도면 해독</t>
    <phoneticPr fontId="9" type="noConversion"/>
  </si>
  <si>
    <t>공기압 장치 조립</t>
    <phoneticPr fontId="9" type="noConversion"/>
  </si>
  <si>
    <t>공기압 제어</t>
    <phoneticPr fontId="9" type="noConversion"/>
  </si>
  <si>
    <t>PLC 제어 기본 모듈 프로그램 개발</t>
    <phoneticPr fontId="9" type="noConversion"/>
  </si>
  <si>
    <t>1503010106_16v4</t>
  </si>
  <si>
    <t>1503010111_16v4</t>
    <phoneticPr fontId="9" type="noConversion"/>
  </si>
  <si>
    <t>1503010112_16v4</t>
    <phoneticPr fontId="9" type="noConversion"/>
  </si>
  <si>
    <t>1503010215_16v4</t>
    <phoneticPr fontId="9" type="noConversion"/>
  </si>
  <si>
    <t>1503010210_14v3</t>
    <phoneticPr fontId="9" type="noConversion"/>
  </si>
  <si>
    <t>회의 운영</t>
    <phoneticPr fontId="9" type="noConversion"/>
  </si>
  <si>
    <t>0202030206_22v4</t>
    <phoneticPr fontId="9" type="noConversion"/>
  </si>
  <si>
    <t>0202030202_22v3</t>
    <phoneticPr fontId="9" type="noConversion"/>
  </si>
  <si>
    <t>배관 공사</t>
    <phoneticPr fontId="9" type="noConversion"/>
  </si>
  <si>
    <t>배선 공사</t>
    <phoneticPr fontId="9" type="noConversion"/>
  </si>
  <si>
    <t>배관 배선 검사</t>
    <phoneticPr fontId="9" type="noConversion"/>
  </si>
  <si>
    <t>동력 설비 시운전</t>
    <phoneticPr fontId="9" type="noConversion"/>
  </si>
  <si>
    <t>1901070116_22v4</t>
    <phoneticPr fontId="9" type="noConversion"/>
  </si>
  <si>
    <t>1901070117_22v4</t>
    <phoneticPr fontId="9" type="noConversion"/>
  </si>
  <si>
    <t>1901070118_22v4</t>
    <phoneticPr fontId="9" type="noConversion"/>
  </si>
  <si>
    <t>1901070122_22v4</t>
    <phoneticPr fontId="9" type="noConversion"/>
  </si>
  <si>
    <t>1901070123_22v4</t>
    <phoneticPr fontId="9" type="noConversion"/>
  </si>
  <si>
    <t>현장 제어반 유지 정비</t>
    <phoneticPr fontId="9" type="noConversion"/>
  </si>
  <si>
    <t>1901080311_22v4</t>
    <phoneticPr fontId="9" type="noConversion"/>
  </si>
  <si>
    <t>1901080312_16v3</t>
    <phoneticPr fontId="9" type="noConversion"/>
  </si>
  <si>
    <t>전기 기기 제작 공정 조사</t>
  </si>
  <si>
    <t>1901050206_14v2</t>
    <phoneticPr fontId="9" type="noConversion"/>
  </si>
  <si>
    <t>1901050112_16v3</t>
  </si>
  <si>
    <t>전장품 조립</t>
    <phoneticPr fontId="9" type="noConversion"/>
  </si>
  <si>
    <t>하드웨어 제작</t>
    <phoneticPr fontId="9" type="noConversion"/>
  </si>
  <si>
    <t>1901080214_16v2</t>
    <phoneticPr fontId="9" type="noConversion"/>
  </si>
  <si>
    <t>1901080215_16v2</t>
    <phoneticPr fontId="9" type="noConversion"/>
  </si>
  <si>
    <t>문서 관리</t>
    <phoneticPr fontId="9" type="noConversion"/>
  </si>
  <si>
    <t>인공지능 기초 대체</t>
    <phoneticPr fontId="9" type="noConversion"/>
  </si>
  <si>
    <t>시퀀스 회로 제어 운영</t>
    <phoneticPr fontId="9" type="noConversion"/>
  </si>
  <si>
    <t>1901080411_20v3</t>
    <phoneticPr fontId="9" type="noConversion"/>
  </si>
  <si>
    <t>최윤정</t>
    <phoneticPr fontId="9" type="noConversion"/>
  </si>
  <si>
    <t>김승현</t>
    <phoneticPr fontId="9" type="noConversion"/>
  </si>
  <si>
    <t>전기 기기 설계 기초 조사</t>
    <phoneticPr fontId="9" type="noConversion"/>
  </si>
  <si>
    <t>1901050111_16v3</t>
    <phoneticPr fontId="9" type="noConversion"/>
  </si>
  <si>
    <t>1901050207_14v2</t>
  </si>
  <si>
    <t>전기 기기 일반 시험</t>
    <phoneticPr fontId="9" type="noConversion"/>
  </si>
  <si>
    <t>전기 기기 특성 시험</t>
  </si>
  <si>
    <t>1901050211_16v3</t>
  </si>
  <si>
    <t>1901050212_16v3</t>
  </si>
  <si>
    <t>스포츠 생활1</t>
    <phoneticPr fontId="9" type="noConversion"/>
  </si>
  <si>
    <t>현장 계기류 유지 정비</t>
    <phoneticPr fontId="9" type="noConversion"/>
  </si>
  <si>
    <t>구동 장치 유지 정비</t>
    <phoneticPr fontId="9" type="noConversion"/>
  </si>
  <si>
    <t>전기 기기 회로부 조립</t>
    <phoneticPr fontId="9" type="noConversion"/>
  </si>
  <si>
    <t>전기 기기 반제품 조립</t>
    <phoneticPr fontId="9" type="noConversion"/>
  </si>
  <si>
    <t>041-753-5109</t>
    <phoneticPr fontId="9" type="noConversion"/>
  </si>
  <si>
    <t>070-4364-5508</t>
    <phoneticPr fontId="9" type="noConversion"/>
  </si>
  <si>
    <t>채소 재배</t>
    <phoneticPr fontId="9" type="noConversion"/>
  </si>
  <si>
    <t>농림·축산</t>
    <phoneticPr fontId="9" type="noConversion"/>
  </si>
  <si>
    <t>채소 재배 포장 준비</t>
    <phoneticPr fontId="9" type="noConversion"/>
  </si>
  <si>
    <t>채소 재배 관리</t>
    <phoneticPr fontId="9" type="noConversion"/>
  </si>
  <si>
    <t>2401010302_22v4</t>
    <phoneticPr fontId="9" type="noConversion"/>
  </si>
  <si>
    <t>2401010314_22v4</t>
    <phoneticPr fontId="9" type="noConversion"/>
  </si>
  <si>
    <t>자동 제어 
시스템 운영</t>
    <phoneticPr fontId="9" type="noConversion"/>
  </si>
  <si>
    <t>자동 제어 
기기 제작</t>
    <phoneticPr fontId="9" type="noConversion"/>
  </si>
  <si>
    <t>총 이수 합계</t>
    <phoneticPr fontId="9" type="noConversion"/>
  </si>
  <si>
    <t>경영·금융</t>
  </si>
  <si>
    <t>경영사무과</t>
  </si>
  <si>
    <t>유통과</t>
  </si>
  <si>
    <t>바이오스마트경영과</t>
    <phoneticPr fontId="9" type="noConversion"/>
  </si>
  <si>
    <t>일반</t>
  </si>
  <si>
    <t>경영 지원 사무원
물류 관리 사무원</t>
    <phoneticPr fontId="9" type="noConversion"/>
  </si>
  <si>
    <t>사무 관리</t>
    <phoneticPr fontId="9" type="noConversion"/>
  </si>
  <si>
    <t>상업 경제</t>
    <phoneticPr fontId="9" type="noConversion"/>
  </si>
  <si>
    <t>회계 원리</t>
    <phoneticPr fontId="9" type="noConversion"/>
  </si>
  <si>
    <t>회계 정보 처리 시스템</t>
    <phoneticPr fontId="9" type="noConversion"/>
  </si>
  <si>
    <t>기업 자원 통합 관리</t>
    <phoneticPr fontId="9" type="noConversion"/>
  </si>
  <si>
    <t>회계 실무</t>
    <phoneticPr fontId="9" type="noConversion"/>
  </si>
  <si>
    <t>유통 관리</t>
    <phoneticPr fontId="9" type="noConversion"/>
  </si>
  <si>
    <t>자재 관리</t>
    <phoneticPr fontId="9" type="noConversion"/>
  </si>
  <si>
    <t>바이오스마트테크</t>
    <phoneticPr fontId="9" type="noConversion"/>
  </si>
  <si>
    <t>문서 작성</t>
    <phoneticPr fontId="9" type="noConversion"/>
  </si>
  <si>
    <t>0202030201_22v3</t>
  </si>
  <si>
    <t>사무 자동화 프로그램 활용</t>
    <phoneticPr fontId="9" type="noConversion"/>
  </si>
  <si>
    <t>0202030209_22v2</t>
    <phoneticPr fontId="9" type="noConversion"/>
  </si>
  <si>
    <t>사무 행정 업무 관리</t>
  </si>
  <si>
    <t>0202030207_22v4</t>
    <phoneticPr fontId="9" type="noConversion"/>
  </si>
  <si>
    <t>사무 환경 조성</t>
    <phoneticPr fontId="9" type="noConversion"/>
  </si>
  <si>
    <t>0202030208_22v4</t>
    <phoneticPr fontId="9" type="noConversion"/>
  </si>
  <si>
    <t>전표 관리</t>
    <phoneticPr fontId="9" type="noConversion"/>
  </si>
  <si>
    <t>0203020101_20v4</t>
  </si>
  <si>
    <t>회계 정보 시스템 운용</t>
    <phoneticPr fontId="9" type="noConversion"/>
  </si>
  <si>
    <t>0203020105_20v4</t>
  </si>
  <si>
    <t>자금 관리</t>
    <phoneticPr fontId="9" type="noConversion"/>
  </si>
  <si>
    <t>0203020102_20v4</t>
  </si>
  <si>
    <t>결산 처리</t>
    <phoneticPr fontId="9" type="noConversion"/>
  </si>
  <si>
    <t>0203020104_23v5</t>
  </si>
  <si>
    <t>매장 관리</t>
    <phoneticPr fontId="9" type="noConversion"/>
  </si>
  <si>
    <t>0201030403_21v2</t>
  </si>
  <si>
    <t>유통 물류 관리</t>
    <phoneticPr fontId="9" type="noConversion"/>
  </si>
  <si>
    <t>0201030408_21v2</t>
  </si>
  <si>
    <t>상품 구성 기획</t>
    <phoneticPr fontId="9" type="noConversion"/>
  </si>
  <si>
    <t>0201030401_21v2</t>
  </si>
  <si>
    <t>고객 관리</t>
    <phoneticPr fontId="9" type="noConversion"/>
  </si>
  <si>
    <t>0201030406_21v2</t>
  </si>
  <si>
    <t>자재 입고 관리</t>
    <phoneticPr fontId="9" type="noConversion"/>
  </si>
  <si>
    <t>0204010203_20v2</t>
    <phoneticPr fontId="9" type="noConversion"/>
  </si>
  <si>
    <t>자재 창고 운영 관리</t>
    <phoneticPr fontId="9" type="noConversion"/>
  </si>
  <si>
    <t>0204010204_20v2</t>
    <phoneticPr fontId="9" type="noConversion"/>
  </si>
  <si>
    <t>자재 운영 관리</t>
    <phoneticPr fontId="9" type="noConversion"/>
  </si>
  <si>
    <t>0204010205_20v2</t>
    <phoneticPr fontId="9" type="noConversion"/>
  </si>
  <si>
    <t>자재 출고 관리</t>
    <phoneticPr fontId="9" type="noConversion"/>
  </si>
  <si>
    <t>0204010206_20v2</t>
    <phoneticPr fontId="9" type="noConversion"/>
  </si>
  <si>
    <t>화훼 재배</t>
    <phoneticPr fontId="9" type="noConversion"/>
  </si>
  <si>
    <t>채소 육묘</t>
    <phoneticPr fontId="9" type="noConversion"/>
  </si>
  <si>
    <t>2401010312_16v3</t>
    <phoneticPr fontId="9" type="noConversion"/>
  </si>
  <si>
    <t>채소 재배 장비 자재 관리</t>
    <phoneticPr fontId="9" type="noConversion"/>
  </si>
  <si>
    <t>2401010309_14v2</t>
    <phoneticPr fontId="9" type="noConversion"/>
  </si>
  <si>
    <t>화훼 번식</t>
    <phoneticPr fontId="9" type="noConversion"/>
  </si>
  <si>
    <t>2401010502_20v3</t>
    <phoneticPr fontId="9" type="noConversion"/>
  </si>
  <si>
    <t>화훼 재배 관리</t>
    <phoneticPr fontId="9" type="noConversion"/>
  </si>
  <si>
    <t>2401010504_20v3</t>
    <phoneticPr fontId="9" type="noConversion"/>
  </si>
  <si>
    <t>과수 재배</t>
    <phoneticPr fontId="9" type="noConversion"/>
  </si>
  <si>
    <t>과수 영양 번식</t>
    <phoneticPr fontId="9" type="noConversion"/>
  </si>
  <si>
    <t>2401010403_20v3</t>
    <phoneticPr fontId="9" type="noConversion"/>
  </si>
  <si>
    <t>과수 정지 전정</t>
    <phoneticPr fontId="9" type="noConversion"/>
  </si>
  <si>
    <t>2401010405_14v2</t>
    <phoneticPr fontId="9" type="noConversion"/>
  </si>
  <si>
    <t>과수 결실 관리</t>
    <phoneticPr fontId="9" type="noConversion"/>
  </si>
  <si>
    <t>2401010406_20v3</t>
    <phoneticPr fontId="9" type="noConversion"/>
  </si>
  <si>
    <t>2401010804_17v1</t>
    <phoneticPr fontId="9" type="noConversion"/>
  </si>
  <si>
    <t>시설 원예</t>
    <phoneticPr fontId="9" type="noConversion"/>
  </si>
  <si>
    <t>총무</t>
    <phoneticPr fontId="9" type="noConversion"/>
  </si>
  <si>
    <t>총무 문서 관리</t>
    <phoneticPr fontId="9" type="noConversion"/>
  </si>
  <si>
    <t>제빵</t>
    <phoneticPr fontId="9" type="noConversion"/>
  </si>
  <si>
    <t>바이오 의약품 제조</t>
    <phoneticPr fontId="9" type="noConversion"/>
  </si>
  <si>
    <t>고율 배합빵 만들기</t>
    <phoneticPr fontId="9" type="noConversion"/>
  </si>
  <si>
    <t>2102010219_18v1</t>
    <phoneticPr fontId="9" type="noConversion"/>
  </si>
  <si>
    <t>저율 배합빵 만들기</t>
    <phoneticPr fontId="9" type="noConversion"/>
  </si>
  <si>
    <t>2102010220_18v1</t>
    <phoneticPr fontId="9" type="noConversion"/>
  </si>
  <si>
    <t>세척·멸균</t>
    <phoneticPr fontId="9" type="noConversion"/>
  </si>
  <si>
    <t>1705010112_16v2</t>
    <phoneticPr fontId="9" type="noConversion"/>
  </si>
  <si>
    <t>배양</t>
    <phoneticPr fontId="9" type="noConversion"/>
  </si>
  <si>
    <t>1705010113_16v2</t>
    <phoneticPr fontId="9" type="noConversion"/>
  </si>
  <si>
    <t>제형화</t>
    <phoneticPr fontId="9" type="noConversion"/>
  </si>
  <si>
    <t>1705010116_16v2</t>
  </si>
  <si>
    <t>농림수산</t>
  </si>
  <si>
    <t>농업과</t>
  </si>
  <si>
    <t>그린바이오과</t>
    <phoneticPr fontId="9" type="noConversion"/>
  </si>
  <si>
    <t>식품 가공 기술</t>
    <phoneticPr fontId="9" type="noConversion"/>
  </si>
  <si>
    <t>농림·축산</t>
  </si>
  <si>
    <t>식품·조리</t>
  </si>
  <si>
    <t>식품·조리</t>
    <phoneticPr fontId="9" type="noConversion"/>
  </si>
  <si>
    <t>화학 공업</t>
    <phoneticPr fontId="9" type="noConversion"/>
  </si>
  <si>
    <t>재배</t>
    <phoneticPr fontId="5" type="noConversion"/>
  </si>
  <si>
    <t>바이오 의약품
 제조</t>
    <phoneticPr fontId="9" type="noConversion"/>
  </si>
  <si>
    <t>고시외</t>
    <phoneticPr fontId="9" type="noConversion"/>
  </si>
  <si>
    <t>직무 의사소통</t>
    <phoneticPr fontId="9" type="noConversion"/>
  </si>
  <si>
    <t>직무 수학</t>
    <phoneticPr fontId="9" type="noConversion"/>
  </si>
  <si>
    <t>직무 영어</t>
    <phoneticPr fontId="9" type="noConversion"/>
  </si>
  <si>
    <t>2027학년도 교육과정 편제 및 학점배당표(마이스터고/특성화고)</t>
    <phoneticPr fontId="9" type="noConversion"/>
  </si>
  <si>
    <t>프로그램로직제어(PLC) 기본 운영</t>
    <phoneticPr fontId="9" type="noConversion"/>
  </si>
  <si>
    <t>1901080412_20v3</t>
    <phoneticPr fontId="9" type="noConversion"/>
  </si>
  <si>
    <t>중앙 제어 감시반 유지 정비</t>
  </si>
  <si>
    <t>1901080306_16v3</t>
    <phoneticPr fontId="9" type="noConversion"/>
  </si>
  <si>
    <t>1901080307_14v2</t>
    <phoneticPr fontId="9" type="noConversion"/>
  </si>
  <si>
    <t>동력 설비 공사</t>
  </si>
  <si>
    <t>동력 제어반 공사</t>
  </si>
  <si>
    <t>1901070121_22v4</t>
  </si>
  <si>
    <t>옥내 조명 공사</t>
    <phoneticPr fontId="9" type="noConversion"/>
  </si>
  <si>
    <t>접지 설비 공사</t>
    <phoneticPr fontId="9" type="noConversion"/>
  </si>
  <si>
    <t>1901070119_22v4</t>
    <phoneticPr fontId="9" type="noConversion"/>
  </si>
  <si>
    <t>1901070128_22v4</t>
    <phoneticPr fontId="9" type="noConversion"/>
  </si>
  <si>
    <t>디지털과 직업 생활</t>
    <phoneticPr fontId="9" type="noConversion"/>
  </si>
  <si>
    <t>조립 도면 작성</t>
    <phoneticPr fontId="9" type="noConversion"/>
  </si>
  <si>
    <t>1503010116_16v4</t>
    <phoneticPr fontId="9" type="noConversion"/>
  </si>
  <si>
    <t>식품 과학</t>
    <phoneticPr fontId="9" type="noConversion"/>
  </si>
  <si>
    <t>원예</t>
    <phoneticPr fontId="9" type="noConversion"/>
  </si>
  <si>
    <t>제과</t>
    <phoneticPr fontId="9" type="noConversion"/>
  </si>
  <si>
    <t>특용 작물 재배</t>
    <phoneticPr fontId="9" type="noConversion"/>
  </si>
  <si>
    <t>생활과학 탐구 대체</t>
    <phoneticPr fontId="9" type="noConversion"/>
  </si>
  <si>
    <t>기업과 경영</t>
    <phoneticPr fontId="9" type="noConversion"/>
  </si>
  <si>
    <t>데이터 과학 대체</t>
    <phoneticPr fontId="9" type="noConversion"/>
  </si>
  <si>
    <t>지식 재산 일반 대체</t>
    <phoneticPr fontId="9" type="noConversion"/>
  </si>
  <si>
    <t>금융 일반</t>
    <phoneticPr fontId="9" type="noConversion"/>
  </si>
  <si>
    <t>마케팅과 광고</t>
    <phoneticPr fontId="9" type="noConversion"/>
  </si>
  <si>
    <t>물류 관리</t>
    <phoneticPr fontId="9" type="noConversion"/>
  </si>
  <si>
    <t>육상 운송 관리</t>
    <phoneticPr fontId="9" type="noConversion"/>
  </si>
  <si>
    <t>0204030601_23v4</t>
  </si>
  <si>
    <t>항공 운송 관리</t>
    <phoneticPr fontId="9" type="noConversion"/>
  </si>
  <si>
    <t>0204030603_23v4</t>
  </si>
  <si>
    <t>복합 운송 관리</t>
    <phoneticPr fontId="9" type="noConversion"/>
  </si>
  <si>
    <t>0204030604_23v4</t>
  </si>
  <si>
    <t>물류 정보 시스템 활용</t>
    <phoneticPr fontId="9" type="noConversion"/>
  </si>
  <si>
    <t xml:space="preserve">	0204030508_22v4</t>
    <phoneticPr fontId="9" type="noConversion"/>
  </si>
  <si>
    <t>비서</t>
    <phoneticPr fontId="9" type="noConversion"/>
  </si>
  <si>
    <t>0202030105_22v2</t>
  </si>
  <si>
    <t>0202030106_22v3</t>
  </si>
  <si>
    <t>0202030101_22v2</t>
  </si>
  <si>
    <t>0202030103_22v2</t>
  </si>
  <si>
    <t>업무 지원</t>
    <phoneticPr fontId="9" type="noConversion"/>
  </si>
  <si>
    <t>0202010107_19v2</t>
    <phoneticPr fontId="9" type="noConversion"/>
  </si>
  <si>
    <t>0202010108_19v2</t>
    <phoneticPr fontId="9" type="noConversion"/>
  </si>
  <si>
    <t>비품 관리</t>
    <phoneticPr fontId="9" type="noConversion"/>
  </si>
  <si>
    <t xml:space="preserve">	0202010104_19v2</t>
    <phoneticPr fontId="9" type="noConversion"/>
  </si>
  <si>
    <t>차량 운영 관리</t>
    <phoneticPr fontId="9" type="noConversion"/>
  </si>
  <si>
    <t>0202010105_19v2</t>
    <phoneticPr fontId="9" type="noConversion"/>
  </si>
  <si>
    <t>경영진 지원 업무</t>
    <phoneticPr fontId="9" type="noConversion"/>
  </si>
  <si>
    <t>경영진 일정 관리</t>
    <phoneticPr fontId="9" type="noConversion"/>
  </si>
  <si>
    <t>응대 업무</t>
    <phoneticPr fontId="9" type="noConversion"/>
  </si>
  <si>
    <t>보고 업무</t>
    <phoneticPr fontId="9" type="noConversion"/>
  </si>
  <si>
    <t>1705010135_21v2</t>
    <phoneticPr fontId="9" type="noConversion"/>
  </si>
  <si>
    <t>2401010702_17v1</t>
    <phoneticPr fontId="9" type="noConversion"/>
  </si>
  <si>
    <t>2401010704_17v1</t>
    <phoneticPr fontId="9" type="noConversion"/>
  </si>
  <si>
    <t>2401010707_17v1</t>
    <phoneticPr fontId="9" type="noConversion"/>
  </si>
  <si>
    <t>과자류 제품 재료 혼합</t>
    <phoneticPr fontId="9" type="noConversion"/>
  </si>
  <si>
    <t>2102010102_18v4</t>
    <phoneticPr fontId="9" type="noConversion"/>
  </si>
  <si>
    <t>과자류 제품 반죽 정형</t>
    <phoneticPr fontId="9" type="noConversion"/>
  </si>
  <si>
    <t>2102010103_18v4</t>
    <phoneticPr fontId="9" type="noConversion"/>
  </si>
  <si>
    <t>구움과자류 만들기</t>
    <phoneticPr fontId="9" type="noConversion"/>
  </si>
  <si>
    <t>2102010118_23v1</t>
    <phoneticPr fontId="9" type="noConversion"/>
  </si>
  <si>
    <t>2102010119_23v1</t>
    <phoneticPr fontId="9" type="noConversion"/>
  </si>
  <si>
    <t>타르트파이류 만들기</t>
    <phoneticPr fontId="9" type="noConversion"/>
  </si>
  <si>
    <t>제조 위생 관리</t>
    <phoneticPr fontId="9" type="noConversion"/>
  </si>
  <si>
    <t>2401010703_17v1</t>
    <phoneticPr fontId="9" type="noConversion"/>
  </si>
  <si>
    <t>시설 원예 병해충 관리</t>
    <phoneticPr fontId="9" type="noConversion"/>
  </si>
  <si>
    <t>2401010807_17v1</t>
    <phoneticPr fontId="9" type="noConversion"/>
  </si>
  <si>
    <t>농림어업시험원
작물재배시험원
제과제빵원</t>
    <phoneticPr fontId="9" type="noConversion"/>
  </si>
  <si>
    <t>시설 원예 시설 관리</t>
    <phoneticPr fontId="9" type="noConversion"/>
  </si>
  <si>
    <t>특용 작물 재배 계획 수립</t>
    <phoneticPr fontId="9" type="noConversion"/>
  </si>
  <si>
    <t>특용 작물 토양 관리</t>
    <phoneticPr fontId="9" type="noConversion"/>
  </si>
  <si>
    <t>특용 작물 시비 관리</t>
    <phoneticPr fontId="9" type="noConversion"/>
  </si>
  <si>
    <t>특용 작물 생육 관리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</si>
</sst>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64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i/>
      <sz val="10"/>
      <color rgb="FF0070C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6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sz val="5"/>
      <color theme="1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indexed="64"/>
      </patternFill>
    </fill>
  </fills>
  <borders count="16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4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38" fillId="0" borderId="0"/>
  </cellStyleXfs>
  <cellXfs count="64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0" xfId="3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2" fillId="0" borderId="0" xfId="0" applyFont="1">
      <alignment vertical="center"/>
    </xf>
    <xf numFmtId="0" fontId="14" fillId="12" borderId="73" xfId="3" applyFont="1" applyFill="1" applyBorder="1" applyAlignment="1">
      <alignment horizontal="center" vertical="center" wrapText="1"/>
    </xf>
    <xf numFmtId="177" fontId="22" fillId="0" borderId="0" xfId="0" applyNumberFormat="1" applyFont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6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6" xfId="4" applyFont="1" applyFill="1" applyBorder="1" applyAlignment="1" applyProtection="1">
      <alignment horizontal="center" vertical="center" wrapText="1"/>
    </xf>
    <xf numFmtId="0" fontId="32" fillId="0" borderId="6" xfId="0" applyFont="1" applyBorder="1" applyAlignment="1">
      <alignment vertical="center"/>
    </xf>
    <xf numFmtId="0" fontId="32" fillId="0" borderId="0" xfId="0" applyFont="1" applyBorder="1" applyAlignment="1">
      <alignment vertical="center"/>
    </xf>
    <xf numFmtId="0" fontId="32" fillId="0" borderId="6" xfId="0" applyFont="1" applyBorder="1" applyAlignment="1">
      <alignment horizontal="left" vertical="center"/>
    </xf>
    <xf numFmtId="0" fontId="32" fillId="0" borderId="0" xfId="0" applyFont="1" applyBorder="1" applyAlignment="1">
      <alignment horizontal="left" vertical="center"/>
    </xf>
    <xf numFmtId="0" fontId="32" fillId="0" borderId="18" xfId="0" applyFont="1" applyBorder="1" applyAlignment="1">
      <alignment horizontal="left" vertical="center"/>
    </xf>
    <xf numFmtId="0" fontId="32" fillId="0" borderId="18" xfId="0" applyFont="1" applyBorder="1" applyAlignment="1">
      <alignment vertical="center"/>
    </xf>
    <xf numFmtId="0" fontId="13" fillId="10" borderId="86" xfId="6" applyFont="1" applyFill="1" applyBorder="1" applyAlignment="1" applyProtection="1">
      <alignment horizontal="center" vertical="center" wrapText="1"/>
    </xf>
    <xf numFmtId="0" fontId="12" fillId="12" borderId="87" xfId="0" applyFont="1" applyFill="1" applyBorder="1" applyAlignment="1" applyProtection="1">
      <alignment horizontal="center" vertical="center"/>
      <protection locked="0"/>
    </xf>
    <xf numFmtId="0" fontId="12" fillId="12" borderId="27" xfId="0" applyFont="1" applyFill="1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 shrinkToFit="1"/>
      <protection locked="0"/>
    </xf>
    <xf numFmtId="0" fontId="33" fillId="12" borderId="88" xfId="0" applyFont="1" applyFill="1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25" fillId="3" borderId="52" xfId="3" applyFont="1" applyBorder="1" applyAlignment="1" applyProtection="1">
      <alignment horizontal="center" vertical="center"/>
      <protection locked="0"/>
    </xf>
    <xf numFmtId="176" fontId="18" fillId="16" borderId="88" xfId="7" applyNumberFormat="1" applyFont="1" applyFill="1" applyBorder="1" applyAlignment="1" applyProtection="1">
      <alignment horizontal="center" vertical="center" shrinkToFit="1"/>
    </xf>
    <xf numFmtId="0" fontId="28" fillId="11" borderId="88" xfId="7" applyFont="1" applyFill="1" applyBorder="1" applyAlignment="1" applyProtection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9" borderId="0" xfId="7" applyNumberFormat="1" applyFont="1" applyFill="1" applyBorder="1" applyAlignment="1" applyProtection="1">
      <alignment horizontal="center" vertical="center" shrinkToFit="1"/>
    </xf>
    <xf numFmtId="0" fontId="12" fillId="12" borderId="102" xfId="0" applyFont="1" applyFill="1" applyBorder="1" applyAlignment="1" applyProtection="1">
      <alignment horizontal="center" vertical="center"/>
      <protection locked="0"/>
    </xf>
    <xf numFmtId="0" fontId="29" fillId="15" borderId="40" xfId="4" applyFont="1" applyFill="1" applyBorder="1" applyAlignment="1" applyProtection="1">
      <alignment horizontal="center" vertical="center" wrapText="1"/>
    </xf>
    <xf numFmtId="0" fontId="29" fillId="15" borderId="53" xfId="4" applyFont="1" applyFill="1" applyBorder="1" applyAlignment="1" applyProtection="1">
      <alignment horizontal="center" vertical="center" wrapText="1"/>
    </xf>
    <xf numFmtId="0" fontId="29" fillId="15" borderId="65" xfId="4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53" xfId="6" applyFont="1" applyFill="1" applyBorder="1" applyAlignment="1" applyProtection="1">
      <alignment horizontal="center" vertical="center" wrapText="1"/>
    </xf>
    <xf numFmtId="0" fontId="13" fillId="10" borderId="54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6" borderId="22" xfId="4" applyFont="1" applyFill="1" applyBorder="1" applyAlignment="1" applyProtection="1">
      <alignment horizontal="center" vertical="center" wrapText="1"/>
    </xf>
    <xf numFmtId="0" fontId="12" fillId="0" borderId="98" xfId="0" applyFont="1" applyBorder="1" applyAlignment="1" applyProtection="1">
      <alignment horizontal="center" vertical="center"/>
      <protection locked="0"/>
    </xf>
    <xf numFmtId="0" fontId="12" fillId="0" borderId="98" xfId="0" applyFont="1" applyBorder="1" applyAlignment="1" applyProtection="1">
      <alignment horizontal="center" vertical="center" shrinkToFit="1"/>
      <protection locked="0"/>
    </xf>
    <xf numFmtId="0" fontId="33" fillId="0" borderId="7" xfId="0" applyFont="1" applyBorder="1" applyAlignment="1" applyProtection="1">
      <alignment horizontal="center" vertical="center"/>
      <protection locked="0"/>
    </xf>
    <xf numFmtId="176" fontId="13" fillId="15" borderId="34" xfId="0" applyNumberFormat="1" applyFont="1" applyFill="1" applyBorder="1" applyAlignment="1">
      <alignment horizontal="center" vertical="center" wrapText="1"/>
    </xf>
    <xf numFmtId="0" fontId="13" fillId="15" borderId="37" xfId="4" applyFont="1" applyFill="1" applyBorder="1" applyAlignment="1" applyProtection="1">
      <alignment horizontal="center" vertical="center" wrapText="1"/>
    </xf>
    <xf numFmtId="0" fontId="13" fillId="15" borderId="62" xfId="4" applyFont="1" applyFill="1" applyBorder="1" applyAlignment="1" applyProtection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wrapText="1"/>
    </xf>
    <xf numFmtId="0" fontId="13" fillId="15" borderId="37" xfId="5" applyFont="1" applyFill="1" applyBorder="1" applyAlignment="1" applyProtection="1">
      <alignment horizontal="center" vertical="center" wrapText="1"/>
    </xf>
    <xf numFmtId="176" fontId="13" fillId="15" borderId="35" xfId="0" applyNumberFormat="1" applyFont="1" applyFill="1" applyBorder="1" applyAlignment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wrapText="1"/>
    </xf>
    <xf numFmtId="0" fontId="13" fillId="15" borderId="30" xfId="4" applyFont="1" applyFill="1" applyBorder="1" applyAlignment="1" applyProtection="1">
      <alignment horizontal="center" vertical="center" wrapText="1"/>
    </xf>
    <xf numFmtId="0" fontId="13" fillId="15" borderId="41" xfId="4" applyFont="1" applyFill="1" applyBorder="1" applyAlignment="1" applyProtection="1">
      <alignment horizontal="center" vertical="center" wrapText="1"/>
    </xf>
    <xf numFmtId="0" fontId="13" fillId="15" borderId="40" xfId="5" applyFont="1" applyFill="1" applyBorder="1" applyAlignment="1" applyProtection="1">
      <alignment horizontal="center" vertical="center" wrapText="1"/>
    </xf>
    <xf numFmtId="176" fontId="13" fillId="15" borderId="90" xfId="0" applyNumberFormat="1" applyFont="1" applyFill="1" applyBorder="1" applyAlignment="1">
      <alignment horizontal="center" vertical="center" wrapText="1"/>
    </xf>
    <xf numFmtId="0" fontId="13" fillId="15" borderId="42" xfId="4" applyFont="1" applyFill="1" applyBorder="1" applyAlignment="1" applyProtection="1">
      <alignment horizontal="center" vertical="center" wrapText="1"/>
    </xf>
    <xf numFmtId="0" fontId="13" fillId="15" borderId="43" xfId="4" applyFont="1" applyFill="1" applyBorder="1" applyAlignment="1" applyProtection="1">
      <alignment horizontal="center" vertical="center" wrapText="1"/>
    </xf>
    <xf numFmtId="0" fontId="13" fillId="15" borderId="44" xfId="4" applyFont="1" applyFill="1" applyBorder="1" applyAlignment="1" applyProtection="1">
      <alignment horizontal="center" vertical="center" wrapText="1"/>
    </xf>
    <xf numFmtId="176" fontId="13" fillId="15" borderId="36" xfId="0" applyNumberFormat="1" applyFont="1" applyFill="1" applyBorder="1" applyAlignment="1">
      <alignment horizontal="center" vertical="center" wrapText="1"/>
    </xf>
    <xf numFmtId="0" fontId="13" fillId="15" borderId="38" xfId="4" applyFont="1" applyFill="1" applyBorder="1" applyAlignment="1" applyProtection="1">
      <alignment horizontal="center" vertical="center" wrapText="1"/>
    </xf>
    <xf numFmtId="176" fontId="13" fillId="15" borderId="76" xfId="0" applyNumberFormat="1" applyFont="1" applyFill="1" applyBorder="1" applyAlignment="1">
      <alignment horizontal="center" vertical="center" wrapText="1"/>
    </xf>
    <xf numFmtId="0" fontId="13" fillId="15" borderId="70" xfId="4" applyFont="1" applyFill="1" applyBorder="1" applyAlignment="1" applyProtection="1">
      <alignment horizontal="center" vertical="center" wrapText="1"/>
    </xf>
    <xf numFmtId="0" fontId="13" fillId="15" borderId="51" xfId="4" applyFont="1" applyFill="1" applyBorder="1" applyAlignment="1" applyProtection="1">
      <alignment horizontal="center" vertical="center" wrapText="1"/>
    </xf>
    <xf numFmtId="0" fontId="13" fillId="15" borderId="42" xfId="5" applyFont="1" applyFill="1" applyBorder="1" applyAlignment="1" applyProtection="1">
      <alignment horizontal="center" vertical="center" wrapText="1"/>
    </xf>
    <xf numFmtId="0" fontId="13" fillId="15" borderId="85" xfId="4" applyFont="1" applyFill="1" applyBorder="1" applyAlignment="1" applyProtection="1">
      <alignment horizontal="center" vertical="center" wrapText="1"/>
    </xf>
    <xf numFmtId="0" fontId="13" fillId="15" borderId="91" xfId="4" applyFont="1" applyFill="1" applyBorder="1" applyAlignment="1" applyProtection="1">
      <alignment horizontal="center" vertical="center" shrinkToFit="1"/>
    </xf>
    <xf numFmtId="0" fontId="13" fillId="15" borderId="35" xfId="4" applyFont="1" applyFill="1" applyBorder="1" applyAlignment="1" applyProtection="1">
      <alignment horizontal="center" vertical="center" wrapText="1"/>
    </xf>
    <xf numFmtId="0" fontId="13" fillId="15" borderId="35" xfId="4" applyFont="1" applyFill="1" applyBorder="1" applyAlignment="1" applyProtection="1">
      <alignment horizontal="center" vertical="center" shrinkToFit="1"/>
    </xf>
    <xf numFmtId="0" fontId="13" fillId="15" borderId="16" xfId="4" applyFont="1" applyFill="1" applyBorder="1" applyAlignment="1" applyProtection="1">
      <alignment horizontal="center" vertical="center" shrinkToFit="1"/>
    </xf>
    <xf numFmtId="0" fontId="13" fillId="15" borderId="34" xfId="4" applyFont="1" applyFill="1" applyBorder="1" applyAlignment="1" applyProtection="1">
      <alignment horizontal="center" vertical="center" shrinkToFit="1"/>
    </xf>
    <xf numFmtId="0" fontId="13" fillId="15" borderId="34" xfId="4" applyFont="1" applyFill="1" applyBorder="1" applyAlignment="1" applyProtection="1">
      <alignment horizontal="center" vertical="center" wrapText="1"/>
    </xf>
    <xf numFmtId="0" fontId="13" fillId="15" borderId="36" xfId="4" applyFont="1" applyFill="1" applyBorder="1" applyAlignment="1" applyProtection="1">
      <alignment horizontal="center" vertical="center" shrinkToFit="1"/>
    </xf>
    <xf numFmtId="0" fontId="13" fillId="15" borderId="90" xfId="4" applyFont="1" applyFill="1" applyBorder="1" applyAlignment="1" applyProtection="1">
      <alignment horizontal="center" vertical="center" wrapText="1"/>
    </xf>
    <xf numFmtId="0" fontId="22" fillId="15" borderId="34" xfId="4" applyFont="1" applyFill="1" applyBorder="1" applyAlignment="1" applyProtection="1">
      <alignment horizontal="center" vertical="center" wrapText="1"/>
    </xf>
    <xf numFmtId="0" fontId="23" fillId="0" borderId="0" xfId="0" applyFont="1" applyAlignment="1" applyProtection="1">
      <alignment horizontal="center" vertical="center"/>
      <protection locked="0"/>
    </xf>
    <xf numFmtId="0" fontId="13" fillId="6" borderId="69" xfId="4" applyFont="1" applyFill="1" applyBorder="1" applyAlignment="1" applyProtection="1">
      <alignment horizontal="center" vertical="center" wrapText="1"/>
    </xf>
    <xf numFmtId="0" fontId="22" fillId="0" borderId="112" xfId="0" applyFont="1" applyBorder="1" applyAlignment="1" applyProtection="1">
      <alignment horizontal="center" vertical="center"/>
      <protection locked="0"/>
    </xf>
    <xf numFmtId="0" fontId="34" fillId="0" borderId="0" xfId="16" applyFont="1" applyAlignment="1">
      <alignment vertical="center"/>
    </xf>
    <xf numFmtId="0" fontId="16" fillId="0" borderId="0" xfId="16" applyFont="1" applyAlignment="1"/>
    <xf numFmtId="0" fontId="34" fillId="18" borderId="113" xfId="16" applyFont="1" applyFill="1" applyBorder="1" applyAlignment="1">
      <alignment horizontal="center" vertical="center"/>
    </xf>
    <xf numFmtId="0" fontId="34" fillId="0" borderId="114" xfId="16" applyFont="1" applyBorder="1" applyAlignment="1">
      <alignment vertical="center"/>
    </xf>
    <xf numFmtId="0" fontId="34" fillId="0" borderId="25" xfId="16" applyFont="1" applyBorder="1" applyAlignment="1">
      <alignment vertical="center"/>
    </xf>
    <xf numFmtId="0" fontId="34" fillId="0" borderId="22" xfId="16" applyFont="1" applyBorder="1" applyAlignment="1">
      <alignment vertical="center"/>
    </xf>
    <xf numFmtId="0" fontId="34" fillId="0" borderId="4" xfId="16" applyFont="1" applyBorder="1" applyAlignment="1">
      <alignment vertical="center"/>
    </xf>
    <xf numFmtId="0" fontId="34" fillId="0" borderId="116" xfId="16" applyFont="1" applyBorder="1" applyAlignment="1">
      <alignment vertical="center"/>
    </xf>
    <xf numFmtId="0" fontId="34" fillId="0" borderId="18" xfId="16" applyFont="1" applyBorder="1" applyAlignment="1">
      <alignment vertical="center"/>
    </xf>
    <xf numFmtId="0" fontId="34" fillId="0" borderId="6" xfId="16" applyFont="1" applyBorder="1" applyAlignment="1">
      <alignment vertical="center"/>
    </xf>
    <xf numFmtId="0" fontId="34" fillId="0" borderId="121" xfId="16" applyFont="1" applyBorder="1" applyAlignment="1">
      <alignment vertical="center"/>
    </xf>
    <xf numFmtId="0" fontId="34" fillId="0" borderId="3" xfId="16" applyFont="1" applyBorder="1" applyAlignment="1">
      <alignment vertical="center"/>
    </xf>
    <xf numFmtId="0" fontId="34" fillId="0" borderId="19" xfId="16" applyFont="1" applyBorder="1" applyAlignment="1">
      <alignment vertical="center"/>
    </xf>
    <xf numFmtId="0" fontId="34" fillId="0" borderId="17" xfId="16" applyFont="1" applyBorder="1" applyAlignment="1">
      <alignment vertical="center"/>
    </xf>
    <xf numFmtId="0" fontId="34" fillId="20" borderId="127" xfId="16" applyFont="1" applyFill="1" applyBorder="1" applyAlignment="1">
      <alignment horizontal="center" vertical="center" wrapText="1"/>
    </xf>
    <xf numFmtId="0" fontId="34" fillId="20" borderId="128" xfId="16" applyFont="1" applyFill="1" applyBorder="1" applyAlignment="1">
      <alignment horizontal="center" vertical="center" wrapText="1"/>
    </xf>
    <xf numFmtId="0" fontId="44" fillId="20" borderId="128" xfId="16" applyFont="1" applyFill="1" applyBorder="1" applyAlignment="1">
      <alignment horizontal="center" vertical="center" wrapText="1"/>
    </xf>
    <xf numFmtId="0" fontId="44" fillId="20" borderId="129" xfId="16" applyFont="1" applyFill="1" applyBorder="1" applyAlignment="1">
      <alignment horizontal="center" vertical="center" wrapText="1"/>
    </xf>
    <xf numFmtId="0" fontId="34" fillId="0" borderId="18" xfId="16" applyFont="1" applyBorder="1" applyAlignment="1">
      <alignment vertical="center" wrapText="1"/>
    </xf>
    <xf numFmtId="0" fontId="34" fillId="0" borderId="6" xfId="16" applyFont="1" applyBorder="1" applyAlignment="1">
      <alignment vertical="center" wrapText="1"/>
    </xf>
    <xf numFmtId="0" fontId="45" fillId="0" borderId="133" xfId="16" applyFont="1" applyBorder="1" applyAlignment="1">
      <alignment horizontal="center" vertical="center" wrapText="1"/>
    </xf>
    <xf numFmtId="0" fontId="45" fillId="0" borderId="135" xfId="16" applyFont="1" applyBorder="1" applyAlignment="1">
      <alignment horizontal="center" vertical="center" wrapText="1"/>
    </xf>
    <xf numFmtId="0" fontId="45" fillId="0" borderId="139" xfId="16" applyFont="1" applyBorder="1" applyAlignment="1">
      <alignment horizontal="center" vertical="center" wrapText="1"/>
    </xf>
    <xf numFmtId="0" fontId="45" fillId="0" borderId="140" xfId="16" applyFont="1" applyBorder="1" applyAlignment="1">
      <alignment horizontal="center" vertical="center" wrapText="1"/>
    </xf>
    <xf numFmtId="0" fontId="45" fillId="0" borderId="143" xfId="16" applyFont="1" applyBorder="1" applyAlignment="1">
      <alignment horizontal="center" vertical="center" wrapText="1"/>
    </xf>
    <xf numFmtId="0" fontId="45" fillId="0" borderId="144" xfId="16" applyFont="1" applyBorder="1" applyAlignment="1">
      <alignment horizontal="center" vertical="center" wrapText="1"/>
    </xf>
    <xf numFmtId="0" fontId="45" fillId="0" borderId="146" xfId="16" applyFont="1" applyBorder="1" applyAlignment="1">
      <alignment horizontal="center" vertical="center" wrapText="1"/>
    </xf>
    <xf numFmtId="0" fontId="34" fillId="0" borderId="146" xfId="16" applyFont="1" applyBorder="1" applyAlignment="1">
      <alignment horizontal="center" vertical="center" wrapText="1"/>
    </xf>
    <xf numFmtId="0" fontId="45" fillId="0" borderId="147" xfId="16" applyFont="1" applyBorder="1" applyAlignment="1">
      <alignment horizontal="center" vertical="center" wrapText="1"/>
    </xf>
    <xf numFmtId="0" fontId="34" fillId="0" borderId="140" xfId="16" applyFont="1" applyBorder="1" applyAlignment="1">
      <alignment horizontal="center" vertical="center" wrapText="1"/>
    </xf>
    <xf numFmtId="0" fontId="34" fillId="0" borderId="143" xfId="16" applyFont="1" applyBorder="1" applyAlignment="1">
      <alignment horizontal="center" vertical="center" wrapText="1"/>
    </xf>
    <xf numFmtId="0" fontId="45" fillId="0" borderId="119" xfId="16" applyFont="1" applyBorder="1" applyAlignment="1">
      <alignment horizontal="center" vertical="center" wrapText="1"/>
    </xf>
    <xf numFmtId="0" fontId="47" fillId="20" borderId="119" xfId="16" applyFont="1" applyFill="1" applyBorder="1" applyAlignment="1">
      <alignment horizontal="center" vertical="center" wrapText="1"/>
    </xf>
    <xf numFmtId="0" fontId="48" fillId="0" borderId="140" xfId="16" applyFont="1" applyBorder="1" applyAlignment="1">
      <alignment horizontal="center" vertical="center" wrapText="1"/>
    </xf>
    <xf numFmtId="0" fontId="48" fillId="0" borderId="118" xfId="16" applyFont="1" applyBorder="1" applyAlignment="1">
      <alignment horizontal="center" vertical="center" wrapText="1"/>
    </xf>
    <xf numFmtId="0" fontId="47" fillId="0" borderId="119" xfId="16" applyFont="1" applyBorder="1" applyAlignment="1">
      <alignment horizontal="center" vertical="center" wrapText="1"/>
    </xf>
    <xf numFmtId="0" fontId="34" fillId="0" borderId="0" xfId="16" applyFont="1" applyBorder="1" applyAlignment="1">
      <alignment vertical="center"/>
    </xf>
    <xf numFmtId="0" fontId="49" fillId="0" borderId="0" xfId="16" applyFont="1" applyBorder="1" applyAlignment="1">
      <alignment horizontal="center" vertical="center"/>
    </xf>
    <xf numFmtId="0" fontId="43" fillId="0" borderId="119" xfId="16" applyFont="1" applyBorder="1" applyAlignment="1">
      <alignment horizontal="center" vertical="center"/>
    </xf>
    <xf numFmtId="0" fontId="43" fillId="19" borderId="140" xfId="16" applyFont="1" applyFill="1" applyBorder="1" applyAlignment="1">
      <alignment horizontal="center" vertical="center"/>
    </xf>
    <xf numFmtId="0" fontId="43" fillId="19" borderId="118" xfId="16" applyFont="1" applyFill="1" applyBorder="1" applyAlignment="1">
      <alignment horizontal="center" vertical="center" wrapText="1"/>
    </xf>
    <xf numFmtId="0" fontId="49" fillId="0" borderId="140" xfId="16" applyFont="1" applyBorder="1" applyAlignment="1">
      <alignment horizontal="center" vertical="center" wrapText="1"/>
    </xf>
    <xf numFmtId="0" fontId="49" fillId="0" borderId="119" xfId="16" applyFont="1" applyBorder="1" applyAlignment="1">
      <alignment horizontal="center" vertical="center" wrapText="1"/>
    </xf>
    <xf numFmtId="0" fontId="43" fillId="0" borderId="140" xfId="16" applyFont="1" applyBorder="1" applyAlignment="1">
      <alignment horizontal="center" vertical="center" wrapText="1"/>
    </xf>
    <xf numFmtId="0" fontId="43" fillId="0" borderId="119" xfId="16" applyFont="1" applyBorder="1" applyAlignment="1">
      <alignment horizontal="center" vertical="center" wrapText="1"/>
    </xf>
    <xf numFmtId="0" fontId="34" fillId="0" borderId="140" xfId="16" applyFont="1" applyBorder="1" applyAlignment="1">
      <alignment vertical="center" wrapText="1"/>
    </xf>
    <xf numFmtId="0" fontId="34" fillId="0" borderId="0" xfId="16" applyFont="1" applyBorder="1" applyAlignment="1">
      <alignment vertical="center" wrapText="1"/>
    </xf>
    <xf numFmtId="0" fontId="43" fillId="19" borderId="119" xfId="16" applyFont="1" applyFill="1" applyBorder="1" applyAlignment="1">
      <alignment horizontal="center" vertical="center"/>
    </xf>
    <xf numFmtId="0" fontId="43" fillId="0" borderId="118" xfId="16" applyFont="1" applyBorder="1" applyAlignment="1">
      <alignment horizontal="center" vertical="center"/>
    </xf>
    <xf numFmtId="0" fontId="43" fillId="0" borderId="140" xfId="16" applyFont="1" applyBorder="1" applyAlignment="1">
      <alignment horizontal="center" vertical="center"/>
    </xf>
    <xf numFmtId="0" fontId="50" fillId="0" borderId="140" xfId="16" applyFont="1" applyBorder="1" applyAlignment="1">
      <alignment horizontal="center" vertical="center"/>
    </xf>
    <xf numFmtId="0" fontId="50" fillId="0" borderId="119" xfId="16" applyFont="1" applyBorder="1" applyAlignment="1">
      <alignment horizontal="center" vertical="center"/>
    </xf>
    <xf numFmtId="0" fontId="34" fillId="0" borderId="126" xfId="16" applyFont="1" applyBorder="1" applyAlignment="1">
      <alignment vertical="center"/>
    </xf>
    <xf numFmtId="0" fontId="34" fillId="0" borderId="124" xfId="16" applyFont="1" applyBorder="1" applyAlignment="1">
      <alignment vertical="center"/>
    </xf>
    <xf numFmtId="0" fontId="34" fillId="0" borderId="151" xfId="16" applyFont="1" applyBorder="1" applyAlignment="1">
      <alignment vertical="center"/>
    </xf>
    <xf numFmtId="0" fontId="34" fillId="0" borderId="152" xfId="16" applyFont="1" applyBorder="1" applyAlignment="1">
      <alignment vertical="center"/>
    </xf>
    <xf numFmtId="0" fontId="34" fillId="0" borderId="101" xfId="16" applyFont="1" applyBorder="1" applyAlignment="1">
      <alignment vertical="center"/>
    </xf>
    <xf numFmtId="0" fontId="34" fillId="0" borderId="122" xfId="16" applyFont="1" applyBorder="1" applyAlignment="1">
      <alignment vertical="center"/>
    </xf>
    <xf numFmtId="0" fontId="34" fillId="0" borderId="154" xfId="16" applyFont="1" applyBorder="1" applyAlignment="1">
      <alignment vertical="center"/>
    </xf>
    <xf numFmtId="0" fontId="34" fillId="0" borderId="155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87" xfId="0" applyBorder="1" applyAlignment="1" applyProtection="1">
      <alignment horizontal="center" vertical="center"/>
      <protection locked="0"/>
    </xf>
    <xf numFmtId="0" fontId="0" fillId="0" borderId="2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15" borderId="65" xfId="4" applyFont="1" applyFill="1" applyBorder="1" applyAlignment="1" applyProtection="1">
      <alignment horizontal="center" vertical="center" wrapText="1"/>
    </xf>
    <xf numFmtId="0" fontId="13" fillId="15" borderId="93" xfId="4" applyFont="1" applyFill="1" applyBorder="1" applyAlignment="1" applyProtection="1">
      <alignment horizontal="center" vertical="center" wrapText="1"/>
    </xf>
    <xf numFmtId="0" fontId="13" fillId="15" borderId="13" xfId="4" applyFont="1" applyFill="1" applyBorder="1" applyAlignment="1" applyProtection="1">
      <alignment horizontal="center" vertical="center" shrinkToFit="1"/>
    </xf>
    <xf numFmtId="0" fontId="18" fillId="16" borderId="88" xfId="7" applyNumberFormat="1" applyFont="1" applyFill="1" applyBorder="1" applyAlignment="1" applyProtection="1">
      <alignment horizontal="center" vertical="center" shrinkToFit="1"/>
    </xf>
    <xf numFmtId="0" fontId="55" fillId="15" borderId="37" xfId="4" applyFont="1" applyFill="1" applyBorder="1" applyAlignment="1" applyProtection="1">
      <alignment horizontal="center" vertical="center" wrapText="1"/>
    </xf>
    <xf numFmtId="0" fontId="55" fillId="15" borderId="160" xfId="4" applyFont="1" applyFill="1" applyBorder="1" applyAlignment="1" applyProtection="1">
      <alignment horizontal="center" vertical="center" wrapText="1"/>
    </xf>
    <xf numFmtId="0" fontId="55" fillId="15" borderId="42" xfId="4" applyFont="1" applyFill="1" applyBorder="1" applyAlignment="1" applyProtection="1">
      <alignment horizontal="center" vertical="center" wrapText="1"/>
    </xf>
    <xf numFmtId="0" fontId="55" fillId="15" borderId="65" xfId="4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vertical="center"/>
      <protection locked="0"/>
    </xf>
    <xf numFmtId="0" fontId="20" fillId="9" borderId="87" xfId="7" applyNumberFormat="1" applyFont="1" applyFill="1" applyBorder="1" applyAlignment="1" applyProtection="1">
      <alignment horizontal="center" vertical="center" shrinkToFit="1"/>
    </xf>
    <xf numFmtId="176" fontId="20" fillId="9" borderId="87" xfId="7" applyNumberFormat="1" applyFont="1" applyFill="1" applyBorder="1" applyAlignment="1" applyProtection="1">
      <alignment horizontal="center" vertical="center" shrinkToFit="1"/>
    </xf>
    <xf numFmtId="176" fontId="58" fillId="0" borderId="87" xfId="0" applyNumberFormat="1" applyFont="1" applyBorder="1">
      <alignment vertical="center"/>
    </xf>
    <xf numFmtId="176" fontId="58" fillId="0" borderId="27" xfId="0" applyNumberFormat="1" applyFont="1" applyBorder="1">
      <alignment vertical="center"/>
    </xf>
    <xf numFmtId="0" fontId="20" fillId="9" borderId="14" xfId="7" applyNumberFormat="1" applyFont="1" applyFill="1" applyBorder="1" applyAlignment="1" applyProtection="1">
      <alignment horizontal="center" vertical="center" shrinkToFit="1"/>
    </xf>
    <xf numFmtId="0" fontId="20" fillId="9" borderId="11" xfId="7" applyNumberFormat="1" applyFont="1" applyFill="1" applyBorder="1" applyAlignment="1" applyProtection="1">
      <alignment horizontal="center" vertical="center" shrinkToFit="1"/>
    </xf>
    <xf numFmtId="176" fontId="20" fillId="9" borderId="14" xfId="7" applyNumberFormat="1" applyFont="1" applyFill="1" applyBorder="1" applyAlignment="1" applyProtection="1">
      <alignment horizontal="center" vertical="center" shrinkToFit="1"/>
    </xf>
    <xf numFmtId="176" fontId="58" fillId="0" borderId="14" xfId="0" applyNumberFormat="1" applyFont="1" applyBorder="1">
      <alignment vertical="center"/>
    </xf>
    <xf numFmtId="176" fontId="58" fillId="0" borderId="10" xfId="0" applyNumberFormat="1" applyFont="1" applyBorder="1">
      <alignment vertical="center"/>
    </xf>
    <xf numFmtId="176" fontId="20" fillId="9" borderId="11" xfId="7" applyNumberFormat="1" applyFont="1" applyFill="1" applyBorder="1" applyAlignment="1" applyProtection="1">
      <alignment horizontal="center" vertical="center" shrinkToFit="1"/>
    </xf>
    <xf numFmtId="176" fontId="58" fillId="0" borderId="11" xfId="0" applyNumberFormat="1" applyFont="1" applyBorder="1">
      <alignment vertical="center"/>
    </xf>
    <xf numFmtId="176" fontId="58" fillId="0" borderId="96" xfId="0" applyNumberFormat="1" applyFont="1" applyBorder="1">
      <alignment vertical="center"/>
    </xf>
    <xf numFmtId="176" fontId="18" fillId="16" borderId="88" xfId="7" applyNumberFormat="1" applyFont="1" applyFill="1" applyBorder="1" applyAlignment="1" applyProtection="1">
      <alignment horizontal="right" vertical="center" shrinkToFit="1"/>
    </xf>
    <xf numFmtId="0" fontId="13" fillId="15" borderId="55" xfId="4" applyFont="1" applyFill="1" applyBorder="1" applyAlignment="1" applyProtection="1">
      <alignment horizontal="center" vertical="center" wrapText="1"/>
    </xf>
    <xf numFmtId="0" fontId="13" fillId="15" borderId="76" xfId="4" applyFont="1" applyFill="1" applyBorder="1" applyAlignment="1" applyProtection="1">
      <alignment horizontal="center" vertical="center" wrapText="1"/>
    </xf>
    <xf numFmtId="0" fontId="20" fillId="0" borderId="87" xfId="7" applyNumberFormat="1" applyFont="1" applyFill="1" applyBorder="1" applyAlignment="1" applyProtection="1">
      <alignment horizontal="center" vertical="center" shrinkToFit="1"/>
    </xf>
    <xf numFmtId="0" fontId="20" fillId="0" borderId="14" xfId="7" applyNumberFormat="1" applyFont="1" applyFill="1" applyBorder="1" applyAlignment="1" applyProtection="1">
      <alignment horizontal="center" vertical="center" shrinkToFit="1"/>
    </xf>
    <xf numFmtId="0" fontId="20" fillId="0" borderId="11" xfId="7" applyNumberFormat="1" applyFont="1" applyFill="1" applyBorder="1" applyAlignment="1" applyProtection="1">
      <alignment horizontal="center" vertical="center" shrinkToFit="1"/>
    </xf>
    <xf numFmtId="0" fontId="13" fillId="10" borderId="54" xfId="6" applyFont="1" applyFill="1" applyBorder="1" applyAlignment="1" applyProtection="1">
      <alignment horizontal="center" vertical="center" wrapText="1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53" xfId="6" applyFont="1" applyFill="1" applyBorder="1" applyAlignment="1" applyProtection="1">
      <alignment horizontal="center" vertical="center" wrapText="1"/>
    </xf>
    <xf numFmtId="0" fontId="13" fillId="15" borderId="76" xfId="4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18" fillId="16" borderId="88" xfId="7" applyNumberFormat="1" applyFont="1" applyFill="1" applyBorder="1" applyAlignment="1" applyProtection="1">
      <alignment horizontal="center" vertical="center" shrinkToFit="1"/>
    </xf>
    <xf numFmtId="0" fontId="19" fillId="0" borderId="0" xfId="0" applyFont="1" applyAlignment="1">
      <alignment horizontal="center" vertical="center"/>
    </xf>
    <xf numFmtId="0" fontId="13" fillId="15" borderId="13" xfId="4" applyFont="1" applyFill="1" applyBorder="1" applyAlignment="1" applyProtection="1">
      <alignment horizontal="center" vertical="center" wrapText="1"/>
    </xf>
    <xf numFmtId="0" fontId="13" fillId="15" borderId="71" xfId="4" applyFont="1" applyFill="1" applyBorder="1" applyAlignment="1" applyProtection="1">
      <alignment horizontal="center" vertical="center" wrapText="1"/>
    </xf>
    <xf numFmtId="0" fontId="13" fillId="15" borderId="74" xfId="4" applyFont="1" applyFill="1" applyBorder="1" applyAlignment="1" applyProtection="1">
      <alignment horizontal="center" vertical="center" wrapText="1"/>
    </xf>
    <xf numFmtId="0" fontId="13" fillId="15" borderId="58" xfId="4" applyFont="1" applyFill="1" applyBorder="1" applyAlignment="1" applyProtection="1">
      <alignment horizontal="center" vertical="center" wrapText="1"/>
    </xf>
    <xf numFmtId="0" fontId="13" fillId="13" borderId="13" xfId="4" applyFont="1" applyFill="1" applyBorder="1" applyAlignment="1" applyProtection="1">
      <alignment horizontal="center" vertical="center" shrinkToFit="1"/>
    </xf>
    <xf numFmtId="0" fontId="13" fillId="13" borderId="29" xfId="4" applyFont="1" applyFill="1" applyBorder="1" applyAlignment="1" applyProtection="1">
      <alignment horizontal="center" vertical="center" shrinkToFit="1"/>
    </xf>
    <xf numFmtId="0" fontId="13" fillId="13" borderId="76" xfId="4" applyFont="1" applyFill="1" applyBorder="1" applyAlignment="1" applyProtection="1">
      <alignment horizontal="center" vertical="center" shrinkToFit="1"/>
    </xf>
    <xf numFmtId="0" fontId="20" fillId="9" borderId="11" xfId="7" applyFont="1" applyFill="1" applyBorder="1" applyAlignment="1">
      <alignment horizontal="center" vertical="center" shrinkToFit="1"/>
    </xf>
    <xf numFmtId="0" fontId="20" fillId="9" borderId="14" xfId="7" applyFont="1" applyFill="1" applyBorder="1" applyAlignment="1">
      <alignment horizontal="center" vertical="center" shrinkToFit="1"/>
    </xf>
    <xf numFmtId="0" fontId="20" fillId="9" borderId="161" xfId="7" applyFont="1" applyFill="1" applyBorder="1" applyAlignment="1">
      <alignment horizontal="center" vertical="center" shrinkToFit="1"/>
    </xf>
    <xf numFmtId="0" fontId="20" fillId="9" borderId="9" xfId="7" applyFont="1" applyFill="1" applyBorder="1" applyAlignment="1">
      <alignment horizontal="center" vertical="center" shrinkToFit="1"/>
    </xf>
    <xf numFmtId="0" fontId="20" fillId="0" borderId="14" xfId="7" applyFont="1" applyBorder="1" applyAlignment="1">
      <alignment horizontal="center" vertical="center" shrinkToFit="1"/>
    </xf>
    <xf numFmtId="0" fontId="20" fillId="0" borderId="87" xfId="7" applyFont="1" applyBorder="1" applyAlignment="1">
      <alignment horizontal="center" vertical="center" shrinkToFit="1"/>
    </xf>
    <xf numFmtId="0" fontId="20" fillId="9" borderId="87" xfId="7" applyFont="1" applyFill="1" applyBorder="1" applyAlignment="1">
      <alignment horizontal="center" vertical="center" shrinkToFit="1"/>
    </xf>
    <xf numFmtId="0" fontId="20" fillId="0" borderId="11" xfId="7" applyFont="1" applyBorder="1" applyAlignment="1">
      <alignment horizontal="center" vertical="center" shrinkToFit="1"/>
    </xf>
    <xf numFmtId="0" fontId="60" fillId="0" borderId="87" xfId="0" applyFont="1" applyBorder="1" applyAlignment="1">
      <alignment horizontal="center" vertical="center"/>
    </xf>
    <xf numFmtId="0" fontId="60" fillId="0" borderId="14" xfId="0" applyFont="1" applyBorder="1" applyAlignment="1">
      <alignment horizontal="center" vertical="center"/>
    </xf>
    <xf numFmtId="0" fontId="0" fillId="0" borderId="0" xfId="0" applyBorder="1" applyAlignment="1" applyProtection="1">
      <alignment horizontal="center" vertical="center"/>
      <protection locked="0"/>
    </xf>
    <xf numFmtId="0" fontId="13" fillId="15" borderId="90" xfId="4" applyFont="1" applyFill="1" applyBorder="1" applyAlignment="1" applyProtection="1">
      <alignment horizontal="center" vertical="center" shrinkToFit="1"/>
    </xf>
    <xf numFmtId="0" fontId="22" fillId="15" borderId="90" xfId="4" applyFont="1" applyFill="1" applyBorder="1" applyAlignment="1" applyProtection="1">
      <alignment horizontal="center" vertical="center" wrapText="1"/>
    </xf>
    <xf numFmtId="0" fontId="13" fillId="15" borderId="76" xfId="4" applyFont="1" applyFill="1" applyBorder="1" applyAlignment="1" applyProtection="1">
      <alignment horizontal="center" vertical="center" shrinkToFit="1"/>
    </xf>
    <xf numFmtId="0" fontId="13" fillId="15" borderId="29" xfId="4" applyFont="1" applyFill="1" applyBorder="1" applyAlignment="1" applyProtection="1">
      <alignment horizontal="center" vertical="center" wrapText="1"/>
    </xf>
    <xf numFmtId="0" fontId="13" fillId="15" borderId="29" xfId="4" applyFont="1" applyFill="1" applyBorder="1" applyAlignment="1" applyProtection="1">
      <alignment horizontal="center" vertical="center" shrinkToFit="1"/>
    </xf>
    <xf numFmtId="0" fontId="55" fillId="15" borderId="53" xfId="4" applyFont="1" applyFill="1" applyBorder="1" applyAlignment="1" applyProtection="1">
      <alignment horizontal="center" vertical="center" wrapText="1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Fill="1" applyProtection="1">
      <alignment vertical="center"/>
      <protection locked="0"/>
    </xf>
    <xf numFmtId="0" fontId="13" fillId="15" borderId="65" xfId="5" applyFont="1" applyFill="1" applyBorder="1" applyAlignment="1" applyProtection="1">
      <alignment horizontal="center" vertical="center" wrapText="1"/>
    </xf>
    <xf numFmtId="0" fontId="0" fillId="0" borderId="164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96" xfId="0" applyBorder="1" applyAlignment="1" applyProtection="1">
      <alignment horizontal="center" vertical="center"/>
      <protection locked="0"/>
    </xf>
    <xf numFmtId="0" fontId="0" fillId="0" borderId="165" xfId="0" applyBorder="1" applyAlignment="1" applyProtection="1">
      <alignment horizontal="center" vertical="center"/>
      <protection locked="0"/>
    </xf>
    <xf numFmtId="0" fontId="0" fillId="0" borderId="161" xfId="0" applyBorder="1" applyAlignment="1" applyProtection="1">
      <alignment horizontal="center" vertical="center"/>
      <protection locked="0"/>
    </xf>
    <xf numFmtId="0" fontId="0" fillId="0" borderId="166" xfId="0" applyBorder="1" applyAlignment="1" applyProtection="1">
      <alignment horizontal="center" vertical="center"/>
      <protection locked="0"/>
    </xf>
    <xf numFmtId="0" fontId="13" fillId="15" borderId="92" xfId="4" applyFont="1" applyFill="1" applyBorder="1" applyAlignment="1" applyProtection="1">
      <alignment horizontal="center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13" fillId="15" borderId="58" xfId="4" applyFont="1" applyFill="1" applyBorder="1" applyAlignment="1" applyProtection="1">
      <alignment horizontal="center" vertical="center" wrapText="1"/>
    </xf>
    <xf numFmtId="0" fontId="13" fillId="15" borderId="71" xfId="4" applyFont="1" applyFill="1" applyBorder="1" applyAlignment="1" applyProtection="1">
      <alignment horizontal="center" vertical="center" wrapText="1"/>
    </xf>
    <xf numFmtId="0" fontId="13" fillId="15" borderId="58" xfId="4" applyFont="1" applyFill="1" applyBorder="1" applyAlignment="1" applyProtection="1">
      <alignment horizontal="center" vertical="center" wrapText="1"/>
    </xf>
    <xf numFmtId="0" fontId="13" fillId="15" borderId="74" xfId="4" applyFont="1" applyFill="1" applyBorder="1" applyAlignment="1" applyProtection="1">
      <alignment horizontal="center" vertical="center" wrapText="1"/>
    </xf>
    <xf numFmtId="176" fontId="62" fillId="9" borderId="87" xfId="7" applyNumberFormat="1" applyFont="1" applyFill="1" applyBorder="1" applyAlignment="1" applyProtection="1">
      <alignment horizontal="center" vertical="center" shrinkToFit="1"/>
    </xf>
    <xf numFmtId="176" fontId="62" fillId="9" borderId="14" xfId="7" applyNumberFormat="1" applyFont="1" applyFill="1" applyBorder="1" applyAlignment="1" applyProtection="1">
      <alignment horizontal="center" vertical="center" shrinkToFit="1"/>
    </xf>
    <xf numFmtId="176" fontId="61" fillId="16" borderId="88" xfId="7" applyNumberFormat="1" applyFont="1" applyFill="1" applyBorder="1" applyAlignment="1" applyProtection="1">
      <alignment horizontal="center" vertical="center" shrinkToFit="1"/>
    </xf>
    <xf numFmtId="0" fontId="18" fillId="16" borderId="88" xfId="7" applyNumberFormat="1" applyFont="1" applyFill="1" applyBorder="1" applyAlignment="1" applyProtection="1">
      <alignment horizontal="center" vertical="center" shrinkToFit="1"/>
    </xf>
    <xf numFmtId="0" fontId="18" fillId="16" borderId="88" xfId="7" applyNumberFormat="1" applyFont="1" applyFill="1" applyBorder="1" applyAlignment="1" applyProtection="1">
      <alignment horizontal="center" vertical="center" shrinkToFit="1"/>
    </xf>
    <xf numFmtId="0" fontId="58" fillId="21" borderId="162" xfId="0" applyFont="1" applyFill="1" applyBorder="1" applyAlignment="1">
      <alignment horizontal="center" vertical="center" wrapText="1"/>
    </xf>
    <xf numFmtId="0" fontId="58" fillId="0" borderId="162" xfId="0" applyFont="1" applyBorder="1" applyAlignment="1">
      <alignment horizontal="center" vertical="center" wrapText="1"/>
    </xf>
    <xf numFmtId="0" fontId="58" fillId="21" borderId="163" xfId="0" applyFont="1" applyFill="1" applyBorder="1" applyAlignment="1">
      <alignment horizontal="center" vertical="center" wrapText="1"/>
    </xf>
    <xf numFmtId="0" fontId="58" fillId="0" borderId="163" xfId="0" applyFont="1" applyBorder="1" applyAlignment="1">
      <alignment horizontal="center" vertical="center" wrapText="1"/>
    </xf>
    <xf numFmtId="0" fontId="13" fillId="15" borderId="58" xfId="4" applyFont="1" applyFill="1" applyBorder="1" applyAlignment="1" applyProtection="1">
      <alignment horizontal="center" vertical="center" wrapText="1"/>
    </xf>
    <xf numFmtId="0" fontId="13" fillId="15" borderId="160" xfId="4" applyFont="1" applyFill="1" applyBorder="1" applyAlignment="1" applyProtection="1">
      <alignment horizontal="center" vertical="center" wrapText="1"/>
    </xf>
    <xf numFmtId="0" fontId="13" fillId="15" borderId="74" xfId="4" applyFont="1" applyFill="1" applyBorder="1" applyAlignment="1" applyProtection="1">
      <alignment horizontal="center" vertical="center" wrapText="1"/>
    </xf>
    <xf numFmtId="0" fontId="13" fillId="15" borderId="58" xfId="4" applyFont="1" applyFill="1" applyBorder="1" applyAlignment="1" applyProtection="1">
      <alignment horizontal="center" vertical="center" wrapText="1"/>
    </xf>
    <xf numFmtId="0" fontId="18" fillId="16" borderId="88" xfId="7" applyNumberFormat="1" applyFont="1" applyFill="1" applyBorder="1" applyAlignment="1" applyProtection="1">
      <alignment horizontal="center" vertical="center" shrinkToFit="1"/>
    </xf>
    <xf numFmtId="0" fontId="29" fillId="15" borderId="54" xfId="4" applyFont="1" applyFill="1" applyBorder="1" applyAlignment="1" applyProtection="1">
      <alignment horizontal="center" vertical="center" wrapText="1"/>
    </xf>
    <xf numFmtId="0" fontId="29" fillId="15" borderId="92" xfId="4" applyFont="1" applyFill="1" applyBorder="1" applyAlignment="1" applyProtection="1">
      <alignment horizontal="center" vertical="center" wrapText="1"/>
    </xf>
    <xf numFmtId="0" fontId="29" fillId="15" borderId="30" xfId="4" applyFont="1" applyFill="1" applyBorder="1" applyAlignment="1" applyProtection="1">
      <alignment horizontal="center" vertical="center" wrapText="1"/>
    </xf>
    <xf numFmtId="0" fontId="55" fillId="15" borderId="62" xfId="4" applyFont="1" applyFill="1" applyBorder="1" applyAlignment="1" applyProtection="1">
      <alignment vertical="center" wrapText="1"/>
    </xf>
    <xf numFmtId="0" fontId="55" fillId="15" borderId="43" xfId="4" applyFont="1" applyFill="1" applyBorder="1" applyAlignment="1" applyProtection="1">
      <alignment vertical="center" wrapText="1"/>
    </xf>
    <xf numFmtId="0" fontId="55" fillId="15" borderId="92" xfId="4" applyFont="1" applyFill="1" applyBorder="1" applyAlignment="1" applyProtection="1">
      <alignment vertical="center" wrapText="1"/>
    </xf>
    <xf numFmtId="0" fontId="55" fillId="15" borderId="51" xfId="4" applyFont="1" applyFill="1" applyBorder="1" applyAlignment="1" applyProtection="1">
      <alignment vertical="center" wrapText="1"/>
    </xf>
    <xf numFmtId="0" fontId="55" fillId="15" borderId="54" xfId="4" applyFont="1" applyFill="1" applyBorder="1" applyAlignment="1" applyProtection="1">
      <alignment vertical="center" wrapText="1"/>
    </xf>
    <xf numFmtId="0" fontId="20" fillId="0" borderId="87" xfId="7" applyFont="1" applyFill="1" applyBorder="1" applyAlignment="1">
      <alignment horizontal="center" vertical="center" shrinkToFit="1"/>
    </xf>
    <xf numFmtId="0" fontId="20" fillId="0" borderId="14" xfId="7" applyFont="1" applyFill="1" applyBorder="1" applyAlignment="1">
      <alignment horizontal="center" vertical="center" shrinkToFit="1"/>
    </xf>
    <xf numFmtId="0" fontId="20" fillId="0" borderId="11" xfId="7" applyFont="1" applyFill="1" applyBorder="1" applyAlignment="1">
      <alignment horizontal="center" vertical="center" shrinkToFit="1"/>
    </xf>
    <xf numFmtId="0" fontId="55" fillId="15" borderId="38" xfId="4" applyFont="1" applyFill="1" applyBorder="1" applyAlignment="1" applyProtection="1">
      <alignment vertical="center" wrapText="1"/>
    </xf>
    <xf numFmtId="0" fontId="58" fillId="0" borderId="11" xfId="0" applyFont="1" applyBorder="1" applyAlignment="1">
      <alignment horizontal="center" vertical="center"/>
    </xf>
    <xf numFmtId="0" fontId="20" fillId="9" borderId="99" xfId="7" applyFont="1" applyFill="1" applyBorder="1" applyAlignment="1">
      <alignment horizontal="center" vertical="center" shrinkToFit="1"/>
    </xf>
    <xf numFmtId="0" fontId="63" fillId="9" borderId="11" xfId="7" applyFont="1" applyFill="1" applyBorder="1" applyAlignment="1">
      <alignment horizontal="center" vertical="center" shrinkToFit="1"/>
    </xf>
    <xf numFmtId="0" fontId="30" fillId="0" borderId="3" xfId="0" applyFont="1" applyBorder="1" applyAlignment="1" applyProtection="1">
      <alignment horizontal="center" vertical="center"/>
      <protection locked="0"/>
    </xf>
    <xf numFmtId="0" fontId="30" fillId="0" borderId="19" xfId="0" applyFont="1" applyBorder="1" applyAlignment="1" applyProtection="1">
      <alignment horizontal="center" vertical="center"/>
      <protection locked="0"/>
    </xf>
    <xf numFmtId="0" fontId="15" fillId="17" borderId="21" xfId="0" applyFont="1" applyFill="1" applyBorder="1" applyAlignment="1" applyProtection="1">
      <alignment horizontal="center" vertical="center"/>
      <protection locked="0"/>
    </xf>
    <xf numFmtId="0" fontId="15" fillId="17" borderId="61" xfId="0" applyFont="1" applyFill="1" applyBorder="1" applyAlignment="1" applyProtection="1">
      <alignment horizontal="center" vertical="center"/>
      <protection locked="0"/>
    </xf>
    <xf numFmtId="0" fontId="15" fillId="17" borderId="20" xfId="0" applyFont="1" applyFill="1" applyBorder="1" applyAlignment="1" applyProtection="1">
      <alignment horizontal="center" vertical="center"/>
      <protection locked="0"/>
    </xf>
    <xf numFmtId="0" fontId="15" fillId="17" borderId="26" xfId="0" applyFont="1" applyFill="1" applyBorder="1" applyAlignment="1" applyProtection="1">
      <alignment horizontal="center" vertical="center"/>
      <protection locked="0"/>
    </xf>
    <xf numFmtId="0" fontId="12" fillId="8" borderId="89" xfId="0" applyFont="1" applyFill="1" applyBorder="1" applyAlignment="1" applyProtection="1">
      <alignment horizontal="center" vertical="center" wrapText="1"/>
      <protection locked="0"/>
    </xf>
    <xf numFmtId="0" fontId="12" fillId="8" borderId="23" xfId="0" applyFont="1" applyFill="1" applyBorder="1" applyAlignment="1" applyProtection="1">
      <alignment horizontal="center" vertical="center" wrapText="1"/>
      <protection locked="0"/>
    </xf>
    <xf numFmtId="0" fontId="12" fillId="8" borderId="24" xfId="0" applyFont="1" applyFill="1" applyBorder="1" applyAlignment="1" applyProtection="1">
      <alignment horizontal="center" vertical="center" wrapText="1"/>
      <protection locked="0"/>
    </xf>
    <xf numFmtId="0" fontId="15" fillId="8" borderId="13" xfId="0" applyFont="1" applyFill="1" applyBorder="1" applyAlignment="1" applyProtection="1">
      <alignment horizontal="center" vertical="center"/>
      <protection locked="0"/>
    </xf>
    <xf numFmtId="0" fontId="15" fillId="8" borderId="76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5" xfId="0" applyFont="1" applyFill="1" applyBorder="1" applyAlignment="1" applyProtection="1">
      <alignment horizontal="center" vertical="center"/>
      <protection locked="0"/>
    </xf>
    <xf numFmtId="0" fontId="15" fillId="8" borderId="17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19" xfId="0" applyFont="1" applyFill="1" applyBorder="1" applyAlignment="1" applyProtection="1">
      <alignment horizontal="center" vertical="center"/>
      <protection locked="0"/>
    </xf>
    <xf numFmtId="0" fontId="15" fillId="8" borderId="21" xfId="0" applyFont="1" applyFill="1" applyBorder="1" applyAlignment="1" applyProtection="1">
      <alignment horizontal="center" vertical="center"/>
      <protection locked="0"/>
    </xf>
    <xf numFmtId="0" fontId="15" fillId="8" borderId="20" xfId="0" applyFont="1" applyFill="1" applyBorder="1" applyAlignment="1" applyProtection="1">
      <alignment horizontal="center" vertical="center"/>
      <protection locked="0"/>
    </xf>
    <xf numFmtId="0" fontId="15" fillId="8" borderId="26" xfId="0" applyFont="1" applyFill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20" xfId="0" applyFont="1" applyBorder="1" applyAlignment="1" applyProtection="1">
      <alignment horizontal="center" vertical="center"/>
      <protection locked="0"/>
    </xf>
    <xf numFmtId="0" fontId="22" fillId="0" borderId="97" xfId="0" applyFont="1" applyBorder="1" applyAlignment="1" applyProtection="1">
      <alignment horizontal="center" vertical="center"/>
      <protection locked="0"/>
    </xf>
    <xf numFmtId="0" fontId="22" fillId="0" borderId="26" xfId="0" applyFont="1" applyBorder="1" applyAlignment="1" applyProtection="1">
      <alignment horizontal="center" vertical="center"/>
      <protection locked="0"/>
    </xf>
    <xf numFmtId="0" fontId="22" fillId="0" borderId="21" xfId="0" applyFont="1" applyBorder="1" applyAlignment="1" applyProtection="1">
      <alignment horizontal="center" vertical="center"/>
      <protection locked="0"/>
    </xf>
    <xf numFmtId="0" fontId="35" fillId="0" borderId="15" xfId="0" applyFont="1" applyBorder="1" applyAlignment="1" applyProtection="1">
      <alignment horizontal="center" vertical="center" wrapText="1"/>
      <protection locked="0"/>
    </xf>
    <xf numFmtId="0" fontId="35" fillId="0" borderId="20" xfId="0" applyFont="1" applyBorder="1" applyAlignment="1" applyProtection="1">
      <alignment horizontal="center" vertical="center" wrapText="1"/>
      <protection locked="0"/>
    </xf>
    <xf numFmtId="0" fontId="35" fillId="0" borderId="26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2" xfId="3" applyFont="1" applyFill="1" applyBorder="1" applyAlignment="1" applyProtection="1">
      <alignment horizontal="center" vertical="center" wrapText="1"/>
      <protection locked="0"/>
    </xf>
    <xf numFmtId="0" fontId="14" fillId="4" borderId="17" xfId="3" applyFont="1" applyFill="1" applyBorder="1" applyAlignment="1" applyProtection="1">
      <alignment horizontal="center" vertical="center" wrapText="1"/>
      <protection locked="0"/>
    </xf>
    <xf numFmtId="0" fontId="14" fillId="4" borderId="19" xfId="3" applyFont="1" applyFill="1" applyBorder="1" applyAlignment="1" applyProtection="1">
      <alignment horizontal="center" vertical="center" wrapText="1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14" fillId="4" borderId="35" xfId="3" applyFont="1" applyFill="1" applyBorder="1" applyAlignment="1" applyProtection="1">
      <alignment horizontal="center" vertical="center" wrapText="1"/>
      <protection locked="0"/>
    </xf>
    <xf numFmtId="0" fontId="14" fillId="4" borderId="45" xfId="3" applyFont="1" applyFill="1" applyBorder="1" applyAlignment="1" applyProtection="1">
      <alignment horizontal="center" vertical="center" wrapText="1"/>
      <protection locked="0"/>
    </xf>
    <xf numFmtId="0" fontId="14" fillId="4" borderId="75" xfId="3" applyFont="1" applyFill="1" applyBorder="1" applyAlignment="1" applyProtection="1">
      <alignment horizontal="center" vertical="center" wrapText="1"/>
      <protection locked="0"/>
    </xf>
    <xf numFmtId="0" fontId="14" fillId="4" borderId="56" xfId="3" applyFont="1" applyFill="1" applyBorder="1" applyAlignment="1" applyProtection="1">
      <alignment horizontal="center" vertical="center" wrapText="1"/>
      <protection locked="0"/>
    </xf>
    <xf numFmtId="0" fontId="14" fillId="4" borderId="37" xfId="3" applyFont="1" applyFill="1" applyBorder="1" applyAlignment="1" applyProtection="1">
      <alignment horizontal="center" vertical="center" wrapText="1"/>
      <protection locked="0"/>
    </xf>
    <xf numFmtId="0" fontId="14" fillId="4" borderId="40" xfId="3" applyFont="1" applyFill="1" applyBorder="1" applyAlignment="1" applyProtection="1">
      <alignment horizontal="center" vertical="center" wrapText="1"/>
      <protection locked="0"/>
    </xf>
    <xf numFmtId="0" fontId="14" fillId="4" borderId="38" xfId="3" applyFont="1" applyFill="1" applyBorder="1" applyAlignment="1" applyProtection="1">
      <alignment horizontal="center" vertical="center" wrapText="1"/>
      <protection locked="0"/>
    </xf>
    <xf numFmtId="0" fontId="14" fillId="4" borderId="30" xfId="3" applyFont="1" applyFill="1" applyBorder="1" applyAlignment="1" applyProtection="1">
      <alignment horizontal="center" vertical="center" wrapText="1"/>
      <protection locked="0"/>
    </xf>
    <xf numFmtId="0" fontId="14" fillId="4" borderId="39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47" xfId="3" applyFont="1" applyFill="1" applyBorder="1" applyAlignment="1" applyProtection="1">
      <alignment horizontal="center" vertical="center" wrapText="1"/>
      <protection locked="0"/>
    </xf>
    <xf numFmtId="0" fontId="14" fillId="4" borderId="79" xfId="3" applyFont="1" applyFill="1" applyBorder="1" applyAlignment="1" applyProtection="1">
      <alignment horizontal="center" vertical="center" wrapText="1"/>
      <protection locked="0"/>
    </xf>
    <xf numFmtId="0" fontId="14" fillId="4" borderId="82" xfId="3" applyFont="1" applyFill="1" applyBorder="1" applyAlignment="1" applyProtection="1">
      <alignment horizontal="center" vertical="center" wrapText="1"/>
      <protection locked="0"/>
    </xf>
    <xf numFmtId="0" fontId="14" fillId="4" borderId="67" xfId="3" applyFont="1" applyFill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3" fillId="15" borderId="4" xfId="4" applyFont="1" applyFill="1" applyBorder="1" applyAlignment="1" applyProtection="1">
      <alignment horizontal="center" vertical="center" wrapText="1"/>
    </xf>
    <xf numFmtId="0" fontId="13" fillId="15" borderId="22" xfId="4" applyFont="1" applyFill="1" applyBorder="1" applyAlignment="1" applyProtection="1">
      <alignment horizontal="center" vertical="center" wrapText="1"/>
    </xf>
    <xf numFmtId="0" fontId="13" fillId="15" borderId="6" xfId="4" applyFont="1" applyFill="1" applyBorder="1" applyAlignment="1" applyProtection="1">
      <alignment horizontal="center" vertical="center" wrapText="1"/>
    </xf>
    <xf numFmtId="0" fontId="13" fillId="15" borderId="18" xfId="4" applyFont="1" applyFill="1" applyBorder="1" applyAlignment="1" applyProtection="1">
      <alignment horizontal="center" vertical="center" wrapText="1"/>
    </xf>
    <xf numFmtId="0" fontId="13" fillId="15" borderId="17" xfId="4" applyFont="1" applyFill="1" applyBorder="1" applyAlignment="1" applyProtection="1">
      <alignment horizontal="center" vertical="center" wrapText="1"/>
    </xf>
    <xf numFmtId="0" fontId="13" fillId="15" borderId="19" xfId="4" applyFont="1" applyFill="1" applyBorder="1" applyAlignment="1" applyProtection="1">
      <alignment horizontal="center" vertical="center" wrapText="1"/>
    </xf>
    <xf numFmtId="0" fontId="13" fillId="15" borderId="13" xfId="0" applyFont="1" applyFill="1" applyBorder="1" applyAlignment="1">
      <alignment horizontal="center" vertical="center" wrapText="1"/>
    </xf>
    <xf numFmtId="0" fontId="13" fillId="15" borderId="16" xfId="0" applyFont="1" applyFill="1" applyBorder="1" applyAlignment="1">
      <alignment horizontal="center" vertical="center" wrapText="1"/>
    </xf>
    <xf numFmtId="0" fontId="13" fillId="0" borderId="45" xfId="4" applyFont="1" applyFill="1" applyBorder="1" applyAlignment="1" applyProtection="1">
      <alignment horizontal="center" vertical="center" wrapText="1"/>
      <protection locked="0"/>
    </xf>
    <xf numFmtId="0" fontId="13" fillId="0" borderId="56" xfId="4" applyFont="1" applyFill="1" applyBorder="1" applyAlignment="1" applyProtection="1">
      <alignment horizontal="center" vertical="center" wrapText="1"/>
      <protection locked="0"/>
    </xf>
    <xf numFmtId="0" fontId="13" fillId="0" borderId="47" xfId="4" applyFont="1" applyFill="1" applyBorder="1" applyAlignment="1" applyProtection="1">
      <alignment horizontal="center" vertical="center" wrapText="1"/>
      <protection locked="0"/>
    </xf>
    <xf numFmtId="0" fontId="13" fillId="0" borderId="67" xfId="4" applyFont="1" applyFill="1" applyBorder="1" applyAlignment="1" applyProtection="1">
      <alignment horizontal="center" vertical="center" wrapText="1"/>
      <protection locked="0"/>
    </xf>
    <xf numFmtId="0" fontId="13" fillId="0" borderId="103" xfId="4" applyFont="1" applyFill="1" applyBorder="1" applyAlignment="1" applyProtection="1">
      <alignment horizontal="center" vertical="center" wrapText="1"/>
      <protection locked="0"/>
    </xf>
    <xf numFmtId="0" fontId="13" fillId="0" borderId="104" xfId="4" applyFont="1" applyFill="1" applyBorder="1" applyAlignment="1" applyProtection="1">
      <alignment horizontal="center" vertical="center" wrapText="1"/>
      <protection locked="0"/>
    </xf>
    <xf numFmtId="0" fontId="56" fillId="0" borderId="104" xfId="4" applyFont="1" applyFill="1" applyBorder="1" applyAlignment="1" applyProtection="1">
      <alignment horizontal="center" vertical="center" wrapText="1"/>
      <protection locked="0"/>
    </xf>
    <xf numFmtId="0" fontId="56" fillId="0" borderId="47" xfId="4" applyFont="1" applyFill="1" applyBorder="1" applyAlignment="1" applyProtection="1">
      <alignment horizontal="center" vertical="center" wrapText="1"/>
      <protection locked="0"/>
    </xf>
    <xf numFmtId="0" fontId="29" fillId="0" borderId="67" xfId="4" applyFont="1" applyFill="1" applyBorder="1" applyAlignment="1" applyProtection="1">
      <alignment horizontal="center" vertical="center" wrapText="1"/>
      <protection locked="0"/>
    </xf>
    <xf numFmtId="0" fontId="29" fillId="0" borderId="56" xfId="4" applyFont="1" applyFill="1" applyBorder="1" applyAlignment="1" applyProtection="1">
      <alignment horizontal="center" vertical="center" wrapText="1"/>
      <protection locked="0"/>
    </xf>
    <xf numFmtId="0" fontId="14" fillId="4" borderId="50" xfId="3" applyFont="1" applyFill="1" applyBorder="1" applyAlignment="1" applyProtection="1">
      <alignment horizontal="center" vertical="center" wrapText="1"/>
      <protection locked="0"/>
    </xf>
    <xf numFmtId="0" fontId="25" fillId="3" borderId="33" xfId="3" applyFont="1" applyBorder="1" applyAlignment="1" applyProtection="1">
      <alignment horizontal="center" vertical="center"/>
      <protection locked="0"/>
    </xf>
    <xf numFmtId="0" fontId="25" fillId="3" borderId="69" xfId="3" applyFont="1" applyBorder="1" applyAlignment="1" applyProtection="1">
      <alignment horizontal="center" vertical="center"/>
      <protection locked="0"/>
    </xf>
    <xf numFmtId="0" fontId="14" fillId="4" borderId="32" xfId="3" applyFont="1" applyFill="1" applyBorder="1" applyAlignment="1" applyProtection="1">
      <alignment horizontal="center" vertical="center" wrapText="1"/>
      <protection locked="0"/>
    </xf>
    <xf numFmtId="0" fontId="14" fillId="4" borderId="80" xfId="3" applyFont="1" applyFill="1" applyBorder="1" applyAlignment="1" applyProtection="1">
      <alignment horizontal="center" vertical="center" wrapText="1"/>
      <protection locked="0"/>
    </xf>
    <xf numFmtId="0" fontId="14" fillId="4" borderId="83" xfId="3" applyFont="1" applyFill="1" applyBorder="1" applyAlignment="1" applyProtection="1">
      <alignment horizontal="center" vertical="center" wrapText="1"/>
      <protection locked="0"/>
    </xf>
    <xf numFmtId="0" fontId="14" fillId="4" borderId="31" xfId="3" applyFont="1" applyFill="1" applyBorder="1" applyAlignment="1" applyProtection="1">
      <alignment horizontal="center" vertical="center" wrapText="1"/>
      <protection locked="0"/>
    </xf>
    <xf numFmtId="0" fontId="13" fillId="15" borderId="71" xfId="4" applyFont="1" applyFill="1" applyBorder="1" applyAlignment="1" applyProtection="1">
      <alignment horizontal="center" vertical="center" wrapText="1"/>
    </xf>
    <xf numFmtId="0" fontId="13" fillId="15" borderId="74" xfId="4" applyFont="1" applyFill="1" applyBorder="1" applyAlignment="1" applyProtection="1">
      <alignment horizontal="center" vertical="center" wrapText="1"/>
    </xf>
    <xf numFmtId="0" fontId="13" fillId="6" borderId="29" xfId="4" applyFont="1" applyFill="1" applyBorder="1" applyAlignment="1" applyProtection="1">
      <alignment horizontal="center" vertical="center" wrapText="1"/>
    </xf>
    <xf numFmtId="0" fontId="13" fillId="0" borderId="46" xfId="4" applyFont="1" applyFill="1" applyBorder="1" applyAlignment="1" applyProtection="1">
      <alignment horizontal="center" vertical="center" wrapText="1"/>
      <protection locked="0"/>
    </xf>
    <xf numFmtId="0" fontId="13" fillId="0" borderId="50" xfId="4" applyFont="1" applyFill="1" applyBorder="1" applyAlignment="1" applyProtection="1">
      <alignment horizontal="center" vertical="center" wrapText="1"/>
      <protection locked="0"/>
    </xf>
    <xf numFmtId="0" fontId="13" fillId="0" borderId="32" xfId="4" applyFont="1" applyFill="1" applyBorder="1" applyAlignment="1" applyProtection="1">
      <alignment horizontal="center" vertical="center" wrapText="1"/>
      <protection locked="0"/>
    </xf>
    <xf numFmtId="0" fontId="13" fillId="0" borderId="31" xfId="4" applyFont="1" applyFill="1" applyBorder="1" applyAlignment="1" applyProtection="1">
      <alignment horizontal="center" vertical="center" wrapText="1"/>
      <protection locked="0"/>
    </xf>
    <xf numFmtId="0" fontId="13" fillId="0" borderId="105" xfId="4" applyFont="1" applyFill="1" applyBorder="1" applyAlignment="1" applyProtection="1">
      <alignment horizontal="center" vertical="center" wrapText="1"/>
      <protection locked="0"/>
    </xf>
    <xf numFmtId="0" fontId="56" fillId="0" borderId="106" xfId="4" applyFont="1" applyFill="1" applyBorder="1" applyAlignment="1" applyProtection="1">
      <alignment horizontal="center" vertical="center" wrapText="1"/>
      <protection locked="0"/>
    </xf>
    <xf numFmtId="0" fontId="56" fillId="0" borderId="32" xfId="4" applyFont="1" applyFill="1" applyBorder="1" applyAlignment="1" applyProtection="1">
      <alignment horizontal="center" vertical="center" wrapText="1"/>
      <protection locked="0"/>
    </xf>
    <xf numFmtId="0" fontId="29" fillId="0" borderId="31" xfId="4" applyFont="1" applyFill="1" applyBorder="1" applyAlignment="1" applyProtection="1">
      <alignment horizontal="center" vertical="center" wrapText="1"/>
      <protection locked="0"/>
    </xf>
    <xf numFmtId="0" fontId="29" fillId="0" borderId="50" xfId="4" applyFont="1" applyFill="1" applyBorder="1" applyAlignment="1" applyProtection="1">
      <alignment horizontal="center" vertical="center" wrapText="1"/>
      <protection locked="0"/>
    </xf>
    <xf numFmtId="0" fontId="13" fillId="0" borderId="106" xfId="4" applyFont="1" applyFill="1" applyBorder="1" applyAlignment="1" applyProtection="1">
      <alignment horizontal="center" vertical="center" wrapText="1"/>
      <protection locked="0"/>
    </xf>
    <xf numFmtId="0" fontId="0" fillId="0" borderId="88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13" fillId="15" borderId="76" xfId="0" applyFont="1" applyFill="1" applyBorder="1" applyAlignment="1">
      <alignment horizontal="center" vertical="center" wrapText="1"/>
    </xf>
    <xf numFmtId="0" fontId="13" fillId="0" borderId="4" xfId="4" applyFont="1" applyFill="1" applyBorder="1" applyAlignment="1" applyProtection="1">
      <alignment horizontal="center" vertical="center" wrapText="1"/>
      <protection locked="0"/>
    </xf>
    <xf numFmtId="0" fontId="13" fillId="0" borderId="64" xfId="4" applyFont="1" applyFill="1" applyBorder="1" applyAlignment="1" applyProtection="1">
      <alignment horizontal="center" vertical="center" wrapText="1"/>
      <protection locked="0"/>
    </xf>
    <xf numFmtId="0" fontId="13" fillId="0" borderId="63" xfId="4" applyFont="1" applyFill="1" applyBorder="1" applyAlignment="1" applyProtection="1">
      <alignment horizontal="center" vertical="center" wrapText="1"/>
      <protection locked="0"/>
    </xf>
    <xf numFmtId="0" fontId="13" fillId="0" borderId="110" xfId="4" applyFont="1" applyFill="1" applyBorder="1" applyAlignment="1" applyProtection="1">
      <alignment horizontal="center" vertical="center" wrapText="1"/>
      <protection locked="0"/>
    </xf>
    <xf numFmtId="0" fontId="13" fillId="0" borderId="111" xfId="4" applyFont="1" applyFill="1" applyBorder="1" applyAlignment="1" applyProtection="1">
      <alignment horizontal="center" vertical="center" wrapText="1"/>
      <protection locked="0"/>
    </xf>
    <xf numFmtId="0" fontId="56" fillId="0" borderId="111" xfId="4" applyFont="1" applyFill="1" applyBorder="1" applyAlignment="1" applyProtection="1">
      <alignment horizontal="center" vertical="center" wrapText="1"/>
      <protection locked="0"/>
    </xf>
    <xf numFmtId="0" fontId="56" fillId="0" borderId="64" xfId="4" applyFont="1" applyFill="1" applyBorder="1" applyAlignment="1" applyProtection="1">
      <alignment horizontal="center" vertical="center" wrapText="1"/>
      <protection locked="0"/>
    </xf>
    <xf numFmtId="0" fontId="29" fillId="0" borderId="63" xfId="4" applyFont="1" applyFill="1" applyBorder="1" applyAlignment="1" applyProtection="1">
      <alignment horizontal="center" vertical="center" wrapText="1"/>
      <protection locked="0"/>
    </xf>
    <xf numFmtId="0" fontId="29" fillId="0" borderId="22" xfId="4" applyFont="1" applyFill="1" applyBorder="1" applyAlignment="1" applyProtection="1">
      <alignment horizontal="center" vertical="center" wrapText="1"/>
      <protection locked="0"/>
    </xf>
    <xf numFmtId="0" fontId="13" fillId="15" borderId="58" xfId="4" applyFont="1" applyFill="1" applyBorder="1" applyAlignment="1" applyProtection="1">
      <alignment horizontal="center" vertical="center" wrapText="1"/>
    </xf>
    <xf numFmtId="0" fontId="13" fillId="0" borderId="17" xfId="4" applyFont="1" applyFill="1" applyBorder="1" applyAlignment="1" applyProtection="1">
      <alignment horizontal="center" vertical="center" wrapText="1"/>
      <protection locked="0"/>
    </xf>
    <xf numFmtId="0" fontId="13" fillId="0" borderId="19" xfId="4" applyFont="1" applyFill="1" applyBorder="1" applyAlignment="1" applyProtection="1">
      <alignment horizontal="center" vertical="center" wrapText="1"/>
      <protection locked="0"/>
    </xf>
    <xf numFmtId="0" fontId="13" fillId="0" borderId="52" xfId="4" applyFont="1" applyFill="1" applyBorder="1" applyAlignment="1" applyProtection="1">
      <alignment horizontal="center" vertical="center" wrapText="1"/>
      <protection locked="0"/>
    </xf>
    <xf numFmtId="0" fontId="13" fillId="0" borderId="48" xfId="4" applyFont="1" applyFill="1" applyBorder="1" applyAlignment="1" applyProtection="1">
      <alignment horizontal="center" vertical="center" wrapText="1"/>
      <protection locked="0"/>
    </xf>
    <xf numFmtId="0" fontId="13" fillId="0" borderId="107" xfId="4" applyFont="1" applyFill="1" applyBorder="1" applyAlignment="1" applyProtection="1">
      <alignment horizontal="center" vertical="center" wrapText="1"/>
      <protection locked="0"/>
    </xf>
    <xf numFmtId="0" fontId="13" fillId="0" borderId="108" xfId="4" applyFont="1" applyFill="1" applyBorder="1" applyAlignment="1" applyProtection="1">
      <alignment horizontal="center" vertical="center" wrapText="1"/>
      <protection locked="0"/>
    </xf>
    <xf numFmtId="0" fontId="13" fillId="0" borderId="109" xfId="4" applyFont="1" applyFill="1" applyBorder="1" applyAlignment="1" applyProtection="1">
      <alignment horizontal="center" vertical="center" wrapText="1"/>
      <protection locked="0"/>
    </xf>
    <xf numFmtId="0" fontId="56" fillId="0" borderId="109" xfId="4" applyFont="1" applyFill="1" applyBorder="1" applyAlignment="1" applyProtection="1">
      <alignment horizontal="center" vertical="center" wrapText="1"/>
      <protection locked="0"/>
    </xf>
    <xf numFmtId="0" fontId="56" fillId="0" borderId="48" xfId="4" applyFont="1" applyFill="1" applyBorder="1" applyAlignment="1" applyProtection="1">
      <alignment horizontal="center" vertical="center" wrapText="1"/>
      <protection locked="0"/>
    </xf>
    <xf numFmtId="0" fontId="29" fillId="0" borderId="107" xfId="4" applyFont="1" applyFill="1" applyBorder="1" applyAlignment="1" applyProtection="1">
      <alignment horizontal="center" vertical="center" wrapText="1"/>
      <protection locked="0"/>
    </xf>
    <xf numFmtId="0" fontId="29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15" borderId="71" xfId="5" applyFont="1" applyFill="1" applyBorder="1" applyAlignment="1" applyProtection="1">
      <alignment horizontal="center" vertical="center" wrapText="1"/>
    </xf>
    <xf numFmtId="0" fontId="13" fillId="15" borderId="74" xfId="5" applyFont="1" applyFill="1" applyBorder="1" applyAlignment="1" applyProtection="1">
      <alignment horizontal="center" vertical="center" wrapText="1"/>
    </xf>
    <xf numFmtId="0" fontId="13" fillId="15" borderId="4" xfId="5" applyFont="1" applyFill="1" applyBorder="1" applyAlignment="1" applyProtection="1">
      <alignment horizontal="center" vertical="center" wrapText="1"/>
    </xf>
    <xf numFmtId="0" fontId="13" fillId="15" borderId="22" xfId="5" applyFont="1" applyFill="1" applyBorder="1" applyAlignment="1" applyProtection="1">
      <alignment horizontal="center" vertical="center" wrapText="1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18" xfId="5" applyFont="1" applyFill="1" applyBorder="1" applyAlignment="1" applyProtection="1">
      <alignment horizontal="center" vertical="center" wrapText="1"/>
    </xf>
    <xf numFmtId="0" fontId="29" fillId="0" borderId="106" xfId="4" applyFont="1" applyFill="1" applyBorder="1" applyAlignment="1" applyProtection="1">
      <alignment horizontal="center" vertical="center" wrapText="1"/>
      <protection locked="0"/>
    </xf>
    <xf numFmtId="0" fontId="29" fillId="0" borderId="32" xfId="4" applyFont="1" applyFill="1" applyBorder="1" applyAlignment="1" applyProtection="1">
      <alignment horizontal="center" vertical="center" wrapText="1"/>
      <protection locked="0"/>
    </xf>
    <xf numFmtId="0" fontId="29" fillId="0" borderId="104" xfId="4" applyFont="1" applyFill="1" applyBorder="1" applyAlignment="1" applyProtection="1">
      <alignment horizontal="center" vertical="center" wrapText="1"/>
      <protection locked="0"/>
    </xf>
    <xf numFmtId="0" fontId="29" fillId="0" borderId="47" xfId="4" applyFont="1" applyFill="1" applyBorder="1" applyAlignment="1" applyProtection="1">
      <alignment horizontal="center" vertical="center" wrapText="1"/>
      <protection locked="0"/>
    </xf>
    <xf numFmtId="0" fontId="36" fillId="15" borderId="13" xfId="0" applyFont="1" applyFill="1" applyBorder="1" applyAlignment="1">
      <alignment horizontal="center" vertical="center" wrapText="1"/>
    </xf>
    <xf numFmtId="0" fontId="36" fillId="15" borderId="16" xfId="0" applyFont="1" applyFill="1" applyBorder="1" applyAlignment="1">
      <alignment horizontal="center" vertical="center" wrapText="1"/>
    </xf>
    <xf numFmtId="0" fontId="55" fillId="0" borderId="45" xfId="4" applyFont="1" applyFill="1" applyBorder="1" applyAlignment="1" applyProtection="1">
      <alignment horizontal="center" vertical="center" wrapText="1"/>
      <protection locked="0"/>
    </xf>
    <xf numFmtId="0" fontId="55" fillId="0" borderId="47" xfId="4" applyFont="1" applyFill="1" applyBorder="1" applyAlignment="1" applyProtection="1">
      <alignment horizontal="center" vertical="center" wrapText="1"/>
      <protection locked="0"/>
    </xf>
    <xf numFmtId="0" fontId="29" fillId="0" borderId="103" xfId="4" applyFont="1" applyFill="1" applyBorder="1" applyAlignment="1" applyProtection="1">
      <alignment horizontal="center" vertical="center" wrapText="1"/>
      <protection locked="0"/>
    </xf>
    <xf numFmtId="0" fontId="29" fillId="0" borderId="108" xfId="4" applyFont="1" applyFill="1" applyBorder="1" applyAlignment="1" applyProtection="1">
      <alignment horizontal="center" vertical="center" wrapText="1"/>
      <protection locked="0"/>
    </xf>
    <xf numFmtId="0" fontId="29" fillId="0" borderId="52" xfId="4" applyFont="1" applyFill="1" applyBorder="1" applyAlignment="1" applyProtection="1">
      <alignment horizontal="center" vertical="center" wrapText="1"/>
      <protection locked="0"/>
    </xf>
    <xf numFmtId="0" fontId="29" fillId="0" borderId="48" xfId="4" applyFont="1" applyFill="1" applyBorder="1" applyAlignment="1" applyProtection="1">
      <alignment horizontal="center" vertical="center" wrapText="1"/>
      <protection locked="0"/>
    </xf>
    <xf numFmtId="0" fontId="13" fillId="10" borderId="54" xfId="6" applyFont="1" applyFill="1" applyBorder="1" applyAlignment="1" applyProtection="1">
      <alignment horizontal="center" vertical="center" wrapText="1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10" borderId="21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23" fillId="13" borderId="21" xfId="0" applyFont="1" applyFill="1" applyBorder="1" applyAlignment="1" applyProtection="1">
      <alignment horizontal="center" vertical="center"/>
      <protection locked="0"/>
    </xf>
    <xf numFmtId="0" fontId="23" fillId="13" borderId="26" xfId="0" applyFont="1" applyFill="1" applyBorder="1" applyAlignment="1" applyProtection="1">
      <alignment horizontal="center" vertical="center"/>
      <protection locked="0"/>
    </xf>
    <xf numFmtId="0" fontId="29" fillId="0" borderId="105" xfId="4" applyFont="1" applyFill="1" applyBorder="1" applyAlignment="1" applyProtection="1">
      <alignment horizontal="center" vertical="center" wrapText="1"/>
      <protection locked="0"/>
    </xf>
    <xf numFmtId="0" fontId="13" fillId="10" borderId="20" xfId="6" applyFont="1" applyFill="1" applyBorder="1" applyAlignment="1" applyProtection="1">
      <alignment horizontal="center" vertical="center" wrapText="1"/>
    </xf>
    <xf numFmtId="0" fontId="13" fillId="10" borderId="26" xfId="6" applyFont="1" applyFill="1" applyBorder="1" applyAlignment="1" applyProtection="1">
      <alignment horizontal="center" vertical="center" wrapText="1"/>
    </xf>
    <xf numFmtId="0" fontId="13" fillId="10" borderId="53" xfId="6" applyFont="1" applyFill="1" applyBorder="1" applyAlignment="1" applyProtection="1">
      <alignment horizontal="center" vertical="center" wrapText="1"/>
    </xf>
    <xf numFmtId="0" fontId="13" fillId="10" borderId="60" xfId="6" applyFont="1" applyFill="1" applyBorder="1" applyAlignment="1" applyProtection="1">
      <alignment horizontal="center" vertical="center" wrapText="1"/>
    </xf>
    <xf numFmtId="0" fontId="13" fillId="10" borderId="78" xfId="6" applyFont="1" applyFill="1" applyBorder="1" applyAlignment="1" applyProtection="1">
      <alignment horizontal="center" vertical="center" wrapText="1"/>
    </xf>
    <xf numFmtId="0" fontId="13" fillId="10" borderId="81" xfId="6" applyFont="1" applyFill="1" applyBorder="1" applyAlignment="1" applyProtection="1">
      <alignment horizontal="center" vertical="center" wrapText="1"/>
    </xf>
    <xf numFmtId="0" fontId="13" fillId="15" borderId="46" xfId="5" applyFont="1" applyFill="1" applyBorder="1" applyAlignment="1" applyProtection="1">
      <alignment horizontal="center" vertical="center" wrapText="1"/>
    </xf>
    <xf numFmtId="0" fontId="13" fillId="15" borderId="50" xfId="5" applyFont="1" applyFill="1" applyBorder="1" applyAlignment="1" applyProtection="1">
      <alignment horizontal="center" vertical="center" wrapText="1"/>
    </xf>
    <xf numFmtId="0" fontId="55" fillId="0" borderId="60" xfId="4" applyFont="1" applyFill="1" applyBorder="1" applyAlignment="1" applyProtection="1">
      <alignment horizontal="center" vertical="center" wrapText="1"/>
      <protection locked="0"/>
    </xf>
    <xf numFmtId="0" fontId="55" fillId="0" borderId="26" xfId="4" applyFont="1" applyFill="1" applyBorder="1" applyAlignment="1" applyProtection="1">
      <alignment horizontal="center" vertical="center" wrapText="1"/>
      <protection locked="0"/>
    </xf>
    <xf numFmtId="0" fontId="13" fillId="15" borderId="21" xfId="5" applyFont="1" applyFill="1" applyBorder="1" applyAlignment="1" applyProtection="1">
      <alignment horizontal="center" vertical="center" wrapText="1"/>
    </xf>
    <xf numFmtId="0" fontId="13" fillId="15" borderId="26" xfId="5" applyFont="1" applyFill="1" applyBorder="1" applyAlignment="1" applyProtection="1">
      <alignment horizontal="center" vertical="center" wrapText="1"/>
    </xf>
    <xf numFmtId="0" fontId="13" fillId="0" borderId="46" xfId="2" applyFont="1" applyFill="1" applyBorder="1" applyAlignment="1" applyProtection="1">
      <alignment horizontal="center" vertical="center" wrapText="1"/>
      <protection locked="0"/>
    </xf>
    <xf numFmtId="0" fontId="13" fillId="0" borderId="50" xfId="2" applyFont="1" applyFill="1" applyBorder="1" applyAlignment="1" applyProtection="1">
      <alignment horizontal="center" vertical="center" wrapText="1"/>
      <protection locked="0"/>
    </xf>
    <xf numFmtId="0" fontId="13" fillId="0" borderId="66" xfId="4" applyFont="1" applyFill="1" applyBorder="1" applyAlignment="1" applyProtection="1">
      <alignment horizontal="center" vertical="center" wrapText="1"/>
      <protection locked="0"/>
    </xf>
    <xf numFmtId="0" fontId="13" fillId="0" borderId="21" xfId="0" applyFont="1" applyFill="1" applyBorder="1" applyAlignment="1" applyProtection="1">
      <alignment horizontal="center" vertical="center" wrapText="1"/>
      <protection locked="0"/>
    </xf>
    <xf numFmtId="0" fontId="13" fillId="0" borderId="26" xfId="0" applyFont="1" applyFill="1" applyBorder="1" applyAlignment="1" applyProtection="1">
      <alignment horizontal="center" vertical="center" wrapText="1"/>
      <protection locked="0"/>
    </xf>
    <xf numFmtId="0" fontId="55" fillId="0" borderId="21" xfId="4" applyFont="1" applyFill="1" applyBorder="1" applyAlignment="1" applyProtection="1">
      <alignment horizontal="center" vertical="center" wrapText="1"/>
      <protection locked="0"/>
    </xf>
    <xf numFmtId="0" fontId="55" fillId="0" borderId="61" xfId="4" applyFont="1" applyFill="1" applyBorder="1" applyAlignment="1" applyProtection="1">
      <alignment horizontal="center" vertical="center" wrapText="1"/>
      <protection locked="0"/>
    </xf>
    <xf numFmtId="0" fontId="13" fillId="0" borderId="60" xfId="4" applyFont="1" applyFill="1" applyBorder="1" applyAlignment="1" applyProtection="1">
      <alignment horizontal="center" vertical="center" wrapText="1"/>
      <protection locked="0"/>
    </xf>
    <xf numFmtId="0" fontId="13" fillId="0" borderId="97" xfId="4" applyFont="1" applyFill="1" applyBorder="1" applyAlignment="1" applyProtection="1">
      <alignment horizontal="center" vertical="center" wrapText="1"/>
      <protection locked="0"/>
    </xf>
    <xf numFmtId="0" fontId="55" fillId="0" borderId="15" xfId="4" applyFont="1" applyFill="1" applyBorder="1" applyAlignment="1" applyProtection="1">
      <alignment horizontal="center" vertical="center" wrapText="1"/>
      <protection locked="0"/>
    </xf>
    <xf numFmtId="0" fontId="55" fillId="0" borderId="97" xfId="4" applyFont="1" applyFill="1" applyBorder="1" applyAlignment="1" applyProtection="1">
      <alignment horizontal="center" vertical="center" wrapText="1"/>
      <protection locked="0"/>
    </xf>
    <xf numFmtId="0" fontId="13" fillId="0" borderId="15" xfId="4" applyFont="1" applyFill="1" applyBorder="1" applyAlignment="1" applyProtection="1">
      <alignment horizontal="center" vertical="center" wrapText="1"/>
      <protection locked="0"/>
    </xf>
    <xf numFmtId="0" fontId="13" fillId="0" borderId="61" xfId="4" applyFont="1" applyFill="1" applyBorder="1" applyAlignment="1" applyProtection="1">
      <alignment horizontal="center" vertical="center" wrapText="1"/>
      <protection locked="0"/>
    </xf>
    <xf numFmtId="0" fontId="13" fillId="0" borderId="46" xfId="0" applyFont="1" applyFill="1" applyBorder="1" applyAlignment="1" applyProtection="1">
      <alignment horizontal="center" vertical="center" shrinkToFit="1"/>
      <protection locked="0"/>
    </xf>
    <xf numFmtId="0" fontId="13" fillId="0" borderId="50" xfId="0" applyFont="1" applyFill="1" applyBorder="1" applyAlignment="1" applyProtection="1">
      <alignment horizontal="center" vertical="center" shrinkToFit="1"/>
      <protection locked="0"/>
    </xf>
    <xf numFmtId="0" fontId="13" fillId="0" borderId="52" xfId="0" applyFont="1" applyFill="1" applyBorder="1" applyAlignment="1" applyProtection="1">
      <alignment horizontal="center" vertical="center" shrinkToFit="1"/>
      <protection locked="0"/>
    </xf>
    <xf numFmtId="0" fontId="13" fillId="0" borderId="49" xfId="0" applyFont="1" applyFill="1" applyBorder="1" applyAlignment="1" applyProtection="1">
      <alignment horizontal="center" vertical="center" shrinkToFit="1"/>
      <protection locked="0"/>
    </xf>
    <xf numFmtId="0" fontId="29" fillId="0" borderId="109" xfId="4" applyFont="1" applyFill="1" applyBorder="1" applyAlignment="1" applyProtection="1">
      <alignment horizontal="center" vertical="center" wrapText="1"/>
      <protection locked="0"/>
    </xf>
    <xf numFmtId="0" fontId="13" fillId="15" borderId="52" xfId="5" applyFont="1" applyFill="1" applyBorder="1" applyAlignment="1" applyProtection="1">
      <alignment horizontal="center" vertical="center" wrapText="1"/>
    </xf>
    <xf numFmtId="0" fontId="13" fillId="15" borderId="49" xfId="5" applyFont="1" applyFill="1" applyBorder="1" applyAlignment="1" applyProtection="1">
      <alignment horizontal="center" vertical="center" wrapText="1"/>
    </xf>
    <xf numFmtId="0" fontId="57" fillId="0" borderId="46" xfId="4" applyFont="1" applyFill="1" applyBorder="1" applyAlignment="1" applyProtection="1">
      <alignment horizontal="center" vertical="center" wrapText="1"/>
      <protection locked="0"/>
    </xf>
    <xf numFmtId="0" fontId="57" fillId="0" borderId="32" xfId="4" applyFont="1" applyFill="1" applyBorder="1" applyAlignment="1" applyProtection="1">
      <alignment horizontal="center" vertical="center" wrapText="1"/>
      <protection locked="0"/>
    </xf>
    <xf numFmtId="0" fontId="57" fillId="0" borderId="31" xfId="4" applyFont="1" applyFill="1" applyBorder="1" applyAlignment="1" applyProtection="1">
      <alignment horizontal="center" vertical="center" wrapText="1"/>
      <protection locked="0"/>
    </xf>
    <xf numFmtId="0" fontId="57" fillId="0" borderId="66" xfId="4" applyFont="1" applyFill="1" applyBorder="1" applyAlignment="1" applyProtection="1">
      <alignment horizontal="center" vertical="center" wrapText="1"/>
      <protection locked="0"/>
    </xf>
    <xf numFmtId="0" fontId="57" fillId="0" borderId="106" xfId="4" applyFont="1" applyFill="1" applyBorder="1" applyAlignment="1" applyProtection="1">
      <alignment horizontal="center" vertical="center" wrapText="1"/>
      <protection locked="0"/>
    </xf>
    <xf numFmtId="0" fontId="57" fillId="0" borderId="105" xfId="4" applyFont="1" applyFill="1" applyBorder="1" applyAlignment="1" applyProtection="1">
      <alignment horizontal="center" vertical="center" wrapText="1"/>
      <protection locked="0"/>
    </xf>
    <xf numFmtId="0" fontId="59" fillId="15" borderId="13" xfId="4" applyFont="1" applyFill="1" applyBorder="1" applyAlignment="1" applyProtection="1">
      <alignment horizontal="center" vertical="center" wrapText="1"/>
    </xf>
    <xf numFmtId="0" fontId="59" fillId="15" borderId="16" xfId="4" applyFont="1" applyFill="1" applyBorder="1" applyAlignment="1" applyProtection="1">
      <alignment horizontal="center" vertical="center" wrapText="1"/>
    </xf>
    <xf numFmtId="0" fontId="13" fillId="0" borderId="45" xfId="0" applyFont="1" applyFill="1" applyBorder="1" applyAlignment="1" applyProtection="1">
      <alignment horizontal="center" vertical="center" shrinkToFit="1"/>
      <protection locked="0"/>
    </xf>
    <xf numFmtId="0" fontId="13" fillId="0" borderId="56" xfId="0" applyFont="1" applyFill="1" applyBorder="1" applyAlignment="1" applyProtection="1">
      <alignment horizontal="center" vertical="center" shrinkToFit="1"/>
      <protection locked="0"/>
    </xf>
    <xf numFmtId="0" fontId="55" fillId="0" borderId="67" xfId="4" applyFont="1" applyFill="1" applyBorder="1" applyAlignment="1" applyProtection="1">
      <alignment horizontal="center" vertical="center" wrapText="1"/>
      <protection locked="0"/>
    </xf>
    <xf numFmtId="0" fontId="55" fillId="0" borderId="75" xfId="4" applyFont="1" applyFill="1" applyBorder="1" applyAlignment="1" applyProtection="1">
      <alignment horizontal="center" vertical="center" wrapText="1"/>
      <protection locked="0"/>
    </xf>
    <xf numFmtId="0" fontId="55" fillId="0" borderId="56" xfId="4" applyFont="1" applyFill="1" applyBorder="1" applyAlignment="1" applyProtection="1">
      <alignment horizontal="center" vertical="center" wrapText="1"/>
      <protection locked="0"/>
    </xf>
    <xf numFmtId="0" fontId="22" fillId="15" borderId="4" xfId="4" applyFont="1" applyFill="1" applyBorder="1" applyAlignment="1" applyProtection="1">
      <alignment horizontal="center" vertical="center" wrapText="1"/>
    </xf>
    <xf numFmtId="0" fontId="22" fillId="15" borderId="22" xfId="4" applyFont="1" applyFill="1" applyBorder="1" applyAlignment="1" applyProtection="1">
      <alignment horizontal="center" vertical="center" wrapText="1"/>
    </xf>
    <xf numFmtId="0" fontId="22" fillId="15" borderId="6" xfId="4" applyFont="1" applyFill="1" applyBorder="1" applyAlignment="1" applyProtection="1">
      <alignment horizontal="center" vertical="center" wrapText="1"/>
    </xf>
    <xf numFmtId="0" fontId="22" fillId="15" borderId="18" xfId="4" applyFont="1" applyFill="1" applyBorder="1" applyAlignment="1" applyProtection="1">
      <alignment horizontal="center" vertical="center" wrapText="1"/>
    </xf>
    <xf numFmtId="176" fontId="13" fillId="15" borderId="21" xfId="0" applyNumberFormat="1" applyFont="1" applyFill="1" applyBorder="1" applyAlignment="1">
      <alignment horizontal="center" vertical="center" wrapText="1"/>
    </xf>
    <xf numFmtId="176" fontId="13" fillId="15" borderId="26" xfId="0" applyNumberFormat="1" applyFont="1" applyFill="1" applyBorder="1" applyAlignment="1">
      <alignment horizontal="center" vertical="center" wrapText="1"/>
    </xf>
    <xf numFmtId="0" fontId="13" fillId="10" borderId="111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77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110" xfId="6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13" fillId="10" borderId="84" xfId="6" applyFont="1" applyFill="1" applyBorder="1" applyAlignment="1" applyProtection="1">
      <alignment horizontal="center" vertical="center" wrapText="1"/>
    </xf>
    <xf numFmtId="0" fontId="13" fillId="10" borderId="25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10" borderId="19" xfId="6" applyFont="1" applyFill="1" applyBorder="1" applyAlignment="1" applyProtection="1">
      <alignment horizontal="center" vertical="center" wrapText="1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17" xfId="6" applyFont="1" applyFill="1" applyBorder="1" applyAlignment="1" applyProtection="1">
      <alignment horizontal="center" vertical="center" wrapText="1"/>
    </xf>
    <xf numFmtId="0" fontId="13" fillId="6" borderId="13" xfId="4" applyFont="1" applyFill="1" applyBorder="1" applyAlignment="1" applyProtection="1">
      <alignment horizontal="center" vertical="center" wrapText="1"/>
    </xf>
    <xf numFmtId="0" fontId="13" fillId="6" borderId="76" xfId="4" applyFont="1" applyFill="1" applyBorder="1" applyAlignment="1" applyProtection="1">
      <alignment horizontal="center" vertical="center" wrapText="1"/>
    </xf>
    <xf numFmtId="0" fontId="13" fillId="10" borderId="72" xfId="6" applyFont="1" applyFill="1" applyBorder="1" applyAlignment="1" applyProtection="1">
      <alignment horizontal="center" vertical="center" wrapText="1"/>
    </xf>
    <xf numFmtId="0" fontId="13" fillId="10" borderId="70" xfId="6" applyFont="1" applyFill="1" applyBorder="1" applyAlignment="1" applyProtection="1">
      <alignment horizontal="center" vertical="center" wrapText="1"/>
    </xf>
    <xf numFmtId="0" fontId="13" fillId="10" borderId="62" xfId="6" applyFont="1" applyFill="1" applyBorder="1" applyAlignment="1" applyProtection="1">
      <alignment horizontal="center" vertical="center" wrapText="1"/>
    </xf>
    <xf numFmtId="0" fontId="13" fillId="10" borderId="51" xfId="6" applyFont="1" applyFill="1" applyBorder="1" applyAlignment="1" applyProtection="1">
      <alignment horizontal="center" vertical="center" wrapText="1"/>
    </xf>
    <xf numFmtId="0" fontId="13" fillId="10" borderId="71" xfId="6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97" xfId="6" applyFont="1" applyFill="1" applyBorder="1" applyAlignment="1" applyProtection="1">
      <alignment horizontal="center" vertical="center" wrapText="1"/>
    </xf>
    <xf numFmtId="0" fontId="13" fillId="10" borderId="15" xfId="6" applyFont="1" applyFill="1" applyBorder="1" applyAlignment="1" applyProtection="1">
      <alignment horizontal="center" vertical="center" wrapText="1"/>
    </xf>
    <xf numFmtId="0" fontId="13" fillId="15" borderId="107" xfId="4" applyFont="1" applyFill="1" applyBorder="1" applyAlignment="1" applyProtection="1">
      <alignment horizontal="center" vertical="center" wrapText="1"/>
    </xf>
    <xf numFmtId="0" fontId="13" fillId="15" borderId="49" xfId="4" applyFont="1" applyFill="1" applyBorder="1" applyAlignment="1" applyProtection="1">
      <alignment horizontal="center" vertical="center" wrapText="1"/>
    </xf>
    <xf numFmtId="0" fontId="13" fillId="15" borderId="52" xfId="6" applyFont="1" applyFill="1" applyBorder="1" applyAlignment="1" applyProtection="1">
      <alignment horizontal="center" vertical="center" wrapText="1"/>
    </xf>
    <xf numFmtId="0" fontId="13" fillId="15" borderId="49" xfId="6" applyFont="1" applyFill="1" applyBorder="1" applyAlignment="1" applyProtection="1">
      <alignment horizontal="center" vertical="center" wrapText="1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5" xfId="6" applyFont="1" applyFill="1" applyBorder="1" applyAlignment="1" applyProtection="1">
      <alignment horizontal="center" vertical="center" wrapText="1"/>
    </xf>
    <xf numFmtId="0" fontId="13" fillId="15" borderId="22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18" xfId="6" applyFont="1" applyFill="1" applyBorder="1" applyAlignment="1" applyProtection="1">
      <alignment horizontal="center" vertical="center" wrapText="1"/>
    </xf>
    <xf numFmtId="0" fontId="13" fillId="15" borderId="17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19" xfId="6" applyFont="1" applyFill="1" applyBorder="1" applyAlignment="1" applyProtection="1">
      <alignment horizontal="center" vertical="center" wrapText="1"/>
    </xf>
    <xf numFmtId="0" fontId="13" fillId="15" borderId="45" xfId="6" applyFont="1" applyFill="1" applyBorder="1" applyAlignment="1" applyProtection="1">
      <alignment horizontal="center" vertical="center" wrapText="1"/>
    </xf>
    <xf numFmtId="0" fontId="13" fillId="15" borderId="75" xfId="6" applyFont="1" applyFill="1" applyBorder="1" applyAlignment="1" applyProtection="1">
      <alignment horizontal="center" vertical="center" wrapText="1"/>
    </xf>
    <xf numFmtId="0" fontId="13" fillId="15" borderId="56" xfId="6" applyFont="1" applyFill="1" applyBorder="1" applyAlignment="1" applyProtection="1">
      <alignment horizontal="center" vertical="center" wrapText="1"/>
    </xf>
    <xf numFmtId="0" fontId="13" fillId="15" borderId="94" xfId="6" applyFont="1" applyFill="1" applyBorder="1" applyAlignment="1" applyProtection="1">
      <alignment horizontal="center" vertical="center" wrapText="1"/>
    </xf>
    <xf numFmtId="0" fontId="13" fillId="15" borderId="95" xfId="6" applyFont="1" applyFill="1" applyBorder="1" applyAlignment="1" applyProtection="1">
      <alignment horizontal="center" vertical="center" wrapText="1"/>
    </xf>
    <xf numFmtId="0" fontId="13" fillId="6" borderId="16" xfId="4" applyFont="1" applyFill="1" applyBorder="1" applyAlignment="1" applyProtection="1">
      <alignment horizontal="center" vertical="center" wrapText="1"/>
    </xf>
    <xf numFmtId="0" fontId="13" fillId="6" borderId="90" xfId="4" applyFont="1" applyFill="1" applyBorder="1" applyAlignment="1" applyProtection="1">
      <alignment horizontal="center" vertical="center" wrapText="1"/>
    </xf>
    <xf numFmtId="0" fontId="13" fillId="15" borderId="46" xfId="6" applyFont="1" applyFill="1" applyBorder="1" applyAlignment="1" applyProtection="1">
      <alignment horizontal="center" vertical="center" wrapText="1"/>
    </xf>
    <xf numFmtId="0" fontId="13" fillId="15" borderId="66" xfId="6" applyFont="1" applyFill="1" applyBorder="1" applyAlignment="1" applyProtection="1">
      <alignment horizontal="center" vertical="center" wrapText="1"/>
    </xf>
    <xf numFmtId="0" fontId="13" fillId="15" borderId="50" xfId="6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68" xfId="6" applyFont="1" applyFill="1" applyBorder="1" applyAlignment="1" applyProtection="1">
      <alignment horizontal="center" vertical="center" wrapText="1"/>
    </xf>
    <xf numFmtId="0" fontId="13" fillId="15" borderId="52" xfId="4" applyFont="1" applyFill="1" applyBorder="1" applyAlignment="1" applyProtection="1">
      <alignment horizontal="center" vertical="center" wrapText="1"/>
    </xf>
    <xf numFmtId="0" fontId="13" fillId="15" borderId="48" xfId="4" applyFont="1" applyFill="1" applyBorder="1" applyAlignment="1" applyProtection="1">
      <alignment horizontal="center" vertical="center" wrapText="1"/>
    </xf>
    <xf numFmtId="0" fontId="13" fillId="15" borderId="108" xfId="4" applyFont="1" applyFill="1" applyBorder="1" applyAlignment="1" applyProtection="1">
      <alignment horizontal="center" vertical="center" wrapText="1"/>
    </xf>
    <xf numFmtId="0" fontId="13" fillId="15" borderId="109" xfId="4" applyFont="1" applyFill="1" applyBorder="1" applyAlignment="1" applyProtection="1">
      <alignment horizontal="center" vertical="center" wrapText="1"/>
    </xf>
    <xf numFmtId="0" fontId="18" fillId="9" borderId="89" xfId="7" applyFont="1" applyFill="1" applyBorder="1" applyAlignment="1" applyProtection="1">
      <alignment horizontal="center" vertical="center" wrapText="1"/>
    </xf>
    <xf numFmtId="0" fontId="18" fillId="9" borderId="23" xfId="7" applyFont="1" applyFill="1" applyBorder="1" applyAlignment="1" applyProtection="1">
      <alignment horizontal="center" vertical="center" wrapText="1"/>
    </xf>
    <xf numFmtId="0" fontId="18" fillId="9" borderId="24" xfId="7" applyFont="1" applyFill="1" applyBorder="1" applyAlignment="1" applyProtection="1">
      <alignment horizontal="center" vertical="center" wrapText="1"/>
    </xf>
    <xf numFmtId="176" fontId="18" fillId="9" borderId="99" xfId="7" applyNumberFormat="1" applyFont="1" applyFill="1" applyBorder="1" applyAlignment="1" applyProtection="1">
      <alignment horizontal="center" vertical="center" wrapText="1"/>
    </xf>
    <xf numFmtId="176" fontId="18" fillId="9" borderId="9" xfId="7" applyNumberFormat="1" applyFont="1" applyFill="1" applyBorder="1" applyAlignment="1" applyProtection="1">
      <alignment horizontal="center" vertical="center" wrapText="1"/>
    </xf>
    <xf numFmtId="176" fontId="18" fillId="9" borderId="100" xfId="7" applyNumberFormat="1" applyFont="1" applyFill="1" applyBorder="1" applyAlignment="1" applyProtection="1">
      <alignment horizontal="center" vertical="center" wrapText="1"/>
    </xf>
    <xf numFmtId="0" fontId="18" fillId="16" borderId="88" xfId="7" applyNumberFormat="1" applyFont="1" applyFill="1" applyBorder="1" applyAlignment="1" applyProtection="1">
      <alignment horizontal="center" vertical="center" shrinkToFit="1"/>
    </xf>
    <xf numFmtId="0" fontId="17" fillId="11" borderId="87" xfId="7" applyNumberFormat="1" applyFont="1" applyFill="1" applyBorder="1" applyAlignment="1" applyProtection="1">
      <alignment horizontal="center" vertical="center" shrinkToFit="1"/>
    </xf>
    <xf numFmtId="0" fontId="17" fillId="11" borderId="14" xfId="7" applyNumberFormat="1" applyFont="1" applyFill="1" applyBorder="1" applyAlignment="1" applyProtection="1">
      <alignment horizontal="center" vertical="center" shrinkToFit="1"/>
    </xf>
    <xf numFmtId="0" fontId="17" fillId="11" borderId="88" xfId="7" applyNumberFormat="1" applyFont="1" applyFill="1" applyBorder="1" applyAlignment="1" applyProtection="1">
      <alignment horizontal="center" vertical="center" shrinkToFit="1"/>
    </xf>
    <xf numFmtId="0" fontId="19" fillId="0" borderId="0" xfId="0" applyFont="1" applyAlignment="1">
      <alignment horizontal="center" vertical="center"/>
    </xf>
    <xf numFmtId="0" fontId="26" fillId="8" borderId="53" xfId="0" applyFont="1" applyFill="1" applyBorder="1" applyAlignment="1">
      <alignment horizontal="center" vertical="center"/>
    </xf>
    <xf numFmtId="0" fontId="26" fillId="8" borderId="54" xfId="0" applyFont="1" applyFill="1" applyBorder="1" applyAlignment="1">
      <alignment horizontal="center" vertical="center"/>
    </xf>
    <xf numFmtId="0" fontId="26" fillId="8" borderId="81" xfId="0" applyFont="1" applyFill="1" applyBorder="1" applyAlignment="1">
      <alignment horizontal="center" vertical="center"/>
    </xf>
    <xf numFmtId="0" fontId="26" fillId="8" borderId="55" xfId="0" applyFont="1" applyFill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84" xfId="0" applyFont="1" applyBorder="1" applyAlignment="1">
      <alignment horizontal="center" vertical="center"/>
    </xf>
    <xf numFmtId="0" fontId="31" fillId="0" borderId="77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1" fillId="0" borderId="84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7" fillId="11" borderId="5" xfId="7" applyFont="1" applyFill="1" applyBorder="1" applyAlignment="1" applyProtection="1">
      <alignment horizontal="center" vertical="center" wrapText="1"/>
    </xf>
    <xf numFmtId="0" fontId="17" fillId="11" borderId="12" xfId="7" applyFont="1" applyFill="1" applyBorder="1" applyAlignment="1" applyProtection="1">
      <alignment horizontal="center" vertical="center" wrapText="1"/>
    </xf>
    <xf numFmtId="0" fontId="17" fillId="11" borderId="8" xfId="7" applyFont="1" applyFill="1" applyBorder="1" applyAlignment="1" applyProtection="1">
      <alignment horizontal="center" vertical="center" wrapText="1"/>
    </xf>
    <xf numFmtId="0" fontId="17" fillId="11" borderId="87" xfId="7" applyFont="1" applyFill="1" applyBorder="1" applyAlignment="1" applyProtection="1">
      <alignment horizontal="center" vertical="center" wrapText="1"/>
    </xf>
    <xf numFmtId="0" fontId="17" fillId="11" borderId="14" xfId="7" applyFont="1" applyFill="1" applyBorder="1" applyAlignment="1" applyProtection="1">
      <alignment horizontal="center" vertical="center" wrapText="1"/>
    </xf>
    <xf numFmtId="0" fontId="17" fillId="11" borderId="88" xfId="7" applyFont="1" applyFill="1" applyBorder="1" applyAlignment="1" applyProtection="1">
      <alignment horizontal="center" vertical="center" wrapText="1"/>
    </xf>
    <xf numFmtId="0" fontId="17" fillId="11" borderId="87" xfId="7" applyFont="1" applyFill="1" applyBorder="1" applyAlignment="1">
      <alignment horizontal="center" vertical="center"/>
    </xf>
    <xf numFmtId="0" fontId="27" fillId="11" borderId="87" xfId="7" applyFont="1" applyFill="1" applyBorder="1" applyAlignment="1">
      <alignment horizontal="center" vertical="center" wrapText="1"/>
    </xf>
    <xf numFmtId="0" fontId="27" fillId="11" borderId="14" xfId="7" applyFont="1" applyFill="1" applyBorder="1" applyAlignment="1">
      <alignment horizontal="center" vertical="center"/>
    </xf>
    <xf numFmtId="0" fontId="27" fillId="11" borderId="88" xfId="7" applyFont="1" applyFill="1" applyBorder="1" applyAlignment="1">
      <alignment horizontal="center" vertical="center"/>
    </xf>
    <xf numFmtId="0" fontId="32" fillId="0" borderId="4" xfId="0" applyFont="1" applyBorder="1" applyAlignment="1">
      <alignment horizontal="left" vertical="center"/>
    </xf>
    <xf numFmtId="0" fontId="32" fillId="0" borderId="25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17" fillId="11" borderId="14" xfId="7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27" fillId="11" borderId="27" xfId="7" applyFont="1" applyFill="1" applyBorder="1" applyAlignment="1">
      <alignment horizontal="center" vertical="center" wrapText="1"/>
    </xf>
    <xf numFmtId="0" fontId="27" fillId="11" borderId="10" xfId="7" applyFont="1" applyFill="1" applyBorder="1" applyAlignment="1">
      <alignment horizontal="center" vertical="center"/>
    </xf>
    <xf numFmtId="0" fontId="27" fillId="11" borderId="28" xfId="7" applyFont="1" applyFill="1" applyBorder="1" applyAlignment="1">
      <alignment horizontal="center" vertical="center"/>
    </xf>
    <xf numFmtId="0" fontId="18" fillId="0" borderId="89" xfId="7" applyFont="1" applyFill="1" applyBorder="1" applyAlignment="1" applyProtection="1">
      <alignment horizontal="center" vertical="center" wrapText="1"/>
    </xf>
    <xf numFmtId="0" fontId="18" fillId="0" borderId="23" xfId="7" applyFont="1" applyFill="1" applyBorder="1" applyAlignment="1" applyProtection="1">
      <alignment horizontal="center" vertical="center" wrapText="1"/>
    </xf>
    <xf numFmtId="0" fontId="18" fillId="0" borderId="24" xfId="7" applyFont="1" applyFill="1" applyBorder="1" applyAlignment="1" applyProtection="1">
      <alignment horizontal="center" vertical="center" wrapText="1"/>
    </xf>
    <xf numFmtId="0" fontId="18" fillId="16" borderId="7" xfId="7" applyNumberFormat="1" applyFont="1" applyFill="1" applyBorder="1" applyAlignment="1" applyProtection="1">
      <alignment horizontal="center" vertical="center" shrinkToFit="1"/>
    </xf>
    <xf numFmtId="0" fontId="18" fillId="16" borderId="167" xfId="7" applyNumberFormat="1" applyFont="1" applyFill="1" applyBorder="1" applyAlignment="1" applyProtection="1">
      <alignment horizontal="center" vertical="center" shrinkToFit="1"/>
    </xf>
    <xf numFmtId="0" fontId="55" fillId="0" borderId="46" xfId="4" applyFont="1" applyFill="1" applyBorder="1" applyAlignment="1" applyProtection="1">
      <alignment horizontal="center" vertical="center" wrapText="1"/>
      <protection locked="0"/>
    </xf>
    <xf numFmtId="0" fontId="55" fillId="0" borderId="32" xfId="4" applyFont="1" applyFill="1" applyBorder="1" applyAlignment="1" applyProtection="1">
      <alignment horizontal="center" vertical="center" wrapText="1"/>
      <protection locked="0"/>
    </xf>
    <xf numFmtId="0" fontId="13" fillId="0" borderId="22" xfId="4" applyFont="1" applyFill="1" applyBorder="1" applyAlignment="1" applyProtection="1">
      <alignment horizontal="center" vertical="center" wrapText="1"/>
      <protection locked="0"/>
    </xf>
    <xf numFmtId="0" fontId="13" fillId="15" borderId="17" xfId="5" applyFont="1" applyFill="1" applyBorder="1" applyAlignment="1" applyProtection="1">
      <alignment horizontal="center" vertical="center" wrapText="1"/>
    </xf>
    <xf numFmtId="0" fontId="13" fillId="15" borderId="19" xfId="5" applyFont="1" applyFill="1" applyBorder="1" applyAlignment="1" applyProtection="1">
      <alignment horizontal="center" vertical="center" wrapText="1"/>
    </xf>
    <xf numFmtId="0" fontId="55" fillId="0" borderId="52" xfId="4" applyFont="1" applyFill="1" applyBorder="1" applyAlignment="1" applyProtection="1">
      <alignment horizontal="center" vertical="center" wrapText="1"/>
      <protection locked="0"/>
    </xf>
    <xf numFmtId="0" fontId="55" fillId="0" borderId="48" xfId="4" applyFont="1" applyFill="1" applyBorder="1" applyAlignment="1" applyProtection="1">
      <alignment horizontal="center" vertical="center" wrapText="1"/>
      <protection locked="0"/>
    </xf>
    <xf numFmtId="0" fontId="55" fillId="0" borderId="107" xfId="4" applyFont="1" applyFill="1" applyBorder="1" applyAlignment="1" applyProtection="1">
      <alignment horizontal="center" vertical="center" wrapText="1"/>
      <protection locked="0"/>
    </xf>
    <xf numFmtId="0" fontId="55" fillId="0" borderId="108" xfId="4" applyFont="1" applyFill="1" applyBorder="1" applyAlignment="1" applyProtection="1">
      <alignment horizontal="center" vertical="center" wrapText="1"/>
      <protection locked="0"/>
    </xf>
    <xf numFmtId="0" fontId="55" fillId="0" borderId="109" xfId="4" applyFont="1" applyFill="1" applyBorder="1" applyAlignment="1" applyProtection="1">
      <alignment horizontal="center" vertical="center" wrapText="1"/>
      <protection locked="0"/>
    </xf>
    <xf numFmtId="0" fontId="55" fillId="0" borderId="104" xfId="4" applyFont="1" applyFill="1" applyBorder="1" applyAlignment="1" applyProtection="1">
      <alignment horizontal="center" vertical="center" wrapText="1"/>
      <protection locked="0"/>
    </xf>
    <xf numFmtId="0" fontId="55" fillId="0" borderId="68" xfId="4" applyFont="1" applyFill="1" applyBorder="1" applyAlignment="1" applyProtection="1">
      <alignment horizontal="center" vertical="center" wrapText="1"/>
      <protection locked="0"/>
    </xf>
    <xf numFmtId="0" fontId="13" fillId="15" borderId="13" xfId="4" applyFont="1" applyFill="1" applyBorder="1" applyAlignment="1" applyProtection="1">
      <alignment horizontal="center" vertical="center" wrapText="1"/>
    </xf>
    <xf numFmtId="0" fontId="13" fillId="15" borderId="76" xfId="4" applyFont="1" applyFill="1" applyBorder="1" applyAlignment="1" applyProtection="1">
      <alignment horizontal="center" vertical="center" wrapText="1"/>
    </xf>
    <xf numFmtId="0" fontId="13" fillId="0" borderId="68" xfId="4" applyFont="1" applyFill="1" applyBorder="1" applyAlignment="1" applyProtection="1">
      <alignment horizontal="center" vertical="center" wrapText="1"/>
      <protection locked="0"/>
    </xf>
    <xf numFmtId="0" fontId="13" fillId="0" borderId="59" xfId="4" applyFont="1" applyFill="1" applyBorder="1" applyAlignment="1" applyProtection="1">
      <alignment horizontal="center" vertical="center" wrapText="1"/>
      <protection locked="0"/>
    </xf>
    <xf numFmtId="0" fontId="22" fillId="15" borderId="13" xfId="4" applyFont="1" applyFill="1" applyBorder="1" applyAlignment="1" applyProtection="1">
      <alignment horizontal="center" vertical="center" wrapText="1"/>
    </xf>
    <xf numFmtId="0" fontId="22" fillId="15" borderId="16" xfId="4" applyFont="1" applyFill="1" applyBorder="1" applyAlignment="1" applyProtection="1">
      <alignment horizontal="center" vertical="center" wrapText="1"/>
    </xf>
    <xf numFmtId="0" fontId="22" fillId="15" borderId="76" xfId="4" applyFont="1" applyFill="1" applyBorder="1" applyAlignment="1" applyProtection="1">
      <alignment horizontal="center" vertical="center" wrapText="1"/>
    </xf>
    <xf numFmtId="0" fontId="13" fillId="15" borderId="16" xfId="4" applyFont="1" applyFill="1" applyBorder="1" applyAlignment="1" applyProtection="1">
      <alignment horizontal="center" vertical="center" wrapText="1"/>
    </xf>
    <xf numFmtId="0" fontId="13" fillId="0" borderId="94" xfId="0" applyFont="1" applyFill="1" applyBorder="1" applyAlignment="1" applyProtection="1">
      <alignment horizontal="center" vertical="center" shrinkToFit="1"/>
      <protection locked="0"/>
    </xf>
    <xf numFmtId="0" fontId="13" fillId="0" borderId="95" xfId="0" applyFont="1" applyFill="1" applyBorder="1" applyAlignment="1" applyProtection="1">
      <alignment horizontal="center" vertical="center" shrinkToFit="1"/>
      <protection locked="0"/>
    </xf>
    <xf numFmtId="0" fontId="55" fillId="0" borderId="94" xfId="4" applyFont="1" applyFill="1" applyBorder="1" applyAlignment="1" applyProtection="1">
      <alignment horizontal="center" vertical="center" wrapText="1"/>
      <protection locked="0"/>
    </xf>
    <xf numFmtId="0" fontId="55" fillId="0" borderId="156" xfId="4" applyFont="1" applyFill="1" applyBorder="1" applyAlignment="1" applyProtection="1">
      <alignment horizontal="center" vertical="center" wrapText="1"/>
      <protection locked="0"/>
    </xf>
    <xf numFmtId="0" fontId="55" fillId="0" borderId="157" xfId="4" applyFont="1" applyFill="1" applyBorder="1" applyAlignment="1" applyProtection="1">
      <alignment horizontal="center" vertical="center" wrapText="1"/>
      <protection locked="0"/>
    </xf>
    <xf numFmtId="0" fontId="55" fillId="0" borderId="158" xfId="4" applyFont="1" applyFill="1" applyBorder="1" applyAlignment="1" applyProtection="1">
      <alignment horizontal="center" vertical="center" wrapText="1"/>
      <protection locked="0"/>
    </xf>
    <xf numFmtId="0" fontId="55" fillId="0" borderId="159" xfId="4" applyFont="1" applyFill="1" applyBorder="1" applyAlignment="1" applyProtection="1">
      <alignment horizontal="center" vertical="center" wrapText="1"/>
      <protection locked="0"/>
    </xf>
    <xf numFmtId="0" fontId="13" fillId="0" borderId="159" xfId="4" applyFont="1" applyFill="1" applyBorder="1" applyAlignment="1" applyProtection="1">
      <alignment horizontal="center" vertical="center" wrapText="1"/>
      <protection locked="0"/>
    </xf>
    <xf numFmtId="0" fontId="13" fillId="0" borderId="156" xfId="4" applyFont="1" applyFill="1" applyBorder="1" applyAlignment="1" applyProtection="1">
      <alignment horizontal="center" vertical="center" wrapText="1"/>
      <protection locked="0"/>
    </xf>
    <xf numFmtId="0" fontId="13" fillId="0" borderId="157" xfId="4" applyFont="1" applyFill="1" applyBorder="1" applyAlignment="1" applyProtection="1">
      <alignment horizontal="center" vertical="center" wrapText="1"/>
      <protection locked="0"/>
    </xf>
    <xf numFmtId="0" fontId="13" fillId="0" borderId="95" xfId="4" applyFont="1" applyFill="1" applyBorder="1" applyAlignment="1" applyProtection="1">
      <alignment horizontal="center" vertical="center" wrapText="1"/>
      <protection locked="0"/>
    </xf>
    <xf numFmtId="0" fontId="55" fillId="0" borderId="103" xfId="4" applyFont="1" applyFill="1" applyBorder="1" applyAlignment="1" applyProtection="1">
      <alignment horizontal="center" vertical="center" wrapText="1"/>
      <protection locked="0"/>
    </xf>
    <xf numFmtId="0" fontId="13" fillId="0" borderId="75" xfId="4" applyFont="1" applyFill="1" applyBorder="1" applyAlignment="1" applyProtection="1">
      <alignment horizontal="center" vertical="center" wrapText="1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 shrinkToFit="1"/>
      <protection locked="0"/>
    </xf>
    <xf numFmtId="0" fontId="13" fillId="0" borderId="26" xfId="0" applyFont="1" applyFill="1" applyBorder="1" applyAlignment="1" applyProtection="1">
      <alignment horizontal="center" vertical="center" shrinkToFit="1"/>
      <protection locked="0"/>
    </xf>
    <xf numFmtId="0" fontId="59" fillId="0" borderId="15" xfId="0" applyFont="1" applyBorder="1" applyAlignment="1" applyProtection="1">
      <alignment horizontal="center" vertical="center" wrapText="1"/>
      <protection locked="0"/>
    </xf>
    <xf numFmtId="0" fontId="59" fillId="0" borderId="20" xfId="0" applyFont="1" applyBorder="1" applyAlignment="1" applyProtection="1">
      <alignment horizontal="center" vertical="center" wrapText="1"/>
      <protection locked="0"/>
    </xf>
    <xf numFmtId="0" fontId="59" fillId="0" borderId="26" xfId="0" applyFont="1" applyBorder="1" applyAlignment="1" applyProtection="1">
      <alignment horizontal="center" vertical="center" wrapText="1"/>
      <protection locked="0"/>
    </xf>
    <xf numFmtId="0" fontId="0" fillId="0" borderId="106" xfId="0" applyBorder="1" applyAlignment="1" applyProtection="1">
      <alignment horizontal="center" vertical="center"/>
      <protection locked="0"/>
    </xf>
    <xf numFmtId="0" fontId="0" fillId="0" borderId="32" xfId="0" applyBorder="1" applyAlignment="1" applyProtection="1">
      <alignment horizontal="center" vertical="center"/>
      <protection locked="0"/>
    </xf>
    <xf numFmtId="0" fontId="55" fillId="0" borderId="31" xfId="4" applyFont="1" applyFill="1" applyBorder="1" applyAlignment="1" applyProtection="1">
      <alignment horizontal="center" vertical="center" wrapText="1"/>
      <protection locked="0"/>
    </xf>
    <xf numFmtId="0" fontId="55" fillId="0" borderId="105" xfId="4" applyFont="1" applyFill="1" applyBorder="1" applyAlignment="1" applyProtection="1">
      <alignment horizontal="center" vertical="center" wrapText="1"/>
      <protection locked="0"/>
    </xf>
    <xf numFmtId="0" fontId="51" fillId="0" borderId="145" xfId="16" applyFont="1" applyBorder="1" applyAlignment="1">
      <alignment horizontal="center" vertical="center"/>
    </xf>
    <xf numFmtId="0" fontId="37" fillId="0" borderId="142" xfId="16" applyFont="1" applyBorder="1"/>
    <xf numFmtId="0" fontId="34" fillId="0" borderId="0" xfId="16" applyFont="1" applyBorder="1" applyAlignment="1">
      <alignment vertical="center" wrapText="1"/>
    </xf>
    <xf numFmtId="0" fontId="16" fillId="0" borderId="0" xfId="16" applyFont="1" applyBorder="1" applyAlignment="1"/>
    <xf numFmtId="0" fontId="34" fillId="18" borderId="153" xfId="16" applyFont="1" applyFill="1" applyBorder="1" applyAlignment="1">
      <alignment horizontal="center" vertical="center" wrapText="1"/>
    </xf>
    <xf numFmtId="0" fontId="37" fillId="0" borderId="115" xfId="16" applyFont="1" applyBorder="1"/>
    <xf numFmtId="0" fontId="37" fillId="0" borderId="120" xfId="16" applyFont="1" applyBorder="1"/>
    <xf numFmtId="0" fontId="34" fillId="18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49" fillId="19" borderId="123" xfId="16" applyFont="1" applyFill="1" applyBorder="1" applyAlignment="1">
      <alignment horizontal="center" vertical="center"/>
    </xf>
    <xf numFmtId="0" fontId="37" fillId="0" borderId="125" xfId="16" applyFont="1" applyBorder="1"/>
    <xf numFmtId="0" fontId="49" fillId="19" borderId="119" xfId="16" applyFont="1" applyFill="1" applyBorder="1" applyAlignment="1">
      <alignment horizontal="center" vertical="center"/>
    </xf>
    <xf numFmtId="0" fontId="37" fillId="0" borderId="118" xfId="16" applyFont="1" applyBorder="1"/>
    <xf numFmtId="0" fontId="37" fillId="0" borderId="117" xfId="16" applyFont="1" applyBorder="1"/>
    <xf numFmtId="0" fontId="50" fillId="0" borderId="123" xfId="16" applyFont="1" applyBorder="1" applyAlignment="1">
      <alignment horizontal="center" vertical="center"/>
    </xf>
    <xf numFmtId="0" fontId="52" fillId="0" borderId="125" xfId="16" applyFont="1" applyBorder="1"/>
    <xf numFmtId="0" fontId="43" fillId="19" borderId="117" xfId="16" applyFont="1" applyFill="1" applyBorder="1" applyAlignment="1">
      <alignment horizontal="center" vertical="center" wrapText="1"/>
    </xf>
    <xf numFmtId="0" fontId="43" fillId="0" borderId="119" xfId="16" applyFont="1" applyBorder="1" applyAlignment="1">
      <alignment horizontal="center" vertical="center" wrapText="1"/>
    </xf>
    <xf numFmtId="0" fontId="34" fillId="18" borderId="113" xfId="16" applyFont="1" applyFill="1" applyBorder="1" applyAlignment="1">
      <alignment horizontal="center" vertical="center" wrapText="1"/>
    </xf>
    <xf numFmtId="0" fontId="49" fillId="19" borderId="117" xfId="16" applyFont="1" applyFill="1" applyBorder="1" applyAlignment="1">
      <alignment horizontal="center" vertical="center" wrapText="1"/>
    </xf>
    <xf numFmtId="0" fontId="45" fillId="20" borderId="117" xfId="16" applyFont="1" applyFill="1" applyBorder="1" applyAlignment="1">
      <alignment horizontal="center" vertical="center" wrapText="1"/>
    </xf>
    <xf numFmtId="0" fontId="47" fillId="20" borderId="119" xfId="16" applyFont="1" applyFill="1" applyBorder="1" applyAlignment="1">
      <alignment horizontal="center" vertical="center" wrapText="1"/>
    </xf>
    <xf numFmtId="0" fontId="49" fillId="19" borderId="117" xfId="16" applyFont="1" applyFill="1" applyBorder="1" applyAlignment="1">
      <alignment horizontal="center" vertical="center"/>
    </xf>
    <xf numFmtId="0" fontId="49" fillId="0" borderId="119" xfId="16" applyFont="1" applyBorder="1" applyAlignment="1">
      <alignment horizontal="center" vertical="center"/>
    </xf>
    <xf numFmtId="0" fontId="43" fillId="19" borderId="117" xfId="16" applyFont="1" applyFill="1" applyBorder="1" applyAlignment="1">
      <alignment horizontal="center" vertical="center"/>
    </xf>
    <xf numFmtId="0" fontId="43" fillId="0" borderId="101" xfId="16" applyFont="1" applyBorder="1" applyAlignment="1">
      <alignment horizontal="center" vertical="center"/>
    </xf>
    <xf numFmtId="0" fontId="37" fillId="0" borderId="116" xfId="16" applyFont="1" applyBorder="1"/>
    <xf numFmtId="0" fontId="37" fillId="0" borderId="126" xfId="16" applyFont="1" applyBorder="1"/>
    <xf numFmtId="0" fontId="43" fillId="0" borderId="119" xfId="16" applyFont="1" applyBorder="1" applyAlignment="1">
      <alignment horizontal="center" vertical="center"/>
    </xf>
    <xf numFmtId="0" fontId="45" fillId="0" borderId="131" xfId="16" applyFont="1" applyBorder="1" applyAlignment="1">
      <alignment horizontal="center" vertical="center" wrapText="1"/>
    </xf>
    <xf numFmtId="0" fontId="37" fillId="0" borderId="137" xfId="16" applyFont="1" applyBorder="1"/>
    <xf numFmtId="0" fontId="45" fillId="0" borderId="134" xfId="16" applyFont="1" applyBorder="1" applyAlignment="1">
      <alignment horizontal="center" vertical="center" wrapText="1"/>
    </xf>
    <xf numFmtId="0" fontId="37" fillId="0" borderId="136" xfId="16" applyFont="1" applyBorder="1"/>
    <xf numFmtId="0" fontId="37" fillId="0" borderId="124" xfId="16" applyFont="1" applyBorder="1"/>
    <xf numFmtId="0" fontId="45" fillId="0" borderId="145" xfId="16" applyFont="1" applyBorder="1" applyAlignment="1">
      <alignment horizontal="center" vertical="center" wrapText="1"/>
    </xf>
    <xf numFmtId="0" fontId="45" fillId="0" borderId="147" xfId="16" applyFont="1" applyBorder="1" applyAlignment="1">
      <alignment horizontal="center" vertical="center" wrapText="1"/>
    </xf>
    <xf numFmtId="0" fontId="37" fillId="0" borderId="148" xfId="16" applyFont="1" applyBorder="1"/>
    <xf numFmtId="0" fontId="45" fillId="0" borderId="101" xfId="16" applyFont="1" applyBorder="1" applyAlignment="1">
      <alignment horizontal="center" vertical="center" wrapText="1"/>
    </xf>
    <xf numFmtId="0" fontId="45" fillId="0" borderId="149" xfId="16" applyFont="1" applyBorder="1" applyAlignment="1">
      <alignment horizontal="center" vertical="center" wrapText="1"/>
    </xf>
    <xf numFmtId="0" fontId="37" fillId="0" borderId="150" xfId="16" applyFont="1" applyBorder="1"/>
    <xf numFmtId="0" fontId="45" fillId="0" borderId="119" xfId="16" applyFont="1" applyBorder="1" applyAlignment="1">
      <alignment horizontal="center" vertical="center" wrapText="1"/>
    </xf>
    <xf numFmtId="0" fontId="44" fillId="20" borderId="129" xfId="16" applyFont="1" applyFill="1" applyBorder="1" applyAlignment="1">
      <alignment horizontal="center" vertical="center" wrapText="1"/>
    </xf>
    <xf numFmtId="0" fontId="37" fillId="0" borderId="130" xfId="16" applyFont="1" applyBorder="1"/>
    <xf numFmtId="0" fontId="45" fillId="0" borderId="132" xfId="16" applyFont="1" applyBorder="1" applyAlignment="1">
      <alignment horizontal="center" vertical="center" wrapText="1"/>
    </xf>
    <xf numFmtId="0" fontId="37" fillId="0" borderId="138" xfId="16" applyFont="1" applyBorder="1"/>
    <xf numFmtId="0" fontId="37" fillId="0" borderId="141" xfId="16" applyFont="1" applyBorder="1"/>
    <xf numFmtId="0" fontId="45" fillId="0" borderId="117" xfId="16" applyFont="1" applyBorder="1" applyAlignment="1">
      <alignment horizontal="center" vertical="center" wrapText="1"/>
    </xf>
    <xf numFmtId="0" fontId="47" fillId="0" borderId="119" xfId="16" applyFont="1" applyBorder="1" applyAlignment="1">
      <alignment horizontal="center" vertical="center" wrapText="1"/>
    </xf>
    <xf numFmtId="0" fontId="45" fillId="20" borderId="119" xfId="16" applyFont="1" applyFill="1" applyBorder="1" applyAlignment="1">
      <alignment horizontal="center" vertical="center" wrapText="1"/>
    </xf>
    <xf numFmtId="0" fontId="43" fillId="19" borderId="122" xfId="16" applyFont="1" applyFill="1" applyBorder="1" applyAlignment="1">
      <alignment horizontal="center" vertical="center"/>
    </xf>
    <xf numFmtId="0" fontId="37" fillId="0" borderId="123" xfId="16" applyFont="1" applyBorder="1"/>
    <xf numFmtId="0" fontId="43" fillId="0" borderId="101" xfId="16" applyFont="1" applyBorder="1" applyAlignment="1">
      <alignment horizontal="center" vertical="center" wrapText="1"/>
    </xf>
    <xf numFmtId="0" fontId="37" fillId="0" borderId="122" xfId="16" applyFont="1" applyBorder="1"/>
    <xf numFmtId="0" fontId="39" fillId="0" borderId="0" xfId="16" applyFont="1" applyAlignment="1">
      <alignment horizontal="center" vertical="center"/>
    </xf>
    <xf numFmtId="0" fontId="41" fillId="0" borderId="0" xfId="16" applyFont="1" applyAlignment="1"/>
    <xf numFmtId="0" fontId="42" fillId="0" borderId="114" xfId="16" applyFont="1" applyBorder="1" applyAlignment="1">
      <alignment horizontal="center" vertical="center"/>
    </xf>
    <xf numFmtId="0" fontId="37" fillId="0" borderId="25" xfId="16" applyFont="1" applyBorder="1"/>
    <xf numFmtId="0" fontId="37" fillId="0" borderId="22" xfId="16" applyFont="1" applyBorder="1"/>
    <xf numFmtId="0" fontId="42" fillId="8" borderId="4" xfId="16" applyFont="1" applyFill="1" applyBorder="1" applyAlignment="1">
      <alignment horizontal="center" vertical="center"/>
    </xf>
    <xf numFmtId="0" fontId="37" fillId="8" borderId="25" xfId="16" applyFont="1" applyFill="1" applyBorder="1"/>
    <xf numFmtId="0" fontId="37" fillId="8" borderId="22" xfId="16" applyFont="1" applyFill="1" applyBorder="1"/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FA1409C1-7EC6-4B1C-8640-3912FC24E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59025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CC0CFA25-B1D3-4303-A301-7825756AE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59025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AD146DBF-76E6-4904-AE3C-26C5F5518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154305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045AF-FC86-485B-B504-F1308E5367A8}">
  <sheetPr>
    <tabColor rgb="FFFFC000"/>
    <pageSetUpPr fitToPage="1"/>
  </sheetPr>
  <dimension ref="B1:AD102"/>
  <sheetViews>
    <sheetView tabSelected="1" view="pageBreakPreview" zoomScaleNormal="100" zoomScaleSheetLayoutView="100" workbookViewId="0">
      <pane ySplit="8" topLeftCell="A9" activePane="bottomLeft" state="frozen"/>
      <selection pane="bottomLeft" activeCell="B2" sqref="B2:U2"/>
    </sheetView>
  </sheetViews>
  <sheetFormatPr defaultColWidth="8.75" defaultRowHeight="16.5"/>
  <cols>
    <col min="1" max="1" width="2" style="4" customWidth="1"/>
    <col min="2" max="2" width="6.625" style="4" customWidth="1"/>
    <col min="3" max="3" width="9.37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625" style="4" customWidth="1"/>
    <col min="9" max="9" width="7.875" style="4" bestFit="1" customWidth="1"/>
    <col min="10" max="10" width="5.625" style="4" customWidth="1"/>
    <col min="11" max="22" width="3.875" style="4" customWidth="1"/>
    <col min="23" max="24" width="3.375" style="4" customWidth="1"/>
    <col min="25" max="25" width="6.875" style="4" customWidth="1"/>
    <col min="26" max="26" width="10" style="4" customWidth="1"/>
    <col min="27" max="27" width="20.75" style="4" customWidth="1"/>
    <col min="28" max="29" width="12.875" style="4" customWidth="1"/>
    <col min="30" max="30" width="13.875" style="4" customWidth="1"/>
    <col min="31" max="16384" width="8.75" style="4"/>
  </cols>
  <sheetData>
    <row r="1" spans="2:30" ht="17.25" thickBot="1"/>
    <row r="2" spans="2:30" ht="30.75" customHeight="1" thickBot="1">
      <c r="B2" s="248" t="s">
        <v>687</v>
      </c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9"/>
      <c r="V2" s="250" t="s">
        <v>130</v>
      </c>
      <c r="W2" s="251"/>
      <c r="X2" s="252">
        <v>2027</v>
      </c>
      <c r="Y2" s="253"/>
      <c r="AA2" s="254" t="s">
        <v>143</v>
      </c>
      <c r="AB2" s="19" t="s">
        <v>144</v>
      </c>
      <c r="AC2" s="31" t="s">
        <v>151</v>
      </c>
      <c r="AD2" s="20" t="s">
        <v>145</v>
      </c>
    </row>
    <row r="3" spans="2:30" ht="17.25" thickBot="1">
      <c r="B3" s="257" t="s">
        <v>362</v>
      </c>
      <c r="C3" s="259" t="s">
        <v>53</v>
      </c>
      <c r="D3" s="260"/>
      <c r="E3" s="260"/>
      <c r="F3" s="259" t="s">
        <v>64</v>
      </c>
      <c r="G3" s="263"/>
      <c r="H3" s="259" t="s">
        <v>54</v>
      </c>
      <c r="I3" s="260"/>
      <c r="J3" s="260"/>
      <c r="K3" s="259" t="s">
        <v>55</v>
      </c>
      <c r="L3" s="260"/>
      <c r="M3" s="260"/>
      <c r="N3" s="260"/>
      <c r="O3" s="263"/>
      <c r="P3" s="265" t="s">
        <v>56</v>
      </c>
      <c r="Q3" s="266"/>
      <c r="R3" s="266"/>
      <c r="S3" s="266"/>
      <c r="T3" s="266"/>
      <c r="U3" s="266"/>
      <c r="V3" s="266"/>
      <c r="W3" s="266"/>
      <c r="X3" s="266"/>
      <c r="Y3" s="267"/>
      <c r="AA3" s="255"/>
      <c r="AB3" s="21" t="s">
        <v>146</v>
      </c>
      <c r="AC3" s="41" t="s">
        <v>569</v>
      </c>
      <c r="AD3" s="22" t="s">
        <v>583</v>
      </c>
    </row>
    <row r="4" spans="2:30" ht="17.25" thickBot="1">
      <c r="B4" s="258"/>
      <c r="C4" s="261"/>
      <c r="D4" s="262"/>
      <c r="E4" s="262"/>
      <c r="F4" s="261"/>
      <c r="G4" s="264"/>
      <c r="H4" s="261"/>
      <c r="I4" s="262"/>
      <c r="J4" s="262"/>
      <c r="K4" s="261"/>
      <c r="L4" s="262"/>
      <c r="M4" s="262"/>
      <c r="N4" s="262"/>
      <c r="O4" s="264"/>
      <c r="P4" s="265" t="s">
        <v>127</v>
      </c>
      <c r="Q4" s="266"/>
      <c r="R4" s="266"/>
      <c r="S4" s="266"/>
      <c r="T4" s="265" t="s">
        <v>61</v>
      </c>
      <c r="U4" s="266"/>
      <c r="V4" s="267"/>
      <c r="W4" s="266" t="s">
        <v>128</v>
      </c>
      <c r="X4" s="266"/>
      <c r="Y4" s="267"/>
      <c r="AA4" s="255"/>
      <c r="AB4" s="23" t="s">
        <v>147</v>
      </c>
      <c r="AC4" s="42" t="s">
        <v>570</v>
      </c>
      <c r="AD4" s="22" t="s">
        <v>584</v>
      </c>
    </row>
    <row r="5" spans="2:30" ht="26.25" customHeight="1" thickBot="1">
      <c r="B5" s="76" t="s">
        <v>510</v>
      </c>
      <c r="C5" s="268" t="s">
        <v>512</v>
      </c>
      <c r="D5" s="269"/>
      <c r="E5" s="270"/>
      <c r="F5" s="268" t="s">
        <v>673</v>
      </c>
      <c r="G5" s="271"/>
      <c r="H5" s="272" t="s">
        <v>674</v>
      </c>
      <c r="I5" s="269"/>
      <c r="J5" s="270"/>
      <c r="K5" s="268"/>
      <c r="L5" s="269"/>
      <c r="M5" s="269"/>
      <c r="N5" s="269"/>
      <c r="O5" s="271"/>
      <c r="P5" s="272" t="s">
        <v>675</v>
      </c>
      <c r="Q5" s="269"/>
      <c r="R5" s="269"/>
      <c r="S5" s="270"/>
      <c r="T5" s="268" t="s">
        <v>514</v>
      </c>
      <c r="U5" s="269"/>
      <c r="V5" s="270"/>
      <c r="W5" s="273" t="s">
        <v>754</v>
      </c>
      <c r="X5" s="274"/>
      <c r="Y5" s="275"/>
      <c r="AA5" s="256"/>
      <c r="AB5" s="24" t="s">
        <v>148</v>
      </c>
      <c r="AC5" s="43"/>
      <c r="AD5" s="176"/>
    </row>
    <row r="6" spans="2:30" ht="15.75" customHeight="1" thickBot="1">
      <c r="U6" s="276"/>
      <c r="V6" s="276"/>
      <c r="W6" s="276"/>
      <c r="X6" s="276"/>
      <c r="Y6" s="276"/>
    </row>
    <row r="7" spans="2:30" s="10" customFormat="1" ht="22.5" customHeight="1">
      <c r="B7" s="277" t="s">
        <v>2</v>
      </c>
      <c r="C7" s="278"/>
      <c r="D7" s="281" t="s">
        <v>120</v>
      </c>
      <c r="E7" s="283" t="s">
        <v>57</v>
      </c>
      <c r="F7" s="284"/>
      <c r="G7" s="285"/>
      <c r="H7" s="286" t="s">
        <v>133</v>
      </c>
      <c r="I7" s="288" t="s">
        <v>134</v>
      </c>
      <c r="J7" s="290" t="s">
        <v>135</v>
      </c>
      <c r="K7" s="292" t="s">
        <v>58</v>
      </c>
      <c r="L7" s="288"/>
      <c r="M7" s="288"/>
      <c r="N7" s="293"/>
      <c r="O7" s="294" t="s">
        <v>59</v>
      </c>
      <c r="P7" s="288"/>
      <c r="Q7" s="288"/>
      <c r="R7" s="293"/>
      <c r="S7" s="292" t="s">
        <v>60</v>
      </c>
      <c r="T7" s="288"/>
      <c r="U7" s="288"/>
      <c r="V7" s="295"/>
      <c r="W7" s="286" t="s">
        <v>136</v>
      </c>
      <c r="X7" s="290"/>
      <c r="Y7" s="285" t="s">
        <v>137</v>
      </c>
      <c r="Z7" s="9"/>
    </row>
    <row r="8" spans="2:30" s="10" customFormat="1" ht="22.5" customHeight="1" thickBot="1">
      <c r="B8" s="279"/>
      <c r="C8" s="280"/>
      <c r="D8" s="282"/>
      <c r="E8" s="26" t="s">
        <v>18</v>
      </c>
      <c r="F8" s="316" t="s">
        <v>19</v>
      </c>
      <c r="G8" s="317"/>
      <c r="H8" s="287"/>
      <c r="I8" s="289"/>
      <c r="J8" s="291"/>
      <c r="K8" s="318" t="s">
        <v>0</v>
      </c>
      <c r="L8" s="289"/>
      <c r="M8" s="289" t="s">
        <v>62</v>
      </c>
      <c r="N8" s="319"/>
      <c r="O8" s="320" t="s">
        <v>0</v>
      </c>
      <c r="P8" s="289"/>
      <c r="Q8" s="289" t="s">
        <v>62</v>
      </c>
      <c r="R8" s="319"/>
      <c r="S8" s="318" t="s">
        <v>0</v>
      </c>
      <c r="T8" s="289"/>
      <c r="U8" s="289" t="s">
        <v>62</v>
      </c>
      <c r="V8" s="321"/>
      <c r="W8" s="287"/>
      <c r="X8" s="291"/>
      <c r="Y8" s="315"/>
      <c r="AA8" s="296" t="s">
        <v>500</v>
      </c>
      <c r="AB8" s="296"/>
      <c r="AC8" s="296"/>
      <c r="AD8" s="296"/>
    </row>
    <row r="9" spans="2:30" ht="16.5" customHeight="1" thickBot="1">
      <c r="B9" s="297" t="s">
        <v>340</v>
      </c>
      <c r="C9" s="298"/>
      <c r="D9" s="303" t="s">
        <v>21</v>
      </c>
      <c r="E9" s="44" t="s">
        <v>12</v>
      </c>
      <c r="F9" s="305" t="s">
        <v>204</v>
      </c>
      <c r="G9" s="306"/>
      <c r="H9" s="45">
        <v>4</v>
      </c>
      <c r="I9" s="46" t="s">
        <v>341</v>
      </c>
      <c r="J9" s="47">
        <v>3</v>
      </c>
      <c r="K9" s="305">
        <v>3</v>
      </c>
      <c r="L9" s="307"/>
      <c r="M9" s="308"/>
      <c r="N9" s="309"/>
      <c r="O9" s="310"/>
      <c r="P9" s="307"/>
      <c r="Q9" s="308"/>
      <c r="R9" s="309"/>
      <c r="S9" s="311"/>
      <c r="T9" s="312"/>
      <c r="U9" s="313"/>
      <c r="V9" s="314"/>
      <c r="W9" s="48">
        <f>SUM(K9:V9)</f>
        <v>3</v>
      </c>
      <c r="X9" s="322">
        <f>SUM(W9:W11)</f>
        <v>9</v>
      </c>
      <c r="Y9" s="324">
        <v>24</v>
      </c>
      <c r="AA9" s="137" t="s">
        <v>18</v>
      </c>
      <c r="AB9" s="138" t="s">
        <v>506</v>
      </c>
      <c r="AC9" s="138" t="s">
        <v>507</v>
      </c>
      <c r="AD9" s="139" t="s">
        <v>508</v>
      </c>
    </row>
    <row r="10" spans="2:30" ht="16.5" customHeight="1" thickBot="1">
      <c r="B10" s="299"/>
      <c r="C10" s="300"/>
      <c r="D10" s="304"/>
      <c r="E10" s="54" t="s">
        <v>12</v>
      </c>
      <c r="F10" s="325" t="s">
        <v>205</v>
      </c>
      <c r="G10" s="326"/>
      <c r="H10" s="143">
        <v>4</v>
      </c>
      <c r="I10" s="51" t="s">
        <v>341</v>
      </c>
      <c r="J10" s="144">
        <v>3</v>
      </c>
      <c r="K10" s="325"/>
      <c r="L10" s="327"/>
      <c r="M10" s="328">
        <v>3</v>
      </c>
      <c r="N10" s="329"/>
      <c r="O10" s="334"/>
      <c r="P10" s="327"/>
      <c r="Q10" s="328"/>
      <c r="R10" s="329"/>
      <c r="S10" s="330"/>
      <c r="T10" s="331"/>
      <c r="U10" s="332"/>
      <c r="V10" s="333"/>
      <c r="W10" s="205">
        <f>SUM(K10:V10)</f>
        <v>3</v>
      </c>
      <c r="X10" s="323"/>
      <c r="Y10" s="324"/>
      <c r="AA10" s="206"/>
      <c r="AB10" s="207"/>
      <c r="AC10" s="207"/>
      <c r="AD10" s="208"/>
    </row>
    <row r="11" spans="2:30" ht="17.25" thickBot="1">
      <c r="B11" s="299"/>
      <c r="C11" s="300"/>
      <c r="D11" s="304"/>
      <c r="E11" s="49" t="s">
        <v>342</v>
      </c>
      <c r="F11" s="325" t="s">
        <v>684</v>
      </c>
      <c r="G11" s="326"/>
      <c r="H11" s="50">
        <v>4</v>
      </c>
      <c r="I11" s="51" t="s">
        <v>343</v>
      </c>
      <c r="J11" s="52">
        <v>3</v>
      </c>
      <c r="K11" s="325"/>
      <c r="L11" s="327"/>
      <c r="M11" s="328"/>
      <c r="N11" s="329"/>
      <c r="O11" s="334">
        <v>3</v>
      </c>
      <c r="P11" s="327"/>
      <c r="Q11" s="328"/>
      <c r="R11" s="329"/>
      <c r="S11" s="330"/>
      <c r="T11" s="331"/>
      <c r="U11" s="332"/>
      <c r="V11" s="333"/>
      <c r="W11" s="53">
        <f t="shared" ref="W11:W22" si="0">SUM(K11:V11)</f>
        <v>3</v>
      </c>
      <c r="X11" s="323"/>
      <c r="Y11" s="324"/>
      <c r="AA11" s="140" t="s">
        <v>501</v>
      </c>
      <c r="AB11" s="141">
        <v>4</v>
      </c>
      <c r="AC11" s="141">
        <v>-1</v>
      </c>
      <c r="AD11" s="22" t="s">
        <v>341</v>
      </c>
    </row>
    <row r="12" spans="2:30" ht="17.25" thickBot="1">
      <c r="B12" s="299"/>
      <c r="C12" s="300"/>
      <c r="D12" s="303" t="s">
        <v>5</v>
      </c>
      <c r="E12" s="44" t="s">
        <v>12</v>
      </c>
      <c r="F12" s="305" t="s">
        <v>216</v>
      </c>
      <c r="G12" s="306"/>
      <c r="H12" s="45">
        <v>4</v>
      </c>
      <c r="I12" s="46" t="s">
        <v>341</v>
      </c>
      <c r="J12" s="47">
        <v>3</v>
      </c>
      <c r="K12" s="305">
        <v>3</v>
      </c>
      <c r="L12" s="307"/>
      <c r="M12" s="308"/>
      <c r="N12" s="309"/>
      <c r="O12" s="310"/>
      <c r="P12" s="307"/>
      <c r="Q12" s="308"/>
      <c r="R12" s="309"/>
      <c r="S12" s="311"/>
      <c r="T12" s="312"/>
      <c r="U12" s="313"/>
      <c r="V12" s="314"/>
      <c r="W12" s="48">
        <f t="shared" si="0"/>
        <v>3</v>
      </c>
      <c r="X12" s="322">
        <f>SUM(W12:W14)</f>
        <v>9</v>
      </c>
      <c r="Y12" s="324"/>
      <c r="AA12" s="140" t="s">
        <v>502</v>
      </c>
      <c r="AB12" s="141">
        <v>3</v>
      </c>
      <c r="AC12" s="141"/>
      <c r="AD12" s="22">
        <v>3</v>
      </c>
    </row>
    <row r="13" spans="2:30" ht="17.25" thickBot="1">
      <c r="B13" s="299"/>
      <c r="C13" s="300"/>
      <c r="D13" s="304"/>
      <c r="E13" s="54" t="s">
        <v>12</v>
      </c>
      <c r="F13" s="325" t="s">
        <v>218</v>
      </c>
      <c r="G13" s="326"/>
      <c r="H13" s="143">
        <v>4</v>
      </c>
      <c r="I13" s="51" t="s">
        <v>365</v>
      </c>
      <c r="J13" s="144">
        <v>3</v>
      </c>
      <c r="K13" s="325"/>
      <c r="L13" s="327"/>
      <c r="M13" s="328">
        <v>3</v>
      </c>
      <c r="N13" s="329"/>
      <c r="O13" s="334"/>
      <c r="P13" s="327"/>
      <c r="Q13" s="328"/>
      <c r="R13" s="329"/>
      <c r="S13" s="330"/>
      <c r="T13" s="331"/>
      <c r="U13" s="332"/>
      <c r="V13" s="333"/>
      <c r="W13" s="205">
        <f>SUM(K13:V13)</f>
        <v>3</v>
      </c>
      <c r="X13" s="323"/>
      <c r="Y13" s="324"/>
      <c r="AA13" s="140"/>
      <c r="AB13" s="141"/>
      <c r="AC13" s="141"/>
      <c r="AD13" s="22"/>
    </row>
    <row r="14" spans="2:30" ht="17.25" thickBot="1">
      <c r="B14" s="299"/>
      <c r="C14" s="300"/>
      <c r="D14" s="304"/>
      <c r="E14" s="49" t="s">
        <v>342</v>
      </c>
      <c r="F14" s="325" t="s">
        <v>685</v>
      </c>
      <c r="G14" s="326"/>
      <c r="H14" s="50">
        <v>4</v>
      </c>
      <c r="I14" s="51" t="s">
        <v>343</v>
      </c>
      <c r="J14" s="52">
        <v>3</v>
      </c>
      <c r="K14" s="325"/>
      <c r="L14" s="327"/>
      <c r="M14" s="328"/>
      <c r="N14" s="329"/>
      <c r="O14" s="334">
        <v>3</v>
      </c>
      <c r="P14" s="327"/>
      <c r="Q14" s="328"/>
      <c r="R14" s="329"/>
      <c r="S14" s="330"/>
      <c r="T14" s="331"/>
      <c r="U14" s="332"/>
      <c r="V14" s="333"/>
      <c r="W14" s="53">
        <f t="shared" si="0"/>
        <v>3</v>
      </c>
      <c r="X14" s="323"/>
      <c r="Y14" s="324"/>
      <c r="AA14" s="140" t="s">
        <v>503</v>
      </c>
      <c r="AB14" s="141">
        <v>4</v>
      </c>
      <c r="AC14" s="141" t="s">
        <v>509</v>
      </c>
      <c r="AD14" s="22" t="s">
        <v>343</v>
      </c>
    </row>
    <row r="15" spans="2:30" ht="17.25" thickBot="1">
      <c r="B15" s="299"/>
      <c r="C15" s="300"/>
      <c r="D15" s="303" t="s">
        <v>6</v>
      </c>
      <c r="E15" s="44" t="s">
        <v>12</v>
      </c>
      <c r="F15" s="305" t="s">
        <v>223</v>
      </c>
      <c r="G15" s="306"/>
      <c r="H15" s="45">
        <v>4</v>
      </c>
      <c r="I15" s="46" t="s">
        <v>341</v>
      </c>
      <c r="J15" s="47">
        <v>3</v>
      </c>
      <c r="K15" s="305">
        <v>3</v>
      </c>
      <c r="L15" s="307"/>
      <c r="M15" s="308"/>
      <c r="N15" s="309"/>
      <c r="O15" s="310"/>
      <c r="P15" s="307"/>
      <c r="Q15" s="308"/>
      <c r="R15" s="309"/>
      <c r="S15" s="311"/>
      <c r="T15" s="312"/>
      <c r="U15" s="313"/>
      <c r="V15" s="314"/>
      <c r="W15" s="48">
        <f t="shared" si="0"/>
        <v>3</v>
      </c>
      <c r="X15" s="322">
        <f>SUM(W15:W17)</f>
        <v>9</v>
      </c>
      <c r="Y15" s="324"/>
      <c r="AA15" s="140" t="s">
        <v>504</v>
      </c>
      <c r="AB15" s="141">
        <v>3</v>
      </c>
      <c r="AC15" s="141" t="s">
        <v>509</v>
      </c>
      <c r="AD15" s="22" t="s">
        <v>351</v>
      </c>
    </row>
    <row r="16" spans="2:30" ht="17.25" thickBot="1">
      <c r="B16" s="299"/>
      <c r="C16" s="300"/>
      <c r="D16" s="304"/>
      <c r="E16" s="54" t="s">
        <v>12</v>
      </c>
      <c r="F16" s="325" t="s">
        <v>229</v>
      </c>
      <c r="G16" s="326"/>
      <c r="H16" s="143">
        <v>4</v>
      </c>
      <c r="I16" s="51" t="s">
        <v>365</v>
      </c>
      <c r="J16" s="144">
        <v>3</v>
      </c>
      <c r="K16" s="325"/>
      <c r="L16" s="327"/>
      <c r="M16" s="328">
        <v>3</v>
      </c>
      <c r="N16" s="329"/>
      <c r="O16" s="334"/>
      <c r="P16" s="327"/>
      <c r="Q16" s="328"/>
      <c r="R16" s="329"/>
      <c r="S16" s="330"/>
      <c r="T16" s="331"/>
      <c r="U16" s="332"/>
      <c r="V16" s="333"/>
      <c r="W16" s="205">
        <f>SUM(K16:V16)</f>
        <v>3</v>
      </c>
      <c r="X16" s="323"/>
      <c r="Y16" s="324"/>
      <c r="AA16" s="209"/>
      <c r="AB16" s="210"/>
      <c r="AC16" s="210"/>
      <c r="AD16" s="211"/>
    </row>
    <row r="17" spans="2:30" ht="17.25" thickBot="1">
      <c r="B17" s="299"/>
      <c r="C17" s="300"/>
      <c r="D17" s="304"/>
      <c r="E17" s="49" t="s">
        <v>342</v>
      </c>
      <c r="F17" s="325" t="s">
        <v>686</v>
      </c>
      <c r="G17" s="326"/>
      <c r="H17" s="50">
        <v>4</v>
      </c>
      <c r="I17" s="51" t="s">
        <v>343</v>
      </c>
      <c r="J17" s="52">
        <v>3</v>
      </c>
      <c r="K17" s="325"/>
      <c r="L17" s="327"/>
      <c r="M17" s="328"/>
      <c r="N17" s="329"/>
      <c r="O17" s="334"/>
      <c r="P17" s="327"/>
      <c r="Q17" s="328">
        <v>3</v>
      </c>
      <c r="R17" s="329"/>
      <c r="S17" s="330"/>
      <c r="T17" s="331"/>
      <c r="U17" s="332"/>
      <c r="V17" s="333"/>
      <c r="W17" s="53">
        <f t="shared" si="0"/>
        <v>3</v>
      </c>
      <c r="X17" s="323"/>
      <c r="Y17" s="324"/>
      <c r="AA17" s="142" t="s">
        <v>505</v>
      </c>
      <c r="AB17" s="335" t="s">
        <v>511</v>
      </c>
      <c r="AC17" s="335"/>
      <c r="AD17" s="336"/>
    </row>
    <row r="18" spans="2:30" ht="17.25" thickBot="1">
      <c r="B18" s="299"/>
      <c r="C18" s="300"/>
      <c r="D18" s="303" t="s">
        <v>345</v>
      </c>
      <c r="E18" s="44" t="s">
        <v>12</v>
      </c>
      <c r="F18" s="305" t="s">
        <v>237</v>
      </c>
      <c r="G18" s="306"/>
      <c r="H18" s="45">
        <v>3</v>
      </c>
      <c r="I18" s="59">
        <v>3</v>
      </c>
      <c r="J18" s="47">
        <v>3</v>
      </c>
      <c r="K18" s="338">
        <v>3</v>
      </c>
      <c r="L18" s="339"/>
      <c r="M18" s="340"/>
      <c r="N18" s="341"/>
      <c r="O18" s="342"/>
      <c r="P18" s="339"/>
      <c r="Q18" s="340"/>
      <c r="R18" s="341"/>
      <c r="S18" s="343"/>
      <c r="T18" s="344"/>
      <c r="U18" s="345"/>
      <c r="V18" s="346"/>
      <c r="W18" s="48">
        <f t="shared" si="0"/>
        <v>3</v>
      </c>
      <c r="X18" s="322">
        <f>SUM(W18:W19)</f>
        <v>6</v>
      </c>
      <c r="Y18" s="324">
        <v>6</v>
      </c>
    </row>
    <row r="19" spans="2:30" ht="17.25" thickBot="1">
      <c r="B19" s="299"/>
      <c r="C19" s="300"/>
      <c r="D19" s="304"/>
      <c r="E19" s="60" t="s">
        <v>12</v>
      </c>
      <c r="F19" s="348" t="s">
        <v>238</v>
      </c>
      <c r="G19" s="349"/>
      <c r="H19" s="61">
        <v>3</v>
      </c>
      <c r="I19" s="62">
        <v>3</v>
      </c>
      <c r="J19" s="228">
        <v>3</v>
      </c>
      <c r="K19" s="350"/>
      <c r="L19" s="351"/>
      <c r="M19" s="352">
        <v>3</v>
      </c>
      <c r="N19" s="353"/>
      <c r="O19" s="354"/>
      <c r="P19" s="351"/>
      <c r="Q19" s="352"/>
      <c r="R19" s="353"/>
      <c r="S19" s="355"/>
      <c r="T19" s="356"/>
      <c r="U19" s="357"/>
      <c r="V19" s="358"/>
      <c r="W19" s="63">
        <f t="shared" si="0"/>
        <v>3</v>
      </c>
      <c r="X19" s="347"/>
      <c r="Y19" s="324"/>
      <c r="AA19" s="151"/>
      <c r="AB19" s="151"/>
      <c r="AC19" s="175"/>
    </row>
    <row r="20" spans="2:30" ht="17.25" thickBot="1">
      <c r="B20" s="299"/>
      <c r="C20" s="300"/>
      <c r="D20" s="304"/>
      <c r="E20" s="44" t="s">
        <v>12</v>
      </c>
      <c r="F20" s="305" t="s">
        <v>240</v>
      </c>
      <c r="G20" s="306"/>
      <c r="H20" s="45">
        <v>4</v>
      </c>
      <c r="I20" s="59" t="s">
        <v>341</v>
      </c>
      <c r="J20" s="47">
        <v>3</v>
      </c>
      <c r="K20" s="305"/>
      <c r="L20" s="307"/>
      <c r="M20" s="308"/>
      <c r="N20" s="309"/>
      <c r="O20" s="310">
        <v>3</v>
      </c>
      <c r="P20" s="307"/>
      <c r="Q20" s="308"/>
      <c r="R20" s="309"/>
      <c r="S20" s="311"/>
      <c r="T20" s="312"/>
      <c r="U20" s="313"/>
      <c r="V20" s="314"/>
      <c r="W20" s="48">
        <f t="shared" si="0"/>
        <v>3</v>
      </c>
      <c r="X20" s="322">
        <f>SUM(W20:W21)</f>
        <v>6</v>
      </c>
      <c r="Y20" s="324">
        <v>12</v>
      </c>
    </row>
    <row r="21" spans="2:30" ht="17.25" thickBot="1">
      <c r="B21" s="299"/>
      <c r="C21" s="300"/>
      <c r="D21" s="337"/>
      <c r="E21" s="58" t="s">
        <v>12</v>
      </c>
      <c r="F21" s="350" t="s">
        <v>241</v>
      </c>
      <c r="G21" s="359"/>
      <c r="H21" s="55">
        <v>4</v>
      </c>
      <c r="I21" s="56" t="s">
        <v>341</v>
      </c>
      <c r="J21" s="57">
        <v>3</v>
      </c>
      <c r="K21" s="350"/>
      <c r="L21" s="351"/>
      <c r="M21" s="352"/>
      <c r="N21" s="353"/>
      <c r="O21" s="354"/>
      <c r="P21" s="351"/>
      <c r="Q21" s="352">
        <v>3</v>
      </c>
      <c r="R21" s="353"/>
      <c r="S21" s="355"/>
      <c r="T21" s="356"/>
      <c r="U21" s="357"/>
      <c r="V21" s="358"/>
      <c r="W21" s="63">
        <f t="shared" si="0"/>
        <v>3</v>
      </c>
      <c r="X21" s="347"/>
      <c r="Y21" s="324"/>
    </row>
    <row r="22" spans="2:30" ht="17.25" thickBot="1">
      <c r="B22" s="299"/>
      <c r="C22" s="300"/>
      <c r="D22" s="303" t="s">
        <v>26</v>
      </c>
      <c r="E22" s="44" t="s">
        <v>12</v>
      </c>
      <c r="F22" s="305" t="s">
        <v>258</v>
      </c>
      <c r="G22" s="306"/>
      <c r="H22" s="45">
        <v>4</v>
      </c>
      <c r="I22" s="59" t="s">
        <v>341</v>
      </c>
      <c r="J22" s="47">
        <v>3</v>
      </c>
      <c r="K22" s="305">
        <v>3</v>
      </c>
      <c r="L22" s="307"/>
      <c r="M22" s="308"/>
      <c r="N22" s="309"/>
      <c r="O22" s="310"/>
      <c r="P22" s="307"/>
      <c r="Q22" s="308"/>
      <c r="R22" s="309"/>
      <c r="S22" s="311"/>
      <c r="T22" s="312"/>
      <c r="U22" s="313"/>
      <c r="V22" s="314"/>
      <c r="W22" s="48">
        <f t="shared" si="0"/>
        <v>3</v>
      </c>
      <c r="X22" s="298">
        <f>SUM(W22:W24)</f>
        <v>9</v>
      </c>
      <c r="Y22" s="324"/>
    </row>
    <row r="23" spans="2:30" ht="17.25" thickBot="1">
      <c r="B23" s="299"/>
      <c r="C23" s="300"/>
      <c r="D23" s="304"/>
      <c r="E23" s="54" t="s">
        <v>12</v>
      </c>
      <c r="F23" s="325" t="s">
        <v>259</v>
      </c>
      <c r="G23" s="326"/>
      <c r="H23" s="143">
        <v>4</v>
      </c>
      <c r="I23" s="212" t="s">
        <v>341</v>
      </c>
      <c r="J23" s="144">
        <v>3</v>
      </c>
      <c r="K23" s="325"/>
      <c r="L23" s="327"/>
      <c r="M23" s="328">
        <v>3</v>
      </c>
      <c r="N23" s="329"/>
      <c r="O23" s="334"/>
      <c r="P23" s="327"/>
      <c r="Q23" s="328"/>
      <c r="R23" s="329"/>
      <c r="S23" s="330"/>
      <c r="T23" s="331"/>
      <c r="U23" s="332"/>
      <c r="V23" s="333"/>
      <c r="W23" s="205">
        <f>SUM(K23:V23)</f>
        <v>3</v>
      </c>
      <c r="X23" s="300"/>
      <c r="Y23" s="324"/>
    </row>
    <row r="24" spans="2:30" ht="17.25" thickBot="1">
      <c r="B24" s="299"/>
      <c r="C24" s="300"/>
      <c r="D24" s="304"/>
      <c r="E24" s="54" t="s">
        <v>349</v>
      </c>
      <c r="F24" s="325" t="s">
        <v>264</v>
      </c>
      <c r="G24" s="326"/>
      <c r="H24" s="143">
        <v>4</v>
      </c>
      <c r="I24" s="212" t="s">
        <v>343</v>
      </c>
      <c r="J24" s="144">
        <v>3</v>
      </c>
      <c r="K24" s="325"/>
      <c r="L24" s="327"/>
      <c r="M24" s="328"/>
      <c r="N24" s="329"/>
      <c r="O24" s="334"/>
      <c r="P24" s="327"/>
      <c r="Q24" s="328">
        <v>3</v>
      </c>
      <c r="R24" s="329"/>
      <c r="S24" s="330"/>
      <c r="T24" s="331"/>
      <c r="U24" s="332"/>
      <c r="V24" s="333"/>
      <c r="W24" s="205">
        <f>SUM(K24:V24)</f>
        <v>3</v>
      </c>
      <c r="X24" s="300"/>
      <c r="Y24" s="324"/>
    </row>
    <row r="25" spans="2:30" ht="16.5" customHeight="1" thickBot="1">
      <c r="B25" s="299"/>
      <c r="C25" s="300"/>
      <c r="D25" s="303" t="s">
        <v>8</v>
      </c>
      <c r="E25" s="44" t="s">
        <v>349</v>
      </c>
      <c r="F25" s="305" t="s">
        <v>350</v>
      </c>
      <c r="G25" s="306"/>
      <c r="H25" s="45">
        <v>3</v>
      </c>
      <c r="I25" s="59" t="s">
        <v>351</v>
      </c>
      <c r="J25" s="47">
        <f t="shared" ref="J25:J26" si="1">SUM(K25:V25)</f>
        <v>2</v>
      </c>
      <c r="K25" s="305">
        <v>2</v>
      </c>
      <c r="L25" s="307"/>
      <c r="M25" s="308"/>
      <c r="N25" s="309"/>
      <c r="O25" s="310"/>
      <c r="P25" s="307"/>
      <c r="Q25" s="308"/>
      <c r="R25" s="309"/>
      <c r="S25" s="310"/>
      <c r="T25" s="307"/>
      <c r="U25" s="313"/>
      <c r="V25" s="314"/>
      <c r="W25" s="48">
        <f>SUM(K25:V25)</f>
        <v>2</v>
      </c>
      <c r="X25" s="360">
        <f>SUM(W25:W28)</f>
        <v>8</v>
      </c>
      <c r="Y25" s="324">
        <v>8</v>
      </c>
    </row>
    <row r="26" spans="2:30" ht="17.25" thickBot="1">
      <c r="B26" s="299"/>
      <c r="C26" s="300"/>
      <c r="D26" s="304"/>
      <c r="E26" s="49" t="s">
        <v>349</v>
      </c>
      <c r="F26" s="325" t="s">
        <v>352</v>
      </c>
      <c r="G26" s="326"/>
      <c r="H26" s="50">
        <v>3</v>
      </c>
      <c r="I26" s="51" t="s">
        <v>351</v>
      </c>
      <c r="J26" s="52">
        <f t="shared" si="1"/>
        <v>2</v>
      </c>
      <c r="K26" s="325"/>
      <c r="L26" s="327"/>
      <c r="M26" s="328">
        <v>2</v>
      </c>
      <c r="N26" s="329"/>
      <c r="O26" s="334"/>
      <c r="P26" s="327"/>
      <c r="Q26" s="328"/>
      <c r="R26" s="329"/>
      <c r="S26" s="334"/>
      <c r="T26" s="327"/>
      <c r="U26" s="332"/>
      <c r="V26" s="333"/>
      <c r="W26" s="53">
        <f t="shared" ref="W26:W28" si="2">SUM(K26:V26)</f>
        <v>2</v>
      </c>
      <c r="X26" s="361"/>
      <c r="Y26" s="324"/>
    </row>
    <row r="27" spans="2:30" ht="17.25" thickBot="1">
      <c r="B27" s="299"/>
      <c r="C27" s="300"/>
      <c r="D27" s="304"/>
      <c r="E27" s="49" t="s">
        <v>342</v>
      </c>
      <c r="F27" s="325" t="s">
        <v>515</v>
      </c>
      <c r="G27" s="326"/>
      <c r="H27" s="50">
        <v>3</v>
      </c>
      <c r="I27" s="51" t="s">
        <v>351</v>
      </c>
      <c r="J27" s="52">
        <f>SUM(K27:V27)</f>
        <v>2</v>
      </c>
      <c r="K27" s="325"/>
      <c r="L27" s="327"/>
      <c r="M27" s="328"/>
      <c r="N27" s="329"/>
      <c r="O27" s="334">
        <v>2</v>
      </c>
      <c r="P27" s="327"/>
      <c r="Q27" s="328"/>
      <c r="R27" s="329"/>
      <c r="S27" s="334"/>
      <c r="T27" s="327"/>
      <c r="U27" s="332"/>
      <c r="V27" s="333"/>
      <c r="W27" s="53">
        <f t="shared" si="2"/>
        <v>2</v>
      </c>
      <c r="X27" s="361"/>
      <c r="Y27" s="324"/>
    </row>
    <row r="28" spans="2:30" ht="17.25" thickBot="1">
      <c r="B28" s="299"/>
      <c r="C28" s="300"/>
      <c r="D28" s="304"/>
      <c r="E28" s="49" t="s">
        <v>348</v>
      </c>
      <c r="F28" s="325" t="s">
        <v>578</v>
      </c>
      <c r="G28" s="326"/>
      <c r="H28" s="50">
        <v>3</v>
      </c>
      <c r="I28" s="56" t="s">
        <v>351</v>
      </c>
      <c r="J28" s="52">
        <f>SUM(K28:V28)</f>
        <v>2</v>
      </c>
      <c r="K28" s="325"/>
      <c r="L28" s="327"/>
      <c r="M28" s="328"/>
      <c r="N28" s="329"/>
      <c r="O28" s="334"/>
      <c r="P28" s="327"/>
      <c r="Q28" s="328">
        <v>2</v>
      </c>
      <c r="R28" s="329"/>
      <c r="S28" s="334"/>
      <c r="T28" s="327"/>
      <c r="U28" s="332"/>
      <c r="V28" s="333"/>
      <c r="W28" s="53">
        <f t="shared" si="2"/>
        <v>2</v>
      </c>
      <c r="X28" s="361"/>
      <c r="Y28" s="324"/>
    </row>
    <row r="29" spans="2:30" ht="17.25" thickBot="1">
      <c r="B29" s="299"/>
      <c r="C29" s="300"/>
      <c r="D29" s="303" t="s">
        <v>28</v>
      </c>
      <c r="E29" s="44" t="s">
        <v>349</v>
      </c>
      <c r="F29" s="305" t="s">
        <v>47</v>
      </c>
      <c r="G29" s="306"/>
      <c r="H29" s="45">
        <v>3</v>
      </c>
      <c r="I29" s="64" t="s">
        <v>351</v>
      </c>
      <c r="J29" s="47">
        <v>2</v>
      </c>
      <c r="K29" s="305">
        <v>2</v>
      </c>
      <c r="L29" s="307"/>
      <c r="M29" s="308"/>
      <c r="N29" s="309"/>
      <c r="O29" s="310"/>
      <c r="P29" s="307"/>
      <c r="Q29" s="308"/>
      <c r="R29" s="309"/>
      <c r="S29" s="368"/>
      <c r="T29" s="369"/>
      <c r="U29" s="313"/>
      <c r="V29" s="314"/>
      <c r="W29" s="362">
        <f>SUM(K29:V32)</f>
        <v>8</v>
      </c>
      <c r="X29" s="363"/>
      <c r="Y29" s="324">
        <v>6</v>
      </c>
    </row>
    <row r="30" spans="2:30" ht="17.25" thickBot="1">
      <c r="B30" s="299"/>
      <c r="C30" s="300"/>
      <c r="D30" s="304"/>
      <c r="E30" s="54" t="s">
        <v>342</v>
      </c>
      <c r="F30" s="325" t="s">
        <v>287</v>
      </c>
      <c r="G30" s="326"/>
      <c r="H30" s="143">
        <v>3</v>
      </c>
      <c r="I30" s="51" t="s">
        <v>368</v>
      </c>
      <c r="J30" s="144">
        <v>2</v>
      </c>
      <c r="K30" s="325"/>
      <c r="L30" s="327"/>
      <c r="M30" s="328">
        <v>2</v>
      </c>
      <c r="N30" s="329"/>
      <c r="O30" s="334"/>
      <c r="P30" s="327"/>
      <c r="Q30" s="328"/>
      <c r="R30" s="329"/>
      <c r="S30" s="366"/>
      <c r="T30" s="367"/>
      <c r="U30" s="332"/>
      <c r="V30" s="333"/>
      <c r="W30" s="364"/>
      <c r="X30" s="365"/>
      <c r="Y30" s="324"/>
    </row>
    <row r="31" spans="2:30" ht="17.25" thickBot="1">
      <c r="B31" s="299"/>
      <c r="C31" s="300"/>
      <c r="D31" s="304"/>
      <c r="E31" s="54" t="s">
        <v>342</v>
      </c>
      <c r="F31" s="325" t="s">
        <v>286</v>
      </c>
      <c r="G31" s="326"/>
      <c r="H31" s="143">
        <v>3</v>
      </c>
      <c r="I31" s="64" t="s">
        <v>368</v>
      </c>
      <c r="J31" s="144">
        <v>2</v>
      </c>
      <c r="K31" s="325"/>
      <c r="L31" s="327"/>
      <c r="M31" s="328"/>
      <c r="N31" s="329"/>
      <c r="O31" s="334">
        <v>2</v>
      </c>
      <c r="P31" s="327"/>
      <c r="Q31" s="328"/>
      <c r="R31" s="329"/>
      <c r="S31" s="366"/>
      <c r="T31" s="367"/>
      <c r="U31" s="332"/>
      <c r="V31" s="333"/>
      <c r="W31" s="364"/>
      <c r="X31" s="365"/>
      <c r="Y31" s="324"/>
    </row>
    <row r="32" spans="2:30" ht="17.25" thickBot="1">
      <c r="B32" s="299"/>
      <c r="C32" s="300"/>
      <c r="D32" s="304"/>
      <c r="E32" s="54" t="s">
        <v>348</v>
      </c>
      <c r="F32" s="325" t="s">
        <v>289</v>
      </c>
      <c r="G32" s="326"/>
      <c r="H32" s="50">
        <v>3</v>
      </c>
      <c r="I32" s="51" t="s">
        <v>351</v>
      </c>
      <c r="J32" s="52">
        <v>2</v>
      </c>
      <c r="K32" s="325"/>
      <c r="L32" s="327"/>
      <c r="M32" s="328"/>
      <c r="N32" s="329"/>
      <c r="O32" s="334"/>
      <c r="P32" s="327"/>
      <c r="Q32" s="328">
        <v>2</v>
      </c>
      <c r="R32" s="329"/>
      <c r="S32" s="366"/>
      <c r="T32" s="367"/>
      <c r="U32" s="332"/>
      <c r="V32" s="333"/>
      <c r="W32" s="364"/>
      <c r="X32" s="365"/>
      <c r="Y32" s="324"/>
    </row>
    <row r="33" spans="2:28" ht="16.5" customHeight="1" thickBot="1">
      <c r="B33" s="299"/>
      <c r="C33" s="300"/>
      <c r="D33" s="370" t="s">
        <v>354</v>
      </c>
      <c r="E33" s="44" t="s">
        <v>342</v>
      </c>
      <c r="F33" s="305" t="s">
        <v>51</v>
      </c>
      <c r="G33" s="306"/>
      <c r="H33" s="45">
        <v>3</v>
      </c>
      <c r="I33" s="59" t="s">
        <v>351</v>
      </c>
      <c r="J33" s="47">
        <v>2</v>
      </c>
      <c r="K33" s="372"/>
      <c r="L33" s="373"/>
      <c r="M33" s="308"/>
      <c r="N33" s="309"/>
      <c r="O33" s="310">
        <v>2</v>
      </c>
      <c r="P33" s="307"/>
      <c r="Q33" s="313"/>
      <c r="R33" s="374"/>
      <c r="S33" s="368"/>
      <c r="T33" s="369"/>
      <c r="U33" s="313"/>
      <c r="V33" s="314"/>
      <c r="W33" s="362">
        <f>SUM(K33:V35)</f>
        <v>8</v>
      </c>
      <c r="X33" s="363"/>
      <c r="Y33" s="324">
        <v>8</v>
      </c>
    </row>
    <row r="34" spans="2:28" ht="16.5" customHeight="1" thickBot="1">
      <c r="B34" s="299"/>
      <c r="C34" s="300"/>
      <c r="D34" s="371"/>
      <c r="E34" s="54" t="s">
        <v>342</v>
      </c>
      <c r="F34" s="325" t="s">
        <v>703</v>
      </c>
      <c r="G34" s="326"/>
      <c r="H34" s="50">
        <v>4</v>
      </c>
      <c r="I34" s="51" t="s">
        <v>343</v>
      </c>
      <c r="J34" s="52">
        <v>3</v>
      </c>
      <c r="K34" s="325"/>
      <c r="L34" s="327"/>
      <c r="M34" s="328">
        <v>3</v>
      </c>
      <c r="N34" s="329"/>
      <c r="O34" s="366"/>
      <c r="P34" s="367"/>
      <c r="Q34" s="332"/>
      <c r="R34" s="384"/>
      <c r="S34" s="366"/>
      <c r="T34" s="367"/>
      <c r="U34" s="332"/>
      <c r="V34" s="333"/>
      <c r="W34" s="364"/>
      <c r="X34" s="365"/>
      <c r="Y34" s="324"/>
      <c r="Z34" s="184" t="s">
        <v>707</v>
      </c>
    </row>
    <row r="35" spans="2:28" ht="17.25" thickBot="1">
      <c r="B35" s="301"/>
      <c r="C35" s="302"/>
      <c r="D35" s="371"/>
      <c r="E35" s="54" t="s">
        <v>349</v>
      </c>
      <c r="F35" s="350" t="s">
        <v>704</v>
      </c>
      <c r="G35" s="359"/>
      <c r="H35" s="55">
        <v>4</v>
      </c>
      <c r="I35" s="56" t="s">
        <v>343</v>
      </c>
      <c r="J35" s="57">
        <v>3</v>
      </c>
      <c r="K35" s="376"/>
      <c r="L35" s="377"/>
      <c r="M35" s="352">
        <v>3</v>
      </c>
      <c r="N35" s="353"/>
      <c r="O35" s="354"/>
      <c r="P35" s="351"/>
      <c r="Q35" s="357"/>
      <c r="R35" s="375"/>
      <c r="S35" s="354"/>
      <c r="T35" s="351"/>
      <c r="U35" s="357"/>
      <c r="V35" s="358"/>
      <c r="W35" s="364"/>
      <c r="X35" s="365"/>
      <c r="Y35" s="324"/>
      <c r="Z35" s="185" t="s">
        <v>517</v>
      </c>
    </row>
    <row r="36" spans="2:28" ht="24.75" customHeight="1" thickBot="1">
      <c r="B36" s="380" t="s">
        <v>363</v>
      </c>
      <c r="C36" s="385"/>
      <c r="D36" s="385"/>
      <c r="E36" s="385"/>
      <c r="F36" s="385"/>
      <c r="G36" s="386"/>
      <c r="H36" s="172">
        <f>SUM(H9:H35)</f>
        <v>97</v>
      </c>
      <c r="I36" s="18"/>
      <c r="J36" s="171">
        <f>SUM(J9:J35)</f>
        <v>72</v>
      </c>
      <c r="K36" s="387">
        <f>SUM(K9:L35)</f>
        <v>19</v>
      </c>
      <c r="L36" s="378"/>
      <c r="M36" s="378">
        <f>SUM(M9:N35)</f>
        <v>25</v>
      </c>
      <c r="N36" s="388"/>
      <c r="O36" s="389">
        <f>SUM(O9:P35)</f>
        <v>15</v>
      </c>
      <c r="P36" s="378"/>
      <c r="Q36" s="378">
        <f>SUM(Q9:R35)</f>
        <v>13</v>
      </c>
      <c r="R36" s="390"/>
      <c r="S36" s="381">
        <f>SUM(S9:T35)</f>
        <v>0</v>
      </c>
      <c r="T36" s="378"/>
      <c r="U36" s="378">
        <f>SUM(U9:V35)</f>
        <v>0</v>
      </c>
      <c r="V36" s="379"/>
      <c r="W36" s="380">
        <f>SUM(K36:V36)</f>
        <v>72</v>
      </c>
      <c r="X36" s="381"/>
      <c r="Y36" s="171">
        <f>SUM(Y9:Y35)</f>
        <v>64</v>
      </c>
      <c r="AA36" s="382" t="b">
        <f>W36&gt;=Y36</f>
        <v>1</v>
      </c>
      <c r="AB36" s="383"/>
    </row>
    <row r="37" spans="2:28" ht="17.25" customHeight="1" thickBot="1">
      <c r="B37" s="430" t="s">
        <v>355</v>
      </c>
      <c r="C37" s="431"/>
      <c r="D37" s="434" t="s">
        <v>356</v>
      </c>
      <c r="E37" s="435"/>
      <c r="F37" s="400" t="s">
        <v>516</v>
      </c>
      <c r="G37" s="401"/>
      <c r="H37" s="33"/>
      <c r="I37" s="233"/>
      <c r="J37" s="165">
        <f t="shared" ref="J37:J49" si="3">SUM(K37:V37)</f>
        <v>3</v>
      </c>
      <c r="K37" s="402"/>
      <c r="L37" s="403"/>
      <c r="M37" s="404"/>
      <c r="N37" s="405"/>
      <c r="O37" s="406"/>
      <c r="P37" s="403"/>
      <c r="Q37" s="393"/>
      <c r="R37" s="407"/>
      <c r="S37" s="408">
        <v>3</v>
      </c>
      <c r="T37" s="409"/>
      <c r="U37" s="393"/>
      <c r="V37" s="394"/>
      <c r="W37" s="395">
        <f>SUM(K37:V37)</f>
        <v>3</v>
      </c>
      <c r="X37" s="396"/>
      <c r="Y37" s="450">
        <v>80</v>
      </c>
    </row>
    <row r="38" spans="2:28" ht="17.25" customHeight="1">
      <c r="B38" s="432"/>
      <c r="C38" s="433"/>
      <c r="D38" s="65" t="s">
        <v>586</v>
      </c>
      <c r="E38" s="66" t="s">
        <v>357</v>
      </c>
      <c r="F38" s="397" t="s">
        <v>681</v>
      </c>
      <c r="G38" s="398"/>
      <c r="H38" s="34"/>
      <c r="I38" s="234"/>
      <c r="J38" s="144">
        <f t="shared" si="3"/>
        <v>4</v>
      </c>
      <c r="K38" s="325">
        <v>4</v>
      </c>
      <c r="L38" s="327"/>
      <c r="M38" s="328"/>
      <c r="N38" s="399"/>
      <c r="O38" s="334"/>
      <c r="P38" s="327"/>
      <c r="Q38" s="328"/>
      <c r="R38" s="329"/>
      <c r="S38" s="399"/>
      <c r="T38" s="327"/>
      <c r="U38" s="328"/>
      <c r="V38" s="326"/>
      <c r="W38" s="391">
        <f t="shared" ref="W38:W47" si="4">SUM(K38:V38)</f>
        <v>4</v>
      </c>
      <c r="X38" s="392"/>
      <c r="Y38" s="478"/>
    </row>
    <row r="39" spans="2:28" ht="17.25" customHeight="1">
      <c r="B39" s="432"/>
      <c r="C39" s="433"/>
      <c r="D39" s="65" t="s">
        <v>679</v>
      </c>
      <c r="E39" s="66" t="s">
        <v>358</v>
      </c>
      <c r="F39" s="397" t="s">
        <v>661</v>
      </c>
      <c r="G39" s="398"/>
      <c r="H39" s="34"/>
      <c r="I39" s="234"/>
      <c r="J39" s="144">
        <f t="shared" si="3"/>
        <v>10</v>
      </c>
      <c r="K39" s="325">
        <v>6</v>
      </c>
      <c r="L39" s="327"/>
      <c r="M39" s="328">
        <v>4</v>
      </c>
      <c r="N39" s="329"/>
      <c r="O39" s="334"/>
      <c r="P39" s="327"/>
      <c r="Q39" s="328"/>
      <c r="R39" s="329"/>
      <c r="S39" s="334"/>
      <c r="T39" s="327"/>
      <c r="U39" s="328"/>
      <c r="V39" s="326"/>
      <c r="W39" s="391">
        <f t="shared" si="4"/>
        <v>10</v>
      </c>
      <c r="X39" s="392"/>
      <c r="Y39" s="478"/>
    </row>
    <row r="40" spans="2:28" ht="17.25" customHeight="1">
      <c r="B40" s="432"/>
      <c r="C40" s="433"/>
      <c r="D40" s="65" t="s">
        <v>677</v>
      </c>
      <c r="E40" s="66" t="s">
        <v>358</v>
      </c>
      <c r="F40" s="410" t="s">
        <v>585</v>
      </c>
      <c r="G40" s="411"/>
      <c r="H40" s="34"/>
      <c r="I40" s="234"/>
      <c r="J40" s="144">
        <f t="shared" si="3"/>
        <v>11</v>
      </c>
      <c r="K40" s="325"/>
      <c r="L40" s="327"/>
      <c r="M40" s="328"/>
      <c r="N40" s="399"/>
      <c r="O40" s="334">
        <v>6</v>
      </c>
      <c r="P40" s="327"/>
      <c r="Q40" s="328">
        <v>5</v>
      </c>
      <c r="R40" s="329"/>
      <c r="S40" s="399"/>
      <c r="T40" s="327"/>
      <c r="U40" s="328"/>
      <c r="V40" s="326"/>
      <c r="W40" s="391">
        <f t="shared" si="4"/>
        <v>11</v>
      </c>
      <c r="X40" s="392"/>
      <c r="Y40" s="478"/>
      <c r="AA40" s="203"/>
      <c r="AB40" s="204"/>
    </row>
    <row r="41" spans="2:28" ht="17.25" customHeight="1">
      <c r="B41" s="432"/>
      <c r="C41" s="433"/>
      <c r="D41" s="67" t="s">
        <v>677</v>
      </c>
      <c r="E41" s="66" t="s">
        <v>358</v>
      </c>
      <c r="F41" s="410" t="s">
        <v>641</v>
      </c>
      <c r="G41" s="411"/>
      <c r="H41" s="34"/>
      <c r="I41" s="235"/>
      <c r="J41" s="52">
        <f t="shared" si="3"/>
        <v>6</v>
      </c>
      <c r="K41" s="325"/>
      <c r="L41" s="327"/>
      <c r="M41" s="328"/>
      <c r="N41" s="399"/>
      <c r="O41" s="334">
        <v>6</v>
      </c>
      <c r="P41" s="327"/>
      <c r="Q41" s="328"/>
      <c r="R41" s="329"/>
      <c r="S41" s="399"/>
      <c r="T41" s="327"/>
      <c r="U41" s="328"/>
      <c r="V41" s="326"/>
      <c r="W41" s="391">
        <f t="shared" si="4"/>
        <v>6</v>
      </c>
      <c r="X41" s="392"/>
      <c r="Y41" s="478"/>
    </row>
    <row r="42" spans="2:28" ht="17.25" customHeight="1" thickBot="1">
      <c r="B42" s="432"/>
      <c r="C42" s="433"/>
      <c r="D42" s="67" t="s">
        <v>677</v>
      </c>
      <c r="E42" s="66" t="s">
        <v>358</v>
      </c>
      <c r="F42" s="410" t="s">
        <v>650</v>
      </c>
      <c r="G42" s="411"/>
      <c r="H42" s="34"/>
      <c r="I42" s="235"/>
      <c r="J42" s="52">
        <f t="shared" si="3"/>
        <v>6</v>
      </c>
      <c r="K42" s="325"/>
      <c r="L42" s="327"/>
      <c r="M42" s="328"/>
      <c r="N42" s="329"/>
      <c r="O42" s="334"/>
      <c r="P42" s="327"/>
      <c r="Q42" s="328">
        <v>6</v>
      </c>
      <c r="R42" s="329"/>
      <c r="S42" s="334"/>
      <c r="T42" s="327"/>
      <c r="U42" s="328"/>
      <c r="V42" s="326"/>
      <c r="W42" s="391">
        <f t="shared" ref="W42:W45" si="5">SUM(K42:V42)</f>
        <v>6</v>
      </c>
      <c r="X42" s="392"/>
      <c r="Y42" s="478"/>
    </row>
    <row r="43" spans="2:28" ht="17.25" customHeight="1" thickBot="1">
      <c r="B43" s="432"/>
      <c r="C43" s="433"/>
      <c r="D43" s="67" t="s">
        <v>586</v>
      </c>
      <c r="E43" s="66" t="s">
        <v>358</v>
      </c>
      <c r="F43" s="410" t="s">
        <v>658</v>
      </c>
      <c r="G43" s="411"/>
      <c r="H43" s="34"/>
      <c r="I43" s="235"/>
      <c r="J43" s="52">
        <f t="shared" si="3"/>
        <v>3</v>
      </c>
      <c r="K43" s="325"/>
      <c r="L43" s="327"/>
      <c r="M43" s="328"/>
      <c r="N43" s="329"/>
      <c r="O43" s="334"/>
      <c r="P43" s="327"/>
      <c r="Q43" s="328">
        <v>3</v>
      </c>
      <c r="R43" s="329"/>
      <c r="S43" s="334"/>
      <c r="T43" s="327"/>
      <c r="U43" s="328"/>
      <c r="V43" s="326"/>
      <c r="W43" s="391">
        <f t="shared" si="5"/>
        <v>3</v>
      </c>
      <c r="X43" s="392"/>
      <c r="Y43" s="478"/>
      <c r="Z43" s="184" t="s">
        <v>683</v>
      </c>
    </row>
    <row r="44" spans="2:28" ht="17.25" customHeight="1">
      <c r="B44" s="432"/>
      <c r="C44" s="433"/>
      <c r="D44" s="67" t="s">
        <v>678</v>
      </c>
      <c r="E44" s="66" t="s">
        <v>357</v>
      </c>
      <c r="F44" s="410" t="s">
        <v>676</v>
      </c>
      <c r="G44" s="411"/>
      <c r="H44" s="34"/>
      <c r="I44" s="235"/>
      <c r="J44" s="52">
        <f t="shared" si="3"/>
        <v>6</v>
      </c>
      <c r="K44" s="325"/>
      <c r="L44" s="327"/>
      <c r="M44" s="328"/>
      <c r="N44" s="329"/>
      <c r="O44" s="334"/>
      <c r="P44" s="327"/>
      <c r="Q44" s="328"/>
      <c r="R44" s="329"/>
      <c r="S44" s="334">
        <v>6</v>
      </c>
      <c r="T44" s="327"/>
      <c r="U44" s="328"/>
      <c r="V44" s="326"/>
      <c r="W44" s="391">
        <f t="shared" si="5"/>
        <v>6</v>
      </c>
      <c r="X44" s="392"/>
      <c r="Y44" s="478"/>
    </row>
    <row r="45" spans="2:28" ht="17.25" customHeight="1" thickBot="1">
      <c r="B45" s="432"/>
      <c r="C45" s="433"/>
      <c r="D45" s="67" t="s">
        <v>678</v>
      </c>
      <c r="E45" s="66" t="s">
        <v>358</v>
      </c>
      <c r="F45" s="410" t="s">
        <v>705</v>
      </c>
      <c r="G45" s="411"/>
      <c r="H45" s="34"/>
      <c r="I45" s="235"/>
      <c r="J45" s="52">
        <f t="shared" si="3"/>
        <v>13</v>
      </c>
      <c r="K45" s="325"/>
      <c r="L45" s="327"/>
      <c r="M45" s="328"/>
      <c r="N45" s="329"/>
      <c r="O45" s="334"/>
      <c r="P45" s="327"/>
      <c r="Q45" s="328"/>
      <c r="R45" s="329"/>
      <c r="S45" s="334">
        <v>5</v>
      </c>
      <c r="T45" s="327"/>
      <c r="U45" s="328">
        <v>8</v>
      </c>
      <c r="V45" s="326"/>
      <c r="W45" s="391">
        <f t="shared" si="5"/>
        <v>13</v>
      </c>
      <c r="X45" s="392"/>
      <c r="Y45" s="478"/>
    </row>
    <row r="46" spans="2:28" ht="16.5" customHeight="1" thickBot="1">
      <c r="B46" s="432"/>
      <c r="C46" s="433"/>
      <c r="D46" s="67" t="s">
        <v>677</v>
      </c>
      <c r="E46" s="66" t="s">
        <v>358</v>
      </c>
      <c r="F46" s="410" t="s">
        <v>706</v>
      </c>
      <c r="G46" s="411"/>
      <c r="H46" s="32"/>
      <c r="I46" s="235"/>
      <c r="J46" s="52">
        <f t="shared" si="3"/>
        <v>18</v>
      </c>
      <c r="K46" s="417"/>
      <c r="L46" s="418"/>
      <c r="M46" s="419"/>
      <c r="N46" s="420"/>
      <c r="O46" s="421"/>
      <c r="P46" s="418"/>
      <c r="Q46" s="419"/>
      <c r="R46" s="422"/>
      <c r="S46" s="399">
        <v>8</v>
      </c>
      <c r="T46" s="327"/>
      <c r="U46" s="328">
        <v>10</v>
      </c>
      <c r="V46" s="326"/>
      <c r="W46" s="391">
        <f t="shared" si="4"/>
        <v>18</v>
      </c>
      <c r="X46" s="392"/>
      <c r="Y46" s="478"/>
      <c r="Z46" s="184" t="s">
        <v>683</v>
      </c>
    </row>
    <row r="47" spans="2:28" ht="16.5" customHeight="1" thickBot="1">
      <c r="B47" s="432"/>
      <c r="C47" s="433"/>
      <c r="D47" s="71" t="s">
        <v>680</v>
      </c>
      <c r="E47" s="66" t="s">
        <v>358</v>
      </c>
      <c r="F47" s="412" t="s">
        <v>662</v>
      </c>
      <c r="G47" s="413"/>
      <c r="H47" s="32"/>
      <c r="I47" s="235"/>
      <c r="J47" s="52">
        <f t="shared" si="3"/>
        <v>18</v>
      </c>
      <c r="K47" s="376"/>
      <c r="L47" s="377"/>
      <c r="M47" s="357"/>
      <c r="N47" s="375"/>
      <c r="O47" s="414"/>
      <c r="P47" s="377"/>
      <c r="Q47" s="357"/>
      <c r="R47" s="375"/>
      <c r="S47" s="354">
        <v>7</v>
      </c>
      <c r="T47" s="351"/>
      <c r="U47" s="352">
        <v>11</v>
      </c>
      <c r="V47" s="359"/>
      <c r="W47" s="415">
        <f t="shared" si="4"/>
        <v>18</v>
      </c>
      <c r="X47" s="416"/>
      <c r="Y47" s="478"/>
    </row>
    <row r="48" spans="2:28" ht="17.25" customHeight="1" thickBot="1">
      <c r="B48" s="423" t="s">
        <v>154</v>
      </c>
      <c r="C48" s="201" t="s">
        <v>608</v>
      </c>
      <c r="D48" s="68" t="s">
        <v>71</v>
      </c>
      <c r="E48" s="70" t="s">
        <v>358</v>
      </c>
      <c r="F48" s="425" t="s">
        <v>524</v>
      </c>
      <c r="G48" s="426"/>
      <c r="H48" s="147"/>
      <c r="I48" s="236"/>
      <c r="J48" s="165">
        <f t="shared" si="3"/>
        <v>4</v>
      </c>
      <c r="K48" s="372"/>
      <c r="L48" s="373"/>
      <c r="M48" s="427"/>
      <c r="N48" s="428"/>
      <c r="O48" s="310">
        <v>2</v>
      </c>
      <c r="P48" s="307"/>
      <c r="Q48" s="308">
        <v>2</v>
      </c>
      <c r="R48" s="309"/>
      <c r="S48" s="428"/>
      <c r="T48" s="373"/>
      <c r="U48" s="427"/>
      <c r="V48" s="429"/>
      <c r="W48" s="362">
        <f>SUM(K48:V48)</f>
        <v>4</v>
      </c>
      <c r="X48" s="363"/>
      <c r="Y48" s="478"/>
    </row>
    <row r="49" spans="2:29" ht="17.25" customHeight="1" thickBot="1">
      <c r="B49" s="424"/>
      <c r="C49" s="201" t="s">
        <v>532</v>
      </c>
      <c r="D49" s="69" t="s">
        <v>66</v>
      </c>
      <c r="E49" s="73" t="s">
        <v>358</v>
      </c>
      <c r="F49" s="425" t="s">
        <v>530</v>
      </c>
      <c r="G49" s="426"/>
      <c r="H49" s="147"/>
      <c r="I49" s="244"/>
      <c r="J49" s="181">
        <f t="shared" si="3"/>
        <v>4</v>
      </c>
      <c r="K49" s="372"/>
      <c r="L49" s="373"/>
      <c r="M49" s="427"/>
      <c r="N49" s="428"/>
      <c r="O49" s="310">
        <v>2</v>
      </c>
      <c r="P49" s="307"/>
      <c r="Q49" s="308">
        <v>2</v>
      </c>
      <c r="R49" s="309"/>
      <c r="S49" s="428"/>
      <c r="T49" s="373"/>
      <c r="U49" s="427"/>
      <c r="V49" s="429"/>
      <c r="W49" s="364"/>
      <c r="X49" s="365"/>
      <c r="Y49" s="451"/>
    </row>
    <row r="50" spans="2:29" ht="17.25" customHeight="1">
      <c r="B50" s="448" t="s">
        <v>363</v>
      </c>
      <c r="C50" s="444"/>
      <c r="D50" s="444"/>
      <c r="E50" s="444"/>
      <c r="F50" s="444"/>
      <c r="G50" s="446"/>
      <c r="H50" s="452">
        <f>SUM(H37:H47)</f>
        <v>0</v>
      </c>
      <c r="I50" s="454">
        <f>SUM(I37:I47)</f>
        <v>0</v>
      </c>
      <c r="J50" s="456">
        <f>SUM(J37:J48)</f>
        <v>102</v>
      </c>
      <c r="K50" s="448">
        <f>SUM(K37:L49)</f>
        <v>10</v>
      </c>
      <c r="L50" s="437"/>
      <c r="M50" s="440">
        <f>SUM(M37:N48)</f>
        <v>4</v>
      </c>
      <c r="N50" s="444"/>
      <c r="O50" s="436">
        <f>SUM(O37:P48)</f>
        <v>14</v>
      </c>
      <c r="P50" s="437"/>
      <c r="Q50" s="440">
        <f>SUM(Q37:R48)</f>
        <v>16</v>
      </c>
      <c r="R50" s="441"/>
      <c r="S50" s="444">
        <f>SUM(S37:T47)</f>
        <v>29</v>
      </c>
      <c r="T50" s="437"/>
      <c r="U50" s="440">
        <f>SUM(U37:V47)</f>
        <v>29</v>
      </c>
      <c r="V50" s="446"/>
      <c r="W50" s="448">
        <f>SUM(K50:V51)</f>
        <v>102</v>
      </c>
      <c r="X50" s="446"/>
      <c r="Y50" s="450">
        <f>SUM(Y37:Y49)</f>
        <v>80</v>
      </c>
    </row>
    <row r="51" spans="2:29" ht="17.25" customHeight="1" thickBot="1">
      <c r="B51" s="449"/>
      <c r="C51" s="445"/>
      <c r="D51" s="445"/>
      <c r="E51" s="445"/>
      <c r="F51" s="445"/>
      <c r="G51" s="447"/>
      <c r="H51" s="453"/>
      <c r="I51" s="455"/>
      <c r="J51" s="457"/>
      <c r="K51" s="449"/>
      <c r="L51" s="439"/>
      <c r="M51" s="442"/>
      <c r="N51" s="445"/>
      <c r="O51" s="438"/>
      <c r="P51" s="439"/>
      <c r="Q51" s="442"/>
      <c r="R51" s="443"/>
      <c r="S51" s="445"/>
      <c r="T51" s="439"/>
      <c r="U51" s="442"/>
      <c r="V51" s="447"/>
      <c r="W51" s="449"/>
      <c r="X51" s="447"/>
      <c r="Y51" s="451"/>
    </row>
    <row r="52" spans="2:29" ht="17.25" customHeight="1" thickBot="1">
      <c r="B52" s="380" t="s">
        <v>593</v>
      </c>
      <c r="C52" s="385"/>
      <c r="D52" s="385"/>
      <c r="E52" s="385"/>
      <c r="F52" s="385"/>
      <c r="G52" s="386"/>
      <c r="H52" s="173">
        <f>SUM(H36,H50)</f>
        <v>97</v>
      </c>
      <c r="I52" s="170">
        <f>SUM(I36,I50)</f>
        <v>0</v>
      </c>
      <c r="J52" s="171">
        <f>SUM(J36,J50)</f>
        <v>174</v>
      </c>
      <c r="K52" s="380">
        <f>SUM(K36,K50)</f>
        <v>29</v>
      </c>
      <c r="L52" s="381"/>
      <c r="M52" s="388">
        <f>SUM(M36,M50)</f>
        <v>29</v>
      </c>
      <c r="N52" s="458"/>
      <c r="O52" s="459">
        <f>SUM(O36,O50)</f>
        <v>29</v>
      </c>
      <c r="P52" s="381"/>
      <c r="Q52" s="388">
        <f>SUM(Q36,Q50)</f>
        <v>29</v>
      </c>
      <c r="R52" s="458"/>
      <c r="S52" s="459">
        <f>SUM(S36,S50)</f>
        <v>29</v>
      </c>
      <c r="T52" s="381"/>
      <c r="U52" s="388">
        <f>SUM(U36,U50)</f>
        <v>29</v>
      </c>
      <c r="V52" s="386"/>
      <c r="W52" s="380">
        <f>SUM(K52:V52)</f>
        <v>174</v>
      </c>
      <c r="X52" s="386"/>
      <c r="Y52" s="11">
        <f>Y50+Y36</f>
        <v>144</v>
      </c>
    </row>
    <row r="53" spans="2:29" ht="17.25" customHeight="1">
      <c r="B53" s="464" t="s">
        <v>364</v>
      </c>
      <c r="C53" s="465"/>
      <c r="D53" s="465"/>
      <c r="E53" s="466"/>
      <c r="F53" s="473" t="s">
        <v>361</v>
      </c>
      <c r="G53" s="474"/>
      <c r="H53" s="474"/>
      <c r="I53" s="474"/>
      <c r="J53" s="475"/>
      <c r="K53" s="305">
        <v>16</v>
      </c>
      <c r="L53" s="307"/>
      <c r="M53" s="308">
        <v>16</v>
      </c>
      <c r="N53" s="309"/>
      <c r="O53" s="310">
        <v>16</v>
      </c>
      <c r="P53" s="307"/>
      <c r="Q53" s="308">
        <v>16</v>
      </c>
      <c r="R53" s="309"/>
      <c r="S53" s="310">
        <v>16</v>
      </c>
      <c r="T53" s="307"/>
      <c r="U53" s="308">
        <v>16</v>
      </c>
      <c r="V53" s="306"/>
      <c r="W53" s="464">
        <f>SUM(K53:V55)</f>
        <v>288</v>
      </c>
      <c r="X53" s="466"/>
      <c r="Y53" s="450">
        <f>Y56*16</f>
        <v>288</v>
      </c>
    </row>
    <row r="54" spans="2:29">
      <c r="B54" s="467"/>
      <c r="C54" s="468"/>
      <c r="D54" s="468"/>
      <c r="E54" s="469"/>
      <c r="F54" s="480" t="s">
        <v>63</v>
      </c>
      <c r="G54" s="481"/>
      <c r="H54" s="481"/>
      <c r="I54" s="481"/>
      <c r="J54" s="482"/>
      <c r="K54" s="325">
        <v>16</v>
      </c>
      <c r="L54" s="327"/>
      <c r="M54" s="328">
        <v>16</v>
      </c>
      <c r="N54" s="329"/>
      <c r="O54" s="334">
        <v>16</v>
      </c>
      <c r="P54" s="327"/>
      <c r="Q54" s="328">
        <v>16</v>
      </c>
      <c r="R54" s="329"/>
      <c r="S54" s="334">
        <v>16</v>
      </c>
      <c r="T54" s="327"/>
      <c r="U54" s="328">
        <v>16</v>
      </c>
      <c r="V54" s="326"/>
      <c r="W54" s="467"/>
      <c r="X54" s="469"/>
      <c r="Y54" s="478"/>
      <c r="AC54" s="175"/>
    </row>
    <row r="55" spans="2:29">
      <c r="B55" s="467"/>
      <c r="C55" s="468"/>
      <c r="D55" s="468"/>
      <c r="E55" s="469"/>
      <c r="F55" s="480" t="s">
        <v>11</v>
      </c>
      <c r="G55" s="481"/>
      <c r="H55" s="481"/>
      <c r="I55" s="481"/>
      <c r="J55" s="482"/>
      <c r="K55" s="325">
        <v>16</v>
      </c>
      <c r="L55" s="327"/>
      <c r="M55" s="328">
        <v>16</v>
      </c>
      <c r="N55" s="329"/>
      <c r="O55" s="334">
        <v>16</v>
      </c>
      <c r="P55" s="327"/>
      <c r="Q55" s="328">
        <v>16</v>
      </c>
      <c r="R55" s="329"/>
      <c r="S55" s="334">
        <v>16</v>
      </c>
      <c r="T55" s="327"/>
      <c r="U55" s="328">
        <v>16</v>
      </c>
      <c r="V55" s="326"/>
      <c r="W55" s="476"/>
      <c r="X55" s="477"/>
      <c r="Y55" s="479"/>
      <c r="AC55" s="175"/>
    </row>
    <row r="56" spans="2:29">
      <c r="B56" s="470"/>
      <c r="C56" s="471"/>
      <c r="D56" s="471"/>
      <c r="E56" s="472"/>
      <c r="F56" s="462" t="s">
        <v>149</v>
      </c>
      <c r="G56" s="485"/>
      <c r="H56" s="485"/>
      <c r="I56" s="485"/>
      <c r="J56" s="463"/>
      <c r="K56" s="486">
        <v>3</v>
      </c>
      <c r="L56" s="487"/>
      <c r="M56" s="460">
        <v>3</v>
      </c>
      <c r="N56" s="488"/>
      <c r="O56" s="489">
        <v>3</v>
      </c>
      <c r="P56" s="487"/>
      <c r="Q56" s="460">
        <v>3</v>
      </c>
      <c r="R56" s="488"/>
      <c r="S56" s="489">
        <v>3</v>
      </c>
      <c r="T56" s="487"/>
      <c r="U56" s="460">
        <v>3</v>
      </c>
      <c r="V56" s="461"/>
      <c r="W56" s="462">
        <f>SUM(K56:V56)</f>
        <v>18</v>
      </c>
      <c r="X56" s="463"/>
      <c r="Y56" s="75">
        <v>18</v>
      </c>
      <c r="AC56" s="74"/>
    </row>
    <row r="57" spans="2:29" ht="16.5" customHeight="1" thickBot="1">
      <c r="B57" s="380"/>
      <c r="C57" s="385"/>
      <c r="D57" s="385"/>
      <c r="E57" s="385"/>
      <c r="F57" s="385"/>
      <c r="G57" s="385"/>
      <c r="H57" s="385"/>
      <c r="I57" s="385"/>
      <c r="J57" s="386"/>
      <c r="K57" s="380">
        <v>32</v>
      </c>
      <c r="L57" s="381"/>
      <c r="M57" s="388">
        <v>32</v>
      </c>
      <c r="N57" s="458"/>
      <c r="O57" s="459">
        <v>32</v>
      </c>
      <c r="P57" s="381"/>
      <c r="Q57" s="388">
        <v>32</v>
      </c>
      <c r="R57" s="458"/>
      <c r="S57" s="459">
        <v>32</v>
      </c>
      <c r="T57" s="381"/>
      <c r="U57" s="388">
        <v>32</v>
      </c>
      <c r="V57" s="386"/>
      <c r="W57" s="380">
        <f>SUM(K57:V57)</f>
        <v>192</v>
      </c>
      <c r="X57" s="386"/>
      <c r="Y57" s="40">
        <f>W57</f>
        <v>192</v>
      </c>
    </row>
    <row r="58" spans="2:29" ht="16.5" customHeight="1" thickBot="1">
      <c r="B58" s="380"/>
      <c r="C58" s="385"/>
      <c r="D58" s="385"/>
      <c r="E58" s="385"/>
      <c r="F58" s="385"/>
      <c r="G58" s="385"/>
      <c r="H58" s="385"/>
      <c r="I58" s="385"/>
      <c r="J58" s="386"/>
      <c r="K58" s="380">
        <f>SUM(K57:N57)</f>
        <v>64</v>
      </c>
      <c r="L58" s="385"/>
      <c r="M58" s="385"/>
      <c r="N58" s="458"/>
      <c r="O58" s="459">
        <f>SUM(O57:R57)</f>
        <v>64</v>
      </c>
      <c r="P58" s="385"/>
      <c r="Q58" s="385"/>
      <c r="R58" s="458"/>
      <c r="S58" s="459">
        <f>SUM(S57:V57)</f>
        <v>64</v>
      </c>
      <c r="T58" s="385"/>
      <c r="U58" s="385"/>
      <c r="V58" s="386"/>
      <c r="W58" s="380">
        <f>SUM(K58:V58)</f>
        <v>192</v>
      </c>
      <c r="X58" s="386"/>
      <c r="Y58" s="11"/>
    </row>
    <row r="59" spans="2:29" ht="16.5" customHeight="1">
      <c r="AC59" s="175"/>
    </row>
    <row r="60" spans="2:29" ht="16.5" customHeight="1">
      <c r="AC60" s="74"/>
    </row>
    <row r="61" spans="2:29" ht="24.75" customHeight="1">
      <c r="AC61" s="175"/>
    </row>
    <row r="62" spans="2:29">
      <c r="AC62" s="74"/>
    </row>
    <row r="63" spans="2:29" ht="17.25" customHeight="1">
      <c r="AA63" s="483" t="s">
        <v>156</v>
      </c>
      <c r="AB63" s="483"/>
    </row>
    <row r="64" spans="2:29" ht="18.75" customHeight="1" thickBot="1">
      <c r="AA64" s="484"/>
      <c r="AB64" s="484"/>
    </row>
    <row r="65" spans="27:28" ht="17.25" customHeight="1" thickBot="1">
      <c r="AA65" s="382" t="b">
        <f>W52&gt;=Y52</f>
        <v>1</v>
      </c>
      <c r="AB65" s="383"/>
    </row>
    <row r="66" spans="27:28" ht="17.25" customHeight="1"/>
    <row r="67" spans="27:28" ht="17.25" customHeight="1" thickBot="1">
      <c r="AA67" s="483" t="s">
        <v>157</v>
      </c>
      <c r="AB67" s="483"/>
    </row>
    <row r="68" spans="27:28" ht="17.25" customHeight="1" thickBot="1">
      <c r="AA68" s="382" t="b">
        <f>W56&gt;=Y56</f>
        <v>1</v>
      </c>
      <c r="AB68" s="383"/>
    </row>
    <row r="69" spans="27:28" ht="17.25" customHeight="1" thickBot="1">
      <c r="AA69" s="483" t="s">
        <v>152</v>
      </c>
      <c r="AB69" s="483"/>
    </row>
    <row r="70" spans="27:28" ht="17.25" customHeight="1" thickBot="1">
      <c r="AA70" s="382" t="b">
        <f>W57&gt;=Y57</f>
        <v>1</v>
      </c>
      <c r="AB70" s="383"/>
    </row>
    <row r="71" spans="27:28" ht="17.25" customHeight="1"/>
    <row r="72" spans="27:28" ht="17.25" customHeight="1"/>
    <row r="73" spans="27:28" ht="17.25" customHeight="1"/>
    <row r="75" spans="27:28" ht="24.95" customHeight="1"/>
    <row r="76" spans="27:28" ht="24.95" customHeight="1"/>
    <row r="77" spans="27:28" ht="32.25" customHeight="1"/>
    <row r="78" spans="27:28" ht="24.95" customHeight="1"/>
    <row r="80" spans="27:28" ht="16.5" customHeight="1"/>
    <row r="81" ht="17.2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244.5" customHeight="1"/>
  </sheetData>
  <mergeCells count="441">
    <mergeCell ref="U16:V16"/>
    <mergeCell ref="F24:G24"/>
    <mergeCell ref="K24:L24"/>
    <mergeCell ref="M24:N24"/>
    <mergeCell ref="O24:P24"/>
    <mergeCell ref="Q24:R24"/>
    <mergeCell ref="S24:T24"/>
    <mergeCell ref="U24:V24"/>
    <mergeCell ref="F10:G10"/>
    <mergeCell ref="K10:L10"/>
    <mergeCell ref="M10:N10"/>
    <mergeCell ref="O10:P10"/>
    <mergeCell ref="Q10:R10"/>
    <mergeCell ref="S10:T10"/>
    <mergeCell ref="U10:V10"/>
    <mergeCell ref="F13:G13"/>
    <mergeCell ref="K13:L13"/>
    <mergeCell ref="M13:N13"/>
    <mergeCell ref="O13:P13"/>
    <mergeCell ref="Q13:R13"/>
    <mergeCell ref="S13:T13"/>
    <mergeCell ref="U13:V13"/>
    <mergeCell ref="O11:P11"/>
    <mergeCell ref="Q11:R11"/>
    <mergeCell ref="Y37:Y49"/>
    <mergeCell ref="AA68:AB68"/>
    <mergeCell ref="AA69:AB69"/>
    <mergeCell ref="AA70:AB70"/>
    <mergeCell ref="B58:J58"/>
    <mergeCell ref="K58:N58"/>
    <mergeCell ref="O58:R58"/>
    <mergeCell ref="S58:V58"/>
    <mergeCell ref="W58:X58"/>
    <mergeCell ref="AA63:AB64"/>
    <mergeCell ref="W57:X57"/>
    <mergeCell ref="F56:J56"/>
    <mergeCell ref="K56:L56"/>
    <mergeCell ref="M56:N56"/>
    <mergeCell ref="O56:P56"/>
    <mergeCell ref="Q56:R56"/>
    <mergeCell ref="S56:T56"/>
    <mergeCell ref="AA65:AB65"/>
    <mergeCell ref="AA67:AB67"/>
    <mergeCell ref="M55:N55"/>
    <mergeCell ref="O55:P55"/>
    <mergeCell ref="Q55:R55"/>
    <mergeCell ref="S55:T55"/>
    <mergeCell ref="U55:V55"/>
    <mergeCell ref="Y53:Y55"/>
    <mergeCell ref="F54:J54"/>
    <mergeCell ref="K54:L54"/>
    <mergeCell ref="M54:N54"/>
    <mergeCell ref="O54:P54"/>
    <mergeCell ref="Q54:R54"/>
    <mergeCell ref="S54:T54"/>
    <mergeCell ref="U54:V54"/>
    <mergeCell ref="F55:J55"/>
    <mergeCell ref="U56:V56"/>
    <mergeCell ref="W56:X56"/>
    <mergeCell ref="B57:J57"/>
    <mergeCell ref="K57:L57"/>
    <mergeCell ref="M57:N57"/>
    <mergeCell ref="O57:P57"/>
    <mergeCell ref="Q57:R57"/>
    <mergeCell ref="S57:T57"/>
    <mergeCell ref="U57:V57"/>
    <mergeCell ref="B53:E56"/>
    <mergeCell ref="F53:J53"/>
    <mergeCell ref="K53:L53"/>
    <mergeCell ref="M53:N53"/>
    <mergeCell ref="O53:P53"/>
    <mergeCell ref="Q53:R53"/>
    <mergeCell ref="S53:T53"/>
    <mergeCell ref="U53:V53"/>
    <mergeCell ref="K55:L55"/>
    <mergeCell ref="W53:X55"/>
    <mergeCell ref="Y50:Y51"/>
    <mergeCell ref="B50:G51"/>
    <mergeCell ref="H50:H51"/>
    <mergeCell ref="I50:I51"/>
    <mergeCell ref="J50:J51"/>
    <mergeCell ref="K50:L51"/>
    <mergeCell ref="M50:N51"/>
    <mergeCell ref="U52:V52"/>
    <mergeCell ref="W52:X52"/>
    <mergeCell ref="B52:G52"/>
    <mergeCell ref="K52:L52"/>
    <mergeCell ref="M52:N52"/>
    <mergeCell ref="O52:P52"/>
    <mergeCell ref="Q52:R52"/>
    <mergeCell ref="S52:T52"/>
    <mergeCell ref="W48:X49"/>
    <mergeCell ref="F49:G49"/>
    <mergeCell ref="K49:L49"/>
    <mergeCell ref="M49:N49"/>
    <mergeCell ref="O49:P49"/>
    <mergeCell ref="Q49:R49"/>
    <mergeCell ref="S49:T49"/>
    <mergeCell ref="U49:V49"/>
    <mergeCell ref="O50:P51"/>
    <mergeCell ref="Q50:R51"/>
    <mergeCell ref="S50:T51"/>
    <mergeCell ref="U50:V51"/>
    <mergeCell ref="W50:X51"/>
    <mergeCell ref="B48:B49"/>
    <mergeCell ref="F48:G48"/>
    <mergeCell ref="K48:L48"/>
    <mergeCell ref="M48:N48"/>
    <mergeCell ref="O48:P48"/>
    <mergeCell ref="Q48:R48"/>
    <mergeCell ref="S48:T48"/>
    <mergeCell ref="U48:V48"/>
    <mergeCell ref="U46:V46"/>
    <mergeCell ref="B37:C47"/>
    <mergeCell ref="D37:E37"/>
    <mergeCell ref="F42:G42"/>
    <mergeCell ref="F43:G43"/>
    <mergeCell ref="F45:G45"/>
    <mergeCell ref="F44:G44"/>
    <mergeCell ref="K44:L44"/>
    <mergeCell ref="M44:N44"/>
    <mergeCell ref="O44:P44"/>
    <mergeCell ref="K45:L45"/>
    <mergeCell ref="U40:V40"/>
    <mergeCell ref="U42:V42"/>
    <mergeCell ref="U43:V43"/>
    <mergeCell ref="U45:V45"/>
    <mergeCell ref="Q44:R44"/>
    <mergeCell ref="W46:X46"/>
    <mergeCell ref="F47:G47"/>
    <mergeCell ref="K47:L47"/>
    <mergeCell ref="M47:N47"/>
    <mergeCell ref="O47:P47"/>
    <mergeCell ref="Q47:R47"/>
    <mergeCell ref="S47:T47"/>
    <mergeCell ref="U47:V47"/>
    <mergeCell ref="W47:X47"/>
    <mergeCell ref="F46:G46"/>
    <mergeCell ref="K46:L46"/>
    <mergeCell ref="M46:N46"/>
    <mergeCell ref="O46:P46"/>
    <mergeCell ref="Q46:R46"/>
    <mergeCell ref="S46:T46"/>
    <mergeCell ref="W40:X40"/>
    <mergeCell ref="F41:G41"/>
    <mergeCell ref="K41:L41"/>
    <mergeCell ref="M41:N41"/>
    <mergeCell ref="O41:P41"/>
    <mergeCell ref="Q41:R41"/>
    <mergeCell ref="S41:T41"/>
    <mergeCell ref="U41:V41"/>
    <mergeCell ref="W41:X41"/>
    <mergeCell ref="F40:G40"/>
    <mergeCell ref="K40:L40"/>
    <mergeCell ref="M40:N40"/>
    <mergeCell ref="O40:P40"/>
    <mergeCell ref="Q40:R40"/>
    <mergeCell ref="S40:T40"/>
    <mergeCell ref="W42:X42"/>
    <mergeCell ref="W43:X43"/>
    <mergeCell ref="W44:X44"/>
    <mergeCell ref="U39:V39"/>
    <mergeCell ref="W39:X39"/>
    <mergeCell ref="W45:X45"/>
    <mergeCell ref="U37:V37"/>
    <mergeCell ref="W37:X37"/>
    <mergeCell ref="F38:G38"/>
    <mergeCell ref="K38:L38"/>
    <mergeCell ref="M38:N38"/>
    <mergeCell ref="O38:P38"/>
    <mergeCell ref="Q38:R38"/>
    <mergeCell ref="S38:T38"/>
    <mergeCell ref="U38:V38"/>
    <mergeCell ref="W38:X38"/>
    <mergeCell ref="F37:G37"/>
    <mergeCell ref="K37:L37"/>
    <mergeCell ref="M37:N37"/>
    <mergeCell ref="O37:P37"/>
    <mergeCell ref="Q37:R37"/>
    <mergeCell ref="S37:T37"/>
    <mergeCell ref="F39:G39"/>
    <mergeCell ref="K39:L39"/>
    <mergeCell ref="U44:V44"/>
    <mergeCell ref="Q42:R42"/>
    <mergeCell ref="Q43:R43"/>
    <mergeCell ref="S42:T42"/>
    <mergeCell ref="S43:T43"/>
    <mergeCell ref="Q45:R45"/>
    <mergeCell ref="S45:T45"/>
    <mergeCell ref="K42:L42"/>
    <mergeCell ref="K43:L43"/>
    <mergeCell ref="M39:N39"/>
    <mergeCell ref="O39:P39"/>
    <mergeCell ref="Q39:R39"/>
    <mergeCell ref="S39:T39"/>
    <mergeCell ref="M42:N42"/>
    <mergeCell ref="M43:N43"/>
    <mergeCell ref="M45:N45"/>
    <mergeCell ref="O42:P42"/>
    <mergeCell ref="O43:P43"/>
    <mergeCell ref="O45:P45"/>
    <mergeCell ref="S44:T44"/>
    <mergeCell ref="U36:V36"/>
    <mergeCell ref="W36:X36"/>
    <mergeCell ref="AA36:AB36"/>
    <mergeCell ref="W33:X35"/>
    <mergeCell ref="Y33:Y35"/>
    <mergeCell ref="F34:G34"/>
    <mergeCell ref="K34:L34"/>
    <mergeCell ref="M34:N34"/>
    <mergeCell ref="O34:P34"/>
    <mergeCell ref="Q34:R34"/>
    <mergeCell ref="S34:T34"/>
    <mergeCell ref="U34:V34"/>
    <mergeCell ref="U35:V35"/>
    <mergeCell ref="B36:G36"/>
    <mergeCell ref="K36:L36"/>
    <mergeCell ref="M36:N36"/>
    <mergeCell ref="O36:P36"/>
    <mergeCell ref="Q36:R36"/>
    <mergeCell ref="S36:T36"/>
    <mergeCell ref="S31:T31"/>
    <mergeCell ref="U31:V31"/>
    <mergeCell ref="S29:T29"/>
    <mergeCell ref="U29:V29"/>
    <mergeCell ref="Q32:R32"/>
    <mergeCell ref="S32:T32"/>
    <mergeCell ref="U32:V32"/>
    <mergeCell ref="D33:D35"/>
    <mergeCell ref="F33:G33"/>
    <mergeCell ref="K33:L33"/>
    <mergeCell ref="M33:N33"/>
    <mergeCell ref="O33:P33"/>
    <mergeCell ref="Q33:R33"/>
    <mergeCell ref="S33:T33"/>
    <mergeCell ref="U33:V33"/>
    <mergeCell ref="S35:T35"/>
    <mergeCell ref="Q35:R35"/>
    <mergeCell ref="O35:P35"/>
    <mergeCell ref="M35:N35"/>
    <mergeCell ref="K35:L35"/>
    <mergeCell ref="F35:G35"/>
    <mergeCell ref="W29:X32"/>
    <mergeCell ref="Y29:Y32"/>
    <mergeCell ref="F30:G30"/>
    <mergeCell ref="K30:L30"/>
    <mergeCell ref="M30:N30"/>
    <mergeCell ref="O30:P30"/>
    <mergeCell ref="Q30:R30"/>
    <mergeCell ref="S30:T30"/>
    <mergeCell ref="D29:D32"/>
    <mergeCell ref="F29:G29"/>
    <mergeCell ref="K29:L29"/>
    <mergeCell ref="M29:N29"/>
    <mergeCell ref="O29:P29"/>
    <mergeCell ref="Q29:R29"/>
    <mergeCell ref="F32:G32"/>
    <mergeCell ref="K32:L32"/>
    <mergeCell ref="M32:N32"/>
    <mergeCell ref="O32:P32"/>
    <mergeCell ref="U30:V30"/>
    <mergeCell ref="F31:G31"/>
    <mergeCell ref="K31:L31"/>
    <mergeCell ref="M31:N31"/>
    <mergeCell ref="O31:P31"/>
    <mergeCell ref="Q31:R31"/>
    <mergeCell ref="X25:X28"/>
    <mergeCell ref="Y25:Y28"/>
    <mergeCell ref="F26:G26"/>
    <mergeCell ref="K26:L26"/>
    <mergeCell ref="M26:N26"/>
    <mergeCell ref="O26:P26"/>
    <mergeCell ref="Q26:R26"/>
    <mergeCell ref="S26:T26"/>
    <mergeCell ref="U26:V26"/>
    <mergeCell ref="F27:G27"/>
    <mergeCell ref="U28:V28"/>
    <mergeCell ref="F28:G28"/>
    <mergeCell ref="K28:L28"/>
    <mergeCell ref="M28:N28"/>
    <mergeCell ref="O28:P28"/>
    <mergeCell ref="Q28:R28"/>
    <mergeCell ref="S28:T28"/>
    <mergeCell ref="D25:D28"/>
    <mergeCell ref="F25:G25"/>
    <mergeCell ref="K25:L25"/>
    <mergeCell ref="M25:N25"/>
    <mergeCell ref="O25:P25"/>
    <mergeCell ref="Q25:R25"/>
    <mergeCell ref="S25:T25"/>
    <mergeCell ref="U25:V25"/>
    <mergeCell ref="D22:D24"/>
    <mergeCell ref="K27:L27"/>
    <mergeCell ref="M27:N27"/>
    <mergeCell ref="O27:P27"/>
    <mergeCell ref="Q27:R27"/>
    <mergeCell ref="S27:T27"/>
    <mergeCell ref="U27:V27"/>
    <mergeCell ref="F23:G23"/>
    <mergeCell ref="K23:L23"/>
    <mergeCell ref="M23:N23"/>
    <mergeCell ref="O23:P23"/>
    <mergeCell ref="Q23:R23"/>
    <mergeCell ref="S23:T23"/>
    <mergeCell ref="U23:V23"/>
    <mergeCell ref="X20:X21"/>
    <mergeCell ref="Y20:Y24"/>
    <mergeCell ref="F21:G21"/>
    <mergeCell ref="K21:L21"/>
    <mergeCell ref="M21:N21"/>
    <mergeCell ref="O21:P21"/>
    <mergeCell ref="Q21:R21"/>
    <mergeCell ref="S21:T21"/>
    <mergeCell ref="U21:V21"/>
    <mergeCell ref="S22:T22"/>
    <mergeCell ref="K20:L20"/>
    <mergeCell ref="M20:N20"/>
    <mergeCell ref="O20:P20"/>
    <mergeCell ref="Q20:R20"/>
    <mergeCell ref="S20:T20"/>
    <mergeCell ref="U20:V20"/>
    <mergeCell ref="U22:V22"/>
    <mergeCell ref="X22:X24"/>
    <mergeCell ref="F22:G22"/>
    <mergeCell ref="K22:L22"/>
    <mergeCell ref="M22:N22"/>
    <mergeCell ref="O22:P22"/>
    <mergeCell ref="Q22:R22"/>
    <mergeCell ref="X18:X19"/>
    <mergeCell ref="Y18:Y19"/>
    <mergeCell ref="F19:G19"/>
    <mergeCell ref="K19:L19"/>
    <mergeCell ref="M19:N19"/>
    <mergeCell ref="O19:P19"/>
    <mergeCell ref="Q19:R19"/>
    <mergeCell ref="S19:T19"/>
    <mergeCell ref="U19:V19"/>
    <mergeCell ref="D18:D21"/>
    <mergeCell ref="F18:G18"/>
    <mergeCell ref="K18:L18"/>
    <mergeCell ref="M18:N18"/>
    <mergeCell ref="O18:P18"/>
    <mergeCell ref="Q18:R18"/>
    <mergeCell ref="S18:T18"/>
    <mergeCell ref="U18:V18"/>
    <mergeCell ref="F20:G20"/>
    <mergeCell ref="AB17:AD17"/>
    <mergeCell ref="D15:D17"/>
    <mergeCell ref="F15:G15"/>
    <mergeCell ref="K15:L15"/>
    <mergeCell ref="M15:N15"/>
    <mergeCell ref="O15:P15"/>
    <mergeCell ref="Q15:R15"/>
    <mergeCell ref="D12:D14"/>
    <mergeCell ref="S15:T15"/>
    <mergeCell ref="U15:V15"/>
    <mergeCell ref="X15:X17"/>
    <mergeCell ref="F17:G17"/>
    <mergeCell ref="K17:L17"/>
    <mergeCell ref="M17:N17"/>
    <mergeCell ref="O17:P17"/>
    <mergeCell ref="Q17:R17"/>
    <mergeCell ref="S17:T17"/>
    <mergeCell ref="U17:V17"/>
    <mergeCell ref="F16:G16"/>
    <mergeCell ref="K16:L16"/>
    <mergeCell ref="M16:N16"/>
    <mergeCell ref="O16:P16"/>
    <mergeCell ref="Q16:R16"/>
    <mergeCell ref="S16:T16"/>
    <mergeCell ref="S11:T11"/>
    <mergeCell ref="U11:V11"/>
    <mergeCell ref="S12:T12"/>
    <mergeCell ref="U12:V12"/>
    <mergeCell ref="X12:X14"/>
    <mergeCell ref="F14:G14"/>
    <mergeCell ref="K14:L14"/>
    <mergeCell ref="M14:N14"/>
    <mergeCell ref="O14:P14"/>
    <mergeCell ref="Q14:R14"/>
    <mergeCell ref="S14:T14"/>
    <mergeCell ref="U14:V14"/>
    <mergeCell ref="F12:G12"/>
    <mergeCell ref="K12:L12"/>
    <mergeCell ref="M12:N12"/>
    <mergeCell ref="O12:P12"/>
    <mergeCell ref="Q12:R12"/>
    <mergeCell ref="AA8:AD8"/>
    <mergeCell ref="B9:C35"/>
    <mergeCell ref="D9:D11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X9:X11"/>
    <mergeCell ref="Y9:Y17"/>
    <mergeCell ref="F11:G11"/>
    <mergeCell ref="K11:L11"/>
    <mergeCell ref="M11:N11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</mergeCells>
  <phoneticPr fontId="9" type="noConversion"/>
  <conditionalFormatting sqref="AA36:AB36 AC56 AC60 AC62 AA65:AB65 AA68:AB68 AA70:AB70">
    <cfRule type="containsText" dxfId="2" priority="1" operator="containsText" text="FALSE">
      <formula>NOT(ISERROR(SEARCH("FALSE",AA36)))</formula>
    </cfRule>
  </conditionalFormatting>
  <printOptions horizontalCentered="1" verticalCentered="1"/>
  <pageMargins left="0.25" right="0.25" top="0.75" bottom="0.75" header="0.3" footer="0.3"/>
  <pageSetup paperSize="9" scale="42" orientation="portrait" cellComments="asDisplayed" r:id="rId1"/>
  <rowBreaks count="1" manualBreakCount="1">
    <brk id="61" max="16383" man="1"/>
  </rowBreak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F680DA6-5732-460A-9604-03A47203E0A8}">
          <x14:formula1>
            <xm:f>삭제금지!$H$2:$H$18</xm:f>
          </x14:formula1>
          <xm:sqref>B5</xm:sqref>
        </x14:dataValidation>
        <x14:dataValidation type="list" allowBlank="1" showInputMessage="1" showErrorMessage="1" xr:uid="{70A65B18-0738-4FCE-90A9-304468E73709}">
          <x14:formula1>
            <xm:f>삭제금지!$L$2:$L$4</xm:f>
          </x14:formula1>
          <xm:sqref>T5:V5</xm:sqref>
        </x14:dataValidation>
        <x14:dataValidation type="list" allowBlank="1" showInputMessage="1" showErrorMessage="1" xr:uid="{21524502-087E-4871-B0A6-E98CFC960B94}">
          <x14:formula1>
            <xm:f>삭제금지!$K$2:$K$59</xm:f>
          </x14:formula1>
          <xm:sqref>K5:O5</xm:sqref>
        </x14:dataValidation>
        <x14:dataValidation type="list" allowBlank="1" showInputMessage="1" showErrorMessage="1" xr:uid="{320D4C19-3260-42C2-88D8-9D5CF8D2BB7C}">
          <x14:formula1>
            <xm:f>삭제금지!$I$2:$I$18</xm:f>
          </x14:formula1>
          <xm:sqref>F5:G5</xm:sqref>
        </x14:dataValidation>
        <x14:dataValidation type="list" allowBlank="1" showInputMessage="1" showErrorMessage="1" xr:uid="{89C44333-E11C-4214-BE81-7AF50D5BF563}">
          <x14:formula1>
            <xm:f>삭제금지!$J$2:$J$59</xm:f>
          </x14:formula1>
          <xm:sqref>H5:J5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EA7C-A1A3-421D-A511-6B326B74E15A}">
  <sheetPr>
    <tabColor rgb="FFFFC000"/>
    <pageSetUpPr fitToPage="1"/>
  </sheetPr>
  <dimension ref="B2:AG47"/>
  <sheetViews>
    <sheetView showGridLines="0" view="pageBreakPreview" zoomScaleNormal="85" zoomScaleSheetLayoutView="100" workbookViewId="0">
      <selection activeCell="B2" sqref="B2:U2"/>
    </sheetView>
  </sheetViews>
  <sheetFormatPr defaultRowHeight="16.5"/>
  <cols>
    <col min="1" max="1" width="3" customWidth="1"/>
    <col min="2" max="2" width="14.5" customWidth="1"/>
    <col min="3" max="3" width="5.625" customWidth="1"/>
    <col min="4" max="4" width="18.875" bestFit="1" customWidth="1"/>
    <col min="5" max="5" width="19" style="1" bestFit="1" customWidth="1"/>
    <col min="6" max="6" width="9.125" style="1" customWidth="1"/>
    <col min="7" max="7" width="10.75" customWidth="1"/>
    <col min="8" max="19" width="7.75" bestFit="1" customWidth="1"/>
    <col min="20" max="20" width="6.625" bestFit="1" customWidth="1"/>
    <col min="21" max="21" width="7.125" customWidth="1"/>
  </cols>
  <sheetData>
    <row r="2" spans="2:33" ht="39.75" customHeight="1" thickBot="1">
      <c r="B2" s="500" t="s">
        <v>150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500"/>
      <c r="Q2" s="500"/>
      <c r="R2" s="500"/>
      <c r="S2" s="500"/>
      <c r="T2" s="500"/>
      <c r="U2" s="500"/>
    </row>
    <row r="3" spans="2:33" ht="27" customHeight="1" thickBot="1"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501" t="s">
        <v>129</v>
      </c>
      <c r="O3" s="502"/>
      <c r="P3" s="503"/>
      <c r="Q3" s="501" t="s">
        <v>127</v>
      </c>
      <c r="R3" s="502"/>
      <c r="S3" s="504"/>
      <c r="T3" s="501" t="s">
        <v>130</v>
      </c>
      <c r="U3" s="504"/>
    </row>
    <row r="4" spans="2:33" ht="27" customHeight="1" thickBot="1">
      <c r="B4" s="178"/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505" t="s">
        <v>512</v>
      </c>
      <c r="O4" s="506"/>
      <c r="P4" s="507"/>
      <c r="Q4" s="508" t="s">
        <v>675</v>
      </c>
      <c r="R4" s="509"/>
      <c r="S4" s="510"/>
      <c r="T4" s="511">
        <v>2027</v>
      </c>
      <c r="U4" s="512"/>
    </row>
    <row r="5" spans="2:33" ht="24" customHeight="1" thickBot="1">
      <c r="B5" s="513"/>
      <c r="C5" s="513"/>
    </row>
    <row r="6" spans="2:33" ht="20.25" customHeight="1">
      <c r="B6" s="514" t="s">
        <v>13</v>
      </c>
      <c r="C6" s="517" t="s">
        <v>140</v>
      </c>
      <c r="D6" s="497" t="s">
        <v>14</v>
      </c>
      <c r="E6" s="497" t="s">
        <v>15</v>
      </c>
      <c r="F6" s="497" t="s">
        <v>141</v>
      </c>
      <c r="G6" s="497" t="s">
        <v>142</v>
      </c>
      <c r="H6" s="520" t="s">
        <v>58</v>
      </c>
      <c r="I6" s="520"/>
      <c r="J6" s="520"/>
      <c r="K6" s="520"/>
      <c r="L6" s="520" t="s">
        <v>59</v>
      </c>
      <c r="M6" s="520"/>
      <c r="N6" s="520"/>
      <c r="O6" s="520"/>
      <c r="P6" s="520" t="s">
        <v>60</v>
      </c>
      <c r="Q6" s="520"/>
      <c r="R6" s="520"/>
      <c r="S6" s="520"/>
      <c r="T6" s="521" t="s">
        <v>139</v>
      </c>
      <c r="U6" s="531" t="s">
        <v>126</v>
      </c>
      <c r="W6" s="524" t="s">
        <v>131</v>
      </c>
      <c r="X6" s="525"/>
      <c r="Y6" s="525"/>
      <c r="Z6" s="525"/>
      <c r="AA6" s="525"/>
      <c r="AB6" s="525"/>
      <c r="AC6" s="525"/>
      <c r="AD6" s="525"/>
      <c r="AE6" s="525"/>
      <c r="AF6" s="526"/>
      <c r="AG6" s="13"/>
    </row>
    <row r="7" spans="2:33" ht="16.5" customHeight="1">
      <c r="B7" s="515"/>
      <c r="C7" s="518"/>
      <c r="D7" s="498"/>
      <c r="E7" s="498"/>
      <c r="F7" s="498"/>
      <c r="G7" s="498"/>
      <c r="H7" s="527" t="s">
        <v>124</v>
      </c>
      <c r="I7" s="527"/>
      <c r="J7" s="527" t="s">
        <v>62</v>
      </c>
      <c r="K7" s="527"/>
      <c r="L7" s="527" t="s">
        <v>124</v>
      </c>
      <c r="M7" s="527"/>
      <c r="N7" s="527" t="s">
        <v>62</v>
      </c>
      <c r="O7" s="527"/>
      <c r="P7" s="527" t="s">
        <v>124</v>
      </c>
      <c r="Q7" s="527"/>
      <c r="R7" s="527" t="s">
        <v>62</v>
      </c>
      <c r="S7" s="527"/>
      <c r="T7" s="522"/>
      <c r="U7" s="532"/>
      <c r="W7" s="528" t="s">
        <v>132</v>
      </c>
      <c r="X7" s="529"/>
      <c r="Y7" s="529"/>
      <c r="Z7" s="529"/>
      <c r="AA7" s="529"/>
      <c r="AB7" s="529"/>
      <c r="AC7" s="529"/>
      <c r="AD7" s="529"/>
      <c r="AE7" s="529"/>
      <c r="AF7" s="530"/>
      <c r="AG7" s="13"/>
    </row>
    <row r="8" spans="2:33" ht="17.25" customHeight="1" thickBot="1">
      <c r="B8" s="516"/>
      <c r="C8" s="519"/>
      <c r="D8" s="499"/>
      <c r="E8" s="499"/>
      <c r="F8" s="499"/>
      <c r="G8" s="499"/>
      <c r="H8" s="28" t="s">
        <v>138</v>
      </c>
      <c r="I8" s="28" t="s">
        <v>125</v>
      </c>
      <c r="J8" s="28" t="s">
        <v>138</v>
      </c>
      <c r="K8" s="28" t="s">
        <v>125</v>
      </c>
      <c r="L8" s="28" t="s">
        <v>138</v>
      </c>
      <c r="M8" s="28" t="s">
        <v>125</v>
      </c>
      <c r="N8" s="28" t="s">
        <v>138</v>
      </c>
      <c r="O8" s="28" t="s">
        <v>125</v>
      </c>
      <c r="P8" s="28" t="s">
        <v>138</v>
      </c>
      <c r="Q8" s="28" t="s">
        <v>125</v>
      </c>
      <c r="R8" s="28" t="s">
        <v>138</v>
      </c>
      <c r="S8" s="28" t="s">
        <v>125</v>
      </c>
      <c r="T8" s="523"/>
      <c r="U8" s="533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490" t="s">
        <v>661</v>
      </c>
      <c r="C9" s="493">
        <f>T11</f>
        <v>10</v>
      </c>
      <c r="D9" s="194" t="s">
        <v>663</v>
      </c>
      <c r="E9" s="194" t="s">
        <v>664</v>
      </c>
      <c r="F9" s="191">
        <v>40</v>
      </c>
      <c r="G9" s="191">
        <v>3</v>
      </c>
      <c r="H9" s="153">
        <v>6</v>
      </c>
      <c r="I9" s="153">
        <f t="shared" ref="I9:I10" si="0">H9*16</f>
        <v>96</v>
      </c>
      <c r="J9" s="153"/>
      <c r="K9" s="153">
        <f>J9*16</f>
        <v>0</v>
      </c>
      <c r="L9" s="153"/>
      <c r="M9" s="153">
        <f>L9*16</f>
        <v>0</v>
      </c>
      <c r="N9" s="153"/>
      <c r="O9" s="153">
        <f t="shared" ref="O9:O10" si="1">N9*16</f>
        <v>0</v>
      </c>
      <c r="P9" s="153"/>
      <c r="Q9" s="153">
        <f>P9*16</f>
        <v>0</v>
      </c>
      <c r="R9" s="153"/>
      <c r="S9" s="153">
        <f>R9*16</f>
        <v>0</v>
      </c>
      <c r="T9" s="154">
        <f>SUM(H9,J9,L9,N9,P9,R9)</f>
        <v>6</v>
      </c>
      <c r="U9" s="155">
        <f>SUM(I9,K9,M9,O9,Q9,S9)</f>
        <v>96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491"/>
      <c r="C10" s="494"/>
      <c r="D10" s="195" t="s">
        <v>665</v>
      </c>
      <c r="E10" s="195" t="s">
        <v>666</v>
      </c>
      <c r="F10" s="190">
        <v>40</v>
      </c>
      <c r="G10" s="190">
        <v>3</v>
      </c>
      <c r="H10" s="158"/>
      <c r="I10" s="158">
        <f t="shared" si="0"/>
        <v>0</v>
      </c>
      <c r="J10" s="158">
        <v>4</v>
      </c>
      <c r="K10" s="158">
        <f t="shared" ref="K10" si="2">J10*16</f>
        <v>64</v>
      </c>
      <c r="L10" s="158"/>
      <c r="M10" s="158">
        <f t="shared" ref="M10" si="3">L10*16</f>
        <v>0</v>
      </c>
      <c r="N10" s="158"/>
      <c r="O10" s="158">
        <f t="shared" si="1"/>
        <v>0</v>
      </c>
      <c r="P10" s="158"/>
      <c r="Q10" s="158">
        <f t="shared" ref="Q10" si="4">P10*16</f>
        <v>0</v>
      </c>
      <c r="R10" s="158"/>
      <c r="S10" s="158">
        <f t="shared" ref="S10" si="5">R10*16</f>
        <v>0</v>
      </c>
      <c r="T10" s="159">
        <f t="shared" ref="T10:U10" si="6">SUM(H10,J10,L10,N10,P10,R10)</f>
        <v>4</v>
      </c>
      <c r="U10" s="160">
        <f t="shared" si="6"/>
        <v>64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 ht="17.25" thickBot="1">
      <c r="B11" s="492"/>
      <c r="C11" s="495"/>
      <c r="D11" s="496" t="s">
        <v>16</v>
      </c>
      <c r="E11" s="496"/>
      <c r="F11" s="177"/>
      <c r="G11" s="177"/>
      <c r="H11" s="27">
        <f t="shared" ref="H11:U11" si="7">SUM(H9:H10)</f>
        <v>6</v>
      </c>
      <c r="I11" s="27">
        <f t="shared" si="7"/>
        <v>96</v>
      </c>
      <c r="J11" s="27">
        <f t="shared" si="7"/>
        <v>4</v>
      </c>
      <c r="K11" s="27">
        <f t="shared" si="7"/>
        <v>64</v>
      </c>
      <c r="L11" s="27">
        <f t="shared" si="7"/>
        <v>0</v>
      </c>
      <c r="M11" s="27">
        <f t="shared" si="7"/>
        <v>0</v>
      </c>
      <c r="N11" s="27">
        <f t="shared" si="7"/>
        <v>0</v>
      </c>
      <c r="O11" s="27">
        <f t="shared" si="7"/>
        <v>0</v>
      </c>
      <c r="P11" s="27">
        <f t="shared" si="7"/>
        <v>0</v>
      </c>
      <c r="Q11" s="27">
        <f t="shared" si="7"/>
        <v>0</v>
      </c>
      <c r="R11" s="27">
        <f t="shared" si="7"/>
        <v>0</v>
      </c>
      <c r="S11" s="27">
        <f t="shared" si="7"/>
        <v>0</v>
      </c>
      <c r="T11" s="164">
        <f t="shared" si="7"/>
        <v>10</v>
      </c>
      <c r="U11" s="164">
        <f t="shared" si="7"/>
        <v>160</v>
      </c>
    </row>
    <row r="12" spans="2:33">
      <c r="B12" s="490" t="s">
        <v>585</v>
      </c>
      <c r="C12" s="493">
        <f>T16</f>
        <v>11</v>
      </c>
      <c r="D12" s="191" t="s">
        <v>642</v>
      </c>
      <c r="E12" s="192" t="s">
        <v>643</v>
      </c>
      <c r="F12" s="192">
        <v>40</v>
      </c>
      <c r="G12" s="192">
        <v>3</v>
      </c>
      <c r="H12" s="153"/>
      <c r="I12" s="153">
        <f t="shared" ref="I12:I15" si="8">H12*16</f>
        <v>0</v>
      </c>
      <c r="J12" s="153"/>
      <c r="K12" s="153">
        <f>J12*16</f>
        <v>0</v>
      </c>
      <c r="L12" s="153">
        <v>3</v>
      </c>
      <c r="M12" s="153">
        <f>L12*16</f>
        <v>48</v>
      </c>
      <c r="N12" s="153"/>
      <c r="O12" s="153">
        <f t="shared" ref="O12:O15" si="9">N12*16</f>
        <v>0</v>
      </c>
      <c r="P12" s="153"/>
      <c r="Q12" s="153">
        <f>P12*16</f>
        <v>0</v>
      </c>
      <c r="R12" s="153"/>
      <c r="S12" s="153">
        <f>R12*16</f>
        <v>0</v>
      </c>
      <c r="T12" s="154">
        <f>SUM(H12,J12,L12,N12,P12,R12)</f>
        <v>3</v>
      </c>
      <c r="U12" s="155">
        <f>SUM(I12,K12,M12,O12,Q12,S12)</f>
        <v>48</v>
      </c>
      <c r="W12" s="30"/>
    </row>
    <row r="13" spans="2:33">
      <c r="B13" s="491"/>
      <c r="C13" s="494"/>
      <c r="D13" s="193" t="s">
        <v>587</v>
      </c>
      <c r="E13" s="187" t="s">
        <v>589</v>
      </c>
      <c r="F13" s="186">
        <v>50</v>
      </c>
      <c r="G13" s="186">
        <v>2</v>
      </c>
      <c r="H13" s="158"/>
      <c r="I13" s="158">
        <f t="shared" si="8"/>
        <v>0</v>
      </c>
      <c r="J13" s="158"/>
      <c r="K13" s="158">
        <f t="shared" ref="K13" si="10">J13*16</f>
        <v>0</v>
      </c>
      <c r="L13" s="158">
        <v>3</v>
      </c>
      <c r="M13" s="158">
        <f t="shared" ref="M13" si="11">L13*16</f>
        <v>48</v>
      </c>
      <c r="N13" s="158"/>
      <c r="O13" s="158">
        <f t="shared" si="9"/>
        <v>0</v>
      </c>
      <c r="P13" s="158"/>
      <c r="Q13" s="158">
        <f t="shared" ref="Q13" si="12">P13*16</f>
        <v>0</v>
      </c>
      <c r="R13" s="158"/>
      <c r="S13" s="158">
        <f t="shared" ref="S13" si="13">R13*16</f>
        <v>0</v>
      </c>
      <c r="T13" s="159">
        <f t="shared" ref="T13:U14" si="14">SUM(H13,J13,L13,N13,P13,R13)</f>
        <v>3</v>
      </c>
      <c r="U13" s="160">
        <f t="shared" si="14"/>
        <v>48</v>
      </c>
    </row>
    <row r="14" spans="2:33">
      <c r="B14" s="491"/>
      <c r="C14" s="494"/>
      <c r="D14" s="190" t="s">
        <v>588</v>
      </c>
      <c r="E14" s="187" t="s">
        <v>590</v>
      </c>
      <c r="F14" s="187">
        <v>50</v>
      </c>
      <c r="G14" s="187">
        <v>3</v>
      </c>
      <c r="H14" s="161"/>
      <c r="I14" s="161"/>
      <c r="J14" s="161"/>
      <c r="K14" s="161"/>
      <c r="L14" s="161"/>
      <c r="M14" s="161"/>
      <c r="N14" s="161">
        <v>3</v>
      </c>
      <c r="O14" s="161">
        <f>N14*16</f>
        <v>48</v>
      </c>
      <c r="P14" s="161"/>
      <c r="Q14" s="161"/>
      <c r="R14" s="161"/>
      <c r="S14" s="161"/>
      <c r="T14" s="159">
        <f t="shared" si="14"/>
        <v>3</v>
      </c>
      <c r="U14" s="160">
        <f t="shared" si="14"/>
        <v>48</v>
      </c>
    </row>
    <row r="15" spans="2:33">
      <c r="B15" s="491"/>
      <c r="C15" s="494"/>
      <c r="D15" s="193" t="s">
        <v>644</v>
      </c>
      <c r="E15" s="187" t="s">
        <v>645</v>
      </c>
      <c r="F15" s="186">
        <v>20</v>
      </c>
      <c r="G15" s="186">
        <v>2</v>
      </c>
      <c r="H15" s="161"/>
      <c r="I15" s="161">
        <f t="shared" si="8"/>
        <v>0</v>
      </c>
      <c r="J15" s="161"/>
      <c r="K15" s="161">
        <f>J15*16</f>
        <v>0</v>
      </c>
      <c r="L15" s="161"/>
      <c r="M15" s="161">
        <f>L15*16</f>
        <v>0</v>
      </c>
      <c r="N15" s="161">
        <v>2</v>
      </c>
      <c r="O15" s="161">
        <f t="shared" si="9"/>
        <v>32</v>
      </c>
      <c r="P15" s="161"/>
      <c r="Q15" s="161">
        <f>P15*16</f>
        <v>0</v>
      </c>
      <c r="R15" s="161"/>
      <c r="S15" s="161">
        <f>R15*16</f>
        <v>0</v>
      </c>
      <c r="T15" s="162">
        <f>SUM(H15,J15,L15,N15,P15,R15)</f>
        <v>2</v>
      </c>
      <c r="U15" s="163">
        <f>SUM(I15,K15,M15,O15,Q15,S15)</f>
        <v>32</v>
      </c>
    </row>
    <row r="16" spans="2:33" ht="17.25" thickBot="1">
      <c r="B16" s="492"/>
      <c r="C16" s="495"/>
      <c r="D16" s="496" t="s">
        <v>16</v>
      </c>
      <c r="E16" s="496"/>
      <c r="F16" s="177"/>
      <c r="G16" s="177"/>
      <c r="H16" s="27">
        <f>SUM(H15:H15)</f>
        <v>0</v>
      </c>
      <c r="I16" s="27">
        <f>SUM(I15:I15)</f>
        <v>0</v>
      </c>
      <c r="J16" s="27">
        <f>SUM(J15:J15)</f>
        <v>0</v>
      </c>
      <c r="K16" s="27">
        <f>SUM(K15:K15)</f>
        <v>0</v>
      </c>
      <c r="L16" s="27">
        <f t="shared" ref="L16:U16" si="15">SUM(L12:L15)</f>
        <v>6</v>
      </c>
      <c r="M16" s="27">
        <f t="shared" si="15"/>
        <v>96</v>
      </c>
      <c r="N16" s="27">
        <f t="shared" si="15"/>
        <v>5</v>
      </c>
      <c r="O16" s="27">
        <f t="shared" si="15"/>
        <v>80</v>
      </c>
      <c r="P16" s="27">
        <f t="shared" si="15"/>
        <v>0</v>
      </c>
      <c r="Q16" s="27">
        <f t="shared" si="15"/>
        <v>0</v>
      </c>
      <c r="R16" s="27">
        <f t="shared" si="15"/>
        <v>0</v>
      </c>
      <c r="S16" s="27">
        <f t="shared" si="15"/>
        <v>0</v>
      </c>
      <c r="T16" s="164">
        <f t="shared" si="15"/>
        <v>11</v>
      </c>
      <c r="U16" s="164">
        <f t="shared" si="15"/>
        <v>176</v>
      </c>
    </row>
    <row r="17" spans="2:21">
      <c r="B17" s="490" t="s">
        <v>641</v>
      </c>
      <c r="C17" s="493">
        <f>T19</f>
        <v>6</v>
      </c>
      <c r="D17" s="191" t="s">
        <v>646</v>
      </c>
      <c r="E17" s="192" t="s">
        <v>647</v>
      </c>
      <c r="F17" s="192">
        <v>56</v>
      </c>
      <c r="G17" s="192">
        <v>2</v>
      </c>
      <c r="H17" s="153"/>
      <c r="I17" s="153">
        <f t="shared" ref="I17:I18" si="16">H17*16</f>
        <v>0</v>
      </c>
      <c r="J17" s="153"/>
      <c r="K17" s="153">
        <f>J17*16</f>
        <v>0</v>
      </c>
      <c r="L17" s="153">
        <v>3</v>
      </c>
      <c r="M17" s="153">
        <f>L17*16</f>
        <v>48</v>
      </c>
      <c r="N17" s="153"/>
      <c r="O17" s="153">
        <f t="shared" ref="O17:O18" si="17">N17*16</f>
        <v>0</v>
      </c>
      <c r="P17" s="153"/>
      <c r="Q17" s="153">
        <f>P17*16</f>
        <v>0</v>
      </c>
      <c r="R17" s="153"/>
      <c r="S17" s="153">
        <f>R17*16</f>
        <v>0</v>
      </c>
      <c r="T17" s="154">
        <f>SUM(H17,J17,L17,N17,P17,R17)</f>
        <v>3</v>
      </c>
      <c r="U17" s="155">
        <f>SUM(I17,K17,M17,O17,Q17,S17)</f>
        <v>48</v>
      </c>
    </row>
    <row r="18" spans="2:21">
      <c r="B18" s="491"/>
      <c r="C18" s="494"/>
      <c r="D18" s="190" t="s">
        <v>648</v>
      </c>
      <c r="E18" s="186" t="s">
        <v>649</v>
      </c>
      <c r="F18" s="187">
        <v>64</v>
      </c>
      <c r="G18" s="187">
        <v>2</v>
      </c>
      <c r="H18" s="158"/>
      <c r="I18" s="158">
        <f t="shared" si="16"/>
        <v>0</v>
      </c>
      <c r="J18" s="158"/>
      <c r="K18" s="158">
        <f t="shared" ref="K18" si="18">J18*16</f>
        <v>0</v>
      </c>
      <c r="L18" s="158">
        <v>3</v>
      </c>
      <c r="M18" s="158">
        <f t="shared" ref="M18" si="19">L18*16</f>
        <v>48</v>
      </c>
      <c r="N18" s="158"/>
      <c r="O18" s="158">
        <f t="shared" si="17"/>
        <v>0</v>
      </c>
      <c r="P18" s="158"/>
      <c r="Q18" s="158">
        <f t="shared" ref="Q18" si="20">P18*16</f>
        <v>0</v>
      </c>
      <c r="R18" s="158"/>
      <c r="S18" s="158">
        <f t="shared" ref="S18" si="21">R18*16</f>
        <v>0</v>
      </c>
      <c r="T18" s="159">
        <f t="shared" ref="T18:U18" si="22">SUM(H18,J18,L18,N18,P18,R18)</f>
        <v>3</v>
      </c>
      <c r="U18" s="160">
        <f t="shared" si="22"/>
        <v>48</v>
      </c>
    </row>
    <row r="19" spans="2:21" ht="17.25" thickBot="1">
      <c r="B19" s="492"/>
      <c r="C19" s="495"/>
      <c r="D19" s="496" t="s">
        <v>16</v>
      </c>
      <c r="E19" s="496"/>
      <c r="F19" s="177"/>
      <c r="G19" s="177"/>
      <c r="H19" s="27"/>
      <c r="I19" s="27"/>
      <c r="J19" s="27"/>
      <c r="K19" s="27"/>
      <c r="L19" s="27">
        <f t="shared" ref="L19:U19" si="23">SUM(L17:L18)</f>
        <v>6</v>
      </c>
      <c r="M19" s="27">
        <f t="shared" si="23"/>
        <v>96</v>
      </c>
      <c r="N19" s="27">
        <f t="shared" si="23"/>
        <v>0</v>
      </c>
      <c r="O19" s="27">
        <f t="shared" si="23"/>
        <v>0</v>
      </c>
      <c r="P19" s="27">
        <f t="shared" si="23"/>
        <v>0</v>
      </c>
      <c r="Q19" s="27">
        <f t="shared" si="23"/>
        <v>0</v>
      </c>
      <c r="R19" s="27">
        <f t="shared" si="23"/>
        <v>0</v>
      </c>
      <c r="S19" s="27">
        <f t="shared" si="23"/>
        <v>0</v>
      </c>
      <c r="T19" s="164">
        <f t="shared" si="23"/>
        <v>6</v>
      </c>
      <c r="U19" s="164">
        <f t="shared" si="23"/>
        <v>96</v>
      </c>
    </row>
    <row r="20" spans="2:21">
      <c r="B20" s="534" t="s">
        <v>650</v>
      </c>
      <c r="C20" s="493">
        <f>T23</f>
        <v>6</v>
      </c>
      <c r="D20" s="191" t="s">
        <v>651</v>
      </c>
      <c r="E20" s="192" t="s">
        <v>652</v>
      </c>
      <c r="F20" s="192">
        <v>15</v>
      </c>
      <c r="G20" s="192">
        <v>2</v>
      </c>
      <c r="H20" s="153"/>
      <c r="I20" s="153">
        <f t="shared" ref="I20:I22" si="24">H20*16</f>
        <v>0</v>
      </c>
      <c r="J20" s="153"/>
      <c r="K20" s="153">
        <f>J20*16</f>
        <v>0</v>
      </c>
      <c r="L20" s="153"/>
      <c r="M20" s="153">
        <f>L20*16</f>
        <v>0</v>
      </c>
      <c r="N20" s="153">
        <v>2</v>
      </c>
      <c r="O20" s="153">
        <f t="shared" ref="O20:O22" si="25">N20*16</f>
        <v>32</v>
      </c>
      <c r="P20" s="153"/>
      <c r="Q20" s="153">
        <f>P20*16</f>
        <v>0</v>
      </c>
      <c r="R20" s="153"/>
      <c r="S20" s="153">
        <f>R20*16</f>
        <v>0</v>
      </c>
      <c r="T20" s="154">
        <f>SUM(H20,J20,L20,N20,P20,R20)</f>
        <v>2</v>
      </c>
      <c r="U20" s="155">
        <f>SUM(I20,K20,M20,O20,Q20,S20)</f>
        <v>32</v>
      </c>
    </row>
    <row r="21" spans="2:21">
      <c r="B21" s="535"/>
      <c r="C21" s="494"/>
      <c r="D21" s="190" t="s">
        <v>653</v>
      </c>
      <c r="E21" s="186" t="s">
        <v>654</v>
      </c>
      <c r="F21" s="187">
        <v>30</v>
      </c>
      <c r="G21" s="187">
        <v>3</v>
      </c>
      <c r="H21" s="158"/>
      <c r="I21" s="158">
        <f t="shared" si="24"/>
        <v>0</v>
      </c>
      <c r="J21" s="158"/>
      <c r="K21" s="158">
        <f t="shared" ref="K21" si="26">J21*16</f>
        <v>0</v>
      </c>
      <c r="L21" s="158"/>
      <c r="M21" s="158">
        <f t="shared" ref="M21" si="27">L21*16</f>
        <v>0</v>
      </c>
      <c r="N21" s="158">
        <v>3</v>
      </c>
      <c r="O21" s="158">
        <f t="shared" si="25"/>
        <v>48</v>
      </c>
      <c r="P21" s="158"/>
      <c r="Q21" s="158">
        <f t="shared" ref="Q21" si="28">P21*16</f>
        <v>0</v>
      </c>
      <c r="R21" s="158"/>
      <c r="S21" s="158">
        <f t="shared" ref="S21" si="29">R21*16</f>
        <v>0</v>
      </c>
      <c r="T21" s="159">
        <f t="shared" ref="T21:U21" si="30">SUM(H21,J21,L21,N21,P21,R21)</f>
        <v>3</v>
      </c>
      <c r="U21" s="160">
        <f t="shared" si="30"/>
        <v>48</v>
      </c>
    </row>
    <row r="22" spans="2:21">
      <c r="B22" s="535"/>
      <c r="C22" s="494"/>
      <c r="D22" s="193" t="s">
        <v>655</v>
      </c>
      <c r="E22" s="187" t="s">
        <v>656</v>
      </c>
      <c r="F22" s="186">
        <v>30</v>
      </c>
      <c r="G22" s="186">
        <v>2</v>
      </c>
      <c r="H22" s="161"/>
      <c r="I22" s="161">
        <f t="shared" si="24"/>
        <v>0</v>
      </c>
      <c r="J22" s="161"/>
      <c r="K22" s="161">
        <f>J22*16</f>
        <v>0</v>
      </c>
      <c r="L22" s="161"/>
      <c r="M22" s="161">
        <f>L22*16</f>
        <v>0</v>
      </c>
      <c r="N22" s="161">
        <v>1</v>
      </c>
      <c r="O22" s="161">
        <f t="shared" si="25"/>
        <v>16</v>
      </c>
      <c r="P22" s="161">
        <v>0</v>
      </c>
      <c r="Q22" s="161">
        <f>P22*16</f>
        <v>0</v>
      </c>
      <c r="R22" s="161"/>
      <c r="S22" s="161">
        <f>R22*16</f>
        <v>0</v>
      </c>
      <c r="T22" s="159">
        <f t="shared" ref="T22:U22" si="31">SUM(H22,J22,L22,N22,P22,R22)</f>
        <v>1</v>
      </c>
      <c r="U22" s="160">
        <f t="shared" si="31"/>
        <v>16</v>
      </c>
    </row>
    <row r="23" spans="2:21" ht="17.25" thickBot="1">
      <c r="B23" s="536"/>
      <c r="C23" s="495"/>
      <c r="D23" s="496" t="s">
        <v>16</v>
      </c>
      <c r="E23" s="496"/>
      <c r="F23" s="177"/>
      <c r="G23" s="177"/>
      <c r="H23" s="27">
        <f>SUM(H22:H22)</f>
        <v>0</v>
      </c>
      <c r="I23" s="27">
        <f>SUM(I22:I22)</f>
        <v>0</v>
      </c>
      <c r="J23" s="27">
        <f>SUM(J22:J22)</f>
        <v>0</v>
      </c>
      <c r="K23" s="27">
        <f>SUM(K22:K22)</f>
        <v>0</v>
      </c>
      <c r="L23" s="27">
        <f t="shared" ref="L23:U23" si="32">SUM(L20:L22)</f>
        <v>0</v>
      </c>
      <c r="M23" s="27">
        <f t="shared" si="32"/>
        <v>0</v>
      </c>
      <c r="N23" s="27">
        <f t="shared" si="32"/>
        <v>6</v>
      </c>
      <c r="O23" s="27">
        <f t="shared" si="32"/>
        <v>96</v>
      </c>
      <c r="P23" s="27">
        <f t="shared" si="32"/>
        <v>0</v>
      </c>
      <c r="Q23" s="27">
        <f t="shared" si="32"/>
        <v>0</v>
      </c>
      <c r="R23" s="27">
        <f t="shared" si="32"/>
        <v>0</v>
      </c>
      <c r="S23" s="27">
        <f t="shared" si="32"/>
        <v>0</v>
      </c>
      <c r="T23" s="164">
        <f t="shared" si="32"/>
        <v>6</v>
      </c>
      <c r="U23" s="164">
        <f t="shared" si="32"/>
        <v>96</v>
      </c>
    </row>
    <row r="24" spans="2:21">
      <c r="B24" s="490" t="s">
        <v>658</v>
      </c>
      <c r="C24" s="493">
        <f>T26</f>
        <v>3</v>
      </c>
      <c r="D24" s="191" t="s">
        <v>755</v>
      </c>
      <c r="E24" s="191" t="s">
        <v>657</v>
      </c>
      <c r="F24" s="192">
        <v>30</v>
      </c>
      <c r="G24" s="192">
        <v>3</v>
      </c>
      <c r="H24" s="219"/>
      <c r="I24" s="219">
        <f t="shared" ref="I24:I25" si="33">H24*16</f>
        <v>0</v>
      </c>
      <c r="J24" s="219"/>
      <c r="K24" s="219">
        <f>J24*16</f>
        <v>0</v>
      </c>
      <c r="L24" s="153"/>
      <c r="M24" s="153">
        <f>L24*16</f>
        <v>0</v>
      </c>
      <c r="N24" s="153">
        <v>1</v>
      </c>
      <c r="O24" s="153">
        <f t="shared" ref="O24:O25" si="34">N24*16</f>
        <v>16</v>
      </c>
      <c r="P24" s="153"/>
      <c r="Q24" s="153">
        <f>P24*16</f>
        <v>0</v>
      </c>
      <c r="R24" s="153"/>
      <c r="S24" s="153">
        <f>R24*16</f>
        <v>0</v>
      </c>
      <c r="T24" s="154">
        <f>SUM(H24,J24,L24,N24,P24,R24)</f>
        <v>1</v>
      </c>
      <c r="U24" s="155">
        <f>SUM(I24,K24,M24,O24,Q24,S24)</f>
        <v>16</v>
      </c>
    </row>
    <row r="25" spans="2:21">
      <c r="B25" s="491"/>
      <c r="C25" s="494"/>
      <c r="D25" s="186" t="s">
        <v>752</v>
      </c>
      <c r="E25" s="186" t="s">
        <v>753</v>
      </c>
      <c r="F25" s="247">
        <v>50</v>
      </c>
      <c r="G25" s="247">
        <v>3</v>
      </c>
      <c r="H25" s="220"/>
      <c r="I25" s="220">
        <f t="shared" si="33"/>
        <v>0</v>
      </c>
      <c r="J25" s="220"/>
      <c r="K25" s="220">
        <f t="shared" ref="K25" si="35">J25*16</f>
        <v>0</v>
      </c>
      <c r="L25" s="158"/>
      <c r="M25" s="158">
        <f t="shared" ref="M25" si="36">L25*16</f>
        <v>0</v>
      </c>
      <c r="N25" s="158">
        <v>2</v>
      </c>
      <c r="O25" s="158">
        <f t="shared" si="34"/>
        <v>32</v>
      </c>
      <c r="P25" s="158"/>
      <c r="Q25" s="158">
        <f t="shared" ref="Q25" si="37">P25*16</f>
        <v>0</v>
      </c>
      <c r="R25" s="158"/>
      <c r="S25" s="158">
        <f t="shared" ref="S25" si="38">R25*16</f>
        <v>0</v>
      </c>
      <c r="T25" s="159">
        <f t="shared" ref="T25:U25" si="39">SUM(H25,J25,L25,N25,P25,R25)</f>
        <v>2</v>
      </c>
      <c r="U25" s="160">
        <f t="shared" si="39"/>
        <v>32</v>
      </c>
    </row>
    <row r="26" spans="2:21" ht="17.25" thickBot="1">
      <c r="B26" s="492"/>
      <c r="C26" s="495"/>
      <c r="D26" s="496" t="s">
        <v>16</v>
      </c>
      <c r="E26" s="496"/>
      <c r="F26" s="223"/>
      <c r="G26" s="223"/>
      <c r="H26" s="221"/>
      <c r="I26" s="221"/>
      <c r="J26" s="221"/>
      <c r="K26" s="221"/>
      <c r="L26" s="27">
        <f t="shared" ref="L26:U26" si="40">SUM(L24:L25)</f>
        <v>0</v>
      </c>
      <c r="M26" s="27">
        <f t="shared" si="40"/>
        <v>0</v>
      </c>
      <c r="N26" s="27">
        <f t="shared" si="40"/>
        <v>3</v>
      </c>
      <c r="O26" s="27">
        <f t="shared" si="40"/>
        <v>48</v>
      </c>
      <c r="P26" s="27">
        <f t="shared" si="40"/>
        <v>0</v>
      </c>
      <c r="Q26" s="27">
        <f t="shared" si="40"/>
        <v>0</v>
      </c>
      <c r="R26" s="27">
        <f t="shared" si="40"/>
        <v>0</v>
      </c>
      <c r="S26" s="27">
        <f t="shared" si="40"/>
        <v>0</v>
      </c>
      <c r="T26" s="164">
        <f t="shared" si="40"/>
        <v>3</v>
      </c>
      <c r="U26" s="164">
        <f t="shared" si="40"/>
        <v>48</v>
      </c>
    </row>
    <row r="27" spans="2:21">
      <c r="B27" s="490" t="s">
        <v>591</v>
      </c>
      <c r="C27" s="493">
        <f>T29</f>
        <v>4</v>
      </c>
      <c r="D27" s="191" t="s">
        <v>567</v>
      </c>
      <c r="E27" s="224" t="s">
        <v>568</v>
      </c>
      <c r="F27" s="225">
        <v>60</v>
      </c>
      <c r="G27" s="225">
        <v>2</v>
      </c>
      <c r="H27" s="153"/>
      <c r="I27" s="153">
        <f t="shared" ref="I27:I28" si="41">H27*16</f>
        <v>0</v>
      </c>
      <c r="J27" s="153"/>
      <c r="K27" s="153">
        <f>J27*16</f>
        <v>0</v>
      </c>
      <c r="L27" s="153">
        <v>2</v>
      </c>
      <c r="M27" s="153">
        <f>L27*16</f>
        <v>32</v>
      </c>
      <c r="N27" s="153"/>
      <c r="O27" s="153">
        <f t="shared" ref="O27:O28" si="42">N27*16</f>
        <v>0</v>
      </c>
      <c r="P27" s="153"/>
      <c r="Q27" s="153">
        <f>P27*16</f>
        <v>0</v>
      </c>
      <c r="R27" s="153"/>
      <c r="S27" s="153">
        <f>R27*16</f>
        <v>0</v>
      </c>
      <c r="T27" s="154">
        <f>SUM(H27,J27,L27,N27,P27,R27)</f>
        <v>2</v>
      </c>
      <c r="U27" s="155">
        <f>SUM(I27,K27,M27,O27,Q27,S27)</f>
        <v>32</v>
      </c>
    </row>
    <row r="28" spans="2:21">
      <c r="B28" s="491"/>
      <c r="C28" s="494"/>
      <c r="D28" s="190" t="s">
        <v>688</v>
      </c>
      <c r="E28" s="226" t="s">
        <v>689</v>
      </c>
      <c r="F28" s="227">
        <v>60</v>
      </c>
      <c r="G28" s="227">
        <v>3</v>
      </c>
      <c r="H28" s="158"/>
      <c r="I28" s="158">
        <f t="shared" si="41"/>
        <v>0</v>
      </c>
      <c r="J28" s="158"/>
      <c r="K28" s="158">
        <f t="shared" ref="K28" si="43">J28*16</f>
        <v>0</v>
      </c>
      <c r="L28" s="158"/>
      <c r="M28" s="158">
        <f t="shared" ref="M28" si="44">L28*16</f>
        <v>0</v>
      </c>
      <c r="N28" s="158">
        <v>2</v>
      </c>
      <c r="O28" s="158">
        <f t="shared" si="42"/>
        <v>32</v>
      </c>
      <c r="P28" s="158"/>
      <c r="Q28" s="158">
        <f t="shared" ref="Q28" si="45">P28*16</f>
        <v>0</v>
      </c>
      <c r="R28" s="158"/>
      <c r="S28" s="158">
        <f t="shared" ref="S28" si="46">R28*16</f>
        <v>0</v>
      </c>
      <c r="T28" s="159">
        <f t="shared" ref="T28:U28" si="47">SUM(H28,J28,L28,N28,P28,R28)</f>
        <v>2</v>
      </c>
      <c r="U28" s="160">
        <f t="shared" si="47"/>
        <v>32</v>
      </c>
    </row>
    <row r="29" spans="2:21" ht="17.25" thickBot="1">
      <c r="B29" s="492"/>
      <c r="C29" s="495"/>
      <c r="D29" s="537" t="s">
        <v>16</v>
      </c>
      <c r="E29" s="538"/>
      <c r="F29" s="177"/>
      <c r="G29" s="177"/>
      <c r="H29" s="27"/>
      <c r="I29" s="27"/>
      <c r="J29" s="27"/>
      <c r="K29" s="27"/>
      <c r="L29" s="27">
        <f t="shared" ref="L29:U29" si="48">SUM(L27:L28)</f>
        <v>2</v>
      </c>
      <c r="M29" s="27">
        <f t="shared" si="48"/>
        <v>32</v>
      </c>
      <c r="N29" s="27">
        <f t="shared" si="48"/>
        <v>2</v>
      </c>
      <c r="O29" s="27">
        <f t="shared" si="48"/>
        <v>32</v>
      </c>
      <c r="P29" s="27">
        <f t="shared" si="48"/>
        <v>0</v>
      </c>
      <c r="Q29" s="27">
        <f t="shared" si="48"/>
        <v>0</v>
      </c>
      <c r="R29" s="27">
        <f t="shared" si="48"/>
        <v>0</v>
      </c>
      <c r="S29" s="27">
        <f t="shared" si="48"/>
        <v>0</v>
      </c>
      <c r="T29" s="164">
        <f t="shared" si="48"/>
        <v>4</v>
      </c>
      <c r="U29" s="164">
        <f t="shared" si="48"/>
        <v>64</v>
      </c>
    </row>
    <row r="30" spans="2:21">
      <c r="B30" s="490" t="s">
        <v>530</v>
      </c>
      <c r="C30" s="493">
        <f>T32</f>
        <v>4</v>
      </c>
      <c r="D30" s="192" t="s">
        <v>565</v>
      </c>
      <c r="E30" s="192" t="s">
        <v>545</v>
      </c>
      <c r="F30" s="192">
        <v>20</v>
      </c>
      <c r="G30" s="192">
        <v>2</v>
      </c>
      <c r="H30" s="153"/>
      <c r="I30" s="153">
        <f t="shared" ref="I30:I31" si="49">H30*16</f>
        <v>0</v>
      </c>
      <c r="J30" s="153"/>
      <c r="K30" s="153">
        <f>J30*16</f>
        <v>0</v>
      </c>
      <c r="L30" s="153">
        <v>2</v>
      </c>
      <c r="M30" s="153">
        <f>L30*16</f>
        <v>32</v>
      </c>
      <c r="N30" s="153"/>
      <c r="O30" s="153">
        <f t="shared" ref="O30:O31" si="50">N30*16</f>
        <v>0</v>
      </c>
      <c r="P30" s="153"/>
      <c r="Q30" s="153">
        <f>P30*16</f>
        <v>0</v>
      </c>
      <c r="R30" s="153"/>
      <c r="S30" s="153">
        <f>R30*16</f>
        <v>0</v>
      </c>
      <c r="T30" s="154">
        <f>SUM(H30,J30,L30,N30,P30,R30)</f>
        <v>2</v>
      </c>
      <c r="U30" s="155">
        <f>SUM(I30,K30,M30,O30,Q30,S30)</f>
        <v>32</v>
      </c>
    </row>
    <row r="31" spans="2:21">
      <c r="B31" s="491"/>
      <c r="C31" s="494"/>
      <c r="D31" s="187" t="s">
        <v>543</v>
      </c>
      <c r="E31" s="186" t="s">
        <v>544</v>
      </c>
      <c r="F31" s="187">
        <v>20</v>
      </c>
      <c r="G31" s="187">
        <v>2</v>
      </c>
      <c r="H31" s="158"/>
      <c r="I31" s="158">
        <f t="shared" si="49"/>
        <v>0</v>
      </c>
      <c r="J31" s="158"/>
      <c r="K31" s="158">
        <f t="shared" ref="K31" si="51">J31*16</f>
        <v>0</v>
      </c>
      <c r="L31" s="158"/>
      <c r="M31" s="158">
        <f t="shared" ref="M31" si="52">L31*16</f>
        <v>0</v>
      </c>
      <c r="N31" s="158">
        <v>2</v>
      </c>
      <c r="O31" s="158">
        <f t="shared" si="50"/>
        <v>32</v>
      </c>
      <c r="P31" s="158"/>
      <c r="Q31" s="158">
        <f t="shared" ref="Q31" si="53">P31*16</f>
        <v>0</v>
      </c>
      <c r="R31" s="158"/>
      <c r="S31" s="158">
        <f t="shared" ref="S31" si="54">R31*16</f>
        <v>0</v>
      </c>
      <c r="T31" s="159">
        <f t="shared" ref="T31:U31" si="55">SUM(H31,J31,L31,N31,P31,R31)</f>
        <v>2</v>
      </c>
      <c r="U31" s="160">
        <f t="shared" si="55"/>
        <v>32</v>
      </c>
    </row>
    <row r="32" spans="2:21" ht="17.25" thickBot="1">
      <c r="B32" s="492"/>
      <c r="C32" s="495"/>
      <c r="D32" s="537" t="s">
        <v>16</v>
      </c>
      <c r="E32" s="538"/>
      <c r="F32" s="232"/>
      <c r="G32" s="232"/>
      <c r="H32" s="27"/>
      <c r="I32" s="27"/>
      <c r="J32" s="27"/>
      <c r="K32" s="27"/>
      <c r="L32" s="27">
        <f t="shared" ref="L32:U32" si="56">SUM(L30:L31)</f>
        <v>2</v>
      </c>
      <c r="M32" s="27">
        <f t="shared" si="56"/>
        <v>32</v>
      </c>
      <c r="N32" s="27">
        <f t="shared" si="56"/>
        <v>2</v>
      </c>
      <c r="O32" s="27">
        <f t="shared" si="56"/>
        <v>32</v>
      </c>
      <c r="P32" s="27">
        <f t="shared" si="56"/>
        <v>0</v>
      </c>
      <c r="Q32" s="27">
        <f t="shared" si="56"/>
        <v>0</v>
      </c>
      <c r="R32" s="27">
        <f t="shared" si="56"/>
        <v>0</v>
      </c>
      <c r="S32" s="27">
        <f t="shared" si="56"/>
        <v>0</v>
      </c>
      <c r="T32" s="164">
        <f t="shared" si="56"/>
        <v>4</v>
      </c>
      <c r="U32" s="164">
        <f t="shared" si="56"/>
        <v>64</v>
      </c>
    </row>
    <row r="33" spans="2:21">
      <c r="B33" s="490" t="s">
        <v>705</v>
      </c>
      <c r="C33" s="493">
        <f>T37</f>
        <v>13</v>
      </c>
      <c r="D33" s="246" t="s">
        <v>742</v>
      </c>
      <c r="E33" s="194" t="s">
        <v>743</v>
      </c>
      <c r="F33" s="193">
        <v>40</v>
      </c>
      <c r="G33" s="193">
        <v>2</v>
      </c>
      <c r="H33" s="153"/>
      <c r="I33" s="153">
        <f t="shared" ref="I33:I36" si="57">H33*16</f>
        <v>0</v>
      </c>
      <c r="J33" s="153"/>
      <c r="K33" s="153">
        <f>J33*16</f>
        <v>0</v>
      </c>
      <c r="L33" s="153"/>
      <c r="M33" s="153">
        <f>L33*16</f>
        <v>0</v>
      </c>
      <c r="N33" s="153"/>
      <c r="O33" s="153">
        <f t="shared" ref="O33:O36" si="58">N33*16</f>
        <v>0</v>
      </c>
      <c r="P33" s="153">
        <v>2</v>
      </c>
      <c r="Q33" s="153">
        <f>P33*16</f>
        <v>32</v>
      </c>
      <c r="R33" s="153"/>
      <c r="S33" s="153">
        <f>R33*16</f>
        <v>0</v>
      </c>
      <c r="T33" s="154">
        <f>SUM(H33,J33,L33,N33,P33,R33)</f>
        <v>2</v>
      </c>
      <c r="U33" s="155">
        <f>SUM(I33,K33,M33,O33,Q33,S33)</f>
        <v>32</v>
      </c>
    </row>
    <row r="34" spans="2:21">
      <c r="B34" s="491"/>
      <c r="C34" s="494"/>
      <c r="D34" s="187" t="s">
        <v>744</v>
      </c>
      <c r="E34" s="195" t="s">
        <v>745</v>
      </c>
      <c r="F34" s="193">
        <v>40</v>
      </c>
      <c r="G34" s="193">
        <v>2</v>
      </c>
      <c r="H34" s="158"/>
      <c r="I34" s="158">
        <f t="shared" si="57"/>
        <v>0</v>
      </c>
      <c r="J34" s="158"/>
      <c r="K34" s="158">
        <f t="shared" ref="K34" si="59">J34*16</f>
        <v>0</v>
      </c>
      <c r="L34" s="158"/>
      <c r="M34" s="158">
        <f t="shared" ref="M34" si="60">L34*16</f>
        <v>0</v>
      </c>
      <c r="N34" s="158"/>
      <c r="O34" s="158">
        <f t="shared" si="58"/>
        <v>0</v>
      </c>
      <c r="P34" s="158">
        <v>3</v>
      </c>
      <c r="Q34" s="158">
        <f t="shared" ref="Q34" si="61">P34*16</f>
        <v>48</v>
      </c>
      <c r="R34" s="158"/>
      <c r="S34" s="158">
        <f t="shared" ref="S34" si="62">R34*16</f>
        <v>0</v>
      </c>
      <c r="T34" s="159">
        <f t="shared" ref="T34:U34" si="63">SUM(H34,J34,L34,N34,P34,R34)</f>
        <v>3</v>
      </c>
      <c r="U34" s="160">
        <f t="shared" si="63"/>
        <v>48</v>
      </c>
    </row>
    <row r="35" spans="2:21">
      <c r="B35" s="491"/>
      <c r="C35" s="494"/>
      <c r="D35" s="245" t="s">
        <v>746</v>
      </c>
      <c r="E35" s="245" t="s">
        <v>747</v>
      </c>
      <c r="F35" s="193">
        <v>40</v>
      </c>
      <c r="G35" s="193">
        <v>3</v>
      </c>
      <c r="H35" s="161"/>
      <c r="I35" s="161">
        <f t="shared" si="57"/>
        <v>0</v>
      </c>
      <c r="J35" s="161"/>
      <c r="K35" s="161">
        <f>J35*16</f>
        <v>0</v>
      </c>
      <c r="L35" s="161"/>
      <c r="M35" s="161">
        <f>L35*16</f>
        <v>0</v>
      </c>
      <c r="N35" s="161"/>
      <c r="O35" s="161">
        <f t="shared" si="58"/>
        <v>0</v>
      </c>
      <c r="P35" s="161"/>
      <c r="Q35" s="161">
        <f>P35*16</f>
        <v>0</v>
      </c>
      <c r="R35" s="161">
        <v>4</v>
      </c>
      <c r="S35" s="161">
        <f>R35*16</f>
        <v>64</v>
      </c>
      <c r="T35" s="162">
        <f>SUM(H35,J35,L35,N35,P35,R35)</f>
        <v>4</v>
      </c>
      <c r="U35" s="163">
        <f>SUM(I35,K35,M35,O35,Q35,S35)</f>
        <v>64</v>
      </c>
    </row>
    <row r="36" spans="2:21">
      <c r="B36" s="491"/>
      <c r="C36" s="494"/>
      <c r="D36" s="193" t="s">
        <v>749</v>
      </c>
      <c r="E36" s="193" t="s">
        <v>748</v>
      </c>
      <c r="F36" s="193">
        <v>40</v>
      </c>
      <c r="G36" s="193">
        <v>3</v>
      </c>
      <c r="H36" s="161"/>
      <c r="I36" s="161">
        <f t="shared" si="57"/>
        <v>0</v>
      </c>
      <c r="J36" s="161"/>
      <c r="K36" s="161">
        <f>J36*16</f>
        <v>0</v>
      </c>
      <c r="L36" s="161"/>
      <c r="M36" s="161">
        <f>L36*16</f>
        <v>0</v>
      </c>
      <c r="N36" s="161"/>
      <c r="O36" s="161">
        <f t="shared" si="58"/>
        <v>0</v>
      </c>
      <c r="P36" s="161"/>
      <c r="Q36" s="161">
        <f>P36*16</f>
        <v>0</v>
      </c>
      <c r="R36" s="161">
        <v>4</v>
      </c>
      <c r="S36" s="161">
        <f>R36*16</f>
        <v>64</v>
      </c>
      <c r="T36" s="162">
        <f t="shared" ref="T36:U36" si="64">SUM(H36,J36,L36,N36,P36,R36)</f>
        <v>4</v>
      </c>
      <c r="U36" s="163">
        <f t="shared" si="64"/>
        <v>64</v>
      </c>
    </row>
    <row r="37" spans="2:21" ht="17.25" thickBot="1">
      <c r="B37" s="492"/>
      <c r="C37" s="495"/>
      <c r="D37" s="496" t="s">
        <v>16</v>
      </c>
      <c r="E37" s="496"/>
      <c r="F37" s="177"/>
      <c r="G37" s="177"/>
      <c r="H37" s="27">
        <f>SUM(H35:H36)</f>
        <v>0</v>
      </c>
      <c r="I37" s="27">
        <f>SUM(I35:I36)</f>
        <v>0</v>
      </c>
      <c r="J37" s="27">
        <f>SUM(J35:J36)</f>
        <v>0</v>
      </c>
      <c r="K37" s="27">
        <f>SUM(K35:K36)</f>
        <v>0</v>
      </c>
      <c r="L37" s="27">
        <f t="shared" ref="L37:U37" si="65">SUM(L33:L36)</f>
        <v>0</v>
      </c>
      <c r="M37" s="27">
        <f t="shared" si="65"/>
        <v>0</v>
      </c>
      <c r="N37" s="27">
        <f t="shared" si="65"/>
        <v>0</v>
      </c>
      <c r="O37" s="27">
        <f t="shared" si="65"/>
        <v>0</v>
      </c>
      <c r="P37" s="27">
        <f t="shared" si="65"/>
        <v>5</v>
      </c>
      <c r="Q37" s="27">
        <f t="shared" si="65"/>
        <v>80</v>
      </c>
      <c r="R37" s="27">
        <f t="shared" si="65"/>
        <v>8</v>
      </c>
      <c r="S37" s="27">
        <f t="shared" si="65"/>
        <v>128</v>
      </c>
      <c r="T37" s="164">
        <f t="shared" si="65"/>
        <v>13</v>
      </c>
      <c r="U37" s="164">
        <f t="shared" si="65"/>
        <v>208</v>
      </c>
    </row>
    <row r="38" spans="2:21">
      <c r="B38" s="490" t="s">
        <v>706</v>
      </c>
      <c r="C38" s="493">
        <f>T42</f>
        <v>18</v>
      </c>
      <c r="D38" s="192" t="s">
        <v>756</v>
      </c>
      <c r="E38" s="187" t="s">
        <v>739</v>
      </c>
      <c r="F38" s="192">
        <v>50</v>
      </c>
      <c r="G38" s="192">
        <v>3</v>
      </c>
      <c r="H38" s="153"/>
      <c r="I38" s="153">
        <f t="shared" ref="I38:I41" si="66">H38*16</f>
        <v>0</v>
      </c>
      <c r="J38" s="153"/>
      <c r="K38" s="153">
        <f>J38*16</f>
        <v>0</v>
      </c>
      <c r="L38" s="153"/>
      <c r="M38" s="153">
        <f>L38*16</f>
        <v>0</v>
      </c>
      <c r="N38" s="153"/>
      <c r="O38" s="153">
        <f t="shared" ref="O38:O41" si="67">N38*16</f>
        <v>0</v>
      </c>
      <c r="P38" s="153">
        <v>4</v>
      </c>
      <c r="Q38" s="153">
        <f>P38*16</f>
        <v>64</v>
      </c>
      <c r="R38" s="153"/>
      <c r="S38" s="153">
        <f>R38*16</f>
        <v>0</v>
      </c>
      <c r="T38" s="154">
        <f>SUM(H38,J38,L38,N38,P38,R38)</f>
        <v>4</v>
      </c>
      <c r="U38" s="155">
        <f>SUM(I38,K38,M38,O38,Q38,S38)</f>
        <v>64</v>
      </c>
    </row>
    <row r="39" spans="2:21">
      <c r="B39" s="491"/>
      <c r="C39" s="494"/>
      <c r="D39" s="187" t="s">
        <v>757</v>
      </c>
      <c r="E39" s="187" t="s">
        <v>751</v>
      </c>
      <c r="F39" s="187">
        <v>50</v>
      </c>
      <c r="G39" s="187">
        <v>4</v>
      </c>
      <c r="H39" s="158"/>
      <c r="I39" s="158">
        <f t="shared" si="66"/>
        <v>0</v>
      </c>
      <c r="J39" s="158"/>
      <c r="K39" s="158">
        <f t="shared" ref="K39" si="68">J39*16</f>
        <v>0</v>
      </c>
      <c r="L39" s="158"/>
      <c r="M39" s="158">
        <f t="shared" ref="M39" si="69">L39*16</f>
        <v>0</v>
      </c>
      <c r="N39" s="158"/>
      <c r="O39" s="158">
        <f t="shared" si="67"/>
        <v>0</v>
      </c>
      <c r="P39" s="158">
        <v>4</v>
      </c>
      <c r="Q39" s="158">
        <f t="shared" ref="Q39" si="70">P39*16</f>
        <v>64</v>
      </c>
      <c r="R39" s="158"/>
      <c r="S39" s="158">
        <f t="shared" ref="S39" si="71">R39*16</f>
        <v>0</v>
      </c>
      <c r="T39" s="159">
        <f t="shared" ref="T39:U39" si="72">SUM(H39,J39,L39,N39,P39,R39)</f>
        <v>4</v>
      </c>
      <c r="U39" s="160">
        <f t="shared" si="72"/>
        <v>64</v>
      </c>
    </row>
    <row r="40" spans="2:21">
      <c r="B40" s="491"/>
      <c r="C40" s="494"/>
      <c r="D40" s="193" t="s">
        <v>758</v>
      </c>
      <c r="E40" s="187" t="s">
        <v>740</v>
      </c>
      <c r="F40" s="186">
        <v>34</v>
      </c>
      <c r="G40" s="186">
        <v>3</v>
      </c>
      <c r="H40" s="161"/>
      <c r="I40" s="161">
        <f t="shared" si="66"/>
        <v>0</v>
      </c>
      <c r="J40" s="161"/>
      <c r="K40" s="161">
        <f>J40*16</f>
        <v>0</v>
      </c>
      <c r="L40" s="161"/>
      <c r="M40" s="161">
        <f>L40*16</f>
        <v>0</v>
      </c>
      <c r="N40" s="161"/>
      <c r="O40" s="161">
        <f t="shared" si="67"/>
        <v>0</v>
      </c>
      <c r="P40" s="161"/>
      <c r="Q40" s="161">
        <f>P40*16</f>
        <v>0</v>
      </c>
      <c r="R40" s="161">
        <v>4</v>
      </c>
      <c r="S40" s="161">
        <f>R40*16</f>
        <v>64</v>
      </c>
      <c r="T40" s="162">
        <f>SUM(H40,J40,L40,N40,P40,R40)</f>
        <v>4</v>
      </c>
      <c r="U40" s="163">
        <f>SUM(I40,K40,M40,O40,Q40,S40)</f>
        <v>64</v>
      </c>
    </row>
    <row r="41" spans="2:21">
      <c r="B41" s="491"/>
      <c r="C41" s="494"/>
      <c r="D41" s="193" t="s">
        <v>759</v>
      </c>
      <c r="E41" s="187" t="s">
        <v>741</v>
      </c>
      <c r="F41" s="186">
        <v>50</v>
      </c>
      <c r="G41" s="186">
        <v>3</v>
      </c>
      <c r="H41" s="161"/>
      <c r="I41" s="161">
        <f t="shared" si="66"/>
        <v>0</v>
      </c>
      <c r="J41" s="161"/>
      <c r="K41" s="161">
        <f>J41*16</f>
        <v>0</v>
      </c>
      <c r="L41" s="161"/>
      <c r="M41" s="161">
        <f>L41*16</f>
        <v>0</v>
      </c>
      <c r="N41" s="161"/>
      <c r="O41" s="161">
        <f t="shared" si="67"/>
        <v>0</v>
      </c>
      <c r="P41" s="161"/>
      <c r="Q41" s="161">
        <f>P41*16</f>
        <v>0</v>
      </c>
      <c r="R41" s="161">
        <v>6</v>
      </c>
      <c r="S41" s="161">
        <f>R41*16</f>
        <v>96</v>
      </c>
      <c r="T41" s="162">
        <f t="shared" ref="T41:U41" si="73">SUM(H41,J41,L41,N41,P41,R41)</f>
        <v>6</v>
      </c>
      <c r="U41" s="163">
        <f t="shared" si="73"/>
        <v>96</v>
      </c>
    </row>
    <row r="42" spans="2:21" ht="17.25" thickBot="1">
      <c r="B42" s="492"/>
      <c r="C42" s="495"/>
      <c r="D42" s="496" t="s">
        <v>16</v>
      </c>
      <c r="E42" s="496"/>
      <c r="F42" s="177"/>
      <c r="G42" s="177"/>
      <c r="H42" s="27">
        <f>SUM(H40:H41)</f>
        <v>0</v>
      </c>
      <c r="I42" s="27">
        <f>SUM(I40:I41)</f>
        <v>0</v>
      </c>
      <c r="J42" s="27">
        <f>SUM(J40:J41)</f>
        <v>0</v>
      </c>
      <c r="K42" s="27">
        <f>SUM(K40:K41)</f>
        <v>0</v>
      </c>
      <c r="L42" s="27">
        <f t="shared" ref="L42:U42" si="74">SUM(L38:L41)</f>
        <v>0</v>
      </c>
      <c r="M42" s="27">
        <f t="shared" si="74"/>
        <v>0</v>
      </c>
      <c r="N42" s="27">
        <f t="shared" si="74"/>
        <v>0</v>
      </c>
      <c r="O42" s="27">
        <f t="shared" si="74"/>
        <v>0</v>
      </c>
      <c r="P42" s="27">
        <f t="shared" si="74"/>
        <v>8</v>
      </c>
      <c r="Q42" s="27">
        <f t="shared" si="74"/>
        <v>128</v>
      </c>
      <c r="R42" s="27">
        <f t="shared" si="74"/>
        <v>10</v>
      </c>
      <c r="S42" s="27">
        <f t="shared" si="74"/>
        <v>160</v>
      </c>
      <c r="T42" s="164">
        <f t="shared" si="74"/>
        <v>18</v>
      </c>
      <c r="U42" s="164">
        <f t="shared" si="74"/>
        <v>288</v>
      </c>
    </row>
    <row r="43" spans="2:21">
      <c r="B43" s="490" t="s">
        <v>682</v>
      </c>
      <c r="C43" s="493">
        <f>T47</f>
        <v>18</v>
      </c>
      <c r="D43" s="192" t="s">
        <v>750</v>
      </c>
      <c r="E43" s="192" t="s">
        <v>738</v>
      </c>
      <c r="F43" s="192">
        <v>30</v>
      </c>
      <c r="G43" s="192">
        <v>3</v>
      </c>
      <c r="H43" s="153"/>
      <c r="I43" s="153">
        <f t="shared" ref="I43:I46" si="75">H43*16</f>
        <v>0</v>
      </c>
      <c r="J43" s="153"/>
      <c r="K43" s="153">
        <f>J43*16</f>
        <v>0</v>
      </c>
      <c r="L43" s="153"/>
      <c r="M43" s="153">
        <f>L43*16</f>
        <v>0</v>
      </c>
      <c r="N43" s="153"/>
      <c r="O43" s="153">
        <f t="shared" ref="O43:O46" si="76">N43*16</f>
        <v>0</v>
      </c>
      <c r="P43" s="153">
        <v>3</v>
      </c>
      <c r="Q43" s="153">
        <f>P43*16</f>
        <v>48</v>
      </c>
      <c r="R43" s="153"/>
      <c r="S43" s="153">
        <f>R43*16</f>
        <v>0</v>
      </c>
      <c r="T43" s="154">
        <f>SUM(H43,J43,L43,N43,P43,R43)</f>
        <v>3</v>
      </c>
      <c r="U43" s="155">
        <f>SUM(I43,K43,M43,O43,Q43,S43)</f>
        <v>48</v>
      </c>
    </row>
    <row r="44" spans="2:21">
      <c r="B44" s="491"/>
      <c r="C44" s="494"/>
      <c r="D44" s="187" t="s">
        <v>667</v>
      </c>
      <c r="E44" s="187" t="s">
        <v>668</v>
      </c>
      <c r="F44" s="187">
        <v>40</v>
      </c>
      <c r="G44" s="187">
        <v>2</v>
      </c>
      <c r="H44" s="158"/>
      <c r="I44" s="158">
        <f t="shared" si="75"/>
        <v>0</v>
      </c>
      <c r="J44" s="158"/>
      <c r="K44" s="158">
        <f t="shared" ref="K44" si="77">J44*16</f>
        <v>0</v>
      </c>
      <c r="L44" s="158"/>
      <c r="M44" s="158">
        <f t="shared" ref="M44" si="78">L44*16</f>
        <v>0</v>
      </c>
      <c r="N44" s="158"/>
      <c r="O44" s="158">
        <f t="shared" si="76"/>
        <v>0</v>
      </c>
      <c r="P44" s="158">
        <v>4</v>
      </c>
      <c r="Q44" s="158">
        <f t="shared" ref="Q44" si="79">P44*16</f>
        <v>64</v>
      </c>
      <c r="R44" s="158"/>
      <c r="S44" s="158">
        <f t="shared" ref="S44" si="80">R44*16</f>
        <v>0</v>
      </c>
      <c r="T44" s="159">
        <f t="shared" ref="T44" si="81">SUM(H44,J44,L44,N44,P44,R44)</f>
        <v>4</v>
      </c>
      <c r="U44" s="160">
        <f t="shared" ref="U44" si="82">SUM(I44,K44,M44,O44,Q44,S44)</f>
        <v>64</v>
      </c>
    </row>
    <row r="45" spans="2:21">
      <c r="B45" s="491"/>
      <c r="C45" s="494"/>
      <c r="D45" s="186" t="s">
        <v>669</v>
      </c>
      <c r="E45" s="187" t="s">
        <v>670</v>
      </c>
      <c r="F45" s="186">
        <v>50</v>
      </c>
      <c r="G45" s="186">
        <v>3</v>
      </c>
      <c r="H45" s="161"/>
      <c r="I45" s="161">
        <f t="shared" si="75"/>
        <v>0</v>
      </c>
      <c r="J45" s="161"/>
      <c r="K45" s="161">
        <f>J45*16</f>
        <v>0</v>
      </c>
      <c r="L45" s="161"/>
      <c r="M45" s="161">
        <f>L45*16</f>
        <v>0</v>
      </c>
      <c r="N45" s="161"/>
      <c r="O45" s="161">
        <f t="shared" si="76"/>
        <v>0</v>
      </c>
      <c r="P45" s="161"/>
      <c r="Q45" s="161">
        <f>P45*16</f>
        <v>0</v>
      </c>
      <c r="R45" s="161">
        <v>6</v>
      </c>
      <c r="S45" s="161">
        <f>R45*16</f>
        <v>96</v>
      </c>
      <c r="T45" s="162">
        <f>SUM(H45,J45,L45,N45,P45,R45)</f>
        <v>6</v>
      </c>
      <c r="U45" s="163">
        <f>SUM(I45,K45,M45,O45,Q45,S45)</f>
        <v>96</v>
      </c>
    </row>
    <row r="46" spans="2:21">
      <c r="B46" s="491"/>
      <c r="C46" s="494"/>
      <c r="D46" s="186" t="s">
        <v>671</v>
      </c>
      <c r="E46" s="187" t="s">
        <v>672</v>
      </c>
      <c r="F46" s="186">
        <v>50</v>
      </c>
      <c r="G46" s="186">
        <v>3</v>
      </c>
      <c r="H46" s="161"/>
      <c r="I46" s="161">
        <f t="shared" si="75"/>
        <v>0</v>
      </c>
      <c r="J46" s="161"/>
      <c r="K46" s="161">
        <f>J46*16</f>
        <v>0</v>
      </c>
      <c r="L46" s="161"/>
      <c r="M46" s="161">
        <f>L46*16</f>
        <v>0</v>
      </c>
      <c r="N46" s="161"/>
      <c r="O46" s="161">
        <f t="shared" si="76"/>
        <v>0</v>
      </c>
      <c r="P46" s="161"/>
      <c r="Q46" s="161">
        <f>P46*16</f>
        <v>0</v>
      </c>
      <c r="R46" s="161">
        <v>5</v>
      </c>
      <c r="S46" s="161">
        <f>R46*16</f>
        <v>80</v>
      </c>
      <c r="T46" s="162">
        <f t="shared" ref="T46" si="83">SUM(H46,J46,L46,N46,P46,R46)</f>
        <v>5</v>
      </c>
      <c r="U46" s="163">
        <f t="shared" ref="U46" si="84">SUM(I46,K46,M46,O46,Q46,S46)</f>
        <v>80</v>
      </c>
    </row>
    <row r="47" spans="2:21" ht="17.25" thickBot="1">
      <c r="B47" s="492"/>
      <c r="C47" s="495"/>
      <c r="D47" s="496" t="s">
        <v>16</v>
      </c>
      <c r="E47" s="496"/>
      <c r="F47" s="232"/>
      <c r="G47" s="232"/>
      <c r="H47" s="27">
        <f>SUM(H45:H46)</f>
        <v>0</v>
      </c>
      <c r="I47" s="27">
        <f>SUM(I45:I46)</f>
        <v>0</v>
      </c>
      <c r="J47" s="27">
        <f>SUM(J45:J46)</f>
        <v>0</v>
      </c>
      <c r="K47" s="27">
        <f>SUM(K45:K46)</f>
        <v>0</v>
      </c>
      <c r="L47" s="27">
        <f t="shared" ref="L47:U47" si="85">SUM(L43:L46)</f>
        <v>0</v>
      </c>
      <c r="M47" s="27">
        <f t="shared" si="85"/>
        <v>0</v>
      </c>
      <c r="N47" s="27">
        <f t="shared" si="85"/>
        <v>0</v>
      </c>
      <c r="O47" s="27">
        <f t="shared" si="85"/>
        <v>0</v>
      </c>
      <c r="P47" s="27">
        <f t="shared" si="85"/>
        <v>7</v>
      </c>
      <c r="Q47" s="27">
        <f t="shared" si="85"/>
        <v>112</v>
      </c>
      <c r="R47" s="27">
        <f t="shared" si="85"/>
        <v>11</v>
      </c>
      <c r="S47" s="27">
        <f t="shared" si="85"/>
        <v>176</v>
      </c>
      <c r="T47" s="164">
        <f t="shared" si="85"/>
        <v>18</v>
      </c>
      <c r="U47" s="164">
        <f t="shared" si="85"/>
        <v>288</v>
      </c>
    </row>
  </sheetData>
  <mergeCells count="57">
    <mergeCell ref="B38:B42"/>
    <mergeCell ref="C38:C42"/>
    <mergeCell ref="D42:E42"/>
    <mergeCell ref="B30:B32"/>
    <mergeCell ref="C30:C32"/>
    <mergeCell ref="D32:E32"/>
    <mergeCell ref="B33:B37"/>
    <mergeCell ref="C33:C37"/>
    <mergeCell ref="D37:E37"/>
    <mergeCell ref="B24:B26"/>
    <mergeCell ref="C24:C26"/>
    <mergeCell ref="D26:E26"/>
    <mergeCell ref="B27:B29"/>
    <mergeCell ref="C27:C29"/>
    <mergeCell ref="D29:E29"/>
    <mergeCell ref="B17:B19"/>
    <mergeCell ref="C17:C19"/>
    <mergeCell ref="D19:E19"/>
    <mergeCell ref="B20:B23"/>
    <mergeCell ref="C20:C23"/>
    <mergeCell ref="D23:E23"/>
    <mergeCell ref="B9:B11"/>
    <mergeCell ref="C9:C11"/>
    <mergeCell ref="D11:E11"/>
    <mergeCell ref="B12:B16"/>
    <mergeCell ref="C12:C16"/>
    <mergeCell ref="D16:E16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G6:G8"/>
    <mergeCell ref="H6:K6"/>
    <mergeCell ref="L6:O6"/>
    <mergeCell ref="P6:S6"/>
    <mergeCell ref="T6:T8"/>
    <mergeCell ref="B43:B47"/>
    <mergeCell ref="C43:C47"/>
    <mergeCell ref="D47:E47"/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463AB-3F74-40AC-B7C6-AA71ECF0DC76}">
  <sheetPr>
    <tabColor rgb="FFFFFF00"/>
    <pageSetUpPr fitToPage="1"/>
  </sheetPr>
  <dimension ref="B1:AD97"/>
  <sheetViews>
    <sheetView view="pageBreakPreview" zoomScaleNormal="100" zoomScaleSheetLayoutView="100" workbookViewId="0">
      <pane ySplit="8" topLeftCell="A21" activePane="bottomLeft" state="frozen"/>
      <selection pane="bottomLeft" activeCell="B2" sqref="B2:U2"/>
    </sheetView>
  </sheetViews>
  <sheetFormatPr defaultColWidth="8.75" defaultRowHeight="16.5"/>
  <cols>
    <col min="1" max="1" width="2" style="4" customWidth="1"/>
    <col min="2" max="2" width="6.625" style="4" customWidth="1"/>
    <col min="3" max="3" width="9.37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625" style="4" customWidth="1"/>
    <col min="9" max="9" width="7.875" style="4" bestFit="1" customWidth="1"/>
    <col min="10" max="10" width="5.625" style="4" customWidth="1"/>
    <col min="11" max="22" width="3.875" style="4" customWidth="1"/>
    <col min="23" max="24" width="3.375" style="4" customWidth="1"/>
    <col min="25" max="25" width="6.875" style="4" customWidth="1"/>
    <col min="26" max="26" width="10" style="4" customWidth="1"/>
    <col min="27" max="27" width="20.75" style="4" customWidth="1"/>
    <col min="28" max="29" width="12.875" style="4" customWidth="1"/>
    <col min="30" max="30" width="13.875" style="4" customWidth="1"/>
    <col min="31" max="16384" width="8.75" style="4"/>
  </cols>
  <sheetData>
    <row r="1" spans="2:30" ht="17.25" thickBot="1"/>
    <row r="2" spans="2:30" ht="30.75" customHeight="1" thickBot="1">
      <c r="B2" s="248" t="s">
        <v>687</v>
      </c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9"/>
      <c r="V2" s="250" t="s">
        <v>130</v>
      </c>
      <c r="W2" s="251"/>
      <c r="X2" s="252">
        <v>2027</v>
      </c>
      <c r="Y2" s="253"/>
      <c r="AA2" s="254" t="s">
        <v>143</v>
      </c>
      <c r="AB2" s="19" t="s">
        <v>144</v>
      </c>
      <c r="AC2" s="31" t="s">
        <v>151</v>
      </c>
      <c r="AD2" s="20" t="s">
        <v>145</v>
      </c>
    </row>
    <row r="3" spans="2:30" ht="17.25" thickBot="1">
      <c r="B3" s="257" t="s">
        <v>362</v>
      </c>
      <c r="C3" s="259" t="s">
        <v>53</v>
      </c>
      <c r="D3" s="260"/>
      <c r="E3" s="260"/>
      <c r="F3" s="259" t="s">
        <v>64</v>
      </c>
      <c r="G3" s="263"/>
      <c r="H3" s="259" t="s">
        <v>54</v>
      </c>
      <c r="I3" s="260"/>
      <c r="J3" s="260"/>
      <c r="K3" s="259" t="s">
        <v>55</v>
      </c>
      <c r="L3" s="260"/>
      <c r="M3" s="260"/>
      <c r="N3" s="260"/>
      <c r="O3" s="263"/>
      <c r="P3" s="265" t="s">
        <v>56</v>
      </c>
      <c r="Q3" s="266"/>
      <c r="R3" s="266"/>
      <c r="S3" s="266"/>
      <c r="T3" s="266"/>
      <c r="U3" s="266"/>
      <c r="V3" s="266"/>
      <c r="W3" s="266"/>
      <c r="X3" s="266"/>
      <c r="Y3" s="267"/>
      <c r="AA3" s="255"/>
      <c r="AB3" s="21" t="s">
        <v>146</v>
      </c>
      <c r="AC3" s="41" t="s">
        <v>569</v>
      </c>
      <c r="AD3" s="22" t="s">
        <v>583</v>
      </c>
    </row>
    <row r="4" spans="2:30" ht="17.25" thickBot="1">
      <c r="B4" s="258"/>
      <c r="C4" s="261"/>
      <c r="D4" s="262"/>
      <c r="E4" s="262"/>
      <c r="F4" s="261"/>
      <c r="G4" s="264"/>
      <c r="H4" s="261"/>
      <c r="I4" s="262"/>
      <c r="J4" s="262"/>
      <c r="K4" s="261"/>
      <c r="L4" s="262"/>
      <c r="M4" s="262"/>
      <c r="N4" s="262"/>
      <c r="O4" s="264"/>
      <c r="P4" s="265" t="s">
        <v>127</v>
      </c>
      <c r="Q4" s="266"/>
      <c r="R4" s="266"/>
      <c r="S4" s="266"/>
      <c r="T4" s="265" t="s">
        <v>61</v>
      </c>
      <c r="U4" s="266"/>
      <c r="V4" s="267"/>
      <c r="W4" s="266" t="s">
        <v>128</v>
      </c>
      <c r="X4" s="266"/>
      <c r="Y4" s="267"/>
      <c r="AA4" s="255"/>
      <c r="AB4" s="23" t="s">
        <v>147</v>
      </c>
      <c r="AC4" s="42" t="s">
        <v>570</v>
      </c>
      <c r="AD4" s="22" t="s">
        <v>584</v>
      </c>
    </row>
    <row r="5" spans="2:30" ht="26.25" customHeight="1" thickBot="1">
      <c r="B5" s="76" t="s">
        <v>510</v>
      </c>
      <c r="C5" s="268" t="s">
        <v>512</v>
      </c>
      <c r="D5" s="269"/>
      <c r="E5" s="270"/>
      <c r="F5" s="268" t="s">
        <v>71</v>
      </c>
      <c r="G5" s="271"/>
      <c r="H5" s="272" t="s">
        <v>187</v>
      </c>
      <c r="I5" s="269"/>
      <c r="J5" s="270"/>
      <c r="K5" s="268"/>
      <c r="L5" s="269"/>
      <c r="M5" s="269"/>
      <c r="N5" s="269"/>
      <c r="O5" s="271"/>
      <c r="P5" s="272" t="s">
        <v>513</v>
      </c>
      <c r="Q5" s="269"/>
      <c r="R5" s="269"/>
      <c r="S5" s="270"/>
      <c r="T5" s="268" t="s">
        <v>514</v>
      </c>
      <c r="U5" s="269"/>
      <c r="V5" s="270"/>
      <c r="W5" s="273" t="s">
        <v>531</v>
      </c>
      <c r="X5" s="274"/>
      <c r="Y5" s="275"/>
      <c r="AA5" s="256"/>
      <c r="AB5" s="24" t="s">
        <v>148</v>
      </c>
      <c r="AC5" s="43"/>
      <c r="AD5" s="176"/>
    </row>
    <row r="6" spans="2:30" ht="15.75" customHeight="1" thickBot="1">
      <c r="U6" s="276"/>
      <c r="V6" s="276"/>
      <c r="W6" s="276"/>
      <c r="X6" s="276"/>
      <c r="Y6" s="276"/>
    </row>
    <row r="7" spans="2:30" s="10" customFormat="1" ht="22.5" customHeight="1">
      <c r="B7" s="277" t="s">
        <v>2</v>
      </c>
      <c r="C7" s="278"/>
      <c r="D7" s="281" t="s">
        <v>120</v>
      </c>
      <c r="E7" s="283" t="s">
        <v>57</v>
      </c>
      <c r="F7" s="284"/>
      <c r="G7" s="285"/>
      <c r="H7" s="286" t="s">
        <v>133</v>
      </c>
      <c r="I7" s="288" t="s">
        <v>134</v>
      </c>
      <c r="J7" s="290" t="s">
        <v>135</v>
      </c>
      <c r="K7" s="292" t="s">
        <v>58</v>
      </c>
      <c r="L7" s="288"/>
      <c r="M7" s="288"/>
      <c r="N7" s="293"/>
      <c r="O7" s="294" t="s">
        <v>59</v>
      </c>
      <c r="P7" s="288"/>
      <c r="Q7" s="288"/>
      <c r="R7" s="293"/>
      <c r="S7" s="292" t="s">
        <v>60</v>
      </c>
      <c r="T7" s="288"/>
      <c r="U7" s="288"/>
      <c r="V7" s="295"/>
      <c r="W7" s="286" t="s">
        <v>136</v>
      </c>
      <c r="X7" s="290"/>
      <c r="Y7" s="285" t="s">
        <v>137</v>
      </c>
      <c r="Z7" s="9"/>
    </row>
    <row r="8" spans="2:30" s="10" customFormat="1" ht="22.5" customHeight="1" thickBot="1">
      <c r="B8" s="279"/>
      <c r="C8" s="280"/>
      <c r="D8" s="282"/>
      <c r="E8" s="26" t="s">
        <v>18</v>
      </c>
      <c r="F8" s="316" t="s">
        <v>19</v>
      </c>
      <c r="G8" s="317"/>
      <c r="H8" s="287"/>
      <c r="I8" s="289"/>
      <c r="J8" s="291"/>
      <c r="K8" s="318" t="s">
        <v>0</v>
      </c>
      <c r="L8" s="289"/>
      <c r="M8" s="289" t="s">
        <v>62</v>
      </c>
      <c r="N8" s="319"/>
      <c r="O8" s="320" t="s">
        <v>0</v>
      </c>
      <c r="P8" s="289"/>
      <c r="Q8" s="289" t="s">
        <v>62</v>
      </c>
      <c r="R8" s="319"/>
      <c r="S8" s="318" t="s">
        <v>0</v>
      </c>
      <c r="T8" s="289"/>
      <c r="U8" s="289" t="s">
        <v>62</v>
      </c>
      <c r="V8" s="321"/>
      <c r="W8" s="287"/>
      <c r="X8" s="291"/>
      <c r="Y8" s="315"/>
      <c r="AA8" s="296" t="s">
        <v>500</v>
      </c>
      <c r="AB8" s="296"/>
      <c r="AC8" s="296"/>
      <c r="AD8" s="296"/>
    </row>
    <row r="9" spans="2:30" ht="16.5" customHeight="1" thickBot="1">
      <c r="B9" s="297" t="s">
        <v>340</v>
      </c>
      <c r="C9" s="298"/>
      <c r="D9" s="303" t="s">
        <v>21</v>
      </c>
      <c r="E9" s="44" t="s">
        <v>12</v>
      </c>
      <c r="F9" s="305" t="s">
        <v>204</v>
      </c>
      <c r="G9" s="306"/>
      <c r="H9" s="45">
        <v>4</v>
      </c>
      <c r="I9" s="46" t="s">
        <v>341</v>
      </c>
      <c r="J9" s="47">
        <v>3</v>
      </c>
      <c r="K9" s="305">
        <v>3</v>
      </c>
      <c r="L9" s="307"/>
      <c r="M9" s="308"/>
      <c r="N9" s="309"/>
      <c r="O9" s="310"/>
      <c r="P9" s="307"/>
      <c r="Q9" s="308"/>
      <c r="R9" s="309"/>
      <c r="S9" s="311"/>
      <c r="T9" s="312"/>
      <c r="U9" s="313"/>
      <c r="V9" s="314"/>
      <c r="W9" s="48">
        <f>SUM(K9:V9)</f>
        <v>3</v>
      </c>
      <c r="X9" s="322">
        <f>SUM(W9:W11)</f>
        <v>9</v>
      </c>
      <c r="Y9" s="324">
        <v>24</v>
      </c>
      <c r="AA9" s="137" t="s">
        <v>18</v>
      </c>
      <c r="AB9" s="138" t="s">
        <v>506</v>
      </c>
      <c r="AC9" s="138" t="s">
        <v>507</v>
      </c>
      <c r="AD9" s="139" t="s">
        <v>508</v>
      </c>
    </row>
    <row r="10" spans="2:30" ht="16.5" customHeight="1" thickBot="1">
      <c r="B10" s="299"/>
      <c r="C10" s="300"/>
      <c r="D10" s="304"/>
      <c r="E10" s="54" t="s">
        <v>12</v>
      </c>
      <c r="F10" s="325" t="s">
        <v>205</v>
      </c>
      <c r="G10" s="326"/>
      <c r="H10" s="143">
        <v>4</v>
      </c>
      <c r="I10" s="51" t="s">
        <v>341</v>
      </c>
      <c r="J10" s="144">
        <v>3</v>
      </c>
      <c r="K10" s="325"/>
      <c r="L10" s="327"/>
      <c r="M10" s="328">
        <v>3</v>
      </c>
      <c r="N10" s="329"/>
      <c r="O10" s="334"/>
      <c r="P10" s="327"/>
      <c r="Q10" s="328"/>
      <c r="R10" s="329"/>
      <c r="S10" s="330"/>
      <c r="T10" s="331"/>
      <c r="U10" s="332"/>
      <c r="V10" s="333"/>
      <c r="W10" s="205">
        <f>SUM(K10:V10)</f>
        <v>3</v>
      </c>
      <c r="X10" s="323"/>
      <c r="Y10" s="324"/>
      <c r="AA10" s="206"/>
      <c r="AB10" s="207"/>
      <c r="AC10" s="207"/>
      <c r="AD10" s="208"/>
    </row>
    <row r="11" spans="2:30" ht="17.25" thickBot="1">
      <c r="B11" s="299"/>
      <c r="C11" s="300"/>
      <c r="D11" s="304"/>
      <c r="E11" s="49" t="s">
        <v>342</v>
      </c>
      <c r="F11" s="325" t="s">
        <v>684</v>
      </c>
      <c r="G11" s="326"/>
      <c r="H11" s="50">
        <v>4</v>
      </c>
      <c r="I11" s="51" t="s">
        <v>343</v>
      </c>
      <c r="J11" s="52">
        <v>3</v>
      </c>
      <c r="K11" s="325"/>
      <c r="L11" s="327"/>
      <c r="M11" s="328"/>
      <c r="N11" s="329"/>
      <c r="O11" s="334">
        <v>3</v>
      </c>
      <c r="P11" s="327"/>
      <c r="Q11" s="328"/>
      <c r="R11" s="329"/>
      <c r="S11" s="330"/>
      <c r="T11" s="331"/>
      <c r="U11" s="332"/>
      <c r="V11" s="333"/>
      <c r="W11" s="53">
        <f t="shared" ref="W11:W22" si="0">SUM(K11:V11)</f>
        <v>3</v>
      </c>
      <c r="X11" s="323"/>
      <c r="Y11" s="324"/>
      <c r="AA11" s="140" t="s">
        <v>501</v>
      </c>
      <c r="AB11" s="141">
        <v>4</v>
      </c>
      <c r="AC11" s="141">
        <v>-1</v>
      </c>
      <c r="AD11" s="22" t="s">
        <v>341</v>
      </c>
    </row>
    <row r="12" spans="2:30" ht="17.25" thickBot="1">
      <c r="B12" s="299"/>
      <c r="C12" s="300"/>
      <c r="D12" s="303" t="s">
        <v>5</v>
      </c>
      <c r="E12" s="44" t="s">
        <v>12</v>
      </c>
      <c r="F12" s="305" t="s">
        <v>216</v>
      </c>
      <c r="G12" s="306"/>
      <c r="H12" s="45">
        <v>4</v>
      </c>
      <c r="I12" s="46" t="s">
        <v>341</v>
      </c>
      <c r="J12" s="47">
        <v>3</v>
      </c>
      <c r="K12" s="305">
        <v>3</v>
      </c>
      <c r="L12" s="307"/>
      <c r="M12" s="308"/>
      <c r="N12" s="309"/>
      <c r="O12" s="310"/>
      <c r="P12" s="307"/>
      <c r="Q12" s="308"/>
      <c r="R12" s="309"/>
      <c r="S12" s="311"/>
      <c r="T12" s="312"/>
      <c r="U12" s="313"/>
      <c r="V12" s="314"/>
      <c r="W12" s="48">
        <f t="shared" si="0"/>
        <v>3</v>
      </c>
      <c r="X12" s="322">
        <f>SUM(W12:W14)</f>
        <v>9</v>
      </c>
      <c r="Y12" s="324"/>
      <c r="AA12" s="140" t="s">
        <v>502</v>
      </c>
      <c r="AB12" s="141">
        <v>3</v>
      </c>
      <c r="AC12" s="141"/>
      <c r="AD12" s="22">
        <v>3</v>
      </c>
    </row>
    <row r="13" spans="2:30" ht="17.25" thickBot="1">
      <c r="B13" s="299"/>
      <c r="C13" s="300"/>
      <c r="D13" s="304"/>
      <c r="E13" s="54" t="s">
        <v>12</v>
      </c>
      <c r="F13" s="325" t="s">
        <v>218</v>
      </c>
      <c r="G13" s="326"/>
      <c r="H13" s="143">
        <v>4</v>
      </c>
      <c r="I13" s="51" t="s">
        <v>341</v>
      </c>
      <c r="J13" s="144">
        <v>3</v>
      </c>
      <c r="K13" s="325"/>
      <c r="L13" s="327"/>
      <c r="M13" s="328">
        <v>3</v>
      </c>
      <c r="N13" s="329"/>
      <c r="O13" s="334"/>
      <c r="P13" s="327"/>
      <c r="Q13" s="328"/>
      <c r="R13" s="329"/>
      <c r="S13" s="330"/>
      <c r="T13" s="331"/>
      <c r="U13" s="332"/>
      <c r="V13" s="333"/>
      <c r="W13" s="205">
        <f>SUM(K13:V13)</f>
        <v>3</v>
      </c>
      <c r="X13" s="323"/>
      <c r="Y13" s="324"/>
      <c r="AA13" s="140"/>
      <c r="AB13" s="141"/>
      <c r="AC13" s="141"/>
      <c r="AD13" s="22"/>
    </row>
    <row r="14" spans="2:30" ht="17.25" thickBot="1">
      <c r="B14" s="299"/>
      <c r="C14" s="300"/>
      <c r="D14" s="304"/>
      <c r="E14" s="49" t="s">
        <v>342</v>
      </c>
      <c r="F14" s="325" t="s">
        <v>685</v>
      </c>
      <c r="G14" s="326"/>
      <c r="H14" s="50">
        <v>4</v>
      </c>
      <c r="I14" s="51" t="s">
        <v>343</v>
      </c>
      <c r="J14" s="52">
        <v>3</v>
      </c>
      <c r="K14" s="325"/>
      <c r="L14" s="327"/>
      <c r="M14" s="328"/>
      <c r="N14" s="329"/>
      <c r="O14" s="334">
        <v>3</v>
      </c>
      <c r="P14" s="327"/>
      <c r="Q14" s="328"/>
      <c r="R14" s="329"/>
      <c r="S14" s="330"/>
      <c r="T14" s="331"/>
      <c r="U14" s="332"/>
      <c r="V14" s="333"/>
      <c r="W14" s="53">
        <f>SUM(K14:V14)</f>
        <v>3</v>
      </c>
      <c r="X14" s="323"/>
      <c r="Y14" s="324"/>
      <c r="AA14" s="140" t="s">
        <v>503</v>
      </c>
      <c r="AB14" s="141">
        <v>4</v>
      </c>
      <c r="AC14" s="141" t="s">
        <v>509</v>
      </c>
      <c r="AD14" s="22" t="s">
        <v>343</v>
      </c>
    </row>
    <row r="15" spans="2:30" ht="17.25" thickBot="1">
      <c r="B15" s="299"/>
      <c r="C15" s="300"/>
      <c r="D15" s="303" t="s">
        <v>6</v>
      </c>
      <c r="E15" s="44" t="s">
        <v>12</v>
      </c>
      <c r="F15" s="305" t="s">
        <v>223</v>
      </c>
      <c r="G15" s="306"/>
      <c r="H15" s="45">
        <v>4</v>
      </c>
      <c r="I15" s="46" t="s">
        <v>341</v>
      </c>
      <c r="J15" s="47">
        <v>3</v>
      </c>
      <c r="K15" s="305">
        <v>3</v>
      </c>
      <c r="L15" s="307"/>
      <c r="M15" s="308"/>
      <c r="N15" s="309"/>
      <c r="O15" s="310"/>
      <c r="P15" s="307"/>
      <c r="Q15" s="308"/>
      <c r="R15" s="309"/>
      <c r="S15" s="311"/>
      <c r="T15" s="312"/>
      <c r="U15" s="313"/>
      <c r="V15" s="314"/>
      <c r="W15" s="48">
        <f t="shared" si="0"/>
        <v>3</v>
      </c>
      <c r="X15" s="322">
        <f>SUM(W15:W17)</f>
        <v>9</v>
      </c>
      <c r="Y15" s="324"/>
      <c r="AA15" s="140" t="s">
        <v>504</v>
      </c>
      <c r="AB15" s="141">
        <v>3</v>
      </c>
      <c r="AC15" s="141" t="s">
        <v>509</v>
      </c>
      <c r="AD15" s="22" t="s">
        <v>351</v>
      </c>
    </row>
    <row r="16" spans="2:30" ht="17.25" thickBot="1">
      <c r="B16" s="299"/>
      <c r="C16" s="300"/>
      <c r="D16" s="304"/>
      <c r="E16" s="54" t="s">
        <v>12</v>
      </c>
      <c r="F16" s="325" t="s">
        <v>229</v>
      </c>
      <c r="G16" s="326"/>
      <c r="H16" s="143">
        <v>4</v>
      </c>
      <c r="I16" s="51" t="s">
        <v>341</v>
      </c>
      <c r="J16" s="144">
        <v>3</v>
      </c>
      <c r="K16" s="325"/>
      <c r="L16" s="327"/>
      <c r="M16" s="328">
        <v>3</v>
      </c>
      <c r="N16" s="329"/>
      <c r="O16" s="334"/>
      <c r="P16" s="327"/>
      <c r="Q16" s="328"/>
      <c r="R16" s="329"/>
      <c r="S16" s="330"/>
      <c r="T16" s="331"/>
      <c r="U16" s="332"/>
      <c r="V16" s="333"/>
      <c r="W16" s="205">
        <f>SUM(K16:V16)</f>
        <v>3</v>
      </c>
      <c r="X16" s="323"/>
      <c r="Y16" s="324"/>
      <c r="AA16" s="209"/>
      <c r="AB16" s="210"/>
      <c r="AC16" s="210"/>
      <c r="AD16" s="211"/>
    </row>
    <row r="17" spans="2:30" ht="17.25" thickBot="1">
      <c r="B17" s="299"/>
      <c r="C17" s="300"/>
      <c r="D17" s="304"/>
      <c r="E17" s="49" t="s">
        <v>342</v>
      </c>
      <c r="F17" s="325" t="s">
        <v>686</v>
      </c>
      <c r="G17" s="326"/>
      <c r="H17" s="50">
        <v>4</v>
      </c>
      <c r="I17" s="51" t="s">
        <v>343</v>
      </c>
      <c r="J17" s="52">
        <v>3</v>
      </c>
      <c r="K17" s="325"/>
      <c r="L17" s="327"/>
      <c r="M17" s="328"/>
      <c r="N17" s="329"/>
      <c r="O17" s="334"/>
      <c r="P17" s="327"/>
      <c r="Q17" s="328">
        <v>3</v>
      </c>
      <c r="R17" s="329"/>
      <c r="S17" s="330"/>
      <c r="T17" s="331"/>
      <c r="U17" s="332"/>
      <c r="V17" s="333"/>
      <c r="W17" s="53">
        <f t="shared" si="0"/>
        <v>3</v>
      </c>
      <c r="X17" s="323"/>
      <c r="Y17" s="324"/>
      <c r="AA17" s="142" t="s">
        <v>505</v>
      </c>
      <c r="AB17" s="335" t="s">
        <v>511</v>
      </c>
      <c r="AC17" s="335"/>
      <c r="AD17" s="336"/>
    </row>
    <row r="18" spans="2:30" ht="17.25" thickBot="1">
      <c r="B18" s="299"/>
      <c r="C18" s="300"/>
      <c r="D18" s="303" t="s">
        <v>345</v>
      </c>
      <c r="E18" s="44" t="s">
        <v>12</v>
      </c>
      <c r="F18" s="305" t="s">
        <v>237</v>
      </c>
      <c r="G18" s="306"/>
      <c r="H18" s="45">
        <v>3</v>
      </c>
      <c r="I18" s="59">
        <v>3</v>
      </c>
      <c r="J18" s="47">
        <v>3</v>
      </c>
      <c r="K18" s="338">
        <v>3</v>
      </c>
      <c r="L18" s="339"/>
      <c r="M18" s="340"/>
      <c r="N18" s="341"/>
      <c r="O18" s="342"/>
      <c r="P18" s="339"/>
      <c r="Q18" s="340"/>
      <c r="R18" s="341"/>
      <c r="S18" s="343"/>
      <c r="T18" s="344"/>
      <c r="U18" s="345"/>
      <c r="V18" s="346"/>
      <c r="W18" s="48">
        <f t="shared" si="0"/>
        <v>3</v>
      </c>
      <c r="X18" s="322">
        <f>SUM(W18:W19)</f>
        <v>6</v>
      </c>
      <c r="Y18" s="324">
        <v>6</v>
      </c>
    </row>
    <row r="19" spans="2:30" ht="17.25" thickBot="1">
      <c r="B19" s="299"/>
      <c r="C19" s="300"/>
      <c r="D19" s="304"/>
      <c r="E19" s="60" t="s">
        <v>12</v>
      </c>
      <c r="F19" s="348" t="s">
        <v>238</v>
      </c>
      <c r="G19" s="349"/>
      <c r="H19" s="61">
        <v>3</v>
      </c>
      <c r="I19" s="62">
        <v>3</v>
      </c>
      <c r="J19" s="215">
        <v>3</v>
      </c>
      <c r="K19" s="350"/>
      <c r="L19" s="351"/>
      <c r="M19" s="352">
        <v>3</v>
      </c>
      <c r="N19" s="353"/>
      <c r="O19" s="354"/>
      <c r="P19" s="351"/>
      <c r="Q19" s="352"/>
      <c r="R19" s="353"/>
      <c r="S19" s="355"/>
      <c r="T19" s="356"/>
      <c r="U19" s="357"/>
      <c r="V19" s="358"/>
      <c r="W19" s="63">
        <f t="shared" si="0"/>
        <v>3</v>
      </c>
      <c r="X19" s="347"/>
      <c r="Y19" s="324"/>
      <c r="AA19" s="151"/>
      <c r="AB19" s="151"/>
      <c r="AC19" s="175"/>
    </row>
    <row r="20" spans="2:30" ht="17.25" thickBot="1">
      <c r="B20" s="299"/>
      <c r="C20" s="300"/>
      <c r="D20" s="304"/>
      <c r="E20" s="44" t="s">
        <v>12</v>
      </c>
      <c r="F20" s="305" t="s">
        <v>240</v>
      </c>
      <c r="G20" s="306"/>
      <c r="H20" s="45">
        <v>4</v>
      </c>
      <c r="I20" s="59" t="s">
        <v>341</v>
      </c>
      <c r="J20" s="47">
        <v>3</v>
      </c>
      <c r="K20" s="305"/>
      <c r="L20" s="307"/>
      <c r="M20" s="308"/>
      <c r="N20" s="309"/>
      <c r="O20" s="310">
        <v>3</v>
      </c>
      <c r="P20" s="307"/>
      <c r="Q20" s="308"/>
      <c r="R20" s="309"/>
      <c r="S20" s="311"/>
      <c r="T20" s="312"/>
      <c r="U20" s="313"/>
      <c r="V20" s="314"/>
      <c r="W20" s="48">
        <f t="shared" si="0"/>
        <v>3</v>
      </c>
      <c r="X20" s="322">
        <f>SUM(W20:W21)</f>
        <v>6</v>
      </c>
      <c r="Y20" s="324">
        <v>12</v>
      </c>
    </row>
    <row r="21" spans="2:30" ht="17.25" thickBot="1">
      <c r="B21" s="299"/>
      <c r="C21" s="300"/>
      <c r="D21" s="337"/>
      <c r="E21" s="58" t="s">
        <v>12</v>
      </c>
      <c r="F21" s="350" t="s">
        <v>241</v>
      </c>
      <c r="G21" s="359"/>
      <c r="H21" s="55">
        <v>4</v>
      </c>
      <c r="I21" s="56" t="s">
        <v>341</v>
      </c>
      <c r="J21" s="57">
        <v>3</v>
      </c>
      <c r="K21" s="350"/>
      <c r="L21" s="351"/>
      <c r="M21" s="352"/>
      <c r="N21" s="353"/>
      <c r="O21" s="354"/>
      <c r="P21" s="351"/>
      <c r="Q21" s="352">
        <v>3</v>
      </c>
      <c r="R21" s="353"/>
      <c r="S21" s="355"/>
      <c r="T21" s="356"/>
      <c r="U21" s="357"/>
      <c r="V21" s="358"/>
      <c r="W21" s="63">
        <f t="shared" si="0"/>
        <v>3</v>
      </c>
      <c r="X21" s="347"/>
      <c r="Y21" s="324"/>
    </row>
    <row r="22" spans="2:30" ht="17.25" thickBot="1">
      <c r="B22" s="299"/>
      <c r="C22" s="300"/>
      <c r="D22" s="303" t="s">
        <v>26</v>
      </c>
      <c r="E22" s="44" t="s">
        <v>12</v>
      </c>
      <c r="F22" s="305" t="s">
        <v>258</v>
      </c>
      <c r="G22" s="306"/>
      <c r="H22" s="45">
        <v>4</v>
      </c>
      <c r="I22" s="59" t="s">
        <v>341</v>
      </c>
      <c r="J22" s="47">
        <v>3</v>
      </c>
      <c r="K22" s="305">
        <v>3</v>
      </c>
      <c r="L22" s="307"/>
      <c r="M22" s="308"/>
      <c r="N22" s="309"/>
      <c r="O22" s="310"/>
      <c r="P22" s="307"/>
      <c r="Q22" s="308"/>
      <c r="R22" s="309"/>
      <c r="S22" s="311"/>
      <c r="T22" s="312"/>
      <c r="U22" s="313"/>
      <c r="V22" s="314"/>
      <c r="W22" s="48">
        <f t="shared" si="0"/>
        <v>3</v>
      </c>
      <c r="X22" s="298">
        <f>SUM(W22:W24)</f>
        <v>9</v>
      </c>
      <c r="Y22" s="324"/>
    </row>
    <row r="23" spans="2:30" ht="17.25" thickBot="1">
      <c r="B23" s="299"/>
      <c r="C23" s="300"/>
      <c r="D23" s="304"/>
      <c r="E23" s="54" t="s">
        <v>12</v>
      </c>
      <c r="F23" s="325" t="s">
        <v>259</v>
      </c>
      <c r="G23" s="326"/>
      <c r="H23" s="143">
        <v>4</v>
      </c>
      <c r="I23" s="212" t="s">
        <v>341</v>
      </c>
      <c r="J23" s="144">
        <v>3</v>
      </c>
      <c r="K23" s="325"/>
      <c r="L23" s="327"/>
      <c r="M23" s="328">
        <v>3</v>
      </c>
      <c r="N23" s="329"/>
      <c r="O23" s="334"/>
      <c r="P23" s="327"/>
      <c r="Q23" s="328"/>
      <c r="R23" s="329"/>
      <c r="S23" s="330"/>
      <c r="T23" s="331"/>
      <c r="U23" s="332"/>
      <c r="V23" s="333"/>
      <c r="W23" s="205">
        <f>SUM(K23:V23)</f>
        <v>3</v>
      </c>
      <c r="X23" s="300"/>
      <c r="Y23" s="324"/>
    </row>
    <row r="24" spans="2:30" ht="17.25" thickBot="1">
      <c r="B24" s="299"/>
      <c r="C24" s="300"/>
      <c r="D24" s="304"/>
      <c r="E24" s="54" t="s">
        <v>349</v>
      </c>
      <c r="F24" s="325" t="s">
        <v>264</v>
      </c>
      <c r="G24" s="326"/>
      <c r="H24" s="143">
        <v>4</v>
      </c>
      <c r="I24" s="212" t="s">
        <v>343</v>
      </c>
      <c r="J24" s="144">
        <v>3</v>
      </c>
      <c r="K24" s="325"/>
      <c r="L24" s="327"/>
      <c r="M24" s="328"/>
      <c r="N24" s="329"/>
      <c r="O24" s="334"/>
      <c r="P24" s="327"/>
      <c r="Q24" s="328">
        <v>3</v>
      </c>
      <c r="R24" s="329"/>
      <c r="S24" s="330"/>
      <c r="T24" s="331"/>
      <c r="U24" s="332"/>
      <c r="V24" s="333"/>
      <c r="W24" s="205">
        <f>SUM(K24:V24)</f>
        <v>3</v>
      </c>
      <c r="X24" s="300"/>
      <c r="Y24" s="324"/>
    </row>
    <row r="25" spans="2:30" ht="16.5" customHeight="1" thickBot="1">
      <c r="B25" s="299"/>
      <c r="C25" s="300"/>
      <c r="D25" s="303" t="s">
        <v>8</v>
      </c>
      <c r="E25" s="44" t="s">
        <v>349</v>
      </c>
      <c r="F25" s="305" t="s">
        <v>350</v>
      </c>
      <c r="G25" s="306"/>
      <c r="H25" s="45">
        <v>3</v>
      </c>
      <c r="I25" s="59" t="s">
        <v>351</v>
      </c>
      <c r="J25" s="47">
        <f t="shared" ref="J25:J26" si="1">SUM(K25:V25)</f>
        <v>2</v>
      </c>
      <c r="K25" s="305">
        <v>2</v>
      </c>
      <c r="L25" s="307"/>
      <c r="M25" s="308"/>
      <c r="N25" s="309"/>
      <c r="O25" s="310"/>
      <c r="P25" s="307"/>
      <c r="Q25" s="308"/>
      <c r="R25" s="309"/>
      <c r="S25" s="310"/>
      <c r="T25" s="307"/>
      <c r="U25" s="313"/>
      <c r="V25" s="314"/>
      <c r="W25" s="48">
        <f>SUM(K25:V25)</f>
        <v>2</v>
      </c>
      <c r="X25" s="360">
        <f>SUM(W25:W28)</f>
        <v>8</v>
      </c>
      <c r="Y25" s="324">
        <v>8</v>
      </c>
    </row>
    <row r="26" spans="2:30" ht="17.25" thickBot="1">
      <c r="B26" s="299"/>
      <c r="C26" s="300"/>
      <c r="D26" s="304"/>
      <c r="E26" s="49" t="s">
        <v>349</v>
      </c>
      <c r="F26" s="325" t="s">
        <v>352</v>
      </c>
      <c r="G26" s="326"/>
      <c r="H26" s="50">
        <v>3</v>
      </c>
      <c r="I26" s="51" t="s">
        <v>351</v>
      </c>
      <c r="J26" s="52">
        <f t="shared" si="1"/>
        <v>2</v>
      </c>
      <c r="K26" s="325"/>
      <c r="L26" s="327"/>
      <c r="M26" s="328">
        <v>2</v>
      </c>
      <c r="N26" s="329"/>
      <c r="O26" s="334"/>
      <c r="P26" s="327"/>
      <c r="Q26" s="328"/>
      <c r="R26" s="329"/>
      <c r="S26" s="334"/>
      <c r="T26" s="327"/>
      <c r="U26" s="332"/>
      <c r="V26" s="333"/>
      <c r="W26" s="53">
        <f t="shared" ref="W26:W28" si="2">SUM(K26:V26)</f>
        <v>2</v>
      </c>
      <c r="X26" s="361"/>
      <c r="Y26" s="324"/>
    </row>
    <row r="27" spans="2:30" ht="17.25" thickBot="1">
      <c r="B27" s="299"/>
      <c r="C27" s="300"/>
      <c r="D27" s="304"/>
      <c r="E27" s="49" t="s">
        <v>342</v>
      </c>
      <c r="F27" s="325" t="s">
        <v>515</v>
      </c>
      <c r="G27" s="326"/>
      <c r="H27" s="50">
        <v>3</v>
      </c>
      <c r="I27" s="51" t="s">
        <v>351</v>
      </c>
      <c r="J27" s="52">
        <v>2</v>
      </c>
      <c r="K27" s="325"/>
      <c r="L27" s="327"/>
      <c r="M27" s="328"/>
      <c r="N27" s="329"/>
      <c r="O27" s="334">
        <v>2</v>
      </c>
      <c r="P27" s="327"/>
      <c r="Q27" s="328"/>
      <c r="R27" s="329"/>
      <c r="S27" s="334"/>
      <c r="T27" s="327"/>
      <c r="U27" s="332"/>
      <c r="V27" s="333"/>
      <c r="W27" s="53">
        <f t="shared" si="2"/>
        <v>2</v>
      </c>
      <c r="X27" s="361"/>
      <c r="Y27" s="324"/>
    </row>
    <row r="28" spans="2:30" ht="17.25" thickBot="1">
      <c r="B28" s="299"/>
      <c r="C28" s="300"/>
      <c r="D28" s="304"/>
      <c r="E28" s="49" t="s">
        <v>348</v>
      </c>
      <c r="F28" s="325" t="s">
        <v>578</v>
      </c>
      <c r="G28" s="326"/>
      <c r="H28" s="50">
        <v>3</v>
      </c>
      <c r="I28" s="56" t="s">
        <v>351</v>
      </c>
      <c r="J28" s="52">
        <v>2</v>
      </c>
      <c r="K28" s="325"/>
      <c r="L28" s="327"/>
      <c r="M28" s="328"/>
      <c r="N28" s="329"/>
      <c r="O28" s="334"/>
      <c r="P28" s="327"/>
      <c r="Q28" s="328">
        <v>2</v>
      </c>
      <c r="R28" s="329"/>
      <c r="S28" s="334"/>
      <c r="T28" s="327"/>
      <c r="U28" s="332"/>
      <c r="V28" s="333"/>
      <c r="W28" s="53">
        <f t="shared" si="2"/>
        <v>2</v>
      </c>
      <c r="X28" s="361"/>
      <c r="Y28" s="324"/>
    </row>
    <row r="29" spans="2:30" ht="17.25" thickBot="1">
      <c r="B29" s="299"/>
      <c r="C29" s="300"/>
      <c r="D29" s="303" t="s">
        <v>28</v>
      </c>
      <c r="E29" s="44" t="s">
        <v>349</v>
      </c>
      <c r="F29" s="305" t="s">
        <v>47</v>
      </c>
      <c r="G29" s="306"/>
      <c r="H29" s="45">
        <v>3</v>
      </c>
      <c r="I29" s="64" t="s">
        <v>351</v>
      </c>
      <c r="J29" s="47">
        <v>2</v>
      </c>
      <c r="K29" s="305">
        <v>2</v>
      </c>
      <c r="L29" s="307"/>
      <c r="M29" s="308"/>
      <c r="N29" s="309"/>
      <c r="O29" s="310"/>
      <c r="P29" s="307"/>
      <c r="Q29" s="308"/>
      <c r="R29" s="309"/>
      <c r="S29" s="368"/>
      <c r="T29" s="369"/>
      <c r="U29" s="313"/>
      <c r="V29" s="314"/>
      <c r="W29" s="362">
        <f>SUM(K29:V32)</f>
        <v>8</v>
      </c>
      <c r="X29" s="363"/>
      <c r="Y29" s="324">
        <v>6</v>
      </c>
    </row>
    <row r="30" spans="2:30" ht="17.25" thickBot="1">
      <c r="B30" s="299"/>
      <c r="C30" s="300"/>
      <c r="D30" s="304"/>
      <c r="E30" s="54" t="s">
        <v>342</v>
      </c>
      <c r="F30" s="325" t="s">
        <v>287</v>
      </c>
      <c r="G30" s="326"/>
      <c r="H30" s="143">
        <v>3</v>
      </c>
      <c r="I30" s="51" t="s">
        <v>351</v>
      </c>
      <c r="J30" s="144">
        <v>2</v>
      </c>
      <c r="K30" s="325"/>
      <c r="L30" s="327"/>
      <c r="M30" s="328">
        <v>2</v>
      </c>
      <c r="N30" s="329"/>
      <c r="O30" s="334"/>
      <c r="P30" s="327"/>
      <c r="Q30" s="328"/>
      <c r="R30" s="329"/>
      <c r="S30" s="366"/>
      <c r="T30" s="367"/>
      <c r="U30" s="332"/>
      <c r="V30" s="333"/>
      <c r="W30" s="364"/>
      <c r="X30" s="365"/>
      <c r="Y30" s="324"/>
    </row>
    <row r="31" spans="2:30" ht="17.25" thickBot="1">
      <c r="B31" s="299"/>
      <c r="C31" s="300"/>
      <c r="D31" s="304"/>
      <c r="E31" s="54" t="s">
        <v>342</v>
      </c>
      <c r="F31" s="325" t="s">
        <v>286</v>
      </c>
      <c r="G31" s="326"/>
      <c r="H31" s="143">
        <v>3</v>
      </c>
      <c r="I31" s="64" t="s">
        <v>351</v>
      </c>
      <c r="J31" s="144">
        <v>2</v>
      </c>
      <c r="K31" s="325"/>
      <c r="L31" s="327"/>
      <c r="M31" s="328"/>
      <c r="N31" s="329"/>
      <c r="O31" s="334">
        <v>2</v>
      </c>
      <c r="P31" s="327"/>
      <c r="Q31" s="328"/>
      <c r="R31" s="329"/>
      <c r="S31" s="366"/>
      <c r="T31" s="367"/>
      <c r="U31" s="332"/>
      <c r="V31" s="333"/>
      <c r="W31" s="364"/>
      <c r="X31" s="365"/>
      <c r="Y31" s="324"/>
    </row>
    <row r="32" spans="2:30" ht="17.25" thickBot="1">
      <c r="B32" s="299"/>
      <c r="C32" s="300"/>
      <c r="D32" s="304"/>
      <c r="E32" s="54" t="s">
        <v>348</v>
      </c>
      <c r="F32" s="325" t="s">
        <v>289</v>
      </c>
      <c r="G32" s="326"/>
      <c r="H32" s="143">
        <v>3</v>
      </c>
      <c r="I32" s="51" t="s">
        <v>368</v>
      </c>
      <c r="J32" s="144">
        <v>2</v>
      </c>
      <c r="K32" s="325"/>
      <c r="L32" s="327"/>
      <c r="M32" s="328"/>
      <c r="N32" s="329"/>
      <c r="O32" s="334"/>
      <c r="P32" s="327"/>
      <c r="Q32" s="328">
        <v>2</v>
      </c>
      <c r="R32" s="329"/>
      <c r="S32" s="366"/>
      <c r="T32" s="367"/>
      <c r="U32" s="332"/>
      <c r="V32" s="333"/>
      <c r="W32" s="364"/>
      <c r="X32" s="365"/>
      <c r="Y32" s="324"/>
    </row>
    <row r="33" spans="2:28" ht="16.5" customHeight="1" thickBot="1">
      <c r="B33" s="299"/>
      <c r="C33" s="300"/>
      <c r="D33" s="370" t="s">
        <v>354</v>
      </c>
      <c r="E33" s="44" t="s">
        <v>342</v>
      </c>
      <c r="F33" s="305" t="s">
        <v>51</v>
      </c>
      <c r="G33" s="306"/>
      <c r="H33" s="45">
        <v>3</v>
      </c>
      <c r="I33" s="59" t="s">
        <v>351</v>
      </c>
      <c r="J33" s="47">
        <v>2</v>
      </c>
      <c r="K33" s="372"/>
      <c r="L33" s="373"/>
      <c r="M33" s="308"/>
      <c r="N33" s="309"/>
      <c r="O33" s="310">
        <v>2</v>
      </c>
      <c r="P33" s="307"/>
      <c r="Q33" s="313"/>
      <c r="R33" s="374"/>
      <c r="S33" s="368"/>
      <c r="T33" s="369"/>
      <c r="U33" s="313"/>
      <c r="V33" s="314"/>
      <c r="W33" s="362">
        <f>SUM(K33:V35)</f>
        <v>9</v>
      </c>
      <c r="X33" s="363"/>
      <c r="Y33" s="324">
        <v>8</v>
      </c>
    </row>
    <row r="34" spans="2:28" ht="16.5" customHeight="1" thickBot="1">
      <c r="B34" s="299"/>
      <c r="C34" s="300"/>
      <c r="D34" s="371"/>
      <c r="E34" s="54" t="s">
        <v>342</v>
      </c>
      <c r="F34" s="325" t="s">
        <v>700</v>
      </c>
      <c r="G34" s="326"/>
      <c r="H34" s="229">
        <v>4</v>
      </c>
      <c r="I34" s="64" t="s">
        <v>343</v>
      </c>
      <c r="J34" s="230">
        <v>3</v>
      </c>
      <c r="K34" s="539"/>
      <c r="L34" s="540"/>
      <c r="M34" s="328"/>
      <c r="N34" s="329"/>
      <c r="O34" s="334">
        <v>3</v>
      </c>
      <c r="P34" s="327"/>
      <c r="Q34" s="332"/>
      <c r="R34" s="384"/>
      <c r="S34" s="366"/>
      <c r="T34" s="367"/>
      <c r="U34" s="332"/>
      <c r="V34" s="333"/>
      <c r="W34" s="364"/>
      <c r="X34" s="365"/>
      <c r="Y34" s="324"/>
      <c r="Z34" s="184" t="s">
        <v>566</v>
      </c>
    </row>
    <row r="35" spans="2:28" ht="17.25" thickBot="1">
      <c r="B35" s="301"/>
      <c r="C35" s="302"/>
      <c r="D35" s="371"/>
      <c r="E35" s="54" t="s">
        <v>349</v>
      </c>
      <c r="F35" s="350" t="s">
        <v>520</v>
      </c>
      <c r="G35" s="359"/>
      <c r="H35" s="55">
        <v>4</v>
      </c>
      <c r="I35" s="56" t="s">
        <v>343</v>
      </c>
      <c r="J35" s="57">
        <v>4</v>
      </c>
      <c r="K35" s="376"/>
      <c r="L35" s="377"/>
      <c r="M35" s="357"/>
      <c r="N35" s="375"/>
      <c r="O35" s="334">
        <v>4</v>
      </c>
      <c r="P35" s="327"/>
      <c r="Q35" s="332"/>
      <c r="R35" s="384"/>
      <c r="S35" s="366"/>
      <c r="T35" s="367"/>
      <c r="U35" s="332"/>
      <c r="V35" s="333"/>
      <c r="W35" s="364"/>
      <c r="X35" s="365"/>
      <c r="Y35" s="324"/>
      <c r="Z35" s="184" t="s">
        <v>517</v>
      </c>
    </row>
    <row r="36" spans="2:28" ht="24.75" customHeight="1" thickBot="1">
      <c r="B36" s="380" t="s">
        <v>363</v>
      </c>
      <c r="C36" s="385"/>
      <c r="D36" s="385"/>
      <c r="E36" s="385"/>
      <c r="F36" s="385"/>
      <c r="G36" s="386"/>
      <c r="H36" s="172">
        <f>SUM(H9:H35)</f>
        <v>97</v>
      </c>
      <c r="I36" s="18"/>
      <c r="J36" s="171">
        <f>SUM(J9:J35)</f>
        <v>73</v>
      </c>
      <c r="K36" s="387">
        <f>SUM(K9:L35)</f>
        <v>19</v>
      </c>
      <c r="L36" s="378"/>
      <c r="M36" s="378">
        <f>SUM(M9:N35)</f>
        <v>19</v>
      </c>
      <c r="N36" s="388"/>
      <c r="O36" s="389">
        <f>SUM(O9:P35)</f>
        <v>22</v>
      </c>
      <c r="P36" s="378"/>
      <c r="Q36" s="378">
        <f>SUM(Q9:R35)</f>
        <v>13</v>
      </c>
      <c r="R36" s="390"/>
      <c r="S36" s="381">
        <f>SUM(S9:T35)</f>
        <v>0</v>
      </c>
      <c r="T36" s="378"/>
      <c r="U36" s="378">
        <f>SUM(U9:V35)</f>
        <v>0</v>
      </c>
      <c r="V36" s="379"/>
      <c r="W36" s="380">
        <f>SUM(K36:V36)</f>
        <v>73</v>
      </c>
      <c r="X36" s="381"/>
      <c r="Y36" s="171">
        <f>SUM(Y9:Y35)</f>
        <v>64</v>
      </c>
      <c r="AA36" s="382" t="b">
        <f>W36&gt;=Y36</f>
        <v>1</v>
      </c>
      <c r="AB36" s="383"/>
    </row>
    <row r="37" spans="2:28" ht="17.25" customHeight="1" thickBot="1">
      <c r="B37" s="430" t="s">
        <v>355</v>
      </c>
      <c r="C37" s="431"/>
      <c r="D37" s="434" t="s">
        <v>356</v>
      </c>
      <c r="E37" s="435"/>
      <c r="F37" s="400" t="s">
        <v>516</v>
      </c>
      <c r="G37" s="401"/>
      <c r="H37" s="33"/>
      <c r="I37" s="233"/>
      <c r="J37" s="165">
        <f t="shared" ref="J37:J48" si="3">SUM(K37:V37)</f>
        <v>3</v>
      </c>
      <c r="K37" s="402"/>
      <c r="L37" s="403"/>
      <c r="M37" s="404"/>
      <c r="N37" s="405"/>
      <c r="O37" s="406"/>
      <c r="P37" s="403"/>
      <c r="Q37" s="393"/>
      <c r="R37" s="407"/>
      <c r="S37" s="408">
        <v>3</v>
      </c>
      <c r="T37" s="409"/>
      <c r="U37" s="393"/>
      <c r="V37" s="394"/>
      <c r="W37" s="395">
        <f>SUM(K37:V37)</f>
        <v>3</v>
      </c>
      <c r="X37" s="396"/>
      <c r="Y37" s="450">
        <v>80</v>
      </c>
    </row>
    <row r="38" spans="2:28" ht="17.25" customHeight="1">
      <c r="B38" s="432"/>
      <c r="C38" s="433"/>
      <c r="D38" s="65" t="s">
        <v>155</v>
      </c>
      <c r="E38" s="66" t="s">
        <v>357</v>
      </c>
      <c r="F38" s="397" t="s">
        <v>518</v>
      </c>
      <c r="G38" s="398"/>
      <c r="H38" s="34"/>
      <c r="I38" s="234"/>
      <c r="J38" s="144">
        <f t="shared" si="3"/>
        <v>10</v>
      </c>
      <c r="K38" s="325">
        <v>10</v>
      </c>
      <c r="L38" s="327"/>
      <c r="M38" s="328"/>
      <c r="N38" s="399"/>
      <c r="O38" s="334"/>
      <c r="P38" s="327"/>
      <c r="Q38" s="328"/>
      <c r="R38" s="329"/>
      <c r="S38" s="399"/>
      <c r="T38" s="327"/>
      <c r="U38" s="328"/>
      <c r="V38" s="326"/>
      <c r="W38" s="391">
        <f t="shared" ref="W38:W42" si="4">SUM(K38:V38)</f>
        <v>10</v>
      </c>
      <c r="X38" s="392"/>
      <c r="Y38" s="478"/>
    </row>
    <row r="39" spans="2:28" ht="17.25" customHeight="1">
      <c r="B39" s="432"/>
      <c r="C39" s="433"/>
      <c r="D39" s="65" t="s">
        <v>155</v>
      </c>
      <c r="E39" s="66" t="s">
        <v>357</v>
      </c>
      <c r="F39" s="397" t="s">
        <v>519</v>
      </c>
      <c r="G39" s="398"/>
      <c r="H39" s="34"/>
      <c r="I39" s="234"/>
      <c r="J39" s="144">
        <f t="shared" si="3"/>
        <v>10</v>
      </c>
      <c r="K39" s="325"/>
      <c r="L39" s="327"/>
      <c r="M39" s="328">
        <v>10</v>
      </c>
      <c r="N39" s="329"/>
      <c r="O39" s="334"/>
      <c r="P39" s="327"/>
      <c r="Q39" s="328"/>
      <c r="R39" s="329"/>
      <c r="S39" s="334"/>
      <c r="T39" s="327"/>
      <c r="U39" s="328"/>
      <c r="V39" s="326"/>
      <c r="W39" s="391">
        <f t="shared" si="4"/>
        <v>10</v>
      </c>
      <c r="X39" s="392"/>
      <c r="Y39" s="478"/>
    </row>
    <row r="40" spans="2:28" ht="17.25" customHeight="1">
      <c r="B40" s="432"/>
      <c r="C40" s="433"/>
      <c r="D40" s="65" t="s">
        <v>68</v>
      </c>
      <c r="E40" s="66" t="s">
        <v>358</v>
      </c>
      <c r="F40" s="397" t="s">
        <v>525</v>
      </c>
      <c r="G40" s="398"/>
      <c r="H40" s="34"/>
      <c r="I40" s="234"/>
      <c r="J40" s="144">
        <f t="shared" si="3"/>
        <v>11</v>
      </c>
      <c r="K40" s="325"/>
      <c r="L40" s="327"/>
      <c r="M40" s="328"/>
      <c r="N40" s="329"/>
      <c r="O40" s="334">
        <v>5</v>
      </c>
      <c r="P40" s="327"/>
      <c r="Q40" s="328">
        <v>6</v>
      </c>
      <c r="R40" s="329"/>
      <c r="S40" s="334"/>
      <c r="T40" s="327"/>
      <c r="U40" s="328"/>
      <c r="V40" s="326"/>
      <c r="W40" s="391">
        <f t="shared" si="4"/>
        <v>11</v>
      </c>
      <c r="X40" s="392"/>
      <c r="Y40" s="478"/>
      <c r="AA40" s="203"/>
      <c r="AB40" s="204"/>
    </row>
    <row r="41" spans="2:28" ht="17.25" customHeight="1">
      <c r="B41" s="432"/>
      <c r="C41" s="433"/>
      <c r="D41" s="65" t="s">
        <v>68</v>
      </c>
      <c r="E41" s="66" t="s">
        <v>358</v>
      </c>
      <c r="F41" s="410" t="s">
        <v>526</v>
      </c>
      <c r="G41" s="411"/>
      <c r="H41" s="34"/>
      <c r="I41" s="234"/>
      <c r="J41" s="144">
        <f t="shared" si="3"/>
        <v>8</v>
      </c>
      <c r="K41" s="325"/>
      <c r="L41" s="327"/>
      <c r="M41" s="328"/>
      <c r="N41" s="329"/>
      <c r="O41" s="334"/>
      <c r="P41" s="327"/>
      <c r="Q41" s="328">
        <v>8</v>
      </c>
      <c r="R41" s="329"/>
      <c r="S41" s="334"/>
      <c r="T41" s="327"/>
      <c r="U41" s="328"/>
      <c r="V41" s="326"/>
      <c r="W41" s="391">
        <f t="shared" si="4"/>
        <v>8</v>
      </c>
      <c r="X41" s="392"/>
      <c r="Y41" s="478"/>
      <c r="AA41" s="203"/>
      <c r="AB41" s="204"/>
    </row>
    <row r="42" spans="2:28" ht="17.25" customHeight="1" thickBot="1">
      <c r="B42" s="432"/>
      <c r="C42" s="433"/>
      <c r="D42" s="65" t="s">
        <v>155</v>
      </c>
      <c r="E42" s="66" t="s">
        <v>358</v>
      </c>
      <c r="F42" s="410" t="s">
        <v>527</v>
      </c>
      <c r="G42" s="411"/>
      <c r="H42" s="34"/>
      <c r="I42" s="234"/>
      <c r="J42" s="144">
        <f t="shared" si="3"/>
        <v>34</v>
      </c>
      <c r="K42" s="325"/>
      <c r="L42" s="327"/>
      <c r="M42" s="328"/>
      <c r="N42" s="399"/>
      <c r="O42" s="334"/>
      <c r="P42" s="327"/>
      <c r="Q42" s="328"/>
      <c r="R42" s="329"/>
      <c r="S42" s="399">
        <v>18</v>
      </c>
      <c r="T42" s="327"/>
      <c r="U42" s="328">
        <v>16</v>
      </c>
      <c r="V42" s="326"/>
      <c r="W42" s="391">
        <f t="shared" si="4"/>
        <v>34</v>
      </c>
      <c r="X42" s="392"/>
      <c r="Y42" s="478"/>
      <c r="AA42" s="203"/>
      <c r="AB42" s="204"/>
    </row>
    <row r="43" spans="2:28" ht="17.25" customHeight="1">
      <c r="B43" s="555" t="s">
        <v>153</v>
      </c>
      <c r="C43" s="551" t="s">
        <v>359</v>
      </c>
      <c r="D43" s="145" t="s">
        <v>71</v>
      </c>
      <c r="E43" s="70" t="s">
        <v>358</v>
      </c>
      <c r="F43" s="425" t="s">
        <v>528</v>
      </c>
      <c r="G43" s="426"/>
      <c r="H43" s="147"/>
      <c r="I43" s="236"/>
      <c r="J43" s="216">
        <f t="shared" si="3"/>
        <v>16</v>
      </c>
      <c r="K43" s="372"/>
      <c r="L43" s="373"/>
      <c r="M43" s="427"/>
      <c r="N43" s="428"/>
      <c r="O43" s="549"/>
      <c r="P43" s="373"/>
      <c r="Q43" s="427"/>
      <c r="R43" s="570"/>
      <c r="S43" s="571">
        <v>8</v>
      </c>
      <c r="T43" s="307"/>
      <c r="U43" s="340">
        <v>8</v>
      </c>
      <c r="V43" s="541"/>
      <c r="W43" s="362">
        <f>SUM(O43:V44)</f>
        <v>21</v>
      </c>
      <c r="X43" s="363"/>
      <c r="Y43" s="478"/>
    </row>
    <row r="44" spans="2:28" ht="17.25" customHeight="1" thickBot="1">
      <c r="B44" s="556"/>
      <c r="C44" s="552"/>
      <c r="D44" s="71" t="s">
        <v>155</v>
      </c>
      <c r="E44" s="174" t="s">
        <v>358</v>
      </c>
      <c r="F44" s="412" t="s">
        <v>523</v>
      </c>
      <c r="G44" s="413"/>
      <c r="H44" s="149"/>
      <c r="I44" s="237"/>
      <c r="J44" s="57">
        <f t="shared" si="3"/>
        <v>5</v>
      </c>
      <c r="K44" s="544"/>
      <c r="L44" s="545"/>
      <c r="M44" s="546"/>
      <c r="N44" s="547"/>
      <c r="O44" s="548"/>
      <c r="P44" s="545"/>
      <c r="Q44" s="546"/>
      <c r="R44" s="547"/>
      <c r="S44" s="354"/>
      <c r="T44" s="351"/>
      <c r="U44" s="352">
        <v>5</v>
      </c>
      <c r="V44" s="359"/>
      <c r="W44" s="364"/>
      <c r="X44" s="365"/>
      <c r="Y44" s="478"/>
    </row>
    <row r="45" spans="2:28" ht="17.25" customHeight="1">
      <c r="B45" s="556"/>
      <c r="C45" s="558" t="s">
        <v>360</v>
      </c>
      <c r="D45" s="68" t="s">
        <v>155</v>
      </c>
      <c r="E45" s="72" t="s">
        <v>358</v>
      </c>
      <c r="F45" s="559" t="s">
        <v>522</v>
      </c>
      <c r="G45" s="560"/>
      <c r="H45" s="148"/>
      <c r="I45" s="238"/>
      <c r="J45" s="144">
        <f t="shared" si="3"/>
        <v>16</v>
      </c>
      <c r="K45" s="561"/>
      <c r="L45" s="562"/>
      <c r="M45" s="563"/>
      <c r="N45" s="564"/>
      <c r="O45" s="565"/>
      <c r="P45" s="562"/>
      <c r="Q45" s="563"/>
      <c r="R45" s="564"/>
      <c r="S45" s="566">
        <v>8</v>
      </c>
      <c r="T45" s="567"/>
      <c r="U45" s="568">
        <v>8</v>
      </c>
      <c r="V45" s="569"/>
      <c r="W45" s="364"/>
      <c r="X45" s="365"/>
      <c r="Y45" s="478"/>
    </row>
    <row r="46" spans="2:28" ht="17.25" customHeight="1" thickBot="1">
      <c r="B46" s="557"/>
      <c r="C46" s="552"/>
      <c r="D46" s="71" t="s">
        <v>155</v>
      </c>
      <c r="E46" s="66" t="s">
        <v>358</v>
      </c>
      <c r="F46" s="412" t="s">
        <v>521</v>
      </c>
      <c r="G46" s="413"/>
      <c r="H46" s="149"/>
      <c r="I46" s="239"/>
      <c r="J46" s="217">
        <f t="shared" si="3"/>
        <v>5</v>
      </c>
      <c r="K46" s="544"/>
      <c r="L46" s="545"/>
      <c r="M46" s="546"/>
      <c r="N46" s="550"/>
      <c r="O46" s="548"/>
      <c r="P46" s="545"/>
      <c r="Q46" s="546"/>
      <c r="R46" s="547"/>
      <c r="S46" s="553"/>
      <c r="T46" s="351"/>
      <c r="U46" s="554">
        <v>5</v>
      </c>
      <c r="V46" s="349"/>
      <c r="W46" s="542"/>
      <c r="X46" s="543"/>
      <c r="Y46" s="478"/>
    </row>
    <row r="47" spans="2:28" ht="17.25" customHeight="1" thickBot="1">
      <c r="B47" s="423" t="s">
        <v>154</v>
      </c>
      <c r="C47" s="179" t="s">
        <v>529</v>
      </c>
      <c r="D47" s="68" t="s">
        <v>586</v>
      </c>
      <c r="E47" s="70" t="s">
        <v>358</v>
      </c>
      <c r="F47" s="425" t="s">
        <v>585</v>
      </c>
      <c r="G47" s="426"/>
      <c r="H47" s="147"/>
      <c r="I47" s="236"/>
      <c r="J47" s="165">
        <f t="shared" si="3"/>
        <v>4</v>
      </c>
      <c r="K47" s="372"/>
      <c r="L47" s="373"/>
      <c r="M47" s="427"/>
      <c r="N47" s="428"/>
      <c r="O47" s="310">
        <v>2</v>
      </c>
      <c r="P47" s="307"/>
      <c r="Q47" s="308">
        <v>2</v>
      </c>
      <c r="R47" s="309"/>
      <c r="S47" s="428"/>
      <c r="T47" s="373"/>
      <c r="U47" s="427"/>
      <c r="V47" s="429"/>
      <c r="W47" s="362">
        <f>SUM(K47:V47)</f>
        <v>4</v>
      </c>
      <c r="X47" s="363"/>
      <c r="Y47" s="478"/>
    </row>
    <row r="48" spans="2:28" ht="17.25" customHeight="1" thickBot="1">
      <c r="B48" s="424"/>
      <c r="C48" s="201" t="s">
        <v>532</v>
      </c>
      <c r="D48" s="69" t="s">
        <v>66</v>
      </c>
      <c r="E48" s="73" t="s">
        <v>358</v>
      </c>
      <c r="F48" s="425" t="s">
        <v>530</v>
      </c>
      <c r="G48" s="426"/>
      <c r="H48" s="147"/>
      <c r="I48" s="244"/>
      <c r="J48" s="218">
        <f t="shared" si="3"/>
        <v>4</v>
      </c>
      <c r="K48" s="372"/>
      <c r="L48" s="373"/>
      <c r="M48" s="427"/>
      <c r="N48" s="428"/>
      <c r="O48" s="310">
        <v>2</v>
      </c>
      <c r="P48" s="307"/>
      <c r="Q48" s="308">
        <v>2</v>
      </c>
      <c r="R48" s="309"/>
      <c r="S48" s="428"/>
      <c r="T48" s="373"/>
      <c r="U48" s="427"/>
      <c r="V48" s="429"/>
      <c r="W48" s="364"/>
      <c r="X48" s="365"/>
      <c r="Y48" s="478"/>
    </row>
    <row r="49" spans="2:29">
      <c r="B49" s="448" t="s">
        <v>363</v>
      </c>
      <c r="C49" s="444"/>
      <c r="D49" s="444"/>
      <c r="E49" s="444"/>
      <c r="F49" s="444"/>
      <c r="G49" s="446"/>
      <c r="H49" s="452">
        <f>SUM(H37:H42)</f>
        <v>0</v>
      </c>
      <c r="I49" s="454">
        <f>SUM(I37:I42)</f>
        <v>0</v>
      </c>
      <c r="J49" s="456">
        <f>SUM(J37:J44, J47)</f>
        <v>101</v>
      </c>
      <c r="K49" s="448">
        <f>SUM(K37:L48)</f>
        <v>10</v>
      </c>
      <c r="L49" s="437"/>
      <c r="M49" s="440">
        <f>SUM(M37:N47)</f>
        <v>10</v>
      </c>
      <c r="N49" s="444"/>
      <c r="O49" s="436">
        <f>SUM(O37:P47)</f>
        <v>7</v>
      </c>
      <c r="P49" s="437"/>
      <c r="Q49" s="440">
        <f>SUM(Q37:R47)</f>
        <v>16</v>
      </c>
      <c r="R49" s="441"/>
      <c r="S49" s="444">
        <f>SUM(S37:T44)</f>
        <v>29</v>
      </c>
      <c r="T49" s="437"/>
      <c r="U49" s="440">
        <f>SUM(U37:V44)</f>
        <v>29</v>
      </c>
      <c r="V49" s="446"/>
      <c r="W49" s="448">
        <f>SUM(K49:V50)</f>
        <v>101</v>
      </c>
      <c r="X49" s="446"/>
      <c r="Y49" s="450">
        <f>SUM(Y37:Y48)</f>
        <v>80</v>
      </c>
      <c r="AC49" s="175"/>
    </row>
    <row r="50" spans="2:29" ht="17.25" thickBot="1">
      <c r="B50" s="449"/>
      <c r="C50" s="445"/>
      <c r="D50" s="445"/>
      <c r="E50" s="445"/>
      <c r="F50" s="445"/>
      <c r="G50" s="447"/>
      <c r="H50" s="453"/>
      <c r="I50" s="455"/>
      <c r="J50" s="457"/>
      <c r="K50" s="449"/>
      <c r="L50" s="439"/>
      <c r="M50" s="442"/>
      <c r="N50" s="445"/>
      <c r="O50" s="438"/>
      <c r="P50" s="439"/>
      <c r="Q50" s="442"/>
      <c r="R50" s="443"/>
      <c r="S50" s="445"/>
      <c r="T50" s="439"/>
      <c r="U50" s="442"/>
      <c r="V50" s="447"/>
      <c r="W50" s="449"/>
      <c r="X50" s="447"/>
      <c r="Y50" s="451"/>
      <c r="AC50" s="175"/>
    </row>
    <row r="51" spans="2:29" ht="17.25" thickBot="1">
      <c r="B51" s="380" t="s">
        <v>593</v>
      </c>
      <c r="C51" s="385"/>
      <c r="D51" s="385"/>
      <c r="E51" s="385"/>
      <c r="F51" s="385"/>
      <c r="G51" s="386"/>
      <c r="H51" s="173">
        <f>SUM(H36,H49)</f>
        <v>97</v>
      </c>
      <c r="I51" s="170">
        <f>SUM(I36,I49)</f>
        <v>0</v>
      </c>
      <c r="J51" s="171">
        <f>SUM(J36,J49)</f>
        <v>174</v>
      </c>
      <c r="K51" s="380">
        <f>SUM(K36,K49)</f>
        <v>29</v>
      </c>
      <c r="L51" s="381"/>
      <c r="M51" s="388">
        <f>SUM(M36,M49)</f>
        <v>29</v>
      </c>
      <c r="N51" s="458"/>
      <c r="O51" s="459">
        <f>SUM(O36,O49)</f>
        <v>29</v>
      </c>
      <c r="P51" s="381"/>
      <c r="Q51" s="388">
        <f>SUM(Q36,Q49)</f>
        <v>29</v>
      </c>
      <c r="R51" s="458"/>
      <c r="S51" s="459">
        <f>SUM(S36,S49)</f>
        <v>29</v>
      </c>
      <c r="T51" s="381"/>
      <c r="U51" s="388">
        <f>SUM(U36,U49)</f>
        <v>29</v>
      </c>
      <c r="V51" s="386"/>
      <c r="W51" s="380">
        <f>SUM(K51:V51)</f>
        <v>174</v>
      </c>
      <c r="X51" s="386"/>
      <c r="Y51" s="11">
        <f>Y49+Y36</f>
        <v>144</v>
      </c>
      <c r="AC51" s="74"/>
    </row>
    <row r="52" spans="2:29" ht="16.5" customHeight="1">
      <c r="B52" s="464" t="s">
        <v>364</v>
      </c>
      <c r="C52" s="465"/>
      <c r="D52" s="465"/>
      <c r="E52" s="466"/>
      <c r="F52" s="473" t="s">
        <v>361</v>
      </c>
      <c r="G52" s="474"/>
      <c r="H52" s="474"/>
      <c r="I52" s="474"/>
      <c r="J52" s="475"/>
      <c r="K52" s="305">
        <v>16</v>
      </c>
      <c r="L52" s="307"/>
      <c r="M52" s="308">
        <v>16</v>
      </c>
      <c r="N52" s="309"/>
      <c r="O52" s="310">
        <v>16</v>
      </c>
      <c r="P52" s="307"/>
      <c r="Q52" s="308">
        <v>16</v>
      </c>
      <c r="R52" s="309"/>
      <c r="S52" s="310">
        <v>16</v>
      </c>
      <c r="T52" s="307"/>
      <c r="U52" s="308">
        <v>16</v>
      </c>
      <c r="V52" s="306"/>
      <c r="W52" s="464">
        <f>SUM(K52:V54)</f>
        <v>288</v>
      </c>
      <c r="X52" s="466"/>
      <c r="Y52" s="450">
        <f>Y55*16</f>
        <v>288</v>
      </c>
    </row>
    <row r="53" spans="2:29" ht="16.5" customHeight="1">
      <c r="B53" s="467"/>
      <c r="C53" s="468"/>
      <c r="D53" s="468"/>
      <c r="E53" s="469"/>
      <c r="F53" s="480" t="s">
        <v>63</v>
      </c>
      <c r="G53" s="481"/>
      <c r="H53" s="481"/>
      <c r="I53" s="481"/>
      <c r="J53" s="482"/>
      <c r="K53" s="325">
        <v>16</v>
      </c>
      <c r="L53" s="327"/>
      <c r="M53" s="328">
        <v>16</v>
      </c>
      <c r="N53" s="329"/>
      <c r="O53" s="334">
        <v>16</v>
      </c>
      <c r="P53" s="327"/>
      <c r="Q53" s="328">
        <v>16</v>
      </c>
      <c r="R53" s="329"/>
      <c r="S53" s="334">
        <v>16</v>
      </c>
      <c r="T53" s="327"/>
      <c r="U53" s="328">
        <v>16</v>
      </c>
      <c r="V53" s="326"/>
      <c r="W53" s="467"/>
      <c r="X53" s="469"/>
      <c r="Y53" s="478"/>
    </row>
    <row r="54" spans="2:29" ht="16.5" customHeight="1">
      <c r="B54" s="467"/>
      <c r="C54" s="468"/>
      <c r="D54" s="468"/>
      <c r="E54" s="469"/>
      <c r="F54" s="480" t="s">
        <v>11</v>
      </c>
      <c r="G54" s="481"/>
      <c r="H54" s="481"/>
      <c r="I54" s="481"/>
      <c r="J54" s="482"/>
      <c r="K54" s="325">
        <v>16</v>
      </c>
      <c r="L54" s="327"/>
      <c r="M54" s="328">
        <v>16</v>
      </c>
      <c r="N54" s="329"/>
      <c r="O54" s="334">
        <v>16</v>
      </c>
      <c r="P54" s="327"/>
      <c r="Q54" s="328">
        <v>16</v>
      </c>
      <c r="R54" s="329"/>
      <c r="S54" s="334">
        <v>16</v>
      </c>
      <c r="T54" s="327"/>
      <c r="U54" s="328">
        <v>16</v>
      </c>
      <c r="V54" s="326"/>
      <c r="W54" s="476"/>
      <c r="X54" s="477"/>
      <c r="Y54" s="479"/>
      <c r="AC54" s="175"/>
    </row>
    <row r="55" spans="2:29" ht="16.5" customHeight="1" thickBot="1">
      <c r="B55" s="470"/>
      <c r="C55" s="471"/>
      <c r="D55" s="471"/>
      <c r="E55" s="472"/>
      <c r="F55" s="462" t="s">
        <v>149</v>
      </c>
      <c r="G55" s="485"/>
      <c r="H55" s="485"/>
      <c r="I55" s="485"/>
      <c r="J55" s="463"/>
      <c r="K55" s="486">
        <v>3</v>
      </c>
      <c r="L55" s="487"/>
      <c r="M55" s="460">
        <v>3</v>
      </c>
      <c r="N55" s="488"/>
      <c r="O55" s="489">
        <v>3</v>
      </c>
      <c r="P55" s="487"/>
      <c r="Q55" s="460">
        <v>3</v>
      </c>
      <c r="R55" s="488"/>
      <c r="S55" s="489">
        <v>3</v>
      </c>
      <c r="T55" s="487"/>
      <c r="U55" s="460">
        <v>3</v>
      </c>
      <c r="V55" s="461"/>
      <c r="W55" s="462">
        <f>SUM(K55:V55)</f>
        <v>18</v>
      </c>
      <c r="X55" s="463"/>
      <c r="Y55" s="75">
        <v>18</v>
      </c>
      <c r="AC55" s="74"/>
    </row>
    <row r="56" spans="2:29" ht="24.75" customHeight="1" thickBot="1">
      <c r="B56" s="380"/>
      <c r="C56" s="385"/>
      <c r="D56" s="385"/>
      <c r="E56" s="385"/>
      <c r="F56" s="385"/>
      <c r="G56" s="385"/>
      <c r="H56" s="385"/>
      <c r="I56" s="385"/>
      <c r="J56" s="386"/>
      <c r="K56" s="380">
        <v>32</v>
      </c>
      <c r="L56" s="381"/>
      <c r="M56" s="388">
        <v>32</v>
      </c>
      <c r="N56" s="458"/>
      <c r="O56" s="459">
        <v>32</v>
      </c>
      <c r="P56" s="381"/>
      <c r="Q56" s="388">
        <v>32</v>
      </c>
      <c r="R56" s="458"/>
      <c r="S56" s="459">
        <v>32</v>
      </c>
      <c r="T56" s="381"/>
      <c r="U56" s="388">
        <v>32</v>
      </c>
      <c r="V56" s="386"/>
      <c r="W56" s="380">
        <f>SUM(K56:V56)</f>
        <v>192</v>
      </c>
      <c r="X56" s="386"/>
      <c r="Y56" s="40">
        <f>W56</f>
        <v>192</v>
      </c>
      <c r="AC56" s="175"/>
    </row>
    <row r="57" spans="2:29" ht="17.25" thickBot="1">
      <c r="B57" s="380"/>
      <c r="C57" s="385"/>
      <c r="D57" s="385"/>
      <c r="E57" s="385"/>
      <c r="F57" s="385"/>
      <c r="G57" s="385"/>
      <c r="H57" s="385"/>
      <c r="I57" s="385"/>
      <c r="J57" s="386"/>
      <c r="K57" s="380">
        <f>SUM(K56:N56)</f>
        <v>64</v>
      </c>
      <c r="L57" s="385"/>
      <c r="M57" s="385"/>
      <c r="N57" s="458"/>
      <c r="O57" s="459">
        <f>SUM(O56:R56)</f>
        <v>64</v>
      </c>
      <c r="P57" s="385"/>
      <c r="Q57" s="385"/>
      <c r="R57" s="458"/>
      <c r="S57" s="459">
        <f>SUM(S56:V56)</f>
        <v>64</v>
      </c>
      <c r="T57" s="385"/>
      <c r="U57" s="385"/>
      <c r="V57" s="386"/>
      <c r="W57" s="380">
        <f>SUM(K57:V57)</f>
        <v>192</v>
      </c>
      <c r="X57" s="386"/>
      <c r="Y57" s="11"/>
      <c r="AC57" s="74"/>
    </row>
    <row r="58" spans="2:29" ht="17.25" customHeight="1">
      <c r="AA58" s="483" t="s">
        <v>156</v>
      </c>
      <c r="AB58" s="483"/>
    </row>
    <row r="59" spans="2:29" ht="18.75" customHeight="1" thickBot="1">
      <c r="AA59" s="484"/>
      <c r="AB59" s="484"/>
    </row>
    <row r="60" spans="2:29" ht="17.25" customHeight="1" thickBot="1">
      <c r="AA60" s="382" t="b">
        <f>W51&gt;=Y51</f>
        <v>1</v>
      </c>
      <c r="AB60" s="383"/>
    </row>
    <row r="61" spans="2:29" ht="17.25" customHeight="1"/>
    <row r="62" spans="2:29" ht="17.25" customHeight="1" thickBot="1">
      <c r="AA62" s="483" t="s">
        <v>157</v>
      </c>
      <c r="AB62" s="483"/>
    </row>
    <row r="63" spans="2:29" ht="17.25" customHeight="1" thickBot="1">
      <c r="AA63" s="382" t="b">
        <f>W55&gt;=Y55</f>
        <v>1</v>
      </c>
      <c r="AB63" s="383"/>
    </row>
    <row r="64" spans="2:29" ht="17.25" customHeight="1" thickBot="1">
      <c r="AA64" s="483" t="s">
        <v>152</v>
      </c>
      <c r="AB64" s="483"/>
    </row>
    <row r="65" spans="27:28" ht="17.25" customHeight="1" thickBot="1">
      <c r="AA65" s="382" t="b">
        <f>W56&gt;=Y56</f>
        <v>1</v>
      </c>
      <c r="AB65" s="383"/>
    </row>
    <row r="66" spans="27:28" ht="17.25" customHeight="1"/>
    <row r="67" spans="27:28" ht="17.25" customHeight="1"/>
    <row r="68" spans="27:28" ht="17.25" customHeight="1"/>
    <row r="70" spans="27:28" ht="24.95" customHeight="1"/>
    <row r="71" spans="27:28" ht="24.95" customHeight="1"/>
    <row r="72" spans="27:28" ht="32.25" customHeight="1"/>
    <row r="73" spans="27:28" ht="24.95" customHeight="1"/>
    <row r="75" spans="27:28" ht="16.5" customHeight="1"/>
    <row r="76" spans="27:28" ht="17.25" customHeight="1"/>
    <row r="77" spans="27:28" ht="16.5" customHeight="1"/>
    <row r="78" spans="27:28" ht="16.5" customHeight="1"/>
    <row r="79" spans="27:28" ht="16.5" customHeight="1"/>
    <row r="80" spans="27:28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244.5" customHeight="1"/>
  </sheetData>
  <mergeCells count="433">
    <mergeCell ref="U16:V16"/>
    <mergeCell ref="S10:T10"/>
    <mergeCell ref="U10:V10"/>
    <mergeCell ref="S13:T13"/>
    <mergeCell ref="U13:V13"/>
    <mergeCell ref="O11:P11"/>
    <mergeCell ref="Q11:R11"/>
    <mergeCell ref="S11:T11"/>
    <mergeCell ref="U11:V11"/>
    <mergeCell ref="S12:T12"/>
    <mergeCell ref="U12:V12"/>
    <mergeCell ref="F10:G10"/>
    <mergeCell ref="K10:L10"/>
    <mergeCell ref="M10:N10"/>
    <mergeCell ref="O10:P10"/>
    <mergeCell ref="Q10:R10"/>
    <mergeCell ref="F13:G13"/>
    <mergeCell ref="K13:L13"/>
    <mergeCell ref="M13:N13"/>
    <mergeCell ref="O13:P13"/>
    <mergeCell ref="Q13:R13"/>
    <mergeCell ref="AA60:AB60"/>
    <mergeCell ref="AA62:AB62"/>
    <mergeCell ref="AA63:AB63"/>
    <mergeCell ref="AA64:AB64"/>
    <mergeCell ref="AA65:AB65"/>
    <mergeCell ref="B57:J57"/>
    <mergeCell ref="K57:N57"/>
    <mergeCell ref="O57:R57"/>
    <mergeCell ref="S57:V57"/>
    <mergeCell ref="W57:X57"/>
    <mergeCell ref="AA58:AB59"/>
    <mergeCell ref="W55:X55"/>
    <mergeCell ref="B56:J56"/>
    <mergeCell ref="K56:L56"/>
    <mergeCell ref="M56:N56"/>
    <mergeCell ref="O56:P56"/>
    <mergeCell ref="Q56:R56"/>
    <mergeCell ref="S56:T56"/>
    <mergeCell ref="U56:V56"/>
    <mergeCell ref="W56:X56"/>
    <mergeCell ref="F55:J55"/>
    <mergeCell ref="K55:L55"/>
    <mergeCell ref="M55:N55"/>
    <mergeCell ref="O55:P55"/>
    <mergeCell ref="Q55:R55"/>
    <mergeCell ref="S55:T55"/>
    <mergeCell ref="B52:E55"/>
    <mergeCell ref="U55:V55"/>
    <mergeCell ref="K54:L54"/>
    <mergeCell ref="M54:N54"/>
    <mergeCell ref="O54:P54"/>
    <mergeCell ref="Q54:R54"/>
    <mergeCell ref="S54:T54"/>
    <mergeCell ref="W52:X54"/>
    <mergeCell ref="Y52:Y54"/>
    <mergeCell ref="F53:J53"/>
    <mergeCell ref="K53:L53"/>
    <mergeCell ref="M53:N53"/>
    <mergeCell ref="O53:P53"/>
    <mergeCell ref="Q53:R53"/>
    <mergeCell ref="S53:T53"/>
    <mergeCell ref="U53:V53"/>
    <mergeCell ref="F54:J54"/>
    <mergeCell ref="F52:J52"/>
    <mergeCell ref="K52:L52"/>
    <mergeCell ref="M52:N52"/>
    <mergeCell ref="O52:P52"/>
    <mergeCell ref="Q52:R52"/>
    <mergeCell ref="S52:T52"/>
    <mergeCell ref="U52:V52"/>
    <mergeCell ref="U54:V54"/>
    <mergeCell ref="Y49:Y50"/>
    <mergeCell ref="B49:G50"/>
    <mergeCell ref="H49:H50"/>
    <mergeCell ref="I49:I50"/>
    <mergeCell ref="J49:J50"/>
    <mergeCell ref="K49:L50"/>
    <mergeCell ref="M49:N50"/>
    <mergeCell ref="U51:V51"/>
    <mergeCell ref="W51:X51"/>
    <mergeCell ref="B51:G51"/>
    <mergeCell ref="K51:L51"/>
    <mergeCell ref="M51:N51"/>
    <mergeCell ref="O51:P51"/>
    <mergeCell ref="Q51:R51"/>
    <mergeCell ref="S51:T51"/>
    <mergeCell ref="W47:X48"/>
    <mergeCell ref="F48:G48"/>
    <mergeCell ref="K48:L48"/>
    <mergeCell ref="M48:N48"/>
    <mergeCell ref="O48:P48"/>
    <mergeCell ref="Q48:R48"/>
    <mergeCell ref="S48:T48"/>
    <mergeCell ref="U48:V48"/>
    <mergeCell ref="O49:P50"/>
    <mergeCell ref="Q49:R50"/>
    <mergeCell ref="S49:T50"/>
    <mergeCell ref="U49:V50"/>
    <mergeCell ref="W49:X50"/>
    <mergeCell ref="C43:C44"/>
    <mergeCell ref="Q46:R46"/>
    <mergeCell ref="S46:T46"/>
    <mergeCell ref="U46:V46"/>
    <mergeCell ref="B47:B48"/>
    <mergeCell ref="F47:G47"/>
    <mergeCell ref="K47:L47"/>
    <mergeCell ref="M47:N47"/>
    <mergeCell ref="O47:P47"/>
    <mergeCell ref="B43:B46"/>
    <mergeCell ref="Q47:R47"/>
    <mergeCell ref="S47:T47"/>
    <mergeCell ref="U47:V47"/>
    <mergeCell ref="C45:C46"/>
    <mergeCell ref="F45:G45"/>
    <mergeCell ref="K45:L45"/>
    <mergeCell ref="M45:N45"/>
    <mergeCell ref="O45:P45"/>
    <mergeCell ref="Q45:R45"/>
    <mergeCell ref="S45:T45"/>
    <mergeCell ref="U45:V45"/>
    <mergeCell ref="F46:G46"/>
    <mergeCell ref="Q43:R43"/>
    <mergeCell ref="S43:T43"/>
    <mergeCell ref="U43:V43"/>
    <mergeCell ref="W43:X46"/>
    <mergeCell ref="F44:G44"/>
    <mergeCell ref="K44:L44"/>
    <mergeCell ref="M44:N44"/>
    <mergeCell ref="O44:P44"/>
    <mergeCell ref="Q44:R44"/>
    <mergeCell ref="S44:T44"/>
    <mergeCell ref="F43:G43"/>
    <mergeCell ref="K43:L43"/>
    <mergeCell ref="M43:N43"/>
    <mergeCell ref="O43:P43"/>
    <mergeCell ref="K46:L46"/>
    <mergeCell ref="M46:N46"/>
    <mergeCell ref="O46:P46"/>
    <mergeCell ref="U44:V44"/>
    <mergeCell ref="U42:V42"/>
    <mergeCell ref="W42:X42"/>
    <mergeCell ref="F42:G42"/>
    <mergeCell ref="K42:L42"/>
    <mergeCell ref="M42:N42"/>
    <mergeCell ref="O42:P42"/>
    <mergeCell ref="Q42:R42"/>
    <mergeCell ref="S42:T42"/>
    <mergeCell ref="Q39:R39"/>
    <mergeCell ref="S39:T39"/>
    <mergeCell ref="U39:V39"/>
    <mergeCell ref="W39:X39"/>
    <mergeCell ref="U40:V40"/>
    <mergeCell ref="W40:X40"/>
    <mergeCell ref="F41:G41"/>
    <mergeCell ref="K41:L41"/>
    <mergeCell ref="M41:N41"/>
    <mergeCell ref="O41:P41"/>
    <mergeCell ref="Q41:R41"/>
    <mergeCell ref="S41:T41"/>
    <mergeCell ref="U41:V41"/>
    <mergeCell ref="W41:X41"/>
    <mergeCell ref="F40:G40"/>
    <mergeCell ref="K40:L40"/>
    <mergeCell ref="M40:N40"/>
    <mergeCell ref="O40:P40"/>
    <mergeCell ref="Q40:R40"/>
    <mergeCell ref="S40:T40"/>
    <mergeCell ref="AA36:AB36"/>
    <mergeCell ref="B37:C42"/>
    <mergeCell ref="D37:E37"/>
    <mergeCell ref="F37:G37"/>
    <mergeCell ref="K37:L37"/>
    <mergeCell ref="M37:N37"/>
    <mergeCell ref="O37:P37"/>
    <mergeCell ref="Q37:R37"/>
    <mergeCell ref="S37:T37"/>
    <mergeCell ref="U37:V37"/>
    <mergeCell ref="W37:X37"/>
    <mergeCell ref="Y37:Y48"/>
    <mergeCell ref="F38:G38"/>
    <mergeCell ref="K38:L38"/>
    <mergeCell ref="M38:N38"/>
    <mergeCell ref="O38:P38"/>
    <mergeCell ref="Q38:R38"/>
    <mergeCell ref="S38:T38"/>
    <mergeCell ref="U38:V38"/>
    <mergeCell ref="W38:X38"/>
    <mergeCell ref="F39:G39"/>
    <mergeCell ref="K39:L39"/>
    <mergeCell ref="M39:N39"/>
    <mergeCell ref="O39:P39"/>
    <mergeCell ref="W33:X35"/>
    <mergeCell ref="Y33:Y35"/>
    <mergeCell ref="U35:V35"/>
    <mergeCell ref="B36:G36"/>
    <mergeCell ref="K36:L36"/>
    <mergeCell ref="M36:N36"/>
    <mergeCell ref="O36:P36"/>
    <mergeCell ref="Q36:R36"/>
    <mergeCell ref="S36:T36"/>
    <mergeCell ref="U36:V36"/>
    <mergeCell ref="F35:G35"/>
    <mergeCell ref="K35:L35"/>
    <mergeCell ref="M35:N35"/>
    <mergeCell ref="O35:P35"/>
    <mergeCell ref="Q35:R35"/>
    <mergeCell ref="S35:T35"/>
    <mergeCell ref="W36:X36"/>
    <mergeCell ref="S29:T29"/>
    <mergeCell ref="U29:V29"/>
    <mergeCell ref="D33:D35"/>
    <mergeCell ref="F33:G33"/>
    <mergeCell ref="K33:L33"/>
    <mergeCell ref="M33:N33"/>
    <mergeCell ref="O33:P33"/>
    <mergeCell ref="Q33:R33"/>
    <mergeCell ref="S33:T33"/>
    <mergeCell ref="U33:V33"/>
    <mergeCell ref="Q31:R31"/>
    <mergeCell ref="S30:T30"/>
    <mergeCell ref="S31:T31"/>
    <mergeCell ref="U30:V30"/>
    <mergeCell ref="U31:V31"/>
    <mergeCell ref="F34:G34"/>
    <mergeCell ref="K34:L34"/>
    <mergeCell ref="M34:N34"/>
    <mergeCell ref="O34:P34"/>
    <mergeCell ref="Q34:R34"/>
    <mergeCell ref="S34:T34"/>
    <mergeCell ref="U34:V34"/>
    <mergeCell ref="W29:X32"/>
    <mergeCell ref="Y29:Y32"/>
    <mergeCell ref="F32:G32"/>
    <mergeCell ref="K32:L32"/>
    <mergeCell ref="M32:N32"/>
    <mergeCell ref="O32:P32"/>
    <mergeCell ref="Q32:R32"/>
    <mergeCell ref="S32:T32"/>
    <mergeCell ref="D29:D32"/>
    <mergeCell ref="F29:G29"/>
    <mergeCell ref="K29:L29"/>
    <mergeCell ref="M29:N29"/>
    <mergeCell ref="O29:P29"/>
    <mergeCell ref="Q29:R29"/>
    <mergeCell ref="U32:V32"/>
    <mergeCell ref="F30:G30"/>
    <mergeCell ref="F31:G31"/>
    <mergeCell ref="K30:L30"/>
    <mergeCell ref="M30:N30"/>
    <mergeCell ref="K31:L31"/>
    <mergeCell ref="M31:N31"/>
    <mergeCell ref="O30:P30"/>
    <mergeCell ref="O31:P31"/>
    <mergeCell ref="Q30:R30"/>
    <mergeCell ref="X25:X28"/>
    <mergeCell ref="Y25:Y28"/>
    <mergeCell ref="F26:G26"/>
    <mergeCell ref="K26:L26"/>
    <mergeCell ref="M26:N26"/>
    <mergeCell ref="O26:P26"/>
    <mergeCell ref="Q26:R26"/>
    <mergeCell ref="S26:T26"/>
    <mergeCell ref="U26:V26"/>
    <mergeCell ref="F27:G27"/>
    <mergeCell ref="U28:V28"/>
    <mergeCell ref="F28:G28"/>
    <mergeCell ref="K28:L28"/>
    <mergeCell ref="M28:N28"/>
    <mergeCell ref="O28:P28"/>
    <mergeCell ref="Q28:R28"/>
    <mergeCell ref="S28:T28"/>
    <mergeCell ref="D25:D28"/>
    <mergeCell ref="F25:G25"/>
    <mergeCell ref="K25:L25"/>
    <mergeCell ref="M25:N25"/>
    <mergeCell ref="O25:P25"/>
    <mergeCell ref="Q25:R25"/>
    <mergeCell ref="S25:T25"/>
    <mergeCell ref="U25:V25"/>
    <mergeCell ref="D22:D24"/>
    <mergeCell ref="K27:L27"/>
    <mergeCell ref="M27:N27"/>
    <mergeCell ref="O27:P27"/>
    <mergeCell ref="Q27:R27"/>
    <mergeCell ref="S27:T27"/>
    <mergeCell ref="U27:V27"/>
    <mergeCell ref="F24:G24"/>
    <mergeCell ref="K24:L24"/>
    <mergeCell ref="U24:V24"/>
    <mergeCell ref="M24:N24"/>
    <mergeCell ref="O24:P24"/>
    <mergeCell ref="Q24:R24"/>
    <mergeCell ref="S24:T24"/>
    <mergeCell ref="K23:L23"/>
    <mergeCell ref="M23:N23"/>
    <mergeCell ref="X20:X21"/>
    <mergeCell ref="Y20:Y24"/>
    <mergeCell ref="F21:G21"/>
    <mergeCell ref="K21:L21"/>
    <mergeCell ref="M21:N21"/>
    <mergeCell ref="O21:P21"/>
    <mergeCell ref="Q21:R21"/>
    <mergeCell ref="S21:T21"/>
    <mergeCell ref="U21:V21"/>
    <mergeCell ref="S22:T22"/>
    <mergeCell ref="K20:L20"/>
    <mergeCell ref="M20:N20"/>
    <mergeCell ref="O20:P20"/>
    <mergeCell ref="Q20:R20"/>
    <mergeCell ref="S20:T20"/>
    <mergeCell ref="U20:V20"/>
    <mergeCell ref="U22:V22"/>
    <mergeCell ref="X22:X24"/>
    <mergeCell ref="F22:G22"/>
    <mergeCell ref="K22:L22"/>
    <mergeCell ref="M22:N22"/>
    <mergeCell ref="O22:P22"/>
    <mergeCell ref="Q22:R22"/>
    <mergeCell ref="F23:G23"/>
    <mergeCell ref="X18:X19"/>
    <mergeCell ref="Y18:Y19"/>
    <mergeCell ref="F19:G19"/>
    <mergeCell ref="K19:L19"/>
    <mergeCell ref="M19:N19"/>
    <mergeCell ref="O19:P19"/>
    <mergeCell ref="Q19:R19"/>
    <mergeCell ref="S19:T19"/>
    <mergeCell ref="U19:V19"/>
    <mergeCell ref="D18:D21"/>
    <mergeCell ref="F18:G18"/>
    <mergeCell ref="K18:L18"/>
    <mergeCell ref="M18:N18"/>
    <mergeCell ref="O18:P18"/>
    <mergeCell ref="Q18:R18"/>
    <mergeCell ref="S18:T18"/>
    <mergeCell ref="U18:V18"/>
    <mergeCell ref="F20:G20"/>
    <mergeCell ref="AB17:AD17"/>
    <mergeCell ref="D15:D17"/>
    <mergeCell ref="F15:G15"/>
    <mergeCell ref="K15:L15"/>
    <mergeCell ref="M15:N15"/>
    <mergeCell ref="O15:P15"/>
    <mergeCell ref="Q15:R15"/>
    <mergeCell ref="D12:D14"/>
    <mergeCell ref="S15:T15"/>
    <mergeCell ref="U15:V15"/>
    <mergeCell ref="X15:X17"/>
    <mergeCell ref="F17:G17"/>
    <mergeCell ref="K17:L17"/>
    <mergeCell ref="M17:N17"/>
    <mergeCell ref="O17:P17"/>
    <mergeCell ref="Q17:R17"/>
    <mergeCell ref="S17:T17"/>
    <mergeCell ref="U17:V17"/>
    <mergeCell ref="F16:G16"/>
    <mergeCell ref="K16:L16"/>
    <mergeCell ref="M16:N16"/>
    <mergeCell ref="O16:P16"/>
    <mergeCell ref="Q16:R16"/>
    <mergeCell ref="S16:T16"/>
    <mergeCell ref="X12:X14"/>
    <mergeCell ref="F14:G14"/>
    <mergeCell ref="K14:L14"/>
    <mergeCell ref="M14:N14"/>
    <mergeCell ref="O14:P14"/>
    <mergeCell ref="Q14:R14"/>
    <mergeCell ref="S14:T14"/>
    <mergeCell ref="U14:V14"/>
    <mergeCell ref="F12:G12"/>
    <mergeCell ref="K12:L12"/>
    <mergeCell ref="M12:N12"/>
    <mergeCell ref="O12:P12"/>
    <mergeCell ref="Q12:R12"/>
    <mergeCell ref="AA8:AD8"/>
    <mergeCell ref="B9:C35"/>
    <mergeCell ref="D9:D11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X9:X11"/>
    <mergeCell ref="Y9:Y17"/>
    <mergeCell ref="F11:G11"/>
    <mergeCell ref="K11:L11"/>
    <mergeCell ref="M11:N11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O23:P23"/>
    <mergeCell ref="Q23:R23"/>
    <mergeCell ref="S23:T23"/>
    <mergeCell ref="U23:V23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</mergeCells>
  <phoneticPr fontId="9" type="noConversion"/>
  <conditionalFormatting sqref="AA36:AB36 AC51 AC55 AC57 AA60:AB60 AA63:AB63 AA65:AB65">
    <cfRule type="containsText" dxfId="1" priority="1" operator="containsText" text="FALSE">
      <formula>NOT(ISERROR(SEARCH("FALSE",AA36)))</formula>
    </cfRule>
  </conditionalFormatting>
  <printOptions horizontalCentered="1" verticalCentered="1"/>
  <pageMargins left="0.25" right="0.25" top="0.75" bottom="0.75" header="0.3" footer="0.3"/>
  <pageSetup paperSize="9" scale="42" orientation="portrait" cellComments="asDisplayed" r:id="rId1"/>
  <rowBreaks count="1" manualBreakCount="1">
    <brk id="56" max="16383" man="1"/>
  </rowBreak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D521712-3D54-4949-BAE6-A5AE096FC879}">
          <x14:formula1>
            <xm:f>삭제금지!$J$2:$J$59</xm:f>
          </x14:formula1>
          <xm:sqref>H5:J5</xm:sqref>
        </x14:dataValidation>
        <x14:dataValidation type="list" allowBlank="1" showInputMessage="1" showErrorMessage="1" xr:uid="{8055CF49-2934-4216-A112-A38B228BE6BC}">
          <x14:formula1>
            <xm:f>삭제금지!$I$2:$I$18</xm:f>
          </x14:formula1>
          <xm:sqref>F5:G5</xm:sqref>
        </x14:dataValidation>
        <x14:dataValidation type="list" allowBlank="1" showInputMessage="1" showErrorMessage="1" xr:uid="{546FE2BA-B2D4-4093-B0B1-42499FB0ADA5}">
          <x14:formula1>
            <xm:f>삭제금지!$K$2:$K$59</xm:f>
          </x14:formula1>
          <xm:sqref>K5:O5</xm:sqref>
        </x14:dataValidation>
        <x14:dataValidation type="list" allowBlank="1" showInputMessage="1" showErrorMessage="1" xr:uid="{BCF7D8E5-28DD-40E6-A63B-068B81906B6D}">
          <x14:formula1>
            <xm:f>삭제금지!$L$2:$L$4</xm:f>
          </x14:formula1>
          <xm:sqref>T5:V5</xm:sqref>
        </x14:dataValidation>
        <x14:dataValidation type="list" allowBlank="1" showInputMessage="1" showErrorMessage="1" xr:uid="{9DC516FE-2435-440B-8A4E-E275B2627FB7}">
          <x14:formula1>
            <xm:f>삭제금지!$H$2:$H$18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133B3-B5C5-4C2B-AEF1-09D1730920F2}">
  <sheetPr>
    <tabColor rgb="FFFFFF00"/>
    <pageSetUpPr fitToPage="1"/>
  </sheetPr>
  <dimension ref="B2:AG47"/>
  <sheetViews>
    <sheetView showGridLines="0" view="pageBreakPreview" zoomScaleNormal="85" zoomScaleSheetLayoutView="100" workbookViewId="0">
      <selection activeCell="B2" sqref="B2:U2"/>
    </sheetView>
  </sheetViews>
  <sheetFormatPr defaultRowHeight="16.5"/>
  <cols>
    <col min="1" max="1" width="3" customWidth="1"/>
    <col min="2" max="2" width="14.5" customWidth="1"/>
    <col min="3" max="3" width="5.625" customWidth="1"/>
    <col min="4" max="4" width="18.875" bestFit="1" customWidth="1"/>
    <col min="5" max="5" width="19" style="1" bestFit="1" customWidth="1"/>
    <col min="6" max="6" width="9.125" style="1" customWidth="1"/>
    <col min="7" max="7" width="10.75" customWidth="1"/>
    <col min="8" max="19" width="7.75" bestFit="1" customWidth="1"/>
    <col min="20" max="20" width="6.625" bestFit="1" customWidth="1"/>
    <col min="21" max="21" width="7.125" customWidth="1"/>
  </cols>
  <sheetData>
    <row r="2" spans="2:33" ht="39.75" customHeight="1" thickBot="1">
      <c r="B2" s="500" t="s">
        <v>150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500"/>
      <c r="Q2" s="500"/>
      <c r="R2" s="500"/>
      <c r="S2" s="500"/>
      <c r="T2" s="500"/>
      <c r="U2" s="500"/>
    </row>
    <row r="3" spans="2:33" ht="27" customHeight="1" thickBot="1"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501" t="s">
        <v>129</v>
      </c>
      <c r="O3" s="502"/>
      <c r="P3" s="503"/>
      <c r="Q3" s="501" t="s">
        <v>127</v>
      </c>
      <c r="R3" s="502"/>
      <c r="S3" s="504"/>
      <c r="T3" s="501" t="s">
        <v>130</v>
      </c>
      <c r="U3" s="504"/>
    </row>
    <row r="4" spans="2:33" ht="27" customHeight="1" thickBot="1">
      <c r="B4" s="178"/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505" t="s">
        <v>512</v>
      </c>
      <c r="O4" s="506"/>
      <c r="P4" s="507"/>
      <c r="Q4" s="508" t="s">
        <v>513</v>
      </c>
      <c r="R4" s="509"/>
      <c r="S4" s="510"/>
      <c r="T4" s="511">
        <v>2027</v>
      </c>
      <c r="U4" s="512"/>
    </row>
    <row r="5" spans="2:33" ht="24" customHeight="1" thickBot="1">
      <c r="B5" s="513"/>
      <c r="C5" s="513"/>
    </row>
    <row r="6" spans="2:33" ht="20.25" customHeight="1">
      <c r="B6" s="514" t="s">
        <v>13</v>
      </c>
      <c r="C6" s="517" t="s">
        <v>140</v>
      </c>
      <c r="D6" s="497" t="s">
        <v>14</v>
      </c>
      <c r="E6" s="497" t="s">
        <v>15</v>
      </c>
      <c r="F6" s="497" t="s">
        <v>141</v>
      </c>
      <c r="G6" s="497" t="s">
        <v>142</v>
      </c>
      <c r="H6" s="520" t="s">
        <v>58</v>
      </c>
      <c r="I6" s="520"/>
      <c r="J6" s="520"/>
      <c r="K6" s="520"/>
      <c r="L6" s="520" t="s">
        <v>59</v>
      </c>
      <c r="M6" s="520"/>
      <c r="N6" s="520"/>
      <c r="O6" s="520"/>
      <c r="P6" s="520" t="s">
        <v>60</v>
      </c>
      <c r="Q6" s="520"/>
      <c r="R6" s="520"/>
      <c r="S6" s="520"/>
      <c r="T6" s="521" t="s">
        <v>139</v>
      </c>
      <c r="U6" s="531" t="s">
        <v>126</v>
      </c>
      <c r="W6" s="524" t="s">
        <v>131</v>
      </c>
      <c r="X6" s="525"/>
      <c r="Y6" s="525"/>
      <c r="Z6" s="525"/>
      <c r="AA6" s="525"/>
      <c r="AB6" s="525"/>
      <c r="AC6" s="525"/>
      <c r="AD6" s="525"/>
      <c r="AE6" s="525"/>
      <c r="AF6" s="526"/>
      <c r="AG6" s="13"/>
    </row>
    <row r="7" spans="2:33" ht="16.5" customHeight="1">
      <c r="B7" s="515"/>
      <c r="C7" s="518"/>
      <c r="D7" s="498"/>
      <c r="E7" s="498"/>
      <c r="F7" s="498"/>
      <c r="G7" s="498"/>
      <c r="H7" s="527" t="s">
        <v>124</v>
      </c>
      <c r="I7" s="527"/>
      <c r="J7" s="527" t="s">
        <v>62</v>
      </c>
      <c r="K7" s="527"/>
      <c r="L7" s="527" t="s">
        <v>124</v>
      </c>
      <c r="M7" s="527"/>
      <c r="N7" s="527" t="s">
        <v>62</v>
      </c>
      <c r="O7" s="527"/>
      <c r="P7" s="527" t="s">
        <v>124</v>
      </c>
      <c r="Q7" s="527"/>
      <c r="R7" s="527" t="s">
        <v>62</v>
      </c>
      <c r="S7" s="527"/>
      <c r="T7" s="522"/>
      <c r="U7" s="532"/>
      <c r="W7" s="528" t="s">
        <v>132</v>
      </c>
      <c r="X7" s="529"/>
      <c r="Y7" s="529"/>
      <c r="Z7" s="529"/>
      <c r="AA7" s="529"/>
      <c r="AB7" s="529"/>
      <c r="AC7" s="529"/>
      <c r="AD7" s="529"/>
      <c r="AE7" s="529"/>
      <c r="AF7" s="530"/>
      <c r="AG7" s="13"/>
    </row>
    <row r="8" spans="2:33" ht="17.25" customHeight="1" thickBot="1">
      <c r="B8" s="516"/>
      <c r="C8" s="519"/>
      <c r="D8" s="499"/>
      <c r="E8" s="499"/>
      <c r="F8" s="499"/>
      <c r="G8" s="499"/>
      <c r="H8" s="28" t="s">
        <v>138</v>
      </c>
      <c r="I8" s="28" t="s">
        <v>125</v>
      </c>
      <c r="J8" s="28" t="s">
        <v>138</v>
      </c>
      <c r="K8" s="28" t="s">
        <v>125</v>
      </c>
      <c r="L8" s="28" t="s">
        <v>138</v>
      </c>
      <c r="M8" s="28" t="s">
        <v>125</v>
      </c>
      <c r="N8" s="28" t="s">
        <v>138</v>
      </c>
      <c r="O8" s="28" t="s">
        <v>125</v>
      </c>
      <c r="P8" s="28" t="s">
        <v>138</v>
      </c>
      <c r="Q8" s="28" t="s">
        <v>125</v>
      </c>
      <c r="R8" s="28" t="s">
        <v>138</v>
      </c>
      <c r="S8" s="28" t="s">
        <v>125</v>
      </c>
      <c r="T8" s="523"/>
      <c r="U8" s="533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490" t="s">
        <v>525</v>
      </c>
      <c r="C9" s="493">
        <f>T13</f>
        <v>11</v>
      </c>
      <c r="D9" s="167" t="s">
        <v>533</v>
      </c>
      <c r="E9" s="167" t="s">
        <v>538</v>
      </c>
      <c r="F9" s="152">
        <v>90</v>
      </c>
      <c r="G9" s="152">
        <v>2</v>
      </c>
      <c r="H9" s="153"/>
      <c r="I9" s="153">
        <f t="shared" ref="I9:I12" si="0">H9*16</f>
        <v>0</v>
      </c>
      <c r="J9" s="153"/>
      <c r="K9" s="153">
        <f>J9*16</f>
        <v>0</v>
      </c>
      <c r="L9" s="153">
        <v>3</v>
      </c>
      <c r="M9" s="153">
        <f>L9*16</f>
        <v>48</v>
      </c>
      <c r="N9" s="219"/>
      <c r="O9" s="219">
        <f t="shared" ref="O9:O12" si="1">N9*16</f>
        <v>0</v>
      </c>
      <c r="P9" s="153"/>
      <c r="Q9" s="153">
        <f>P9*16</f>
        <v>0</v>
      </c>
      <c r="R9" s="153"/>
      <c r="S9" s="153">
        <f>R9*16</f>
        <v>0</v>
      </c>
      <c r="T9" s="154">
        <f>SUM(H9,J9,L9,N9,P9,R9)</f>
        <v>3</v>
      </c>
      <c r="U9" s="155">
        <f>SUM(I9,K9,M9,O9,Q9,S9)</f>
        <v>48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491"/>
      <c r="C10" s="494"/>
      <c r="D10" s="168" t="s">
        <v>534</v>
      </c>
      <c r="E10" s="169" t="s">
        <v>539</v>
      </c>
      <c r="F10" s="156">
        <v>45</v>
      </c>
      <c r="G10" s="156">
        <v>2</v>
      </c>
      <c r="H10" s="158"/>
      <c r="I10" s="158">
        <f t="shared" si="0"/>
        <v>0</v>
      </c>
      <c r="J10" s="158"/>
      <c r="K10" s="158">
        <f t="shared" ref="K10" si="2">J10*16</f>
        <v>0</v>
      </c>
      <c r="L10" s="158">
        <v>2</v>
      </c>
      <c r="M10" s="158">
        <f t="shared" ref="M10" si="3">L10*16</f>
        <v>32</v>
      </c>
      <c r="N10" s="158"/>
      <c r="O10" s="158">
        <f t="shared" si="1"/>
        <v>0</v>
      </c>
      <c r="P10" s="158"/>
      <c r="Q10" s="158">
        <f t="shared" ref="Q10" si="4">P10*16</f>
        <v>0</v>
      </c>
      <c r="R10" s="158"/>
      <c r="S10" s="158">
        <f t="shared" ref="S10" si="5">R10*16</f>
        <v>0</v>
      </c>
      <c r="T10" s="159">
        <f t="shared" ref="T10:U10" si="6">SUM(H10,J10,L10,N10,P10,R10)</f>
        <v>2</v>
      </c>
      <c r="U10" s="160">
        <f t="shared" si="6"/>
        <v>32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>
      <c r="B11" s="491"/>
      <c r="C11" s="494"/>
      <c r="D11" s="169" t="s">
        <v>701</v>
      </c>
      <c r="E11" s="168" t="s">
        <v>540</v>
      </c>
      <c r="F11" s="157">
        <v>60</v>
      </c>
      <c r="G11" s="157">
        <v>2</v>
      </c>
      <c r="H11" s="161"/>
      <c r="I11" s="161">
        <f t="shared" si="0"/>
        <v>0</v>
      </c>
      <c r="J11" s="161"/>
      <c r="K11" s="161">
        <f>J11*16</f>
        <v>0</v>
      </c>
      <c r="L11" s="161"/>
      <c r="M11" s="161">
        <f>L11*16</f>
        <v>0</v>
      </c>
      <c r="N11" s="161">
        <v>3</v>
      </c>
      <c r="O11" s="161">
        <f t="shared" si="1"/>
        <v>48</v>
      </c>
      <c r="P11" s="161"/>
      <c r="Q11" s="161">
        <f>P11*16</f>
        <v>0</v>
      </c>
      <c r="R11" s="161"/>
      <c r="S11" s="161">
        <f>R11*16</f>
        <v>0</v>
      </c>
      <c r="T11" s="162">
        <f>SUM(H11,J11,L11,N11,P11,R11)</f>
        <v>3</v>
      </c>
      <c r="U11" s="163">
        <f>SUM(I11,K11,M11,O11,Q11,S11)</f>
        <v>48</v>
      </c>
    </row>
    <row r="12" spans="2:33">
      <c r="B12" s="491"/>
      <c r="C12" s="494"/>
      <c r="D12" s="169" t="s">
        <v>535</v>
      </c>
      <c r="E12" s="169" t="s">
        <v>702</v>
      </c>
      <c r="F12" s="157">
        <v>60</v>
      </c>
      <c r="G12" s="157">
        <v>2</v>
      </c>
      <c r="H12" s="161"/>
      <c r="I12" s="161">
        <f t="shared" si="0"/>
        <v>0</v>
      </c>
      <c r="J12" s="161"/>
      <c r="K12" s="161">
        <f>J12*16</f>
        <v>0</v>
      </c>
      <c r="L12" s="161"/>
      <c r="M12" s="161">
        <f>L12*16</f>
        <v>0</v>
      </c>
      <c r="N12" s="161">
        <v>3</v>
      </c>
      <c r="O12" s="161">
        <f t="shared" si="1"/>
        <v>48</v>
      </c>
      <c r="P12" s="161"/>
      <c r="Q12" s="161">
        <f>P12*16</f>
        <v>0</v>
      </c>
      <c r="R12" s="161"/>
      <c r="S12" s="161">
        <f>R12*16</f>
        <v>0</v>
      </c>
      <c r="T12" s="162">
        <f t="shared" ref="T12:U12" si="7">SUM(H12,J12,L12,N12,P12,R12)</f>
        <v>3</v>
      </c>
      <c r="U12" s="163">
        <f t="shared" si="7"/>
        <v>48</v>
      </c>
    </row>
    <row r="13" spans="2:33" ht="17.25" thickBot="1">
      <c r="B13" s="492"/>
      <c r="C13" s="495"/>
      <c r="D13" s="496" t="s">
        <v>16</v>
      </c>
      <c r="E13" s="496"/>
      <c r="F13" s="177"/>
      <c r="G13" s="177"/>
      <c r="H13" s="27">
        <f>SUM(H11:H12)</f>
        <v>0</v>
      </c>
      <c r="I13" s="27">
        <f>SUM(I11:I12)</f>
        <v>0</v>
      </c>
      <c r="J13" s="27">
        <f>SUM(J11:J12)</f>
        <v>0</v>
      </c>
      <c r="K13" s="27">
        <f>SUM(K11:K12)</f>
        <v>0</v>
      </c>
      <c r="L13" s="27">
        <f t="shared" ref="L13:U13" si="8">SUM(L9:L12)</f>
        <v>5</v>
      </c>
      <c r="M13" s="27">
        <f t="shared" si="8"/>
        <v>80</v>
      </c>
      <c r="N13" s="27">
        <f t="shared" si="8"/>
        <v>6</v>
      </c>
      <c r="O13" s="27">
        <f t="shared" si="8"/>
        <v>96</v>
      </c>
      <c r="P13" s="27">
        <f t="shared" si="8"/>
        <v>0</v>
      </c>
      <c r="Q13" s="27">
        <f t="shared" si="8"/>
        <v>0</v>
      </c>
      <c r="R13" s="27">
        <f t="shared" si="8"/>
        <v>0</v>
      </c>
      <c r="S13" s="27">
        <f t="shared" si="8"/>
        <v>0</v>
      </c>
      <c r="T13" s="164">
        <f t="shared" si="8"/>
        <v>11</v>
      </c>
      <c r="U13" s="164">
        <f t="shared" si="8"/>
        <v>176</v>
      </c>
    </row>
    <row r="14" spans="2:33">
      <c r="B14" s="490" t="s">
        <v>526</v>
      </c>
      <c r="C14" s="493">
        <f>T16</f>
        <v>8</v>
      </c>
      <c r="D14" s="167" t="s">
        <v>536</v>
      </c>
      <c r="E14" s="167" t="s">
        <v>541</v>
      </c>
      <c r="F14" s="152">
        <v>50</v>
      </c>
      <c r="G14" s="152">
        <v>2</v>
      </c>
      <c r="H14" s="153"/>
      <c r="I14" s="153">
        <f t="shared" ref="I14:I15" si="9">H14*16</f>
        <v>0</v>
      </c>
      <c r="J14" s="153"/>
      <c r="K14" s="153">
        <f>J14*16</f>
        <v>0</v>
      </c>
      <c r="L14" s="219"/>
      <c r="M14" s="219">
        <f>L14*16</f>
        <v>0</v>
      </c>
      <c r="N14" s="153">
        <v>4</v>
      </c>
      <c r="O14" s="153">
        <f t="shared" ref="O14:O15" si="10">N14*16</f>
        <v>64</v>
      </c>
      <c r="P14" s="153"/>
      <c r="Q14" s="153">
        <f>P14*16</f>
        <v>0</v>
      </c>
      <c r="R14" s="153"/>
      <c r="S14" s="153">
        <f>R14*16</f>
        <v>0</v>
      </c>
      <c r="T14" s="154">
        <f>SUM(H14,J14,L14,N14,P14,R14)</f>
        <v>4</v>
      </c>
      <c r="U14" s="155">
        <f>SUM(I14,K14,M14,O14,Q14,S14)</f>
        <v>64</v>
      </c>
      <c r="W14" s="30"/>
    </row>
    <row r="15" spans="2:33">
      <c r="B15" s="491"/>
      <c r="C15" s="494"/>
      <c r="D15" s="168" t="s">
        <v>537</v>
      </c>
      <c r="E15" s="169" t="s">
        <v>542</v>
      </c>
      <c r="F15" s="156">
        <v>60</v>
      </c>
      <c r="G15" s="156">
        <v>2</v>
      </c>
      <c r="H15" s="158"/>
      <c r="I15" s="158">
        <f t="shared" si="9"/>
        <v>0</v>
      </c>
      <c r="J15" s="158"/>
      <c r="K15" s="158">
        <f t="shared" ref="K15" si="11">J15*16</f>
        <v>0</v>
      </c>
      <c r="L15" s="220"/>
      <c r="M15" s="220">
        <f t="shared" ref="M15" si="12">L15*16</f>
        <v>0</v>
      </c>
      <c r="N15" s="158">
        <v>4</v>
      </c>
      <c r="O15" s="158">
        <f t="shared" si="10"/>
        <v>64</v>
      </c>
      <c r="P15" s="158"/>
      <c r="Q15" s="158">
        <f t="shared" ref="Q15" si="13">P15*16</f>
        <v>0</v>
      </c>
      <c r="R15" s="158"/>
      <c r="S15" s="158">
        <f t="shared" ref="S15" si="14">R15*16</f>
        <v>0</v>
      </c>
      <c r="T15" s="159">
        <f t="shared" ref="T15:U15" si="15">SUM(H15,J15,L15,N15,P15,R15)</f>
        <v>4</v>
      </c>
      <c r="U15" s="160">
        <f t="shared" si="15"/>
        <v>64</v>
      </c>
    </row>
    <row r="16" spans="2:33" ht="17.25" thickBot="1">
      <c r="B16" s="492"/>
      <c r="C16" s="495"/>
      <c r="D16" s="496" t="s">
        <v>16</v>
      </c>
      <c r="E16" s="496"/>
      <c r="F16" s="177"/>
      <c r="G16" s="177"/>
      <c r="H16" s="27"/>
      <c r="I16" s="27"/>
      <c r="J16" s="27"/>
      <c r="K16" s="27"/>
      <c r="L16" s="221">
        <f t="shared" ref="L16:U16" si="16">SUM(L14:L15)</f>
        <v>0</v>
      </c>
      <c r="M16" s="221">
        <f t="shared" si="16"/>
        <v>0</v>
      </c>
      <c r="N16" s="27">
        <f t="shared" si="16"/>
        <v>8</v>
      </c>
      <c r="O16" s="27">
        <f t="shared" si="16"/>
        <v>128</v>
      </c>
      <c r="P16" s="27">
        <f t="shared" si="16"/>
        <v>0</v>
      </c>
      <c r="Q16" s="27">
        <f t="shared" si="16"/>
        <v>0</v>
      </c>
      <c r="R16" s="27">
        <f t="shared" si="16"/>
        <v>0</v>
      </c>
      <c r="S16" s="27">
        <f t="shared" si="16"/>
        <v>0</v>
      </c>
      <c r="T16" s="164">
        <f t="shared" si="16"/>
        <v>8</v>
      </c>
      <c r="U16" s="164">
        <f t="shared" si="16"/>
        <v>128</v>
      </c>
    </row>
    <row r="17" spans="2:21">
      <c r="B17" s="490" t="s">
        <v>585</v>
      </c>
      <c r="C17" s="493">
        <f>T19</f>
        <v>4</v>
      </c>
      <c r="D17" s="167" t="s">
        <v>587</v>
      </c>
      <c r="E17" s="167" t="s">
        <v>589</v>
      </c>
      <c r="F17" s="152">
        <v>50</v>
      </c>
      <c r="G17" s="152">
        <v>2</v>
      </c>
      <c r="H17" s="153"/>
      <c r="I17" s="153">
        <f t="shared" ref="I17:I18" si="17">H17*16</f>
        <v>0</v>
      </c>
      <c r="J17" s="153"/>
      <c r="K17" s="153">
        <f>J17*16</f>
        <v>0</v>
      </c>
      <c r="L17" s="153">
        <v>2</v>
      </c>
      <c r="M17" s="153">
        <f>L17*16</f>
        <v>32</v>
      </c>
      <c r="N17" s="153"/>
      <c r="O17" s="153">
        <f t="shared" ref="O17:O18" si="18">N17*16</f>
        <v>0</v>
      </c>
      <c r="P17" s="153"/>
      <c r="Q17" s="153">
        <f>P17*16</f>
        <v>0</v>
      </c>
      <c r="R17" s="153"/>
      <c r="S17" s="153">
        <f>R17*16</f>
        <v>0</v>
      </c>
      <c r="T17" s="154">
        <f>SUM(H17,J17,L17,N17,P17,R17)</f>
        <v>2</v>
      </c>
      <c r="U17" s="155">
        <f>SUM(I17,K17,M17,O17,Q17,S17)</f>
        <v>32</v>
      </c>
    </row>
    <row r="18" spans="2:21">
      <c r="B18" s="491"/>
      <c r="C18" s="494"/>
      <c r="D18" s="168" t="s">
        <v>588</v>
      </c>
      <c r="E18" s="169" t="s">
        <v>590</v>
      </c>
      <c r="F18" s="156">
        <v>50</v>
      </c>
      <c r="G18" s="156">
        <v>3</v>
      </c>
      <c r="H18" s="158"/>
      <c r="I18" s="158">
        <f t="shared" si="17"/>
        <v>0</v>
      </c>
      <c r="J18" s="158"/>
      <c r="K18" s="158">
        <f t="shared" ref="K18" si="19">J18*16</f>
        <v>0</v>
      </c>
      <c r="L18" s="158"/>
      <c r="M18" s="158">
        <f t="shared" ref="M18" si="20">L18*16</f>
        <v>0</v>
      </c>
      <c r="N18" s="158">
        <v>2</v>
      </c>
      <c r="O18" s="158">
        <f t="shared" si="18"/>
        <v>32</v>
      </c>
      <c r="P18" s="158"/>
      <c r="Q18" s="158">
        <f t="shared" ref="Q18" si="21">P18*16</f>
        <v>0</v>
      </c>
      <c r="R18" s="158"/>
      <c r="S18" s="158">
        <f t="shared" ref="S18" si="22">R18*16</f>
        <v>0</v>
      </c>
      <c r="T18" s="159">
        <f t="shared" ref="T18:U18" si="23">SUM(H18,J18,L18,N18,P18,R18)</f>
        <v>2</v>
      </c>
      <c r="U18" s="160">
        <f t="shared" si="23"/>
        <v>32</v>
      </c>
    </row>
    <row r="19" spans="2:21" ht="17.25" thickBot="1">
      <c r="B19" s="492"/>
      <c r="C19" s="495"/>
      <c r="D19" s="496" t="s">
        <v>16</v>
      </c>
      <c r="E19" s="496"/>
      <c r="F19" s="177"/>
      <c r="G19" s="177"/>
      <c r="H19" s="27"/>
      <c r="I19" s="27"/>
      <c r="J19" s="27"/>
      <c r="K19" s="27"/>
      <c r="L19" s="27">
        <f t="shared" ref="L19:U19" si="24">SUM(L17:L18)</f>
        <v>2</v>
      </c>
      <c r="M19" s="27">
        <f t="shared" si="24"/>
        <v>32</v>
      </c>
      <c r="N19" s="27">
        <f t="shared" si="24"/>
        <v>2</v>
      </c>
      <c r="O19" s="27">
        <f t="shared" si="24"/>
        <v>32</v>
      </c>
      <c r="P19" s="27">
        <f t="shared" si="24"/>
        <v>0</v>
      </c>
      <c r="Q19" s="27">
        <f t="shared" si="24"/>
        <v>0</v>
      </c>
      <c r="R19" s="27">
        <f t="shared" si="24"/>
        <v>0</v>
      </c>
      <c r="S19" s="27">
        <f t="shared" si="24"/>
        <v>0</v>
      </c>
      <c r="T19" s="164">
        <f t="shared" si="24"/>
        <v>4</v>
      </c>
      <c r="U19" s="164">
        <f t="shared" si="24"/>
        <v>64</v>
      </c>
    </row>
    <row r="20" spans="2:21">
      <c r="B20" s="534" t="s">
        <v>530</v>
      </c>
      <c r="C20" s="493">
        <f>T22</f>
        <v>4</v>
      </c>
      <c r="D20" s="167" t="s">
        <v>565</v>
      </c>
      <c r="E20" s="167" t="s">
        <v>545</v>
      </c>
      <c r="F20" s="152">
        <v>20</v>
      </c>
      <c r="G20" s="152">
        <v>2</v>
      </c>
      <c r="H20" s="153"/>
      <c r="I20" s="153">
        <f t="shared" ref="I20:I21" si="25">H20*16</f>
        <v>0</v>
      </c>
      <c r="J20" s="153"/>
      <c r="K20" s="153">
        <f>J20*16</f>
        <v>0</v>
      </c>
      <c r="L20" s="153">
        <v>2</v>
      </c>
      <c r="M20" s="153">
        <f>L20*16</f>
        <v>32</v>
      </c>
      <c r="N20" s="153"/>
      <c r="O20" s="153">
        <f t="shared" ref="O20:O21" si="26">N20*16</f>
        <v>0</v>
      </c>
      <c r="P20" s="153"/>
      <c r="Q20" s="153">
        <f>P20*16</f>
        <v>0</v>
      </c>
      <c r="R20" s="153"/>
      <c r="S20" s="153">
        <f>R20*16</f>
        <v>0</v>
      </c>
      <c r="T20" s="154">
        <f>SUM(H20,J20,L20,N20,P20,R20)</f>
        <v>2</v>
      </c>
      <c r="U20" s="155">
        <f>SUM(I20,K20,M20,O20,Q20,S20)</f>
        <v>32</v>
      </c>
    </row>
    <row r="21" spans="2:21">
      <c r="B21" s="535"/>
      <c r="C21" s="494"/>
      <c r="D21" s="168" t="s">
        <v>543</v>
      </c>
      <c r="E21" s="169" t="s">
        <v>544</v>
      </c>
      <c r="F21" s="156">
        <v>20</v>
      </c>
      <c r="G21" s="156">
        <v>2</v>
      </c>
      <c r="H21" s="158"/>
      <c r="I21" s="158">
        <f t="shared" si="25"/>
        <v>0</v>
      </c>
      <c r="J21" s="158"/>
      <c r="K21" s="158">
        <f t="shared" ref="K21" si="27">J21*16</f>
        <v>0</v>
      </c>
      <c r="L21" s="158"/>
      <c r="M21" s="158">
        <f t="shared" ref="M21" si="28">L21*16</f>
        <v>0</v>
      </c>
      <c r="N21" s="158">
        <v>2</v>
      </c>
      <c r="O21" s="158">
        <f t="shared" si="26"/>
        <v>32</v>
      </c>
      <c r="P21" s="158"/>
      <c r="Q21" s="158">
        <f t="shared" ref="Q21" si="29">P21*16</f>
        <v>0</v>
      </c>
      <c r="R21" s="158"/>
      <c r="S21" s="158">
        <f t="shared" ref="S21" si="30">R21*16</f>
        <v>0</v>
      </c>
      <c r="T21" s="159">
        <f t="shared" ref="T21:U21" si="31">SUM(H21,J21,L21,N21,P21,R21)</f>
        <v>2</v>
      </c>
      <c r="U21" s="160">
        <f t="shared" si="31"/>
        <v>32</v>
      </c>
    </row>
    <row r="22" spans="2:21" ht="17.25" thickBot="1">
      <c r="B22" s="536"/>
      <c r="C22" s="495"/>
      <c r="D22" s="496" t="s">
        <v>16</v>
      </c>
      <c r="E22" s="496"/>
      <c r="F22" s="177"/>
      <c r="G22" s="177"/>
      <c r="H22" s="27"/>
      <c r="I22" s="27"/>
      <c r="J22" s="27"/>
      <c r="K22" s="27"/>
      <c r="L22" s="27">
        <f t="shared" ref="L22:U22" si="32">SUM(L20:L21)</f>
        <v>2</v>
      </c>
      <c r="M22" s="27">
        <f t="shared" si="32"/>
        <v>32</v>
      </c>
      <c r="N22" s="27">
        <f t="shared" si="32"/>
        <v>2</v>
      </c>
      <c r="O22" s="27">
        <f t="shared" si="32"/>
        <v>32</v>
      </c>
      <c r="P22" s="27">
        <f t="shared" si="32"/>
        <v>0</v>
      </c>
      <c r="Q22" s="27">
        <f t="shared" si="32"/>
        <v>0</v>
      </c>
      <c r="R22" s="27">
        <f t="shared" si="32"/>
        <v>0</v>
      </c>
      <c r="S22" s="27">
        <f t="shared" si="32"/>
        <v>0</v>
      </c>
      <c r="T22" s="164">
        <f t="shared" si="32"/>
        <v>4</v>
      </c>
      <c r="U22" s="164">
        <f t="shared" si="32"/>
        <v>64</v>
      </c>
    </row>
    <row r="23" spans="2:21">
      <c r="B23" s="490" t="s">
        <v>527</v>
      </c>
      <c r="C23" s="493">
        <f>T31</f>
        <v>34</v>
      </c>
      <c r="D23" s="167" t="s">
        <v>546</v>
      </c>
      <c r="E23" s="167" t="s">
        <v>550</v>
      </c>
      <c r="F23" s="152">
        <v>50</v>
      </c>
      <c r="G23" s="152">
        <v>2</v>
      </c>
      <c r="H23" s="153"/>
      <c r="I23" s="153">
        <f t="shared" ref="I23:I30" si="33">H23*16</f>
        <v>0</v>
      </c>
      <c r="J23" s="153"/>
      <c r="K23" s="153">
        <f>J23*16</f>
        <v>0</v>
      </c>
      <c r="L23" s="153"/>
      <c r="M23" s="153">
        <f>L23*16</f>
        <v>0</v>
      </c>
      <c r="N23" s="153"/>
      <c r="O23" s="153">
        <f t="shared" ref="O23:O30" si="34">N23*16</f>
        <v>0</v>
      </c>
      <c r="P23" s="153">
        <v>5</v>
      </c>
      <c r="Q23" s="153">
        <f>P23*16</f>
        <v>80</v>
      </c>
      <c r="R23" s="153"/>
      <c r="S23" s="153">
        <f>R23*16</f>
        <v>0</v>
      </c>
      <c r="T23" s="154">
        <f>SUM(H23,J23,L23,N23,P23,R23)</f>
        <v>5</v>
      </c>
      <c r="U23" s="155">
        <f>SUM(I23,K23,M23,O23,Q23,S23)</f>
        <v>80</v>
      </c>
    </row>
    <row r="24" spans="2:21">
      <c r="B24" s="491"/>
      <c r="C24" s="494"/>
      <c r="D24" s="168" t="s">
        <v>547</v>
      </c>
      <c r="E24" s="169" t="s">
        <v>551</v>
      </c>
      <c r="F24" s="156">
        <v>50</v>
      </c>
      <c r="G24" s="156">
        <v>2</v>
      </c>
      <c r="H24" s="158"/>
      <c r="I24" s="158">
        <f t="shared" si="33"/>
        <v>0</v>
      </c>
      <c r="J24" s="158"/>
      <c r="K24" s="158">
        <f t="shared" ref="K24" si="35">J24*16</f>
        <v>0</v>
      </c>
      <c r="L24" s="158"/>
      <c r="M24" s="158">
        <f t="shared" ref="M24" si="36">L24*16</f>
        <v>0</v>
      </c>
      <c r="N24" s="158"/>
      <c r="O24" s="158">
        <f t="shared" si="34"/>
        <v>0</v>
      </c>
      <c r="P24" s="158">
        <v>5</v>
      </c>
      <c r="Q24" s="158">
        <f t="shared" ref="Q24" si="37">P24*16</f>
        <v>80</v>
      </c>
      <c r="R24" s="158"/>
      <c r="S24" s="158">
        <f t="shared" ref="S24" si="38">R24*16</f>
        <v>0</v>
      </c>
      <c r="T24" s="159">
        <f t="shared" ref="T24:U24" si="39">SUM(H24,J24,L24,N24,P24,R24)</f>
        <v>5</v>
      </c>
      <c r="U24" s="160">
        <f t="shared" si="39"/>
        <v>80</v>
      </c>
    </row>
    <row r="25" spans="2:21">
      <c r="B25" s="491"/>
      <c r="C25" s="494"/>
      <c r="D25" s="169" t="s">
        <v>548</v>
      </c>
      <c r="E25" s="168" t="s">
        <v>552</v>
      </c>
      <c r="F25" s="157">
        <v>30</v>
      </c>
      <c r="G25" s="157">
        <v>2</v>
      </c>
      <c r="H25" s="161"/>
      <c r="I25" s="161">
        <f t="shared" si="33"/>
        <v>0</v>
      </c>
      <c r="J25" s="161"/>
      <c r="K25" s="161">
        <f>J25*16</f>
        <v>0</v>
      </c>
      <c r="L25" s="161"/>
      <c r="M25" s="161">
        <f>L25*16</f>
        <v>0</v>
      </c>
      <c r="N25" s="161"/>
      <c r="O25" s="161">
        <f t="shared" si="34"/>
        <v>0</v>
      </c>
      <c r="P25" s="161">
        <v>4</v>
      </c>
      <c r="Q25" s="161">
        <f>P25*16</f>
        <v>64</v>
      </c>
      <c r="R25" s="161"/>
      <c r="S25" s="161">
        <f>R25*16</f>
        <v>0</v>
      </c>
      <c r="T25" s="162">
        <f>SUM(H25,J25,L25,N25,P25,R25)</f>
        <v>4</v>
      </c>
      <c r="U25" s="163">
        <f>SUM(I25,K25,M25,O25,Q25,S25)</f>
        <v>64</v>
      </c>
    </row>
    <row r="26" spans="2:21">
      <c r="B26" s="491"/>
      <c r="C26" s="494"/>
      <c r="D26" s="169" t="s">
        <v>696</v>
      </c>
      <c r="E26" s="169" t="s">
        <v>698</v>
      </c>
      <c r="F26" s="157">
        <v>40</v>
      </c>
      <c r="G26" s="157">
        <v>2</v>
      </c>
      <c r="H26" s="161"/>
      <c r="I26" s="161">
        <f t="shared" si="33"/>
        <v>0</v>
      </c>
      <c r="J26" s="161"/>
      <c r="K26" s="161">
        <f>J26*16</f>
        <v>0</v>
      </c>
      <c r="L26" s="161"/>
      <c r="M26" s="161">
        <f>L26*16</f>
        <v>0</v>
      </c>
      <c r="N26" s="161"/>
      <c r="O26" s="161">
        <f t="shared" si="34"/>
        <v>0</v>
      </c>
      <c r="P26" s="161">
        <v>4</v>
      </c>
      <c r="Q26" s="161">
        <f>P26*16</f>
        <v>64</v>
      </c>
      <c r="R26" s="161"/>
      <c r="S26" s="161">
        <f>R26*16</f>
        <v>0</v>
      </c>
      <c r="T26" s="162">
        <f t="shared" ref="T26:U30" si="40">SUM(H26,J26,L26,N26,P26,R26)</f>
        <v>4</v>
      </c>
      <c r="U26" s="163">
        <f t="shared" si="40"/>
        <v>64</v>
      </c>
    </row>
    <row r="27" spans="2:21">
      <c r="B27" s="491"/>
      <c r="C27" s="494"/>
      <c r="D27" s="169" t="s">
        <v>694</v>
      </c>
      <c r="E27" s="169" t="s">
        <v>695</v>
      </c>
      <c r="F27" s="157">
        <v>40</v>
      </c>
      <c r="G27" s="157">
        <v>3</v>
      </c>
      <c r="H27" s="161"/>
      <c r="I27" s="161">
        <f t="shared" si="33"/>
        <v>0</v>
      </c>
      <c r="J27" s="161"/>
      <c r="K27" s="161">
        <f>J27*16</f>
        <v>0</v>
      </c>
      <c r="L27" s="161"/>
      <c r="M27" s="161">
        <f>L27*16</f>
        <v>0</v>
      </c>
      <c r="N27" s="161"/>
      <c r="O27" s="161">
        <f t="shared" si="34"/>
        <v>0</v>
      </c>
      <c r="P27" s="161"/>
      <c r="Q27" s="161">
        <f>P27*16</f>
        <v>0</v>
      </c>
      <c r="R27" s="161">
        <v>4</v>
      </c>
      <c r="S27" s="161">
        <f>R27*16</f>
        <v>64</v>
      </c>
      <c r="T27" s="159">
        <f t="shared" si="40"/>
        <v>4</v>
      </c>
      <c r="U27" s="160">
        <f t="shared" si="40"/>
        <v>64</v>
      </c>
    </row>
    <row r="28" spans="2:21">
      <c r="B28" s="491"/>
      <c r="C28" s="494"/>
      <c r="D28" s="169" t="s">
        <v>693</v>
      </c>
      <c r="E28" s="169" t="s">
        <v>553</v>
      </c>
      <c r="F28" s="157">
        <v>50</v>
      </c>
      <c r="G28" s="157">
        <v>3</v>
      </c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>
        <v>4</v>
      </c>
      <c r="S28" s="161">
        <f t="shared" ref="S28:S29" si="41">R28*16</f>
        <v>64</v>
      </c>
      <c r="T28" s="159">
        <f t="shared" si="40"/>
        <v>4</v>
      </c>
      <c r="U28" s="160">
        <f t="shared" si="40"/>
        <v>64</v>
      </c>
    </row>
    <row r="29" spans="2:21">
      <c r="B29" s="491"/>
      <c r="C29" s="494"/>
      <c r="D29" s="169" t="s">
        <v>549</v>
      </c>
      <c r="E29" s="169" t="s">
        <v>554</v>
      </c>
      <c r="F29" s="157">
        <v>30</v>
      </c>
      <c r="G29" s="157">
        <v>3</v>
      </c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>
        <v>4</v>
      </c>
      <c r="S29" s="161">
        <f t="shared" si="41"/>
        <v>64</v>
      </c>
      <c r="T29" s="159">
        <f t="shared" si="40"/>
        <v>4</v>
      </c>
      <c r="U29" s="160">
        <f t="shared" si="40"/>
        <v>64</v>
      </c>
    </row>
    <row r="30" spans="2:21">
      <c r="B30" s="491"/>
      <c r="C30" s="494"/>
      <c r="D30" s="169" t="s">
        <v>697</v>
      </c>
      <c r="E30" s="169" t="s">
        <v>699</v>
      </c>
      <c r="F30" s="157">
        <v>50</v>
      </c>
      <c r="G30" s="157">
        <v>5</v>
      </c>
      <c r="H30" s="161"/>
      <c r="I30" s="161">
        <f t="shared" si="33"/>
        <v>0</v>
      </c>
      <c r="J30" s="161"/>
      <c r="K30" s="161">
        <f>J30*16</f>
        <v>0</v>
      </c>
      <c r="L30" s="161"/>
      <c r="M30" s="161">
        <f>L30*16</f>
        <v>0</v>
      </c>
      <c r="N30" s="161"/>
      <c r="O30" s="161">
        <f t="shared" si="34"/>
        <v>0</v>
      </c>
      <c r="P30" s="161">
        <v>0</v>
      </c>
      <c r="Q30" s="161">
        <f>P30*16</f>
        <v>0</v>
      </c>
      <c r="R30" s="161">
        <v>4</v>
      </c>
      <c r="S30" s="161">
        <f>R30*16</f>
        <v>64</v>
      </c>
      <c r="T30" s="159">
        <f t="shared" si="40"/>
        <v>4</v>
      </c>
      <c r="U30" s="160">
        <f t="shared" si="40"/>
        <v>64</v>
      </c>
    </row>
    <row r="31" spans="2:21" ht="17.25" thickBot="1">
      <c r="B31" s="492"/>
      <c r="C31" s="495"/>
      <c r="D31" s="496" t="s">
        <v>16</v>
      </c>
      <c r="E31" s="496"/>
      <c r="F31" s="222"/>
      <c r="G31" s="222"/>
      <c r="H31" s="27">
        <f>SUM(H25:H30)</f>
        <v>0</v>
      </c>
      <c r="I31" s="27">
        <f>SUM(I25:I30)</f>
        <v>0</v>
      </c>
      <c r="J31" s="27">
        <f>SUM(J25:J30)</f>
        <v>0</v>
      </c>
      <c r="K31" s="27">
        <f>SUM(K25:K30)</f>
        <v>0</v>
      </c>
      <c r="L31" s="27">
        <f t="shared" ref="L31:U31" si="42">SUM(L23:L30)</f>
        <v>0</v>
      </c>
      <c r="M31" s="27">
        <f t="shared" si="42"/>
        <v>0</v>
      </c>
      <c r="N31" s="27">
        <f t="shared" si="42"/>
        <v>0</v>
      </c>
      <c r="O31" s="27">
        <f t="shared" si="42"/>
        <v>0</v>
      </c>
      <c r="P31" s="27">
        <f t="shared" si="42"/>
        <v>18</v>
      </c>
      <c r="Q31" s="27">
        <f t="shared" si="42"/>
        <v>288</v>
      </c>
      <c r="R31" s="27">
        <f t="shared" si="42"/>
        <v>16</v>
      </c>
      <c r="S31" s="27">
        <f t="shared" si="42"/>
        <v>256</v>
      </c>
      <c r="T31" s="164">
        <f t="shared" si="42"/>
        <v>34</v>
      </c>
      <c r="U31" s="164">
        <f t="shared" si="42"/>
        <v>544</v>
      </c>
    </row>
    <row r="32" spans="2:21">
      <c r="B32" s="490" t="s">
        <v>528</v>
      </c>
      <c r="C32" s="493">
        <f>T36</f>
        <v>16</v>
      </c>
      <c r="D32" s="167" t="s">
        <v>579</v>
      </c>
      <c r="E32" s="167" t="s">
        <v>691</v>
      </c>
      <c r="F32" s="152">
        <v>60</v>
      </c>
      <c r="G32" s="152">
        <v>2</v>
      </c>
      <c r="H32" s="153"/>
      <c r="I32" s="153">
        <f t="shared" ref="I32:I35" si="43">H32*16</f>
        <v>0</v>
      </c>
      <c r="J32" s="153"/>
      <c r="K32" s="153">
        <f>J32*16</f>
        <v>0</v>
      </c>
      <c r="L32" s="153"/>
      <c r="M32" s="153">
        <f>L32*16</f>
        <v>0</v>
      </c>
      <c r="N32" s="153"/>
      <c r="O32" s="153">
        <f t="shared" ref="O32:O35" si="44">N32*16</f>
        <v>0</v>
      </c>
      <c r="P32" s="153">
        <v>4</v>
      </c>
      <c r="Q32" s="153">
        <f>P32*16</f>
        <v>64</v>
      </c>
      <c r="R32" s="153"/>
      <c r="S32" s="153">
        <f>R32*16</f>
        <v>0</v>
      </c>
      <c r="T32" s="154">
        <f>SUM(H32,J32,L32,N32,P32,R32)</f>
        <v>4</v>
      </c>
      <c r="U32" s="155">
        <f>SUM(I32,K32,M32,O32,Q32,S32)</f>
        <v>64</v>
      </c>
    </row>
    <row r="33" spans="2:21">
      <c r="B33" s="491"/>
      <c r="C33" s="494"/>
      <c r="D33" s="168" t="s">
        <v>580</v>
      </c>
      <c r="E33" s="169" t="s">
        <v>692</v>
      </c>
      <c r="F33" s="156">
        <v>60</v>
      </c>
      <c r="G33" s="156">
        <v>3</v>
      </c>
      <c r="H33" s="158"/>
      <c r="I33" s="158">
        <f t="shared" si="43"/>
        <v>0</v>
      </c>
      <c r="J33" s="158"/>
      <c r="K33" s="158">
        <f t="shared" ref="K33" si="45">J33*16</f>
        <v>0</v>
      </c>
      <c r="L33" s="158"/>
      <c r="M33" s="158">
        <f t="shared" ref="M33" si="46">L33*16</f>
        <v>0</v>
      </c>
      <c r="N33" s="158"/>
      <c r="O33" s="158">
        <f t="shared" si="44"/>
        <v>0</v>
      </c>
      <c r="P33" s="158">
        <v>4</v>
      </c>
      <c r="Q33" s="158">
        <f t="shared" ref="Q33" si="47">P33*16</f>
        <v>64</v>
      </c>
      <c r="R33" s="158"/>
      <c r="S33" s="158">
        <f t="shared" ref="S33" si="48">R33*16</f>
        <v>0</v>
      </c>
      <c r="T33" s="159">
        <f t="shared" ref="T33:U33" si="49">SUM(H33,J33,L33,N33,P33,R33)</f>
        <v>4</v>
      </c>
      <c r="U33" s="160">
        <f t="shared" si="49"/>
        <v>64</v>
      </c>
    </row>
    <row r="34" spans="2:21">
      <c r="B34" s="491"/>
      <c r="C34" s="494"/>
      <c r="D34" s="169" t="s">
        <v>690</v>
      </c>
      <c r="E34" s="168" t="s">
        <v>556</v>
      </c>
      <c r="F34" s="157">
        <v>50</v>
      </c>
      <c r="G34" s="157">
        <v>3</v>
      </c>
      <c r="H34" s="161"/>
      <c r="I34" s="161">
        <f t="shared" si="43"/>
        <v>0</v>
      </c>
      <c r="J34" s="161"/>
      <c r="K34" s="161">
        <f>J34*16</f>
        <v>0</v>
      </c>
      <c r="L34" s="161"/>
      <c r="M34" s="161">
        <f>L34*16</f>
        <v>0</v>
      </c>
      <c r="N34" s="161"/>
      <c r="O34" s="161">
        <f t="shared" si="44"/>
        <v>0</v>
      </c>
      <c r="P34" s="161"/>
      <c r="Q34" s="161">
        <f>P34*16</f>
        <v>0</v>
      </c>
      <c r="R34" s="161">
        <v>4</v>
      </c>
      <c r="S34" s="161">
        <f>R34*16</f>
        <v>64</v>
      </c>
      <c r="T34" s="162">
        <f>SUM(H34,J34,L34,N34,P34,R34)</f>
        <v>4</v>
      </c>
      <c r="U34" s="163">
        <f>SUM(I34,K34,M34,O34,Q34,S34)</f>
        <v>64</v>
      </c>
    </row>
    <row r="35" spans="2:21">
      <c r="B35" s="491"/>
      <c r="C35" s="494"/>
      <c r="D35" s="169" t="s">
        <v>555</v>
      </c>
      <c r="E35" s="169" t="s">
        <v>557</v>
      </c>
      <c r="F35" s="157">
        <v>50</v>
      </c>
      <c r="G35" s="157">
        <v>2</v>
      </c>
      <c r="H35" s="161"/>
      <c r="I35" s="161">
        <f t="shared" si="43"/>
        <v>0</v>
      </c>
      <c r="J35" s="161"/>
      <c r="K35" s="161">
        <f>J35*16</f>
        <v>0</v>
      </c>
      <c r="L35" s="161"/>
      <c r="M35" s="161">
        <f>L35*16</f>
        <v>0</v>
      </c>
      <c r="N35" s="161"/>
      <c r="O35" s="161">
        <f t="shared" si="44"/>
        <v>0</v>
      </c>
      <c r="P35" s="161"/>
      <c r="Q35" s="161">
        <f>P35*16</f>
        <v>0</v>
      </c>
      <c r="R35" s="161">
        <v>4</v>
      </c>
      <c r="S35" s="161">
        <f>R35*16</f>
        <v>64</v>
      </c>
      <c r="T35" s="162">
        <f t="shared" ref="T35:U35" si="50">SUM(H35,J35,L35,N35,P35,R35)</f>
        <v>4</v>
      </c>
      <c r="U35" s="163">
        <f t="shared" si="50"/>
        <v>64</v>
      </c>
    </row>
    <row r="36" spans="2:21" ht="17.25" thickBot="1">
      <c r="B36" s="492"/>
      <c r="C36" s="495"/>
      <c r="D36" s="496" t="s">
        <v>16</v>
      </c>
      <c r="E36" s="496"/>
      <c r="F36" s="222"/>
      <c r="G36" s="222"/>
      <c r="H36" s="27">
        <f>SUM(H34:H35)</f>
        <v>0</v>
      </c>
      <c r="I36" s="27">
        <f>SUM(I34:I35)</f>
        <v>0</v>
      </c>
      <c r="J36" s="27">
        <f>SUM(J34:J35)</f>
        <v>0</v>
      </c>
      <c r="K36" s="27">
        <f>SUM(K34:K35)</f>
        <v>0</v>
      </c>
      <c r="L36" s="27">
        <f t="shared" ref="L36:U36" si="51">SUM(L32:L35)</f>
        <v>0</v>
      </c>
      <c r="M36" s="27">
        <f t="shared" si="51"/>
        <v>0</v>
      </c>
      <c r="N36" s="27">
        <f t="shared" si="51"/>
        <v>0</v>
      </c>
      <c r="O36" s="27">
        <f t="shared" si="51"/>
        <v>0</v>
      </c>
      <c r="P36" s="27">
        <f t="shared" si="51"/>
        <v>8</v>
      </c>
      <c r="Q36" s="27">
        <f t="shared" si="51"/>
        <v>128</v>
      </c>
      <c r="R36" s="27">
        <f t="shared" si="51"/>
        <v>8</v>
      </c>
      <c r="S36" s="27">
        <f t="shared" si="51"/>
        <v>128</v>
      </c>
      <c r="T36" s="164">
        <f t="shared" si="51"/>
        <v>16</v>
      </c>
      <c r="U36" s="164">
        <f t="shared" si="51"/>
        <v>256</v>
      </c>
    </row>
    <row r="37" spans="2:21">
      <c r="B37" s="490" t="s">
        <v>592</v>
      </c>
      <c r="C37" s="493">
        <f>T39</f>
        <v>5</v>
      </c>
      <c r="D37" s="167" t="s">
        <v>561</v>
      </c>
      <c r="E37" s="167" t="s">
        <v>563</v>
      </c>
      <c r="F37" s="152">
        <v>50</v>
      </c>
      <c r="G37" s="152">
        <v>2</v>
      </c>
      <c r="H37" s="153"/>
      <c r="I37" s="153">
        <f t="shared" ref="I37:I38" si="52">H37*16</f>
        <v>0</v>
      </c>
      <c r="J37" s="153"/>
      <c r="K37" s="153">
        <f>J37*16</f>
        <v>0</v>
      </c>
      <c r="L37" s="153"/>
      <c r="M37" s="153">
        <f>L37*16</f>
        <v>0</v>
      </c>
      <c r="N37" s="153"/>
      <c r="O37" s="153">
        <f t="shared" ref="O37:O38" si="53">N37*16</f>
        <v>0</v>
      </c>
      <c r="P37" s="153"/>
      <c r="Q37" s="153">
        <f>P37*16</f>
        <v>0</v>
      </c>
      <c r="R37" s="153">
        <v>2</v>
      </c>
      <c r="S37" s="153">
        <f>R37*16</f>
        <v>32</v>
      </c>
      <c r="T37" s="154">
        <f>SUM(H37,J37,L37,N37,P37,R37)</f>
        <v>2</v>
      </c>
      <c r="U37" s="155">
        <f>SUM(I37,K37,M37,O37,Q37,S37)</f>
        <v>32</v>
      </c>
    </row>
    <row r="38" spans="2:21">
      <c r="B38" s="491"/>
      <c r="C38" s="494"/>
      <c r="D38" s="168" t="s">
        <v>562</v>
      </c>
      <c r="E38" s="169" t="s">
        <v>564</v>
      </c>
      <c r="F38" s="156">
        <v>50</v>
      </c>
      <c r="G38" s="156">
        <v>2</v>
      </c>
      <c r="H38" s="158"/>
      <c r="I38" s="158">
        <f t="shared" si="52"/>
        <v>0</v>
      </c>
      <c r="J38" s="158"/>
      <c r="K38" s="158">
        <f t="shared" ref="K38" si="54">J38*16</f>
        <v>0</v>
      </c>
      <c r="L38" s="158"/>
      <c r="M38" s="158">
        <f t="shared" ref="M38" si="55">L38*16</f>
        <v>0</v>
      </c>
      <c r="N38" s="158"/>
      <c r="O38" s="158">
        <f t="shared" si="53"/>
        <v>0</v>
      </c>
      <c r="P38" s="158"/>
      <c r="Q38" s="158">
        <f t="shared" ref="Q38" si="56">P38*16</f>
        <v>0</v>
      </c>
      <c r="R38" s="158">
        <v>3</v>
      </c>
      <c r="S38" s="158">
        <f t="shared" ref="S38" si="57">R38*16</f>
        <v>48</v>
      </c>
      <c r="T38" s="159">
        <f t="shared" ref="T38:U38" si="58">SUM(H38,J38,L38,N38,P38,R38)</f>
        <v>3</v>
      </c>
      <c r="U38" s="160">
        <f t="shared" si="58"/>
        <v>48</v>
      </c>
    </row>
    <row r="39" spans="2:21" ht="17.25" thickBot="1">
      <c r="B39" s="492"/>
      <c r="C39" s="495"/>
      <c r="D39" s="496" t="s">
        <v>16</v>
      </c>
      <c r="E39" s="496"/>
      <c r="F39" s="222"/>
      <c r="G39" s="222"/>
      <c r="H39" s="27"/>
      <c r="I39" s="27"/>
      <c r="J39" s="27"/>
      <c r="K39" s="27"/>
      <c r="L39" s="27">
        <f t="shared" ref="L39:U39" si="59">SUM(L37:L38)</f>
        <v>0</v>
      </c>
      <c r="M39" s="27">
        <f t="shared" si="59"/>
        <v>0</v>
      </c>
      <c r="N39" s="27">
        <f t="shared" si="59"/>
        <v>0</v>
      </c>
      <c r="O39" s="27">
        <f t="shared" si="59"/>
        <v>0</v>
      </c>
      <c r="P39" s="27">
        <f t="shared" si="59"/>
        <v>0</v>
      </c>
      <c r="Q39" s="27">
        <f t="shared" si="59"/>
        <v>0</v>
      </c>
      <c r="R39" s="27">
        <f t="shared" si="59"/>
        <v>5</v>
      </c>
      <c r="S39" s="27">
        <f t="shared" si="59"/>
        <v>80</v>
      </c>
      <c r="T39" s="164">
        <f t="shared" si="59"/>
        <v>5</v>
      </c>
      <c r="U39" s="164">
        <f t="shared" si="59"/>
        <v>80</v>
      </c>
    </row>
    <row r="40" spans="2:21">
      <c r="B40" s="490" t="s">
        <v>522</v>
      </c>
      <c r="C40" s="493">
        <f>T44</f>
        <v>16</v>
      </c>
      <c r="D40" s="167" t="s">
        <v>581</v>
      </c>
      <c r="E40" s="167" t="s">
        <v>559</v>
      </c>
      <c r="F40" s="152">
        <v>20</v>
      </c>
      <c r="G40" s="152">
        <v>2</v>
      </c>
      <c r="H40" s="153"/>
      <c r="I40" s="153">
        <f t="shared" ref="I40:I43" si="60">H40*16</f>
        <v>0</v>
      </c>
      <c r="J40" s="153"/>
      <c r="K40" s="153">
        <f>J40*16</f>
        <v>0</v>
      </c>
      <c r="L40" s="153"/>
      <c r="M40" s="153">
        <f>L40*16</f>
        <v>0</v>
      </c>
      <c r="N40" s="153"/>
      <c r="O40" s="153">
        <f t="shared" ref="O40:O43" si="61">N40*16</f>
        <v>0</v>
      </c>
      <c r="P40" s="153">
        <v>4</v>
      </c>
      <c r="Q40" s="153">
        <f>P40*16</f>
        <v>64</v>
      </c>
      <c r="R40" s="153"/>
      <c r="S40" s="153">
        <f>R40*16</f>
        <v>0</v>
      </c>
      <c r="T40" s="154">
        <f>SUM(H40,J40,L40,N40,P40,R40)</f>
        <v>4</v>
      </c>
      <c r="U40" s="155">
        <f>SUM(I40,K40,M40,O40,Q40,S40)</f>
        <v>64</v>
      </c>
    </row>
    <row r="41" spans="2:21">
      <c r="B41" s="491"/>
      <c r="C41" s="494"/>
      <c r="D41" s="168" t="s">
        <v>582</v>
      </c>
      <c r="E41" s="169" t="s">
        <v>573</v>
      </c>
      <c r="F41" s="156">
        <v>20</v>
      </c>
      <c r="G41" s="156">
        <v>2</v>
      </c>
      <c r="H41" s="158"/>
      <c r="I41" s="158">
        <f t="shared" si="60"/>
        <v>0</v>
      </c>
      <c r="J41" s="158"/>
      <c r="K41" s="158">
        <f t="shared" ref="K41" si="62">J41*16</f>
        <v>0</v>
      </c>
      <c r="L41" s="158"/>
      <c r="M41" s="158">
        <f t="shared" ref="M41" si="63">L41*16</f>
        <v>0</v>
      </c>
      <c r="N41" s="158"/>
      <c r="O41" s="158">
        <f t="shared" si="61"/>
        <v>0</v>
      </c>
      <c r="P41" s="158">
        <v>4</v>
      </c>
      <c r="Q41" s="158">
        <f t="shared" ref="Q41" si="64">P41*16</f>
        <v>64</v>
      </c>
      <c r="R41" s="158"/>
      <c r="S41" s="158">
        <f t="shared" ref="S41" si="65">R41*16</f>
        <v>0</v>
      </c>
      <c r="T41" s="159">
        <f t="shared" ref="T41:U41" si="66">SUM(H41,J41,L41,N41,P41,R41)</f>
        <v>4</v>
      </c>
      <c r="U41" s="160">
        <f t="shared" si="66"/>
        <v>64</v>
      </c>
    </row>
    <row r="42" spans="2:21">
      <c r="B42" s="491"/>
      <c r="C42" s="494"/>
      <c r="D42" s="169" t="s">
        <v>574</v>
      </c>
      <c r="E42" s="168" t="s">
        <v>576</v>
      </c>
      <c r="F42" s="157">
        <v>50</v>
      </c>
      <c r="G42" s="157">
        <v>2</v>
      </c>
      <c r="H42" s="161"/>
      <c r="I42" s="161">
        <f t="shared" si="60"/>
        <v>0</v>
      </c>
      <c r="J42" s="161"/>
      <c r="K42" s="161">
        <f>J42*16</f>
        <v>0</v>
      </c>
      <c r="L42" s="161"/>
      <c r="M42" s="161">
        <f>L42*16</f>
        <v>0</v>
      </c>
      <c r="N42" s="161"/>
      <c r="O42" s="161">
        <f t="shared" si="61"/>
        <v>0</v>
      </c>
      <c r="P42" s="161"/>
      <c r="Q42" s="161">
        <f>P42*16</f>
        <v>0</v>
      </c>
      <c r="R42" s="161">
        <v>4</v>
      </c>
      <c r="S42" s="161">
        <f>R42*16</f>
        <v>64</v>
      </c>
      <c r="T42" s="162">
        <f>SUM(H42,J42,L42,N42,P42,R42)</f>
        <v>4</v>
      </c>
      <c r="U42" s="163">
        <f>SUM(I42,K42,M42,O42,Q42,S42)</f>
        <v>64</v>
      </c>
    </row>
    <row r="43" spans="2:21">
      <c r="B43" s="491"/>
      <c r="C43" s="494"/>
      <c r="D43" s="169" t="s">
        <v>575</v>
      </c>
      <c r="E43" s="169" t="s">
        <v>577</v>
      </c>
      <c r="F43" s="157">
        <v>50</v>
      </c>
      <c r="G43" s="157">
        <v>3</v>
      </c>
      <c r="H43" s="161"/>
      <c r="I43" s="161">
        <f t="shared" si="60"/>
        <v>0</v>
      </c>
      <c r="J43" s="161"/>
      <c r="K43" s="161">
        <f>J43*16</f>
        <v>0</v>
      </c>
      <c r="L43" s="161"/>
      <c r="M43" s="161">
        <f>L43*16</f>
        <v>0</v>
      </c>
      <c r="N43" s="161"/>
      <c r="O43" s="161">
        <f t="shared" si="61"/>
        <v>0</v>
      </c>
      <c r="P43" s="161"/>
      <c r="Q43" s="161">
        <f>P43*16</f>
        <v>0</v>
      </c>
      <c r="R43" s="161">
        <v>4</v>
      </c>
      <c r="S43" s="161">
        <f>R43*16</f>
        <v>64</v>
      </c>
      <c r="T43" s="162">
        <f t="shared" ref="T43:U43" si="67">SUM(H43,J43,L43,N43,P43,R43)</f>
        <v>4</v>
      </c>
      <c r="U43" s="163">
        <f t="shared" si="67"/>
        <v>64</v>
      </c>
    </row>
    <row r="44" spans="2:21" ht="17.25" thickBot="1">
      <c r="B44" s="492"/>
      <c r="C44" s="495"/>
      <c r="D44" s="496" t="s">
        <v>16</v>
      </c>
      <c r="E44" s="496"/>
      <c r="F44" s="177"/>
      <c r="G44" s="177"/>
      <c r="H44" s="27">
        <f>SUM(H42:H43)</f>
        <v>0</v>
      </c>
      <c r="I44" s="27">
        <f>SUM(I42:I43)</f>
        <v>0</v>
      </c>
      <c r="J44" s="27">
        <f>SUM(J42:J43)</f>
        <v>0</v>
      </c>
      <c r="K44" s="27">
        <f>SUM(K42:K43)</f>
        <v>0</v>
      </c>
      <c r="L44" s="27">
        <f t="shared" ref="L44:U44" si="68">SUM(L40:L43)</f>
        <v>0</v>
      </c>
      <c r="M44" s="27">
        <f t="shared" si="68"/>
        <v>0</v>
      </c>
      <c r="N44" s="27">
        <f t="shared" si="68"/>
        <v>0</v>
      </c>
      <c r="O44" s="27">
        <f t="shared" si="68"/>
        <v>0</v>
      </c>
      <c r="P44" s="27">
        <f t="shared" si="68"/>
        <v>8</v>
      </c>
      <c r="Q44" s="27">
        <f t="shared" si="68"/>
        <v>128</v>
      </c>
      <c r="R44" s="27">
        <f t="shared" si="68"/>
        <v>8</v>
      </c>
      <c r="S44" s="27">
        <f t="shared" si="68"/>
        <v>128</v>
      </c>
      <c r="T44" s="164">
        <f t="shared" si="68"/>
        <v>16</v>
      </c>
      <c r="U44" s="164">
        <f t="shared" si="68"/>
        <v>256</v>
      </c>
    </row>
    <row r="45" spans="2:21">
      <c r="B45" s="490" t="s">
        <v>521</v>
      </c>
      <c r="C45" s="493">
        <f>T47</f>
        <v>5</v>
      </c>
      <c r="D45" s="169" t="s">
        <v>571</v>
      </c>
      <c r="E45" s="169" t="s">
        <v>572</v>
      </c>
      <c r="F45" s="152">
        <v>30</v>
      </c>
      <c r="G45" s="152">
        <v>2</v>
      </c>
      <c r="H45" s="153"/>
      <c r="I45" s="153">
        <f t="shared" ref="I45:I46" si="69">H45*16</f>
        <v>0</v>
      </c>
      <c r="J45" s="153"/>
      <c r="K45" s="153">
        <f>J45*16</f>
        <v>0</v>
      </c>
      <c r="L45" s="153"/>
      <c r="M45" s="153">
        <f>L45*16</f>
        <v>0</v>
      </c>
      <c r="N45" s="153"/>
      <c r="O45" s="153">
        <f t="shared" ref="O45:O46" si="70">N45*16</f>
        <v>0</v>
      </c>
      <c r="P45" s="153"/>
      <c r="Q45" s="153">
        <f>P45*16</f>
        <v>0</v>
      </c>
      <c r="R45" s="153">
        <v>2</v>
      </c>
      <c r="S45" s="153">
        <f>R45*16</f>
        <v>32</v>
      </c>
      <c r="T45" s="154">
        <f>SUM(H45,J45,L45,N45,P45,R45)</f>
        <v>2</v>
      </c>
      <c r="U45" s="155">
        <f>SUM(I45,K45,M45,O45,Q45,S45)</f>
        <v>32</v>
      </c>
    </row>
    <row r="46" spans="2:21">
      <c r="B46" s="491"/>
      <c r="C46" s="494"/>
      <c r="D46" s="169" t="s">
        <v>558</v>
      </c>
      <c r="E46" s="169" t="s">
        <v>560</v>
      </c>
      <c r="F46" s="156">
        <v>30</v>
      </c>
      <c r="G46" s="156">
        <v>3</v>
      </c>
      <c r="H46" s="158"/>
      <c r="I46" s="158">
        <f t="shared" si="69"/>
        <v>0</v>
      </c>
      <c r="J46" s="158"/>
      <c r="K46" s="158">
        <f t="shared" ref="K46" si="71">J46*16</f>
        <v>0</v>
      </c>
      <c r="L46" s="158"/>
      <c r="M46" s="158">
        <f t="shared" ref="M46" si="72">L46*16</f>
        <v>0</v>
      </c>
      <c r="N46" s="158"/>
      <c r="O46" s="158">
        <f t="shared" si="70"/>
        <v>0</v>
      </c>
      <c r="P46" s="158"/>
      <c r="Q46" s="158">
        <f t="shared" ref="Q46" si="73">P46*16</f>
        <v>0</v>
      </c>
      <c r="R46" s="158">
        <v>3</v>
      </c>
      <c r="S46" s="158">
        <f t="shared" ref="S46" si="74">R46*16</f>
        <v>48</v>
      </c>
      <c r="T46" s="159">
        <f t="shared" ref="T46:U46" si="75">SUM(H46,J46,L46,N46,P46,R46)</f>
        <v>3</v>
      </c>
      <c r="U46" s="160">
        <f t="shared" si="75"/>
        <v>48</v>
      </c>
    </row>
    <row r="47" spans="2:21" ht="17.25" thickBot="1">
      <c r="B47" s="492"/>
      <c r="C47" s="495"/>
      <c r="D47" s="496" t="s">
        <v>16</v>
      </c>
      <c r="E47" s="496"/>
      <c r="F47" s="177"/>
      <c r="G47" s="177"/>
      <c r="H47" s="27"/>
      <c r="I47" s="27"/>
      <c r="J47" s="27"/>
      <c r="K47" s="27"/>
      <c r="L47" s="27">
        <f t="shared" ref="L47:U47" si="76">SUM(L45:L46)</f>
        <v>0</v>
      </c>
      <c r="M47" s="27">
        <f t="shared" si="76"/>
        <v>0</v>
      </c>
      <c r="N47" s="27">
        <f t="shared" si="76"/>
        <v>0</v>
      </c>
      <c r="O47" s="27">
        <f t="shared" si="76"/>
        <v>0</v>
      </c>
      <c r="P47" s="27">
        <f t="shared" si="76"/>
        <v>0</v>
      </c>
      <c r="Q47" s="27">
        <f t="shared" si="76"/>
        <v>0</v>
      </c>
      <c r="R47" s="27">
        <f t="shared" si="76"/>
        <v>5</v>
      </c>
      <c r="S47" s="27">
        <f t="shared" si="76"/>
        <v>80</v>
      </c>
      <c r="T47" s="164">
        <f t="shared" si="76"/>
        <v>5</v>
      </c>
      <c r="U47" s="164">
        <f t="shared" si="76"/>
        <v>80</v>
      </c>
    </row>
  </sheetData>
  <mergeCells count="54">
    <mergeCell ref="B45:B47"/>
    <mergeCell ref="C45:C47"/>
    <mergeCell ref="D47:E47"/>
    <mergeCell ref="B37:B39"/>
    <mergeCell ref="C37:C39"/>
    <mergeCell ref="D39:E39"/>
    <mergeCell ref="B40:B44"/>
    <mergeCell ref="C40:C44"/>
    <mergeCell ref="D44:E44"/>
    <mergeCell ref="B23:B31"/>
    <mergeCell ref="C23:C31"/>
    <mergeCell ref="D31:E31"/>
    <mergeCell ref="B32:B36"/>
    <mergeCell ref="C32:C36"/>
    <mergeCell ref="D36:E36"/>
    <mergeCell ref="B17:B19"/>
    <mergeCell ref="C17:C19"/>
    <mergeCell ref="D19:E19"/>
    <mergeCell ref="B20:B22"/>
    <mergeCell ref="C20:C22"/>
    <mergeCell ref="D22:E22"/>
    <mergeCell ref="B9:B13"/>
    <mergeCell ref="C9:C13"/>
    <mergeCell ref="D13:E13"/>
    <mergeCell ref="B14:B16"/>
    <mergeCell ref="C14:C16"/>
    <mergeCell ref="D16:E16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B1:AD101"/>
  <sheetViews>
    <sheetView view="pageBreakPreview" zoomScaleNormal="100" zoomScaleSheetLayoutView="100" workbookViewId="0">
      <pane ySplit="8" topLeftCell="A9" activePane="bottomLeft" state="frozen"/>
      <selection pane="bottomLeft" activeCell="B2" sqref="B2:U2"/>
    </sheetView>
  </sheetViews>
  <sheetFormatPr defaultColWidth="8.75" defaultRowHeight="16.5"/>
  <cols>
    <col min="1" max="1" width="2" style="4" customWidth="1"/>
    <col min="2" max="2" width="6.625" style="4" customWidth="1"/>
    <col min="3" max="3" width="9.37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625" style="4" customWidth="1"/>
    <col min="9" max="9" width="7.875" style="4" bestFit="1" customWidth="1"/>
    <col min="10" max="10" width="5.625" style="4" customWidth="1"/>
    <col min="11" max="22" width="3.875" style="4" customWidth="1"/>
    <col min="23" max="24" width="3.375" style="4" customWidth="1"/>
    <col min="25" max="25" width="6.875" style="4" customWidth="1"/>
    <col min="26" max="26" width="10" style="4" customWidth="1"/>
    <col min="27" max="27" width="20.75" style="4" customWidth="1"/>
    <col min="28" max="29" width="12.875" style="4" customWidth="1"/>
    <col min="30" max="30" width="13.875" style="4" customWidth="1"/>
    <col min="31" max="16384" width="8.75" style="4"/>
  </cols>
  <sheetData>
    <row r="1" spans="2:30" ht="17.25" thickBot="1"/>
    <row r="2" spans="2:30" ht="30.75" customHeight="1" thickBot="1">
      <c r="B2" s="248" t="s">
        <v>687</v>
      </c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9"/>
      <c r="V2" s="250" t="s">
        <v>130</v>
      </c>
      <c r="W2" s="251"/>
      <c r="X2" s="252">
        <v>2027</v>
      </c>
      <c r="Y2" s="253"/>
      <c r="AA2" s="254" t="s">
        <v>143</v>
      </c>
      <c r="AB2" s="19" t="s">
        <v>144</v>
      </c>
      <c r="AC2" s="31" t="s">
        <v>151</v>
      </c>
      <c r="AD2" s="20" t="s">
        <v>145</v>
      </c>
    </row>
    <row r="3" spans="2:30" ht="17.25" thickBot="1">
      <c r="B3" s="257" t="s">
        <v>362</v>
      </c>
      <c r="C3" s="259" t="s">
        <v>53</v>
      </c>
      <c r="D3" s="260"/>
      <c r="E3" s="260"/>
      <c r="F3" s="259" t="s">
        <v>64</v>
      </c>
      <c r="G3" s="263"/>
      <c r="H3" s="259" t="s">
        <v>54</v>
      </c>
      <c r="I3" s="260"/>
      <c r="J3" s="260"/>
      <c r="K3" s="259" t="s">
        <v>55</v>
      </c>
      <c r="L3" s="260"/>
      <c r="M3" s="260"/>
      <c r="N3" s="260"/>
      <c r="O3" s="263"/>
      <c r="P3" s="265" t="s">
        <v>56</v>
      </c>
      <c r="Q3" s="266"/>
      <c r="R3" s="266"/>
      <c r="S3" s="266"/>
      <c r="T3" s="266"/>
      <c r="U3" s="266"/>
      <c r="V3" s="266"/>
      <c r="W3" s="266"/>
      <c r="X3" s="266"/>
      <c r="Y3" s="267"/>
      <c r="AA3" s="255"/>
      <c r="AB3" s="21" t="s">
        <v>146</v>
      </c>
      <c r="AC3" s="41" t="s">
        <v>569</v>
      </c>
      <c r="AD3" s="22" t="s">
        <v>583</v>
      </c>
    </row>
    <row r="4" spans="2:30" ht="17.25" thickBot="1">
      <c r="B4" s="258"/>
      <c r="C4" s="261"/>
      <c r="D4" s="262"/>
      <c r="E4" s="262"/>
      <c r="F4" s="261"/>
      <c r="G4" s="264"/>
      <c r="H4" s="261"/>
      <c r="I4" s="262"/>
      <c r="J4" s="262"/>
      <c r="K4" s="261"/>
      <c r="L4" s="262"/>
      <c r="M4" s="262"/>
      <c r="N4" s="262"/>
      <c r="O4" s="264"/>
      <c r="P4" s="265" t="s">
        <v>127</v>
      </c>
      <c r="Q4" s="266"/>
      <c r="R4" s="266"/>
      <c r="S4" s="266"/>
      <c r="T4" s="265" t="s">
        <v>61</v>
      </c>
      <c r="U4" s="266"/>
      <c r="V4" s="267"/>
      <c r="W4" s="266" t="s">
        <v>128</v>
      </c>
      <c r="X4" s="266"/>
      <c r="Y4" s="267"/>
      <c r="AA4" s="255"/>
      <c r="AB4" s="23" t="s">
        <v>147</v>
      </c>
      <c r="AC4" s="42" t="s">
        <v>570</v>
      </c>
      <c r="AD4" s="22" t="s">
        <v>584</v>
      </c>
    </row>
    <row r="5" spans="2:30" ht="26.25" customHeight="1" thickBot="1">
      <c r="B5" s="76" t="s">
        <v>510</v>
      </c>
      <c r="C5" s="268" t="s">
        <v>512</v>
      </c>
      <c r="D5" s="269"/>
      <c r="E5" s="270"/>
      <c r="F5" s="268" t="s">
        <v>594</v>
      </c>
      <c r="G5" s="271"/>
      <c r="H5" s="272" t="s">
        <v>595</v>
      </c>
      <c r="I5" s="269"/>
      <c r="J5" s="270"/>
      <c r="K5" s="268" t="s">
        <v>596</v>
      </c>
      <c r="L5" s="269"/>
      <c r="M5" s="269"/>
      <c r="N5" s="269"/>
      <c r="O5" s="271"/>
      <c r="P5" s="272" t="s">
        <v>597</v>
      </c>
      <c r="Q5" s="269"/>
      <c r="R5" s="269"/>
      <c r="S5" s="270"/>
      <c r="T5" s="268" t="s">
        <v>598</v>
      </c>
      <c r="U5" s="269"/>
      <c r="V5" s="270"/>
      <c r="W5" s="575" t="s">
        <v>599</v>
      </c>
      <c r="X5" s="576"/>
      <c r="Y5" s="577"/>
      <c r="AA5" s="256"/>
      <c r="AB5" s="24" t="s">
        <v>148</v>
      </c>
      <c r="AC5" s="43"/>
      <c r="AD5" s="25"/>
    </row>
    <row r="6" spans="2:30" ht="15.75" customHeight="1" thickBot="1">
      <c r="U6" s="276"/>
      <c r="V6" s="276"/>
      <c r="W6" s="276"/>
      <c r="X6" s="276"/>
      <c r="Y6" s="276"/>
    </row>
    <row r="7" spans="2:30" s="10" customFormat="1" ht="22.5" customHeight="1">
      <c r="B7" s="277" t="s">
        <v>2</v>
      </c>
      <c r="C7" s="278"/>
      <c r="D7" s="281" t="s">
        <v>120</v>
      </c>
      <c r="E7" s="283" t="s">
        <v>57</v>
      </c>
      <c r="F7" s="284"/>
      <c r="G7" s="285"/>
      <c r="H7" s="286" t="s">
        <v>133</v>
      </c>
      <c r="I7" s="288" t="s">
        <v>134</v>
      </c>
      <c r="J7" s="290" t="s">
        <v>135</v>
      </c>
      <c r="K7" s="292" t="s">
        <v>58</v>
      </c>
      <c r="L7" s="288"/>
      <c r="M7" s="288"/>
      <c r="N7" s="293"/>
      <c r="O7" s="294" t="s">
        <v>59</v>
      </c>
      <c r="P7" s="288"/>
      <c r="Q7" s="288"/>
      <c r="R7" s="293"/>
      <c r="S7" s="292" t="s">
        <v>60</v>
      </c>
      <c r="T7" s="288"/>
      <c r="U7" s="288"/>
      <c r="V7" s="295"/>
      <c r="W7" s="286" t="s">
        <v>136</v>
      </c>
      <c r="X7" s="290"/>
      <c r="Y7" s="285" t="s">
        <v>137</v>
      </c>
      <c r="Z7" s="9"/>
    </row>
    <row r="8" spans="2:30" s="10" customFormat="1" ht="22.5" customHeight="1" thickBot="1">
      <c r="B8" s="279"/>
      <c r="C8" s="280"/>
      <c r="D8" s="282"/>
      <c r="E8" s="26" t="s">
        <v>18</v>
      </c>
      <c r="F8" s="316" t="s">
        <v>19</v>
      </c>
      <c r="G8" s="317"/>
      <c r="H8" s="287"/>
      <c r="I8" s="289"/>
      <c r="J8" s="291"/>
      <c r="K8" s="318" t="s">
        <v>0</v>
      </c>
      <c r="L8" s="289"/>
      <c r="M8" s="289" t="s">
        <v>62</v>
      </c>
      <c r="N8" s="319"/>
      <c r="O8" s="320" t="s">
        <v>0</v>
      </c>
      <c r="P8" s="289"/>
      <c r="Q8" s="289" t="s">
        <v>62</v>
      </c>
      <c r="R8" s="319"/>
      <c r="S8" s="318" t="s">
        <v>0</v>
      </c>
      <c r="T8" s="289"/>
      <c r="U8" s="289" t="s">
        <v>62</v>
      </c>
      <c r="V8" s="321"/>
      <c r="W8" s="287"/>
      <c r="X8" s="291"/>
      <c r="Y8" s="315"/>
      <c r="AA8" s="296" t="s">
        <v>500</v>
      </c>
      <c r="AB8" s="296"/>
      <c r="AC8" s="296"/>
      <c r="AD8" s="296"/>
    </row>
    <row r="9" spans="2:30" ht="16.5" customHeight="1" thickBot="1">
      <c r="B9" s="297" t="s">
        <v>340</v>
      </c>
      <c r="C9" s="298"/>
      <c r="D9" s="303" t="s">
        <v>21</v>
      </c>
      <c r="E9" s="44" t="s">
        <v>12</v>
      </c>
      <c r="F9" s="305" t="s">
        <v>204</v>
      </c>
      <c r="G9" s="306"/>
      <c r="H9" s="45">
        <v>4</v>
      </c>
      <c r="I9" s="46" t="s">
        <v>341</v>
      </c>
      <c r="J9" s="47">
        <v>3</v>
      </c>
      <c r="K9" s="305">
        <v>3</v>
      </c>
      <c r="L9" s="307"/>
      <c r="M9" s="308"/>
      <c r="N9" s="309"/>
      <c r="O9" s="310"/>
      <c r="P9" s="307"/>
      <c r="Q9" s="308"/>
      <c r="R9" s="309"/>
      <c r="S9" s="311"/>
      <c r="T9" s="312"/>
      <c r="U9" s="313"/>
      <c r="V9" s="314"/>
      <c r="W9" s="48">
        <f>SUM(K9:V9)</f>
        <v>3</v>
      </c>
      <c r="X9" s="322">
        <f>SUM(W9:W11)</f>
        <v>9</v>
      </c>
      <c r="Y9" s="324">
        <v>24</v>
      </c>
      <c r="AA9" s="137" t="s">
        <v>18</v>
      </c>
      <c r="AB9" s="138" t="s">
        <v>506</v>
      </c>
      <c r="AC9" s="138" t="s">
        <v>507</v>
      </c>
      <c r="AD9" s="139" t="s">
        <v>508</v>
      </c>
    </row>
    <row r="10" spans="2:30" ht="16.5" customHeight="1" thickBot="1">
      <c r="B10" s="299"/>
      <c r="C10" s="300"/>
      <c r="D10" s="304"/>
      <c r="E10" s="54" t="s">
        <v>12</v>
      </c>
      <c r="F10" s="325" t="s">
        <v>205</v>
      </c>
      <c r="G10" s="326"/>
      <c r="H10" s="143">
        <v>4</v>
      </c>
      <c r="I10" s="51" t="s">
        <v>365</v>
      </c>
      <c r="J10" s="144">
        <v>3</v>
      </c>
      <c r="K10" s="325"/>
      <c r="L10" s="327"/>
      <c r="M10" s="328">
        <v>3</v>
      </c>
      <c r="N10" s="329"/>
      <c r="O10" s="334"/>
      <c r="P10" s="327"/>
      <c r="Q10" s="328"/>
      <c r="R10" s="329"/>
      <c r="S10" s="330"/>
      <c r="T10" s="331"/>
      <c r="U10" s="332"/>
      <c r="V10" s="333"/>
      <c r="W10" s="205">
        <f>SUM(K10:V10)</f>
        <v>3</v>
      </c>
      <c r="X10" s="323"/>
      <c r="Y10" s="324"/>
      <c r="AA10" s="206"/>
      <c r="AB10" s="207"/>
      <c r="AC10" s="207"/>
      <c r="AD10" s="208"/>
    </row>
    <row r="11" spans="2:30" ht="17.25" thickBot="1">
      <c r="B11" s="299"/>
      <c r="C11" s="300"/>
      <c r="D11" s="304"/>
      <c r="E11" s="49" t="s">
        <v>342</v>
      </c>
      <c r="F11" s="325" t="s">
        <v>684</v>
      </c>
      <c r="G11" s="326"/>
      <c r="H11" s="50">
        <v>4</v>
      </c>
      <c r="I11" s="51" t="s">
        <v>343</v>
      </c>
      <c r="J11" s="52">
        <v>3</v>
      </c>
      <c r="K11" s="325"/>
      <c r="L11" s="327"/>
      <c r="M11" s="328"/>
      <c r="N11" s="329"/>
      <c r="O11" s="334">
        <v>3</v>
      </c>
      <c r="P11" s="327"/>
      <c r="Q11" s="328"/>
      <c r="R11" s="329"/>
      <c r="S11" s="330"/>
      <c r="T11" s="331"/>
      <c r="U11" s="332"/>
      <c r="V11" s="333"/>
      <c r="W11" s="53">
        <f t="shared" ref="W11:W22" si="0">SUM(K11:V11)</f>
        <v>3</v>
      </c>
      <c r="X11" s="323"/>
      <c r="Y11" s="324"/>
      <c r="AA11" s="140" t="s">
        <v>501</v>
      </c>
      <c r="AB11" s="141">
        <v>4</v>
      </c>
      <c r="AC11" s="141">
        <v>-1</v>
      </c>
      <c r="AD11" s="22" t="s">
        <v>341</v>
      </c>
    </row>
    <row r="12" spans="2:30" ht="17.25" thickBot="1">
      <c r="B12" s="299"/>
      <c r="C12" s="300"/>
      <c r="D12" s="303" t="s">
        <v>5</v>
      </c>
      <c r="E12" s="44" t="s">
        <v>12</v>
      </c>
      <c r="F12" s="305" t="s">
        <v>216</v>
      </c>
      <c r="G12" s="306"/>
      <c r="H12" s="45">
        <v>4</v>
      </c>
      <c r="I12" s="46" t="s">
        <v>341</v>
      </c>
      <c r="J12" s="47">
        <v>3</v>
      </c>
      <c r="K12" s="305">
        <v>3</v>
      </c>
      <c r="L12" s="307"/>
      <c r="M12" s="308"/>
      <c r="N12" s="309"/>
      <c r="O12" s="310"/>
      <c r="P12" s="307"/>
      <c r="Q12" s="308"/>
      <c r="R12" s="309"/>
      <c r="S12" s="311"/>
      <c r="T12" s="312"/>
      <c r="U12" s="313"/>
      <c r="V12" s="314"/>
      <c r="W12" s="48">
        <f t="shared" si="0"/>
        <v>3</v>
      </c>
      <c r="X12" s="322">
        <f>SUM(W12:W14)</f>
        <v>9</v>
      </c>
      <c r="Y12" s="324"/>
      <c r="AA12" s="140" t="s">
        <v>502</v>
      </c>
      <c r="AB12" s="141">
        <v>3</v>
      </c>
      <c r="AC12" s="141"/>
      <c r="AD12" s="22">
        <v>3</v>
      </c>
    </row>
    <row r="13" spans="2:30" ht="17.25" thickBot="1">
      <c r="B13" s="299"/>
      <c r="C13" s="300"/>
      <c r="D13" s="304"/>
      <c r="E13" s="54" t="s">
        <v>12</v>
      </c>
      <c r="F13" s="325" t="s">
        <v>218</v>
      </c>
      <c r="G13" s="326"/>
      <c r="H13" s="143">
        <v>4</v>
      </c>
      <c r="I13" s="51" t="s">
        <v>365</v>
      </c>
      <c r="J13" s="144">
        <v>3</v>
      </c>
      <c r="K13" s="325"/>
      <c r="L13" s="327"/>
      <c r="M13" s="328">
        <v>3</v>
      </c>
      <c r="N13" s="329"/>
      <c r="O13" s="334"/>
      <c r="P13" s="327"/>
      <c r="Q13" s="328"/>
      <c r="R13" s="329"/>
      <c r="S13" s="330"/>
      <c r="T13" s="331"/>
      <c r="U13" s="332"/>
      <c r="V13" s="333"/>
      <c r="W13" s="205">
        <f>SUM(K13:V13)</f>
        <v>3</v>
      </c>
      <c r="X13" s="323"/>
      <c r="Y13" s="324"/>
      <c r="AA13" s="140"/>
      <c r="AB13" s="141"/>
      <c r="AC13" s="141"/>
      <c r="AD13" s="22"/>
    </row>
    <row r="14" spans="2:30" ht="17.25" thickBot="1">
      <c r="B14" s="299"/>
      <c r="C14" s="300"/>
      <c r="D14" s="304"/>
      <c r="E14" s="49" t="s">
        <v>342</v>
      </c>
      <c r="F14" s="325" t="s">
        <v>685</v>
      </c>
      <c r="G14" s="326"/>
      <c r="H14" s="50">
        <v>4</v>
      </c>
      <c r="I14" s="51" t="s">
        <v>343</v>
      </c>
      <c r="J14" s="52">
        <v>3</v>
      </c>
      <c r="K14" s="325"/>
      <c r="L14" s="327"/>
      <c r="M14" s="328"/>
      <c r="N14" s="329"/>
      <c r="O14" s="334">
        <v>3</v>
      </c>
      <c r="P14" s="327"/>
      <c r="Q14" s="328"/>
      <c r="R14" s="329"/>
      <c r="S14" s="330"/>
      <c r="T14" s="331"/>
      <c r="U14" s="332"/>
      <c r="V14" s="333"/>
      <c r="W14" s="53">
        <f t="shared" si="0"/>
        <v>3</v>
      </c>
      <c r="X14" s="323"/>
      <c r="Y14" s="324"/>
      <c r="AA14" s="140" t="s">
        <v>503</v>
      </c>
      <c r="AB14" s="141">
        <v>4</v>
      </c>
      <c r="AC14" s="141" t="s">
        <v>509</v>
      </c>
      <c r="AD14" s="22" t="s">
        <v>343</v>
      </c>
    </row>
    <row r="15" spans="2:30" ht="17.25" thickBot="1">
      <c r="B15" s="299"/>
      <c r="C15" s="300"/>
      <c r="D15" s="303" t="s">
        <v>6</v>
      </c>
      <c r="E15" s="44" t="s">
        <v>12</v>
      </c>
      <c r="F15" s="305" t="s">
        <v>344</v>
      </c>
      <c r="G15" s="306"/>
      <c r="H15" s="45">
        <v>4</v>
      </c>
      <c r="I15" s="46" t="s">
        <v>341</v>
      </c>
      <c r="J15" s="47">
        <v>3</v>
      </c>
      <c r="K15" s="305">
        <v>3</v>
      </c>
      <c r="L15" s="307"/>
      <c r="M15" s="308"/>
      <c r="N15" s="309"/>
      <c r="O15" s="310"/>
      <c r="P15" s="307"/>
      <c r="Q15" s="308"/>
      <c r="R15" s="309"/>
      <c r="S15" s="311"/>
      <c r="T15" s="312"/>
      <c r="U15" s="313"/>
      <c r="V15" s="314"/>
      <c r="W15" s="48">
        <f t="shared" si="0"/>
        <v>3</v>
      </c>
      <c r="X15" s="322">
        <f>SUM(W15:W17)</f>
        <v>9</v>
      </c>
      <c r="Y15" s="324"/>
      <c r="AA15" s="140" t="s">
        <v>504</v>
      </c>
      <c r="AB15" s="141">
        <v>3</v>
      </c>
      <c r="AC15" s="141" t="s">
        <v>509</v>
      </c>
      <c r="AD15" s="22" t="s">
        <v>351</v>
      </c>
    </row>
    <row r="16" spans="2:30" ht="17.25" thickBot="1">
      <c r="B16" s="299"/>
      <c r="C16" s="300"/>
      <c r="D16" s="304"/>
      <c r="E16" s="54" t="s">
        <v>12</v>
      </c>
      <c r="F16" s="325" t="s">
        <v>229</v>
      </c>
      <c r="G16" s="326"/>
      <c r="H16" s="143">
        <v>4</v>
      </c>
      <c r="I16" s="51" t="s">
        <v>341</v>
      </c>
      <c r="J16" s="144">
        <v>3</v>
      </c>
      <c r="K16" s="325"/>
      <c r="L16" s="327"/>
      <c r="M16" s="328">
        <v>3</v>
      </c>
      <c r="N16" s="329"/>
      <c r="O16" s="334"/>
      <c r="P16" s="327"/>
      <c r="Q16" s="328"/>
      <c r="R16" s="329"/>
      <c r="S16" s="330"/>
      <c r="T16" s="331"/>
      <c r="U16" s="332"/>
      <c r="V16" s="333"/>
      <c r="W16" s="205">
        <f>SUM(K16:V16)</f>
        <v>3</v>
      </c>
      <c r="X16" s="323"/>
      <c r="Y16" s="324"/>
      <c r="AA16" s="209"/>
      <c r="AB16" s="210"/>
      <c r="AC16" s="210"/>
      <c r="AD16" s="211"/>
    </row>
    <row r="17" spans="2:30" ht="17.25" thickBot="1">
      <c r="B17" s="299"/>
      <c r="C17" s="300"/>
      <c r="D17" s="304"/>
      <c r="E17" s="49" t="s">
        <v>342</v>
      </c>
      <c r="F17" s="325" t="s">
        <v>686</v>
      </c>
      <c r="G17" s="326"/>
      <c r="H17" s="50">
        <v>4</v>
      </c>
      <c r="I17" s="212" t="s">
        <v>343</v>
      </c>
      <c r="J17" s="52">
        <v>3</v>
      </c>
      <c r="K17" s="325"/>
      <c r="L17" s="327"/>
      <c r="M17" s="328"/>
      <c r="N17" s="329"/>
      <c r="O17" s="334"/>
      <c r="P17" s="327"/>
      <c r="Q17" s="328">
        <v>3</v>
      </c>
      <c r="R17" s="329"/>
      <c r="S17" s="330"/>
      <c r="T17" s="331"/>
      <c r="U17" s="332"/>
      <c r="V17" s="333"/>
      <c r="W17" s="53">
        <f t="shared" si="0"/>
        <v>3</v>
      </c>
      <c r="X17" s="323"/>
      <c r="Y17" s="324"/>
      <c r="AA17" s="142" t="s">
        <v>505</v>
      </c>
      <c r="AB17" s="335" t="s">
        <v>511</v>
      </c>
      <c r="AC17" s="335"/>
      <c r="AD17" s="336"/>
    </row>
    <row r="18" spans="2:30" ht="17.25" thickBot="1">
      <c r="B18" s="299"/>
      <c r="C18" s="300"/>
      <c r="D18" s="303" t="s">
        <v>345</v>
      </c>
      <c r="E18" s="44" t="s">
        <v>12</v>
      </c>
      <c r="F18" s="305" t="s">
        <v>237</v>
      </c>
      <c r="G18" s="306"/>
      <c r="H18" s="45">
        <v>3</v>
      </c>
      <c r="I18" s="59">
        <v>3</v>
      </c>
      <c r="J18" s="47">
        <v>3</v>
      </c>
      <c r="K18" s="338">
        <v>3</v>
      </c>
      <c r="L18" s="339"/>
      <c r="M18" s="340"/>
      <c r="N18" s="341"/>
      <c r="O18" s="342"/>
      <c r="P18" s="339"/>
      <c r="Q18" s="340"/>
      <c r="R18" s="341"/>
      <c r="S18" s="343"/>
      <c r="T18" s="344"/>
      <c r="U18" s="345"/>
      <c r="V18" s="346"/>
      <c r="W18" s="48">
        <f t="shared" si="0"/>
        <v>3</v>
      </c>
      <c r="X18" s="322">
        <f>SUM(W18:W19)</f>
        <v>6</v>
      </c>
      <c r="Y18" s="324">
        <v>6</v>
      </c>
    </row>
    <row r="19" spans="2:30" ht="17.25" thickBot="1">
      <c r="B19" s="299"/>
      <c r="C19" s="300"/>
      <c r="D19" s="304"/>
      <c r="E19" s="60" t="s">
        <v>12</v>
      </c>
      <c r="F19" s="348" t="s">
        <v>346</v>
      </c>
      <c r="G19" s="349"/>
      <c r="H19" s="61">
        <v>3</v>
      </c>
      <c r="I19" s="62">
        <v>3</v>
      </c>
      <c r="J19" s="231">
        <v>3</v>
      </c>
      <c r="K19" s="350"/>
      <c r="L19" s="351"/>
      <c r="M19" s="352">
        <v>3</v>
      </c>
      <c r="N19" s="353"/>
      <c r="O19" s="354"/>
      <c r="P19" s="351"/>
      <c r="Q19" s="352"/>
      <c r="R19" s="353"/>
      <c r="S19" s="355"/>
      <c r="T19" s="356"/>
      <c r="U19" s="357"/>
      <c r="V19" s="358"/>
      <c r="W19" s="63">
        <f t="shared" si="0"/>
        <v>3</v>
      </c>
      <c r="X19" s="347"/>
      <c r="Y19" s="324"/>
      <c r="AA19" s="151"/>
      <c r="AB19" s="151"/>
      <c r="AC19" s="35"/>
    </row>
    <row r="20" spans="2:30" ht="17.25" thickBot="1">
      <c r="B20" s="299"/>
      <c r="C20" s="300"/>
      <c r="D20" s="304"/>
      <c r="E20" s="44" t="s">
        <v>12</v>
      </c>
      <c r="F20" s="305" t="s">
        <v>240</v>
      </c>
      <c r="G20" s="306"/>
      <c r="H20" s="45">
        <v>4</v>
      </c>
      <c r="I20" s="59" t="s">
        <v>341</v>
      </c>
      <c r="J20" s="47">
        <v>3</v>
      </c>
      <c r="K20" s="305"/>
      <c r="L20" s="307"/>
      <c r="M20" s="308"/>
      <c r="N20" s="309"/>
      <c r="O20" s="310">
        <v>3</v>
      </c>
      <c r="P20" s="307"/>
      <c r="Q20" s="308"/>
      <c r="R20" s="309"/>
      <c r="S20" s="311"/>
      <c r="T20" s="312"/>
      <c r="U20" s="313"/>
      <c r="V20" s="314"/>
      <c r="W20" s="48">
        <f t="shared" si="0"/>
        <v>3</v>
      </c>
      <c r="X20" s="322">
        <f>SUM(W20:W21)</f>
        <v>6</v>
      </c>
      <c r="Y20" s="324">
        <v>12</v>
      </c>
      <c r="AA20" s="196"/>
      <c r="AB20" s="196"/>
      <c r="AC20" s="196"/>
      <c r="AD20" s="196"/>
    </row>
    <row r="21" spans="2:30" ht="17.25" thickBot="1">
      <c r="B21" s="299"/>
      <c r="C21" s="300"/>
      <c r="D21" s="337"/>
      <c r="E21" s="58" t="s">
        <v>12</v>
      </c>
      <c r="F21" s="350" t="s">
        <v>347</v>
      </c>
      <c r="G21" s="359"/>
      <c r="H21" s="55">
        <v>4</v>
      </c>
      <c r="I21" s="56" t="s">
        <v>341</v>
      </c>
      <c r="J21" s="57">
        <v>3</v>
      </c>
      <c r="K21" s="350"/>
      <c r="L21" s="351"/>
      <c r="M21" s="352"/>
      <c r="N21" s="353"/>
      <c r="O21" s="354"/>
      <c r="P21" s="351"/>
      <c r="Q21" s="352">
        <v>3</v>
      </c>
      <c r="R21" s="353"/>
      <c r="S21" s="355"/>
      <c r="T21" s="356"/>
      <c r="U21" s="357"/>
      <c r="V21" s="358"/>
      <c r="W21" s="63">
        <f t="shared" si="0"/>
        <v>3</v>
      </c>
      <c r="X21" s="347"/>
      <c r="Y21" s="324"/>
      <c r="AA21" s="196"/>
      <c r="AB21" s="196"/>
      <c r="AC21" s="196"/>
      <c r="AD21" s="196"/>
    </row>
    <row r="22" spans="2:30" ht="17.25" thickBot="1">
      <c r="B22" s="299"/>
      <c r="C22" s="300"/>
      <c r="D22" s="303" t="s">
        <v>26</v>
      </c>
      <c r="E22" s="44" t="s">
        <v>12</v>
      </c>
      <c r="F22" s="305" t="s">
        <v>258</v>
      </c>
      <c r="G22" s="306"/>
      <c r="H22" s="45">
        <v>4</v>
      </c>
      <c r="I22" s="59" t="s">
        <v>341</v>
      </c>
      <c r="J22" s="47">
        <v>3</v>
      </c>
      <c r="K22" s="305">
        <v>3</v>
      </c>
      <c r="L22" s="307"/>
      <c r="M22" s="308"/>
      <c r="N22" s="309"/>
      <c r="O22" s="310"/>
      <c r="P22" s="307"/>
      <c r="Q22" s="308"/>
      <c r="R22" s="309"/>
      <c r="S22" s="311"/>
      <c r="T22" s="312"/>
      <c r="U22" s="313"/>
      <c r="V22" s="314"/>
      <c r="W22" s="48">
        <f t="shared" si="0"/>
        <v>3</v>
      </c>
      <c r="X22" s="298">
        <f>SUM(W22:W24)</f>
        <v>9</v>
      </c>
      <c r="Y22" s="324"/>
      <c r="AA22" s="196"/>
      <c r="AB22" s="196"/>
      <c r="AC22" s="196"/>
      <c r="AD22" s="196"/>
    </row>
    <row r="23" spans="2:30" ht="17.25" thickBot="1">
      <c r="B23" s="299"/>
      <c r="C23" s="300"/>
      <c r="D23" s="304"/>
      <c r="E23" s="54" t="s">
        <v>12</v>
      </c>
      <c r="F23" s="325" t="s">
        <v>259</v>
      </c>
      <c r="G23" s="326"/>
      <c r="H23" s="143">
        <v>4</v>
      </c>
      <c r="I23" s="212" t="s">
        <v>341</v>
      </c>
      <c r="J23" s="144">
        <v>3</v>
      </c>
      <c r="K23" s="325"/>
      <c r="L23" s="327"/>
      <c r="M23" s="328">
        <v>3</v>
      </c>
      <c r="N23" s="329"/>
      <c r="O23" s="334"/>
      <c r="P23" s="327"/>
      <c r="Q23" s="328"/>
      <c r="R23" s="329"/>
      <c r="S23" s="330"/>
      <c r="T23" s="331"/>
      <c r="U23" s="332"/>
      <c r="V23" s="333"/>
      <c r="W23" s="205">
        <f>SUM(K23:V23)</f>
        <v>3</v>
      </c>
      <c r="X23" s="300"/>
      <c r="Y23" s="324"/>
      <c r="AA23" s="214"/>
      <c r="AB23" s="214"/>
      <c r="AC23" s="214"/>
      <c r="AD23" s="214"/>
    </row>
    <row r="24" spans="2:30" ht="17.25" thickBot="1">
      <c r="B24" s="299"/>
      <c r="C24" s="300"/>
      <c r="D24" s="304"/>
      <c r="E24" s="54" t="s">
        <v>349</v>
      </c>
      <c r="F24" s="325" t="s">
        <v>264</v>
      </c>
      <c r="G24" s="326"/>
      <c r="H24" s="143">
        <v>4</v>
      </c>
      <c r="I24" s="212" t="s">
        <v>343</v>
      </c>
      <c r="J24" s="144">
        <v>3</v>
      </c>
      <c r="K24" s="325"/>
      <c r="L24" s="327"/>
      <c r="M24" s="328"/>
      <c r="N24" s="329"/>
      <c r="O24" s="334"/>
      <c r="P24" s="327"/>
      <c r="Q24" s="328">
        <v>3</v>
      </c>
      <c r="R24" s="329"/>
      <c r="S24" s="330"/>
      <c r="T24" s="331"/>
      <c r="U24" s="332"/>
      <c r="V24" s="333"/>
      <c r="W24" s="205">
        <f>SUM(K24:V24)</f>
        <v>3</v>
      </c>
      <c r="X24" s="300"/>
      <c r="Y24" s="324"/>
      <c r="AA24" s="213"/>
      <c r="AB24" s="213"/>
      <c r="AC24" s="213"/>
      <c r="AD24" s="213"/>
    </row>
    <row r="25" spans="2:30" ht="16.5" customHeight="1" thickBot="1">
      <c r="B25" s="299"/>
      <c r="C25" s="300"/>
      <c r="D25" s="303" t="s">
        <v>8</v>
      </c>
      <c r="E25" s="44" t="s">
        <v>349</v>
      </c>
      <c r="F25" s="305" t="s">
        <v>350</v>
      </c>
      <c r="G25" s="306"/>
      <c r="H25" s="45">
        <v>3</v>
      </c>
      <c r="I25" s="59" t="s">
        <v>351</v>
      </c>
      <c r="J25" s="47">
        <f t="shared" ref="J25:J26" si="1">SUM(K25:V25)</f>
        <v>2</v>
      </c>
      <c r="K25" s="305">
        <v>2</v>
      </c>
      <c r="L25" s="307"/>
      <c r="M25" s="308"/>
      <c r="N25" s="309"/>
      <c r="O25" s="310"/>
      <c r="P25" s="307"/>
      <c r="Q25" s="308"/>
      <c r="R25" s="309"/>
      <c r="S25" s="310"/>
      <c r="T25" s="307"/>
      <c r="U25" s="313"/>
      <c r="V25" s="314"/>
      <c r="W25" s="48">
        <f>SUM(K25:V25)</f>
        <v>2</v>
      </c>
      <c r="X25" s="360">
        <f>SUM(W25:W28)</f>
        <v>8</v>
      </c>
      <c r="Y25" s="324">
        <v>8</v>
      </c>
      <c r="AA25" s="196"/>
      <c r="AB25" s="572"/>
      <c r="AC25" s="572"/>
      <c r="AD25" s="572"/>
    </row>
    <row r="26" spans="2:30" ht="17.25" thickBot="1">
      <c r="B26" s="299"/>
      <c r="C26" s="300"/>
      <c r="D26" s="304"/>
      <c r="E26" s="49" t="s">
        <v>349</v>
      </c>
      <c r="F26" s="325" t="s">
        <v>352</v>
      </c>
      <c r="G26" s="326"/>
      <c r="H26" s="50">
        <v>3</v>
      </c>
      <c r="I26" s="51" t="s">
        <v>351</v>
      </c>
      <c r="J26" s="52">
        <f t="shared" si="1"/>
        <v>2</v>
      </c>
      <c r="K26" s="325"/>
      <c r="L26" s="327"/>
      <c r="M26" s="328">
        <v>2</v>
      </c>
      <c r="N26" s="329"/>
      <c r="O26" s="334"/>
      <c r="P26" s="327"/>
      <c r="Q26" s="328"/>
      <c r="R26" s="329"/>
      <c r="S26" s="334"/>
      <c r="T26" s="327"/>
      <c r="U26" s="332"/>
      <c r="V26" s="333"/>
      <c r="W26" s="53">
        <f t="shared" ref="W26:W28" si="2">SUM(K26:V26)</f>
        <v>2</v>
      </c>
      <c r="X26" s="361"/>
      <c r="Y26" s="324"/>
    </row>
    <row r="27" spans="2:30" ht="17.25" thickBot="1">
      <c r="B27" s="299"/>
      <c r="C27" s="300"/>
      <c r="D27" s="304"/>
      <c r="E27" s="49" t="s">
        <v>342</v>
      </c>
      <c r="F27" s="325" t="s">
        <v>515</v>
      </c>
      <c r="G27" s="326"/>
      <c r="H27" s="50">
        <v>3</v>
      </c>
      <c r="I27" s="51" t="s">
        <v>351</v>
      </c>
      <c r="J27" s="52">
        <v>2</v>
      </c>
      <c r="K27" s="325"/>
      <c r="L27" s="327"/>
      <c r="M27" s="328"/>
      <c r="N27" s="329"/>
      <c r="O27" s="334">
        <v>2</v>
      </c>
      <c r="P27" s="327"/>
      <c r="Q27" s="328"/>
      <c r="R27" s="329"/>
      <c r="S27" s="334"/>
      <c r="T27" s="327"/>
      <c r="U27" s="332"/>
      <c r="V27" s="333"/>
      <c r="W27" s="53">
        <f t="shared" si="2"/>
        <v>2</v>
      </c>
      <c r="X27" s="361"/>
      <c r="Y27" s="324"/>
    </row>
    <row r="28" spans="2:30" ht="17.25" thickBot="1">
      <c r="B28" s="299"/>
      <c r="C28" s="300"/>
      <c r="D28" s="304"/>
      <c r="E28" s="49" t="s">
        <v>348</v>
      </c>
      <c r="F28" s="325" t="s">
        <v>578</v>
      </c>
      <c r="G28" s="326"/>
      <c r="H28" s="50">
        <v>3</v>
      </c>
      <c r="I28" s="56" t="s">
        <v>351</v>
      </c>
      <c r="J28" s="52">
        <v>2</v>
      </c>
      <c r="K28" s="325"/>
      <c r="L28" s="327"/>
      <c r="M28" s="328"/>
      <c r="N28" s="329"/>
      <c r="O28" s="334"/>
      <c r="P28" s="327"/>
      <c r="Q28" s="328">
        <v>2</v>
      </c>
      <c r="R28" s="329"/>
      <c r="S28" s="334"/>
      <c r="T28" s="327"/>
      <c r="U28" s="332"/>
      <c r="V28" s="333"/>
      <c r="W28" s="53">
        <f t="shared" si="2"/>
        <v>2</v>
      </c>
      <c r="X28" s="361"/>
      <c r="Y28" s="324"/>
    </row>
    <row r="29" spans="2:30" ht="17.25" thickBot="1">
      <c r="B29" s="299"/>
      <c r="C29" s="300"/>
      <c r="D29" s="303" t="s">
        <v>28</v>
      </c>
      <c r="E29" s="44" t="s">
        <v>349</v>
      </c>
      <c r="F29" s="305" t="s">
        <v>47</v>
      </c>
      <c r="G29" s="306"/>
      <c r="H29" s="45">
        <v>3</v>
      </c>
      <c r="I29" s="64" t="s">
        <v>351</v>
      </c>
      <c r="J29" s="47">
        <v>2</v>
      </c>
      <c r="K29" s="305">
        <v>2</v>
      </c>
      <c r="L29" s="307"/>
      <c r="M29" s="308"/>
      <c r="N29" s="309"/>
      <c r="O29" s="310"/>
      <c r="P29" s="307"/>
      <c r="Q29" s="308"/>
      <c r="R29" s="309"/>
      <c r="S29" s="368"/>
      <c r="T29" s="369"/>
      <c r="U29" s="313"/>
      <c r="V29" s="314"/>
      <c r="W29" s="362">
        <f>SUM(K29:V32)</f>
        <v>8</v>
      </c>
      <c r="X29" s="363"/>
      <c r="Y29" s="324">
        <v>6</v>
      </c>
    </row>
    <row r="30" spans="2:30" ht="17.25" thickBot="1">
      <c r="B30" s="299"/>
      <c r="C30" s="300"/>
      <c r="D30" s="304"/>
      <c r="E30" s="54" t="s">
        <v>342</v>
      </c>
      <c r="F30" s="325" t="s">
        <v>287</v>
      </c>
      <c r="G30" s="326"/>
      <c r="H30" s="143">
        <v>3</v>
      </c>
      <c r="I30" s="51" t="s">
        <v>368</v>
      </c>
      <c r="J30" s="144">
        <v>2</v>
      </c>
      <c r="K30" s="325"/>
      <c r="L30" s="327"/>
      <c r="M30" s="328">
        <v>2</v>
      </c>
      <c r="N30" s="329"/>
      <c r="O30" s="334"/>
      <c r="P30" s="327"/>
      <c r="Q30" s="328"/>
      <c r="R30" s="329"/>
      <c r="S30" s="366"/>
      <c r="T30" s="367"/>
      <c r="U30" s="332"/>
      <c r="V30" s="333"/>
      <c r="W30" s="364"/>
      <c r="X30" s="365"/>
      <c r="Y30" s="324"/>
    </row>
    <row r="31" spans="2:30" ht="17.25" thickBot="1">
      <c r="B31" s="299"/>
      <c r="C31" s="300"/>
      <c r="D31" s="304"/>
      <c r="E31" s="54" t="s">
        <v>342</v>
      </c>
      <c r="F31" s="325" t="s">
        <v>286</v>
      </c>
      <c r="G31" s="326"/>
      <c r="H31" s="143">
        <v>3</v>
      </c>
      <c r="I31" s="64" t="s">
        <v>368</v>
      </c>
      <c r="J31" s="144">
        <v>2</v>
      </c>
      <c r="K31" s="325"/>
      <c r="L31" s="327"/>
      <c r="M31" s="328"/>
      <c r="N31" s="329"/>
      <c r="O31" s="334">
        <v>2</v>
      </c>
      <c r="P31" s="327"/>
      <c r="Q31" s="328"/>
      <c r="R31" s="329"/>
      <c r="S31" s="366"/>
      <c r="T31" s="367"/>
      <c r="U31" s="332"/>
      <c r="V31" s="333"/>
      <c r="W31" s="364"/>
      <c r="X31" s="365"/>
      <c r="Y31" s="324"/>
    </row>
    <row r="32" spans="2:30" ht="17.25" thickBot="1">
      <c r="B32" s="299"/>
      <c r="C32" s="300"/>
      <c r="D32" s="304"/>
      <c r="E32" s="54" t="s">
        <v>348</v>
      </c>
      <c r="F32" s="325" t="s">
        <v>289</v>
      </c>
      <c r="G32" s="326"/>
      <c r="H32" s="50">
        <v>3</v>
      </c>
      <c r="I32" s="51" t="s">
        <v>351</v>
      </c>
      <c r="J32" s="52">
        <v>2</v>
      </c>
      <c r="K32" s="325"/>
      <c r="L32" s="327"/>
      <c r="M32" s="328"/>
      <c r="N32" s="329"/>
      <c r="O32" s="334"/>
      <c r="P32" s="327"/>
      <c r="Q32" s="328">
        <v>2</v>
      </c>
      <c r="R32" s="329"/>
      <c r="S32" s="366"/>
      <c r="T32" s="367"/>
      <c r="U32" s="332"/>
      <c r="V32" s="333"/>
      <c r="W32" s="364"/>
      <c r="X32" s="365"/>
      <c r="Y32" s="324"/>
    </row>
    <row r="33" spans="2:28" ht="16.5" customHeight="1" thickBot="1">
      <c r="B33" s="299"/>
      <c r="C33" s="300"/>
      <c r="D33" s="370" t="s">
        <v>354</v>
      </c>
      <c r="E33" s="44" t="s">
        <v>342</v>
      </c>
      <c r="F33" s="305" t="s">
        <v>51</v>
      </c>
      <c r="G33" s="306"/>
      <c r="H33" s="45">
        <v>3</v>
      </c>
      <c r="I33" s="59" t="s">
        <v>351</v>
      </c>
      <c r="J33" s="47">
        <v>2</v>
      </c>
      <c r="K33" s="372"/>
      <c r="L33" s="373"/>
      <c r="M33" s="308"/>
      <c r="N33" s="309"/>
      <c r="O33" s="310">
        <v>2</v>
      </c>
      <c r="P33" s="307"/>
      <c r="Q33" s="313"/>
      <c r="R33" s="374"/>
      <c r="S33" s="368"/>
      <c r="T33" s="369"/>
      <c r="U33" s="313"/>
      <c r="V33" s="314"/>
      <c r="W33" s="362">
        <f>SUM(K33:V35)</f>
        <v>8</v>
      </c>
      <c r="X33" s="363"/>
      <c r="Y33" s="324">
        <v>8</v>
      </c>
    </row>
    <row r="34" spans="2:28" ht="16.5" customHeight="1" thickBot="1">
      <c r="B34" s="299"/>
      <c r="C34" s="300"/>
      <c r="D34" s="371"/>
      <c r="E34" s="54" t="s">
        <v>342</v>
      </c>
      <c r="F34" s="325" t="s">
        <v>603</v>
      </c>
      <c r="G34" s="326"/>
      <c r="H34" s="50">
        <v>4</v>
      </c>
      <c r="I34" s="51" t="s">
        <v>343</v>
      </c>
      <c r="J34" s="52">
        <v>3</v>
      </c>
      <c r="K34" s="325"/>
      <c r="L34" s="327"/>
      <c r="M34" s="580"/>
      <c r="N34" s="581"/>
      <c r="O34" s="334">
        <v>3</v>
      </c>
      <c r="P34" s="327"/>
      <c r="Q34" s="332"/>
      <c r="R34" s="384"/>
      <c r="S34" s="366"/>
      <c r="T34" s="367"/>
      <c r="U34" s="332"/>
      <c r="V34" s="333"/>
      <c r="W34" s="364"/>
      <c r="X34" s="365"/>
      <c r="Y34" s="324"/>
      <c r="Z34" s="183" t="s">
        <v>709</v>
      </c>
    </row>
    <row r="35" spans="2:28" ht="17.25" thickBot="1">
      <c r="B35" s="301"/>
      <c r="C35" s="302"/>
      <c r="D35" s="371"/>
      <c r="E35" s="54" t="s">
        <v>348</v>
      </c>
      <c r="F35" s="350" t="s">
        <v>708</v>
      </c>
      <c r="G35" s="359"/>
      <c r="H35" s="55">
        <v>4</v>
      </c>
      <c r="I35" s="56" t="s">
        <v>343</v>
      </c>
      <c r="J35" s="57">
        <v>3</v>
      </c>
      <c r="K35" s="376"/>
      <c r="L35" s="377"/>
      <c r="M35" s="357"/>
      <c r="N35" s="375"/>
      <c r="O35" s="334">
        <v>3</v>
      </c>
      <c r="P35" s="327"/>
      <c r="Q35" s="332"/>
      <c r="R35" s="384"/>
      <c r="S35" s="366"/>
      <c r="T35" s="367"/>
      <c r="U35" s="332"/>
      <c r="V35" s="333"/>
      <c r="W35" s="364"/>
      <c r="X35" s="365"/>
      <c r="Y35" s="324"/>
      <c r="Z35" s="184" t="s">
        <v>710</v>
      </c>
    </row>
    <row r="36" spans="2:28" ht="24.75" customHeight="1" thickBot="1">
      <c r="B36" s="380" t="s">
        <v>363</v>
      </c>
      <c r="C36" s="385"/>
      <c r="D36" s="385"/>
      <c r="E36" s="385"/>
      <c r="F36" s="385"/>
      <c r="G36" s="386"/>
      <c r="H36" s="38">
        <f>SUM(H9:H35)</f>
        <v>97</v>
      </c>
      <c r="I36" s="18"/>
      <c r="J36" s="39">
        <f>SUM(J9:J35)</f>
        <v>72</v>
      </c>
      <c r="K36" s="387">
        <f>SUM(K9:L35)</f>
        <v>19</v>
      </c>
      <c r="L36" s="378"/>
      <c r="M36" s="378">
        <f>SUM(M9:N35)</f>
        <v>19</v>
      </c>
      <c r="N36" s="388"/>
      <c r="O36" s="389">
        <f>SUM(O9:P35)</f>
        <v>21</v>
      </c>
      <c r="P36" s="378"/>
      <c r="Q36" s="378">
        <f>SUM(Q9:R35)</f>
        <v>13</v>
      </c>
      <c r="R36" s="390"/>
      <c r="S36" s="381">
        <f>SUM(S9:T35)</f>
        <v>0</v>
      </c>
      <c r="T36" s="378"/>
      <c r="U36" s="378">
        <f>SUM(U9:V35)</f>
        <v>0</v>
      </c>
      <c r="V36" s="379"/>
      <c r="W36" s="380">
        <f>SUM(K36:V36)</f>
        <v>72</v>
      </c>
      <c r="X36" s="381"/>
      <c r="Y36" s="39">
        <f>SUM(Y9:Y35)</f>
        <v>64</v>
      </c>
      <c r="AA36" s="382" t="b">
        <f>W36&gt;=Y36</f>
        <v>1</v>
      </c>
      <c r="AB36" s="383"/>
    </row>
    <row r="37" spans="2:28" ht="17.25" customHeight="1" thickBot="1">
      <c r="B37" s="430" t="s">
        <v>355</v>
      </c>
      <c r="C37" s="431"/>
      <c r="D37" s="434" t="s">
        <v>356</v>
      </c>
      <c r="E37" s="435"/>
      <c r="F37" s="400" t="s">
        <v>516</v>
      </c>
      <c r="G37" s="401"/>
      <c r="H37" s="33"/>
      <c r="I37" s="233"/>
      <c r="J37" s="165">
        <f t="shared" ref="J37:J52" si="3">SUM(K37:V37)</f>
        <v>3</v>
      </c>
      <c r="K37" s="402"/>
      <c r="L37" s="403"/>
      <c r="M37" s="404"/>
      <c r="N37" s="405"/>
      <c r="O37" s="406"/>
      <c r="P37" s="403"/>
      <c r="Q37" s="393"/>
      <c r="R37" s="407"/>
      <c r="S37" s="408">
        <v>3</v>
      </c>
      <c r="T37" s="409"/>
      <c r="U37" s="393"/>
      <c r="V37" s="394"/>
      <c r="W37" s="395">
        <f>SUM(K37:V37)</f>
        <v>3</v>
      </c>
      <c r="X37" s="396"/>
      <c r="Y37" s="450">
        <v>80</v>
      </c>
    </row>
    <row r="38" spans="2:28" ht="17.25" customHeight="1">
      <c r="B38" s="432"/>
      <c r="C38" s="433"/>
      <c r="D38" s="65" t="s">
        <v>66</v>
      </c>
      <c r="E38" s="66" t="s">
        <v>357</v>
      </c>
      <c r="F38" s="397" t="s">
        <v>601</v>
      </c>
      <c r="G38" s="398"/>
      <c r="H38" s="34"/>
      <c r="I38" s="234"/>
      <c r="J38" s="144">
        <f t="shared" si="3"/>
        <v>4</v>
      </c>
      <c r="K38" s="325">
        <v>4</v>
      </c>
      <c r="L38" s="327"/>
      <c r="M38" s="328"/>
      <c r="N38" s="399"/>
      <c r="O38" s="334"/>
      <c r="P38" s="327"/>
      <c r="Q38" s="328"/>
      <c r="R38" s="329"/>
      <c r="S38" s="399"/>
      <c r="T38" s="327"/>
      <c r="U38" s="328"/>
      <c r="V38" s="326"/>
      <c r="W38" s="391">
        <f t="shared" ref="W38:W46" si="4">SUM(K38:V38)</f>
        <v>4</v>
      </c>
      <c r="X38" s="392"/>
      <c r="Y38" s="478"/>
    </row>
    <row r="39" spans="2:28" ht="17.25" customHeight="1">
      <c r="B39" s="432"/>
      <c r="C39" s="433"/>
      <c r="D39" s="65" t="s">
        <v>66</v>
      </c>
      <c r="E39" s="66" t="s">
        <v>357</v>
      </c>
      <c r="F39" s="397" t="s">
        <v>600</v>
      </c>
      <c r="G39" s="398"/>
      <c r="H39" s="34"/>
      <c r="I39" s="234"/>
      <c r="J39" s="144">
        <f t="shared" si="3"/>
        <v>6</v>
      </c>
      <c r="K39" s="325">
        <v>6</v>
      </c>
      <c r="L39" s="327"/>
      <c r="M39" s="328"/>
      <c r="N39" s="329"/>
      <c r="O39" s="334"/>
      <c r="P39" s="327"/>
      <c r="Q39" s="328"/>
      <c r="R39" s="329"/>
      <c r="S39" s="334"/>
      <c r="T39" s="327"/>
      <c r="U39" s="328"/>
      <c r="V39" s="326"/>
      <c r="W39" s="391">
        <f t="shared" si="4"/>
        <v>6</v>
      </c>
      <c r="X39" s="392"/>
      <c r="Y39" s="478"/>
    </row>
    <row r="40" spans="2:28" ht="17.25" customHeight="1">
      <c r="B40" s="432"/>
      <c r="C40" s="433"/>
      <c r="D40" s="65" t="s">
        <v>66</v>
      </c>
      <c r="E40" s="66" t="s">
        <v>357</v>
      </c>
      <c r="F40" s="397" t="s">
        <v>711</v>
      </c>
      <c r="G40" s="398"/>
      <c r="H40" s="34"/>
      <c r="I40" s="234"/>
      <c r="J40" s="144">
        <f t="shared" si="3"/>
        <v>4</v>
      </c>
      <c r="K40" s="325"/>
      <c r="L40" s="327"/>
      <c r="M40" s="328">
        <v>4</v>
      </c>
      <c r="N40" s="329"/>
      <c r="O40" s="334"/>
      <c r="P40" s="327"/>
      <c r="Q40" s="328"/>
      <c r="R40" s="329"/>
      <c r="S40" s="578"/>
      <c r="T40" s="579"/>
      <c r="U40" s="328"/>
      <c r="V40" s="326"/>
      <c r="W40" s="391">
        <f>SUM(K40:V40)</f>
        <v>4</v>
      </c>
      <c r="X40" s="392"/>
      <c r="Y40" s="478"/>
      <c r="AA40" s="203"/>
      <c r="AB40" s="204"/>
    </row>
    <row r="41" spans="2:28" ht="17.25" customHeight="1">
      <c r="B41" s="432"/>
      <c r="C41" s="433"/>
      <c r="D41" s="65" t="s">
        <v>66</v>
      </c>
      <c r="E41" s="66" t="s">
        <v>357</v>
      </c>
      <c r="F41" s="397" t="s">
        <v>602</v>
      </c>
      <c r="G41" s="398"/>
      <c r="H41" s="34"/>
      <c r="I41" s="234"/>
      <c r="J41" s="144">
        <f t="shared" si="3"/>
        <v>6</v>
      </c>
      <c r="K41" s="325"/>
      <c r="L41" s="327"/>
      <c r="M41" s="328">
        <v>6</v>
      </c>
      <c r="N41" s="329"/>
      <c r="O41" s="334"/>
      <c r="P41" s="327"/>
      <c r="Q41" s="328"/>
      <c r="R41" s="329"/>
      <c r="S41" s="334"/>
      <c r="T41" s="327"/>
      <c r="U41" s="328"/>
      <c r="V41" s="326"/>
      <c r="W41" s="391">
        <f>SUM(K41:V41)</f>
        <v>6</v>
      </c>
      <c r="X41" s="392"/>
      <c r="Y41" s="478"/>
      <c r="AA41" s="203"/>
      <c r="AB41" s="204"/>
    </row>
    <row r="42" spans="2:28" ht="17.25" customHeight="1">
      <c r="B42" s="432"/>
      <c r="C42" s="433"/>
      <c r="D42" s="65" t="s">
        <v>66</v>
      </c>
      <c r="E42" s="66" t="s">
        <v>357</v>
      </c>
      <c r="F42" s="397" t="s">
        <v>604</v>
      </c>
      <c r="G42" s="398"/>
      <c r="H42" s="34"/>
      <c r="I42" s="234"/>
      <c r="J42" s="144">
        <f t="shared" si="3"/>
        <v>6</v>
      </c>
      <c r="K42" s="325"/>
      <c r="L42" s="327"/>
      <c r="M42" s="328"/>
      <c r="N42" s="329"/>
      <c r="O42" s="334"/>
      <c r="P42" s="327"/>
      <c r="Q42" s="328">
        <v>6</v>
      </c>
      <c r="R42" s="329"/>
      <c r="S42" s="334"/>
      <c r="T42" s="327"/>
      <c r="U42" s="328"/>
      <c r="V42" s="326"/>
      <c r="W42" s="391">
        <f t="shared" si="4"/>
        <v>6</v>
      </c>
      <c r="X42" s="392"/>
      <c r="Y42" s="478"/>
      <c r="AA42" s="203"/>
      <c r="AB42" s="204"/>
    </row>
    <row r="43" spans="2:28" ht="17.25" customHeight="1">
      <c r="B43" s="432"/>
      <c r="C43" s="433"/>
      <c r="D43" s="65" t="s">
        <v>66</v>
      </c>
      <c r="E43" s="66" t="s">
        <v>357</v>
      </c>
      <c r="F43" s="410" t="s">
        <v>712</v>
      </c>
      <c r="G43" s="411"/>
      <c r="H43" s="34"/>
      <c r="I43" s="234"/>
      <c r="J43" s="144">
        <f t="shared" si="3"/>
        <v>4</v>
      </c>
      <c r="K43" s="325"/>
      <c r="L43" s="327"/>
      <c r="M43" s="328"/>
      <c r="N43" s="329"/>
      <c r="O43" s="334"/>
      <c r="P43" s="327"/>
      <c r="Q43" s="328">
        <v>4</v>
      </c>
      <c r="R43" s="329"/>
      <c r="S43" s="334"/>
      <c r="T43" s="327"/>
      <c r="U43" s="328"/>
      <c r="V43" s="326"/>
      <c r="W43" s="391">
        <f t="shared" si="4"/>
        <v>4</v>
      </c>
      <c r="X43" s="392"/>
      <c r="Y43" s="478"/>
    </row>
    <row r="44" spans="2:28" ht="17.25" customHeight="1">
      <c r="B44" s="432"/>
      <c r="C44" s="433"/>
      <c r="D44" s="65" t="s">
        <v>66</v>
      </c>
      <c r="E44" s="66" t="s">
        <v>358</v>
      </c>
      <c r="F44" s="410" t="s">
        <v>530</v>
      </c>
      <c r="G44" s="411"/>
      <c r="H44" s="34"/>
      <c r="I44" s="234"/>
      <c r="J44" s="144">
        <f t="shared" si="3"/>
        <v>10</v>
      </c>
      <c r="K44" s="325"/>
      <c r="L44" s="327"/>
      <c r="M44" s="328"/>
      <c r="N44" s="399"/>
      <c r="O44" s="334">
        <v>6</v>
      </c>
      <c r="P44" s="327"/>
      <c r="Q44" s="328">
        <v>4</v>
      </c>
      <c r="R44" s="329"/>
      <c r="S44" s="399"/>
      <c r="T44" s="327"/>
      <c r="U44" s="328"/>
      <c r="V44" s="326"/>
      <c r="W44" s="391">
        <f t="shared" si="4"/>
        <v>10</v>
      </c>
      <c r="X44" s="392"/>
      <c r="Y44" s="478"/>
    </row>
    <row r="45" spans="2:28" ht="17.25" customHeight="1">
      <c r="B45" s="432"/>
      <c r="C45" s="433"/>
      <c r="D45" s="65" t="s">
        <v>66</v>
      </c>
      <c r="E45" s="66" t="s">
        <v>358</v>
      </c>
      <c r="F45" s="410" t="s">
        <v>605</v>
      </c>
      <c r="G45" s="411"/>
      <c r="H45" s="34"/>
      <c r="I45" s="235"/>
      <c r="J45" s="52">
        <f t="shared" si="3"/>
        <v>16</v>
      </c>
      <c r="K45" s="325"/>
      <c r="L45" s="327"/>
      <c r="M45" s="328"/>
      <c r="N45" s="399"/>
      <c r="O45" s="334"/>
      <c r="P45" s="327"/>
      <c r="Q45" s="328"/>
      <c r="R45" s="329"/>
      <c r="S45" s="399">
        <v>8</v>
      </c>
      <c r="T45" s="327"/>
      <c r="U45" s="328">
        <v>8</v>
      </c>
      <c r="V45" s="326"/>
      <c r="W45" s="391">
        <f t="shared" si="4"/>
        <v>16</v>
      </c>
      <c r="X45" s="392"/>
      <c r="Y45" s="478"/>
    </row>
    <row r="46" spans="2:28" ht="16.5" customHeight="1" thickBot="1">
      <c r="B46" s="432"/>
      <c r="C46" s="433"/>
      <c r="D46" s="65" t="s">
        <v>66</v>
      </c>
      <c r="E46" s="66" t="s">
        <v>358</v>
      </c>
      <c r="F46" s="410" t="s">
        <v>606</v>
      </c>
      <c r="G46" s="411"/>
      <c r="H46" s="32"/>
      <c r="I46" s="235"/>
      <c r="J46" s="52">
        <f t="shared" si="3"/>
        <v>12</v>
      </c>
      <c r="K46" s="417"/>
      <c r="L46" s="418"/>
      <c r="M46" s="419"/>
      <c r="N46" s="420"/>
      <c r="O46" s="421"/>
      <c r="P46" s="418"/>
      <c r="Q46" s="419"/>
      <c r="R46" s="422"/>
      <c r="S46" s="399">
        <v>6</v>
      </c>
      <c r="T46" s="327"/>
      <c r="U46" s="328">
        <v>6</v>
      </c>
      <c r="V46" s="326"/>
      <c r="W46" s="391">
        <f t="shared" si="4"/>
        <v>12</v>
      </c>
      <c r="X46" s="392"/>
      <c r="Y46" s="478"/>
    </row>
    <row r="47" spans="2:28" ht="17.25" customHeight="1">
      <c r="B47" s="555" t="s">
        <v>153</v>
      </c>
      <c r="C47" s="551" t="s">
        <v>359</v>
      </c>
      <c r="D47" s="145" t="s">
        <v>66</v>
      </c>
      <c r="E47" s="70" t="s">
        <v>358</v>
      </c>
      <c r="F47" s="425" t="s">
        <v>722</v>
      </c>
      <c r="G47" s="426"/>
      <c r="H47" s="147"/>
      <c r="I47" s="236"/>
      <c r="J47" s="180">
        <f t="shared" si="3"/>
        <v>14</v>
      </c>
      <c r="K47" s="372"/>
      <c r="L47" s="373"/>
      <c r="M47" s="427"/>
      <c r="N47" s="428"/>
      <c r="O47" s="549"/>
      <c r="P47" s="373"/>
      <c r="Q47" s="427"/>
      <c r="R47" s="570"/>
      <c r="S47" s="571">
        <v>6</v>
      </c>
      <c r="T47" s="307"/>
      <c r="U47" s="340">
        <v>8</v>
      </c>
      <c r="V47" s="541"/>
      <c r="W47" s="362">
        <f>SUM(O47:V48)</f>
        <v>27</v>
      </c>
      <c r="X47" s="363"/>
      <c r="Y47" s="478"/>
    </row>
    <row r="48" spans="2:28" ht="17.25" customHeight="1" thickBot="1">
      <c r="B48" s="556"/>
      <c r="C48" s="552"/>
      <c r="D48" s="71" t="s">
        <v>594</v>
      </c>
      <c r="E48" s="166" t="s">
        <v>358</v>
      </c>
      <c r="F48" s="412" t="s">
        <v>659</v>
      </c>
      <c r="G48" s="413"/>
      <c r="H48" s="149"/>
      <c r="I48" s="237"/>
      <c r="J48" s="57">
        <f t="shared" si="3"/>
        <v>13</v>
      </c>
      <c r="K48" s="544"/>
      <c r="L48" s="545"/>
      <c r="M48" s="546"/>
      <c r="N48" s="547"/>
      <c r="O48" s="548"/>
      <c r="P48" s="545"/>
      <c r="Q48" s="546"/>
      <c r="R48" s="547"/>
      <c r="S48" s="354">
        <v>6</v>
      </c>
      <c r="T48" s="351"/>
      <c r="U48" s="352">
        <v>7</v>
      </c>
      <c r="V48" s="359"/>
      <c r="W48" s="364"/>
      <c r="X48" s="365"/>
      <c r="Y48" s="478"/>
    </row>
    <row r="49" spans="2:29" ht="17.25" customHeight="1">
      <c r="B49" s="556"/>
      <c r="C49" s="558" t="s">
        <v>360</v>
      </c>
      <c r="D49" s="68" t="s">
        <v>594</v>
      </c>
      <c r="E49" s="72" t="s">
        <v>358</v>
      </c>
      <c r="F49" s="559" t="s">
        <v>607</v>
      </c>
      <c r="G49" s="560"/>
      <c r="H49" s="148"/>
      <c r="I49" s="238"/>
      <c r="J49" s="144">
        <f t="shared" si="3"/>
        <v>13</v>
      </c>
      <c r="K49" s="561"/>
      <c r="L49" s="562"/>
      <c r="M49" s="563"/>
      <c r="N49" s="564"/>
      <c r="O49" s="565"/>
      <c r="P49" s="562"/>
      <c r="Q49" s="563"/>
      <c r="R49" s="564"/>
      <c r="S49" s="566">
        <v>6</v>
      </c>
      <c r="T49" s="567"/>
      <c r="U49" s="568">
        <v>7</v>
      </c>
      <c r="V49" s="569"/>
      <c r="W49" s="364"/>
      <c r="X49" s="365"/>
      <c r="Y49" s="478"/>
    </row>
    <row r="50" spans="2:29" ht="17.25" customHeight="1" thickBot="1">
      <c r="B50" s="557"/>
      <c r="C50" s="552"/>
      <c r="D50" s="71" t="s">
        <v>594</v>
      </c>
      <c r="E50" s="66" t="s">
        <v>358</v>
      </c>
      <c r="F50" s="412" t="s">
        <v>713</v>
      </c>
      <c r="G50" s="413"/>
      <c r="H50" s="149"/>
      <c r="I50" s="239"/>
      <c r="J50" s="182">
        <f t="shared" si="3"/>
        <v>14</v>
      </c>
      <c r="K50" s="544"/>
      <c r="L50" s="545"/>
      <c r="M50" s="546"/>
      <c r="N50" s="550"/>
      <c r="O50" s="548"/>
      <c r="P50" s="545"/>
      <c r="Q50" s="546"/>
      <c r="R50" s="547"/>
      <c r="S50" s="553">
        <v>6</v>
      </c>
      <c r="T50" s="351"/>
      <c r="U50" s="554">
        <v>8</v>
      </c>
      <c r="V50" s="349"/>
      <c r="W50" s="542"/>
      <c r="X50" s="543"/>
      <c r="Y50" s="478"/>
    </row>
    <row r="51" spans="2:29" ht="17.25" customHeight="1" thickBot="1">
      <c r="B51" s="423" t="s">
        <v>154</v>
      </c>
      <c r="C51" s="200" t="s">
        <v>529</v>
      </c>
      <c r="D51" s="201" t="s">
        <v>586</v>
      </c>
      <c r="E51" s="200" t="s">
        <v>358</v>
      </c>
      <c r="F51" s="573" t="s">
        <v>585</v>
      </c>
      <c r="G51" s="574"/>
      <c r="H51" s="202"/>
      <c r="I51" s="240"/>
      <c r="J51" s="165">
        <f t="shared" si="3"/>
        <v>4</v>
      </c>
      <c r="K51" s="372"/>
      <c r="L51" s="373"/>
      <c r="M51" s="427"/>
      <c r="N51" s="428"/>
      <c r="O51" s="310">
        <v>2</v>
      </c>
      <c r="P51" s="307"/>
      <c r="Q51" s="308">
        <v>2</v>
      </c>
      <c r="R51" s="309"/>
      <c r="S51" s="428"/>
      <c r="T51" s="373"/>
      <c r="U51" s="427"/>
      <c r="V51" s="429"/>
      <c r="W51" s="362">
        <f>SUM(K51:V51)</f>
        <v>4</v>
      </c>
      <c r="X51" s="363"/>
      <c r="Y51" s="478"/>
    </row>
    <row r="52" spans="2:29" ht="17.25" customHeight="1" thickBot="1">
      <c r="B52" s="424"/>
      <c r="C52" s="199" t="s">
        <v>608</v>
      </c>
      <c r="D52" s="197" t="s">
        <v>71</v>
      </c>
      <c r="E52" s="198" t="s">
        <v>358</v>
      </c>
      <c r="F52" s="559" t="s">
        <v>524</v>
      </c>
      <c r="G52" s="560"/>
      <c r="H52" s="150"/>
      <c r="I52" s="238"/>
      <c r="J52" s="181">
        <f t="shared" si="3"/>
        <v>4</v>
      </c>
      <c r="K52" s="372"/>
      <c r="L52" s="373"/>
      <c r="M52" s="427"/>
      <c r="N52" s="428"/>
      <c r="O52" s="310">
        <v>2</v>
      </c>
      <c r="P52" s="307"/>
      <c r="Q52" s="308">
        <v>2</v>
      </c>
      <c r="R52" s="309"/>
      <c r="S52" s="428"/>
      <c r="T52" s="373"/>
      <c r="U52" s="427"/>
      <c r="V52" s="429"/>
      <c r="W52" s="364"/>
      <c r="X52" s="365"/>
      <c r="Y52" s="478"/>
    </row>
    <row r="53" spans="2:29">
      <c r="B53" s="448" t="s">
        <v>363</v>
      </c>
      <c r="C53" s="444"/>
      <c r="D53" s="444"/>
      <c r="E53" s="444"/>
      <c r="F53" s="444"/>
      <c r="G53" s="446"/>
      <c r="H53" s="452">
        <f>SUM(H37:H46)</f>
        <v>0</v>
      </c>
      <c r="I53" s="454">
        <f>SUM(I37:I46)</f>
        <v>0</v>
      </c>
      <c r="J53" s="456">
        <f>SUM(J37:J48,J51)</f>
        <v>102</v>
      </c>
      <c r="K53" s="448">
        <f>SUM(K37:L52)</f>
        <v>10</v>
      </c>
      <c r="L53" s="437"/>
      <c r="M53" s="440">
        <f>SUM(M37:N52)</f>
        <v>10</v>
      </c>
      <c r="N53" s="444"/>
      <c r="O53" s="436">
        <f>SUM(O37:P51)</f>
        <v>8</v>
      </c>
      <c r="P53" s="437"/>
      <c r="Q53" s="440">
        <f>SUM(Q37:R51)</f>
        <v>16</v>
      </c>
      <c r="R53" s="441"/>
      <c r="S53" s="444">
        <f>SUM(S37:T48)</f>
        <v>29</v>
      </c>
      <c r="T53" s="437"/>
      <c r="U53" s="440">
        <f>SUM(U37:V48)</f>
        <v>29</v>
      </c>
      <c r="V53" s="446"/>
      <c r="W53" s="448">
        <f>SUM(K53:V54)</f>
        <v>102</v>
      </c>
      <c r="X53" s="446"/>
      <c r="Y53" s="450">
        <f>SUM(Y37:Y52)</f>
        <v>80</v>
      </c>
      <c r="AC53" s="35"/>
    </row>
    <row r="54" spans="2:29" ht="17.25" thickBot="1">
      <c r="B54" s="449"/>
      <c r="C54" s="445"/>
      <c r="D54" s="445"/>
      <c r="E54" s="445"/>
      <c r="F54" s="445"/>
      <c r="G54" s="447"/>
      <c r="H54" s="453"/>
      <c r="I54" s="455"/>
      <c r="J54" s="457"/>
      <c r="K54" s="449"/>
      <c r="L54" s="439"/>
      <c r="M54" s="442"/>
      <c r="N54" s="445"/>
      <c r="O54" s="438"/>
      <c r="P54" s="439"/>
      <c r="Q54" s="442"/>
      <c r="R54" s="443"/>
      <c r="S54" s="445"/>
      <c r="T54" s="439"/>
      <c r="U54" s="442"/>
      <c r="V54" s="447"/>
      <c r="W54" s="449"/>
      <c r="X54" s="447"/>
      <c r="Y54" s="451"/>
      <c r="AC54" s="35"/>
    </row>
    <row r="55" spans="2:29" ht="17.25" thickBot="1">
      <c r="B55" s="380" t="s">
        <v>593</v>
      </c>
      <c r="C55" s="385"/>
      <c r="D55" s="385"/>
      <c r="E55" s="385"/>
      <c r="F55" s="385"/>
      <c r="G55" s="386"/>
      <c r="H55" s="36">
        <f>SUM(H36,H53)</f>
        <v>97</v>
      </c>
      <c r="I55" s="37">
        <f>SUM(I36,I53)</f>
        <v>0</v>
      </c>
      <c r="J55" s="39">
        <f>SUM(J36,J53)</f>
        <v>174</v>
      </c>
      <c r="K55" s="380">
        <f>SUM(K36,K53)</f>
        <v>29</v>
      </c>
      <c r="L55" s="381"/>
      <c r="M55" s="388">
        <f>SUM(M36,M53)</f>
        <v>29</v>
      </c>
      <c r="N55" s="458"/>
      <c r="O55" s="459">
        <f>SUM(O36,O53)</f>
        <v>29</v>
      </c>
      <c r="P55" s="381"/>
      <c r="Q55" s="388">
        <f>SUM(Q36,Q53)</f>
        <v>29</v>
      </c>
      <c r="R55" s="458"/>
      <c r="S55" s="459">
        <f>SUM(S36,S53)</f>
        <v>29</v>
      </c>
      <c r="T55" s="381"/>
      <c r="U55" s="388">
        <f>SUM(U36,U53)</f>
        <v>29</v>
      </c>
      <c r="V55" s="386"/>
      <c r="W55" s="380">
        <f>SUM(K55:V55)</f>
        <v>174</v>
      </c>
      <c r="X55" s="386"/>
      <c r="Y55" s="11">
        <f>Y53+Y36</f>
        <v>144</v>
      </c>
      <c r="AC55" s="74"/>
    </row>
    <row r="56" spans="2:29" ht="16.5" customHeight="1">
      <c r="B56" s="464" t="s">
        <v>364</v>
      </c>
      <c r="C56" s="465"/>
      <c r="D56" s="465"/>
      <c r="E56" s="466"/>
      <c r="F56" s="473" t="s">
        <v>361</v>
      </c>
      <c r="G56" s="474"/>
      <c r="H56" s="474"/>
      <c r="I56" s="474"/>
      <c r="J56" s="475"/>
      <c r="K56" s="305">
        <v>16</v>
      </c>
      <c r="L56" s="307"/>
      <c r="M56" s="308">
        <v>16</v>
      </c>
      <c r="N56" s="309"/>
      <c r="O56" s="310">
        <v>16</v>
      </c>
      <c r="P56" s="307"/>
      <c r="Q56" s="308">
        <v>16</v>
      </c>
      <c r="R56" s="309"/>
      <c r="S56" s="310">
        <v>16</v>
      </c>
      <c r="T56" s="307"/>
      <c r="U56" s="308">
        <v>16</v>
      </c>
      <c r="V56" s="306"/>
      <c r="W56" s="464">
        <f>SUM(K56:V58)</f>
        <v>288</v>
      </c>
      <c r="X56" s="466"/>
      <c r="Y56" s="450">
        <f>Y59*16</f>
        <v>288</v>
      </c>
    </row>
    <row r="57" spans="2:29" ht="16.5" customHeight="1">
      <c r="B57" s="467"/>
      <c r="C57" s="468"/>
      <c r="D57" s="468"/>
      <c r="E57" s="469"/>
      <c r="F57" s="480" t="s">
        <v>63</v>
      </c>
      <c r="G57" s="481"/>
      <c r="H57" s="481"/>
      <c r="I57" s="481"/>
      <c r="J57" s="482"/>
      <c r="K57" s="325">
        <v>16</v>
      </c>
      <c r="L57" s="327"/>
      <c r="M57" s="328">
        <v>16</v>
      </c>
      <c r="N57" s="329"/>
      <c r="O57" s="334">
        <v>16</v>
      </c>
      <c r="P57" s="327"/>
      <c r="Q57" s="328">
        <v>16</v>
      </c>
      <c r="R57" s="329"/>
      <c r="S57" s="334">
        <v>16</v>
      </c>
      <c r="T57" s="327"/>
      <c r="U57" s="328">
        <v>16</v>
      </c>
      <c r="V57" s="326"/>
      <c r="W57" s="467"/>
      <c r="X57" s="469"/>
      <c r="Y57" s="478"/>
    </row>
    <row r="58" spans="2:29" ht="16.5" customHeight="1">
      <c r="B58" s="467"/>
      <c r="C58" s="468"/>
      <c r="D58" s="468"/>
      <c r="E58" s="469"/>
      <c r="F58" s="480" t="s">
        <v>11</v>
      </c>
      <c r="G58" s="481"/>
      <c r="H58" s="481"/>
      <c r="I58" s="481"/>
      <c r="J58" s="482"/>
      <c r="K58" s="325">
        <v>16</v>
      </c>
      <c r="L58" s="327"/>
      <c r="M58" s="328">
        <v>16</v>
      </c>
      <c r="N58" s="329"/>
      <c r="O58" s="334">
        <v>16</v>
      </c>
      <c r="P58" s="327"/>
      <c r="Q58" s="328">
        <v>16</v>
      </c>
      <c r="R58" s="329"/>
      <c r="S58" s="334">
        <v>16</v>
      </c>
      <c r="T58" s="327"/>
      <c r="U58" s="328">
        <v>16</v>
      </c>
      <c r="V58" s="326"/>
      <c r="W58" s="476"/>
      <c r="X58" s="477"/>
      <c r="Y58" s="479"/>
      <c r="AC58" s="35"/>
    </row>
    <row r="59" spans="2:29" ht="16.5" customHeight="1" thickBot="1">
      <c r="B59" s="470"/>
      <c r="C59" s="471"/>
      <c r="D59" s="471"/>
      <c r="E59" s="472"/>
      <c r="F59" s="462" t="s">
        <v>149</v>
      </c>
      <c r="G59" s="485"/>
      <c r="H59" s="485"/>
      <c r="I59" s="485"/>
      <c r="J59" s="463"/>
      <c r="K59" s="486">
        <v>3</v>
      </c>
      <c r="L59" s="487"/>
      <c r="M59" s="460">
        <v>3</v>
      </c>
      <c r="N59" s="488"/>
      <c r="O59" s="489">
        <v>3</v>
      </c>
      <c r="P59" s="487"/>
      <c r="Q59" s="460">
        <v>3</v>
      </c>
      <c r="R59" s="488"/>
      <c r="S59" s="489">
        <v>3</v>
      </c>
      <c r="T59" s="487"/>
      <c r="U59" s="460">
        <v>3</v>
      </c>
      <c r="V59" s="461"/>
      <c r="W59" s="462">
        <f>SUM(K59:V59)</f>
        <v>18</v>
      </c>
      <c r="X59" s="463"/>
      <c r="Y59" s="75">
        <v>18</v>
      </c>
      <c r="AC59" s="74"/>
    </row>
    <row r="60" spans="2:29" ht="24.75" customHeight="1" thickBot="1">
      <c r="B60" s="380"/>
      <c r="C60" s="385"/>
      <c r="D60" s="385"/>
      <c r="E60" s="385"/>
      <c r="F60" s="385"/>
      <c r="G60" s="385"/>
      <c r="H60" s="385"/>
      <c r="I60" s="385"/>
      <c r="J60" s="386"/>
      <c r="K60" s="380">
        <v>32</v>
      </c>
      <c r="L60" s="381"/>
      <c r="M60" s="388">
        <v>32</v>
      </c>
      <c r="N60" s="458"/>
      <c r="O60" s="459">
        <v>32</v>
      </c>
      <c r="P60" s="381"/>
      <c r="Q60" s="388">
        <v>32</v>
      </c>
      <c r="R60" s="458"/>
      <c r="S60" s="459">
        <v>32</v>
      </c>
      <c r="T60" s="381"/>
      <c r="U60" s="388">
        <v>32</v>
      </c>
      <c r="V60" s="386"/>
      <c r="W60" s="380">
        <f>SUM(K60:V60)</f>
        <v>192</v>
      </c>
      <c r="X60" s="386"/>
      <c r="Y60" s="40">
        <f>W60</f>
        <v>192</v>
      </c>
      <c r="AC60" s="35"/>
    </row>
    <row r="61" spans="2:29" ht="17.25" thickBot="1">
      <c r="B61" s="380"/>
      <c r="C61" s="385"/>
      <c r="D61" s="385"/>
      <c r="E61" s="385"/>
      <c r="F61" s="385"/>
      <c r="G61" s="385"/>
      <c r="H61" s="385"/>
      <c r="I61" s="385"/>
      <c r="J61" s="386"/>
      <c r="K61" s="380">
        <f>SUM(K60:N60)</f>
        <v>64</v>
      </c>
      <c r="L61" s="385"/>
      <c r="M61" s="385"/>
      <c r="N61" s="458"/>
      <c r="O61" s="459">
        <f>SUM(O60:R60)</f>
        <v>64</v>
      </c>
      <c r="P61" s="385"/>
      <c r="Q61" s="385"/>
      <c r="R61" s="458"/>
      <c r="S61" s="459">
        <f>SUM(S60:V60)</f>
        <v>64</v>
      </c>
      <c r="T61" s="385"/>
      <c r="U61" s="385"/>
      <c r="V61" s="386"/>
      <c r="W61" s="380">
        <f>SUM(K61:V61)</f>
        <v>192</v>
      </c>
      <c r="X61" s="386"/>
      <c r="Y61" s="11"/>
      <c r="AC61" s="74"/>
    </row>
    <row r="62" spans="2:29" ht="17.25" customHeight="1">
      <c r="AA62" s="483" t="s">
        <v>156</v>
      </c>
      <c r="AB62" s="483"/>
    </row>
    <row r="63" spans="2:29" ht="18.75" customHeight="1" thickBot="1">
      <c r="AA63" s="484"/>
      <c r="AB63" s="484"/>
    </row>
    <row r="64" spans="2:29" ht="17.25" customHeight="1" thickBot="1">
      <c r="AA64" s="382" t="b">
        <f>W55&gt;=Y55</f>
        <v>1</v>
      </c>
      <c r="AB64" s="383"/>
    </row>
    <row r="65" spans="27:28" ht="17.25" customHeight="1"/>
    <row r="66" spans="27:28" ht="17.25" customHeight="1" thickBot="1">
      <c r="AA66" s="483" t="s">
        <v>157</v>
      </c>
      <c r="AB66" s="483"/>
    </row>
    <row r="67" spans="27:28" ht="17.25" customHeight="1" thickBot="1">
      <c r="AA67" s="382" t="b">
        <f>W59&gt;=Y59</f>
        <v>1</v>
      </c>
      <c r="AB67" s="383"/>
    </row>
    <row r="68" spans="27:28" ht="17.25" customHeight="1" thickBot="1">
      <c r="AA68" s="483" t="s">
        <v>152</v>
      </c>
      <c r="AB68" s="483"/>
    </row>
    <row r="69" spans="27:28" ht="17.25" customHeight="1" thickBot="1">
      <c r="AA69" s="382" t="b">
        <f>W60&gt;=Y60</f>
        <v>1</v>
      </c>
      <c r="AB69" s="383"/>
    </row>
    <row r="70" spans="27:28" ht="17.25" customHeight="1"/>
    <row r="71" spans="27:28" ht="17.25" customHeight="1"/>
    <row r="72" spans="27:28" ht="17.25" customHeight="1"/>
    <row r="74" spans="27:28" ht="24.95" customHeight="1"/>
    <row r="75" spans="27:28" ht="24.95" customHeight="1"/>
    <row r="76" spans="27:28" ht="32.25" customHeight="1"/>
    <row r="77" spans="27:28" ht="24.95" customHeight="1"/>
    <row r="79" spans="27:28" ht="16.5" customHeight="1"/>
    <row r="80" spans="27:28" ht="17.2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244.5" customHeight="1"/>
  </sheetData>
  <mergeCells count="466">
    <mergeCell ref="O36:P36"/>
    <mergeCell ref="W47:X50"/>
    <mergeCell ref="S45:T45"/>
    <mergeCell ref="F19:G19"/>
    <mergeCell ref="K19:L19"/>
    <mergeCell ref="F20:G20"/>
    <mergeCell ref="S48:T48"/>
    <mergeCell ref="S49:T49"/>
    <mergeCell ref="U47:V47"/>
    <mergeCell ref="U48:V48"/>
    <mergeCell ref="U49:V49"/>
    <mergeCell ref="U50:V50"/>
    <mergeCell ref="M31:N31"/>
    <mergeCell ref="O30:P30"/>
    <mergeCell ref="O31:P31"/>
    <mergeCell ref="M46:N46"/>
    <mergeCell ref="O46:P46"/>
    <mergeCell ref="M38:N38"/>
    <mergeCell ref="F32:G32"/>
    <mergeCell ref="K46:L46"/>
    <mergeCell ref="K32:L32"/>
    <mergeCell ref="F33:G33"/>
    <mergeCell ref="S35:T35"/>
    <mergeCell ref="K33:L33"/>
    <mergeCell ref="F34:G34"/>
    <mergeCell ref="W29:X32"/>
    <mergeCell ref="S32:T32"/>
    <mergeCell ref="U32:V32"/>
    <mergeCell ref="Q29:R29"/>
    <mergeCell ref="S29:T29"/>
    <mergeCell ref="S31:T31"/>
    <mergeCell ref="U30:V30"/>
    <mergeCell ref="U31:V31"/>
    <mergeCell ref="Q31:R31"/>
    <mergeCell ref="S30:T30"/>
    <mergeCell ref="Q32:R32"/>
    <mergeCell ref="Y29:Y32"/>
    <mergeCell ref="W33:X35"/>
    <mergeCell ref="Y33:Y35"/>
    <mergeCell ref="Q30:R30"/>
    <mergeCell ref="Y37:Y52"/>
    <mergeCell ref="W39:X39"/>
    <mergeCell ref="U44:V44"/>
    <mergeCell ref="U35:V35"/>
    <mergeCell ref="U36:V36"/>
    <mergeCell ref="W36:X36"/>
    <mergeCell ref="W42:X42"/>
    <mergeCell ref="W38:X38"/>
    <mergeCell ref="Q38:R38"/>
    <mergeCell ref="U38:V38"/>
    <mergeCell ref="U43:V43"/>
    <mergeCell ref="W43:X43"/>
    <mergeCell ref="Q35:R35"/>
    <mergeCell ref="U40:V40"/>
    <mergeCell ref="W40:X40"/>
    <mergeCell ref="W41:X41"/>
    <mergeCell ref="U39:V39"/>
    <mergeCell ref="U37:V37"/>
    <mergeCell ref="W37:X37"/>
    <mergeCell ref="U42:V42"/>
    <mergeCell ref="S44:T44"/>
    <mergeCell ref="U41:V41"/>
    <mergeCell ref="S51:T51"/>
    <mergeCell ref="U51:V51"/>
    <mergeCell ref="O52:P52"/>
    <mergeCell ref="Q52:R52"/>
    <mergeCell ref="S52:T52"/>
    <mergeCell ref="U52:V52"/>
    <mergeCell ref="O51:P51"/>
    <mergeCell ref="Q42:R42"/>
    <mergeCell ref="S42:T42"/>
    <mergeCell ref="S47:T47"/>
    <mergeCell ref="S50:T50"/>
    <mergeCell ref="Q51:R51"/>
    <mergeCell ref="O45:P45"/>
    <mergeCell ref="Q45:R45"/>
    <mergeCell ref="Q46:R46"/>
    <mergeCell ref="Q44:R44"/>
    <mergeCell ref="O48:P48"/>
    <mergeCell ref="O49:P49"/>
    <mergeCell ref="Q48:R48"/>
    <mergeCell ref="Q49:R49"/>
    <mergeCell ref="S41:T41"/>
    <mergeCell ref="O42:P42"/>
    <mergeCell ref="X2:Y2"/>
    <mergeCell ref="B2:U2"/>
    <mergeCell ref="V2:W2"/>
    <mergeCell ref="O18:P18"/>
    <mergeCell ref="Q18:R18"/>
    <mergeCell ref="S18:T18"/>
    <mergeCell ref="U18:V18"/>
    <mergeCell ref="Y9:Y17"/>
    <mergeCell ref="M17:N17"/>
    <mergeCell ref="O17:P17"/>
    <mergeCell ref="Q17:R17"/>
    <mergeCell ref="S17:T17"/>
    <mergeCell ref="U17:V17"/>
    <mergeCell ref="S8:T8"/>
    <mergeCell ref="M9:N9"/>
    <mergeCell ref="B9:C35"/>
    <mergeCell ref="D9:D11"/>
    <mergeCell ref="F9:G9"/>
    <mergeCell ref="U8:V8"/>
    <mergeCell ref="Q11:R11"/>
    <mergeCell ref="S11:T11"/>
    <mergeCell ref="U11:V11"/>
    <mergeCell ref="U29:V29"/>
    <mergeCell ref="Y25:Y28"/>
    <mergeCell ref="AA2:AA5"/>
    <mergeCell ref="S46:T46"/>
    <mergeCell ref="U45:V45"/>
    <mergeCell ref="W45:X45"/>
    <mergeCell ref="U46:V46"/>
    <mergeCell ref="W44:X44"/>
    <mergeCell ref="M43:N43"/>
    <mergeCell ref="O43:P43"/>
    <mergeCell ref="M44:N44"/>
    <mergeCell ref="O44:P44"/>
    <mergeCell ref="Q43:R43"/>
    <mergeCell ref="S43:T43"/>
    <mergeCell ref="Q33:R33"/>
    <mergeCell ref="Q34:R34"/>
    <mergeCell ref="S33:T33"/>
    <mergeCell ref="S34:T34"/>
    <mergeCell ref="U33:V33"/>
    <mergeCell ref="U34:V34"/>
    <mergeCell ref="U14:V14"/>
    <mergeCell ref="M11:N11"/>
    <mergeCell ref="O11:P11"/>
    <mergeCell ref="Y18:Y19"/>
    <mergeCell ref="M18:N18"/>
    <mergeCell ref="W46:X46"/>
    <mergeCell ref="Y20:Y24"/>
    <mergeCell ref="M21:N21"/>
    <mergeCell ref="O21:P21"/>
    <mergeCell ref="Q21:R21"/>
    <mergeCell ref="S21:T21"/>
    <mergeCell ref="U21:V21"/>
    <mergeCell ref="M20:N20"/>
    <mergeCell ref="O20:P20"/>
    <mergeCell ref="Q20:R20"/>
    <mergeCell ref="S20:T20"/>
    <mergeCell ref="U20:V20"/>
    <mergeCell ref="S22:T22"/>
    <mergeCell ref="U22:V22"/>
    <mergeCell ref="X22:X24"/>
    <mergeCell ref="X20:X21"/>
    <mergeCell ref="M24:N24"/>
    <mergeCell ref="O24:P24"/>
    <mergeCell ref="Q24:R24"/>
    <mergeCell ref="S24:T24"/>
    <mergeCell ref="U24:V24"/>
    <mergeCell ref="M22:N22"/>
    <mergeCell ref="O22:P22"/>
    <mergeCell ref="Q22:R22"/>
    <mergeCell ref="O23:P23"/>
    <mergeCell ref="F12:G12"/>
    <mergeCell ref="K12:L12"/>
    <mergeCell ref="D15:D17"/>
    <mergeCell ref="F15:G15"/>
    <mergeCell ref="K15:L15"/>
    <mergeCell ref="D25:D28"/>
    <mergeCell ref="F25:G25"/>
    <mergeCell ref="K25:L25"/>
    <mergeCell ref="D22:D24"/>
    <mergeCell ref="F22:G22"/>
    <mergeCell ref="K22:L22"/>
    <mergeCell ref="F26:G26"/>
    <mergeCell ref="K26:L26"/>
    <mergeCell ref="F27:G27"/>
    <mergeCell ref="K27:L27"/>
    <mergeCell ref="F28:G28"/>
    <mergeCell ref="K28:L28"/>
    <mergeCell ref="D18:D21"/>
    <mergeCell ref="F18:G18"/>
    <mergeCell ref="K18:L18"/>
    <mergeCell ref="K20:L20"/>
    <mergeCell ref="F24:G24"/>
    <mergeCell ref="K24:L24"/>
    <mergeCell ref="F21:G21"/>
    <mergeCell ref="W51:X52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O7:R7"/>
    <mergeCell ref="S7:V7"/>
    <mergeCell ref="W7:X8"/>
    <mergeCell ref="Y7:Y8"/>
    <mergeCell ref="F8:G8"/>
    <mergeCell ref="K8:L8"/>
    <mergeCell ref="I7:I8"/>
    <mergeCell ref="J7:J8"/>
    <mergeCell ref="M8:N8"/>
    <mergeCell ref="O8:P8"/>
    <mergeCell ref="Q8:R8"/>
    <mergeCell ref="X12:X14"/>
    <mergeCell ref="K9:L9"/>
    <mergeCell ref="D12:D14"/>
    <mergeCell ref="P5:S5"/>
    <mergeCell ref="T5:V5"/>
    <mergeCell ref="F10:G10"/>
    <mergeCell ref="K10:L10"/>
    <mergeCell ref="M10:N10"/>
    <mergeCell ref="O10:P10"/>
    <mergeCell ref="Q10:R10"/>
    <mergeCell ref="S10:T10"/>
    <mergeCell ref="U10:V10"/>
    <mergeCell ref="W5:Y5"/>
    <mergeCell ref="U6:Y6"/>
    <mergeCell ref="B7:C8"/>
    <mergeCell ref="D7:D8"/>
    <mergeCell ref="E7:G7"/>
    <mergeCell ref="H7:H8"/>
    <mergeCell ref="K7:N7"/>
    <mergeCell ref="X15:X17"/>
    <mergeCell ref="F17:G17"/>
    <mergeCell ref="K17:L17"/>
    <mergeCell ref="M15:N15"/>
    <mergeCell ref="O15:P15"/>
    <mergeCell ref="Q15:R15"/>
    <mergeCell ref="S15:T15"/>
    <mergeCell ref="F13:G13"/>
    <mergeCell ref="K13:L13"/>
    <mergeCell ref="F16:G16"/>
    <mergeCell ref="K16:L16"/>
    <mergeCell ref="F11:G11"/>
    <mergeCell ref="K11:L11"/>
    <mergeCell ref="C5:E5"/>
    <mergeCell ref="F5:G5"/>
    <mergeCell ref="H5:J5"/>
    <mergeCell ref="K5:O5"/>
    <mergeCell ref="X18:X19"/>
    <mergeCell ref="X9:X11"/>
    <mergeCell ref="O9:P9"/>
    <mergeCell ref="Q9:R9"/>
    <mergeCell ref="S9:T9"/>
    <mergeCell ref="U9:V9"/>
    <mergeCell ref="M14:N14"/>
    <mergeCell ref="O14:P14"/>
    <mergeCell ref="Q14:R14"/>
    <mergeCell ref="S14:T14"/>
    <mergeCell ref="M12:N12"/>
    <mergeCell ref="O12:P12"/>
    <mergeCell ref="Q12:R12"/>
    <mergeCell ref="S12:T12"/>
    <mergeCell ref="U12:V12"/>
    <mergeCell ref="M13:N13"/>
    <mergeCell ref="O13:P13"/>
    <mergeCell ref="O16:P16"/>
    <mergeCell ref="Q16:R16"/>
    <mergeCell ref="S16:T16"/>
    <mergeCell ref="U16:V16"/>
    <mergeCell ref="Q13:R13"/>
    <mergeCell ref="S13:T13"/>
    <mergeCell ref="U13:V13"/>
    <mergeCell ref="U19:V19"/>
    <mergeCell ref="M19:N19"/>
    <mergeCell ref="O19:P19"/>
    <mergeCell ref="S19:T19"/>
    <mergeCell ref="Q19:R19"/>
    <mergeCell ref="F14:G14"/>
    <mergeCell ref="K14:L14"/>
    <mergeCell ref="M16:N16"/>
    <mergeCell ref="U15:V15"/>
    <mergeCell ref="X25:X28"/>
    <mergeCell ref="U27:V27"/>
    <mergeCell ref="M25:N25"/>
    <mergeCell ref="U28:V28"/>
    <mergeCell ref="O25:P25"/>
    <mergeCell ref="Q25:R25"/>
    <mergeCell ref="S25:T25"/>
    <mergeCell ref="U25:V25"/>
    <mergeCell ref="U26:V26"/>
    <mergeCell ref="O27:P27"/>
    <mergeCell ref="Q27:R27"/>
    <mergeCell ref="S27:T27"/>
    <mergeCell ref="M28:N28"/>
    <mergeCell ref="S26:T26"/>
    <mergeCell ref="M27:N27"/>
    <mergeCell ref="M39:N39"/>
    <mergeCell ref="M42:N42"/>
    <mergeCell ref="K21:L21"/>
    <mergeCell ref="O28:P28"/>
    <mergeCell ref="Q28:R28"/>
    <mergeCell ref="S28:T28"/>
    <mergeCell ref="M26:N26"/>
    <mergeCell ref="O26:P26"/>
    <mergeCell ref="Q26:R26"/>
    <mergeCell ref="Q23:R23"/>
    <mergeCell ref="S23:T23"/>
    <mergeCell ref="S36:T36"/>
    <mergeCell ref="S40:T40"/>
    <mergeCell ref="S38:T38"/>
    <mergeCell ref="S39:T39"/>
    <mergeCell ref="Q39:R39"/>
    <mergeCell ref="Q37:R37"/>
    <mergeCell ref="S37:T37"/>
    <mergeCell ref="Q36:R36"/>
    <mergeCell ref="M32:N32"/>
    <mergeCell ref="K39:L39"/>
    <mergeCell ref="O39:P39"/>
    <mergeCell ref="O33:P33"/>
    <mergeCell ref="O34:P34"/>
    <mergeCell ref="D37:E37"/>
    <mergeCell ref="F35:G35"/>
    <mergeCell ref="K35:L35"/>
    <mergeCell ref="O32:P32"/>
    <mergeCell ref="O38:P38"/>
    <mergeCell ref="D29:D32"/>
    <mergeCell ref="F29:G29"/>
    <mergeCell ref="K29:L29"/>
    <mergeCell ref="D33:D35"/>
    <mergeCell ref="F30:G30"/>
    <mergeCell ref="F31:G31"/>
    <mergeCell ref="K30:L30"/>
    <mergeCell ref="K31:L31"/>
    <mergeCell ref="M30:N30"/>
    <mergeCell ref="M29:N29"/>
    <mergeCell ref="O29:P29"/>
    <mergeCell ref="K34:L34"/>
    <mergeCell ref="M35:N35"/>
    <mergeCell ref="M37:N37"/>
    <mergeCell ref="O37:P37"/>
    <mergeCell ref="M33:N33"/>
    <mergeCell ref="M34:N34"/>
    <mergeCell ref="O35:P35"/>
    <mergeCell ref="M36:N36"/>
    <mergeCell ref="B56:E59"/>
    <mergeCell ref="F56:J56"/>
    <mergeCell ref="K56:L56"/>
    <mergeCell ref="M51:N51"/>
    <mergeCell ref="F52:G52"/>
    <mergeCell ref="K52:L52"/>
    <mergeCell ref="F42:G42"/>
    <mergeCell ref="K42:L42"/>
    <mergeCell ref="F43:G43"/>
    <mergeCell ref="K43:L43"/>
    <mergeCell ref="F44:G44"/>
    <mergeCell ref="K44:L44"/>
    <mergeCell ref="F45:G45"/>
    <mergeCell ref="K45:L45"/>
    <mergeCell ref="M52:N52"/>
    <mergeCell ref="F51:G51"/>
    <mergeCell ref="K51:L51"/>
    <mergeCell ref="B47:B50"/>
    <mergeCell ref="F47:G47"/>
    <mergeCell ref="K47:L47"/>
    <mergeCell ref="M45:N45"/>
    <mergeCell ref="F46:G46"/>
    <mergeCell ref="M47:N47"/>
    <mergeCell ref="B51:B52"/>
    <mergeCell ref="O47:P47"/>
    <mergeCell ref="Q47:R47"/>
    <mergeCell ref="F50:G50"/>
    <mergeCell ref="K50:L50"/>
    <mergeCell ref="M50:N50"/>
    <mergeCell ref="O50:P50"/>
    <mergeCell ref="Q50:R50"/>
    <mergeCell ref="C47:C48"/>
    <mergeCell ref="C49:C50"/>
    <mergeCell ref="F48:G48"/>
    <mergeCell ref="F49:G49"/>
    <mergeCell ref="K48:L48"/>
    <mergeCell ref="K49:L49"/>
    <mergeCell ref="M48:N48"/>
    <mergeCell ref="M49:N49"/>
    <mergeCell ref="AA69:AB69"/>
    <mergeCell ref="B60:J60"/>
    <mergeCell ref="K60:L60"/>
    <mergeCell ref="M60:N60"/>
    <mergeCell ref="O60:P60"/>
    <mergeCell ref="Q60:R60"/>
    <mergeCell ref="S60:T60"/>
    <mergeCell ref="U60:V60"/>
    <mergeCell ref="W60:X60"/>
    <mergeCell ref="AA67:AB67"/>
    <mergeCell ref="AA68:AB68"/>
    <mergeCell ref="AA62:AB63"/>
    <mergeCell ref="AA66:AB66"/>
    <mergeCell ref="AA64:AB64"/>
    <mergeCell ref="U56:V56"/>
    <mergeCell ref="W56:X58"/>
    <mergeCell ref="F57:J57"/>
    <mergeCell ref="K57:L57"/>
    <mergeCell ref="M57:N57"/>
    <mergeCell ref="O57:P57"/>
    <mergeCell ref="U58:V58"/>
    <mergeCell ref="F59:J59"/>
    <mergeCell ref="K59:L59"/>
    <mergeCell ref="M59:N59"/>
    <mergeCell ref="O59:P59"/>
    <mergeCell ref="Q59:R59"/>
    <mergeCell ref="S59:T59"/>
    <mergeCell ref="U59:V59"/>
    <mergeCell ref="W59:X59"/>
    <mergeCell ref="M56:N56"/>
    <mergeCell ref="O56:P56"/>
    <mergeCell ref="Q56:R56"/>
    <mergeCell ref="S56:T56"/>
    <mergeCell ref="Q57:R57"/>
    <mergeCell ref="O58:P58"/>
    <mergeCell ref="Q58:R58"/>
    <mergeCell ref="S58:T58"/>
    <mergeCell ref="B53:G54"/>
    <mergeCell ref="H53:H54"/>
    <mergeCell ref="I53:I54"/>
    <mergeCell ref="J53:J54"/>
    <mergeCell ref="K53:L54"/>
    <mergeCell ref="M53:N54"/>
    <mergeCell ref="O53:P54"/>
    <mergeCell ref="Q53:R54"/>
    <mergeCell ref="S53:T54"/>
    <mergeCell ref="M23:N23"/>
    <mergeCell ref="AA8:AD8"/>
    <mergeCell ref="B61:J61"/>
    <mergeCell ref="K61:N61"/>
    <mergeCell ref="O61:R61"/>
    <mergeCell ref="S61:V61"/>
    <mergeCell ref="W61:X61"/>
    <mergeCell ref="S57:T57"/>
    <mergeCell ref="U57:V57"/>
    <mergeCell ref="F58:J58"/>
    <mergeCell ref="K58:L58"/>
    <mergeCell ref="M58:N58"/>
    <mergeCell ref="B55:G55"/>
    <mergeCell ref="K55:L55"/>
    <mergeCell ref="M55:N55"/>
    <mergeCell ref="O55:P55"/>
    <mergeCell ref="Q55:R55"/>
    <mergeCell ref="S55:T55"/>
    <mergeCell ref="U55:V55"/>
    <mergeCell ref="U53:V54"/>
    <mergeCell ref="W53:X54"/>
    <mergeCell ref="Y53:Y54"/>
    <mergeCell ref="W55:X55"/>
    <mergeCell ref="Y56:Y58"/>
    <mergeCell ref="U23:V23"/>
    <mergeCell ref="AB25:AD25"/>
    <mergeCell ref="AB17:AD17"/>
    <mergeCell ref="F40:G40"/>
    <mergeCell ref="F41:G41"/>
    <mergeCell ref="K40:L40"/>
    <mergeCell ref="K41:L41"/>
    <mergeCell ref="M40:N40"/>
    <mergeCell ref="M41:N41"/>
    <mergeCell ref="O40:P40"/>
    <mergeCell ref="O41:P41"/>
    <mergeCell ref="Q40:R40"/>
    <mergeCell ref="Q41:R41"/>
    <mergeCell ref="B36:G36"/>
    <mergeCell ref="K36:L36"/>
    <mergeCell ref="AA36:AB36"/>
    <mergeCell ref="B37:C46"/>
    <mergeCell ref="F37:G37"/>
    <mergeCell ref="K37:L37"/>
    <mergeCell ref="F38:G38"/>
    <mergeCell ref="K38:L38"/>
    <mergeCell ref="F39:G39"/>
    <mergeCell ref="F23:G23"/>
    <mergeCell ref="K23:L23"/>
  </mergeCells>
  <phoneticPr fontId="9" type="noConversion"/>
  <conditionalFormatting sqref="AA36:AB36 AC55 AC59 AC61 AA64:AB64 AA67:AB67 AA69:AB69">
    <cfRule type="containsText" dxfId="0" priority="1" operator="containsText" text="FALSE">
      <formula>NOT(ISERROR(SEARCH("FALSE",AA36)))</formula>
    </cfRule>
  </conditionalFormatting>
  <printOptions horizontalCentered="1" verticalCentered="1"/>
  <pageMargins left="0.25" right="0.25" top="0.75" bottom="0.75" header="0.3" footer="0.3"/>
  <pageSetup paperSize="9" scale="42" orientation="portrait" cellComments="asDisplayed" r:id="rId1"/>
  <rowBreaks count="1" manualBreakCount="1">
    <brk id="60" max="16383" man="1"/>
  </rowBreak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13749EF-2DBF-4A58-A5FA-C327F91AFEF0}">
          <x14:formula1>
            <xm:f>삭제금지!$H$2:$H$18</xm:f>
          </x14:formula1>
          <xm:sqref>B5</xm:sqref>
        </x14:dataValidation>
        <x14:dataValidation type="list" allowBlank="1" showInputMessage="1" showErrorMessage="1" xr:uid="{A1FA711F-4BCD-4570-AB57-78C14C1C3F27}">
          <x14:formula1>
            <xm:f>삭제금지!$L$2:$L$4</xm:f>
          </x14:formula1>
          <xm:sqref>T5:V5</xm:sqref>
        </x14:dataValidation>
        <x14:dataValidation type="list" allowBlank="1" showInputMessage="1" showErrorMessage="1" xr:uid="{00C85D30-DC56-42A7-B90D-4A6337879662}">
          <x14:formula1>
            <xm:f>삭제금지!$K$2:$K$59</xm:f>
          </x14:formula1>
          <xm:sqref>K5:O5</xm:sqref>
        </x14:dataValidation>
        <x14:dataValidation type="list" allowBlank="1" showInputMessage="1" showErrorMessage="1" xr:uid="{19439246-B3F5-4180-9CDB-41A19D34EA1E}">
          <x14:formula1>
            <xm:f>삭제금지!$I$2:$I$18</xm:f>
          </x14:formula1>
          <xm:sqref>F5:G5</xm:sqref>
        </x14:dataValidation>
        <x14:dataValidation type="list" allowBlank="1" showInputMessage="1" showErrorMessage="1" xr:uid="{C27BB231-7DC0-49A2-8365-F18C42D609A6}">
          <x14:formula1>
            <xm:f>삭제금지!$J$2:$J$59</xm:f>
          </x14:formula1>
          <xm:sqref>H5:J5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B2:AG49"/>
  <sheetViews>
    <sheetView showGridLines="0" view="pageBreakPreview" zoomScaleNormal="85" zoomScaleSheetLayoutView="100" workbookViewId="0">
      <selection activeCell="W28" sqref="W28"/>
    </sheetView>
  </sheetViews>
  <sheetFormatPr defaultRowHeight="16.5"/>
  <cols>
    <col min="1" max="1" width="3" customWidth="1"/>
    <col min="2" max="2" width="14.5" customWidth="1"/>
    <col min="3" max="3" width="5.625" customWidth="1"/>
    <col min="4" max="4" width="18.875" bestFit="1" customWidth="1"/>
    <col min="5" max="5" width="19" style="1" bestFit="1" customWidth="1"/>
    <col min="6" max="6" width="9.125" style="1" customWidth="1"/>
    <col min="7" max="7" width="10.75" customWidth="1"/>
    <col min="8" max="19" width="7.75" bestFit="1" customWidth="1"/>
    <col min="20" max="20" width="6.625" bestFit="1" customWidth="1"/>
    <col min="21" max="21" width="7.125" customWidth="1"/>
  </cols>
  <sheetData>
    <row r="2" spans="2:33" ht="39.75" customHeight="1" thickBot="1">
      <c r="B2" s="500" t="s">
        <v>150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500"/>
      <c r="Q2" s="500"/>
      <c r="R2" s="500"/>
      <c r="S2" s="500"/>
      <c r="T2" s="500"/>
      <c r="U2" s="500"/>
    </row>
    <row r="3" spans="2:33" ht="27" customHeight="1" thickBot="1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501" t="s">
        <v>129</v>
      </c>
      <c r="O3" s="502"/>
      <c r="P3" s="503"/>
      <c r="Q3" s="501" t="s">
        <v>127</v>
      </c>
      <c r="R3" s="502"/>
      <c r="S3" s="504"/>
      <c r="T3" s="501" t="s">
        <v>130</v>
      </c>
      <c r="U3" s="504"/>
    </row>
    <row r="4" spans="2:33" ht="27" customHeight="1" thickBot="1"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505" t="s">
        <v>512</v>
      </c>
      <c r="O4" s="506"/>
      <c r="P4" s="507"/>
      <c r="Q4" s="508" t="s">
        <v>597</v>
      </c>
      <c r="R4" s="509"/>
      <c r="S4" s="510"/>
      <c r="T4" s="511">
        <v>2027</v>
      </c>
      <c r="U4" s="512"/>
    </row>
    <row r="5" spans="2:33" ht="24" customHeight="1" thickBot="1">
      <c r="B5" s="513"/>
      <c r="C5" s="513"/>
    </row>
    <row r="6" spans="2:33" ht="20.25" customHeight="1">
      <c r="B6" s="514" t="s">
        <v>13</v>
      </c>
      <c r="C6" s="517" t="s">
        <v>140</v>
      </c>
      <c r="D6" s="497" t="s">
        <v>14</v>
      </c>
      <c r="E6" s="497" t="s">
        <v>15</v>
      </c>
      <c r="F6" s="497" t="s">
        <v>141</v>
      </c>
      <c r="G6" s="497" t="s">
        <v>142</v>
      </c>
      <c r="H6" s="520" t="s">
        <v>58</v>
      </c>
      <c r="I6" s="520"/>
      <c r="J6" s="520"/>
      <c r="K6" s="520"/>
      <c r="L6" s="520" t="s">
        <v>59</v>
      </c>
      <c r="M6" s="520"/>
      <c r="N6" s="520"/>
      <c r="O6" s="520"/>
      <c r="P6" s="520" t="s">
        <v>60</v>
      </c>
      <c r="Q6" s="520"/>
      <c r="R6" s="520"/>
      <c r="S6" s="520"/>
      <c r="T6" s="521" t="s">
        <v>139</v>
      </c>
      <c r="U6" s="531" t="s">
        <v>126</v>
      </c>
      <c r="W6" s="524" t="s">
        <v>131</v>
      </c>
      <c r="X6" s="525"/>
      <c r="Y6" s="525"/>
      <c r="Z6" s="525"/>
      <c r="AA6" s="525"/>
      <c r="AB6" s="525"/>
      <c r="AC6" s="525"/>
      <c r="AD6" s="525"/>
      <c r="AE6" s="525"/>
      <c r="AF6" s="526"/>
      <c r="AG6" s="13"/>
    </row>
    <row r="7" spans="2:33" ht="16.5" customHeight="1">
      <c r="B7" s="515"/>
      <c r="C7" s="518"/>
      <c r="D7" s="498"/>
      <c r="E7" s="498"/>
      <c r="F7" s="498"/>
      <c r="G7" s="498"/>
      <c r="H7" s="527" t="s">
        <v>124</v>
      </c>
      <c r="I7" s="527"/>
      <c r="J7" s="527" t="s">
        <v>62</v>
      </c>
      <c r="K7" s="527"/>
      <c r="L7" s="527" t="s">
        <v>124</v>
      </c>
      <c r="M7" s="527"/>
      <c r="N7" s="527" t="s">
        <v>62</v>
      </c>
      <c r="O7" s="527"/>
      <c r="P7" s="527" t="s">
        <v>124</v>
      </c>
      <c r="Q7" s="527"/>
      <c r="R7" s="527" t="s">
        <v>62</v>
      </c>
      <c r="S7" s="527"/>
      <c r="T7" s="522"/>
      <c r="U7" s="532"/>
      <c r="W7" s="528" t="s">
        <v>132</v>
      </c>
      <c r="X7" s="529"/>
      <c r="Y7" s="529"/>
      <c r="Z7" s="529"/>
      <c r="AA7" s="529"/>
      <c r="AB7" s="529"/>
      <c r="AC7" s="529"/>
      <c r="AD7" s="529"/>
      <c r="AE7" s="529"/>
      <c r="AF7" s="530"/>
      <c r="AG7" s="13"/>
    </row>
    <row r="8" spans="2:33" ht="17.25" customHeight="1" thickBot="1">
      <c r="B8" s="516"/>
      <c r="C8" s="519"/>
      <c r="D8" s="499"/>
      <c r="E8" s="499"/>
      <c r="F8" s="499"/>
      <c r="G8" s="499"/>
      <c r="H8" s="28" t="s">
        <v>138</v>
      </c>
      <c r="I8" s="28" t="s">
        <v>125</v>
      </c>
      <c r="J8" s="28" t="s">
        <v>138</v>
      </c>
      <c r="K8" s="28" t="s">
        <v>125</v>
      </c>
      <c r="L8" s="28" t="s">
        <v>138</v>
      </c>
      <c r="M8" s="28" t="s">
        <v>125</v>
      </c>
      <c r="N8" s="28" t="s">
        <v>138</v>
      </c>
      <c r="O8" s="28" t="s">
        <v>125</v>
      </c>
      <c r="P8" s="28" t="s">
        <v>138</v>
      </c>
      <c r="Q8" s="28" t="s">
        <v>125</v>
      </c>
      <c r="R8" s="28" t="s">
        <v>138</v>
      </c>
      <c r="S8" s="28" t="s">
        <v>125</v>
      </c>
      <c r="T8" s="523"/>
      <c r="U8" s="533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490" t="s">
        <v>530</v>
      </c>
      <c r="C9" s="493">
        <f>T13</f>
        <v>10</v>
      </c>
      <c r="D9" s="186" t="s">
        <v>609</v>
      </c>
      <c r="E9" s="187" t="s">
        <v>610</v>
      </c>
      <c r="F9" s="186">
        <v>20</v>
      </c>
      <c r="G9" s="186">
        <v>3</v>
      </c>
      <c r="H9" s="153"/>
      <c r="I9" s="153">
        <f t="shared" ref="I9:I12" si="0">H9*16</f>
        <v>0</v>
      </c>
      <c r="J9" s="153"/>
      <c r="K9" s="153">
        <f>J9*16</f>
        <v>0</v>
      </c>
      <c r="L9" s="153">
        <v>2</v>
      </c>
      <c r="M9" s="153">
        <f>L9*16</f>
        <v>32</v>
      </c>
      <c r="N9" s="153"/>
      <c r="O9" s="153">
        <f t="shared" ref="O9:O12" si="1">N9*16</f>
        <v>0</v>
      </c>
      <c r="P9" s="153"/>
      <c r="Q9" s="153">
        <f>P9*16</f>
        <v>0</v>
      </c>
      <c r="R9" s="153"/>
      <c r="S9" s="153">
        <f>R9*16</f>
        <v>0</v>
      </c>
      <c r="T9" s="154">
        <f>SUM(H9,J9,L9,N9,P9,R9)</f>
        <v>2</v>
      </c>
      <c r="U9" s="155">
        <f>SUM(I9,K9,M9,O9,Q9,S9)</f>
        <v>32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491"/>
      <c r="C10" s="494"/>
      <c r="D10" s="188" t="s">
        <v>611</v>
      </c>
      <c r="E10" s="189" t="s">
        <v>612</v>
      </c>
      <c r="F10" s="188">
        <v>80</v>
      </c>
      <c r="G10" s="188">
        <v>3</v>
      </c>
      <c r="H10" s="158"/>
      <c r="I10" s="158">
        <f t="shared" si="0"/>
        <v>0</v>
      </c>
      <c r="J10" s="158"/>
      <c r="K10" s="158">
        <f t="shared" ref="K10" si="2">J10*16</f>
        <v>0</v>
      </c>
      <c r="L10" s="158">
        <v>4</v>
      </c>
      <c r="M10" s="158">
        <f t="shared" ref="M10" si="3">L10*16</f>
        <v>64</v>
      </c>
      <c r="N10" s="158"/>
      <c r="O10" s="158">
        <f t="shared" si="1"/>
        <v>0</v>
      </c>
      <c r="P10" s="158"/>
      <c r="Q10" s="158">
        <f t="shared" ref="Q10" si="4">P10*16</f>
        <v>0</v>
      </c>
      <c r="R10" s="158"/>
      <c r="S10" s="158">
        <f t="shared" ref="S10" si="5">R10*16</f>
        <v>0</v>
      </c>
      <c r="T10" s="159">
        <f t="shared" ref="T10" si="6">SUM(H10,J10,L10,N10,P10,R10)</f>
        <v>4</v>
      </c>
      <c r="U10" s="160">
        <f t="shared" ref="U10" si="7">SUM(I10,K10,M10,O10,Q10,S10)</f>
        <v>64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>
      <c r="B11" s="491"/>
      <c r="C11" s="494"/>
      <c r="D11" s="190" t="s">
        <v>613</v>
      </c>
      <c r="E11" s="187" t="s">
        <v>614</v>
      </c>
      <c r="F11" s="187">
        <v>30</v>
      </c>
      <c r="G11" s="187">
        <v>3</v>
      </c>
      <c r="H11" s="161"/>
      <c r="I11" s="161">
        <f t="shared" si="0"/>
        <v>0</v>
      </c>
      <c r="J11" s="161"/>
      <c r="K11" s="161">
        <f>J11*16</f>
        <v>0</v>
      </c>
      <c r="L11" s="161"/>
      <c r="M11" s="161">
        <f>L11*16</f>
        <v>0</v>
      </c>
      <c r="N11" s="161">
        <v>2</v>
      </c>
      <c r="O11" s="161">
        <f t="shared" si="1"/>
        <v>32</v>
      </c>
      <c r="P11" s="161"/>
      <c r="Q11" s="161">
        <f>P11*16</f>
        <v>0</v>
      </c>
      <c r="R11" s="161"/>
      <c r="S11" s="161">
        <f>R11*16</f>
        <v>0</v>
      </c>
      <c r="T11" s="162">
        <f>SUM(H11,J11,L11,N11,P11,R11)</f>
        <v>2</v>
      </c>
      <c r="U11" s="163">
        <f>SUM(I11,K11,M11,O11,Q11,S11)</f>
        <v>32</v>
      </c>
    </row>
    <row r="12" spans="2:33">
      <c r="B12" s="491"/>
      <c r="C12" s="494"/>
      <c r="D12" s="190" t="s">
        <v>615</v>
      </c>
      <c r="E12" s="186" t="s">
        <v>616</v>
      </c>
      <c r="F12" s="186">
        <v>20</v>
      </c>
      <c r="G12" s="186">
        <v>2</v>
      </c>
      <c r="H12" s="161"/>
      <c r="I12" s="161">
        <f t="shared" si="0"/>
        <v>0</v>
      </c>
      <c r="J12" s="161"/>
      <c r="K12" s="161">
        <f>J12*16</f>
        <v>0</v>
      </c>
      <c r="L12" s="161"/>
      <c r="M12" s="161">
        <f>L12*16</f>
        <v>0</v>
      </c>
      <c r="N12" s="161">
        <v>2</v>
      </c>
      <c r="O12" s="161">
        <f t="shared" si="1"/>
        <v>32</v>
      </c>
      <c r="P12" s="161"/>
      <c r="Q12" s="161">
        <f>P12*16</f>
        <v>0</v>
      </c>
      <c r="R12" s="161"/>
      <c r="S12" s="161">
        <f>R12*16</f>
        <v>0</v>
      </c>
      <c r="T12" s="162">
        <f t="shared" ref="T12:U12" si="8">SUM(H12,J12,L12,N12,P12,R12)</f>
        <v>2</v>
      </c>
      <c r="U12" s="163">
        <f t="shared" si="8"/>
        <v>32</v>
      </c>
    </row>
    <row r="13" spans="2:33" ht="17.25" thickBot="1">
      <c r="B13" s="492"/>
      <c r="C13" s="495"/>
      <c r="D13" s="496" t="s">
        <v>16</v>
      </c>
      <c r="E13" s="496"/>
      <c r="F13" s="146"/>
      <c r="G13" s="146"/>
      <c r="H13" s="27">
        <f>SUM(H11:H12)</f>
        <v>0</v>
      </c>
      <c r="I13" s="27">
        <f>SUM(I11:I12)</f>
        <v>0</v>
      </c>
      <c r="J13" s="27">
        <f>SUM(J11:J12)</f>
        <v>0</v>
      </c>
      <c r="K13" s="27">
        <f>SUM(K11:K12)</f>
        <v>0</v>
      </c>
      <c r="L13" s="27">
        <f t="shared" ref="L13:U13" si="9">SUM(L9:L12)</f>
        <v>6</v>
      </c>
      <c r="M13" s="27">
        <f t="shared" si="9"/>
        <v>96</v>
      </c>
      <c r="N13" s="27">
        <f t="shared" si="9"/>
        <v>4</v>
      </c>
      <c r="O13" s="27">
        <f t="shared" si="9"/>
        <v>64</v>
      </c>
      <c r="P13" s="27">
        <f t="shared" si="9"/>
        <v>0</v>
      </c>
      <c r="Q13" s="27">
        <f t="shared" si="9"/>
        <v>0</v>
      </c>
      <c r="R13" s="27">
        <f t="shared" si="9"/>
        <v>0</v>
      </c>
      <c r="S13" s="27">
        <f t="shared" si="9"/>
        <v>0</v>
      </c>
      <c r="T13" s="164">
        <f t="shared" si="9"/>
        <v>10</v>
      </c>
      <c r="U13" s="164">
        <f t="shared" si="9"/>
        <v>160</v>
      </c>
    </row>
    <row r="14" spans="2:33">
      <c r="B14" s="490" t="s">
        <v>585</v>
      </c>
      <c r="C14" s="493">
        <f>T16</f>
        <v>4</v>
      </c>
      <c r="D14" s="167" t="s">
        <v>587</v>
      </c>
      <c r="E14" s="167" t="s">
        <v>589</v>
      </c>
      <c r="F14" s="152">
        <v>50</v>
      </c>
      <c r="G14" s="152">
        <v>2</v>
      </c>
      <c r="H14" s="153"/>
      <c r="I14" s="153">
        <f t="shared" ref="I14:I15" si="10">H14*16</f>
        <v>0</v>
      </c>
      <c r="J14" s="153"/>
      <c r="K14" s="153">
        <f>J14*16</f>
        <v>0</v>
      </c>
      <c r="L14" s="153">
        <v>2</v>
      </c>
      <c r="M14" s="153">
        <f>L14*16</f>
        <v>32</v>
      </c>
      <c r="N14" s="153"/>
      <c r="O14" s="153">
        <f t="shared" ref="O14:O15" si="11">N14*16</f>
        <v>0</v>
      </c>
      <c r="P14" s="153"/>
      <c r="Q14" s="153">
        <f>P14*16</f>
        <v>0</v>
      </c>
      <c r="R14" s="153"/>
      <c r="S14" s="153">
        <f>R14*16</f>
        <v>0</v>
      </c>
      <c r="T14" s="154">
        <f>SUM(H14,J14,L14,N14,P14,R14)</f>
        <v>2</v>
      </c>
      <c r="U14" s="155">
        <f>SUM(I14,K14,M14,O14,Q14,S14)</f>
        <v>32</v>
      </c>
      <c r="W14" s="30"/>
    </row>
    <row r="15" spans="2:33">
      <c r="B15" s="491"/>
      <c r="C15" s="494"/>
      <c r="D15" s="168" t="s">
        <v>588</v>
      </c>
      <c r="E15" s="169" t="s">
        <v>590</v>
      </c>
      <c r="F15" s="156">
        <v>50</v>
      </c>
      <c r="G15" s="156">
        <v>3</v>
      </c>
      <c r="H15" s="158"/>
      <c r="I15" s="158">
        <f t="shared" si="10"/>
        <v>0</v>
      </c>
      <c r="J15" s="158"/>
      <c r="K15" s="158">
        <f t="shared" ref="K15" si="12">J15*16</f>
        <v>0</v>
      </c>
      <c r="L15" s="158"/>
      <c r="M15" s="158">
        <f t="shared" ref="M15" si="13">L15*16</f>
        <v>0</v>
      </c>
      <c r="N15" s="158">
        <v>2</v>
      </c>
      <c r="O15" s="158">
        <f t="shared" si="11"/>
        <v>32</v>
      </c>
      <c r="P15" s="158"/>
      <c r="Q15" s="158">
        <f t="shared" ref="Q15" si="14">P15*16</f>
        <v>0</v>
      </c>
      <c r="R15" s="158"/>
      <c r="S15" s="158">
        <f t="shared" ref="S15" si="15">R15*16</f>
        <v>0</v>
      </c>
      <c r="T15" s="159">
        <f t="shared" ref="T15" si="16">SUM(H15,J15,L15,N15,P15,R15)</f>
        <v>2</v>
      </c>
      <c r="U15" s="160">
        <f t="shared" ref="U15" si="17">SUM(I15,K15,M15,O15,Q15,S15)</f>
        <v>32</v>
      </c>
    </row>
    <row r="16" spans="2:33" ht="17.25" thickBot="1">
      <c r="B16" s="492"/>
      <c r="C16" s="495"/>
      <c r="D16" s="496" t="s">
        <v>16</v>
      </c>
      <c r="E16" s="496"/>
      <c r="F16" s="146"/>
      <c r="G16" s="146"/>
      <c r="H16" s="27"/>
      <c r="I16" s="27"/>
      <c r="J16" s="27"/>
      <c r="K16" s="27"/>
      <c r="L16" s="27">
        <f t="shared" ref="L16:U16" si="18">SUM(L14:L15)</f>
        <v>2</v>
      </c>
      <c r="M16" s="27">
        <f t="shared" si="18"/>
        <v>32</v>
      </c>
      <c r="N16" s="27">
        <f t="shared" si="18"/>
        <v>2</v>
      </c>
      <c r="O16" s="27">
        <f t="shared" si="18"/>
        <v>32</v>
      </c>
      <c r="P16" s="27">
        <f t="shared" si="18"/>
        <v>0</v>
      </c>
      <c r="Q16" s="27">
        <f t="shared" si="18"/>
        <v>0</v>
      </c>
      <c r="R16" s="27">
        <f t="shared" si="18"/>
        <v>0</v>
      </c>
      <c r="S16" s="27">
        <f t="shared" si="18"/>
        <v>0</v>
      </c>
      <c r="T16" s="164">
        <f t="shared" si="18"/>
        <v>4</v>
      </c>
      <c r="U16" s="164">
        <f t="shared" si="18"/>
        <v>64</v>
      </c>
    </row>
    <row r="17" spans="2:21">
      <c r="B17" s="490" t="s">
        <v>591</v>
      </c>
      <c r="C17" s="493">
        <f>T19</f>
        <v>4</v>
      </c>
      <c r="D17" s="191" t="s">
        <v>567</v>
      </c>
      <c r="E17" s="192" t="s">
        <v>568</v>
      </c>
      <c r="F17" s="192">
        <v>60</v>
      </c>
      <c r="G17" s="192">
        <v>2</v>
      </c>
      <c r="H17" s="153"/>
      <c r="I17" s="153">
        <f t="shared" ref="I17:I18" si="19">H17*16</f>
        <v>0</v>
      </c>
      <c r="J17" s="153"/>
      <c r="K17" s="153">
        <f>J17*16</f>
        <v>0</v>
      </c>
      <c r="L17" s="153">
        <v>2</v>
      </c>
      <c r="M17" s="153">
        <f>L17*16</f>
        <v>32</v>
      </c>
      <c r="N17" s="153"/>
      <c r="O17" s="153">
        <f t="shared" ref="O17:O18" si="20">N17*16</f>
        <v>0</v>
      </c>
      <c r="P17" s="153"/>
      <c r="Q17" s="153">
        <f>P17*16</f>
        <v>0</v>
      </c>
      <c r="R17" s="153"/>
      <c r="S17" s="153">
        <f>R17*16</f>
        <v>0</v>
      </c>
      <c r="T17" s="154">
        <f>SUM(H17,J17,L17,N17,P17,R17)</f>
        <v>2</v>
      </c>
      <c r="U17" s="155">
        <f>SUM(I17,K17,M17,O17,Q17,S17)</f>
        <v>32</v>
      </c>
    </row>
    <row r="18" spans="2:21">
      <c r="B18" s="491"/>
      <c r="C18" s="494"/>
      <c r="D18" s="190" t="s">
        <v>688</v>
      </c>
      <c r="E18" s="186" t="s">
        <v>689</v>
      </c>
      <c r="F18" s="187">
        <v>60</v>
      </c>
      <c r="G18" s="187">
        <v>3</v>
      </c>
      <c r="H18" s="158"/>
      <c r="I18" s="158">
        <f t="shared" si="19"/>
        <v>0</v>
      </c>
      <c r="J18" s="158"/>
      <c r="K18" s="158">
        <f t="shared" ref="K18" si="21">J18*16</f>
        <v>0</v>
      </c>
      <c r="L18" s="158"/>
      <c r="M18" s="158">
        <f t="shared" ref="M18" si="22">L18*16</f>
        <v>0</v>
      </c>
      <c r="N18" s="158">
        <v>2</v>
      </c>
      <c r="O18" s="158">
        <f t="shared" si="20"/>
        <v>32</v>
      </c>
      <c r="P18" s="158"/>
      <c r="Q18" s="158">
        <f t="shared" ref="Q18" si="23">P18*16</f>
        <v>0</v>
      </c>
      <c r="R18" s="158"/>
      <c r="S18" s="158">
        <f t="shared" ref="S18" si="24">R18*16</f>
        <v>0</v>
      </c>
      <c r="T18" s="159">
        <f t="shared" ref="T18" si="25">SUM(H18,J18,L18,N18,P18,R18)</f>
        <v>2</v>
      </c>
      <c r="U18" s="160">
        <f t="shared" ref="U18" si="26">SUM(I18,K18,M18,O18,Q18,S18)</f>
        <v>32</v>
      </c>
    </row>
    <row r="19" spans="2:21" ht="17.25" thickBot="1">
      <c r="B19" s="492"/>
      <c r="C19" s="495"/>
      <c r="D19" s="496" t="s">
        <v>16</v>
      </c>
      <c r="E19" s="496"/>
      <c r="F19" s="146"/>
      <c r="G19" s="146"/>
      <c r="H19" s="27"/>
      <c r="I19" s="27"/>
      <c r="J19" s="27"/>
      <c r="K19" s="27"/>
      <c r="L19" s="27">
        <f t="shared" ref="L19:U19" si="27">SUM(L17:L18)</f>
        <v>2</v>
      </c>
      <c r="M19" s="27">
        <f t="shared" si="27"/>
        <v>32</v>
      </c>
      <c r="N19" s="27">
        <f t="shared" si="27"/>
        <v>2</v>
      </c>
      <c r="O19" s="27">
        <f t="shared" si="27"/>
        <v>32</v>
      </c>
      <c r="P19" s="27">
        <f t="shared" si="27"/>
        <v>0</v>
      </c>
      <c r="Q19" s="27">
        <f t="shared" si="27"/>
        <v>0</v>
      </c>
      <c r="R19" s="27">
        <f t="shared" si="27"/>
        <v>0</v>
      </c>
      <c r="S19" s="27">
        <f t="shared" si="27"/>
        <v>0</v>
      </c>
      <c r="T19" s="164">
        <f t="shared" si="27"/>
        <v>4</v>
      </c>
      <c r="U19" s="164">
        <f t="shared" si="27"/>
        <v>64</v>
      </c>
    </row>
    <row r="20" spans="2:21">
      <c r="B20" s="534" t="s">
        <v>605</v>
      </c>
      <c r="C20" s="493">
        <f>T24</f>
        <v>16</v>
      </c>
      <c r="D20" s="192" t="s">
        <v>617</v>
      </c>
      <c r="E20" s="192" t="s">
        <v>618</v>
      </c>
      <c r="F20" s="192">
        <v>40</v>
      </c>
      <c r="G20" s="192">
        <v>2</v>
      </c>
      <c r="H20" s="153"/>
      <c r="I20" s="153">
        <f t="shared" ref="I20:I23" si="28">H20*16</f>
        <v>0</v>
      </c>
      <c r="J20" s="153"/>
      <c r="K20" s="153">
        <f>J20*16</f>
        <v>0</v>
      </c>
      <c r="L20" s="153"/>
      <c r="M20" s="153">
        <f>L20*16</f>
        <v>0</v>
      </c>
      <c r="N20" s="153"/>
      <c r="O20" s="153">
        <f t="shared" ref="O20:O23" si="29">N20*16</f>
        <v>0</v>
      </c>
      <c r="P20" s="153">
        <v>4</v>
      </c>
      <c r="Q20" s="153">
        <f>P20*16</f>
        <v>64</v>
      </c>
      <c r="R20" s="153"/>
      <c r="S20" s="153">
        <f>R20*16</f>
        <v>0</v>
      </c>
      <c r="T20" s="154">
        <f>SUM(H20,J20,L20,N20,P20,R20)</f>
        <v>4</v>
      </c>
      <c r="U20" s="155">
        <f>SUM(I20,K20,M20,O20,Q20,S20)</f>
        <v>64</v>
      </c>
    </row>
    <row r="21" spans="2:21">
      <c r="B21" s="535"/>
      <c r="C21" s="494"/>
      <c r="D21" s="186" t="s">
        <v>619</v>
      </c>
      <c r="E21" s="186" t="s">
        <v>620</v>
      </c>
      <c r="F21" s="186">
        <v>20</v>
      </c>
      <c r="G21" s="186">
        <v>2</v>
      </c>
      <c r="H21" s="158"/>
      <c r="I21" s="158">
        <f t="shared" si="28"/>
        <v>0</v>
      </c>
      <c r="J21" s="158"/>
      <c r="K21" s="158">
        <f t="shared" ref="K21" si="30">J21*16</f>
        <v>0</v>
      </c>
      <c r="L21" s="158"/>
      <c r="M21" s="158">
        <f t="shared" ref="M21" si="31">L21*16</f>
        <v>0</v>
      </c>
      <c r="N21" s="158"/>
      <c r="O21" s="158">
        <f t="shared" si="29"/>
        <v>0</v>
      </c>
      <c r="P21" s="158">
        <v>4</v>
      </c>
      <c r="Q21" s="158">
        <f t="shared" ref="Q21" si="32">P21*16</f>
        <v>64</v>
      </c>
      <c r="R21" s="158"/>
      <c r="S21" s="158">
        <f t="shared" ref="S21" si="33">R21*16</f>
        <v>0</v>
      </c>
      <c r="T21" s="159">
        <f t="shared" ref="T21" si="34">SUM(H21,J21,L21,N21,P21,R21)</f>
        <v>4</v>
      </c>
      <c r="U21" s="160">
        <f t="shared" ref="U21" si="35">SUM(I21,K21,M21,O21,Q21,S21)</f>
        <v>64</v>
      </c>
    </row>
    <row r="22" spans="2:21">
      <c r="B22" s="535"/>
      <c r="C22" s="494"/>
      <c r="D22" s="186" t="s">
        <v>621</v>
      </c>
      <c r="E22" s="187" t="s">
        <v>622</v>
      </c>
      <c r="F22" s="186">
        <v>30</v>
      </c>
      <c r="G22" s="186">
        <v>2</v>
      </c>
      <c r="H22" s="161"/>
      <c r="I22" s="161">
        <f t="shared" si="28"/>
        <v>0</v>
      </c>
      <c r="J22" s="161"/>
      <c r="K22" s="161">
        <f>J22*16</f>
        <v>0</v>
      </c>
      <c r="L22" s="161"/>
      <c r="M22" s="161">
        <f>L22*16</f>
        <v>0</v>
      </c>
      <c r="N22" s="161"/>
      <c r="O22" s="161">
        <f t="shared" si="29"/>
        <v>0</v>
      </c>
      <c r="P22" s="161"/>
      <c r="Q22" s="161">
        <f>P22*16</f>
        <v>0</v>
      </c>
      <c r="R22" s="161">
        <v>4</v>
      </c>
      <c r="S22" s="161">
        <f>R22*16</f>
        <v>64</v>
      </c>
      <c r="T22" s="162">
        <f>SUM(H22,J22,L22,N22,P22,R22)</f>
        <v>4</v>
      </c>
      <c r="U22" s="163">
        <f>SUM(I22,K22,M22,O22,Q22,S22)</f>
        <v>64</v>
      </c>
    </row>
    <row r="23" spans="2:21">
      <c r="B23" s="535"/>
      <c r="C23" s="494"/>
      <c r="D23" s="187" t="s">
        <v>623</v>
      </c>
      <c r="E23" s="186" t="s">
        <v>624</v>
      </c>
      <c r="F23" s="187">
        <v>30</v>
      </c>
      <c r="G23" s="187">
        <v>2</v>
      </c>
      <c r="H23" s="161"/>
      <c r="I23" s="161">
        <f t="shared" si="28"/>
        <v>0</v>
      </c>
      <c r="J23" s="161"/>
      <c r="K23" s="161">
        <f>J23*16</f>
        <v>0</v>
      </c>
      <c r="L23" s="161"/>
      <c r="M23" s="161">
        <f>L23*16</f>
        <v>0</v>
      </c>
      <c r="N23" s="161"/>
      <c r="O23" s="161">
        <f t="shared" si="29"/>
        <v>0</v>
      </c>
      <c r="P23" s="161"/>
      <c r="Q23" s="161">
        <f>P23*16</f>
        <v>0</v>
      </c>
      <c r="R23" s="161">
        <v>4</v>
      </c>
      <c r="S23" s="161">
        <f>R23*16</f>
        <v>64</v>
      </c>
      <c r="T23" s="162">
        <f t="shared" ref="T23" si="36">SUM(H23,J23,L23,N23,P23,R23)</f>
        <v>4</v>
      </c>
      <c r="U23" s="163">
        <f t="shared" ref="U23" si="37">SUM(I23,K23,M23,O23,Q23,S23)</f>
        <v>64</v>
      </c>
    </row>
    <row r="24" spans="2:21" ht="17.25" thickBot="1">
      <c r="B24" s="536"/>
      <c r="C24" s="495"/>
      <c r="D24" s="496" t="s">
        <v>16</v>
      </c>
      <c r="E24" s="496"/>
      <c r="F24" s="146"/>
      <c r="G24" s="146"/>
      <c r="H24" s="27">
        <f>SUM(H22:H23)</f>
        <v>0</v>
      </c>
      <c r="I24" s="27">
        <f>SUM(I22:I23)</f>
        <v>0</v>
      </c>
      <c r="J24" s="27">
        <f>SUM(J22:J23)</f>
        <v>0</v>
      </c>
      <c r="K24" s="27">
        <f>SUM(K22:K23)</f>
        <v>0</v>
      </c>
      <c r="L24" s="27">
        <f t="shared" ref="L24:U24" si="38">SUM(L20:L23)</f>
        <v>0</v>
      </c>
      <c r="M24" s="27">
        <f t="shared" si="38"/>
        <v>0</v>
      </c>
      <c r="N24" s="27">
        <f t="shared" si="38"/>
        <v>0</v>
      </c>
      <c r="O24" s="27">
        <f t="shared" si="38"/>
        <v>0</v>
      </c>
      <c r="P24" s="27">
        <f t="shared" si="38"/>
        <v>8</v>
      </c>
      <c r="Q24" s="27">
        <f t="shared" si="38"/>
        <v>128</v>
      </c>
      <c r="R24" s="27">
        <f t="shared" si="38"/>
        <v>8</v>
      </c>
      <c r="S24" s="27">
        <f t="shared" si="38"/>
        <v>128</v>
      </c>
      <c r="T24" s="164">
        <f t="shared" si="38"/>
        <v>16</v>
      </c>
      <c r="U24" s="164">
        <f t="shared" si="38"/>
        <v>256</v>
      </c>
    </row>
    <row r="25" spans="2:21">
      <c r="B25" s="490" t="s">
        <v>606</v>
      </c>
      <c r="C25" s="493">
        <f>T29</f>
        <v>12</v>
      </c>
      <c r="D25" s="192" t="s">
        <v>625</v>
      </c>
      <c r="E25" s="192" t="s">
        <v>626</v>
      </c>
      <c r="F25" s="192">
        <v>30</v>
      </c>
      <c r="G25" s="192">
        <v>3</v>
      </c>
      <c r="H25" s="153"/>
      <c r="I25" s="153">
        <f t="shared" ref="I25:I28" si="39">H25*16</f>
        <v>0</v>
      </c>
      <c r="J25" s="153"/>
      <c r="K25" s="153">
        <f>J25*16</f>
        <v>0</v>
      </c>
      <c r="L25" s="153"/>
      <c r="M25" s="153">
        <f>L25*16</f>
        <v>0</v>
      </c>
      <c r="N25" s="153"/>
      <c r="O25" s="153">
        <f t="shared" ref="O25:O28" si="40">N25*16</f>
        <v>0</v>
      </c>
      <c r="P25" s="153">
        <v>3</v>
      </c>
      <c r="Q25" s="153">
        <f>P25*16</f>
        <v>48</v>
      </c>
      <c r="R25" s="153"/>
      <c r="S25" s="153">
        <f>R25*16</f>
        <v>0</v>
      </c>
      <c r="T25" s="154">
        <f>SUM(H25,J25,L25,N25,P25,R25)</f>
        <v>3</v>
      </c>
      <c r="U25" s="155">
        <f>SUM(I25,K25,M25,O25,Q25,S25)</f>
        <v>48</v>
      </c>
    </row>
    <row r="26" spans="2:21">
      <c r="B26" s="491"/>
      <c r="C26" s="494"/>
      <c r="D26" s="187" t="s">
        <v>627</v>
      </c>
      <c r="E26" s="186" t="s">
        <v>628</v>
      </c>
      <c r="F26" s="187">
        <v>20</v>
      </c>
      <c r="G26" s="187">
        <v>3</v>
      </c>
      <c r="H26" s="158"/>
      <c r="I26" s="158">
        <f t="shared" si="39"/>
        <v>0</v>
      </c>
      <c r="J26" s="158"/>
      <c r="K26" s="158">
        <f t="shared" ref="K26" si="41">J26*16</f>
        <v>0</v>
      </c>
      <c r="L26" s="158"/>
      <c r="M26" s="158">
        <f t="shared" ref="M26" si="42">L26*16</f>
        <v>0</v>
      </c>
      <c r="N26" s="158"/>
      <c r="O26" s="158">
        <f t="shared" si="40"/>
        <v>0</v>
      </c>
      <c r="P26" s="158">
        <v>3</v>
      </c>
      <c r="Q26" s="158">
        <f t="shared" ref="Q26" si="43">P26*16</f>
        <v>48</v>
      </c>
      <c r="R26" s="158"/>
      <c r="S26" s="158">
        <f t="shared" ref="S26" si="44">R26*16</f>
        <v>0</v>
      </c>
      <c r="T26" s="159">
        <f t="shared" ref="T26" si="45">SUM(H26,J26,L26,N26,P26,R26)</f>
        <v>3</v>
      </c>
      <c r="U26" s="160">
        <f t="shared" ref="U26" si="46">SUM(I26,K26,M26,O26,Q26,S26)</f>
        <v>48</v>
      </c>
    </row>
    <row r="27" spans="2:21">
      <c r="B27" s="491"/>
      <c r="C27" s="494"/>
      <c r="D27" s="193" t="s">
        <v>629</v>
      </c>
      <c r="E27" s="186" t="s">
        <v>630</v>
      </c>
      <c r="F27" s="186">
        <v>30</v>
      </c>
      <c r="G27" s="186">
        <v>4</v>
      </c>
      <c r="H27" s="161"/>
      <c r="I27" s="161">
        <f t="shared" si="39"/>
        <v>0</v>
      </c>
      <c r="J27" s="161"/>
      <c r="K27" s="161">
        <f>J27*16</f>
        <v>0</v>
      </c>
      <c r="L27" s="161"/>
      <c r="M27" s="161">
        <f>L27*16</f>
        <v>0</v>
      </c>
      <c r="N27" s="161"/>
      <c r="O27" s="161">
        <f t="shared" si="40"/>
        <v>0</v>
      </c>
      <c r="P27" s="161"/>
      <c r="Q27" s="161">
        <f>P27*16</f>
        <v>0</v>
      </c>
      <c r="R27" s="161">
        <v>3</v>
      </c>
      <c r="S27" s="161">
        <f>R27*16</f>
        <v>48</v>
      </c>
      <c r="T27" s="162">
        <f>SUM(H27,J27,L27,N27,P27,R27)</f>
        <v>3</v>
      </c>
      <c r="U27" s="163">
        <f>SUM(I27,K27,M27,O27,Q27,S27)</f>
        <v>48</v>
      </c>
    </row>
    <row r="28" spans="2:21">
      <c r="B28" s="491"/>
      <c r="C28" s="494"/>
      <c r="D28" s="186" t="s">
        <v>631</v>
      </c>
      <c r="E28" s="186" t="s">
        <v>632</v>
      </c>
      <c r="F28" s="186">
        <v>20</v>
      </c>
      <c r="G28" s="186">
        <v>3</v>
      </c>
      <c r="H28" s="161"/>
      <c r="I28" s="161">
        <f t="shared" si="39"/>
        <v>0</v>
      </c>
      <c r="J28" s="161"/>
      <c r="K28" s="161">
        <f>J28*16</f>
        <v>0</v>
      </c>
      <c r="L28" s="161"/>
      <c r="M28" s="161">
        <f>L28*16</f>
        <v>0</v>
      </c>
      <c r="N28" s="161"/>
      <c r="O28" s="161">
        <f t="shared" si="40"/>
        <v>0</v>
      </c>
      <c r="P28" s="161"/>
      <c r="Q28" s="161">
        <f>P28*16</f>
        <v>0</v>
      </c>
      <c r="R28" s="161">
        <v>3</v>
      </c>
      <c r="S28" s="161">
        <f>R28*16</f>
        <v>48</v>
      </c>
      <c r="T28" s="162">
        <f t="shared" ref="T28" si="47">SUM(H28,J28,L28,N28,P28,R28)</f>
        <v>3</v>
      </c>
      <c r="U28" s="163">
        <f t="shared" ref="U28" si="48">SUM(I28,K28,M28,O28,Q28,S28)</f>
        <v>48</v>
      </c>
    </row>
    <row r="29" spans="2:21" ht="17.25" thickBot="1">
      <c r="B29" s="492"/>
      <c r="C29" s="495"/>
      <c r="D29" s="496" t="s">
        <v>16</v>
      </c>
      <c r="E29" s="496"/>
      <c r="F29" s="146"/>
      <c r="G29" s="146"/>
      <c r="H29" s="27">
        <f>SUM(H27:H28)</f>
        <v>0</v>
      </c>
      <c r="I29" s="27">
        <f>SUM(I27:I28)</f>
        <v>0</v>
      </c>
      <c r="J29" s="27">
        <f>SUM(J27:J28)</f>
        <v>0</v>
      </c>
      <c r="K29" s="27">
        <f>SUM(K27:K28)</f>
        <v>0</v>
      </c>
      <c r="L29" s="27">
        <f t="shared" ref="L29:U29" si="49">SUM(L25:L28)</f>
        <v>0</v>
      </c>
      <c r="M29" s="27">
        <f t="shared" si="49"/>
        <v>0</v>
      </c>
      <c r="N29" s="27">
        <f t="shared" si="49"/>
        <v>0</v>
      </c>
      <c r="O29" s="27">
        <f t="shared" si="49"/>
        <v>0</v>
      </c>
      <c r="P29" s="27">
        <f t="shared" si="49"/>
        <v>6</v>
      </c>
      <c r="Q29" s="27">
        <f t="shared" si="49"/>
        <v>96</v>
      </c>
      <c r="R29" s="27">
        <f t="shared" si="49"/>
        <v>6</v>
      </c>
      <c r="S29" s="27">
        <f t="shared" si="49"/>
        <v>96</v>
      </c>
      <c r="T29" s="164">
        <f t="shared" si="49"/>
        <v>12</v>
      </c>
      <c r="U29" s="164">
        <f t="shared" si="49"/>
        <v>192</v>
      </c>
    </row>
    <row r="30" spans="2:21">
      <c r="B30" s="490" t="s">
        <v>722</v>
      </c>
      <c r="C30" s="493">
        <f>T34</f>
        <v>14</v>
      </c>
      <c r="D30" s="241" t="s">
        <v>736</v>
      </c>
      <c r="E30" s="241" t="s">
        <v>723</v>
      </c>
      <c r="F30" s="241">
        <v>20</v>
      </c>
      <c r="G30" s="241">
        <v>3</v>
      </c>
      <c r="H30" s="153"/>
      <c r="I30" s="153">
        <f t="shared" ref="I30:I33" si="50">H30*16</f>
        <v>0</v>
      </c>
      <c r="J30" s="153"/>
      <c r="K30" s="153">
        <f>J30*16</f>
        <v>0</v>
      </c>
      <c r="L30" s="153"/>
      <c r="M30" s="153">
        <f>L30*16</f>
        <v>0</v>
      </c>
      <c r="N30" s="153"/>
      <c r="O30" s="153">
        <f t="shared" ref="O30:O33" si="51">N30*16</f>
        <v>0</v>
      </c>
      <c r="P30" s="153">
        <v>3</v>
      </c>
      <c r="Q30" s="153">
        <f>P30*16</f>
        <v>48</v>
      </c>
      <c r="R30" s="153"/>
      <c r="S30" s="153">
        <f>R30*16</f>
        <v>0</v>
      </c>
      <c r="T30" s="154">
        <f>SUM(H30,J30,L30,N30,P30,R30)</f>
        <v>3</v>
      </c>
      <c r="U30" s="155">
        <f>SUM(I30,K30,M30,O30,Q30,S30)</f>
        <v>48</v>
      </c>
    </row>
    <row r="31" spans="2:21">
      <c r="B31" s="491"/>
      <c r="C31" s="494"/>
      <c r="D31" s="242" t="s">
        <v>737</v>
      </c>
      <c r="E31" s="243" t="s">
        <v>724</v>
      </c>
      <c r="F31" s="242">
        <v>20</v>
      </c>
      <c r="G31" s="242">
        <v>3</v>
      </c>
      <c r="H31" s="158"/>
      <c r="I31" s="158">
        <f t="shared" si="50"/>
        <v>0</v>
      </c>
      <c r="J31" s="158"/>
      <c r="K31" s="158">
        <f t="shared" ref="K31" si="52">J31*16</f>
        <v>0</v>
      </c>
      <c r="L31" s="158"/>
      <c r="M31" s="158">
        <f t="shared" ref="M31" si="53">L31*16</f>
        <v>0</v>
      </c>
      <c r="N31" s="158"/>
      <c r="O31" s="158">
        <f t="shared" si="51"/>
        <v>0</v>
      </c>
      <c r="P31" s="158">
        <v>3</v>
      </c>
      <c r="Q31" s="158">
        <f t="shared" ref="Q31" si="54">P31*16</f>
        <v>48</v>
      </c>
      <c r="R31" s="158"/>
      <c r="S31" s="158">
        <f t="shared" ref="S31" si="55">R31*16</f>
        <v>0</v>
      </c>
      <c r="T31" s="159">
        <f t="shared" ref="T31" si="56">SUM(H31,J31,L31,N31,P31,R31)</f>
        <v>3</v>
      </c>
      <c r="U31" s="160">
        <f t="shared" ref="U31" si="57">SUM(I31,K31,M31,O31,Q31,S31)</f>
        <v>48</v>
      </c>
    </row>
    <row r="32" spans="2:21">
      <c r="B32" s="491"/>
      <c r="C32" s="494"/>
      <c r="D32" s="243" t="s">
        <v>734</v>
      </c>
      <c r="E32" s="242" t="s">
        <v>725</v>
      </c>
      <c r="F32" s="243">
        <v>20</v>
      </c>
      <c r="G32" s="243">
        <v>2</v>
      </c>
      <c r="H32" s="161"/>
      <c r="I32" s="161">
        <f t="shared" si="50"/>
        <v>0</v>
      </c>
      <c r="J32" s="161"/>
      <c r="K32" s="161">
        <f>J32*16</f>
        <v>0</v>
      </c>
      <c r="L32" s="161"/>
      <c r="M32" s="161">
        <f>L32*16</f>
        <v>0</v>
      </c>
      <c r="N32" s="161"/>
      <c r="O32" s="161">
        <f t="shared" si="51"/>
        <v>0</v>
      </c>
      <c r="P32" s="161"/>
      <c r="Q32" s="161">
        <f>P32*16</f>
        <v>0</v>
      </c>
      <c r="R32" s="161">
        <v>4</v>
      </c>
      <c r="S32" s="161">
        <f>R32*16</f>
        <v>64</v>
      </c>
      <c r="T32" s="162">
        <f>SUM(H32,J32,L32,N32,P32,R32)</f>
        <v>4</v>
      </c>
      <c r="U32" s="163">
        <f>SUM(I32,K32,M32,O32,Q32,S32)</f>
        <v>64</v>
      </c>
    </row>
    <row r="33" spans="2:21">
      <c r="B33" s="491"/>
      <c r="C33" s="494"/>
      <c r="D33" s="243" t="s">
        <v>735</v>
      </c>
      <c r="E33" s="243" t="s">
        <v>726</v>
      </c>
      <c r="F33" s="243">
        <v>20</v>
      </c>
      <c r="G33" s="243">
        <v>3</v>
      </c>
      <c r="H33" s="161"/>
      <c r="I33" s="161">
        <f t="shared" si="50"/>
        <v>0</v>
      </c>
      <c r="J33" s="161"/>
      <c r="K33" s="161">
        <f>J33*16</f>
        <v>0</v>
      </c>
      <c r="L33" s="161"/>
      <c r="M33" s="161">
        <f>L33*16</f>
        <v>0</v>
      </c>
      <c r="N33" s="161"/>
      <c r="O33" s="161">
        <f t="shared" si="51"/>
        <v>0</v>
      </c>
      <c r="P33" s="161"/>
      <c r="Q33" s="161">
        <f>P33*16</f>
        <v>0</v>
      </c>
      <c r="R33" s="161">
        <v>4</v>
      </c>
      <c r="S33" s="161">
        <f>R33*16</f>
        <v>64</v>
      </c>
      <c r="T33" s="162">
        <f t="shared" ref="T33" si="58">SUM(H33,J33,L33,N33,P33,R33)</f>
        <v>4</v>
      </c>
      <c r="U33" s="163">
        <f t="shared" ref="U33" si="59">SUM(I33,K33,M33,O33,Q33,S33)</f>
        <v>64</v>
      </c>
    </row>
    <row r="34" spans="2:21" ht="17.25" thickBot="1">
      <c r="B34" s="492"/>
      <c r="C34" s="495"/>
      <c r="D34" s="496" t="s">
        <v>16</v>
      </c>
      <c r="E34" s="496"/>
      <c r="F34" s="146"/>
      <c r="G34" s="146"/>
      <c r="H34" s="27">
        <f>SUM(H32:H33)</f>
        <v>0</v>
      </c>
      <c r="I34" s="27">
        <f>SUM(I32:I33)</f>
        <v>0</v>
      </c>
      <c r="J34" s="27">
        <f>SUM(J32:J33)</f>
        <v>0</v>
      </c>
      <c r="K34" s="27">
        <f>SUM(K32:K33)</f>
        <v>0</v>
      </c>
      <c r="L34" s="27">
        <f t="shared" ref="L34:U34" si="60">SUM(L30:L33)</f>
        <v>0</v>
      </c>
      <c r="M34" s="27">
        <f t="shared" si="60"/>
        <v>0</v>
      </c>
      <c r="N34" s="27">
        <f t="shared" si="60"/>
        <v>0</v>
      </c>
      <c r="O34" s="27">
        <f t="shared" si="60"/>
        <v>0</v>
      </c>
      <c r="P34" s="27">
        <f t="shared" si="60"/>
        <v>6</v>
      </c>
      <c r="Q34" s="27">
        <f t="shared" si="60"/>
        <v>96</v>
      </c>
      <c r="R34" s="27">
        <f t="shared" si="60"/>
        <v>8</v>
      </c>
      <c r="S34" s="27">
        <f t="shared" si="60"/>
        <v>128</v>
      </c>
      <c r="T34" s="164">
        <f t="shared" si="60"/>
        <v>14</v>
      </c>
      <c r="U34" s="164">
        <f t="shared" si="60"/>
        <v>224</v>
      </c>
    </row>
    <row r="35" spans="2:21">
      <c r="B35" s="490" t="s">
        <v>659</v>
      </c>
      <c r="C35" s="493">
        <f>T39</f>
        <v>13</v>
      </c>
      <c r="D35" s="241" t="s">
        <v>727</v>
      </c>
      <c r="E35" s="241" t="s">
        <v>728</v>
      </c>
      <c r="F35" s="241">
        <v>16</v>
      </c>
      <c r="G35" s="241">
        <v>3</v>
      </c>
      <c r="H35" s="153"/>
      <c r="I35" s="153">
        <f t="shared" ref="I35:I38" si="61">H35*16</f>
        <v>0</v>
      </c>
      <c r="J35" s="153"/>
      <c r="K35" s="153">
        <f>J35*16</f>
        <v>0</v>
      </c>
      <c r="L35" s="153"/>
      <c r="M35" s="153">
        <f>L35*16</f>
        <v>0</v>
      </c>
      <c r="N35" s="153"/>
      <c r="O35" s="153">
        <f t="shared" ref="O35:O38" si="62">N35*16</f>
        <v>0</v>
      </c>
      <c r="P35" s="153">
        <v>3</v>
      </c>
      <c r="Q35" s="153">
        <f>P35*16</f>
        <v>48</v>
      </c>
      <c r="R35" s="153"/>
      <c r="S35" s="153">
        <f>R35*16</f>
        <v>0</v>
      </c>
      <c r="T35" s="154">
        <f>SUM(H35,J35,L35,N35,P35,R35)</f>
        <v>3</v>
      </c>
      <c r="U35" s="155">
        <f>SUM(I35,K35,M35,O35,Q35,S35)</f>
        <v>48</v>
      </c>
    </row>
    <row r="36" spans="2:21">
      <c r="B36" s="491"/>
      <c r="C36" s="494"/>
      <c r="D36" s="242" t="s">
        <v>660</v>
      </c>
      <c r="E36" s="243" t="s">
        <v>729</v>
      </c>
      <c r="F36" s="242">
        <v>16</v>
      </c>
      <c r="G36" s="242">
        <v>2</v>
      </c>
      <c r="H36" s="158"/>
      <c r="I36" s="158">
        <f t="shared" si="61"/>
        <v>0</v>
      </c>
      <c r="J36" s="158"/>
      <c r="K36" s="158">
        <f t="shared" ref="K36" si="63">J36*16</f>
        <v>0</v>
      </c>
      <c r="L36" s="158"/>
      <c r="M36" s="158">
        <f t="shared" ref="M36" si="64">L36*16</f>
        <v>0</v>
      </c>
      <c r="N36" s="158"/>
      <c r="O36" s="158">
        <f t="shared" si="62"/>
        <v>0</v>
      </c>
      <c r="P36" s="158">
        <v>3</v>
      </c>
      <c r="Q36" s="158">
        <f t="shared" ref="Q36" si="65">P36*16</f>
        <v>48</v>
      </c>
      <c r="R36" s="158"/>
      <c r="S36" s="158">
        <f t="shared" ref="S36" si="66">R36*16</f>
        <v>0</v>
      </c>
      <c r="T36" s="159">
        <f t="shared" ref="T36" si="67">SUM(H36,J36,L36,N36,P36,R36)</f>
        <v>3</v>
      </c>
      <c r="U36" s="160">
        <f t="shared" ref="U36" si="68">SUM(I36,K36,M36,O36,Q36,S36)</f>
        <v>48</v>
      </c>
    </row>
    <row r="37" spans="2:21">
      <c r="B37" s="491"/>
      <c r="C37" s="494"/>
      <c r="D37" s="243" t="s">
        <v>730</v>
      </c>
      <c r="E37" s="242" t="s">
        <v>731</v>
      </c>
      <c r="F37" s="243">
        <v>20</v>
      </c>
      <c r="G37" s="243">
        <v>2</v>
      </c>
      <c r="H37" s="161"/>
      <c r="I37" s="161">
        <f t="shared" si="61"/>
        <v>0</v>
      </c>
      <c r="J37" s="161"/>
      <c r="K37" s="161">
        <f>J37*16</f>
        <v>0</v>
      </c>
      <c r="L37" s="161"/>
      <c r="M37" s="161">
        <f>L37*16</f>
        <v>0</v>
      </c>
      <c r="N37" s="161"/>
      <c r="O37" s="161">
        <f t="shared" si="62"/>
        <v>0</v>
      </c>
      <c r="P37" s="161"/>
      <c r="Q37" s="161">
        <f>P37*16</f>
        <v>0</v>
      </c>
      <c r="R37" s="161">
        <v>3</v>
      </c>
      <c r="S37" s="161">
        <f>R37*16</f>
        <v>48</v>
      </c>
      <c r="T37" s="162">
        <f>SUM(H37,J37,L37,N37,P37,R37)</f>
        <v>3</v>
      </c>
      <c r="U37" s="163">
        <f>SUM(I37,K37,M37,O37,Q37,S37)</f>
        <v>48</v>
      </c>
    </row>
    <row r="38" spans="2:21">
      <c r="B38" s="491"/>
      <c r="C38" s="494"/>
      <c r="D38" s="243" t="s">
        <v>732</v>
      </c>
      <c r="E38" s="243" t="s">
        <v>733</v>
      </c>
      <c r="F38" s="243">
        <v>20</v>
      </c>
      <c r="G38" s="243">
        <v>3</v>
      </c>
      <c r="H38" s="161"/>
      <c r="I38" s="161">
        <f t="shared" si="61"/>
        <v>0</v>
      </c>
      <c r="J38" s="161"/>
      <c r="K38" s="161">
        <f>J38*16</f>
        <v>0</v>
      </c>
      <c r="L38" s="161"/>
      <c r="M38" s="161">
        <f>L38*16</f>
        <v>0</v>
      </c>
      <c r="N38" s="161"/>
      <c r="O38" s="161">
        <f t="shared" si="62"/>
        <v>0</v>
      </c>
      <c r="P38" s="161"/>
      <c r="Q38" s="161">
        <f>P38*16</f>
        <v>0</v>
      </c>
      <c r="R38" s="161">
        <v>4</v>
      </c>
      <c r="S38" s="161">
        <f>R38*16</f>
        <v>64</v>
      </c>
      <c r="T38" s="162">
        <f t="shared" ref="T38" si="69">SUM(H38,J38,L38,N38,P38,R38)</f>
        <v>4</v>
      </c>
      <c r="U38" s="163">
        <f t="shared" ref="U38" si="70">SUM(I38,K38,M38,O38,Q38,S38)</f>
        <v>64</v>
      </c>
    </row>
    <row r="39" spans="2:21" ht="17.25" thickBot="1">
      <c r="B39" s="492"/>
      <c r="C39" s="495"/>
      <c r="D39" s="496" t="s">
        <v>16</v>
      </c>
      <c r="E39" s="496"/>
      <c r="F39" s="146"/>
      <c r="G39" s="146"/>
      <c r="H39" s="27">
        <f>SUM(H37:H38)</f>
        <v>0</v>
      </c>
      <c r="I39" s="27">
        <f>SUM(I37:I38)</f>
        <v>0</v>
      </c>
      <c r="J39" s="27">
        <f>SUM(J37:J38)</f>
        <v>0</v>
      </c>
      <c r="K39" s="27">
        <f>SUM(K37:K38)</f>
        <v>0</v>
      </c>
      <c r="L39" s="27">
        <f t="shared" ref="L39:U39" si="71">SUM(L35:L38)</f>
        <v>0</v>
      </c>
      <c r="M39" s="27">
        <f t="shared" si="71"/>
        <v>0</v>
      </c>
      <c r="N39" s="27">
        <f t="shared" si="71"/>
        <v>0</v>
      </c>
      <c r="O39" s="27">
        <f t="shared" si="71"/>
        <v>0</v>
      </c>
      <c r="P39" s="27">
        <f t="shared" si="71"/>
        <v>6</v>
      </c>
      <c r="Q39" s="27">
        <f t="shared" si="71"/>
        <v>96</v>
      </c>
      <c r="R39" s="27">
        <f t="shared" si="71"/>
        <v>7</v>
      </c>
      <c r="S39" s="27">
        <f t="shared" si="71"/>
        <v>112</v>
      </c>
      <c r="T39" s="164">
        <f t="shared" si="71"/>
        <v>13</v>
      </c>
      <c r="U39" s="164">
        <f t="shared" si="71"/>
        <v>208</v>
      </c>
    </row>
    <row r="40" spans="2:21">
      <c r="B40" s="490" t="s">
        <v>607</v>
      </c>
      <c r="C40" s="493">
        <f>T44</f>
        <v>13</v>
      </c>
      <c r="D40" s="186" t="s">
        <v>637</v>
      </c>
      <c r="E40" s="190" t="s">
        <v>638</v>
      </c>
      <c r="F40" s="186">
        <v>20</v>
      </c>
      <c r="G40" s="186">
        <v>4</v>
      </c>
      <c r="H40" s="153"/>
      <c r="I40" s="153">
        <f t="shared" ref="I40:I43" si="72">H40*16</f>
        <v>0</v>
      </c>
      <c r="J40" s="153"/>
      <c r="K40" s="153">
        <f>J40*16</f>
        <v>0</v>
      </c>
      <c r="L40" s="153"/>
      <c r="M40" s="153">
        <f>L40*16</f>
        <v>0</v>
      </c>
      <c r="N40" s="153"/>
      <c r="O40" s="153">
        <f t="shared" ref="O40:O43" si="73">N40*16</f>
        <v>0</v>
      </c>
      <c r="P40" s="153">
        <v>3</v>
      </c>
      <c r="Q40" s="153">
        <f>P40*16</f>
        <v>48</v>
      </c>
      <c r="R40" s="153"/>
      <c r="S40" s="153">
        <f>R40*16</f>
        <v>0</v>
      </c>
      <c r="T40" s="154">
        <f>SUM(H40,J40,L40,N40,P40,R40)</f>
        <v>3</v>
      </c>
      <c r="U40" s="155">
        <f>SUM(I40,K40,M40,O40,Q40,S40)</f>
        <v>48</v>
      </c>
    </row>
    <row r="41" spans="2:21">
      <c r="B41" s="491"/>
      <c r="C41" s="494"/>
      <c r="D41" s="187" t="s">
        <v>639</v>
      </c>
      <c r="E41" s="187" t="s">
        <v>640</v>
      </c>
      <c r="F41" s="187">
        <v>20</v>
      </c>
      <c r="G41" s="187">
        <v>3</v>
      </c>
      <c r="H41" s="158"/>
      <c r="I41" s="158">
        <f t="shared" si="72"/>
        <v>0</v>
      </c>
      <c r="J41" s="158"/>
      <c r="K41" s="158">
        <f t="shared" ref="K41" si="74">J41*16</f>
        <v>0</v>
      </c>
      <c r="L41" s="158"/>
      <c r="M41" s="158">
        <f t="shared" ref="M41" si="75">L41*16</f>
        <v>0</v>
      </c>
      <c r="N41" s="158"/>
      <c r="O41" s="158">
        <f t="shared" si="73"/>
        <v>0</v>
      </c>
      <c r="P41" s="158">
        <v>3</v>
      </c>
      <c r="Q41" s="158">
        <f t="shared" ref="Q41" si="76">P41*16</f>
        <v>48</v>
      </c>
      <c r="R41" s="158"/>
      <c r="S41" s="158">
        <f t="shared" ref="S41" si="77">R41*16</f>
        <v>0</v>
      </c>
      <c r="T41" s="159">
        <f t="shared" ref="T41" si="78">SUM(H41,J41,L41,N41,P41,R41)</f>
        <v>3</v>
      </c>
      <c r="U41" s="160">
        <f t="shared" ref="U41" si="79">SUM(I41,K41,M41,O41,Q41,S41)</f>
        <v>48</v>
      </c>
    </row>
    <row r="42" spans="2:21">
      <c r="B42" s="491"/>
      <c r="C42" s="494"/>
      <c r="D42" s="186" t="s">
        <v>633</v>
      </c>
      <c r="E42" s="193" t="s">
        <v>634</v>
      </c>
      <c r="F42" s="186">
        <v>20</v>
      </c>
      <c r="G42" s="186">
        <v>3</v>
      </c>
      <c r="H42" s="161"/>
      <c r="I42" s="161">
        <f t="shared" si="72"/>
        <v>0</v>
      </c>
      <c r="J42" s="161"/>
      <c r="K42" s="161">
        <f>J42*16</f>
        <v>0</v>
      </c>
      <c r="L42" s="161"/>
      <c r="M42" s="161">
        <f>L42*16</f>
        <v>0</v>
      </c>
      <c r="N42" s="161"/>
      <c r="O42" s="161">
        <f t="shared" si="73"/>
        <v>0</v>
      </c>
      <c r="P42" s="161"/>
      <c r="Q42" s="161">
        <f>P42*16</f>
        <v>0</v>
      </c>
      <c r="R42" s="161">
        <v>3</v>
      </c>
      <c r="S42" s="161">
        <f>R42*16</f>
        <v>48</v>
      </c>
      <c r="T42" s="162">
        <f>SUM(H42,J42,L42,N42,P42,R42)</f>
        <v>3</v>
      </c>
      <c r="U42" s="163">
        <f>SUM(I42,K42,M42,O42,Q42,S42)</f>
        <v>48</v>
      </c>
    </row>
    <row r="43" spans="2:21">
      <c r="B43" s="491"/>
      <c r="C43" s="494"/>
      <c r="D43" s="187" t="s">
        <v>635</v>
      </c>
      <c r="E43" s="193" t="s">
        <v>636</v>
      </c>
      <c r="F43" s="187">
        <v>30</v>
      </c>
      <c r="G43" s="187">
        <v>4</v>
      </c>
      <c r="H43" s="161"/>
      <c r="I43" s="161">
        <f t="shared" si="72"/>
        <v>0</v>
      </c>
      <c r="J43" s="161"/>
      <c r="K43" s="161">
        <f>J43*16</f>
        <v>0</v>
      </c>
      <c r="L43" s="161"/>
      <c r="M43" s="161">
        <f>L43*16</f>
        <v>0</v>
      </c>
      <c r="N43" s="161"/>
      <c r="O43" s="161">
        <f t="shared" si="73"/>
        <v>0</v>
      </c>
      <c r="P43" s="161"/>
      <c r="Q43" s="161">
        <f>P43*16</f>
        <v>0</v>
      </c>
      <c r="R43" s="161">
        <v>4</v>
      </c>
      <c r="S43" s="161">
        <f>R43*16</f>
        <v>64</v>
      </c>
      <c r="T43" s="162">
        <f t="shared" ref="T43" si="80">SUM(H43,J43,L43,N43,P43,R43)</f>
        <v>4</v>
      </c>
      <c r="U43" s="163">
        <f t="shared" ref="U43" si="81">SUM(I43,K43,M43,O43,Q43,S43)</f>
        <v>64</v>
      </c>
    </row>
    <row r="44" spans="2:21" ht="17.25" thickBot="1">
      <c r="B44" s="492"/>
      <c r="C44" s="495"/>
      <c r="D44" s="496" t="s">
        <v>16</v>
      </c>
      <c r="E44" s="496"/>
      <c r="F44" s="146"/>
      <c r="G44" s="146"/>
      <c r="H44" s="27">
        <f>SUM(H42:H43)</f>
        <v>0</v>
      </c>
      <c r="I44" s="27">
        <f>SUM(I42:I43)</f>
        <v>0</v>
      </c>
      <c r="J44" s="27">
        <f>SUM(J42:J43)</f>
        <v>0</v>
      </c>
      <c r="K44" s="27">
        <f>SUM(K42:K43)</f>
        <v>0</v>
      </c>
      <c r="L44" s="27">
        <f t="shared" ref="L44:U44" si="82">SUM(L40:L43)</f>
        <v>0</v>
      </c>
      <c r="M44" s="27">
        <f t="shared" si="82"/>
        <v>0</v>
      </c>
      <c r="N44" s="27">
        <f t="shared" si="82"/>
        <v>0</v>
      </c>
      <c r="O44" s="27">
        <f t="shared" si="82"/>
        <v>0</v>
      </c>
      <c r="P44" s="27">
        <f t="shared" si="82"/>
        <v>6</v>
      </c>
      <c r="Q44" s="27">
        <f t="shared" si="82"/>
        <v>96</v>
      </c>
      <c r="R44" s="27">
        <f t="shared" si="82"/>
        <v>7</v>
      </c>
      <c r="S44" s="27">
        <f t="shared" si="82"/>
        <v>112</v>
      </c>
      <c r="T44" s="164">
        <f t="shared" si="82"/>
        <v>13</v>
      </c>
      <c r="U44" s="164">
        <f t="shared" si="82"/>
        <v>208</v>
      </c>
    </row>
    <row r="45" spans="2:21">
      <c r="B45" s="490" t="s">
        <v>713</v>
      </c>
      <c r="C45" s="493">
        <f>T49</f>
        <v>14</v>
      </c>
      <c r="D45" s="192" t="s">
        <v>714</v>
      </c>
      <c r="E45" s="192" t="s">
        <v>715</v>
      </c>
      <c r="F45" s="192">
        <v>30</v>
      </c>
      <c r="G45" s="192">
        <v>3</v>
      </c>
      <c r="H45" s="153"/>
      <c r="I45" s="153">
        <f t="shared" ref="I45:I46" si="83">H45*16</f>
        <v>0</v>
      </c>
      <c r="J45" s="153"/>
      <c r="K45" s="153">
        <f>J45*16</f>
        <v>0</v>
      </c>
      <c r="L45" s="153"/>
      <c r="M45" s="153">
        <f>L45*16</f>
        <v>0</v>
      </c>
      <c r="N45" s="153"/>
      <c r="O45" s="153">
        <f t="shared" ref="O45:O46" si="84">N45*16</f>
        <v>0</v>
      </c>
      <c r="P45" s="153">
        <v>3</v>
      </c>
      <c r="Q45" s="153">
        <f>P45*16</f>
        <v>48</v>
      </c>
      <c r="R45" s="153"/>
      <c r="S45" s="153">
        <f>R45*16</f>
        <v>0</v>
      </c>
      <c r="T45" s="154">
        <f>SUM(H45,J45,L45,N45,P45,R45)</f>
        <v>3</v>
      </c>
      <c r="U45" s="155">
        <f>SUM(I45,K45,M45,O45,Q45,S45)</f>
        <v>48</v>
      </c>
    </row>
    <row r="46" spans="2:21">
      <c r="B46" s="491"/>
      <c r="C46" s="494"/>
      <c r="D46" s="187" t="s">
        <v>716</v>
      </c>
      <c r="E46" s="186" t="s">
        <v>717</v>
      </c>
      <c r="F46" s="187">
        <v>30</v>
      </c>
      <c r="G46" s="187">
        <v>3</v>
      </c>
      <c r="H46" s="158"/>
      <c r="I46" s="158">
        <f t="shared" si="83"/>
        <v>0</v>
      </c>
      <c r="J46" s="158"/>
      <c r="K46" s="158">
        <f t="shared" ref="K46" si="85">J46*16</f>
        <v>0</v>
      </c>
      <c r="L46" s="158"/>
      <c r="M46" s="158">
        <f t="shared" ref="M46" si="86">L46*16</f>
        <v>0</v>
      </c>
      <c r="N46" s="158"/>
      <c r="O46" s="158">
        <f t="shared" si="84"/>
        <v>0</v>
      </c>
      <c r="P46" s="158">
        <v>3</v>
      </c>
      <c r="Q46" s="158">
        <f t="shared" ref="Q46" si="87">P46*16</f>
        <v>48</v>
      </c>
      <c r="R46" s="158"/>
      <c r="S46" s="158">
        <f t="shared" ref="S46" si="88">R46*16</f>
        <v>0</v>
      </c>
      <c r="T46" s="159">
        <f t="shared" ref="T46:T48" si="89">SUM(H46,J46,L46,N46,P46,R46)</f>
        <v>3</v>
      </c>
      <c r="U46" s="160">
        <f t="shared" ref="U46:U48" si="90">SUM(I46,K46,M46,O46,Q46,S46)</f>
        <v>48</v>
      </c>
    </row>
    <row r="47" spans="2:21">
      <c r="B47" s="491"/>
      <c r="C47" s="494"/>
      <c r="D47" s="186" t="s">
        <v>718</v>
      </c>
      <c r="E47" s="186" t="s">
        <v>719</v>
      </c>
      <c r="F47" s="186">
        <v>30</v>
      </c>
      <c r="G47" s="186">
        <v>3</v>
      </c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>
        <v>4</v>
      </c>
      <c r="S47" s="161">
        <f>R47*16</f>
        <v>64</v>
      </c>
      <c r="T47" s="159">
        <f t="shared" si="89"/>
        <v>4</v>
      </c>
      <c r="U47" s="160">
        <f t="shared" si="90"/>
        <v>64</v>
      </c>
    </row>
    <row r="48" spans="2:21">
      <c r="B48" s="491"/>
      <c r="C48" s="494"/>
      <c r="D48" s="193" t="s">
        <v>720</v>
      </c>
      <c r="E48" s="190" t="s">
        <v>721</v>
      </c>
      <c r="F48" s="186">
        <v>30</v>
      </c>
      <c r="G48" s="186">
        <v>3</v>
      </c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>
        <v>4</v>
      </c>
      <c r="S48" s="161">
        <f>R48*16</f>
        <v>64</v>
      </c>
      <c r="T48" s="159">
        <f t="shared" si="89"/>
        <v>4</v>
      </c>
      <c r="U48" s="160">
        <f t="shared" si="90"/>
        <v>64</v>
      </c>
    </row>
    <row r="49" spans="2:21" ht="17.25" thickBot="1">
      <c r="B49" s="492"/>
      <c r="C49" s="495"/>
      <c r="D49" s="496" t="s">
        <v>16</v>
      </c>
      <c r="E49" s="496"/>
      <c r="F49" s="146"/>
      <c r="G49" s="146"/>
      <c r="H49" s="27"/>
      <c r="I49" s="27"/>
      <c r="J49" s="27"/>
      <c r="K49" s="27"/>
      <c r="L49" s="27">
        <f t="shared" ref="L49:U49" si="91">SUM(L45:L48)</f>
        <v>0</v>
      </c>
      <c r="M49" s="27">
        <f t="shared" si="91"/>
        <v>0</v>
      </c>
      <c r="N49" s="27">
        <f t="shared" si="91"/>
        <v>0</v>
      </c>
      <c r="O49" s="27">
        <f t="shared" si="91"/>
        <v>0</v>
      </c>
      <c r="P49" s="27">
        <f t="shared" si="91"/>
        <v>6</v>
      </c>
      <c r="Q49" s="27">
        <f t="shared" si="91"/>
        <v>96</v>
      </c>
      <c r="R49" s="27">
        <f t="shared" si="91"/>
        <v>8</v>
      </c>
      <c r="S49" s="27">
        <f t="shared" si="91"/>
        <v>128</v>
      </c>
      <c r="T49" s="164">
        <f t="shared" si="91"/>
        <v>14</v>
      </c>
      <c r="U49" s="164">
        <f t="shared" si="91"/>
        <v>224</v>
      </c>
    </row>
  </sheetData>
  <mergeCells count="54">
    <mergeCell ref="B25:B29"/>
    <mergeCell ref="C25:C29"/>
    <mergeCell ref="D29:E29"/>
    <mergeCell ref="B14:B16"/>
    <mergeCell ref="C14:C16"/>
    <mergeCell ref="D16:E16"/>
    <mergeCell ref="B20:B24"/>
    <mergeCell ref="C20:C24"/>
    <mergeCell ref="D24:E24"/>
    <mergeCell ref="B17:B19"/>
    <mergeCell ref="C17:C19"/>
    <mergeCell ref="D19:E19"/>
    <mergeCell ref="B45:B49"/>
    <mergeCell ref="C45:C49"/>
    <mergeCell ref="D49:E49"/>
    <mergeCell ref="C30:C34"/>
    <mergeCell ref="D34:E34"/>
    <mergeCell ref="B30:B34"/>
    <mergeCell ref="B35:B39"/>
    <mergeCell ref="C35:C39"/>
    <mergeCell ref="D39:E39"/>
    <mergeCell ref="B40:B44"/>
    <mergeCell ref="C40:C44"/>
    <mergeCell ref="D44:E44"/>
    <mergeCell ref="W7:AF7"/>
    <mergeCell ref="G6:G8"/>
    <mergeCell ref="H6:K6"/>
    <mergeCell ref="L6:O6"/>
    <mergeCell ref="U6:U8"/>
    <mergeCell ref="W6:AF6"/>
    <mergeCell ref="H7:I7"/>
    <mergeCell ref="J7:K7"/>
    <mergeCell ref="L7:M7"/>
    <mergeCell ref="N7:O7"/>
    <mergeCell ref="P7:Q7"/>
    <mergeCell ref="P6:S6"/>
    <mergeCell ref="T6:T8"/>
    <mergeCell ref="D13:E13"/>
    <mergeCell ref="B9:B13"/>
    <mergeCell ref="C9:C13"/>
    <mergeCell ref="F6:F8"/>
    <mergeCell ref="R7:S7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pane ySplit="1" topLeftCell="A81" activePane="bottomLeft" state="frozen"/>
      <selection pane="bottomLeft" activeCell="A107" sqref="A107"/>
    </sheetView>
  </sheetViews>
  <sheetFormatPr defaultRowHeight="16.5"/>
  <cols>
    <col min="1" max="1" width="16.5" style="1" bestFit="1" customWidth="1"/>
    <col min="2" max="5" width="9" style="1"/>
    <col min="6" max="6" width="11.375" style="1" bestFit="1" customWidth="1"/>
    <col min="9" max="9" width="17.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122</v>
      </c>
      <c r="F1" s="2" t="s">
        <v>20</v>
      </c>
      <c r="G1" s="5"/>
      <c r="H1" s="6" t="s">
        <v>73</v>
      </c>
      <c r="I1" s="6" t="s">
        <v>65</v>
      </c>
      <c r="J1" s="6" t="s">
        <v>91</v>
      </c>
      <c r="K1" s="6" t="s">
        <v>92</v>
      </c>
      <c r="L1" s="6" t="s">
        <v>117</v>
      </c>
    </row>
    <row r="2" spans="1:12">
      <c r="A2" s="3" t="s">
        <v>204</v>
      </c>
      <c r="B2" s="3" t="s">
        <v>17</v>
      </c>
      <c r="C2" s="3" t="s">
        <v>21</v>
      </c>
      <c r="D2" s="3" t="s">
        <v>33</v>
      </c>
      <c r="E2" s="3">
        <v>4</v>
      </c>
      <c r="F2" s="7" t="s">
        <v>341</v>
      </c>
      <c r="G2" s="5"/>
      <c r="H2" s="3" t="s">
        <v>74</v>
      </c>
      <c r="I2" s="3" t="s">
        <v>66</v>
      </c>
      <c r="J2" s="3" t="s">
        <v>168</v>
      </c>
      <c r="K2" s="3" t="s">
        <v>168</v>
      </c>
      <c r="L2" s="3" t="s">
        <v>123</v>
      </c>
    </row>
    <row r="3" spans="1:12">
      <c r="A3" s="3" t="s">
        <v>205</v>
      </c>
      <c r="B3" s="3" t="s">
        <v>17</v>
      </c>
      <c r="C3" s="3" t="s">
        <v>21</v>
      </c>
      <c r="D3" s="3" t="s">
        <v>12</v>
      </c>
      <c r="E3" s="3">
        <v>4</v>
      </c>
      <c r="F3" s="7" t="s">
        <v>341</v>
      </c>
      <c r="G3" s="5"/>
      <c r="H3" s="3" t="s">
        <v>75</v>
      </c>
      <c r="I3" s="3" t="s">
        <v>67</v>
      </c>
      <c r="J3" s="3" t="s">
        <v>169</v>
      </c>
      <c r="K3" s="3" t="s">
        <v>169</v>
      </c>
      <c r="L3" s="3" t="s">
        <v>118</v>
      </c>
    </row>
    <row r="4" spans="1:12">
      <c r="A4" s="3" t="s">
        <v>207</v>
      </c>
      <c r="B4" s="3" t="s">
        <v>17</v>
      </c>
      <c r="C4" s="3" t="s">
        <v>21</v>
      </c>
      <c r="D4" s="3" t="s">
        <v>34</v>
      </c>
      <c r="E4" s="3">
        <v>4</v>
      </c>
      <c r="F4" s="7" t="s">
        <v>343</v>
      </c>
      <c r="G4" s="5"/>
      <c r="H4" s="3" t="s">
        <v>76</v>
      </c>
      <c r="I4" s="3" t="s">
        <v>158</v>
      </c>
      <c r="J4" s="3" t="s">
        <v>93</v>
      </c>
      <c r="K4" s="3" t="s">
        <v>93</v>
      </c>
      <c r="L4" s="3" t="s">
        <v>119</v>
      </c>
    </row>
    <row r="5" spans="1:12">
      <c r="A5" s="3" t="s">
        <v>208</v>
      </c>
      <c r="B5" s="3" t="s">
        <v>17</v>
      </c>
      <c r="C5" s="3" t="s">
        <v>21</v>
      </c>
      <c r="D5" s="3" t="s">
        <v>34</v>
      </c>
      <c r="E5" s="3">
        <v>4</v>
      </c>
      <c r="F5" s="7" t="s">
        <v>343</v>
      </c>
      <c r="G5" s="5"/>
      <c r="H5" s="3" t="s">
        <v>77</v>
      </c>
      <c r="I5" s="3" t="s">
        <v>159</v>
      </c>
      <c r="J5" s="3" t="s">
        <v>170</v>
      </c>
      <c r="K5" s="3" t="s">
        <v>170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34</v>
      </c>
      <c r="E6" s="3">
        <v>4</v>
      </c>
      <c r="F6" s="7" t="s">
        <v>343</v>
      </c>
      <c r="G6" s="5"/>
      <c r="H6" s="3" t="s">
        <v>78</v>
      </c>
      <c r="I6" s="3" t="s">
        <v>160</v>
      </c>
      <c r="J6" s="3" t="s">
        <v>171</v>
      </c>
      <c r="K6" s="3" t="s">
        <v>171</v>
      </c>
      <c r="L6" s="8"/>
    </row>
    <row r="7" spans="1:12">
      <c r="A7" s="3" t="s">
        <v>209</v>
      </c>
      <c r="B7" s="3" t="s">
        <v>17</v>
      </c>
      <c r="C7" s="3" t="s">
        <v>21</v>
      </c>
      <c r="D7" s="3" t="s">
        <v>35</v>
      </c>
      <c r="E7" s="3">
        <v>4</v>
      </c>
      <c r="F7" s="7" t="s">
        <v>343</v>
      </c>
      <c r="G7" s="5"/>
      <c r="H7" s="3" t="s">
        <v>79</v>
      </c>
      <c r="I7" s="3" t="s">
        <v>166</v>
      </c>
      <c r="J7" s="3" t="s">
        <v>94</v>
      </c>
      <c r="K7" s="3" t="s">
        <v>94</v>
      </c>
      <c r="L7" s="5"/>
    </row>
    <row r="8" spans="1:12">
      <c r="A8" s="3" t="s">
        <v>210</v>
      </c>
      <c r="B8" s="3" t="s">
        <v>17</v>
      </c>
      <c r="C8" s="3" t="s">
        <v>21</v>
      </c>
      <c r="D8" s="3" t="s">
        <v>35</v>
      </c>
      <c r="E8" s="3">
        <v>4</v>
      </c>
      <c r="F8" s="7" t="s">
        <v>343</v>
      </c>
      <c r="G8" s="5"/>
      <c r="H8" s="3" t="s">
        <v>80</v>
      </c>
      <c r="I8" s="3" t="s">
        <v>161</v>
      </c>
      <c r="J8" s="3" t="s">
        <v>172</v>
      </c>
      <c r="K8" s="3" t="s">
        <v>172</v>
      </c>
      <c r="L8" s="5"/>
    </row>
    <row r="9" spans="1:12">
      <c r="A9" s="3" t="s">
        <v>211</v>
      </c>
      <c r="B9" s="3" t="s">
        <v>17</v>
      </c>
      <c r="C9" s="3" t="s">
        <v>21</v>
      </c>
      <c r="D9" s="3" t="s">
        <v>35</v>
      </c>
      <c r="E9" s="3">
        <v>4</v>
      </c>
      <c r="F9" s="7" t="s">
        <v>343</v>
      </c>
      <c r="G9" s="5"/>
      <c r="H9" s="3" t="s">
        <v>81</v>
      </c>
      <c r="I9" s="3" t="s">
        <v>68</v>
      </c>
      <c r="J9" s="3" t="s">
        <v>173</v>
      </c>
      <c r="K9" s="3" t="s">
        <v>173</v>
      </c>
      <c r="L9" s="5"/>
    </row>
    <row r="10" spans="1:12">
      <c r="A10" s="3" t="s">
        <v>212</v>
      </c>
      <c r="B10" s="3" t="s">
        <v>17</v>
      </c>
      <c r="C10" s="3" t="s">
        <v>21</v>
      </c>
      <c r="D10" s="3" t="s">
        <v>215</v>
      </c>
      <c r="E10" s="3">
        <v>4</v>
      </c>
      <c r="F10" s="7" t="s">
        <v>343</v>
      </c>
      <c r="G10" s="5"/>
      <c r="H10" s="3" t="s">
        <v>82</v>
      </c>
      <c r="I10" s="3" t="s">
        <v>69</v>
      </c>
      <c r="J10" s="3" t="s">
        <v>112</v>
      </c>
      <c r="K10" s="3" t="s">
        <v>112</v>
      </c>
      <c r="L10" s="5"/>
    </row>
    <row r="11" spans="1:12">
      <c r="A11" s="3" t="s">
        <v>213</v>
      </c>
      <c r="B11" s="3" t="s">
        <v>17</v>
      </c>
      <c r="C11" s="3" t="s">
        <v>21</v>
      </c>
      <c r="D11" s="3" t="s">
        <v>215</v>
      </c>
      <c r="E11" s="3">
        <v>4</v>
      </c>
      <c r="F11" s="7" t="s">
        <v>343</v>
      </c>
      <c r="G11" s="5"/>
      <c r="H11" s="3" t="s">
        <v>83</v>
      </c>
      <c r="I11" s="3" t="s">
        <v>70</v>
      </c>
      <c r="J11" s="3" t="s">
        <v>95</v>
      </c>
      <c r="K11" s="3" t="s">
        <v>95</v>
      </c>
      <c r="L11" s="5"/>
    </row>
    <row r="12" spans="1:12">
      <c r="A12" s="3" t="s">
        <v>214</v>
      </c>
      <c r="B12" s="3" t="s">
        <v>17</v>
      </c>
      <c r="C12" s="3" t="s">
        <v>21</v>
      </c>
      <c r="D12" s="3" t="s">
        <v>215</v>
      </c>
      <c r="E12" s="3">
        <v>4</v>
      </c>
      <c r="F12" s="7" t="s">
        <v>343</v>
      </c>
      <c r="G12" s="5"/>
      <c r="H12" s="3" t="s">
        <v>84</v>
      </c>
      <c r="I12" s="3" t="s">
        <v>162</v>
      </c>
      <c r="J12" s="3" t="s">
        <v>96</v>
      </c>
      <c r="K12" s="3" t="s">
        <v>96</v>
      </c>
      <c r="L12" s="5"/>
    </row>
    <row r="13" spans="1:12">
      <c r="A13" s="3" t="s">
        <v>216</v>
      </c>
      <c r="B13" s="3" t="s">
        <v>17</v>
      </c>
      <c r="C13" s="3" t="s">
        <v>22</v>
      </c>
      <c r="D13" s="3" t="s">
        <v>33</v>
      </c>
      <c r="E13" s="3">
        <v>4</v>
      </c>
      <c r="F13" s="7" t="s">
        <v>341</v>
      </c>
      <c r="G13" s="5"/>
      <c r="H13" s="3" t="s">
        <v>85</v>
      </c>
      <c r="I13" s="3" t="s">
        <v>71</v>
      </c>
      <c r="J13" s="3" t="s">
        <v>174</v>
      </c>
      <c r="K13" s="3" t="s">
        <v>174</v>
      </c>
      <c r="L13" s="5"/>
    </row>
    <row r="14" spans="1:12">
      <c r="A14" s="3" t="s">
        <v>218</v>
      </c>
      <c r="B14" s="3" t="s">
        <v>17</v>
      </c>
      <c r="C14" s="3" t="s">
        <v>22</v>
      </c>
      <c r="D14" s="3" t="s">
        <v>12</v>
      </c>
      <c r="E14" s="3">
        <v>4</v>
      </c>
      <c r="F14" s="7" t="s">
        <v>341</v>
      </c>
      <c r="G14" s="5"/>
      <c r="H14" s="3" t="s">
        <v>86</v>
      </c>
      <c r="I14" s="3" t="s">
        <v>72</v>
      </c>
      <c r="J14" s="3" t="s">
        <v>97</v>
      </c>
      <c r="K14" s="3" t="s">
        <v>97</v>
      </c>
      <c r="L14" s="5"/>
    </row>
    <row r="15" spans="1:12">
      <c r="A15" s="3" t="s">
        <v>219</v>
      </c>
      <c r="B15" s="3" t="s">
        <v>17</v>
      </c>
      <c r="C15" s="3" t="s">
        <v>22</v>
      </c>
      <c r="D15" s="3" t="s">
        <v>34</v>
      </c>
      <c r="E15" s="3">
        <v>4</v>
      </c>
      <c r="F15" s="7" t="s">
        <v>343</v>
      </c>
      <c r="G15" s="5"/>
      <c r="H15" s="3" t="s">
        <v>87</v>
      </c>
      <c r="I15" s="3" t="s">
        <v>163</v>
      </c>
      <c r="J15" s="3" t="s">
        <v>175</v>
      </c>
      <c r="K15" s="3" t="s">
        <v>175</v>
      </c>
      <c r="L15" s="5"/>
    </row>
    <row r="16" spans="1:12">
      <c r="A16" s="3" t="s">
        <v>220</v>
      </c>
      <c r="B16" s="3" t="s">
        <v>17</v>
      </c>
      <c r="C16" s="3" t="s">
        <v>22</v>
      </c>
      <c r="D16" s="3" t="s">
        <v>34</v>
      </c>
      <c r="E16" s="3">
        <v>4</v>
      </c>
      <c r="F16" s="7" t="s">
        <v>343</v>
      </c>
      <c r="G16" s="5"/>
      <c r="H16" s="3" t="s">
        <v>88</v>
      </c>
      <c r="I16" s="3" t="s">
        <v>164</v>
      </c>
      <c r="J16" s="3" t="s">
        <v>176</v>
      </c>
      <c r="K16" s="3" t="s">
        <v>176</v>
      </c>
      <c r="L16" s="5"/>
    </row>
    <row r="17" spans="1:12">
      <c r="A17" s="3" t="s">
        <v>36</v>
      </c>
      <c r="B17" s="3" t="s">
        <v>17</v>
      </c>
      <c r="C17" s="3" t="s">
        <v>22</v>
      </c>
      <c r="D17" s="3" t="s">
        <v>34</v>
      </c>
      <c r="E17" s="3">
        <v>4</v>
      </c>
      <c r="F17" s="7" t="s">
        <v>343</v>
      </c>
      <c r="G17" s="5"/>
      <c r="H17" s="3" t="s">
        <v>89</v>
      </c>
      <c r="I17" s="3" t="s">
        <v>165</v>
      </c>
      <c r="J17" s="3" t="s">
        <v>177</v>
      </c>
      <c r="K17" s="3" t="s">
        <v>177</v>
      </c>
      <c r="L17" s="5"/>
    </row>
    <row r="18" spans="1:12">
      <c r="A18" s="3" t="s">
        <v>221</v>
      </c>
      <c r="B18" s="3" t="s">
        <v>17</v>
      </c>
      <c r="C18" s="3" t="s">
        <v>22</v>
      </c>
      <c r="D18" s="3" t="s">
        <v>35</v>
      </c>
      <c r="E18" s="3">
        <v>4</v>
      </c>
      <c r="F18" s="7" t="s">
        <v>343</v>
      </c>
      <c r="G18" s="5"/>
      <c r="H18" s="3" t="s">
        <v>90</v>
      </c>
      <c r="I18" s="3" t="s">
        <v>167</v>
      </c>
      <c r="J18" s="3" t="s">
        <v>178</v>
      </c>
      <c r="K18" s="3" t="s">
        <v>178</v>
      </c>
      <c r="L18" s="5"/>
    </row>
    <row r="19" spans="1:12">
      <c r="A19" s="3" t="s">
        <v>37</v>
      </c>
      <c r="B19" s="3" t="s">
        <v>17</v>
      </c>
      <c r="C19" s="3" t="s">
        <v>22</v>
      </c>
      <c r="D19" s="3" t="s">
        <v>35</v>
      </c>
      <c r="E19" s="3">
        <v>4</v>
      </c>
      <c r="F19" s="7" t="s">
        <v>343</v>
      </c>
      <c r="G19" s="5"/>
      <c r="J19" s="3" t="s">
        <v>111</v>
      </c>
      <c r="K19" s="3" t="s">
        <v>111</v>
      </c>
      <c r="L19" s="5"/>
    </row>
    <row r="20" spans="1:12">
      <c r="A20" s="3" t="s">
        <v>121</v>
      </c>
      <c r="B20" s="3" t="s">
        <v>17</v>
      </c>
      <c r="C20" s="3" t="s">
        <v>22</v>
      </c>
      <c r="D20" s="3" t="s">
        <v>35</v>
      </c>
      <c r="E20" s="3">
        <v>4</v>
      </c>
      <c r="F20" s="7" t="s">
        <v>343</v>
      </c>
      <c r="G20" s="5"/>
      <c r="J20" s="3" t="s">
        <v>179</v>
      </c>
      <c r="K20" s="3" t="s">
        <v>179</v>
      </c>
      <c r="L20" s="5"/>
    </row>
    <row r="21" spans="1:12">
      <c r="A21" s="3" t="s">
        <v>222</v>
      </c>
      <c r="B21" s="3" t="s">
        <v>17</v>
      </c>
      <c r="C21" s="3" t="s">
        <v>22</v>
      </c>
      <c r="D21" s="3" t="s">
        <v>35</v>
      </c>
      <c r="E21" s="3">
        <v>4</v>
      </c>
      <c r="F21" s="7" t="s">
        <v>343</v>
      </c>
      <c r="G21" s="5"/>
      <c r="J21" s="3" t="s">
        <v>98</v>
      </c>
      <c r="K21" s="3" t="s">
        <v>98</v>
      </c>
      <c r="L21" s="5"/>
    </row>
    <row r="22" spans="1:12">
      <c r="A22" s="3" t="s">
        <v>224</v>
      </c>
      <c r="B22" s="3" t="s">
        <v>17</v>
      </c>
      <c r="C22" s="3" t="s">
        <v>5</v>
      </c>
      <c r="D22" s="3" t="s">
        <v>225</v>
      </c>
      <c r="E22" s="3">
        <v>4</v>
      </c>
      <c r="F22" s="7" t="s">
        <v>343</v>
      </c>
      <c r="G22" s="5"/>
      <c r="H22" s="3"/>
      <c r="I22" s="3"/>
      <c r="J22" s="3" t="s">
        <v>180</v>
      </c>
      <c r="K22" s="3" t="s">
        <v>180</v>
      </c>
      <c r="L22" s="5"/>
    </row>
    <row r="23" spans="1:12">
      <c r="A23" s="3" t="s">
        <v>226</v>
      </c>
      <c r="B23" s="3" t="s">
        <v>17</v>
      </c>
      <c r="C23" s="3" t="s">
        <v>5</v>
      </c>
      <c r="D23" s="3" t="s">
        <v>215</v>
      </c>
      <c r="E23" s="3">
        <v>4</v>
      </c>
      <c r="F23" s="7" t="s">
        <v>343</v>
      </c>
      <c r="G23" s="5"/>
      <c r="H23" s="3"/>
      <c r="I23" s="3"/>
      <c r="J23" s="3" t="s">
        <v>181</v>
      </c>
      <c r="K23" s="3" t="s">
        <v>181</v>
      </c>
      <c r="L23" s="5"/>
    </row>
    <row r="24" spans="1:12">
      <c r="A24" s="3" t="s">
        <v>227</v>
      </c>
      <c r="B24" s="3" t="s">
        <v>17</v>
      </c>
      <c r="C24" s="3" t="s">
        <v>5</v>
      </c>
      <c r="D24" s="3" t="s">
        <v>215</v>
      </c>
      <c r="E24" s="3">
        <v>4</v>
      </c>
      <c r="F24" s="7" t="s">
        <v>343</v>
      </c>
      <c r="G24" s="5"/>
      <c r="H24" s="3"/>
      <c r="I24" s="3"/>
      <c r="J24" s="3" t="s">
        <v>182</v>
      </c>
      <c r="K24" s="3" t="s">
        <v>182</v>
      </c>
      <c r="L24" s="5"/>
    </row>
    <row r="25" spans="1:12">
      <c r="A25" s="3" t="s">
        <v>228</v>
      </c>
      <c r="B25" s="3" t="s">
        <v>17</v>
      </c>
      <c r="C25" s="3" t="s">
        <v>5</v>
      </c>
      <c r="D25" s="3" t="s">
        <v>215</v>
      </c>
      <c r="E25" s="3">
        <v>4</v>
      </c>
      <c r="F25" s="7" t="s">
        <v>343</v>
      </c>
      <c r="G25" s="5"/>
      <c r="H25" s="3"/>
      <c r="I25" s="3"/>
      <c r="J25" s="3" t="s">
        <v>183</v>
      </c>
      <c r="K25" s="3" t="s">
        <v>183</v>
      </c>
      <c r="L25" s="5"/>
    </row>
    <row r="26" spans="1:12">
      <c r="A26" s="3" t="s">
        <v>223</v>
      </c>
      <c r="B26" s="3" t="s">
        <v>17</v>
      </c>
      <c r="C26" s="3" t="s">
        <v>23</v>
      </c>
      <c r="D26" s="3" t="s">
        <v>33</v>
      </c>
      <c r="E26" s="3">
        <v>4</v>
      </c>
      <c r="F26" s="7" t="s">
        <v>341</v>
      </c>
      <c r="G26" s="5"/>
      <c r="H26" s="5"/>
      <c r="I26" s="3"/>
      <c r="J26" s="3" t="s">
        <v>99</v>
      </c>
      <c r="K26" s="3" t="s">
        <v>99</v>
      </c>
      <c r="L26" s="5"/>
    </row>
    <row r="27" spans="1:12">
      <c r="A27" s="3" t="s">
        <v>229</v>
      </c>
      <c r="B27" s="3" t="s">
        <v>17</v>
      </c>
      <c r="C27" s="3" t="s">
        <v>23</v>
      </c>
      <c r="D27" s="3" t="s">
        <v>34</v>
      </c>
      <c r="E27" s="3">
        <v>4</v>
      </c>
      <c r="F27" s="7" t="s">
        <v>343</v>
      </c>
      <c r="G27" s="5"/>
      <c r="H27" s="5"/>
      <c r="I27" s="5"/>
      <c r="J27" s="3" t="s">
        <v>184</v>
      </c>
      <c r="K27" s="3" t="s">
        <v>184</v>
      </c>
      <c r="L27" s="5"/>
    </row>
    <row r="28" spans="1:12">
      <c r="A28" s="3" t="s">
        <v>38</v>
      </c>
      <c r="B28" s="3" t="s">
        <v>17</v>
      </c>
      <c r="C28" s="3" t="s">
        <v>23</v>
      </c>
      <c r="D28" s="3" t="s">
        <v>34</v>
      </c>
      <c r="E28" s="3">
        <v>4</v>
      </c>
      <c r="F28" s="7" t="s">
        <v>343</v>
      </c>
      <c r="G28" s="5"/>
      <c r="H28" s="5"/>
      <c r="I28" s="5"/>
      <c r="J28" s="3" t="s">
        <v>100</v>
      </c>
      <c r="K28" s="3" t="s">
        <v>100</v>
      </c>
      <c r="L28" s="5"/>
    </row>
    <row r="29" spans="1:12">
      <c r="A29" s="3" t="s">
        <v>39</v>
      </c>
      <c r="B29" s="3" t="s">
        <v>17</v>
      </c>
      <c r="C29" s="3" t="s">
        <v>23</v>
      </c>
      <c r="D29" s="3" t="s">
        <v>34</v>
      </c>
      <c r="E29" s="3">
        <v>4</v>
      </c>
      <c r="F29" s="7" t="s">
        <v>343</v>
      </c>
      <c r="G29" s="5"/>
      <c r="H29" s="5"/>
      <c r="I29" s="5"/>
      <c r="J29" s="3" t="s">
        <v>101</v>
      </c>
      <c r="K29" s="3" t="s">
        <v>101</v>
      </c>
      <c r="L29" s="5"/>
    </row>
    <row r="30" spans="1:12">
      <c r="A30" s="3" t="s">
        <v>40</v>
      </c>
      <c r="B30" s="3" t="s">
        <v>17</v>
      </c>
      <c r="C30" s="3" t="s">
        <v>23</v>
      </c>
      <c r="D30" s="3" t="s">
        <v>34</v>
      </c>
      <c r="E30" s="3">
        <v>4</v>
      </c>
      <c r="F30" s="7" t="s">
        <v>343</v>
      </c>
      <c r="G30" s="5"/>
      <c r="H30" s="5"/>
      <c r="I30" s="5"/>
      <c r="J30" s="3" t="s">
        <v>102</v>
      </c>
      <c r="K30" s="3" t="s">
        <v>102</v>
      </c>
      <c r="L30" s="5"/>
    </row>
    <row r="31" spans="1:12">
      <c r="A31" s="3" t="s">
        <v>41</v>
      </c>
      <c r="B31" s="3" t="s">
        <v>17</v>
      </c>
      <c r="C31" s="3" t="s">
        <v>23</v>
      </c>
      <c r="D31" s="3" t="s">
        <v>35</v>
      </c>
      <c r="E31" s="3">
        <v>4</v>
      </c>
      <c r="F31" s="7" t="s">
        <v>343</v>
      </c>
      <c r="G31" s="5"/>
      <c r="H31" s="5"/>
      <c r="I31" s="5"/>
      <c r="J31" s="3" t="s">
        <v>103</v>
      </c>
      <c r="K31" s="3" t="s">
        <v>103</v>
      </c>
      <c r="L31" s="5"/>
    </row>
    <row r="32" spans="1:12">
      <c r="A32" s="3" t="s">
        <v>230</v>
      </c>
      <c r="B32" s="3" t="s">
        <v>17</v>
      </c>
      <c r="C32" s="3" t="s">
        <v>23</v>
      </c>
      <c r="D32" s="3" t="s">
        <v>35</v>
      </c>
      <c r="E32" s="3">
        <v>4</v>
      </c>
      <c r="F32" s="7" t="s">
        <v>343</v>
      </c>
      <c r="G32" s="5"/>
      <c r="H32" s="5"/>
      <c r="I32" s="5"/>
      <c r="J32" s="3" t="s">
        <v>104</v>
      </c>
      <c r="K32" s="3" t="s">
        <v>104</v>
      </c>
      <c r="L32" s="5"/>
    </row>
    <row r="33" spans="1:12">
      <c r="A33" s="3" t="s">
        <v>231</v>
      </c>
      <c r="B33" s="3" t="s">
        <v>17</v>
      </c>
      <c r="C33" s="3" t="s">
        <v>23</v>
      </c>
      <c r="D33" s="3" t="s">
        <v>35</v>
      </c>
      <c r="E33" s="3">
        <v>4</v>
      </c>
      <c r="F33" s="7" t="s">
        <v>343</v>
      </c>
      <c r="G33" s="5"/>
      <c r="H33" s="5"/>
      <c r="I33" s="5"/>
      <c r="J33" s="3" t="s">
        <v>105</v>
      </c>
      <c r="K33" s="3" t="s">
        <v>105</v>
      </c>
      <c r="L33" s="5"/>
    </row>
    <row r="34" spans="1:12">
      <c r="A34" s="3" t="s">
        <v>232</v>
      </c>
      <c r="B34" s="3" t="s">
        <v>17</v>
      </c>
      <c r="C34" s="3" t="s">
        <v>23</v>
      </c>
      <c r="D34" s="3" t="s">
        <v>35</v>
      </c>
      <c r="E34" s="3">
        <v>4</v>
      </c>
      <c r="F34" s="7" t="s">
        <v>343</v>
      </c>
      <c r="G34" s="5"/>
      <c r="H34" s="5"/>
      <c r="I34" s="5"/>
      <c r="J34" s="3" t="s">
        <v>185</v>
      </c>
      <c r="K34" s="3" t="s">
        <v>185</v>
      </c>
      <c r="L34" s="5"/>
    </row>
    <row r="35" spans="1:12">
      <c r="A35" s="3" t="s">
        <v>233</v>
      </c>
      <c r="B35" s="3" t="s">
        <v>17</v>
      </c>
      <c r="C35" s="3" t="s">
        <v>6</v>
      </c>
      <c r="D35" s="3" t="s">
        <v>225</v>
      </c>
      <c r="E35" s="3">
        <v>4</v>
      </c>
      <c r="F35" s="7" t="s">
        <v>343</v>
      </c>
      <c r="G35" s="5"/>
      <c r="H35" s="5"/>
      <c r="I35" s="5"/>
      <c r="J35" s="3" t="s">
        <v>186</v>
      </c>
      <c r="K35" s="3" t="s">
        <v>186</v>
      </c>
      <c r="L35" s="5"/>
    </row>
    <row r="36" spans="1:12">
      <c r="A36" s="3" t="s">
        <v>234</v>
      </c>
      <c r="B36" s="3" t="s">
        <v>17</v>
      </c>
      <c r="C36" s="3" t="s">
        <v>6</v>
      </c>
      <c r="D36" s="3" t="s">
        <v>215</v>
      </c>
      <c r="E36" s="3">
        <v>4</v>
      </c>
      <c r="F36" s="7" t="s">
        <v>343</v>
      </c>
      <c r="G36" s="5"/>
      <c r="H36" s="5"/>
      <c r="I36" s="5"/>
      <c r="J36" s="3" t="s">
        <v>106</v>
      </c>
      <c r="K36" s="3" t="s">
        <v>106</v>
      </c>
      <c r="L36" s="5"/>
    </row>
    <row r="37" spans="1:12">
      <c r="A37" s="3" t="s">
        <v>235</v>
      </c>
      <c r="B37" s="3" t="s">
        <v>17</v>
      </c>
      <c r="C37" s="3" t="s">
        <v>6</v>
      </c>
      <c r="D37" s="3" t="s">
        <v>215</v>
      </c>
      <c r="E37" s="3">
        <v>4</v>
      </c>
      <c r="F37" s="7" t="s">
        <v>343</v>
      </c>
      <c r="G37" s="5"/>
      <c r="H37" s="5"/>
      <c r="I37" s="5"/>
      <c r="J37" s="3" t="s">
        <v>107</v>
      </c>
      <c r="K37" s="3" t="s">
        <v>107</v>
      </c>
      <c r="L37" s="5"/>
    </row>
    <row r="38" spans="1:12">
      <c r="A38" s="3" t="s">
        <v>236</v>
      </c>
      <c r="B38" s="3" t="s">
        <v>17</v>
      </c>
      <c r="C38" s="3" t="s">
        <v>6</v>
      </c>
      <c r="D38" s="3" t="s">
        <v>215</v>
      </c>
      <c r="E38" s="3">
        <v>4</v>
      </c>
      <c r="F38" s="7" t="s">
        <v>343</v>
      </c>
      <c r="G38" s="5"/>
      <c r="H38" s="5"/>
      <c r="I38" s="5"/>
      <c r="J38" s="3" t="s">
        <v>108</v>
      </c>
      <c r="K38" s="3" t="s">
        <v>108</v>
      </c>
      <c r="L38" s="5"/>
    </row>
    <row r="39" spans="1:12">
      <c r="A39" s="3" t="s">
        <v>237</v>
      </c>
      <c r="B39" s="3" t="s">
        <v>17</v>
      </c>
      <c r="C39" s="3" t="s">
        <v>24</v>
      </c>
      <c r="D39" s="3" t="s">
        <v>33</v>
      </c>
      <c r="E39" s="3">
        <v>3</v>
      </c>
      <c r="F39" s="7" t="s">
        <v>366</v>
      </c>
      <c r="G39" s="5"/>
      <c r="H39" s="5"/>
      <c r="I39" s="5"/>
      <c r="J39" s="3" t="s">
        <v>109</v>
      </c>
      <c r="K39" s="3" t="s">
        <v>109</v>
      </c>
      <c r="L39" s="5"/>
    </row>
    <row r="40" spans="1:12">
      <c r="A40" s="3" t="s">
        <v>238</v>
      </c>
      <c r="B40" s="3" t="s">
        <v>17</v>
      </c>
      <c r="C40" s="3" t="s">
        <v>7</v>
      </c>
      <c r="D40" s="3" t="s">
        <v>239</v>
      </c>
      <c r="E40" s="3">
        <v>3</v>
      </c>
      <c r="F40" s="7" t="s">
        <v>366</v>
      </c>
      <c r="G40" s="5"/>
      <c r="H40" s="5"/>
      <c r="I40" s="5"/>
      <c r="J40" s="3" t="s">
        <v>188</v>
      </c>
      <c r="K40" s="3" t="s">
        <v>188</v>
      </c>
      <c r="L40" s="5"/>
    </row>
    <row r="41" spans="1:12" ht="17.25" customHeight="1">
      <c r="A41" s="3" t="s">
        <v>240</v>
      </c>
      <c r="B41" s="3" t="s">
        <v>17</v>
      </c>
      <c r="C41" s="3" t="s">
        <v>25</v>
      </c>
      <c r="D41" s="3" t="s">
        <v>33</v>
      </c>
      <c r="E41" s="3">
        <v>4</v>
      </c>
      <c r="F41" s="7" t="s">
        <v>341</v>
      </c>
      <c r="G41" s="5"/>
      <c r="H41" s="5"/>
      <c r="I41" s="5"/>
      <c r="J41" s="3" t="s">
        <v>110</v>
      </c>
      <c r="K41" s="3" t="s">
        <v>110</v>
      </c>
      <c r="L41" s="5"/>
    </row>
    <row r="42" spans="1:12" ht="17.25" customHeight="1">
      <c r="A42" s="3" t="s">
        <v>241</v>
      </c>
      <c r="B42" s="3" t="s">
        <v>17</v>
      </c>
      <c r="C42" s="3" t="s">
        <v>25</v>
      </c>
      <c r="D42" s="3" t="s">
        <v>12</v>
      </c>
      <c r="E42" s="3">
        <v>4</v>
      </c>
      <c r="F42" s="7" t="s">
        <v>341</v>
      </c>
      <c r="G42" s="5"/>
      <c r="H42" s="5"/>
      <c r="I42" s="5"/>
      <c r="J42" s="3" t="s">
        <v>189</v>
      </c>
      <c r="K42" s="3" t="s">
        <v>189</v>
      </c>
      <c r="L42" s="5"/>
    </row>
    <row r="43" spans="1:12" ht="17.25" customHeight="1">
      <c r="A43" s="3" t="s">
        <v>253</v>
      </c>
      <c r="B43" s="3" t="s">
        <v>17</v>
      </c>
      <c r="C43" s="3" t="s">
        <v>25</v>
      </c>
      <c r="D43" s="3" t="s">
        <v>257</v>
      </c>
      <c r="E43" s="3">
        <v>4</v>
      </c>
      <c r="F43" s="7" t="s">
        <v>343</v>
      </c>
      <c r="G43" s="5"/>
      <c r="H43" s="5"/>
      <c r="I43" s="5"/>
      <c r="J43" s="3" t="s">
        <v>190</v>
      </c>
      <c r="K43" s="3" t="s">
        <v>190</v>
      </c>
      <c r="L43" s="5"/>
    </row>
    <row r="44" spans="1:12" ht="17.25" customHeight="1">
      <c r="A44" s="3" t="s">
        <v>254</v>
      </c>
      <c r="B44" s="3" t="s">
        <v>17</v>
      </c>
      <c r="C44" s="3" t="s">
        <v>25</v>
      </c>
      <c r="D44" s="3" t="s">
        <v>257</v>
      </c>
      <c r="E44" s="3">
        <v>4</v>
      </c>
      <c r="F44" s="7" t="s">
        <v>343</v>
      </c>
      <c r="G44" s="5"/>
      <c r="H44" s="5"/>
      <c r="I44" s="5"/>
      <c r="J44" s="3" t="s">
        <v>113</v>
      </c>
      <c r="K44" s="3" t="s">
        <v>113</v>
      </c>
      <c r="L44" s="5"/>
    </row>
    <row r="45" spans="1:12" ht="17.25" customHeight="1">
      <c r="A45" s="3" t="s">
        <v>255</v>
      </c>
      <c r="B45" s="3" t="s">
        <v>17</v>
      </c>
      <c r="C45" s="3" t="s">
        <v>25</v>
      </c>
      <c r="D45" s="3" t="s">
        <v>257</v>
      </c>
      <c r="E45" s="3">
        <v>4</v>
      </c>
      <c r="F45" s="7" t="s">
        <v>343</v>
      </c>
      <c r="G45" s="5"/>
      <c r="H45" s="5"/>
      <c r="I45" s="5"/>
      <c r="J45" s="3" t="s">
        <v>191</v>
      </c>
      <c r="K45" s="3" t="s">
        <v>191</v>
      </c>
      <c r="L45" s="5"/>
    </row>
    <row r="46" spans="1:12" ht="17.25" customHeight="1">
      <c r="A46" s="3" t="s">
        <v>256</v>
      </c>
      <c r="B46" s="3" t="s">
        <v>17</v>
      </c>
      <c r="C46" s="3" t="s">
        <v>25</v>
      </c>
      <c r="D46" s="3" t="s">
        <v>34</v>
      </c>
      <c r="E46" s="3">
        <v>4</v>
      </c>
      <c r="F46" s="7" t="s">
        <v>343</v>
      </c>
      <c r="G46" s="5"/>
      <c r="H46" s="5"/>
      <c r="I46" s="5"/>
      <c r="J46" s="3" t="s">
        <v>114</v>
      </c>
      <c r="K46" s="3" t="s">
        <v>114</v>
      </c>
      <c r="L46" s="5"/>
    </row>
    <row r="47" spans="1:12">
      <c r="A47" s="3" t="s">
        <v>242</v>
      </c>
      <c r="B47" s="3" t="s">
        <v>17</v>
      </c>
      <c r="C47" s="3" t="s">
        <v>25</v>
      </c>
      <c r="D47" s="3" t="s">
        <v>35</v>
      </c>
      <c r="E47" s="3">
        <v>4</v>
      </c>
      <c r="F47" s="7" t="s">
        <v>343</v>
      </c>
      <c r="G47" s="5"/>
      <c r="H47" s="5"/>
      <c r="I47" s="5"/>
      <c r="J47" s="3" t="s">
        <v>115</v>
      </c>
      <c r="K47" s="3" t="s">
        <v>115</v>
      </c>
      <c r="L47" s="5"/>
    </row>
    <row r="48" spans="1:12">
      <c r="A48" s="3" t="s">
        <v>243</v>
      </c>
      <c r="B48" s="3" t="s">
        <v>17</v>
      </c>
      <c r="C48" s="3" t="s">
        <v>25</v>
      </c>
      <c r="D48" s="3" t="s">
        <v>35</v>
      </c>
      <c r="E48" s="3">
        <v>4</v>
      </c>
      <c r="F48" s="7" t="s">
        <v>343</v>
      </c>
      <c r="G48" s="5"/>
      <c r="H48" s="5"/>
      <c r="I48" s="5"/>
      <c r="J48" s="3" t="s">
        <v>116</v>
      </c>
      <c r="K48" s="3" t="s">
        <v>116</v>
      </c>
      <c r="L48" s="5"/>
    </row>
    <row r="49" spans="1:12">
      <c r="A49" s="3" t="s">
        <v>244</v>
      </c>
      <c r="B49" s="3" t="s">
        <v>17</v>
      </c>
      <c r="C49" s="3" t="s">
        <v>25</v>
      </c>
      <c r="D49" s="3" t="s">
        <v>35</v>
      </c>
      <c r="E49" s="3">
        <v>4</v>
      </c>
      <c r="F49" s="7" t="s">
        <v>343</v>
      </c>
      <c r="G49" s="5"/>
      <c r="H49" s="5"/>
      <c r="I49" s="5"/>
      <c r="J49" s="5" t="s">
        <v>192</v>
      </c>
      <c r="K49" s="5" t="s">
        <v>192</v>
      </c>
      <c r="L49" s="5"/>
    </row>
    <row r="50" spans="1:12">
      <c r="A50" s="3" t="s">
        <v>245</v>
      </c>
      <c r="B50" s="3" t="s">
        <v>17</v>
      </c>
      <c r="C50" s="3" t="s">
        <v>25</v>
      </c>
      <c r="D50" s="3" t="s">
        <v>35</v>
      </c>
      <c r="E50" s="3">
        <v>4</v>
      </c>
      <c r="F50" s="7" t="s">
        <v>343</v>
      </c>
      <c r="G50" s="5"/>
      <c r="H50" s="5"/>
      <c r="I50" s="5"/>
      <c r="J50" s="5" t="s">
        <v>193</v>
      </c>
      <c r="K50" s="5" t="s">
        <v>193</v>
      </c>
      <c r="L50" s="5"/>
    </row>
    <row r="51" spans="1:12">
      <c r="A51" s="3" t="s">
        <v>42</v>
      </c>
      <c r="B51" s="3" t="s">
        <v>17</v>
      </c>
      <c r="C51" s="3" t="s">
        <v>25</v>
      </c>
      <c r="D51" s="3" t="s">
        <v>35</v>
      </c>
      <c r="E51" s="3">
        <v>4</v>
      </c>
      <c r="F51" s="7" t="s">
        <v>343</v>
      </c>
      <c r="G51" s="5"/>
      <c r="H51" s="5"/>
      <c r="I51" s="5"/>
      <c r="J51" s="5" t="s">
        <v>194</v>
      </c>
      <c r="K51" s="5" t="s">
        <v>194</v>
      </c>
      <c r="L51" s="5"/>
    </row>
    <row r="52" spans="1:12">
      <c r="A52" s="3" t="s">
        <v>246</v>
      </c>
      <c r="B52" s="3" t="s">
        <v>17</v>
      </c>
      <c r="C52" s="3" t="s">
        <v>25</v>
      </c>
      <c r="D52" s="3" t="s">
        <v>35</v>
      </c>
      <c r="E52" s="3">
        <v>4</v>
      </c>
      <c r="F52" s="7" t="s">
        <v>343</v>
      </c>
      <c r="G52" s="5"/>
      <c r="H52" s="5"/>
      <c r="I52" s="5"/>
      <c r="J52" s="5" t="s">
        <v>195</v>
      </c>
      <c r="K52" s="5" t="s">
        <v>195</v>
      </c>
      <c r="L52" s="5"/>
    </row>
    <row r="53" spans="1:12">
      <c r="A53" s="3" t="s">
        <v>43</v>
      </c>
      <c r="B53" s="3" t="s">
        <v>17</v>
      </c>
      <c r="C53" s="3" t="s">
        <v>25</v>
      </c>
      <c r="D53" s="3" t="s">
        <v>35</v>
      </c>
      <c r="E53" s="3">
        <v>4</v>
      </c>
      <c r="F53" s="7" t="s">
        <v>343</v>
      </c>
      <c r="G53" s="5"/>
      <c r="H53" s="5"/>
      <c r="I53" s="5"/>
      <c r="J53" s="5" t="s">
        <v>196</v>
      </c>
      <c r="K53" s="5" t="s">
        <v>196</v>
      </c>
      <c r="L53" s="5"/>
    </row>
    <row r="54" spans="1:12">
      <c r="A54" s="3" t="s">
        <v>247</v>
      </c>
      <c r="B54" s="3" t="s">
        <v>17</v>
      </c>
      <c r="C54" s="3" t="s">
        <v>25</v>
      </c>
      <c r="D54" s="3" t="s">
        <v>35</v>
      </c>
      <c r="E54" s="3">
        <v>4</v>
      </c>
      <c r="F54" s="7" t="s">
        <v>343</v>
      </c>
      <c r="G54" s="5"/>
      <c r="H54" s="5"/>
      <c r="I54" s="5"/>
      <c r="J54" s="5" t="s">
        <v>197</v>
      </c>
      <c r="K54" s="5" t="s">
        <v>197</v>
      </c>
      <c r="L54" s="5"/>
    </row>
    <row r="55" spans="1:12">
      <c r="A55" s="3" t="s">
        <v>248</v>
      </c>
      <c r="B55" s="3" t="s">
        <v>17</v>
      </c>
      <c r="C55" s="3" t="s">
        <v>25</v>
      </c>
      <c r="D55" s="3" t="s">
        <v>35</v>
      </c>
      <c r="E55" s="3">
        <v>4</v>
      </c>
      <c r="F55" s="7" t="s">
        <v>343</v>
      </c>
      <c r="G55" s="5"/>
      <c r="H55" s="5"/>
      <c r="I55" s="5"/>
      <c r="J55" s="5" t="s">
        <v>199</v>
      </c>
      <c r="K55" s="5" t="s">
        <v>199</v>
      </c>
      <c r="L55" s="5"/>
    </row>
    <row r="56" spans="1:12">
      <c r="A56" s="3" t="s">
        <v>44</v>
      </c>
      <c r="B56" s="3" t="s">
        <v>17</v>
      </c>
      <c r="C56" s="3" t="s">
        <v>25</v>
      </c>
      <c r="D56" s="3" t="s">
        <v>215</v>
      </c>
      <c r="E56" s="3">
        <v>4</v>
      </c>
      <c r="F56" s="7" t="s">
        <v>343</v>
      </c>
      <c r="G56" s="5"/>
      <c r="H56" s="5"/>
      <c r="I56" s="5"/>
      <c r="J56" s="5" t="s">
        <v>198</v>
      </c>
      <c r="K56" s="5" t="s">
        <v>198</v>
      </c>
      <c r="L56" s="5"/>
    </row>
    <row r="57" spans="1:12">
      <c r="A57" s="3" t="s">
        <v>45</v>
      </c>
      <c r="B57" s="3" t="s">
        <v>17</v>
      </c>
      <c r="C57" s="3" t="s">
        <v>25</v>
      </c>
      <c r="D57" s="3" t="s">
        <v>215</v>
      </c>
      <c r="E57" s="3">
        <v>4</v>
      </c>
      <c r="F57" s="7" t="s">
        <v>343</v>
      </c>
      <c r="G57" s="5"/>
      <c r="H57" s="5"/>
      <c r="I57" s="5"/>
      <c r="J57" s="5" t="s">
        <v>200</v>
      </c>
      <c r="K57" s="5" t="s">
        <v>200</v>
      </c>
      <c r="L57" s="5"/>
    </row>
    <row r="58" spans="1:12">
      <c r="A58" s="3" t="s">
        <v>249</v>
      </c>
      <c r="B58" s="3" t="s">
        <v>17</v>
      </c>
      <c r="C58" s="3" t="s">
        <v>25</v>
      </c>
      <c r="D58" s="3" t="s">
        <v>215</v>
      </c>
      <c r="E58" s="3">
        <v>4</v>
      </c>
      <c r="F58" s="7" t="s">
        <v>343</v>
      </c>
      <c r="G58" s="5"/>
      <c r="H58" s="5"/>
      <c r="I58" s="5"/>
      <c r="J58" s="5" t="s">
        <v>201</v>
      </c>
      <c r="K58" s="5" t="s">
        <v>201</v>
      </c>
      <c r="L58" s="5"/>
    </row>
    <row r="59" spans="1:12">
      <c r="A59" s="3" t="s">
        <v>250</v>
      </c>
      <c r="B59" s="3" t="s">
        <v>17</v>
      </c>
      <c r="C59" s="3" t="s">
        <v>25</v>
      </c>
      <c r="D59" s="3" t="s">
        <v>215</v>
      </c>
      <c r="E59" s="3">
        <v>4</v>
      </c>
      <c r="F59" s="7" t="s">
        <v>343</v>
      </c>
      <c r="G59" s="5"/>
      <c r="H59" s="5"/>
      <c r="I59" s="5"/>
      <c r="J59" s="5" t="s">
        <v>202</v>
      </c>
      <c r="K59" s="5" t="s">
        <v>202</v>
      </c>
      <c r="L59" s="5"/>
    </row>
    <row r="60" spans="1:12">
      <c r="A60" s="3" t="s">
        <v>251</v>
      </c>
      <c r="B60" s="3" t="s">
        <v>17</v>
      </c>
      <c r="C60" s="3" t="s">
        <v>25</v>
      </c>
      <c r="D60" s="3" t="s">
        <v>215</v>
      </c>
      <c r="E60" s="3">
        <v>4</v>
      </c>
      <c r="F60" s="7" t="s">
        <v>343</v>
      </c>
      <c r="G60" s="5"/>
      <c r="H60" s="5"/>
      <c r="I60" s="5"/>
      <c r="J60" s="3"/>
      <c r="K60" s="3"/>
      <c r="L60" s="5"/>
    </row>
    <row r="61" spans="1:12">
      <c r="A61" s="3" t="s">
        <v>252</v>
      </c>
      <c r="B61" s="3" t="s">
        <v>17</v>
      </c>
      <c r="C61" s="3" t="s">
        <v>25</v>
      </c>
      <c r="D61" s="3" t="s">
        <v>215</v>
      </c>
      <c r="E61" s="3">
        <v>4</v>
      </c>
      <c r="F61" s="7" t="s">
        <v>343</v>
      </c>
      <c r="G61" s="5"/>
      <c r="H61" s="5"/>
      <c r="I61" s="5"/>
      <c r="J61" s="3"/>
      <c r="K61" s="3"/>
      <c r="L61" s="5"/>
    </row>
    <row r="62" spans="1:12">
      <c r="A62" s="3" t="s">
        <v>258</v>
      </c>
      <c r="B62" s="3" t="s">
        <v>17</v>
      </c>
      <c r="C62" s="3" t="s">
        <v>26</v>
      </c>
      <c r="D62" s="3" t="s">
        <v>33</v>
      </c>
      <c r="E62" s="3">
        <v>4</v>
      </c>
      <c r="F62" s="7" t="s">
        <v>341</v>
      </c>
      <c r="G62" s="5"/>
      <c r="H62" s="5"/>
      <c r="I62" s="5"/>
      <c r="L62" s="5"/>
    </row>
    <row r="63" spans="1:12">
      <c r="A63" s="3" t="s">
        <v>259</v>
      </c>
      <c r="B63" s="3" t="s">
        <v>17</v>
      </c>
      <c r="C63" s="3" t="s">
        <v>26</v>
      </c>
      <c r="D63" s="3" t="s">
        <v>239</v>
      </c>
      <c r="E63" s="3">
        <v>4</v>
      </c>
      <c r="F63" s="7" t="s">
        <v>341</v>
      </c>
      <c r="G63" s="5"/>
      <c r="H63" s="5"/>
      <c r="I63" s="5"/>
      <c r="J63" s="3"/>
      <c r="K63" s="3"/>
      <c r="L63" s="5"/>
    </row>
    <row r="64" spans="1:12">
      <c r="A64" s="3" t="s">
        <v>260</v>
      </c>
      <c r="B64" s="3" t="s">
        <v>17</v>
      </c>
      <c r="C64" s="3" t="s">
        <v>26</v>
      </c>
      <c r="D64" s="3" t="s">
        <v>33</v>
      </c>
      <c r="E64" s="3">
        <v>4</v>
      </c>
      <c r="F64" s="7" t="s">
        <v>341</v>
      </c>
      <c r="G64" s="5"/>
      <c r="H64" s="5"/>
      <c r="I64" s="5"/>
      <c r="L64" s="5"/>
    </row>
    <row r="65" spans="1:12">
      <c r="A65" s="3" t="s">
        <v>261</v>
      </c>
      <c r="B65" s="3" t="s">
        <v>17</v>
      </c>
      <c r="C65" s="3" t="s">
        <v>26</v>
      </c>
      <c r="D65" s="3" t="s">
        <v>12</v>
      </c>
      <c r="E65" s="3">
        <v>4</v>
      </c>
      <c r="F65" s="7" t="s">
        <v>341</v>
      </c>
      <c r="G65" s="5"/>
      <c r="H65" s="5"/>
      <c r="I65" s="5"/>
      <c r="J65" s="3"/>
      <c r="K65" s="3"/>
      <c r="L65" s="5"/>
    </row>
    <row r="66" spans="1:12">
      <c r="A66" s="3" t="s">
        <v>262</v>
      </c>
      <c r="B66" s="3" t="s">
        <v>17</v>
      </c>
      <c r="C66" s="3" t="s">
        <v>26</v>
      </c>
      <c r="D66" s="3" t="s">
        <v>34</v>
      </c>
      <c r="E66" s="3">
        <v>4</v>
      </c>
      <c r="F66" s="7" t="s">
        <v>343</v>
      </c>
      <c r="G66" s="5"/>
      <c r="H66" s="5"/>
      <c r="I66" s="5"/>
      <c r="J66" s="3"/>
      <c r="K66" s="3"/>
      <c r="L66" s="5"/>
    </row>
    <row r="67" spans="1:12">
      <c r="A67" s="3" t="s">
        <v>263</v>
      </c>
      <c r="B67" s="3" t="s">
        <v>17</v>
      </c>
      <c r="C67" s="3" t="s">
        <v>26</v>
      </c>
      <c r="D67" s="3" t="s">
        <v>34</v>
      </c>
      <c r="E67" s="3">
        <v>4</v>
      </c>
      <c r="F67" s="7" t="s">
        <v>343</v>
      </c>
      <c r="G67" s="5"/>
      <c r="H67" s="5"/>
      <c r="I67" s="5"/>
      <c r="J67" s="3"/>
      <c r="K67" s="3"/>
      <c r="L67" s="5"/>
    </row>
    <row r="68" spans="1:12">
      <c r="A68" s="3" t="s">
        <v>264</v>
      </c>
      <c r="B68" s="3" t="s">
        <v>17</v>
      </c>
      <c r="C68" s="3" t="s">
        <v>26</v>
      </c>
      <c r="D68" s="3" t="s">
        <v>34</v>
      </c>
      <c r="E68" s="3">
        <v>4</v>
      </c>
      <c r="F68" s="7" t="s">
        <v>343</v>
      </c>
      <c r="G68" s="5"/>
      <c r="H68" s="5"/>
      <c r="I68" s="5"/>
      <c r="J68" s="3"/>
      <c r="K68" s="3"/>
      <c r="L68" s="5"/>
    </row>
    <row r="69" spans="1:12">
      <c r="A69" s="3" t="s">
        <v>265</v>
      </c>
      <c r="B69" s="3" t="s">
        <v>17</v>
      </c>
      <c r="C69" s="3" t="s">
        <v>26</v>
      </c>
      <c r="D69" s="3" t="s">
        <v>34</v>
      </c>
      <c r="E69" s="3">
        <v>4</v>
      </c>
      <c r="F69" s="7" t="s">
        <v>343</v>
      </c>
      <c r="G69" s="5"/>
      <c r="H69" s="5"/>
      <c r="I69" s="5"/>
      <c r="L69" s="5"/>
    </row>
    <row r="70" spans="1:12">
      <c r="A70" s="3" t="s">
        <v>266</v>
      </c>
      <c r="B70" s="3" t="s">
        <v>17</v>
      </c>
      <c r="C70" s="3" t="s">
        <v>26</v>
      </c>
      <c r="D70" s="3" t="s">
        <v>35</v>
      </c>
      <c r="E70" s="3">
        <v>4</v>
      </c>
      <c r="F70" s="7" t="s">
        <v>343</v>
      </c>
      <c r="G70" s="5"/>
      <c r="H70" s="5"/>
      <c r="I70" s="5"/>
      <c r="L70" s="5"/>
    </row>
    <row r="71" spans="1:12">
      <c r="A71" s="3" t="s">
        <v>267</v>
      </c>
      <c r="B71" s="3" t="s">
        <v>17</v>
      </c>
      <c r="C71" s="3" t="s">
        <v>26</v>
      </c>
      <c r="D71" s="3" t="s">
        <v>35</v>
      </c>
      <c r="E71" s="3">
        <v>4</v>
      </c>
      <c r="F71" s="7" t="s">
        <v>343</v>
      </c>
      <c r="G71" s="5"/>
      <c r="H71" s="5"/>
      <c r="I71" s="5"/>
      <c r="L71" s="5"/>
    </row>
    <row r="72" spans="1:12">
      <c r="A72" s="3" t="s">
        <v>268</v>
      </c>
      <c r="B72" s="3" t="s">
        <v>17</v>
      </c>
      <c r="C72" s="3" t="s">
        <v>26</v>
      </c>
      <c r="D72" s="3" t="s">
        <v>35</v>
      </c>
      <c r="E72" s="3">
        <v>4</v>
      </c>
      <c r="F72" s="7" t="s">
        <v>343</v>
      </c>
      <c r="G72" s="5"/>
      <c r="H72" s="5"/>
      <c r="I72" s="5"/>
      <c r="L72" s="5"/>
    </row>
    <row r="73" spans="1:12">
      <c r="A73" s="3" t="s">
        <v>269</v>
      </c>
      <c r="B73" s="3" t="s">
        <v>17</v>
      </c>
      <c r="C73" s="3" t="s">
        <v>26</v>
      </c>
      <c r="D73" s="3" t="s">
        <v>35</v>
      </c>
      <c r="E73" s="3">
        <v>4</v>
      </c>
      <c r="F73" s="7" t="s">
        <v>343</v>
      </c>
      <c r="G73" s="5"/>
      <c r="H73" s="5"/>
      <c r="I73" s="5"/>
      <c r="L73" s="5"/>
    </row>
    <row r="74" spans="1:12">
      <c r="A74" s="3" t="s">
        <v>270</v>
      </c>
      <c r="B74" s="3" t="s">
        <v>17</v>
      </c>
      <c r="C74" s="3" t="s">
        <v>26</v>
      </c>
      <c r="D74" s="3" t="s">
        <v>35</v>
      </c>
      <c r="E74" s="3">
        <v>4</v>
      </c>
      <c r="F74" s="7" t="s">
        <v>343</v>
      </c>
      <c r="G74" s="5"/>
      <c r="H74" s="5"/>
      <c r="I74" s="5"/>
      <c r="L74" s="5"/>
    </row>
    <row r="75" spans="1:12">
      <c r="A75" s="3" t="s">
        <v>271</v>
      </c>
      <c r="B75" s="3" t="s">
        <v>17</v>
      </c>
      <c r="C75" s="3" t="s">
        <v>26</v>
      </c>
      <c r="D75" s="3" t="s">
        <v>35</v>
      </c>
      <c r="E75" s="3">
        <v>4</v>
      </c>
      <c r="F75" s="7" t="s">
        <v>343</v>
      </c>
      <c r="G75" s="5"/>
      <c r="H75" s="5"/>
      <c r="I75" s="5"/>
      <c r="L75" s="5"/>
    </row>
    <row r="76" spans="1:12">
      <c r="A76" s="3" t="s">
        <v>272</v>
      </c>
      <c r="B76" s="3" t="s">
        <v>17</v>
      </c>
      <c r="C76" s="3" t="s">
        <v>26</v>
      </c>
      <c r="D76" s="3" t="s">
        <v>35</v>
      </c>
      <c r="E76" s="3">
        <v>4</v>
      </c>
      <c r="F76" s="7" t="s">
        <v>343</v>
      </c>
      <c r="G76" s="5"/>
      <c r="H76" s="5"/>
      <c r="I76" s="5"/>
      <c r="L76" s="5"/>
    </row>
    <row r="77" spans="1:12">
      <c r="A77" s="3" t="s">
        <v>273</v>
      </c>
      <c r="B77" s="3" t="s">
        <v>17</v>
      </c>
      <c r="C77" s="3" t="s">
        <v>26</v>
      </c>
      <c r="D77" s="3" t="s">
        <v>35</v>
      </c>
      <c r="E77" s="3">
        <v>4</v>
      </c>
      <c r="F77" s="7" t="s">
        <v>343</v>
      </c>
      <c r="G77" s="5"/>
      <c r="H77" s="5"/>
      <c r="I77" s="5"/>
      <c r="L77" s="5"/>
    </row>
    <row r="78" spans="1:12">
      <c r="A78" s="3" t="s">
        <v>274</v>
      </c>
      <c r="B78" s="3" t="s">
        <v>17</v>
      </c>
      <c r="C78" s="3" t="s">
        <v>26</v>
      </c>
      <c r="D78" s="3" t="s">
        <v>277</v>
      </c>
      <c r="E78" s="3">
        <v>4</v>
      </c>
      <c r="F78" s="7" t="s">
        <v>343</v>
      </c>
      <c r="G78" s="5"/>
      <c r="H78" s="5"/>
      <c r="I78" s="5"/>
      <c r="L78" s="5"/>
    </row>
    <row r="79" spans="1:12">
      <c r="A79" s="3" t="s">
        <v>275</v>
      </c>
      <c r="B79" s="3" t="s">
        <v>17</v>
      </c>
      <c r="C79" s="3" t="s">
        <v>26</v>
      </c>
      <c r="D79" s="3" t="s">
        <v>215</v>
      </c>
      <c r="E79" s="3">
        <v>4</v>
      </c>
      <c r="F79" s="7" t="s">
        <v>343</v>
      </c>
      <c r="G79" s="5"/>
      <c r="H79" s="5"/>
      <c r="I79" s="5"/>
      <c r="L79" s="5"/>
    </row>
    <row r="80" spans="1:12">
      <c r="A80" s="3" t="s">
        <v>276</v>
      </c>
      <c r="B80" s="3" t="s">
        <v>17</v>
      </c>
      <c r="C80" s="3" t="s">
        <v>26</v>
      </c>
      <c r="D80" s="3" t="s">
        <v>215</v>
      </c>
      <c r="E80" s="3">
        <v>4</v>
      </c>
      <c r="F80" s="7" t="s">
        <v>343</v>
      </c>
      <c r="G80" s="5"/>
      <c r="H80" s="5"/>
      <c r="I80" s="5"/>
      <c r="L80" s="5"/>
    </row>
    <row r="81" spans="1:12">
      <c r="A81" s="3" t="s">
        <v>278</v>
      </c>
      <c r="B81" s="3" t="s">
        <v>17</v>
      </c>
      <c r="C81" s="3" t="s">
        <v>27</v>
      </c>
      <c r="D81" s="3" t="s">
        <v>34</v>
      </c>
      <c r="E81" s="3">
        <v>3</v>
      </c>
      <c r="F81" s="7" t="s">
        <v>351</v>
      </c>
      <c r="G81" s="5"/>
      <c r="H81" s="5"/>
      <c r="I81" s="5"/>
      <c r="L81" s="5"/>
    </row>
    <row r="82" spans="1:12">
      <c r="A82" s="3" t="s">
        <v>279</v>
      </c>
      <c r="B82" s="3" t="s">
        <v>17</v>
      </c>
      <c r="C82" s="3" t="s">
        <v>27</v>
      </c>
      <c r="D82" s="3" t="s">
        <v>34</v>
      </c>
      <c r="E82" s="3">
        <v>3</v>
      </c>
      <c r="F82" s="7" t="s">
        <v>351</v>
      </c>
      <c r="G82" s="5"/>
      <c r="H82" s="5"/>
      <c r="I82" s="5"/>
      <c r="L82" s="5"/>
    </row>
    <row r="83" spans="1:12">
      <c r="A83" s="3" t="s">
        <v>280</v>
      </c>
      <c r="B83" s="3" t="s">
        <v>17</v>
      </c>
      <c r="C83" s="3" t="s">
        <v>27</v>
      </c>
      <c r="D83" s="3" t="s">
        <v>35</v>
      </c>
      <c r="E83" s="3">
        <v>3</v>
      </c>
      <c r="F83" s="7" t="s">
        <v>351</v>
      </c>
      <c r="G83" s="5"/>
      <c r="H83" s="5"/>
      <c r="I83" s="5"/>
      <c r="L83" s="5"/>
    </row>
    <row r="84" spans="1:12">
      <c r="A84" s="3" t="s">
        <v>281</v>
      </c>
      <c r="B84" s="3" t="s">
        <v>17</v>
      </c>
      <c r="C84" s="3" t="s">
        <v>8</v>
      </c>
      <c r="D84" s="3" t="s">
        <v>35</v>
      </c>
      <c r="E84" s="3">
        <v>3</v>
      </c>
      <c r="F84" s="7" t="s">
        <v>351</v>
      </c>
      <c r="G84" s="5"/>
      <c r="H84" s="5"/>
      <c r="I84" s="5"/>
      <c r="L84" s="5"/>
    </row>
    <row r="85" spans="1:12">
      <c r="A85" s="3" t="s">
        <v>46</v>
      </c>
      <c r="B85" s="3" t="s">
        <v>17</v>
      </c>
      <c r="C85" s="3" t="s">
        <v>8</v>
      </c>
      <c r="D85" s="3" t="s">
        <v>35</v>
      </c>
      <c r="E85" s="3">
        <v>2</v>
      </c>
      <c r="F85" s="7" t="s">
        <v>353</v>
      </c>
      <c r="G85" s="5"/>
      <c r="H85" s="5"/>
      <c r="I85" s="5"/>
      <c r="J85" s="5"/>
      <c r="K85" s="5"/>
      <c r="L85" s="5"/>
    </row>
    <row r="86" spans="1:12">
      <c r="A86" s="3" t="s">
        <v>282</v>
      </c>
      <c r="B86" s="3" t="s">
        <v>17</v>
      </c>
      <c r="C86" s="3" t="s">
        <v>8</v>
      </c>
      <c r="D86" s="3" t="s">
        <v>215</v>
      </c>
      <c r="E86" s="3">
        <v>3</v>
      </c>
      <c r="F86" s="7" t="s">
        <v>351</v>
      </c>
      <c r="G86" s="5"/>
      <c r="H86" s="5"/>
      <c r="I86" s="5"/>
      <c r="J86" s="5"/>
      <c r="K86" s="5"/>
      <c r="L86" s="5"/>
    </row>
    <row r="87" spans="1:12">
      <c r="A87" s="3" t="s">
        <v>283</v>
      </c>
      <c r="B87" s="3" t="s">
        <v>17</v>
      </c>
      <c r="C87" s="3" t="s">
        <v>8</v>
      </c>
      <c r="D87" s="3" t="s">
        <v>215</v>
      </c>
      <c r="E87" s="3">
        <v>2</v>
      </c>
      <c r="F87" s="7" t="s">
        <v>353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17</v>
      </c>
      <c r="C88" s="3" t="s">
        <v>28</v>
      </c>
      <c r="D88" s="3" t="s">
        <v>34</v>
      </c>
      <c r="E88" s="3">
        <v>3</v>
      </c>
      <c r="F88" s="7" t="s">
        <v>351</v>
      </c>
      <c r="G88" s="5"/>
      <c r="H88" s="5"/>
      <c r="I88" s="5"/>
      <c r="J88" s="5"/>
      <c r="K88" s="5"/>
      <c r="L88" s="5"/>
    </row>
    <row r="89" spans="1:12">
      <c r="A89" s="3" t="s">
        <v>47</v>
      </c>
      <c r="B89" s="3" t="s">
        <v>17</v>
      </c>
      <c r="C89" s="3" t="s">
        <v>28</v>
      </c>
      <c r="D89" s="3" t="s">
        <v>34</v>
      </c>
      <c r="E89" s="3">
        <v>3</v>
      </c>
      <c r="F89" s="7" t="s">
        <v>351</v>
      </c>
      <c r="G89" s="5"/>
      <c r="H89" s="5"/>
      <c r="I89" s="5"/>
      <c r="J89" s="5"/>
      <c r="K89" s="5"/>
      <c r="L89" s="5"/>
    </row>
    <row r="90" spans="1:12">
      <c r="A90" s="3" t="s">
        <v>48</v>
      </c>
      <c r="B90" s="3" t="s">
        <v>17</v>
      </c>
      <c r="C90" s="3" t="s">
        <v>28</v>
      </c>
      <c r="D90" s="3" t="s">
        <v>34</v>
      </c>
      <c r="E90" s="3">
        <v>3</v>
      </c>
      <c r="F90" s="7" t="s">
        <v>351</v>
      </c>
      <c r="G90" s="5"/>
      <c r="H90" s="5"/>
      <c r="I90" s="5"/>
      <c r="J90" s="5"/>
      <c r="K90" s="5"/>
      <c r="L90" s="5"/>
    </row>
    <row r="91" spans="1:12">
      <c r="A91" s="3" t="s">
        <v>284</v>
      </c>
      <c r="B91" s="3" t="s">
        <v>17</v>
      </c>
      <c r="C91" s="3" t="s">
        <v>28</v>
      </c>
      <c r="D91" s="3" t="s">
        <v>225</v>
      </c>
      <c r="E91" s="3">
        <v>3</v>
      </c>
      <c r="F91" s="7" t="s">
        <v>351</v>
      </c>
      <c r="G91" s="5"/>
      <c r="H91" s="5"/>
      <c r="I91" s="5"/>
      <c r="J91" s="5"/>
      <c r="K91" s="5"/>
      <c r="L91" s="5"/>
    </row>
    <row r="92" spans="1:12">
      <c r="A92" s="3" t="s">
        <v>285</v>
      </c>
      <c r="B92" s="3" t="s">
        <v>17</v>
      </c>
      <c r="C92" s="3" t="s">
        <v>28</v>
      </c>
      <c r="D92" s="3" t="s">
        <v>225</v>
      </c>
      <c r="E92" s="3">
        <v>3</v>
      </c>
      <c r="F92" s="7" t="s">
        <v>351</v>
      </c>
      <c r="G92" s="5"/>
      <c r="H92" s="5"/>
      <c r="I92" s="5"/>
      <c r="J92" s="5"/>
      <c r="K92" s="5"/>
      <c r="L92" s="5"/>
    </row>
    <row r="93" spans="1:12">
      <c r="A93" s="3" t="s">
        <v>286</v>
      </c>
      <c r="B93" s="3" t="s">
        <v>17</v>
      </c>
      <c r="C93" s="3" t="s">
        <v>28</v>
      </c>
      <c r="D93" s="3" t="s">
        <v>225</v>
      </c>
      <c r="E93" s="3">
        <v>3</v>
      </c>
      <c r="F93" s="7" t="s">
        <v>351</v>
      </c>
      <c r="G93" s="5"/>
      <c r="H93" s="5"/>
      <c r="I93" s="5"/>
      <c r="J93" s="5"/>
      <c r="K93" s="5"/>
      <c r="L93" s="5"/>
    </row>
    <row r="94" spans="1:12">
      <c r="A94" s="3" t="s">
        <v>287</v>
      </c>
      <c r="B94" s="3" t="s">
        <v>17</v>
      </c>
      <c r="C94" s="3" t="s">
        <v>28</v>
      </c>
      <c r="D94" s="3" t="s">
        <v>225</v>
      </c>
      <c r="E94" s="3">
        <v>3</v>
      </c>
      <c r="F94" s="7" t="s">
        <v>351</v>
      </c>
      <c r="G94" s="5"/>
      <c r="H94" s="5"/>
      <c r="I94" s="5"/>
      <c r="J94" s="5"/>
      <c r="K94" s="5"/>
      <c r="L94" s="5"/>
    </row>
    <row r="95" spans="1:12">
      <c r="A95" s="3" t="s">
        <v>288</v>
      </c>
      <c r="B95" s="3" t="s">
        <v>17</v>
      </c>
      <c r="C95" s="3" t="s">
        <v>28</v>
      </c>
      <c r="D95" s="3" t="s">
        <v>215</v>
      </c>
      <c r="E95" s="3">
        <v>3</v>
      </c>
      <c r="F95" s="7" t="s">
        <v>351</v>
      </c>
      <c r="G95" s="5"/>
      <c r="H95" s="5"/>
      <c r="I95" s="5"/>
      <c r="J95" s="5"/>
      <c r="K95" s="5"/>
      <c r="L95" s="5"/>
    </row>
    <row r="96" spans="1:12">
      <c r="A96" s="3" t="s">
        <v>289</v>
      </c>
      <c r="B96" s="3" t="s">
        <v>17</v>
      </c>
      <c r="C96" s="3" t="s">
        <v>28</v>
      </c>
      <c r="D96" s="3" t="s">
        <v>215</v>
      </c>
      <c r="E96" s="3">
        <v>3</v>
      </c>
      <c r="F96" s="7" t="s">
        <v>351</v>
      </c>
      <c r="G96" s="5"/>
      <c r="H96" s="5"/>
      <c r="I96" s="5"/>
      <c r="J96" s="5"/>
      <c r="K96" s="5"/>
      <c r="L96" s="5"/>
    </row>
    <row r="97" spans="1:12">
      <c r="A97" s="3" t="s">
        <v>29</v>
      </c>
      <c r="B97" s="3" t="s">
        <v>17</v>
      </c>
      <c r="C97" s="3" t="s">
        <v>29</v>
      </c>
      <c r="D97" s="3" t="s">
        <v>34</v>
      </c>
      <c r="E97" s="3">
        <v>4</v>
      </c>
      <c r="F97" s="7" t="s">
        <v>343</v>
      </c>
      <c r="G97" s="5"/>
      <c r="H97" s="5"/>
      <c r="I97" s="5"/>
      <c r="J97" s="5"/>
      <c r="K97" s="5"/>
      <c r="L97" s="5"/>
    </row>
    <row r="98" spans="1:12">
      <c r="A98" s="3" t="s">
        <v>49</v>
      </c>
      <c r="B98" s="3" t="s">
        <v>17</v>
      </c>
      <c r="C98" s="3" t="s">
        <v>29</v>
      </c>
      <c r="D98" s="3" t="s">
        <v>34</v>
      </c>
      <c r="E98" s="3">
        <v>4</v>
      </c>
      <c r="F98" s="7" t="s">
        <v>343</v>
      </c>
      <c r="G98" s="5"/>
      <c r="H98" s="5"/>
      <c r="I98" s="5"/>
      <c r="J98" s="5"/>
      <c r="K98" s="5"/>
      <c r="L98" s="5"/>
    </row>
    <row r="99" spans="1:12">
      <c r="A99" s="3" t="s">
        <v>290</v>
      </c>
      <c r="B99" s="3" t="s">
        <v>17</v>
      </c>
      <c r="C99" s="3" t="s">
        <v>10</v>
      </c>
      <c r="D99" s="3" t="s">
        <v>225</v>
      </c>
      <c r="E99" s="3">
        <v>4</v>
      </c>
      <c r="F99" s="7" t="s">
        <v>343</v>
      </c>
      <c r="G99" s="5"/>
      <c r="H99" s="5"/>
      <c r="I99" s="5"/>
      <c r="J99" s="5"/>
      <c r="K99" s="5"/>
      <c r="L99" s="5"/>
    </row>
    <row r="100" spans="1:12">
      <c r="A100" s="3" t="s">
        <v>291</v>
      </c>
      <c r="B100" s="3" t="s">
        <v>17</v>
      </c>
      <c r="C100" s="3" t="s">
        <v>10</v>
      </c>
      <c r="D100" s="3" t="s">
        <v>35</v>
      </c>
      <c r="E100" s="3">
        <v>4</v>
      </c>
      <c r="F100" s="7" t="s">
        <v>343</v>
      </c>
      <c r="G100" s="5"/>
      <c r="H100" s="5"/>
      <c r="I100" s="5"/>
      <c r="J100" s="5"/>
      <c r="K100" s="5"/>
      <c r="L100" s="5"/>
    </row>
    <row r="101" spans="1:12">
      <c r="A101" s="3" t="s">
        <v>292</v>
      </c>
      <c r="B101" s="3" t="s">
        <v>17</v>
      </c>
      <c r="C101" s="3" t="s">
        <v>10</v>
      </c>
      <c r="D101" s="3" t="s">
        <v>35</v>
      </c>
      <c r="E101" s="3">
        <v>4</v>
      </c>
      <c r="F101" s="7" t="s">
        <v>343</v>
      </c>
      <c r="G101" s="5"/>
      <c r="H101" s="5"/>
      <c r="I101" s="5"/>
      <c r="J101" s="5"/>
      <c r="K101" s="5"/>
      <c r="L101" s="5"/>
    </row>
    <row r="102" spans="1:12">
      <c r="A102" s="3" t="s">
        <v>293</v>
      </c>
      <c r="B102" s="3" t="s">
        <v>17</v>
      </c>
      <c r="C102" s="3" t="s">
        <v>10</v>
      </c>
      <c r="D102" s="3" t="s">
        <v>35</v>
      </c>
      <c r="E102" s="3">
        <v>4</v>
      </c>
      <c r="F102" s="7" t="s">
        <v>343</v>
      </c>
      <c r="G102" s="5"/>
      <c r="H102" s="5"/>
      <c r="I102" s="5"/>
      <c r="J102" s="5"/>
      <c r="K102" s="5"/>
      <c r="L102" s="5"/>
    </row>
    <row r="103" spans="1:12">
      <c r="A103" s="3" t="s">
        <v>294</v>
      </c>
      <c r="B103" s="3" t="s">
        <v>17</v>
      </c>
      <c r="C103" s="3" t="s">
        <v>10</v>
      </c>
      <c r="D103" s="3" t="s">
        <v>215</v>
      </c>
      <c r="E103" s="3">
        <v>4</v>
      </c>
      <c r="F103" s="7" t="s">
        <v>343</v>
      </c>
      <c r="G103" s="5"/>
      <c r="H103" s="5"/>
      <c r="I103" s="5"/>
      <c r="J103" s="5"/>
      <c r="K103" s="5"/>
      <c r="L103" s="5"/>
    </row>
    <row r="104" spans="1:12">
      <c r="A104" s="3" t="s">
        <v>295</v>
      </c>
      <c r="B104" s="3" t="s">
        <v>17</v>
      </c>
      <c r="C104" s="3" t="s">
        <v>10</v>
      </c>
      <c r="D104" s="3" t="s">
        <v>215</v>
      </c>
      <c r="E104" s="3">
        <v>4</v>
      </c>
      <c r="F104" s="7" t="s">
        <v>343</v>
      </c>
      <c r="G104" s="5"/>
      <c r="H104" s="5"/>
      <c r="I104" s="5"/>
      <c r="J104" s="5"/>
      <c r="K104" s="5"/>
      <c r="L104" s="5"/>
    </row>
    <row r="105" spans="1:12">
      <c r="A105" s="3" t="s">
        <v>296</v>
      </c>
      <c r="B105" s="3" t="s">
        <v>17</v>
      </c>
      <c r="C105" s="3" t="s">
        <v>10</v>
      </c>
      <c r="D105" s="3" t="s">
        <v>215</v>
      </c>
      <c r="E105" s="3">
        <v>4</v>
      </c>
      <c r="F105" s="7" t="s">
        <v>343</v>
      </c>
      <c r="G105" s="5"/>
      <c r="H105" s="5"/>
      <c r="I105" s="5"/>
      <c r="J105" s="5"/>
      <c r="K105" s="5"/>
      <c r="L105" s="5"/>
    </row>
    <row r="106" spans="1:12">
      <c r="A106" s="3" t="s">
        <v>297</v>
      </c>
      <c r="B106" s="3" t="s">
        <v>17</v>
      </c>
      <c r="C106" s="3" t="s">
        <v>10</v>
      </c>
      <c r="D106" s="3" t="s">
        <v>215</v>
      </c>
      <c r="E106" s="3">
        <v>2</v>
      </c>
      <c r="F106" s="7" t="s">
        <v>353</v>
      </c>
      <c r="G106" s="5"/>
      <c r="H106" s="5"/>
      <c r="I106" s="5"/>
      <c r="J106" s="5"/>
      <c r="K106" s="5"/>
      <c r="L106" s="5"/>
    </row>
    <row r="107" spans="1:12">
      <c r="A107" s="3" t="s">
        <v>298</v>
      </c>
      <c r="B107" s="3" t="s">
        <v>17</v>
      </c>
      <c r="C107" s="3" t="s">
        <v>10</v>
      </c>
      <c r="D107" s="3" t="s">
        <v>215</v>
      </c>
      <c r="E107" s="3">
        <v>4</v>
      </c>
      <c r="F107" s="7" t="s">
        <v>343</v>
      </c>
      <c r="G107" s="5"/>
      <c r="H107" s="5"/>
      <c r="I107" s="5"/>
      <c r="J107" s="5"/>
      <c r="K107" s="5"/>
      <c r="L107" s="5"/>
    </row>
    <row r="108" spans="1:12">
      <c r="A108" s="3" t="s">
        <v>299</v>
      </c>
      <c r="B108" s="3" t="s">
        <v>17</v>
      </c>
      <c r="C108" s="3" t="s">
        <v>30</v>
      </c>
      <c r="D108" s="3" t="s">
        <v>34</v>
      </c>
      <c r="E108" s="3">
        <v>4</v>
      </c>
      <c r="F108" s="7" t="s">
        <v>343</v>
      </c>
      <c r="G108" s="5"/>
      <c r="H108" s="5"/>
      <c r="I108" s="5"/>
      <c r="J108" s="5"/>
      <c r="K108" s="5"/>
      <c r="L108" s="5"/>
    </row>
    <row r="109" spans="1:12">
      <c r="A109" s="3" t="s">
        <v>300</v>
      </c>
      <c r="B109" s="3" t="s">
        <v>17</v>
      </c>
      <c r="C109" s="3" t="s">
        <v>10</v>
      </c>
      <c r="D109" s="3" t="s">
        <v>34</v>
      </c>
      <c r="E109" s="3">
        <v>4</v>
      </c>
      <c r="F109" s="7" t="s">
        <v>343</v>
      </c>
      <c r="G109" s="5"/>
      <c r="H109" s="5"/>
      <c r="I109" s="5"/>
      <c r="J109" s="5"/>
      <c r="K109" s="5"/>
      <c r="L109" s="5"/>
    </row>
    <row r="110" spans="1:12">
      <c r="A110" s="3" t="s">
        <v>301</v>
      </c>
      <c r="B110" s="3" t="s">
        <v>17</v>
      </c>
      <c r="C110" s="3" t="s">
        <v>29</v>
      </c>
      <c r="D110" s="3" t="s">
        <v>34</v>
      </c>
      <c r="E110" s="3">
        <v>4</v>
      </c>
      <c r="F110" s="7" t="s">
        <v>343</v>
      </c>
      <c r="G110" s="5"/>
      <c r="H110" s="5"/>
      <c r="I110" s="5"/>
      <c r="J110" s="5"/>
      <c r="K110" s="5"/>
      <c r="L110" s="5"/>
    </row>
    <row r="111" spans="1:12">
      <c r="A111" s="3" t="s">
        <v>302</v>
      </c>
      <c r="B111" s="3" t="s">
        <v>17</v>
      </c>
      <c r="C111" s="3" t="s">
        <v>29</v>
      </c>
      <c r="D111" s="3" t="s">
        <v>34</v>
      </c>
      <c r="E111" s="3">
        <v>4</v>
      </c>
      <c r="F111" s="7" t="s">
        <v>343</v>
      </c>
      <c r="G111" s="5"/>
      <c r="H111" s="5"/>
      <c r="I111" s="5"/>
      <c r="J111" s="5"/>
      <c r="K111" s="5"/>
      <c r="L111" s="5"/>
    </row>
    <row r="112" spans="1:12">
      <c r="A112" s="3" t="s">
        <v>303</v>
      </c>
      <c r="B112" s="3" t="s">
        <v>17</v>
      </c>
      <c r="C112" s="3" t="s">
        <v>29</v>
      </c>
      <c r="D112" s="3" t="s">
        <v>34</v>
      </c>
      <c r="E112" s="3">
        <v>4</v>
      </c>
      <c r="F112" s="7" t="s">
        <v>343</v>
      </c>
      <c r="G112" s="5"/>
      <c r="H112" s="5"/>
      <c r="I112" s="5"/>
      <c r="J112" s="5"/>
      <c r="K112" s="5"/>
      <c r="L112" s="5"/>
    </row>
    <row r="113" spans="1:12">
      <c r="A113" s="3" t="s">
        <v>304</v>
      </c>
      <c r="B113" s="3" t="s">
        <v>17</v>
      </c>
      <c r="C113" s="3" t="s">
        <v>29</v>
      </c>
      <c r="D113" s="3" t="s">
        <v>34</v>
      </c>
      <c r="E113" s="3">
        <v>4</v>
      </c>
      <c r="F113" s="7" t="s">
        <v>343</v>
      </c>
      <c r="G113" s="5"/>
      <c r="H113" s="5"/>
      <c r="I113" s="5"/>
      <c r="J113" s="5"/>
      <c r="K113" s="5"/>
      <c r="L113" s="5"/>
    </row>
    <row r="114" spans="1:12">
      <c r="A114" s="3" t="s">
        <v>305</v>
      </c>
      <c r="B114" s="3" t="s">
        <v>17</v>
      </c>
      <c r="C114" s="3" t="s">
        <v>30</v>
      </c>
      <c r="D114" s="3" t="s">
        <v>34</v>
      </c>
      <c r="E114" s="3">
        <v>4</v>
      </c>
      <c r="F114" s="7" t="s">
        <v>343</v>
      </c>
      <c r="G114" s="5"/>
      <c r="H114" s="5"/>
      <c r="I114" s="5"/>
      <c r="J114" s="5"/>
      <c r="K114" s="5"/>
      <c r="L114" s="5"/>
    </row>
    <row r="115" spans="1:12">
      <c r="A115" s="3" t="s">
        <v>306</v>
      </c>
      <c r="B115" s="3" t="s">
        <v>17</v>
      </c>
      <c r="C115" s="3" t="s">
        <v>30</v>
      </c>
      <c r="D115" s="3" t="s">
        <v>34</v>
      </c>
      <c r="E115" s="3">
        <v>4</v>
      </c>
      <c r="F115" s="7" t="s">
        <v>343</v>
      </c>
      <c r="G115" s="5"/>
      <c r="H115" s="5"/>
      <c r="I115" s="5"/>
      <c r="J115" s="5"/>
      <c r="K115" s="5"/>
      <c r="L115" s="5"/>
    </row>
    <row r="116" spans="1:12">
      <c r="A116" s="3" t="s">
        <v>307</v>
      </c>
      <c r="B116" s="3" t="s">
        <v>17</v>
      </c>
      <c r="C116" s="3" t="s">
        <v>30</v>
      </c>
      <c r="D116" s="3" t="s">
        <v>34</v>
      </c>
      <c r="E116" s="3">
        <v>4</v>
      </c>
      <c r="F116" s="7" t="s">
        <v>343</v>
      </c>
      <c r="G116" s="5"/>
      <c r="H116" s="5"/>
      <c r="I116" s="5"/>
      <c r="J116" s="5"/>
      <c r="K116" s="5"/>
      <c r="L116" s="5"/>
    </row>
    <row r="117" spans="1:12">
      <c r="A117" s="3" t="s">
        <v>308</v>
      </c>
      <c r="B117" s="3" t="s">
        <v>17</v>
      </c>
      <c r="C117" s="3" t="s">
        <v>30</v>
      </c>
      <c r="D117" s="3" t="s">
        <v>34</v>
      </c>
      <c r="E117" s="3">
        <v>4</v>
      </c>
      <c r="F117" s="7" t="s">
        <v>343</v>
      </c>
      <c r="G117" s="5"/>
      <c r="H117" s="5"/>
      <c r="I117" s="5"/>
      <c r="J117" s="5"/>
      <c r="K117" s="5"/>
      <c r="L117" s="5"/>
    </row>
    <row r="118" spans="1:12">
      <c r="A118" s="3" t="s">
        <v>309</v>
      </c>
      <c r="B118" s="3" t="s">
        <v>17</v>
      </c>
      <c r="C118" s="3" t="s">
        <v>30</v>
      </c>
      <c r="D118" s="3" t="s">
        <v>34</v>
      </c>
      <c r="E118" s="3">
        <v>4</v>
      </c>
      <c r="F118" s="7" t="s">
        <v>343</v>
      </c>
      <c r="G118" s="5"/>
      <c r="H118" s="5"/>
      <c r="I118" s="5"/>
      <c r="J118" s="5"/>
      <c r="K118" s="5"/>
      <c r="L118" s="5"/>
    </row>
    <row r="119" spans="1:12">
      <c r="A119" s="3" t="s">
        <v>310</v>
      </c>
      <c r="B119" s="3" t="s">
        <v>17</v>
      </c>
      <c r="C119" s="3" t="s">
        <v>30</v>
      </c>
      <c r="D119" s="3" t="s">
        <v>34</v>
      </c>
      <c r="E119" s="3">
        <v>4</v>
      </c>
      <c r="F119" s="7" t="s">
        <v>343</v>
      </c>
      <c r="G119" s="5"/>
      <c r="H119" s="5"/>
      <c r="I119" s="5"/>
      <c r="J119" s="5"/>
      <c r="K119" s="5"/>
      <c r="L119" s="5"/>
    </row>
    <row r="120" spans="1:12">
      <c r="A120" s="3" t="s">
        <v>311</v>
      </c>
      <c r="B120" s="3" t="s">
        <v>17</v>
      </c>
      <c r="C120" s="3" t="s">
        <v>30</v>
      </c>
      <c r="D120" s="3" t="s">
        <v>34</v>
      </c>
      <c r="E120" s="3">
        <v>4</v>
      </c>
      <c r="F120" s="7" t="s">
        <v>343</v>
      </c>
      <c r="G120" s="5"/>
      <c r="H120" s="5"/>
      <c r="I120" s="5"/>
      <c r="J120" s="5"/>
      <c r="K120" s="5"/>
      <c r="L120" s="5"/>
    </row>
    <row r="121" spans="1:12">
      <c r="A121" s="3" t="s">
        <v>312</v>
      </c>
      <c r="B121" s="3" t="s">
        <v>17</v>
      </c>
      <c r="C121" s="3" t="s">
        <v>30</v>
      </c>
      <c r="D121" s="3" t="s">
        <v>34</v>
      </c>
      <c r="E121" s="3">
        <v>4</v>
      </c>
      <c r="F121" s="7" t="s">
        <v>343</v>
      </c>
      <c r="G121" s="5"/>
      <c r="H121" s="5"/>
      <c r="I121" s="5"/>
      <c r="J121" s="5"/>
      <c r="K121" s="5"/>
      <c r="L121" s="5"/>
    </row>
    <row r="122" spans="1:12">
      <c r="A122" s="3" t="s">
        <v>313</v>
      </c>
      <c r="B122" s="3" t="s">
        <v>17</v>
      </c>
      <c r="C122" s="3" t="s">
        <v>30</v>
      </c>
      <c r="D122" s="3" t="s">
        <v>34</v>
      </c>
      <c r="E122" s="3">
        <v>4</v>
      </c>
      <c r="F122" s="7" t="s">
        <v>343</v>
      </c>
      <c r="G122" s="5"/>
      <c r="H122" s="5"/>
      <c r="I122" s="5"/>
      <c r="J122" s="5"/>
      <c r="K122" s="5"/>
      <c r="L122" s="5"/>
    </row>
    <row r="123" spans="1:12">
      <c r="A123" s="3" t="s">
        <v>314</v>
      </c>
      <c r="B123" s="3" t="s">
        <v>17</v>
      </c>
      <c r="C123" s="3" t="s">
        <v>30</v>
      </c>
      <c r="D123" s="3" t="s">
        <v>34</v>
      </c>
      <c r="E123" s="3">
        <v>4</v>
      </c>
      <c r="F123" s="7" t="s">
        <v>343</v>
      </c>
      <c r="G123" s="5"/>
      <c r="H123" s="5"/>
      <c r="I123" s="5"/>
      <c r="J123" s="5"/>
      <c r="K123" s="5"/>
      <c r="L123" s="5"/>
    </row>
    <row r="124" spans="1:12">
      <c r="A124" s="3" t="s">
        <v>315</v>
      </c>
      <c r="B124" s="3" t="s">
        <v>17</v>
      </c>
      <c r="C124" s="3" t="s">
        <v>30</v>
      </c>
      <c r="D124" s="3" t="s">
        <v>35</v>
      </c>
      <c r="E124" s="3">
        <v>4</v>
      </c>
      <c r="F124" s="7" t="s">
        <v>343</v>
      </c>
      <c r="G124" s="5"/>
      <c r="H124" s="5"/>
      <c r="I124" s="5"/>
      <c r="J124" s="5"/>
      <c r="K124" s="5"/>
      <c r="L124" s="5"/>
    </row>
    <row r="125" spans="1:12">
      <c r="A125" s="3" t="s">
        <v>316</v>
      </c>
      <c r="B125" s="3" t="s">
        <v>17</v>
      </c>
      <c r="C125" s="3" t="s">
        <v>30</v>
      </c>
      <c r="D125" s="3" t="s">
        <v>35</v>
      </c>
      <c r="E125" s="3">
        <v>4</v>
      </c>
      <c r="F125" s="7" t="s">
        <v>343</v>
      </c>
      <c r="G125" s="5"/>
      <c r="H125" s="5"/>
      <c r="I125" s="5"/>
      <c r="J125" s="5"/>
      <c r="K125" s="5"/>
      <c r="L125" s="5"/>
    </row>
    <row r="126" spans="1:12">
      <c r="A126" s="3" t="s">
        <v>318</v>
      </c>
      <c r="B126" s="3" t="s">
        <v>17</v>
      </c>
      <c r="C126" s="3" t="s">
        <v>30</v>
      </c>
      <c r="D126" s="3" t="s">
        <v>35</v>
      </c>
      <c r="E126" s="3">
        <v>4</v>
      </c>
      <c r="F126" s="7" t="s">
        <v>343</v>
      </c>
      <c r="G126" s="5"/>
      <c r="H126" s="5"/>
      <c r="I126" s="5"/>
      <c r="J126" s="5"/>
      <c r="K126" s="5"/>
      <c r="L126" s="5"/>
    </row>
    <row r="127" spans="1:12">
      <c r="A127" s="3" t="s">
        <v>317</v>
      </c>
      <c r="B127" s="3" t="s">
        <v>17</v>
      </c>
      <c r="C127" s="3" t="s">
        <v>30</v>
      </c>
      <c r="D127" s="3" t="s">
        <v>35</v>
      </c>
      <c r="E127" s="3">
        <v>4</v>
      </c>
      <c r="F127" s="7" t="s">
        <v>343</v>
      </c>
      <c r="G127" s="5"/>
      <c r="H127" s="5"/>
      <c r="I127" s="5"/>
      <c r="J127" s="5"/>
      <c r="K127" s="5"/>
      <c r="L127" s="5"/>
    </row>
    <row r="128" spans="1:12">
      <c r="A128" s="3" t="s">
        <v>319</v>
      </c>
      <c r="B128" s="3" t="s">
        <v>17</v>
      </c>
      <c r="C128" s="3" t="s">
        <v>30</v>
      </c>
      <c r="D128" s="3" t="s">
        <v>35</v>
      </c>
      <c r="E128" s="3">
        <v>4</v>
      </c>
      <c r="F128" s="7" t="s">
        <v>343</v>
      </c>
      <c r="G128" s="5"/>
      <c r="H128" s="5"/>
      <c r="I128" s="5"/>
      <c r="J128" s="5"/>
      <c r="K128" s="5"/>
      <c r="L128" s="5"/>
    </row>
    <row r="129" spans="1:12">
      <c r="A129" s="3" t="s">
        <v>320</v>
      </c>
      <c r="B129" s="3" t="s">
        <v>17</v>
      </c>
      <c r="C129" s="3" t="s">
        <v>30</v>
      </c>
      <c r="D129" s="3" t="s">
        <v>35</v>
      </c>
      <c r="E129" s="3">
        <v>4</v>
      </c>
      <c r="F129" s="7" t="s">
        <v>343</v>
      </c>
      <c r="G129" s="5"/>
      <c r="H129" s="5"/>
      <c r="I129" s="5"/>
      <c r="J129" s="5"/>
      <c r="K129" s="5"/>
      <c r="L129" s="5"/>
    </row>
    <row r="130" spans="1:12">
      <c r="A130" s="3" t="s">
        <v>321</v>
      </c>
      <c r="B130" s="3" t="s">
        <v>17</v>
      </c>
      <c r="C130" s="3" t="s">
        <v>30</v>
      </c>
      <c r="D130" s="3" t="s">
        <v>35</v>
      </c>
      <c r="E130" s="3">
        <v>4</v>
      </c>
      <c r="F130" s="7" t="s">
        <v>343</v>
      </c>
      <c r="G130" s="5"/>
      <c r="H130" s="5"/>
      <c r="I130" s="5"/>
      <c r="J130" s="5"/>
      <c r="K130" s="5"/>
      <c r="L130" s="5"/>
    </row>
    <row r="131" spans="1:12">
      <c r="A131" s="3" t="s">
        <v>325</v>
      </c>
      <c r="B131" s="3" t="s">
        <v>17</v>
      </c>
      <c r="C131" s="3" t="s">
        <v>30</v>
      </c>
      <c r="D131" s="3" t="s">
        <v>215</v>
      </c>
      <c r="E131" s="3">
        <v>4</v>
      </c>
      <c r="F131" s="7" t="s">
        <v>343</v>
      </c>
      <c r="G131" s="5"/>
      <c r="H131" s="5"/>
      <c r="I131" s="5"/>
      <c r="J131" s="5"/>
      <c r="K131" s="5"/>
      <c r="L131" s="5"/>
    </row>
    <row r="132" spans="1:12">
      <c r="A132" s="3" t="s">
        <v>326</v>
      </c>
      <c r="B132" s="3" t="s">
        <v>17</v>
      </c>
      <c r="C132" s="3" t="s">
        <v>30</v>
      </c>
      <c r="D132" s="3" t="s">
        <v>215</v>
      </c>
      <c r="E132" s="3">
        <v>4</v>
      </c>
      <c r="F132" s="7" t="s">
        <v>343</v>
      </c>
      <c r="G132" s="5"/>
      <c r="H132" s="5"/>
      <c r="I132" s="5"/>
      <c r="J132" s="5"/>
      <c r="K132" s="5"/>
      <c r="L132" s="5"/>
    </row>
    <row r="133" spans="1:12">
      <c r="A133" s="3" t="s">
        <v>327</v>
      </c>
      <c r="B133" s="3" t="s">
        <v>17</v>
      </c>
      <c r="C133" s="3" t="s">
        <v>30</v>
      </c>
      <c r="D133" s="3" t="s">
        <v>215</v>
      </c>
      <c r="E133" s="3">
        <v>4</v>
      </c>
      <c r="F133" s="7" t="s">
        <v>343</v>
      </c>
      <c r="G133" s="5"/>
      <c r="H133" s="5"/>
      <c r="I133" s="5"/>
      <c r="J133" s="5"/>
      <c r="K133" s="5"/>
      <c r="L133" s="5"/>
    </row>
    <row r="134" spans="1:12">
      <c r="A134" s="3" t="s">
        <v>328</v>
      </c>
      <c r="B134" s="3" t="s">
        <v>17</v>
      </c>
      <c r="C134" s="3" t="s">
        <v>30</v>
      </c>
      <c r="D134" s="3" t="s">
        <v>215</v>
      </c>
      <c r="E134" s="3">
        <v>4</v>
      </c>
      <c r="F134" s="7" t="s">
        <v>343</v>
      </c>
      <c r="G134" s="5"/>
      <c r="H134" s="5"/>
      <c r="I134" s="5"/>
      <c r="J134" s="5"/>
      <c r="K134" s="5"/>
      <c r="L134" s="5"/>
    </row>
    <row r="135" spans="1:12">
      <c r="A135" s="3" t="s">
        <v>329</v>
      </c>
      <c r="B135" s="3" t="s">
        <v>17</v>
      </c>
      <c r="C135" s="3" t="s">
        <v>30</v>
      </c>
      <c r="D135" s="3" t="s">
        <v>215</v>
      </c>
      <c r="E135" s="3">
        <v>4</v>
      </c>
      <c r="F135" s="7" t="s">
        <v>343</v>
      </c>
      <c r="G135" s="5"/>
      <c r="H135" s="5"/>
      <c r="I135" s="5"/>
      <c r="J135" s="5"/>
      <c r="K135" s="5"/>
      <c r="L135" s="5"/>
    </row>
    <row r="136" spans="1:12">
      <c r="A136" s="3" t="s">
        <v>330</v>
      </c>
      <c r="B136" s="3" t="s">
        <v>17</v>
      </c>
      <c r="C136" s="3" t="s">
        <v>30</v>
      </c>
      <c r="D136" s="3" t="s">
        <v>215</v>
      </c>
      <c r="E136" s="3">
        <v>4</v>
      </c>
      <c r="F136" s="7" t="s">
        <v>343</v>
      </c>
      <c r="G136" s="5"/>
      <c r="H136" s="5"/>
      <c r="I136" s="5"/>
      <c r="J136" s="5"/>
      <c r="K136" s="5"/>
      <c r="L136" s="5"/>
    </row>
    <row r="137" spans="1:12">
      <c r="A137" s="3" t="s">
        <v>331</v>
      </c>
      <c r="B137" s="3" t="s">
        <v>17</v>
      </c>
      <c r="C137" s="3" t="s">
        <v>30</v>
      </c>
      <c r="D137" s="3" t="s">
        <v>215</v>
      </c>
      <c r="E137" s="3">
        <v>4</v>
      </c>
      <c r="F137" s="7" t="s">
        <v>343</v>
      </c>
      <c r="G137" s="5"/>
      <c r="H137" s="5"/>
      <c r="I137" s="5"/>
      <c r="J137" s="5"/>
      <c r="K137" s="5"/>
      <c r="L137" s="5"/>
    </row>
    <row r="138" spans="1:12">
      <c r="A138" s="3" t="s">
        <v>332</v>
      </c>
      <c r="B138" s="3" t="s">
        <v>17</v>
      </c>
      <c r="C138" s="3" t="s">
        <v>30</v>
      </c>
      <c r="D138" s="3" t="s">
        <v>215</v>
      </c>
      <c r="E138" s="3">
        <v>4</v>
      </c>
      <c r="F138" s="7" t="s">
        <v>343</v>
      </c>
      <c r="G138" s="5"/>
      <c r="H138" s="5"/>
      <c r="I138" s="5"/>
      <c r="J138" s="5"/>
      <c r="K138" s="5"/>
      <c r="L138" s="5"/>
    </row>
    <row r="139" spans="1:12">
      <c r="A139" s="3" t="s">
        <v>323</v>
      </c>
      <c r="B139" s="3" t="s">
        <v>17</v>
      </c>
      <c r="C139" s="3" t="s">
        <v>323</v>
      </c>
      <c r="D139" s="3" t="s">
        <v>257</v>
      </c>
      <c r="E139" s="3">
        <v>4</v>
      </c>
      <c r="F139" s="7" t="s">
        <v>343</v>
      </c>
      <c r="G139" s="5"/>
      <c r="H139" s="5"/>
      <c r="I139" s="5"/>
      <c r="J139" s="5"/>
      <c r="K139" s="5"/>
      <c r="L139" s="5"/>
    </row>
    <row r="140" spans="1:12">
      <c r="A140" s="3" t="s">
        <v>322</v>
      </c>
      <c r="B140" s="3" t="s">
        <v>17</v>
      </c>
      <c r="C140" s="3" t="s">
        <v>31</v>
      </c>
      <c r="D140" s="3" t="s">
        <v>35</v>
      </c>
      <c r="E140" s="3">
        <v>4</v>
      </c>
      <c r="F140" s="7" t="s">
        <v>343</v>
      </c>
      <c r="G140" s="5"/>
      <c r="H140" s="5"/>
      <c r="I140" s="5"/>
      <c r="J140" s="5"/>
      <c r="K140" s="5"/>
      <c r="L140" s="5"/>
    </row>
    <row r="141" spans="1:12">
      <c r="A141" s="3" t="s">
        <v>50</v>
      </c>
      <c r="B141" s="3" t="s">
        <v>17</v>
      </c>
      <c r="C141" s="3" t="s">
        <v>32</v>
      </c>
      <c r="D141" s="3" t="s">
        <v>34</v>
      </c>
      <c r="E141" s="3">
        <v>3</v>
      </c>
      <c r="F141" s="7" t="s">
        <v>351</v>
      </c>
      <c r="G141" s="5"/>
      <c r="H141" s="5"/>
      <c r="I141" s="5"/>
      <c r="J141" s="5"/>
      <c r="K141" s="5"/>
      <c r="L141" s="5"/>
    </row>
    <row r="142" spans="1:12">
      <c r="A142" s="3" t="s">
        <v>333</v>
      </c>
      <c r="B142" s="3" t="s">
        <v>17</v>
      </c>
      <c r="C142" s="3" t="s">
        <v>32</v>
      </c>
      <c r="D142" s="3" t="s">
        <v>34</v>
      </c>
      <c r="E142" s="3">
        <v>3</v>
      </c>
      <c r="F142" s="7" t="s">
        <v>351</v>
      </c>
      <c r="G142" s="5"/>
      <c r="H142" s="5"/>
      <c r="I142" s="5"/>
      <c r="J142" s="5"/>
      <c r="K142" s="5"/>
      <c r="L142" s="5"/>
    </row>
    <row r="143" spans="1:12">
      <c r="A143" s="3" t="s">
        <v>334</v>
      </c>
      <c r="B143" s="3" t="s">
        <v>17</v>
      </c>
      <c r="C143" s="3" t="s">
        <v>32</v>
      </c>
      <c r="D143" s="3" t="s">
        <v>35</v>
      </c>
      <c r="E143" s="3">
        <v>3</v>
      </c>
      <c r="F143" s="7" t="s">
        <v>351</v>
      </c>
      <c r="G143" s="5"/>
      <c r="H143" s="5"/>
      <c r="I143" s="5"/>
      <c r="J143" s="5"/>
      <c r="K143" s="5"/>
      <c r="L143" s="5"/>
    </row>
    <row r="144" spans="1:12">
      <c r="A144" s="3" t="s">
        <v>335</v>
      </c>
      <c r="B144" s="3" t="s">
        <v>17</v>
      </c>
      <c r="C144" s="3" t="s">
        <v>32</v>
      </c>
      <c r="D144" s="3" t="s">
        <v>35</v>
      </c>
      <c r="E144" s="3">
        <v>3</v>
      </c>
      <c r="F144" s="7" t="s">
        <v>351</v>
      </c>
      <c r="G144" s="5"/>
      <c r="H144" s="5"/>
      <c r="I144" s="5"/>
      <c r="J144" s="5"/>
      <c r="K144" s="5"/>
      <c r="L144" s="5"/>
    </row>
    <row r="145" spans="1:12">
      <c r="A145" s="3" t="s">
        <v>336</v>
      </c>
      <c r="B145" s="3" t="s">
        <v>17</v>
      </c>
      <c r="C145" s="3" t="s">
        <v>32</v>
      </c>
      <c r="D145" s="3" t="s">
        <v>35</v>
      </c>
      <c r="E145" s="3">
        <v>3</v>
      </c>
      <c r="F145" s="7" t="s">
        <v>351</v>
      </c>
      <c r="G145" s="5"/>
      <c r="H145" s="5"/>
      <c r="I145" s="5"/>
      <c r="J145" s="5"/>
      <c r="K145" s="5"/>
      <c r="L145" s="5"/>
    </row>
    <row r="146" spans="1:12">
      <c r="A146" s="3" t="s">
        <v>337</v>
      </c>
      <c r="B146" s="3" t="s">
        <v>17</v>
      </c>
      <c r="C146" s="3" t="s">
        <v>32</v>
      </c>
      <c r="D146" s="3" t="s">
        <v>35</v>
      </c>
      <c r="E146" s="3">
        <v>3</v>
      </c>
      <c r="F146" s="7" t="s">
        <v>351</v>
      </c>
      <c r="G146" s="5"/>
      <c r="H146" s="5"/>
      <c r="I146" s="5"/>
      <c r="J146" s="5"/>
      <c r="K146" s="5"/>
      <c r="L146" s="5"/>
    </row>
    <row r="147" spans="1:12">
      <c r="A147" s="3" t="s">
        <v>338</v>
      </c>
      <c r="B147" s="3" t="s">
        <v>17</v>
      </c>
      <c r="C147" s="3" t="s">
        <v>32</v>
      </c>
      <c r="D147" s="3" t="s">
        <v>35</v>
      </c>
      <c r="E147" s="3">
        <v>3</v>
      </c>
      <c r="F147" s="7" t="s">
        <v>351</v>
      </c>
      <c r="G147" s="5"/>
      <c r="H147" s="5"/>
      <c r="I147" s="5"/>
      <c r="J147" s="5"/>
      <c r="K147" s="5"/>
      <c r="L147" s="5"/>
    </row>
    <row r="148" spans="1:12">
      <c r="A148" s="3" t="s">
        <v>51</v>
      </c>
      <c r="B148" s="3" t="s">
        <v>17</v>
      </c>
      <c r="C148" s="3" t="s">
        <v>32</v>
      </c>
      <c r="D148" s="3" t="s">
        <v>35</v>
      </c>
      <c r="E148" s="3">
        <v>3</v>
      </c>
      <c r="F148" s="7" t="s">
        <v>351</v>
      </c>
      <c r="G148" s="5"/>
      <c r="H148" s="5"/>
      <c r="I148" s="5"/>
      <c r="J148" s="5"/>
      <c r="K148" s="5"/>
      <c r="L148" s="5"/>
    </row>
    <row r="149" spans="1:12">
      <c r="A149" s="3" t="s">
        <v>339</v>
      </c>
      <c r="B149" s="3" t="s">
        <v>17</v>
      </c>
      <c r="C149" s="3" t="s">
        <v>32</v>
      </c>
      <c r="D149" s="3" t="s">
        <v>277</v>
      </c>
      <c r="E149" s="3">
        <v>3</v>
      </c>
      <c r="F149" s="7" t="s">
        <v>351</v>
      </c>
      <c r="G149" s="5"/>
      <c r="H149" s="5"/>
      <c r="I149" s="5"/>
      <c r="J149" s="5"/>
      <c r="K149" s="5"/>
      <c r="L149" s="5"/>
    </row>
    <row r="150" spans="1:12">
      <c r="A150" s="3" t="s">
        <v>52</v>
      </c>
      <c r="B150" s="3" t="s">
        <v>17</v>
      </c>
      <c r="C150" s="3" t="s">
        <v>32</v>
      </c>
      <c r="D150" s="3" t="s">
        <v>215</v>
      </c>
      <c r="E150" s="3">
        <v>3</v>
      </c>
      <c r="F150" s="7" t="s">
        <v>351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>
    <tabColor theme="5" tint="0.39997558519241921"/>
    <outlinePr summaryBelow="0" summaryRight="0"/>
  </sheetPr>
  <dimension ref="A1:Z999"/>
  <sheetViews>
    <sheetView showGridLines="0" workbookViewId="0">
      <pane ySplit="2" topLeftCell="A3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75" style="78" customWidth="1"/>
    <col min="2" max="2" width="7.5" style="78" customWidth="1"/>
    <col min="3" max="3" width="0.875" style="78" customWidth="1"/>
    <col min="4" max="4" width="4" style="78" customWidth="1"/>
    <col min="5" max="5" width="5.875" style="78" customWidth="1"/>
    <col min="6" max="6" width="5.625" style="78" customWidth="1"/>
    <col min="7" max="7" width="11.25" style="78" customWidth="1"/>
    <col min="8" max="8" width="9.125" style="78" customWidth="1"/>
    <col min="9" max="9" width="12.75" style="78" customWidth="1"/>
    <col min="10" max="10" width="1.375" style="78" customWidth="1"/>
    <col min="11" max="11" width="1" style="78" customWidth="1"/>
    <col min="12" max="12" width="10.75" style="78" customWidth="1"/>
    <col min="13" max="13" width="10.125" style="78" customWidth="1"/>
    <col min="14" max="14" width="16.625" style="78" customWidth="1"/>
    <col min="15" max="15" width="8.375" style="78" customWidth="1"/>
    <col min="16" max="16" width="9.5" style="78" customWidth="1"/>
    <col min="17" max="17" width="1.25" style="78" customWidth="1"/>
    <col min="18" max="18" width="0.5" style="78" customWidth="1"/>
    <col min="19" max="26" width="0" style="78" hidden="1" customWidth="1"/>
    <col min="27" max="16384" width="11" style="78" hidden="1"/>
  </cols>
  <sheetData>
    <row r="1" spans="2:26" ht="13.5"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spans="2:26" ht="39" thickBot="1">
      <c r="B2" s="635" t="s">
        <v>369</v>
      </c>
      <c r="C2" s="636"/>
      <c r="D2" s="636"/>
      <c r="E2" s="636"/>
      <c r="F2" s="636"/>
      <c r="G2" s="636"/>
      <c r="H2" s="636"/>
      <c r="I2" s="636"/>
      <c r="J2" s="636"/>
      <c r="K2" s="636"/>
      <c r="L2" s="636"/>
      <c r="M2" s="636"/>
      <c r="N2" s="636"/>
      <c r="O2" s="636"/>
      <c r="P2" s="636"/>
      <c r="Q2" s="636"/>
      <c r="R2" s="77"/>
      <c r="S2" s="77"/>
      <c r="T2" s="77"/>
      <c r="U2" s="77"/>
      <c r="V2" s="77"/>
      <c r="W2" s="77"/>
      <c r="X2" s="77"/>
      <c r="Y2" s="77"/>
      <c r="Z2" s="77"/>
    </row>
    <row r="3" spans="2:26" ht="24" customHeight="1" thickBot="1">
      <c r="B3" s="79" t="s">
        <v>370</v>
      </c>
      <c r="C3" s="637" t="s">
        <v>371</v>
      </c>
      <c r="D3" s="638"/>
      <c r="E3" s="638"/>
      <c r="F3" s="638"/>
      <c r="G3" s="638"/>
      <c r="H3" s="638"/>
      <c r="I3" s="638"/>
      <c r="J3" s="639"/>
      <c r="K3" s="640" t="s">
        <v>372</v>
      </c>
      <c r="L3" s="641"/>
      <c r="M3" s="641"/>
      <c r="N3" s="641"/>
      <c r="O3" s="641"/>
      <c r="P3" s="641"/>
      <c r="Q3" s="642"/>
      <c r="R3" s="77"/>
      <c r="S3" s="77"/>
      <c r="T3" s="77"/>
      <c r="U3" s="77"/>
      <c r="V3" s="77"/>
      <c r="W3" s="77"/>
      <c r="X3" s="77"/>
      <c r="Y3" s="77"/>
      <c r="Z3" s="77"/>
    </row>
    <row r="4" spans="2:26" ht="13.5">
      <c r="B4" s="600" t="s">
        <v>373</v>
      </c>
      <c r="C4" s="80" t="s">
        <v>374</v>
      </c>
      <c r="D4" s="81"/>
      <c r="E4" s="81"/>
      <c r="F4" s="81"/>
      <c r="G4" s="81"/>
      <c r="H4" s="81"/>
      <c r="I4" s="81"/>
      <c r="J4" s="82"/>
      <c r="K4" s="83" t="s">
        <v>374</v>
      </c>
      <c r="L4" s="81"/>
      <c r="M4" s="81"/>
      <c r="N4" s="81"/>
      <c r="O4" s="81"/>
      <c r="P4" s="81"/>
      <c r="Q4" s="82"/>
      <c r="R4" s="77"/>
      <c r="S4" s="77"/>
      <c r="T4" s="77"/>
      <c r="U4" s="77"/>
      <c r="V4" s="77"/>
      <c r="W4" s="77"/>
      <c r="X4" s="77"/>
      <c r="Y4" s="77"/>
      <c r="Z4" s="77"/>
    </row>
    <row r="5" spans="2:26" ht="18.75" customHeight="1">
      <c r="B5" s="587"/>
      <c r="C5" s="84"/>
      <c r="D5" s="606" t="s">
        <v>375</v>
      </c>
      <c r="E5" s="595"/>
      <c r="F5" s="595"/>
      <c r="G5" s="594"/>
      <c r="H5" s="610" t="s">
        <v>376</v>
      </c>
      <c r="I5" s="595"/>
      <c r="J5" s="85"/>
      <c r="K5" s="86"/>
      <c r="L5" s="606" t="s">
        <v>375</v>
      </c>
      <c r="M5" s="595"/>
      <c r="N5" s="594"/>
      <c r="O5" s="610" t="s">
        <v>377</v>
      </c>
      <c r="P5" s="595"/>
      <c r="Q5" s="85"/>
      <c r="R5" s="77"/>
      <c r="S5" s="77"/>
      <c r="T5" s="77"/>
      <c r="U5" s="77"/>
      <c r="V5" s="77"/>
      <c r="W5" s="77"/>
      <c r="X5" s="77"/>
      <c r="Y5" s="77"/>
      <c r="Z5" s="77"/>
    </row>
    <row r="6" spans="2:26" ht="18.75" customHeight="1">
      <c r="B6" s="587"/>
      <c r="C6" s="84"/>
      <c r="D6" s="606" t="s">
        <v>378</v>
      </c>
      <c r="E6" s="595"/>
      <c r="F6" s="595"/>
      <c r="G6" s="594"/>
      <c r="H6" s="610" t="s">
        <v>379</v>
      </c>
      <c r="I6" s="595"/>
      <c r="J6" s="85"/>
      <c r="K6" s="86"/>
      <c r="L6" s="606" t="s">
        <v>378</v>
      </c>
      <c r="M6" s="595"/>
      <c r="N6" s="594"/>
      <c r="O6" s="610" t="s">
        <v>380</v>
      </c>
      <c r="P6" s="595"/>
      <c r="Q6" s="85"/>
      <c r="R6" s="77"/>
      <c r="S6" s="77"/>
      <c r="T6" s="77"/>
      <c r="U6" s="77"/>
      <c r="V6" s="77"/>
      <c r="W6" s="77"/>
      <c r="X6" s="77"/>
      <c r="Y6" s="77"/>
      <c r="Z6" s="77"/>
    </row>
    <row r="7" spans="2:26" ht="18.75" customHeight="1">
      <c r="B7" s="587"/>
      <c r="C7" s="84"/>
      <c r="D7" s="606" t="s">
        <v>381</v>
      </c>
      <c r="E7" s="595"/>
      <c r="F7" s="595"/>
      <c r="G7" s="594"/>
      <c r="H7" s="610" t="s">
        <v>382</v>
      </c>
      <c r="I7" s="595"/>
      <c r="J7" s="85"/>
      <c r="K7" s="86"/>
      <c r="L7" s="606" t="s">
        <v>381</v>
      </c>
      <c r="M7" s="595"/>
      <c r="N7" s="594"/>
      <c r="O7" s="610" t="s">
        <v>383</v>
      </c>
      <c r="P7" s="595"/>
      <c r="Q7" s="85"/>
      <c r="R7" s="77"/>
      <c r="S7" s="77"/>
      <c r="T7" s="77"/>
      <c r="U7" s="77"/>
      <c r="V7" s="77"/>
      <c r="W7" s="77"/>
      <c r="X7" s="77"/>
      <c r="Y7" s="77"/>
      <c r="Z7" s="77"/>
    </row>
    <row r="8" spans="2:26" ht="18.75" customHeight="1">
      <c r="B8" s="587"/>
      <c r="C8" s="84"/>
      <c r="D8" s="606" t="s">
        <v>384</v>
      </c>
      <c r="E8" s="595"/>
      <c r="F8" s="595"/>
      <c r="G8" s="594"/>
      <c r="H8" s="610" t="s">
        <v>385</v>
      </c>
      <c r="I8" s="595"/>
      <c r="J8" s="85"/>
      <c r="K8" s="86"/>
      <c r="L8" s="606" t="s">
        <v>384</v>
      </c>
      <c r="M8" s="595"/>
      <c r="N8" s="594"/>
      <c r="O8" s="610" t="s">
        <v>385</v>
      </c>
      <c r="P8" s="595"/>
      <c r="Q8" s="85"/>
      <c r="R8" s="77"/>
      <c r="S8" s="77"/>
      <c r="T8" s="77"/>
      <c r="U8" s="77"/>
      <c r="V8" s="77"/>
      <c r="W8" s="77"/>
      <c r="X8" s="77"/>
      <c r="Y8" s="77"/>
      <c r="Z8" s="77"/>
    </row>
    <row r="9" spans="2:26" ht="8.25" customHeight="1" thickBot="1">
      <c r="B9" s="588"/>
      <c r="C9" s="87"/>
      <c r="D9" s="88"/>
      <c r="E9" s="88"/>
      <c r="F9" s="88"/>
      <c r="G9" s="88"/>
      <c r="H9" s="88"/>
      <c r="I9" s="88"/>
      <c r="J9" s="89"/>
      <c r="K9" s="90"/>
      <c r="L9" s="88"/>
      <c r="M9" s="88"/>
      <c r="N9" s="88"/>
      <c r="O9" s="88"/>
      <c r="P9" s="88"/>
      <c r="Q9" s="89"/>
      <c r="R9" s="77"/>
      <c r="S9" s="77"/>
      <c r="T9" s="77"/>
      <c r="U9" s="77"/>
      <c r="V9" s="77"/>
      <c r="W9" s="77"/>
      <c r="X9" s="77"/>
      <c r="Y9" s="77"/>
      <c r="Z9" s="77"/>
    </row>
    <row r="10" spans="2:26" ht="6.75" customHeight="1">
      <c r="B10" s="600" t="s">
        <v>386</v>
      </c>
      <c r="C10" s="80"/>
      <c r="D10" s="81"/>
      <c r="E10" s="81"/>
      <c r="F10" s="81"/>
      <c r="G10" s="81"/>
      <c r="H10" s="81"/>
      <c r="I10" s="81"/>
      <c r="J10" s="82"/>
      <c r="K10" s="83"/>
      <c r="L10" s="81"/>
      <c r="M10" s="81"/>
      <c r="N10" s="81"/>
      <c r="O10" s="81"/>
      <c r="P10" s="81"/>
      <c r="Q10" s="82"/>
      <c r="R10" s="77"/>
      <c r="S10" s="77"/>
      <c r="T10" s="77"/>
      <c r="U10" s="77"/>
      <c r="V10" s="77"/>
      <c r="W10" s="77"/>
      <c r="X10" s="77"/>
      <c r="Y10" s="77"/>
      <c r="Z10" s="77"/>
    </row>
    <row r="11" spans="2:26" ht="16.5" customHeight="1">
      <c r="B11" s="587"/>
      <c r="C11" s="84"/>
      <c r="D11" s="606" t="s">
        <v>324</v>
      </c>
      <c r="E11" s="595"/>
      <c r="F11" s="595"/>
      <c r="G11" s="610" t="s">
        <v>387</v>
      </c>
      <c r="H11" s="595"/>
      <c r="I11" s="595"/>
      <c r="J11" s="85"/>
      <c r="K11" s="86"/>
      <c r="L11" s="631" t="s">
        <v>324</v>
      </c>
      <c r="M11" s="632"/>
      <c r="N11" s="633" t="s">
        <v>388</v>
      </c>
      <c r="O11" s="634"/>
      <c r="P11" s="634"/>
      <c r="Q11" s="85"/>
      <c r="R11" s="77"/>
      <c r="S11" s="77"/>
      <c r="T11" s="77"/>
      <c r="U11" s="77"/>
      <c r="V11" s="77"/>
      <c r="W11" s="77"/>
      <c r="X11" s="77"/>
      <c r="Y11" s="77"/>
      <c r="Z11" s="77"/>
    </row>
    <row r="12" spans="2:26" ht="16.5" customHeight="1">
      <c r="B12" s="587"/>
      <c r="C12" s="84"/>
      <c r="D12" s="606" t="s">
        <v>389</v>
      </c>
      <c r="E12" s="595"/>
      <c r="F12" s="595"/>
      <c r="G12" s="610" t="s">
        <v>390</v>
      </c>
      <c r="H12" s="595"/>
      <c r="I12" s="595"/>
      <c r="J12" s="85"/>
      <c r="K12" s="86"/>
      <c r="L12" s="615"/>
      <c r="M12" s="592"/>
      <c r="N12" s="609"/>
      <c r="O12" s="615"/>
      <c r="P12" s="615"/>
      <c r="Q12" s="85"/>
      <c r="R12" s="77"/>
      <c r="S12" s="77"/>
      <c r="T12" s="77"/>
      <c r="U12" s="77"/>
      <c r="V12" s="77"/>
      <c r="W12" s="77"/>
      <c r="X12" s="77"/>
      <c r="Y12" s="77"/>
      <c r="Z12" s="77"/>
    </row>
    <row r="13" spans="2:26" ht="16.5" customHeight="1">
      <c r="B13" s="587"/>
      <c r="C13" s="84"/>
      <c r="D13" s="606" t="s">
        <v>391</v>
      </c>
      <c r="E13" s="595"/>
      <c r="F13" s="595"/>
      <c r="G13" s="610" t="s">
        <v>392</v>
      </c>
      <c r="H13" s="595"/>
      <c r="I13" s="595"/>
      <c r="J13" s="85"/>
      <c r="K13" s="86"/>
      <c r="L13" s="606" t="s">
        <v>393</v>
      </c>
      <c r="M13" s="594"/>
      <c r="N13" s="610" t="s">
        <v>392</v>
      </c>
      <c r="O13" s="595"/>
      <c r="P13" s="595"/>
      <c r="Q13" s="85"/>
      <c r="R13" s="77"/>
      <c r="S13" s="77"/>
      <c r="T13" s="77"/>
      <c r="U13" s="77"/>
      <c r="V13" s="77"/>
      <c r="W13" s="77"/>
      <c r="X13" s="77"/>
      <c r="Y13" s="77"/>
      <c r="Z13" s="77"/>
    </row>
    <row r="14" spans="2:26" ht="6.75" customHeight="1" thickBot="1">
      <c r="B14" s="588"/>
      <c r="C14" s="87"/>
      <c r="D14" s="88"/>
      <c r="E14" s="88"/>
      <c r="F14" s="88"/>
      <c r="G14" s="88"/>
      <c r="H14" s="88"/>
      <c r="I14" s="88"/>
      <c r="J14" s="89"/>
      <c r="K14" s="90"/>
      <c r="L14" s="88"/>
      <c r="M14" s="88"/>
      <c r="N14" s="88"/>
      <c r="O14" s="88"/>
      <c r="P14" s="88"/>
      <c r="Q14" s="89"/>
      <c r="R14" s="77"/>
      <c r="S14" s="77"/>
      <c r="T14" s="77"/>
      <c r="U14" s="77"/>
      <c r="V14" s="77"/>
      <c r="W14" s="77"/>
      <c r="X14" s="77"/>
      <c r="Y14" s="77"/>
      <c r="Z14" s="77"/>
    </row>
    <row r="15" spans="2:26" ht="6.75" customHeight="1">
      <c r="B15" s="600" t="s">
        <v>394</v>
      </c>
      <c r="C15" s="80"/>
      <c r="D15" s="81"/>
      <c r="E15" s="81"/>
      <c r="F15" s="81"/>
      <c r="G15" s="81"/>
      <c r="H15" s="81"/>
      <c r="I15" s="81"/>
      <c r="J15" s="82"/>
      <c r="K15" s="83"/>
      <c r="L15" s="81"/>
      <c r="M15" s="81"/>
      <c r="N15" s="81"/>
      <c r="O15" s="81"/>
      <c r="P15" s="81"/>
      <c r="Q15" s="82"/>
      <c r="R15" s="77"/>
      <c r="S15" s="77"/>
      <c r="T15" s="77"/>
      <c r="U15" s="77"/>
      <c r="V15" s="77"/>
      <c r="W15" s="77"/>
      <c r="X15" s="77"/>
      <c r="Y15" s="77"/>
      <c r="Z15" s="77"/>
    </row>
    <row r="16" spans="2:26" ht="20.25" customHeight="1">
      <c r="B16" s="587"/>
      <c r="C16" s="84"/>
      <c r="D16" s="606" t="s">
        <v>395</v>
      </c>
      <c r="E16" s="595"/>
      <c r="F16" s="595"/>
      <c r="G16" s="594"/>
      <c r="H16" s="610">
        <v>1</v>
      </c>
      <c r="I16" s="595"/>
      <c r="J16" s="85"/>
      <c r="K16" s="86"/>
      <c r="L16" s="606" t="s">
        <v>395</v>
      </c>
      <c r="M16" s="595"/>
      <c r="N16" s="594"/>
      <c r="O16" s="610" t="s">
        <v>396</v>
      </c>
      <c r="P16" s="595"/>
      <c r="Q16" s="85"/>
      <c r="R16" s="77"/>
      <c r="S16" s="77"/>
      <c r="T16" s="77"/>
      <c r="U16" s="77"/>
      <c r="V16" s="77"/>
      <c r="W16" s="77"/>
      <c r="X16" s="77"/>
      <c r="Y16" s="77"/>
      <c r="Z16" s="77"/>
    </row>
    <row r="17" spans="2:26" ht="20.25" customHeight="1">
      <c r="B17" s="587"/>
      <c r="C17" s="84"/>
      <c r="D17" s="606" t="s">
        <v>397</v>
      </c>
      <c r="E17" s="595"/>
      <c r="F17" s="595"/>
      <c r="G17" s="594"/>
      <c r="H17" s="610">
        <v>179</v>
      </c>
      <c r="I17" s="595"/>
      <c r="J17" s="85"/>
      <c r="K17" s="86"/>
      <c r="L17" s="606" t="s">
        <v>398</v>
      </c>
      <c r="M17" s="595"/>
      <c r="N17" s="594"/>
      <c r="O17" s="610" t="s">
        <v>399</v>
      </c>
      <c r="P17" s="595"/>
      <c r="Q17" s="85"/>
      <c r="R17" s="77"/>
      <c r="S17" s="77"/>
      <c r="T17" s="77"/>
      <c r="U17" s="77"/>
      <c r="V17" s="77"/>
      <c r="W17" s="77"/>
      <c r="X17" s="77"/>
      <c r="Y17" s="77"/>
      <c r="Z17" s="77"/>
    </row>
    <row r="18" spans="2:26" ht="20.25" customHeight="1">
      <c r="B18" s="587"/>
      <c r="C18" s="84"/>
      <c r="D18" s="606" t="s">
        <v>400</v>
      </c>
      <c r="E18" s="595"/>
      <c r="F18" s="595"/>
      <c r="G18" s="594"/>
      <c r="H18" s="610">
        <v>368</v>
      </c>
      <c r="I18" s="595"/>
      <c r="J18" s="85"/>
      <c r="K18" s="86"/>
      <c r="L18" s="606" t="s">
        <v>401</v>
      </c>
      <c r="M18" s="595"/>
      <c r="N18" s="594"/>
      <c r="O18" s="610" t="s">
        <v>402</v>
      </c>
      <c r="P18" s="595"/>
      <c r="Q18" s="85"/>
      <c r="R18" s="77"/>
      <c r="S18" s="77"/>
      <c r="T18" s="77"/>
      <c r="U18" s="77"/>
      <c r="V18" s="77"/>
      <c r="W18" s="77"/>
      <c r="X18" s="77"/>
      <c r="Y18" s="77"/>
      <c r="Z18" s="77"/>
    </row>
    <row r="19" spans="2:26" ht="20.25" customHeight="1">
      <c r="B19" s="587"/>
      <c r="C19" s="84"/>
      <c r="D19" s="606" t="s">
        <v>403</v>
      </c>
      <c r="E19" s="595"/>
      <c r="F19" s="595"/>
      <c r="G19" s="594"/>
      <c r="H19" s="610">
        <v>548</v>
      </c>
      <c r="I19" s="595"/>
      <c r="J19" s="85"/>
      <c r="K19" s="86"/>
      <c r="L19" s="606" t="s">
        <v>403</v>
      </c>
      <c r="M19" s="595"/>
      <c r="N19" s="594"/>
      <c r="O19" s="610" t="s">
        <v>404</v>
      </c>
      <c r="P19" s="595"/>
      <c r="Q19" s="85"/>
      <c r="R19" s="77"/>
      <c r="S19" s="77"/>
      <c r="T19" s="77"/>
      <c r="U19" s="77"/>
      <c r="V19" s="77"/>
      <c r="W19" s="77"/>
      <c r="X19" s="77"/>
      <c r="Y19" s="77"/>
      <c r="Z19" s="77"/>
    </row>
    <row r="20" spans="2:26" ht="5.25" customHeight="1" thickBot="1">
      <c r="B20" s="588"/>
      <c r="C20" s="87"/>
      <c r="D20" s="88"/>
      <c r="E20" s="88"/>
      <c r="F20" s="88"/>
      <c r="G20" s="88"/>
      <c r="H20" s="88"/>
      <c r="I20" s="88"/>
      <c r="J20" s="89"/>
      <c r="K20" s="90"/>
      <c r="L20" s="88"/>
      <c r="M20" s="88"/>
      <c r="N20" s="88"/>
      <c r="O20" s="88"/>
      <c r="P20" s="88"/>
      <c r="Q20" s="89"/>
      <c r="R20" s="77"/>
      <c r="S20" s="77"/>
      <c r="T20" s="77"/>
      <c r="U20" s="77"/>
      <c r="V20" s="77"/>
      <c r="W20" s="77"/>
      <c r="X20" s="77"/>
      <c r="Y20" s="77"/>
      <c r="Z20" s="77"/>
    </row>
    <row r="21" spans="2:26" ht="5.25" customHeight="1">
      <c r="B21" s="600" t="s">
        <v>405</v>
      </c>
      <c r="C21" s="80"/>
      <c r="D21" s="81"/>
      <c r="E21" s="81"/>
      <c r="F21" s="81"/>
      <c r="G21" s="81"/>
      <c r="H21" s="81"/>
      <c r="I21" s="81"/>
      <c r="J21" s="82"/>
      <c r="K21" s="83"/>
      <c r="L21" s="81"/>
      <c r="M21" s="81"/>
      <c r="N21" s="81"/>
      <c r="O21" s="81"/>
      <c r="P21" s="81"/>
      <c r="Q21" s="82"/>
      <c r="R21" s="77"/>
      <c r="S21" s="77"/>
      <c r="T21" s="77"/>
      <c r="U21" s="77"/>
      <c r="V21" s="77"/>
      <c r="W21" s="77"/>
      <c r="X21" s="77"/>
      <c r="Y21" s="77"/>
      <c r="Z21" s="77"/>
    </row>
    <row r="22" spans="2:26" ht="27.75" thickBot="1">
      <c r="B22" s="587"/>
      <c r="C22" s="84"/>
      <c r="D22" s="91"/>
      <c r="E22" s="92"/>
      <c r="F22" s="93" t="s">
        <v>406</v>
      </c>
      <c r="G22" s="93" t="s">
        <v>407</v>
      </c>
      <c r="H22" s="93" t="s">
        <v>408</v>
      </c>
      <c r="I22" s="94" t="s">
        <v>409</v>
      </c>
      <c r="J22" s="95"/>
      <c r="K22" s="96"/>
      <c r="L22" s="91"/>
      <c r="M22" s="93" t="s">
        <v>407</v>
      </c>
      <c r="N22" s="93" t="s">
        <v>410</v>
      </c>
      <c r="O22" s="623" t="s">
        <v>409</v>
      </c>
      <c r="P22" s="624"/>
      <c r="Q22" s="85"/>
      <c r="R22" s="77"/>
      <c r="S22" s="77"/>
      <c r="T22" s="77"/>
      <c r="U22" s="77"/>
      <c r="V22" s="77"/>
      <c r="W22" s="77"/>
      <c r="X22" s="77"/>
      <c r="Y22" s="77"/>
      <c r="Z22" s="77"/>
    </row>
    <row r="23" spans="2:26" ht="14.25" thickTop="1">
      <c r="B23" s="587"/>
      <c r="C23" s="84"/>
      <c r="D23" s="611" t="s">
        <v>407</v>
      </c>
      <c r="E23" s="625" t="s">
        <v>411</v>
      </c>
      <c r="F23" s="625" t="s">
        <v>412</v>
      </c>
      <c r="G23" s="97" t="s">
        <v>413</v>
      </c>
      <c r="H23" s="97" t="s">
        <v>414</v>
      </c>
      <c r="I23" s="613">
        <v>24</v>
      </c>
      <c r="J23" s="95"/>
      <c r="K23" s="96"/>
      <c r="L23" s="611" t="s">
        <v>415</v>
      </c>
      <c r="M23" s="98" t="s">
        <v>413</v>
      </c>
      <c r="N23" s="98" t="s">
        <v>416</v>
      </c>
      <c r="O23" s="613">
        <v>24</v>
      </c>
      <c r="P23" s="614"/>
      <c r="Q23" s="85"/>
      <c r="R23" s="77"/>
      <c r="S23" s="77"/>
      <c r="T23" s="77"/>
      <c r="U23" s="77"/>
      <c r="V23" s="77"/>
      <c r="W23" s="77"/>
      <c r="X23" s="77"/>
      <c r="Y23" s="77"/>
      <c r="Z23" s="77"/>
    </row>
    <row r="24" spans="2:26" ht="13.5">
      <c r="B24" s="587"/>
      <c r="C24" s="84"/>
      <c r="D24" s="612"/>
      <c r="E24" s="626"/>
      <c r="F24" s="626"/>
      <c r="G24" s="99" t="s">
        <v>417</v>
      </c>
      <c r="H24" s="99" t="s">
        <v>418</v>
      </c>
      <c r="I24" s="608"/>
      <c r="J24" s="95"/>
      <c r="K24" s="96"/>
      <c r="L24" s="612"/>
      <c r="M24" s="100" t="s">
        <v>417</v>
      </c>
      <c r="N24" s="100" t="s">
        <v>419</v>
      </c>
      <c r="O24" s="608"/>
      <c r="P24" s="585"/>
      <c r="Q24" s="85"/>
      <c r="R24" s="77"/>
      <c r="S24" s="77"/>
      <c r="T24" s="77"/>
      <c r="U24" s="77"/>
      <c r="V24" s="77"/>
      <c r="W24" s="77"/>
      <c r="X24" s="77"/>
      <c r="Y24" s="77"/>
      <c r="Z24" s="77"/>
    </row>
    <row r="25" spans="2:26" ht="13.5">
      <c r="B25" s="587"/>
      <c r="C25" s="84"/>
      <c r="D25" s="612"/>
      <c r="E25" s="626"/>
      <c r="F25" s="626"/>
      <c r="G25" s="99" t="s">
        <v>420</v>
      </c>
      <c r="H25" s="99" t="s">
        <v>421</v>
      </c>
      <c r="I25" s="627"/>
      <c r="J25" s="95"/>
      <c r="K25" s="96"/>
      <c r="L25" s="612"/>
      <c r="M25" s="100" t="s">
        <v>420</v>
      </c>
      <c r="N25" s="100" t="s">
        <v>422</v>
      </c>
      <c r="O25" s="609"/>
      <c r="P25" s="615"/>
      <c r="Q25" s="85"/>
      <c r="R25" s="77"/>
      <c r="S25" s="77"/>
      <c r="T25" s="77"/>
      <c r="U25" s="77"/>
      <c r="V25" s="77"/>
      <c r="W25" s="77"/>
      <c r="X25" s="77"/>
      <c r="Y25" s="77"/>
      <c r="Z25" s="77"/>
    </row>
    <row r="26" spans="2:26" ht="13.5">
      <c r="B26" s="587"/>
      <c r="C26" s="84"/>
      <c r="D26" s="612"/>
      <c r="E26" s="626"/>
      <c r="F26" s="583"/>
      <c r="G26" s="101" t="s">
        <v>423</v>
      </c>
      <c r="H26" s="101" t="s">
        <v>424</v>
      </c>
      <c r="I26" s="102">
        <v>6</v>
      </c>
      <c r="J26" s="95"/>
      <c r="K26" s="96"/>
      <c r="L26" s="612"/>
      <c r="M26" s="616" t="s">
        <v>425</v>
      </c>
      <c r="N26" s="103" t="s">
        <v>426</v>
      </c>
      <c r="O26" s="617">
        <v>6</v>
      </c>
      <c r="P26" s="618"/>
      <c r="Q26" s="85"/>
      <c r="R26" s="77"/>
      <c r="S26" s="77"/>
      <c r="T26" s="77"/>
      <c r="U26" s="77"/>
      <c r="V26" s="77"/>
      <c r="W26" s="77"/>
      <c r="X26" s="77"/>
      <c r="Y26" s="77"/>
      <c r="Z26" s="77"/>
    </row>
    <row r="27" spans="2:26" ht="40.5">
      <c r="B27" s="587"/>
      <c r="C27" s="84"/>
      <c r="D27" s="612"/>
      <c r="E27" s="626"/>
      <c r="F27" s="616" t="s">
        <v>427</v>
      </c>
      <c r="G27" s="103" t="s">
        <v>425</v>
      </c>
      <c r="H27" s="103" t="s">
        <v>428</v>
      </c>
      <c r="I27" s="619">
        <v>12</v>
      </c>
      <c r="J27" s="95"/>
      <c r="K27" s="96"/>
      <c r="L27" s="612"/>
      <c r="M27" s="583"/>
      <c r="N27" s="101" t="s">
        <v>429</v>
      </c>
      <c r="O27" s="620">
        <v>12</v>
      </c>
      <c r="P27" s="621"/>
      <c r="Q27" s="85"/>
      <c r="R27" s="77"/>
      <c r="S27" s="77"/>
      <c r="T27" s="77"/>
      <c r="U27" s="77"/>
      <c r="V27" s="77"/>
      <c r="W27" s="77"/>
      <c r="X27" s="77"/>
      <c r="Y27" s="77"/>
      <c r="Z27" s="77"/>
    </row>
    <row r="28" spans="2:26" ht="13.5">
      <c r="B28" s="587"/>
      <c r="C28" s="84"/>
      <c r="D28" s="612"/>
      <c r="E28" s="626"/>
      <c r="F28" s="583"/>
      <c r="G28" s="101" t="s">
        <v>430</v>
      </c>
      <c r="H28" s="101" t="s">
        <v>431</v>
      </c>
      <c r="I28" s="609"/>
      <c r="J28" s="95"/>
      <c r="K28" s="96"/>
      <c r="L28" s="612"/>
      <c r="M28" s="100" t="s">
        <v>430</v>
      </c>
      <c r="N28" s="100" t="s">
        <v>432</v>
      </c>
      <c r="O28" s="609"/>
      <c r="P28" s="615"/>
      <c r="Q28" s="85"/>
      <c r="R28" s="77"/>
      <c r="S28" s="77"/>
      <c r="T28" s="77"/>
      <c r="U28" s="77"/>
      <c r="V28" s="77"/>
      <c r="W28" s="77"/>
      <c r="X28" s="77"/>
      <c r="Y28" s="77"/>
      <c r="Z28" s="77"/>
    </row>
    <row r="29" spans="2:26" ht="13.5">
      <c r="B29" s="587"/>
      <c r="C29" s="84"/>
      <c r="D29" s="612"/>
      <c r="E29" s="626"/>
      <c r="F29" s="616" t="s">
        <v>433</v>
      </c>
      <c r="G29" s="103" t="s">
        <v>434</v>
      </c>
      <c r="H29" s="104"/>
      <c r="I29" s="105">
        <v>8</v>
      </c>
      <c r="J29" s="95"/>
      <c r="K29" s="96"/>
      <c r="L29" s="612"/>
      <c r="M29" s="100" t="s">
        <v>434</v>
      </c>
      <c r="N29" s="106"/>
      <c r="O29" s="622">
        <v>8</v>
      </c>
      <c r="P29" s="595"/>
      <c r="Q29" s="85"/>
      <c r="R29" s="77"/>
      <c r="S29" s="77"/>
      <c r="T29" s="77"/>
      <c r="U29" s="77"/>
      <c r="V29" s="77"/>
      <c r="W29" s="77"/>
      <c r="X29" s="77"/>
      <c r="Y29" s="77"/>
      <c r="Z29" s="77"/>
    </row>
    <row r="30" spans="2:26" ht="13.5">
      <c r="B30" s="587"/>
      <c r="C30" s="84"/>
      <c r="D30" s="612"/>
      <c r="E30" s="626"/>
      <c r="F30" s="583"/>
      <c r="G30" s="101" t="s">
        <v>435</v>
      </c>
      <c r="H30" s="107"/>
      <c r="I30" s="102">
        <v>6</v>
      </c>
      <c r="J30" s="95"/>
      <c r="K30" s="96"/>
      <c r="L30" s="612"/>
      <c r="M30" s="100" t="s">
        <v>435</v>
      </c>
      <c r="N30" s="106"/>
      <c r="O30" s="622">
        <v>6</v>
      </c>
      <c r="P30" s="595"/>
      <c r="Q30" s="85"/>
      <c r="R30" s="77"/>
      <c r="S30" s="77"/>
      <c r="T30" s="77"/>
      <c r="U30" s="77"/>
      <c r="V30" s="77"/>
      <c r="W30" s="77"/>
      <c r="X30" s="77"/>
      <c r="Y30" s="77"/>
      <c r="Z30" s="77"/>
    </row>
    <row r="31" spans="2:26" ht="54">
      <c r="B31" s="587"/>
      <c r="C31" s="84"/>
      <c r="D31" s="612"/>
      <c r="E31" s="626"/>
      <c r="F31" s="100" t="s">
        <v>436</v>
      </c>
      <c r="G31" s="100" t="s">
        <v>437</v>
      </c>
      <c r="H31" s="106"/>
      <c r="I31" s="108">
        <v>10</v>
      </c>
      <c r="J31" s="95"/>
      <c r="K31" s="96"/>
      <c r="L31" s="612"/>
      <c r="M31" s="100" t="s">
        <v>438</v>
      </c>
      <c r="N31" s="106"/>
      <c r="O31" s="622">
        <v>8</v>
      </c>
      <c r="P31" s="595"/>
      <c r="Q31" s="85"/>
      <c r="R31" s="77"/>
      <c r="S31" s="77"/>
      <c r="T31" s="77"/>
      <c r="U31" s="77"/>
      <c r="V31" s="77"/>
      <c r="W31" s="77"/>
      <c r="X31" s="77"/>
      <c r="Y31" s="77"/>
      <c r="Z31" s="77"/>
    </row>
    <row r="32" spans="2:26" ht="18.75" customHeight="1">
      <c r="B32" s="587"/>
      <c r="C32" s="84"/>
      <c r="D32" s="612"/>
      <c r="E32" s="583"/>
      <c r="F32" s="630" t="s">
        <v>403</v>
      </c>
      <c r="G32" s="595"/>
      <c r="H32" s="594"/>
      <c r="I32" s="109">
        <v>66</v>
      </c>
      <c r="J32" s="95"/>
      <c r="K32" s="96"/>
      <c r="L32" s="592"/>
      <c r="M32" s="630" t="s">
        <v>403</v>
      </c>
      <c r="N32" s="594"/>
      <c r="O32" s="603">
        <v>64</v>
      </c>
      <c r="P32" s="595"/>
      <c r="Q32" s="85"/>
      <c r="R32" s="77"/>
      <c r="S32" s="77"/>
      <c r="T32" s="77"/>
      <c r="U32" s="77"/>
      <c r="V32" s="77"/>
      <c r="W32" s="77"/>
      <c r="X32" s="77"/>
      <c r="Y32" s="77"/>
      <c r="Z32" s="77"/>
    </row>
    <row r="33" spans="2:26" ht="35.25" customHeight="1">
      <c r="B33" s="587"/>
      <c r="C33" s="84"/>
      <c r="D33" s="592"/>
      <c r="E33" s="110" t="s">
        <v>439</v>
      </c>
      <c r="F33" s="630" t="s">
        <v>440</v>
      </c>
      <c r="G33" s="595"/>
      <c r="H33" s="594"/>
      <c r="I33" s="109">
        <v>86</v>
      </c>
      <c r="J33" s="95"/>
      <c r="K33" s="96"/>
      <c r="L33" s="111" t="s">
        <v>441</v>
      </c>
      <c r="M33" s="630" t="s">
        <v>442</v>
      </c>
      <c r="N33" s="594"/>
      <c r="O33" s="603">
        <v>80</v>
      </c>
      <c r="P33" s="595"/>
      <c r="Q33" s="85"/>
      <c r="R33" s="77"/>
      <c r="S33" s="77"/>
      <c r="T33" s="77"/>
      <c r="U33" s="77"/>
      <c r="V33" s="77"/>
      <c r="W33" s="77"/>
      <c r="X33" s="77"/>
      <c r="Y33" s="77"/>
      <c r="Z33" s="77"/>
    </row>
    <row r="34" spans="2:26" ht="21.75" customHeight="1">
      <c r="B34" s="587"/>
      <c r="C34" s="84"/>
      <c r="D34" s="628" t="s">
        <v>381</v>
      </c>
      <c r="E34" s="595"/>
      <c r="F34" s="595"/>
      <c r="G34" s="595"/>
      <c r="H34" s="594"/>
      <c r="I34" s="112">
        <v>22</v>
      </c>
      <c r="J34" s="95"/>
      <c r="K34" s="96"/>
      <c r="L34" s="628" t="s">
        <v>381</v>
      </c>
      <c r="M34" s="595"/>
      <c r="N34" s="594"/>
      <c r="O34" s="629">
        <v>30</v>
      </c>
      <c r="P34" s="595"/>
      <c r="Q34" s="85"/>
      <c r="R34" s="77"/>
      <c r="S34" s="77"/>
      <c r="T34" s="77"/>
      <c r="U34" s="77"/>
      <c r="V34" s="77"/>
      <c r="W34" s="77"/>
      <c r="X34" s="77"/>
      <c r="Y34" s="77"/>
      <c r="Z34" s="77"/>
    </row>
    <row r="35" spans="2:26" ht="24" customHeight="1">
      <c r="B35" s="587"/>
      <c r="C35" s="84"/>
      <c r="D35" s="628" t="s">
        <v>384</v>
      </c>
      <c r="E35" s="595"/>
      <c r="F35" s="595"/>
      <c r="G35" s="595"/>
      <c r="H35" s="594"/>
      <c r="I35" s="112">
        <v>18</v>
      </c>
      <c r="J35" s="95"/>
      <c r="K35" s="96"/>
      <c r="L35" s="628" t="s">
        <v>384</v>
      </c>
      <c r="M35" s="595"/>
      <c r="N35" s="594"/>
      <c r="O35" s="629">
        <v>18</v>
      </c>
      <c r="P35" s="595"/>
      <c r="Q35" s="85"/>
      <c r="R35" s="77"/>
      <c r="S35" s="77"/>
      <c r="T35" s="77"/>
      <c r="U35" s="77"/>
      <c r="V35" s="77"/>
      <c r="W35" s="77"/>
      <c r="X35" s="77"/>
      <c r="Y35" s="77"/>
      <c r="Z35" s="77"/>
    </row>
    <row r="36" spans="2:26" ht="13.5">
      <c r="B36" s="587"/>
      <c r="C36" s="84"/>
      <c r="D36" s="602" t="s">
        <v>443</v>
      </c>
      <c r="E36" s="595"/>
      <c r="F36" s="595"/>
      <c r="G36" s="595"/>
      <c r="H36" s="594"/>
      <c r="I36" s="109">
        <v>192</v>
      </c>
      <c r="J36" s="95"/>
      <c r="K36" s="96"/>
      <c r="L36" s="602" t="s">
        <v>443</v>
      </c>
      <c r="M36" s="595"/>
      <c r="N36" s="594"/>
      <c r="O36" s="603">
        <v>192</v>
      </c>
      <c r="P36" s="595"/>
      <c r="Q36" s="85"/>
      <c r="R36" s="77"/>
      <c r="S36" s="77"/>
      <c r="T36" s="77"/>
      <c r="U36" s="77"/>
      <c r="V36" s="77"/>
      <c r="W36" s="77"/>
      <c r="X36" s="77"/>
      <c r="Y36" s="77"/>
      <c r="Z36" s="77"/>
    </row>
    <row r="37" spans="2:26" ht="5.25" customHeight="1" thickBot="1">
      <c r="B37" s="588"/>
      <c r="C37" s="87"/>
      <c r="D37" s="88"/>
      <c r="E37" s="88"/>
      <c r="F37" s="88"/>
      <c r="G37" s="88"/>
      <c r="H37" s="88"/>
      <c r="I37" s="88"/>
      <c r="J37" s="89"/>
      <c r="K37" s="90"/>
      <c r="L37" s="88"/>
      <c r="M37" s="88"/>
      <c r="N37" s="88"/>
      <c r="O37" s="88"/>
      <c r="P37" s="88"/>
      <c r="Q37" s="89"/>
      <c r="R37" s="77"/>
      <c r="S37" s="77"/>
      <c r="T37" s="77"/>
      <c r="U37" s="77"/>
      <c r="V37" s="77"/>
      <c r="W37" s="77"/>
      <c r="X37" s="77"/>
      <c r="Y37" s="77"/>
      <c r="Z37" s="77"/>
    </row>
    <row r="38" spans="2:26" ht="5.25" customHeight="1">
      <c r="B38" s="600" t="s">
        <v>444</v>
      </c>
      <c r="C38" s="80"/>
      <c r="D38" s="81"/>
      <c r="E38" s="81"/>
      <c r="F38" s="81"/>
      <c r="G38" s="81"/>
      <c r="H38" s="81"/>
      <c r="I38" s="81"/>
      <c r="J38" s="82"/>
      <c r="K38" s="83"/>
      <c r="L38" s="81"/>
      <c r="M38" s="81"/>
      <c r="N38" s="81"/>
      <c r="O38" s="81"/>
      <c r="P38" s="81"/>
      <c r="Q38" s="82"/>
      <c r="R38" s="77"/>
      <c r="S38" s="77"/>
      <c r="T38" s="77"/>
      <c r="U38" s="77"/>
      <c r="V38" s="77"/>
      <c r="W38" s="77"/>
      <c r="X38" s="77"/>
      <c r="Y38" s="77"/>
      <c r="Z38" s="77"/>
    </row>
    <row r="39" spans="2:26" ht="13.5">
      <c r="B39" s="587"/>
      <c r="C39" s="84" t="s">
        <v>445</v>
      </c>
      <c r="D39" s="113"/>
      <c r="E39" s="113"/>
      <c r="F39" s="113"/>
      <c r="G39" s="113"/>
      <c r="H39" s="113"/>
      <c r="I39" s="113"/>
      <c r="J39" s="85"/>
      <c r="K39" s="86"/>
      <c r="L39" s="113" t="s">
        <v>446</v>
      </c>
      <c r="M39" s="113"/>
      <c r="N39" s="113"/>
      <c r="O39" s="113"/>
      <c r="P39" s="113"/>
      <c r="Q39" s="85"/>
      <c r="R39" s="77"/>
      <c r="S39" s="77"/>
      <c r="T39" s="77"/>
      <c r="U39" s="77"/>
      <c r="V39" s="77"/>
      <c r="W39" s="77"/>
      <c r="X39" s="77"/>
      <c r="Y39" s="77"/>
      <c r="Z39" s="77"/>
    </row>
    <row r="40" spans="2:26" ht="13.5">
      <c r="B40" s="587"/>
      <c r="C40" s="84" t="s">
        <v>447</v>
      </c>
      <c r="D40" s="113"/>
      <c r="E40" s="113"/>
      <c r="F40" s="113"/>
      <c r="G40" s="113"/>
      <c r="H40" s="113"/>
      <c r="I40" s="113"/>
      <c r="J40" s="85"/>
      <c r="K40" s="86"/>
      <c r="L40" s="113" t="s">
        <v>448</v>
      </c>
      <c r="M40" s="113"/>
      <c r="N40" s="113"/>
      <c r="O40" s="113"/>
      <c r="P40" s="113"/>
      <c r="Q40" s="85"/>
      <c r="R40" s="77"/>
      <c r="S40" s="77"/>
      <c r="T40" s="77"/>
      <c r="U40" s="77"/>
      <c r="V40" s="77"/>
      <c r="W40" s="77"/>
      <c r="X40" s="77"/>
      <c r="Y40" s="77"/>
      <c r="Z40" s="77"/>
    </row>
    <row r="41" spans="2:26" ht="5.25" customHeight="1" thickBot="1">
      <c r="B41" s="588"/>
      <c r="C41" s="87"/>
      <c r="D41" s="88"/>
      <c r="E41" s="88"/>
      <c r="F41" s="88"/>
      <c r="G41" s="88"/>
      <c r="H41" s="88"/>
      <c r="I41" s="88"/>
      <c r="J41" s="89"/>
      <c r="K41" s="90"/>
      <c r="L41" s="88"/>
      <c r="M41" s="88"/>
      <c r="N41" s="88"/>
      <c r="O41" s="88"/>
      <c r="P41" s="88"/>
      <c r="Q41" s="89"/>
      <c r="R41" s="77"/>
      <c r="S41" s="77"/>
      <c r="T41" s="77"/>
      <c r="U41" s="77"/>
      <c r="V41" s="77"/>
      <c r="W41" s="77"/>
      <c r="X41" s="77"/>
      <c r="Y41" s="77"/>
      <c r="Z41" s="77"/>
    </row>
    <row r="42" spans="2:26" ht="5.25" customHeight="1">
      <c r="B42" s="600" t="s">
        <v>449</v>
      </c>
      <c r="C42" s="80"/>
      <c r="D42" s="81"/>
      <c r="E42" s="81"/>
      <c r="F42" s="81"/>
      <c r="G42" s="81"/>
      <c r="H42" s="81"/>
      <c r="I42" s="81"/>
      <c r="J42" s="82"/>
      <c r="K42" s="83"/>
      <c r="L42" s="81"/>
      <c r="M42" s="81"/>
      <c r="N42" s="81"/>
      <c r="O42" s="81"/>
      <c r="P42" s="81"/>
      <c r="Q42" s="82"/>
      <c r="R42" s="77"/>
      <c r="S42" s="77"/>
      <c r="T42" s="77"/>
      <c r="U42" s="77"/>
      <c r="V42" s="77"/>
      <c r="W42" s="77"/>
      <c r="X42" s="77"/>
      <c r="Y42" s="77"/>
      <c r="Z42" s="77"/>
    </row>
    <row r="43" spans="2:26" ht="13.5">
      <c r="B43" s="587"/>
      <c r="C43" s="84"/>
      <c r="D43" s="113" t="s">
        <v>450</v>
      </c>
      <c r="E43" s="113"/>
      <c r="F43" s="113"/>
      <c r="G43" s="113"/>
      <c r="H43" s="113"/>
      <c r="I43" s="113"/>
      <c r="J43" s="85"/>
      <c r="K43" s="86"/>
      <c r="L43" s="113" t="s">
        <v>451</v>
      </c>
      <c r="M43" s="113"/>
      <c r="N43" s="113"/>
      <c r="O43" s="113"/>
      <c r="P43" s="113"/>
      <c r="Q43" s="85"/>
      <c r="R43" s="77"/>
      <c r="S43" s="77"/>
      <c r="T43" s="77"/>
      <c r="U43" s="77"/>
      <c r="V43" s="77"/>
      <c r="W43" s="77"/>
      <c r="X43" s="77"/>
      <c r="Y43" s="77"/>
      <c r="Z43" s="77"/>
    </row>
    <row r="44" spans="2:26" ht="13.5">
      <c r="B44" s="587"/>
      <c r="C44" s="84"/>
      <c r="D44" s="113" t="s">
        <v>452</v>
      </c>
      <c r="E44" s="114"/>
      <c r="F44" s="114"/>
      <c r="G44" s="114"/>
      <c r="H44" s="114"/>
      <c r="I44" s="114"/>
      <c r="J44" s="85"/>
      <c r="K44" s="86"/>
      <c r="L44" s="113"/>
      <c r="M44" s="113"/>
      <c r="N44" s="113"/>
      <c r="O44" s="113"/>
      <c r="P44" s="113"/>
      <c r="Q44" s="85"/>
      <c r="R44" s="77"/>
      <c r="S44" s="77"/>
      <c r="T44" s="77"/>
      <c r="U44" s="77"/>
      <c r="V44" s="77"/>
      <c r="W44" s="77"/>
      <c r="X44" s="77"/>
      <c r="Y44" s="77"/>
      <c r="Z44" s="77"/>
    </row>
    <row r="45" spans="2:26" ht="13.5">
      <c r="B45" s="587"/>
      <c r="C45" s="84"/>
      <c r="D45" s="604" t="s">
        <v>370</v>
      </c>
      <c r="E45" s="595"/>
      <c r="F45" s="594"/>
      <c r="G45" s="605" t="s">
        <v>453</v>
      </c>
      <c r="H45" s="594"/>
      <c r="I45" s="115" t="s">
        <v>454</v>
      </c>
      <c r="J45" s="85"/>
      <c r="K45" s="86"/>
      <c r="L45" s="604" t="s">
        <v>370</v>
      </c>
      <c r="M45" s="594"/>
      <c r="N45" s="605" t="s">
        <v>453</v>
      </c>
      <c r="O45" s="594"/>
      <c r="P45" s="115" t="s">
        <v>455</v>
      </c>
      <c r="Q45" s="85"/>
      <c r="R45" s="77"/>
      <c r="S45" s="77"/>
      <c r="T45" s="77"/>
      <c r="U45" s="77"/>
      <c r="V45" s="77"/>
      <c r="W45" s="77"/>
      <c r="X45" s="77"/>
      <c r="Y45" s="77"/>
      <c r="Z45" s="77"/>
    </row>
    <row r="46" spans="2:26" ht="38.25" customHeight="1">
      <c r="B46" s="587"/>
      <c r="C46" s="84"/>
      <c r="D46" s="606" t="s">
        <v>456</v>
      </c>
      <c r="E46" s="594"/>
      <c r="F46" s="116">
        <v>1</v>
      </c>
      <c r="G46" s="599" t="s">
        <v>457</v>
      </c>
      <c r="H46" s="594"/>
      <c r="I46" s="607">
        <v>86</v>
      </c>
      <c r="J46" s="85"/>
      <c r="K46" s="86"/>
      <c r="L46" s="117" t="s">
        <v>456</v>
      </c>
      <c r="M46" s="116">
        <v>3</v>
      </c>
      <c r="N46" s="599" t="s">
        <v>458</v>
      </c>
      <c r="O46" s="594"/>
      <c r="P46" s="607">
        <v>80</v>
      </c>
      <c r="Q46" s="85"/>
      <c r="R46" s="77"/>
      <c r="S46" s="77"/>
      <c r="T46" s="77"/>
      <c r="U46" s="77"/>
      <c r="V46" s="77"/>
      <c r="W46" s="77"/>
      <c r="X46" s="77"/>
      <c r="Y46" s="77"/>
      <c r="Z46" s="77"/>
    </row>
    <row r="47" spans="2:26" ht="16.5" customHeight="1">
      <c r="B47" s="587"/>
      <c r="C47" s="84"/>
      <c r="D47" s="606" t="s">
        <v>459</v>
      </c>
      <c r="E47" s="594"/>
      <c r="F47" s="116">
        <v>179</v>
      </c>
      <c r="G47" s="610" t="s">
        <v>442</v>
      </c>
      <c r="H47" s="594"/>
      <c r="I47" s="608"/>
      <c r="J47" s="85"/>
      <c r="K47" s="86"/>
      <c r="L47" s="117" t="s">
        <v>460</v>
      </c>
      <c r="M47" s="116">
        <v>216</v>
      </c>
      <c r="N47" s="610" t="s">
        <v>442</v>
      </c>
      <c r="O47" s="594"/>
      <c r="P47" s="608"/>
      <c r="Q47" s="85"/>
      <c r="R47" s="77"/>
      <c r="S47" s="77"/>
      <c r="T47" s="77"/>
      <c r="U47" s="77"/>
      <c r="V47" s="77"/>
      <c r="W47" s="77"/>
      <c r="X47" s="77"/>
      <c r="Y47" s="77"/>
      <c r="Z47" s="77"/>
    </row>
    <row r="48" spans="2:26" ht="16.5" customHeight="1">
      <c r="B48" s="587"/>
      <c r="C48" s="84"/>
      <c r="D48" s="606" t="s">
        <v>461</v>
      </c>
      <c r="E48" s="594"/>
      <c r="F48" s="116">
        <v>368</v>
      </c>
      <c r="G48" s="610" t="s">
        <v>442</v>
      </c>
      <c r="H48" s="594"/>
      <c r="I48" s="609"/>
      <c r="J48" s="85"/>
      <c r="K48" s="86"/>
      <c r="L48" s="117" t="s">
        <v>462</v>
      </c>
      <c r="M48" s="116">
        <v>309</v>
      </c>
      <c r="N48" s="610" t="s">
        <v>442</v>
      </c>
      <c r="O48" s="594"/>
      <c r="P48" s="609"/>
      <c r="Q48" s="85"/>
      <c r="R48" s="77"/>
      <c r="S48" s="77"/>
      <c r="T48" s="77"/>
      <c r="U48" s="77"/>
      <c r="V48" s="77"/>
      <c r="W48" s="77"/>
      <c r="X48" s="77"/>
      <c r="Y48" s="77"/>
      <c r="Z48" s="77"/>
    </row>
    <row r="49" spans="2:26" ht="5.25" customHeight="1" thickBot="1">
      <c r="B49" s="588"/>
      <c r="C49" s="87"/>
      <c r="D49" s="88"/>
      <c r="E49" s="88"/>
      <c r="F49" s="88"/>
      <c r="G49" s="88"/>
      <c r="H49" s="88"/>
      <c r="I49" s="88"/>
      <c r="J49" s="89"/>
      <c r="K49" s="90"/>
      <c r="L49" s="88"/>
      <c r="M49" s="88"/>
      <c r="N49" s="88"/>
      <c r="O49" s="88"/>
      <c r="P49" s="88"/>
      <c r="Q49" s="89"/>
      <c r="R49" s="77"/>
      <c r="S49" s="77"/>
      <c r="T49" s="77"/>
      <c r="U49" s="77"/>
      <c r="V49" s="77"/>
      <c r="W49" s="77"/>
      <c r="X49" s="77"/>
      <c r="Y49" s="77"/>
      <c r="Z49" s="77"/>
    </row>
    <row r="50" spans="2:26" ht="5.25" customHeight="1">
      <c r="B50" s="600" t="s">
        <v>463</v>
      </c>
      <c r="C50" s="80"/>
      <c r="D50" s="81"/>
      <c r="E50" s="81"/>
      <c r="F50" s="81"/>
      <c r="G50" s="81"/>
      <c r="H50" s="81"/>
      <c r="I50" s="81"/>
      <c r="J50" s="82"/>
      <c r="K50" s="83"/>
      <c r="L50" s="81"/>
      <c r="M50" s="81"/>
      <c r="N50" s="81"/>
      <c r="O50" s="81"/>
      <c r="P50" s="81"/>
      <c r="Q50" s="82"/>
      <c r="R50" s="77"/>
      <c r="S50" s="77"/>
      <c r="T50" s="77"/>
      <c r="U50" s="77"/>
      <c r="V50" s="77"/>
      <c r="W50" s="77"/>
      <c r="X50" s="77"/>
      <c r="Y50" s="77"/>
      <c r="Z50" s="77"/>
    </row>
    <row r="51" spans="2:26" ht="24">
      <c r="B51" s="587"/>
      <c r="C51" s="84"/>
      <c r="D51" s="601" t="s">
        <v>370</v>
      </c>
      <c r="E51" s="595"/>
      <c r="F51" s="594"/>
      <c r="G51" s="118" t="s">
        <v>464</v>
      </c>
      <c r="H51" s="118" t="s">
        <v>465</v>
      </c>
      <c r="I51" s="119" t="s">
        <v>466</v>
      </c>
      <c r="J51" s="95"/>
      <c r="K51" s="96"/>
      <c r="L51" s="601" t="s">
        <v>370</v>
      </c>
      <c r="M51" s="594"/>
      <c r="N51" s="118" t="s">
        <v>464</v>
      </c>
      <c r="O51" s="118" t="s">
        <v>465</v>
      </c>
      <c r="P51" s="119" t="s">
        <v>467</v>
      </c>
      <c r="Q51" s="85"/>
      <c r="R51" s="77"/>
      <c r="S51" s="77"/>
      <c r="T51" s="77"/>
      <c r="U51" s="77"/>
      <c r="V51" s="77"/>
      <c r="W51" s="77"/>
      <c r="X51" s="77"/>
      <c r="Y51" s="77"/>
      <c r="Z51" s="77"/>
    </row>
    <row r="52" spans="2:26" ht="13.5">
      <c r="B52" s="587"/>
      <c r="C52" s="84"/>
      <c r="D52" s="598" t="s">
        <v>468</v>
      </c>
      <c r="E52" s="595"/>
      <c r="F52" s="594"/>
      <c r="G52" s="120">
        <v>8</v>
      </c>
      <c r="H52" s="120">
        <v>-2</v>
      </c>
      <c r="I52" s="121" t="s">
        <v>469</v>
      </c>
      <c r="J52" s="95"/>
      <c r="K52" s="96"/>
      <c r="L52" s="598" t="s">
        <v>468</v>
      </c>
      <c r="M52" s="594"/>
      <c r="N52" s="120">
        <v>4</v>
      </c>
      <c r="O52" s="120">
        <v>-1</v>
      </c>
      <c r="P52" s="121" t="s">
        <v>365</v>
      </c>
      <c r="Q52" s="85"/>
      <c r="R52" s="77"/>
      <c r="S52" s="77"/>
      <c r="T52" s="77"/>
      <c r="U52" s="77"/>
      <c r="V52" s="77"/>
      <c r="W52" s="77"/>
      <c r="X52" s="77"/>
      <c r="Y52" s="77"/>
      <c r="Z52" s="77"/>
    </row>
    <row r="53" spans="2:26" ht="27.75" customHeight="1">
      <c r="B53" s="587"/>
      <c r="C53" s="84"/>
      <c r="D53" s="598" t="s">
        <v>470</v>
      </c>
      <c r="E53" s="595"/>
      <c r="F53" s="594"/>
      <c r="G53" s="120">
        <v>6</v>
      </c>
      <c r="H53" s="122"/>
      <c r="I53" s="121" t="s">
        <v>471</v>
      </c>
      <c r="J53" s="95"/>
      <c r="K53" s="96"/>
      <c r="L53" s="598" t="s">
        <v>472</v>
      </c>
      <c r="M53" s="594"/>
      <c r="N53" s="120">
        <v>3</v>
      </c>
      <c r="O53" s="122"/>
      <c r="P53" s="121">
        <v>3</v>
      </c>
      <c r="Q53" s="85"/>
      <c r="R53" s="77"/>
      <c r="S53" s="77"/>
      <c r="T53" s="77"/>
      <c r="U53" s="77"/>
      <c r="V53" s="77"/>
      <c r="W53" s="77"/>
      <c r="X53" s="77"/>
      <c r="Y53" s="77"/>
      <c r="Z53" s="77"/>
    </row>
    <row r="54" spans="2:26" ht="13.5">
      <c r="B54" s="587"/>
      <c r="C54" s="84"/>
      <c r="D54" s="598" t="s">
        <v>473</v>
      </c>
      <c r="E54" s="595"/>
      <c r="F54" s="594"/>
      <c r="G54" s="120">
        <v>5</v>
      </c>
      <c r="H54" s="120" t="s">
        <v>474</v>
      </c>
      <c r="I54" s="121" t="s">
        <v>475</v>
      </c>
      <c r="J54" s="95"/>
      <c r="K54" s="96"/>
      <c r="L54" s="598" t="s">
        <v>476</v>
      </c>
      <c r="M54" s="594"/>
      <c r="N54" s="120">
        <v>4</v>
      </c>
      <c r="O54" s="120" t="s">
        <v>477</v>
      </c>
      <c r="P54" s="121" t="s">
        <v>367</v>
      </c>
      <c r="Q54" s="85"/>
      <c r="R54" s="77"/>
      <c r="S54" s="77"/>
      <c r="T54" s="77"/>
      <c r="U54" s="77"/>
      <c r="V54" s="77"/>
      <c r="W54" s="77"/>
      <c r="X54" s="77"/>
      <c r="Y54" s="77"/>
      <c r="Z54" s="77"/>
    </row>
    <row r="55" spans="2:26" ht="13.5">
      <c r="B55" s="587"/>
      <c r="C55" s="84"/>
      <c r="D55" s="598" t="s">
        <v>478</v>
      </c>
      <c r="E55" s="595"/>
      <c r="F55" s="594"/>
      <c r="G55" s="120">
        <v>5</v>
      </c>
      <c r="H55" s="120" t="s">
        <v>479</v>
      </c>
      <c r="I55" s="121" t="s">
        <v>480</v>
      </c>
      <c r="J55" s="95"/>
      <c r="K55" s="96"/>
      <c r="L55" s="598" t="s">
        <v>481</v>
      </c>
      <c r="M55" s="594"/>
      <c r="N55" s="120">
        <v>3</v>
      </c>
      <c r="O55" s="120" t="s">
        <v>477</v>
      </c>
      <c r="P55" s="121" t="s">
        <v>368</v>
      </c>
      <c r="Q55" s="85"/>
      <c r="R55" s="77"/>
      <c r="S55" s="77"/>
      <c r="T55" s="77"/>
      <c r="U55" s="77"/>
      <c r="V55" s="77"/>
      <c r="W55" s="77"/>
      <c r="X55" s="77"/>
      <c r="Y55" s="77"/>
      <c r="Z55" s="77"/>
    </row>
    <row r="56" spans="2:26" ht="13.5">
      <c r="B56" s="587"/>
      <c r="C56" s="84"/>
      <c r="D56" s="598" t="s">
        <v>482</v>
      </c>
      <c r="E56" s="595"/>
      <c r="F56" s="594"/>
      <c r="G56" s="120">
        <v>5</v>
      </c>
      <c r="H56" s="120" t="s">
        <v>479</v>
      </c>
      <c r="I56" s="121" t="s">
        <v>480</v>
      </c>
      <c r="J56" s="95"/>
      <c r="K56" s="96"/>
      <c r="L56" s="598" t="s">
        <v>393</v>
      </c>
      <c r="M56" s="594"/>
      <c r="N56" s="599" t="s">
        <v>483</v>
      </c>
      <c r="O56" s="595"/>
      <c r="P56" s="595"/>
      <c r="Q56" s="85"/>
      <c r="R56" s="77"/>
      <c r="S56" s="77"/>
      <c r="T56" s="77"/>
      <c r="U56" s="77"/>
      <c r="V56" s="77"/>
      <c r="W56" s="77"/>
      <c r="X56" s="77"/>
      <c r="Y56" s="77"/>
      <c r="Z56" s="77"/>
    </row>
    <row r="57" spans="2:26" ht="13.5">
      <c r="B57" s="587"/>
      <c r="C57" s="84"/>
      <c r="D57" s="598" t="s">
        <v>391</v>
      </c>
      <c r="E57" s="595"/>
      <c r="F57" s="594"/>
      <c r="G57" s="599" t="s">
        <v>483</v>
      </c>
      <c r="H57" s="595"/>
      <c r="I57" s="595"/>
      <c r="J57" s="95"/>
      <c r="K57" s="96"/>
      <c r="L57" s="123"/>
      <c r="M57" s="113"/>
      <c r="N57" s="113"/>
      <c r="O57" s="113"/>
      <c r="P57" s="113"/>
      <c r="Q57" s="85"/>
      <c r="R57" s="77"/>
      <c r="S57" s="77"/>
      <c r="T57" s="77"/>
      <c r="U57" s="77"/>
      <c r="V57" s="77"/>
      <c r="W57" s="77"/>
      <c r="X57" s="77"/>
      <c r="Y57" s="77"/>
      <c r="Z57" s="77"/>
    </row>
    <row r="58" spans="2:26" ht="13.5">
      <c r="B58" s="587"/>
      <c r="C58" s="84"/>
      <c r="D58" s="113"/>
      <c r="E58" s="113"/>
      <c r="F58" s="113"/>
      <c r="G58" s="113"/>
      <c r="H58" s="113"/>
      <c r="I58" s="113"/>
      <c r="J58" s="85"/>
      <c r="K58" s="86"/>
      <c r="L58" s="113"/>
      <c r="M58" s="113"/>
      <c r="N58" s="113"/>
      <c r="O58" s="113"/>
      <c r="P58" s="113"/>
      <c r="Q58" s="85"/>
      <c r="R58" s="77"/>
      <c r="S58" s="77"/>
      <c r="T58" s="77"/>
      <c r="U58" s="77"/>
      <c r="V58" s="77"/>
      <c r="W58" s="77"/>
      <c r="X58" s="77"/>
      <c r="Y58" s="77"/>
      <c r="Z58" s="77"/>
    </row>
    <row r="59" spans="2:26" ht="33.75" customHeight="1">
      <c r="B59" s="587"/>
      <c r="C59" s="84"/>
      <c r="D59" s="584" t="s">
        <v>484</v>
      </c>
      <c r="E59" s="585"/>
      <c r="F59" s="585"/>
      <c r="G59" s="585"/>
      <c r="H59" s="585"/>
      <c r="I59" s="585"/>
      <c r="J59" s="85"/>
      <c r="K59" s="86"/>
      <c r="L59" s="584" t="s">
        <v>485</v>
      </c>
      <c r="M59" s="584"/>
      <c r="N59" s="584"/>
      <c r="O59" s="584"/>
      <c r="P59" s="584"/>
      <c r="Q59" s="85"/>
      <c r="R59" s="77"/>
      <c r="S59" s="77"/>
      <c r="T59" s="77"/>
      <c r="U59" s="77"/>
      <c r="V59" s="77"/>
      <c r="W59" s="77"/>
      <c r="X59" s="77"/>
      <c r="Y59" s="77"/>
      <c r="Z59" s="77"/>
    </row>
    <row r="60" spans="2:26" ht="5.25" customHeight="1" thickBot="1">
      <c r="B60" s="588"/>
      <c r="C60" s="87"/>
      <c r="D60" s="88"/>
      <c r="E60" s="88"/>
      <c r="F60" s="88"/>
      <c r="G60" s="88"/>
      <c r="H60" s="88"/>
      <c r="I60" s="88"/>
      <c r="J60" s="89"/>
      <c r="K60" s="90"/>
      <c r="L60" s="88"/>
      <c r="M60" s="88"/>
      <c r="N60" s="88"/>
      <c r="O60" s="88"/>
      <c r="P60" s="88"/>
      <c r="Q60" s="89"/>
      <c r="R60" s="77"/>
      <c r="S60" s="77"/>
      <c r="T60" s="77"/>
      <c r="U60" s="77"/>
      <c r="V60" s="77"/>
      <c r="W60" s="77"/>
      <c r="X60" s="77"/>
      <c r="Y60" s="77"/>
      <c r="Z60" s="77"/>
    </row>
    <row r="61" spans="2:26" ht="5.25" customHeight="1">
      <c r="B61" s="589" t="s">
        <v>486</v>
      </c>
      <c r="C61" s="84"/>
      <c r="D61" s="113"/>
      <c r="E61" s="113"/>
      <c r="F61" s="113"/>
      <c r="G61" s="113"/>
      <c r="H61" s="113"/>
      <c r="I61" s="113"/>
      <c r="J61" s="113"/>
      <c r="K61" s="83"/>
      <c r="L61" s="81"/>
      <c r="M61" s="81"/>
      <c r="N61" s="81"/>
      <c r="O61" s="81"/>
      <c r="P61" s="81"/>
      <c r="Q61" s="82"/>
      <c r="R61" s="77"/>
      <c r="S61" s="77"/>
      <c r="T61" s="77"/>
      <c r="U61" s="77"/>
      <c r="V61" s="77"/>
      <c r="W61" s="77"/>
      <c r="X61" s="77"/>
      <c r="Y61" s="77"/>
      <c r="Z61" s="77"/>
    </row>
    <row r="62" spans="2:26" ht="13.5">
      <c r="B62" s="590"/>
      <c r="C62" s="84"/>
      <c r="D62" s="113"/>
      <c r="E62" s="113"/>
      <c r="F62" s="113"/>
      <c r="G62" s="113"/>
      <c r="H62" s="113"/>
      <c r="I62" s="113"/>
      <c r="J62" s="113"/>
      <c r="K62" s="86"/>
      <c r="L62" s="113" t="s">
        <v>487</v>
      </c>
      <c r="M62" s="113"/>
      <c r="N62" s="113"/>
      <c r="O62" s="113"/>
      <c r="P62" s="113"/>
      <c r="Q62" s="85"/>
      <c r="R62" s="77"/>
      <c r="S62" s="77"/>
      <c r="T62" s="77"/>
      <c r="U62" s="77"/>
      <c r="V62" s="77"/>
      <c r="W62" s="77"/>
      <c r="X62" s="77"/>
      <c r="Y62" s="77"/>
      <c r="Z62" s="77"/>
    </row>
    <row r="63" spans="2:26" ht="13.5">
      <c r="B63" s="590"/>
      <c r="C63" s="84"/>
      <c r="D63" s="113"/>
      <c r="E63" s="113"/>
      <c r="F63" s="113"/>
      <c r="G63" s="113"/>
      <c r="H63" s="113"/>
      <c r="I63" s="113"/>
      <c r="J63" s="113"/>
      <c r="K63" s="86"/>
      <c r="L63" s="113" t="s">
        <v>488</v>
      </c>
      <c r="M63" s="113"/>
      <c r="N63" s="113"/>
      <c r="O63" s="113"/>
      <c r="P63" s="113"/>
      <c r="Q63" s="85"/>
      <c r="R63" s="77"/>
      <c r="S63" s="77"/>
      <c r="T63" s="77"/>
      <c r="U63" s="77"/>
      <c r="V63" s="77"/>
      <c r="W63" s="77"/>
      <c r="X63" s="77"/>
      <c r="Y63" s="77"/>
      <c r="Z63" s="77"/>
    </row>
    <row r="64" spans="2:26" ht="13.5">
      <c r="B64" s="590"/>
      <c r="C64" s="84"/>
      <c r="D64" s="113"/>
      <c r="E64" s="113"/>
      <c r="F64" s="113"/>
      <c r="G64" s="113"/>
      <c r="H64" s="113"/>
      <c r="I64" s="113"/>
      <c r="J64" s="113"/>
      <c r="K64" s="86"/>
      <c r="L64" s="591" t="s">
        <v>370</v>
      </c>
      <c r="M64" s="593" t="s">
        <v>489</v>
      </c>
      <c r="N64" s="594"/>
      <c r="O64" s="593" t="s">
        <v>490</v>
      </c>
      <c r="P64" s="595"/>
      <c r="Q64" s="85"/>
      <c r="R64" s="77"/>
      <c r="S64" s="77"/>
      <c r="T64" s="77"/>
      <c r="U64" s="77"/>
      <c r="V64" s="77"/>
      <c r="W64" s="77"/>
      <c r="X64" s="77"/>
      <c r="Y64" s="77"/>
      <c r="Z64" s="77"/>
    </row>
    <row r="65" spans="2:26" ht="13.5">
      <c r="B65" s="590"/>
      <c r="C65" s="84"/>
      <c r="D65" s="113"/>
      <c r="E65" s="113"/>
      <c r="F65" s="113"/>
      <c r="G65" s="113"/>
      <c r="H65" s="113"/>
      <c r="I65" s="113"/>
      <c r="J65" s="113"/>
      <c r="K65" s="86"/>
      <c r="L65" s="592"/>
      <c r="M65" s="116" t="s">
        <v>0</v>
      </c>
      <c r="N65" s="116" t="s">
        <v>491</v>
      </c>
      <c r="O65" s="116" t="s">
        <v>0</v>
      </c>
      <c r="P65" s="124" t="s">
        <v>491</v>
      </c>
      <c r="Q65" s="85"/>
      <c r="R65" s="77"/>
      <c r="S65" s="77"/>
      <c r="T65" s="77"/>
      <c r="U65" s="77"/>
      <c r="V65" s="77"/>
      <c r="W65" s="77"/>
      <c r="X65" s="77"/>
      <c r="Y65" s="77"/>
      <c r="Z65" s="77"/>
    </row>
    <row r="66" spans="2:26" ht="13.5">
      <c r="B66" s="590"/>
      <c r="C66" s="84"/>
      <c r="D66" s="113"/>
      <c r="E66" s="113"/>
      <c r="F66" s="113"/>
      <c r="G66" s="113"/>
      <c r="H66" s="113"/>
      <c r="I66" s="113"/>
      <c r="J66" s="113"/>
      <c r="K66" s="86"/>
      <c r="L66" s="125" t="s">
        <v>203</v>
      </c>
      <c r="M66" s="126">
        <v>2</v>
      </c>
      <c r="N66" s="126">
        <v>2</v>
      </c>
      <c r="O66" s="126">
        <v>4</v>
      </c>
      <c r="P66" s="115">
        <v>0</v>
      </c>
      <c r="Q66" s="85"/>
      <c r="R66" s="77"/>
      <c r="S66" s="77"/>
      <c r="T66" s="77"/>
      <c r="U66" s="77"/>
      <c r="V66" s="77"/>
      <c r="W66" s="77"/>
      <c r="X66" s="77"/>
      <c r="Y66" s="77"/>
      <c r="Z66" s="77"/>
    </row>
    <row r="67" spans="2:26" ht="13.5">
      <c r="B67" s="590"/>
      <c r="C67" s="84"/>
      <c r="D67" s="113"/>
      <c r="E67" s="113"/>
      <c r="F67" s="113"/>
      <c r="G67" s="113"/>
      <c r="H67" s="113"/>
      <c r="I67" s="113"/>
      <c r="J67" s="113"/>
      <c r="K67" s="86"/>
      <c r="L67" s="125" t="s">
        <v>217</v>
      </c>
      <c r="M67" s="126">
        <v>2</v>
      </c>
      <c r="N67" s="126">
        <v>2</v>
      </c>
      <c r="O67" s="126">
        <v>0</v>
      </c>
      <c r="P67" s="115">
        <v>4</v>
      </c>
      <c r="Q67" s="85"/>
      <c r="R67" s="77"/>
      <c r="S67" s="77"/>
      <c r="T67" s="77"/>
      <c r="U67" s="77"/>
      <c r="V67" s="77"/>
      <c r="W67" s="77"/>
      <c r="X67" s="77"/>
      <c r="Y67" s="77"/>
      <c r="Z67" s="77"/>
    </row>
    <row r="68" spans="2:26" ht="13.5">
      <c r="B68" s="590"/>
      <c r="C68" s="84"/>
      <c r="D68" s="113"/>
      <c r="E68" s="113"/>
      <c r="F68" s="113"/>
      <c r="G68" s="113"/>
      <c r="H68" s="113"/>
      <c r="I68" s="113"/>
      <c r="J68" s="113"/>
      <c r="K68" s="86"/>
      <c r="L68" s="125" t="s">
        <v>206</v>
      </c>
      <c r="M68" s="126">
        <v>2</v>
      </c>
      <c r="N68" s="126">
        <v>2</v>
      </c>
      <c r="O68" s="126">
        <v>4</v>
      </c>
      <c r="P68" s="115">
        <v>0</v>
      </c>
      <c r="Q68" s="85"/>
      <c r="R68" s="77"/>
      <c r="S68" s="77"/>
      <c r="T68" s="77"/>
      <c r="U68" s="77"/>
      <c r="V68" s="77"/>
      <c r="W68" s="77"/>
      <c r="X68" s="77"/>
      <c r="Y68" s="77"/>
      <c r="Z68" s="77"/>
    </row>
    <row r="69" spans="2:26" ht="13.5">
      <c r="B69" s="590"/>
      <c r="C69" s="84"/>
      <c r="D69" s="113"/>
      <c r="E69" s="113"/>
      <c r="F69" s="113"/>
      <c r="G69" s="113"/>
      <c r="H69" s="113"/>
      <c r="I69" s="113"/>
      <c r="J69" s="113"/>
      <c r="K69" s="86"/>
      <c r="L69" s="113" t="s">
        <v>492</v>
      </c>
      <c r="M69" s="113"/>
      <c r="N69" s="113"/>
      <c r="O69" s="113"/>
      <c r="P69" s="113"/>
      <c r="Q69" s="85"/>
      <c r="R69" s="77"/>
      <c r="S69" s="77"/>
      <c r="T69" s="77"/>
      <c r="U69" s="77"/>
      <c r="V69" s="77"/>
      <c r="W69" s="77"/>
      <c r="X69" s="77"/>
      <c r="Y69" s="77"/>
      <c r="Z69" s="77"/>
    </row>
    <row r="70" spans="2:26" ht="13.5">
      <c r="B70" s="590"/>
      <c r="C70" s="84"/>
      <c r="D70" s="113"/>
      <c r="E70" s="113"/>
      <c r="F70" s="113"/>
      <c r="G70" s="113"/>
      <c r="H70" s="113"/>
      <c r="I70" s="113"/>
      <c r="J70" s="113"/>
      <c r="K70" s="86"/>
      <c r="L70" s="591" t="s">
        <v>370</v>
      </c>
      <c r="M70" s="593" t="s">
        <v>489</v>
      </c>
      <c r="N70" s="594"/>
      <c r="O70" s="593" t="s">
        <v>490</v>
      </c>
      <c r="P70" s="595"/>
      <c r="Q70" s="85"/>
      <c r="R70" s="77"/>
      <c r="S70" s="77"/>
      <c r="T70" s="77"/>
      <c r="U70" s="77"/>
      <c r="V70" s="77"/>
      <c r="W70" s="77"/>
      <c r="X70" s="77"/>
      <c r="Y70" s="77"/>
      <c r="Z70" s="77"/>
    </row>
    <row r="71" spans="2:26" ht="13.5">
      <c r="B71" s="590"/>
      <c r="C71" s="84"/>
      <c r="D71" s="113"/>
      <c r="E71" s="113"/>
      <c r="F71" s="113"/>
      <c r="G71" s="113"/>
      <c r="H71" s="113"/>
      <c r="I71" s="113"/>
      <c r="J71" s="113"/>
      <c r="K71" s="86"/>
      <c r="L71" s="592"/>
      <c r="M71" s="116" t="s">
        <v>0</v>
      </c>
      <c r="N71" s="116" t="s">
        <v>491</v>
      </c>
      <c r="O71" s="116" t="s">
        <v>0</v>
      </c>
      <c r="P71" s="124" t="s">
        <v>491</v>
      </c>
      <c r="Q71" s="85"/>
      <c r="R71" s="77"/>
      <c r="S71" s="77"/>
      <c r="T71" s="77"/>
      <c r="U71" s="77"/>
      <c r="V71" s="77"/>
      <c r="W71" s="77"/>
      <c r="X71" s="77"/>
      <c r="Y71" s="77"/>
      <c r="Z71" s="77"/>
    </row>
    <row r="72" spans="2:26" ht="13.5">
      <c r="B72" s="590"/>
      <c r="C72" s="84"/>
      <c r="D72" s="113"/>
      <c r="E72" s="113"/>
      <c r="F72" s="113"/>
      <c r="G72" s="113"/>
      <c r="H72" s="113"/>
      <c r="I72" s="113"/>
      <c r="J72" s="113"/>
      <c r="K72" s="86"/>
      <c r="L72" s="125" t="s">
        <v>456</v>
      </c>
      <c r="M72" s="126">
        <v>1</v>
      </c>
      <c r="N72" s="126">
        <v>1</v>
      </c>
      <c r="O72" s="126">
        <v>2</v>
      </c>
      <c r="P72" s="115">
        <v>0</v>
      </c>
      <c r="Q72" s="85"/>
      <c r="R72" s="77"/>
      <c r="S72" s="77"/>
      <c r="T72" s="77"/>
      <c r="U72" s="77"/>
      <c r="V72" s="77"/>
      <c r="W72" s="77"/>
      <c r="X72" s="77"/>
      <c r="Y72" s="77"/>
      <c r="Z72" s="77"/>
    </row>
    <row r="73" spans="2:26" ht="13.5">
      <c r="B73" s="590"/>
      <c r="C73" s="84"/>
      <c r="D73" s="113"/>
      <c r="E73" s="113"/>
      <c r="F73" s="113"/>
      <c r="G73" s="113"/>
      <c r="H73" s="113"/>
      <c r="I73" s="113"/>
      <c r="J73" s="113"/>
      <c r="K73" s="86"/>
      <c r="L73" s="125" t="s">
        <v>460</v>
      </c>
      <c r="M73" s="126">
        <v>2</v>
      </c>
      <c r="N73" s="126">
        <v>2</v>
      </c>
      <c r="O73" s="126">
        <v>0</v>
      </c>
      <c r="P73" s="115">
        <v>4</v>
      </c>
      <c r="Q73" s="85"/>
      <c r="R73" s="77"/>
      <c r="S73" s="77"/>
      <c r="T73" s="77"/>
      <c r="U73" s="77"/>
      <c r="V73" s="77"/>
      <c r="W73" s="77"/>
      <c r="X73" s="77"/>
      <c r="Y73" s="77"/>
      <c r="Z73" s="77"/>
    </row>
    <row r="74" spans="2:26" ht="13.5">
      <c r="B74" s="590"/>
      <c r="C74" s="84"/>
      <c r="D74" s="113"/>
      <c r="E74" s="113"/>
      <c r="F74" s="113"/>
      <c r="G74" s="113"/>
      <c r="H74" s="113"/>
      <c r="I74" s="113"/>
      <c r="J74" s="113"/>
      <c r="K74" s="86"/>
      <c r="L74" s="596" t="s">
        <v>493</v>
      </c>
      <c r="M74" s="582" t="s">
        <v>494</v>
      </c>
      <c r="N74" s="582" t="s">
        <v>494</v>
      </c>
      <c r="O74" s="127">
        <v>8</v>
      </c>
      <c r="P74" s="128">
        <v>0</v>
      </c>
      <c r="Q74" s="85"/>
      <c r="R74" s="77"/>
      <c r="S74" s="77"/>
      <c r="T74" s="77"/>
      <c r="U74" s="77"/>
      <c r="V74" s="77"/>
      <c r="W74" s="77"/>
      <c r="X74" s="77"/>
      <c r="Y74" s="77"/>
      <c r="Z74" s="77"/>
    </row>
    <row r="75" spans="2:26" ht="13.5">
      <c r="B75" s="590"/>
      <c r="C75" s="84"/>
      <c r="D75" s="113"/>
      <c r="E75" s="113"/>
      <c r="F75" s="113"/>
      <c r="G75" s="113"/>
      <c r="H75" s="113"/>
      <c r="I75" s="113"/>
      <c r="J75" s="113"/>
      <c r="K75" s="86"/>
      <c r="L75" s="597"/>
      <c r="M75" s="583"/>
      <c r="N75" s="583"/>
      <c r="O75" s="127">
        <v>4</v>
      </c>
      <c r="P75" s="128">
        <v>4</v>
      </c>
      <c r="Q75" s="85"/>
      <c r="R75" s="77"/>
      <c r="S75" s="77"/>
      <c r="T75" s="77"/>
      <c r="U75" s="77"/>
      <c r="V75" s="77"/>
      <c r="W75" s="77"/>
      <c r="X75" s="77"/>
      <c r="Y75" s="77"/>
      <c r="Z75" s="77"/>
    </row>
    <row r="76" spans="2:26" ht="33.75" customHeight="1">
      <c r="B76" s="590"/>
      <c r="C76" s="84"/>
      <c r="D76" s="113"/>
      <c r="E76" s="113"/>
      <c r="F76" s="113"/>
      <c r="G76" s="113"/>
      <c r="H76" s="113"/>
      <c r="I76" s="113"/>
      <c r="J76" s="113"/>
      <c r="K76" s="86"/>
      <c r="L76" s="584" t="s">
        <v>495</v>
      </c>
      <c r="M76" s="585"/>
      <c r="N76" s="585"/>
      <c r="O76" s="585"/>
      <c r="P76" s="585"/>
      <c r="Q76" s="85"/>
      <c r="R76" s="77"/>
      <c r="S76" s="77"/>
      <c r="T76" s="77"/>
      <c r="U76" s="77"/>
      <c r="V76" s="77"/>
      <c r="W76" s="77"/>
      <c r="X76" s="77"/>
      <c r="Y76" s="77"/>
      <c r="Z76" s="77"/>
    </row>
    <row r="77" spans="2:26" ht="5.25" customHeight="1">
      <c r="B77" s="590"/>
      <c r="C77" s="129"/>
      <c r="D77" s="130"/>
      <c r="E77" s="130"/>
      <c r="F77" s="130"/>
      <c r="G77" s="130"/>
      <c r="H77" s="130"/>
      <c r="I77" s="130"/>
      <c r="J77" s="130"/>
      <c r="K77" s="131"/>
      <c r="L77" s="130"/>
      <c r="M77" s="130"/>
      <c r="N77" s="130"/>
      <c r="O77" s="130"/>
      <c r="P77" s="130"/>
      <c r="Q77" s="132"/>
      <c r="R77" s="77"/>
      <c r="S77" s="77"/>
      <c r="T77" s="77"/>
      <c r="U77" s="77"/>
      <c r="V77" s="77"/>
      <c r="W77" s="77"/>
      <c r="X77" s="77"/>
      <c r="Y77" s="77"/>
      <c r="Z77" s="77"/>
    </row>
    <row r="78" spans="2:26" ht="5.25" customHeight="1">
      <c r="B78" s="586" t="s">
        <v>496</v>
      </c>
      <c r="C78" s="133"/>
      <c r="D78" s="134"/>
      <c r="E78" s="134"/>
      <c r="F78" s="134"/>
      <c r="G78" s="134"/>
      <c r="H78" s="134"/>
      <c r="I78" s="134"/>
      <c r="J78" s="134"/>
      <c r="K78" s="135"/>
      <c r="L78" s="134"/>
      <c r="M78" s="134"/>
      <c r="N78" s="134"/>
      <c r="O78" s="134"/>
      <c r="P78" s="134"/>
      <c r="Q78" s="136"/>
      <c r="R78" s="77"/>
      <c r="S78" s="77"/>
      <c r="T78" s="77"/>
      <c r="U78" s="77"/>
      <c r="V78" s="77"/>
      <c r="W78" s="77"/>
      <c r="X78" s="77"/>
      <c r="Y78" s="77"/>
      <c r="Z78" s="77"/>
    </row>
    <row r="79" spans="2:26" ht="13.5">
      <c r="B79" s="587"/>
      <c r="C79" s="84"/>
      <c r="D79" s="113" t="s">
        <v>497</v>
      </c>
      <c r="E79" s="113"/>
      <c r="F79" s="113"/>
      <c r="G79" s="113"/>
      <c r="H79" s="113"/>
      <c r="I79" s="113"/>
      <c r="J79" s="113"/>
      <c r="K79" s="86"/>
      <c r="L79" s="113" t="s">
        <v>498</v>
      </c>
      <c r="M79" s="113"/>
      <c r="N79" s="113"/>
      <c r="O79" s="113"/>
      <c r="P79" s="113"/>
      <c r="Q79" s="85"/>
      <c r="R79" s="77"/>
      <c r="S79" s="77"/>
      <c r="T79" s="77"/>
      <c r="U79" s="77"/>
      <c r="V79" s="77"/>
      <c r="W79" s="77"/>
      <c r="X79" s="77"/>
      <c r="Y79" s="77"/>
      <c r="Z79" s="77"/>
    </row>
    <row r="80" spans="2:26" ht="13.5">
      <c r="B80" s="587"/>
      <c r="C80" s="84"/>
      <c r="D80" s="113"/>
      <c r="E80" s="113"/>
      <c r="F80" s="113"/>
      <c r="G80" s="113"/>
      <c r="H80" s="113"/>
      <c r="I80" s="113"/>
      <c r="J80" s="113"/>
      <c r="K80" s="86"/>
      <c r="L80" s="113" t="s">
        <v>499</v>
      </c>
      <c r="M80" s="113"/>
      <c r="N80" s="113"/>
      <c r="O80" s="113"/>
      <c r="P80" s="113"/>
      <c r="Q80" s="85"/>
      <c r="R80" s="77"/>
      <c r="S80" s="77"/>
      <c r="T80" s="77"/>
      <c r="U80" s="77"/>
      <c r="V80" s="77"/>
      <c r="W80" s="77"/>
      <c r="X80" s="77"/>
      <c r="Y80" s="77"/>
      <c r="Z80" s="77"/>
    </row>
    <row r="81" spans="2:26" ht="5.25" customHeight="1" thickBot="1">
      <c r="B81" s="588"/>
      <c r="C81" s="87"/>
      <c r="D81" s="88"/>
      <c r="E81" s="88"/>
      <c r="F81" s="88"/>
      <c r="G81" s="88"/>
      <c r="H81" s="88"/>
      <c r="I81" s="88"/>
      <c r="J81" s="88"/>
      <c r="K81" s="90"/>
      <c r="L81" s="88"/>
      <c r="M81" s="88"/>
      <c r="N81" s="88"/>
      <c r="O81" s="88"/>
      <c r="P81" s="88"/>
      <c r="Q81" s="89"/>
      <c r="R81" s="77"/>
      <c r="S81" s="77"/>
      <c r="T81" s="77"/>
      <c r="U81" s="77"/>
      <c r="V81" s="77"/>
      <c r="W81" s="77"/>
      <c r="X81" s="77"/>
      <c r="Y81" s="77"/>
      <c r="Z81" s="77"/>
    </row>
    <row r="82" spans="2:26" ht="4.5" customHeight="1"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spans="2:26" ht="13.5" hidden="1"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spans="2:26" ht="13.5" hidden="1"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spans="2:26" ht="13.5" hidden="1"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spans="2:26" ht="13.5" hidden="1"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spans="2:26" ht="13.5" hidden="1"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spans="2:26" ht="13.5" hidden="1"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spans="2:26" ht="13.5" hidden="1"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spans="2:26" ht="13.5" hidden="1"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spans="2:26" ht="13.5" hidden="1"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spans="2:26" ht="13.5" hidden="1"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spans="2:26" ht="13.5" hidden="1"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spans="2:26" ht="13.5" hidden="1"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spans="2:26" ht="13.5" hidden="1"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spans="2:26" ht="13.5" hidden="1"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spans="2:26" ht="13.5" hidden="1"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spans="2:26" ht="13.5" hidden="1"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spans="2:26" ht="13.5" hidden="1"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spans="2:26" ht="13.5" hidden="1"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spans="2:26" ht="13.5" hidden="1"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spans="2:26" ht="13.5" hidden="1"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spans="2:26" ht="13.5" hidden="1"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spans="2:26" ht="13.5" hidden="1"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spans="2:26" ht="13.5" hidden="1"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spans="2:26" ht="13.5" hidden="1"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spans="2:26" ht="13.5" hidden="1"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spans="2:26" ht="13.5" hidden="1"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spans="2:26" ht="13.5" hidden="1"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spans="2:26" ht="13.5" hidden="1"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spans="2:26" ht="13.5" hidden="1"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spans="2:26" ht="13.5" hidden="1"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spans="2:26" ht="13.5" hidden="1"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spans="2:26" ht="13.5" hidden="1"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spans="2:26" ht="13.5" hidden="1"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spans="2:26" ht="13.5" hidden="1"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spans="2:26" ht="13.5" hidden="1"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spans="2:26" ht="13.5" hidden="1"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spans="2:26" ht="13.5" hidden="1"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spans="2:26" ht="13.5" hidden="1"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spans="2:26" ht="13.5" hidden="1"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spans="2:26" ht="13.5" hidden="1"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spans="2:26" ht="13.5" hidden="1"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spans="2:26" ht="13.5" hidden="1"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spans="2:26" ht="13.5" hidden="1"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spans="2:26" ht="13.5" hidden="1"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spans="2:26" ht="13.5" hidden="1"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spans="2:26" ht="13.5" hidden="1"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spans="2:26" ht="13.5" hidden="1"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spans="2:26" ht="13.5" hidden="1"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spans="2:26" ht="13.5" hidden="1"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spans="2:26" ht="13.5" hidden="1"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spans="2:26" ht="13.5" hidden="1"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spans="2:26" ht="13.5" hidden="1"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spans="2:26" ht="13.5" hidden="1"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spans="2:26" ht="13.5" hidden="1"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spans="2:26" ht="13.5" hidden="1"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spans="2:26" ht="13.5" hidden="1"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spans="2:26" ht="13.5" hidden="1"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spans="2:26" ht="13.5" hidden="1"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spans="2:26" ht="13.5" hidden="1"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spans="2:26" ht="13.5" hidden="1"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spans="2:26" ht="13.5" hidden="1"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spans="2:26" ht="13.5" hidden="1"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spans="2:26" ht="13.5" hidden="1"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spans="2:26" ht="13.5" hidden="1"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spans="2:26" ht="13.5" hidden="1"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spans="2:26" ht="13.5" hidden="1"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spans="2:26" ht="13.5" hidden="1"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spans="2:26" ht="13.5" hidden="1"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spans="2:26" ht="13.5" hidden="1"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spans="2:26" ht="13.5" hidden="1"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spans="2:26" ht="13.5" hidden="1"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spans="2:26" ht="13.5" hidden="1"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spans="2:26" ht="13.5" hidden="1"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spans="2:26" ht="13.5" hidden="1"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spans="2:26" ht="13.5" hidden="1"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spans="2:26" ht="13.5" hidden="1"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spans="2:26" ht="13.5" hidden="1"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spans="2:26" ht="13.5" hidden="1"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spans="2:26" ht="13.5" hidden="1"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spans="2:26" ht="13.5" hidden="1"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spans="2:26" ht="13.5" hidden="1"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spans="2:26" ht="13.5" hidden="1"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spans="2:26" ht="13.5" hidden="1"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spans="2:26" ht="13.5" hidden="1"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spans="2:26" ht="13.5" hidden="1"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spans="2:26" ht="13.5" hidden="1"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spans="2:26" ht="13.5" hidden="1"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spans="2:26" ht="13.5" hidden="1"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spans="2:26" ht="13.5" hidden="1"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spans="2:26" ht="13.5" hidden="1"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spans="2:26" ht="13.5" hidden="1"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spans="2:26" ht="13.5" hidden="1"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spans="2:26" ht="13.5" hidden="1"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spans="2:26" ht="13.5" hidden="1"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spans="2:26" ht="13.5" hidden="1"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spans="2:26" ht="13.5" hidden="1"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spans="2:26" ht="13.5" hidden="1"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spans="2:26" ht="13.5" hidden="1"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spans="2:26" ht="13.5" hidden="1"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spans="2:26" ht="13.5" hidden="1"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spans="2:26" ht="13.5" hidden="1"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spans="2:26" ht="13.5" hidden="1"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spans="2:26" ht="13.5" hidden="1"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spans="2:26" ht="13.5" hidden="1"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spans="2:26" ht="13.5" hidden="1"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spans="2:26" ht="13.5" hidden="1"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spans="2:26" ht="13.5" hidden="1"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spans="2:26" ht="13.5" hidden="1"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spans="2:26" ht="13.5" hidden="1"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spans="2:26" ht="13.5" hidden="1"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spans="2:26" ht="13.5" hidden="1"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spans="2:26" ht="13.5" hidden="1"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spans="2:26" ht="13.5" hidden="1"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spans="2:26" ht="13.5" hidden="1"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spans="2:26" ht="13.5" hidden="1"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spans="2:26" ht="13.5" hidden="1"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spans="2:26" ht="13.5" hidden="1"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spans="2:26" ht="13.5" hidden="1"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spans="2:26" ht="13.5" hidden="1"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spans="2:26" ht="13.5" hidden="1"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spans="2:26" ht="13.5" hidden="1"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spans="2:26" ht="13.5" hidden="1"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spans="2:26" ht="13.5" hidden="1"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spans="2:26" ht="13.5" hidden="1"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spans="2:26" ht="13.5" hidden="1"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spans="2:26" ht="13.5" hidden="1"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spans="2:26" ht="13.5" hidden="1"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spans="2:26" ht="13.5" hidden="1"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spans="2:26" ht="13.5" hidden="1"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spans="2:26" ht="13.5" hidden="1"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spans="2:26" ht="13.5" hidden="1"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spans="2:26" ht="13.5" hidden="1"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spans="2:26" ht="13.5" hidden="1"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spans="2:26" ht="13.5" hidden="1"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spans="2:26" ht="13.5" hidden="1"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spans="2:26" ht="13.5" hidden="1"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spans="2:26" ht="13.5" hidden="1"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spans="2:26" ht="13.5" hidden="1"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spans="2:26" ht="13.5" hidden="1"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spans="2:26" ht="13.5" hidden="1"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spans="2:26" ht="13.5" hidden="1"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spans="2:26" ht="13.5" hidden="1"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spans="2:26" ht="13.5" hidden="1"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spans="2:26" ht="13.5" hidden="1"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spans="2:26" ht="13.5" hidden="1"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spans="2:26" ht="13.5" hidden="1"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spans="2:26" ht="13.5" hidden="1"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spans="2:26" ht="13.5" hidden="1"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spans="2:26" ht="13.5" hidden="1"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spans="2:26" ht="13.5" hidden="1"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spans="2:26" ht="13.5" hidden="1"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spans="2:26" ht="13.5" hidden="1"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spans="2:26" ht="13.5" hidden="1"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spans="2:26" ht="13.5" hidden="1"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spans="2:26" ht="13.5" hidden="1"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spans="2:26" ht="13.5" hidden="1"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spans="2:26" ht="13.5" hidden="1"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spans="2:26" ht="13.5" hidden="1"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spans="2:26" ht="13.5" hidden="1"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spans="2:26" ht="13.5" hidden="1"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spans="2:26" ht="13.5" hidden="1"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spans="2:26" ht="13.5" hidden="1"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spans="2:26" ht="13.5" hidden="1"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spans="2:26" ht="13.5" hidden="1"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spans="2:26" ht="13.5" hidden="1"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spans="2:26" ht="13.5" hidden="1"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spans="2:26" ht="13.5" hidden="1"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spans="2:26" ht="13.5" hidden="1"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spans="2:26" ht="13.5" hidden="1"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spans="2:26" ht="13.5" hidden="1"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spans="2:26" ht="13.5" hidden="1"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spans="2:26" ht="13.5" hidden="1"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spans="2:26" ht="13.5" hidden="1"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spans="2:26" ht="13.5" hidden="1"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spans="2:26" ht="13.5" hidden="1"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spans="2:26" ht="13.5" hidden="1"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spans="2:26" ht="13.5" hidden="1"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spans="2:26" ht="13.5" hidden="1"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spans="2:26" ht="13.5" hidden="1"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spans="2:26" ht="13.5" hidden="1"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spans="2:26" ht="13.5" hidden="1"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spans="2:26" ht="13.5" hidden="1"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spans="2:26" ht="13.5" hidden="1"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spans="2:26" ht="13.5" hidden="1"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spans="2:26" ht="13.5" hidden="1"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spans="2:26" ht="13.5" hidden="1"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spans="2:26" ht="13.5" hidden="1"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spans="2:26" ht="13.5" hidden="1"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spans="2:26" ht="13.5" hidden="1"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spans="2:26" ht="13.5" hidden="1"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spans="2:26" ht="13.5" hidden="1"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spans="2:26" ht="13.5" hidden="1"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spans="2:26" ht="13.5" hidden="1"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spans="2:26" ht="13.5" hidden="1"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spans="2:26" ht="13.5" hidden="1"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spans="2:26" ht="13.5" hidden="1"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spans="2:26" ht="13.5" hidden="1"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spans="2:26" ht="13.5" hidden="1"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spans="2:26" ht="13.5" hidden="1"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spans="2:26" ht="13.5" hidden="1"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spans="2:26" ht="13.5" hidden="1"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spans="2:26" ht="13.5" hidden="1"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spans="2:26" ht="13.5" hidden="1"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spans="2:26" ht="13.5" hidden="1"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spans="2:26" ht="13.5" hidden="1"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spans="2:26" ht="13.5" hidden="1"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spans="2:26" ht="13.5" hidden="1"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spans="2:26" ht="13.5" hidden="1"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spans="2:26" ht="13.5" hidden="1"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spans="2:26" ht="13.5" hidden="1"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spans="2:26" ht="13.5" hidden="1"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spans="2:26" ht="13.5" hidden="1"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spans="2:26" ht="13.5" hidden="1"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spans="2:26" ht="13.5" hidden="1"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spans="2:26" ht="13.5" hidden="1"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spans="2:26" ht="13.5" hidden="1"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spans="2:26" ht="13.5" hidden="1"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spans="2:26" ht="13.5" hidden="1"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spans="2:26" ht="13.5" hidden="1"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spans="2:26" ht="13.5" hidden="1"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spans="2:26" ht="13.5" hidden="1"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spans="2:26" ht="13.5" hidden="1"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spans="2:26" ht="13.5" hidden="1"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spans="2:26" ht="13.5" hidden="1"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spans="2:26" ht="13.5" hidden="1"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spans="2:26" ht="13.5" hidden="1"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spans="2:26" ht="13.5" hidden="1"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spans="2:26" ht="13.5" hidden="1"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spans="2:26" ht="13.5" hidden="1"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spans="2:26" ht="13.5" hidden="1"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spans="2:26" ht="13.5" hidden="1"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spans="2:26" ht="13.5" hidden="1"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spans="2:26" ht="13.5" hidden="1"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spans="2:26" ht="13.5" hidden="1"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spans="2:26" ht="13.5" hidden="1"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spans="2:26" ht="13.5" hidden="1"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spans="2:26" ht="13.5" hidden="1"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spans="2:26" ht="13.5" hidden="1"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spans="2:26" ht="13.5" hidden="1"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spans="2:26" ht="13.5" hidden="1"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spans="2:26" ht="13.5" hidden="1"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spans="2:26" ht="13.5" hidden="1"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spans="2:26" ht="13.5" hidden="1"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spans="2:26" ht="13.5" hidden="1"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spans="2:26" ht="13.5" hidden="1"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spans="2:26" ht="13.5" hidden="1"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spans="2:26" ht="13.5" hidden="1"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spans="2:26" ht="13.5" hidden="1"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spans="2:26" ht="13.5" hidden="1"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spans="2:26" ht="13.5" hidden="1"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spans="2:26" ht="13.5" hidden="1"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spans="2:26" ht="13.5" hidden="1"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spans="2:26" ht="13.5" hidden="1"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spans="2:26" ht="13.5" hidden="1"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spans="2:26" ht="13.5" hidden="1"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spans="2:26" ht="13.5" hidden="1"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spans="2:26" ht="13.5" hidden="1"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spans="2:26" ht="13.5" hidden="1"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spans="2:26" ht="13.5" hidden="1"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spans="2:26" ht="13.5" hidden="1"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spans="2:26" ht="13.5" hidden="1"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spans="2:26" ht="13.5" hidden="1"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spans="2:26" ht="13.5" hidden="1"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spans="2:26" ht="13.5" hidden="1"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spans="2:26" ht="13.5" hidden="1"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spans="2:26" ht="13.5" hidden="1"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spans="2:26" ht="13.5" hidden="1"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spans="2:26" ht="13.5" hidden="1"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spans="2:26" ht="13.5" hidden="1"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spans="2:26" ht="13.5" hidden="1"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spans="2:26" ht="13.5" hidden="1"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spans="2:26" ht="13.5" hidden="1"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spans="2:26" ht="13.5" hidden="1"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spans="2:26" ht="13.5" hidden="1"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spans="2:26" ht="13.5" hidden="1"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spans="2:26" ht="13.5" hidden="1"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spans="2:26" ht="13.5" hidden="1"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spans="2:26" ht="13.5" hidden="1"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spans="2:26" ht="13.5" hidden="1"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spans="2:26" ht="13.5" hidden="1"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spans="2:26" ht="13.5" hidden="1"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spans="2:26" ht="13.5" hidden="1"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spans="2:26" ht="13.5" hidden="1"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spans="2:26" ht="13.5" hidden="1"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spans="2:26" ht="13.5" hidden="1"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spans="2:26" ht="13.5" hidden="1"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spans="2:26" ht="13.5" hidden="1"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spans="2:26" ht="13.5" hidden="1"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spans="2:26" ht="13.5" hidden="1"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spans="2:26" ht="13.5" hidden="1"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spans="2:26" ht="13.5" hidden="1"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spans="2:26" ht="13.5" hidden="1"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spans="2:26" ht="13.5" hidden="1"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spans="2:26" ht="13.5" hidden="1"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spans="2:26" ht="13.5" hidden="1"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spans="2:26" ht="13.5" hidden="1"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spans="2:26" ht="13.5" hidden="1"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spans="2:26" ht="13.5" hidden="1"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spans="2:26" ht="13.5" hidden="1"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spans="2:26" ht="13.5" hidden="1"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spans="2:26" ht="13.5" hidden="1"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spans="2:26" ht="13.5" hidden="1"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spans="2:26" ht="13.5" hidden="1"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spans="2:26" ht="13.5" hidden="1"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spans="2:26" ht="13.5" hidden="1"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spans="2:26" ht="13.5" hidden="1"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spans="2:26" ht="13.5" hidden="1"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spans="2:26" ht="13.5" hidden="1"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spans="2:26" ht="13.5" hidden="1"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spans="2:26" ht="13.5" hidden="1"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spans="2:26" ht="13.5" hidden="1"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spans="2:26" ht="13.5" hidden="1"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spans="2:26" ht="13.5" hidden="1"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spans="2:26" ht="13.5" hidden="1"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spans="2:26" ht="13.5" hidden="1"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spans="2:26" ht="13.5" hidden="1"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spans="2:26" ht="13.5" hidden="1"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spans="2:26" ht="13.5" hidden="1"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spans="2:26" ht="13.5" hidden="1"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spans="2:26" ht="13.5" hidden="1"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spans="2:26" ht="13.5" hidden="1"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spans="2:26" ht="13.5" hidden="1"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spans="2:26" ht="13.5" hidden="1"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spans="2:26" ht="13.5" hidden="1"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spans="2:26" ht="13.5" hidden="1"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spans="2:26" ht="13.5" hidden="1"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spans="2:26" ht="13.5" hidden="1"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spans="2:26" ht="13.5" hidden="1"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spans="2:26" ht="13.5" hidden="1"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spans="2:26" ht="13.5" hidden="1"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spans="2:26" ht="13.5" hidden="1"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spans="2:26" ht="13.5" hidden="1"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spans="2:26" ht="13.5" hidden="1"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spans="2:26" ht="13.5" hidden="1"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spans="2:26" ht="13.5" hidden="1"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spans="2:26" ht="13.5" hidden="1"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spans="2:26" ht="13.5" hidden="1"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spans="2:26" ht="13.5" hidden="1"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spans="2:26" ht="13.5" hidden="1"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spans="2:26" ht="13.5" hidden="1"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spans="2:26" ht="13.5" hidden="1"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spans="2:26" ht="13.5" hidden="1"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spans="2:26" ht="13.5" hidden="1"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spans="2:26" ht="13.5" hidden="1"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spans="2:26" ht="13.5" hidden="1"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spans="2:26" ht="13.5" hidden="1"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spans="2:26" ht="13.5" hidden="1"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spans="2:26" ht="13.5" hidden="1"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spans="2:26" ht="13.5" hidden="1"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spans="2:26" ht="13.5" hidden="1"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spans="2:26" ht="13.5" hidden="1"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spans="2:26" ht="13.5" hidden="1"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spans="2:26" ht="13.5" hidden="1"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spans="2:26" ht="13.5" hidden="1"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spans="2:26" ht="13.5" hidden="1"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spans="2:26" ht="13.5" hidden="1"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spans="2:26" ht="13.5" hidden="1"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spans="2:26" ht="13.5" hidden="1"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spans="2:26" ht="13.5" hidden="1"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spans="2:26" ht="13.5" hidden="1"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spans="2:26" ht="13.5" hidden="1"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spans="2:26" ht="13.5" hidden="1"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spans="2:26" ht="13.5" hidden="1"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spans="2:26" ht="13.5" hidden="1"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spans="2:26" ht="13.5" hidden="1"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spans="2:26" ht="13.5" hidden="1"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spans="2:26" ht="13.5" hidden="1"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spans="2:26" ht="13.5" hidden="1"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spans="2:26" ht="13.5" hidden="1"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spans="2:26" ht="13.5" hidden="1"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spans="2:26" ht="13.5" hidden="1"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spans="2:26" ht="13.5" hidden="1"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spans="2:26" ht="13.5" hidden="1"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spans="2:26" ht="13.5" hidden="1"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spans="2:26" ht="13.5" hidden="1"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spans="2:26" ht="13.5" hidden="1"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spans="2:26" ht="13.5" hidden="1"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spans="2:26" ht="13.5" hidden="1"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spans="2:26" ht="13.5" hidden="1"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spans="2:26" ht="13.5" hidden="1"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spans="2:26" ht="13.5" hidden="1"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spans="2:26" ht="13.5" hidden="1"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spans="2:26" ht="13.5" hidden="1"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spans="2:26" ht="13.5" hidden="1"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spans="2:26" ht="13.5" hidden="1"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spans="2:26" ht="13.5" hidden="1"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spans="2:26" ht="13.5" hidden="1"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spans="2:26" ht="13.5" hidden="1"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spans="2:26" ht="13.5" hidden="1"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spans="2:26" ht="13.5" hidden="1"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spans="2:26" ht="13.5" hidden="1"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spans="2:26" ht="13.5" hidden="1"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spans="2:26" ht="13.5" hidden="1"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spans="2:26" ht="13.5" hidden="1"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spans="2:26" ht="13.5" hidden="1"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spans="2:26" ht="13.5" hidden="1"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spans="2:26" ht="13.5" hidden="1"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spans="2:26" ht="13.5" hidden="1"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spans="2:26" ht="13.5" hidden="1"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spans="2:26" ht="13.5" hidden="1"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spans="2:26" ht="13.5" hidden="1"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spans="2:26" ht="13.5" hidden="1"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spans="2:26" ht="13.5" hidden="1"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spans="2:26" ht="13.5" hidden="1"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spans="2:26" ht="13.5" hidden="1"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spans="2:26" ht="13.5" hidden="1"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spans="2:26" ht="13.5" hidden="1"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spans="2:26" ht="13.5" hidden="1"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spans="2:26" ht="13.5" hidden="1"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spans="2:26" ht="13.5" hidden="1"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spans="2:26" ht="13.5" hidden="1"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spans="2:26" ht="13.5" hidden="1"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spans="2:26" ht="13.5" hidden="1"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spans="2:26" ht="13.5" hidden="1"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spans="2:26" ht="13.5" hidden="1"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spans="2:26" ht="13.5" hidden="1"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spans="2:26" ht="13.5" hidden="1"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spans="2:26" ht="13.5" hidden="1"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spans="2:26" ht="13.5" hidden="1"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spans="2:26" ht="13.5" hidden="1"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spans="2:26" ht="13.5" hidden="1"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spans="2:26" ht="13.5" hidden="1"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spans="2:26" ht="13.5" hidden="1"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spans="2:26" ht="13.5" hidden="1"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spans="2:26" ht="13.5" hidden="1"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spans="2:26" ht="13.5" hidden="1"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spans="2:26" ht="13.5" hidden="1"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spans="2:26" ht="13.5" hidden="1"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spans="2:26" ht="13.5" hidden="1"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spans="2:26" ht="13.5" hidden="1"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spans="2:26" ht="13.5" hidden="1"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spans="2:26" ht="13.5" hidden="1"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spans="2:26" ht="13.5" hidden="1"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spans="2:26" ht="13.5" hidden="1"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spans="2:26" ht="13.5" hidden="1"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spans="2:26" ht="13.5" hidden="1"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spans="2:26" ht="13.5" hidden="1"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spans="2:26" ht="13.5" hidden="1"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spans="2:26" ht="13.5" hidden="1"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spans="2:26" ht="13.5" hidden="1"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spans="2:26" ht="13.5" hidden="1"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spans="2:26" ht="13.5" hidden="1"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spans="2:26" ht="13.5" hidden="1"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spans="2:26" ht="13.5" hidden="1"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spans="2:26" ht="13.5" hidden="1"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spans="2:26" ht="13.5" hidden="1"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spans="2:26" ht="13.5" hidden="1"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spans="2:26" ht="13.5" hidden="1"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spans="2:26" ht="13.5" hidden="1"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spans="2:26" ht="13.5" hidden="1"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spans="2:26" ht="13.5" hidden="1"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spans="2:26" ht="13.5" hidden="1"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spans="2:26" ht="13.5" hidden="1"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spans="2:26" ht="13.5" hidden="1"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spans="2:26" ht="13.5" hidden="1"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spans="2:26" ht="13.5" hidden="1"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spans="2:26" ht="13.5" hidden="1"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spans="2:26" ht="13.5" hidden="1"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spans="2:26" ht="13.5" hidden="1"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spans="2:26" ht="13.5" hidden="1"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spans="2:26" ht="13.5" hidden="1"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spans="2:26" ht="13.5" hidden="1"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spans="2:26" ht="13.5" hidden="1"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spans="2:26" ht="13.5" hidden="1"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spans="2:26" ht="13.5" hidden="1"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spans="2:26" ht="13.5" hidden="1"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spans="2:26" ht="13.5" hidden="1"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spans="2:26" ht="13.5" hidden="1"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spans="2:26" ht="13.5" hidden="1"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spans="2:26" ht="13.5" hidden="1"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spans="2:26" ht="13.5" hidden="1"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spans="2:26" ht="13.5" hidden="1"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spans="2:26" ht="13.5" hidden="1"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spans="2:26" ht="13.5" hidden="1"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spans="2:26" ht="13.5" hidden="1"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spans="2:26" ht="13.5" hidden="1"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spans="2:26" ht="13.5" hidden="1"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spans="2:26" ht="13.5" hidden="1"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spans="2:26" ht="13.5" hidden="1"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spans="2:26" ht="13.5" hidden="1"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spans="2:26" ht="13.5" hidden="1"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spans="2:26" ht="13.5" hidden="1"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spans="2:26" ht="13.5" hidden="1"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spans="2:26" ht="13.5" hidden="1"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spans="2:26" ht="13.5" hidden="1"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spans="2:26" ht="13.5" hidden="1"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spans="2:26" ht="13.5" hidden="1"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spans="2:26" ht="13.5" hidden="1"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spans="2:26" ht="13.5" hidden="1"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spans="2:26" ht="13.5" hidden="1"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spans="2:26" ht="13.5" hidden="1"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spans="2:26" ht="13.5" hidden="1"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spans="2:26" ht="13.5" hidden="1"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spans="2:26" ht="13.5" hidden="1"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spans="2:26" ht="13.5" hidden="1"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spans="2:26" ht="13.5" hidden="1"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spans="2:26" ht="13.5" hidden="1"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spans="2:26" ht="13.5" hidden="1"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spans="2:26" ht="13.5" hidden="1"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spans="2:26" ht="13.5" hidden="1"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spans="2:26" ht="13.5" hidden="1"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spans="2:26" ht="13.5" hidden="1"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spans="2:26" ht="13.5" hidden="1"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spans="2:26" ht="13.5" hidden="1"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spans="2:26" ht="13.5" hidden="1"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spans="2:26" ht="13.5" hidden="1"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spans="2:26" ht="13.5" hidden="1"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spans="2:26" ht="13.5" hidden="1"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spans="2:26" ht="13.5" hidden="1"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spans="2:26" ht="13.5" hidden="1"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spans="2:26" ht="13.5" hidden="1"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spans="2:26" ht="13.5" hidden="1"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spans="2:26" ht="13.5" hidden="1"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spans="2:26" ht="13.5" hidden="1"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spans="2:26" ht="13.5" hidden="1"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spans="2:26" ht="13.5" hidden="1"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spans="2:26" ht="13.5" hidden="1"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spans="2:26" ht="13.5" hidden="1"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spans="2:26" ht="13.5" hidden="1"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spans="2:26" ht="13.5" hidden="1"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spans="2:26" ht="13.5" hidden="1"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spans="2:26" ht="13.5" hidden="1"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spans="2:26" ht="13.5" hidden="1"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spans="2:26" ht="13.5" hidden="1"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spans="2:26" ht="13.5" hidden="1"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spans="2:26" ht="13.5" hidden="1"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spans="2:26" ht="13.5" hidden="1"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spans="2:26" ht="13.5" hidden="1"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spans="2:26" ht="13.5" hidden="1"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spans="2:26" ht="13.5" hidden="1"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spans="2:26" ht="13.5" hidden="1"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spans="2:26" ht="13.5" hidden="1"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spans="2:26" ht="13.5" hidden="1"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spans="2:26" ht="13.5" hidden="1"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spans="2:26" ht="13.5" hidden="1"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spans="2:26" ht="13.5" hidden="1"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spans="2:26" ht="13.5" hidden="1"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spans="2:26" ht="13.5" hidden="1"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spans="2:26" ht="13.5" hidden="1"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spans="2:26" ht="13.5" hidden="1"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spans="2:26" ht="13.5" hidden="1"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spans="2:26" ht="13.5" hidden="1"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spans="2:26" ht="13.5" hidden="1"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spans="2:26" ht="13.5" hidden="1"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spans="2:26" ht="13.5" hidden="1"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spans="2:26" ht="13.5" hidden="1"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spans="2:26" ht="13.5" hidden="1"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spans="2:26" ht="13.5" hidden="1"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spans="2:26" ht="13.5" hidden="1"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spans="2:26" ht="13.5" hidden="1"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spans="2:26" ht="13.5" hidden="1"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spans="2:26" ht="13.5" hidden="1"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spans="2:26" ht="13.5" hidden="1"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spans="2:26" ht="13.5" hidden="1"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spans="2:26" ht="13.5" hidden="1"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spans="2:26" ht="13.5" hidden="1"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spans="2:26" ht="13.5" hidden="1"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spans="2:26" ht="13.5" hidden="1"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spans="2:26" ht="13.5" hidden="1"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spans="2:26" ht="13.5" hidden="1"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spans="2:26" ht="13.5" hidden="1"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spans="2:26" ht="13.5" hidden="1"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spans="2:26" ht="13.5" hidden="1"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spans="2:26" ht="13.5" hidden="1"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spans="2:26" ht="13.5" hidden="1"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spans="2:26" ht="13.5" hidden="1"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spans="2:26" ht="13.5" hidden="1"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spans="2:26" ht="13.5" hidden="1"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spans="2:26" ht="13.5" hidden="1"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spans="2:26" ht="13.5" hidden="1"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spans="2:26" ht="13.5" hidden="1"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spans="2:26" ht="13.5" hidden="1"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spans="2:26" ht="13.5" hidden="1"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spans="2:26" ht="13.5" hidden="1"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spans="2:26" ht="13.5" hidden="1"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spans="2:26" ht="13.5" hidden="1"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spans="2:26" ht="13.5" hidden="1"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spans="2:26" ht="13.5" hidden="1"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spans="2:26" ht="13.5" hidden="1"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spans="2:26" ht="13.5" hidden="1"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spans="2:26" ht="13.5" hidden="1"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spans="2:26" ht="13.5" hidden="1"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spans="2:26" ht="13.5" hidden="1"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spans="2:26" ht="13.5" hidden="1"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spans="2:26" ht="13.5" hidden="1"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spans="2:26" ht="13.5" hidden="1"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spans="2:26" ht="13.5" hidden="1"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spans="2:26" ht="13.5" hidden="1"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spans="2:26" ht="13.5" hidden="1"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spans="2:26" ht="13.5" hidden="1"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spans="2:26" ht="13.5" hidden="1"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spans="2:26" ht="13.5" hidden="1"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spans="2:26" ht="13.5" hidden="1"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spans="2:26" ht="13.5" hidden="1"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spans="2:26" ht="13.5" hidden="1"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spans="2:26" ht="13.5" hidden="1"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spans="2:26" ht="13.5" hidden="1"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spans="2:26" ht="13.5" hidden="1"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spans="2:26" ht="13.5" hidden="1"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spans="2:26" ht="13.5" hidden="1"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spans="2:26" ht="13.5" hidden="1"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spans="2:26" ht="13.5" hidden="1"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spans="2:26" ht="13.5" hidden="1"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spans="2:26" ht="13.5" hidden="1"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spans="2:26" ht="13.5" hidden="1"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spans="2:26" ht="13.5" hidden="1"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spans="2:26" ht="13.5" hidden="1"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spans="2:26" ht="13.5" hidden="1"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spans="2:26" ht="13.5" hidden="1"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spans="2:26" ht="13.5" hidden="1"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spans="2:26" ht="13.5" hidden="1"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spans="2:26" ht="13.5" hidden="1"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spans="2:26" ht="13.5" hidden="1"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spans="2:26" ht="13.5" hidden="1"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spans="2:26" ht="13.5" hidden="1"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spans="2:26" ht="13.5" hidden="1"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spans="2:26" ht="13.5" hidden="1"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spans="2:26" ht="13.5" hidden="1"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spans="2:26" ht="13.5" hidden="1"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spans="2:26" ht="13.5" hidden="1"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spans="2:26" ht="13.5" hidden="1"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spans="2:26" ht="13.5" hidden="1"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spans="2:26" ht="13.5" hidden="1"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spans="2:26" ht="13.5" hidden="1"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spans="2:26" ht="13.5" hidden="1"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spans="2:26" ht="13.5" hidden="1"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spans="2:26" ht="13.5" hidden="1"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spans="2:26" ht="13.5" hidden="1"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spans="2:26" ht="13.5" hidden="1"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spans="2:26" ht="13.5" hidden="1"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spans="2:26" ht="13.5" hidden="1"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spans="2:26" ht="13.5" hidden="1"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spans="2:26" ht="13.5" hidden="1"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spans="2:26" ht="13.5" hidden="1"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spans="2:26" ht="13.5" hidden="1"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spans="2:26" ht="13.5" hidden="1"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spans="2:26" ht="13.5" hidden="1"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spans="2:26" ht="13.5" hidden="1"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spans="2:26" ht="13.5" hidden="1"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spans="2:26" ht="13.5" hidden="1"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spans="2:26" ht="13.5" hidden="1"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spans="2:26" ht="13.5" hidden="1"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spans="2:26" ht="13.5" hidden="1"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spans="2:26" ht="13.5" hidden="1"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spans="2:26" ht="13.5" hidden="1"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spans="2:26" ht="13.5" hidden="1"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spans="2:26" ht="13.5" hidden="1"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spans="2:26" ht="13.5" hidden="1"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spans="2:26" ht="13.5" hidden="1"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spans="2:26" ht="13.5" hidden="1"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spans="2:26" ht="13.5" hidden="1"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spans="2:26" ht="13.5" hidden="1"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spans="2:26" ht="13.5" hidden="1"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spans="2:26" ht="13.5" hidden="1"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spans="2:26" ht="13.5" hidden="1"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spans="2:26" ht="13.5" hidden="1"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spans="2:26" ht="13.5" hidden="1"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spans="2:26" ht="13.5" hidden="1"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spans="2:26" ht="13.5" hidden="1"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spans="2:26" ht="13.5" hidden="1"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spans="2:26" ht="13.5" hidden="1"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spans="2:26" ht="13.5" hidden="1"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spans="2:26" ht="13.5" hidden="1"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spans="2:26" ht="13.5" hidden="1"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spans="2:26" ht="13.5" hidden="1"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spans="2:26" ht="13.5" hidden="1"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spans="2:26" ht="13.5" hidden="1"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spans="2:26" ht="13.5" hidden="1"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spans="2:26" ht="13.5" hidden="1"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spans="2:26" ht="13.5" hidden="1"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spans="2:26" ht="13.5" hidden="1"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spans="2:26" ht="13.5" hidden="1"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spans="2:26" ht="13.5" hidden="1"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spans="2:26" ht="13.5" hidden="1"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spans="2:26" ht="13.5" hidden="1"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spans="2:26" ht="13.5" hidden="1"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spans="2:26" ht="13.5" hidden="1"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spans="2:26" ht="13.5" hidden="1"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spans="2:26" ht="13.5" hidden="1"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spans="2:26" ht="13.5" hidden="1"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spans="2:26" ht="13.5" hidden="1"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spans="2:26" ht="13.5" hidden="1"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spans="2:26" ht="13.5" hidden="1"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spans="2:26" ht="13.5" hidden="1"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spans="2:26" ht="13.5" hidden="1"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spans="2:26" ht="13.5" hidden="1"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spans="2:26" ht="13.5" hidden="1"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spans="2:26" ht="13.5" hidden="1"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spans="2:26" ht="13.5" hidden="1"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spans="2:26" ht="13.5" hidden="1"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spans="2:26" ht="13.5" hidden="1"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spans="2:26" ht="13.5" hidden="1"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spans="2:26" ht="13.5" hidden="1"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spans="2:26" ht="13.5" hidden="1"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spans="2:26" ht="13.5" hidden="1"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spans="2:26" ht="13.5" hidden="1"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spans="2:26" ht="13.5" hidden="1"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spans="2:26" ht="13.5" hidden="1"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spans="2:26" ht="13.5" hidden="1"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spans="2:26" ht="13.5" hidden="1"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spans="2:26" ht="13.5" hidden="1"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spans="2:26" ht="13.5" hidden="1"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spans="2:26" ht="13.5" hidden="1"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spans="2:26" ht="13.5" hidden="1"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spans="2:26" ht="13.5" hidden="1"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spans="2:26" ht="13.5" hidden="1"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spans="2:26" ht="13.5" hidden="1"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spans="2:26" ht="13.5" hidden="1"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spans="2:26" ht="13.5" hidden="1"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spans="2:26" ht="13.5" hidden="1"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spans="2:26" ht="13.5" hidden="1"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spans="2:26" ht="13.5" hidden="1"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spans="2:26" ht="13.5" hidden="1"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spans="2:26" ht="13.5" hidden="1"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spans="2:26" ht="13.5" hidden="1"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spans="2:26" ht="13.5" hidden="1"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spans="2:26" ht="13.5" hidden="1"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spans="2:26" ht="13.5" hidden="1"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spans="2:26" ht="13.5" hidden="1"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spans="2:26" ht="13.5" hidden="1"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spans="2:26" ht="13.5" hidden="1"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spans="2:26" ht="13.5" hidden="1"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spans="2:26" ht="13.5" hidden="1"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spans="2:26" ht="13.5" hidden="1"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spans="2:26" ht="13.5" hidden="1"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spans="2:26" ht="13.5" hidden="1"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spans="2:26" ht="13.5" hidden="1"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spans="2:26" ht="13.5" hidden="1"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spans="2:26" ht="13.5" hidden="1"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spans="2:26" ht="13.5" hidden="1"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spans="2:26" ht="13.5" hidden="1"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spans="2:26" ht="13.5" hidden="1"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spans="2:26" ht="13.5" hidden="1"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spans="2:26" ht="13.5" hidden="1"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spans="2:26" ht="13.5" hidden="1"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spans="2:26" ht="13.5" hidden="1"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spans="2:26" ht="13.5" hidden="1"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spans="2:26" ht="13.5" hidden="1"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spans="2:26" ht="13.5" hidden="1"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spans="2:26" ht="13.5" hidden="1"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spans="2:26" ht="13.5" hidden="1"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spans="2:26" ht="13.5" hidden="1"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spans="2:26" ht="13.5" hidden="1"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spans="2:26" ht="13.5" hidden="1"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spans="2:26" ht="13.5" hidden="1"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spans="2:26" ht="13.5" hidden="1"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spans="2:26" ht="13.5" hidden="1"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spans="2:26" ht="13.5" hidden="1"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spans="2:26" ht="13.5" hidden="1"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spans="2:26" ht="13.5" hidden="1"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spans="2:26" ht="13.5" hidden="1"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spans="2:26" ht="13.5" hidden="1"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spans="2:26" ht="13.5" hidden="1"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spans="2:26" ht="13.5" hidden="1"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spans="2:26" ht="13.5" hidden="1"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spans="2:26" ht="13.5" hidden="1"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spans="2:26" ht="13.5" hidden="1"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spans="2:26" ht="13.5" hidden="1"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spans="2:26" ht="13.5" hidden="1"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spans="2:26" ht="13.5" hidden="1"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spans="2:26" ht="13.5" hidden="1"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spans="2:26" ht="13.5" hidden="1"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spans="2:26" ht="13.5" hidden="1"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spans="2:26" ht="13.5" hidden="1"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spans="2:26" ht="13.5" hidden="1"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spans="2:26" ht="13.5" hidden="1"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spans="2:26" ht="13.5" hidden="1"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spans="2:26" ht="13.5" hidden="1"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spans="2:26" ht="13.5" hidden="1"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spans="2:26" ht="13.5" hidden="1"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spans="2:26" ht="13.5" hidden="1"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spans="2:26" ht="13.5" hidden="1"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spans="2:26" ht="13.5" hidden="1"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spans="2:26" ht="13.5" hidden="1"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spans="2:26" ht="13.5" hidden="1"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spans="2:26" ht="13.5" hidden="1"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spans="2:26" ht="13.5" hidden="1"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spans="2:26" ht="13.5" hidden="1"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spans="2:26" ht="13.5" hidden="1"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spans="2:26" ht="13.5" hidden="1"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spans="2:26" ht="13.5" hidden="1"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spans="2:26" ht="13.5" hidden="1"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spans="2:26" ht="13.5" hidden="1"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spans="2:26" ht="13.5" hidden="1"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spans="2:26" ht="13.5" hidden="1"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spans="2:26" ht="13.5" hidden="1"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spans="2:26" ht="13.5" hidden="1"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spans="2:26" ht="13.5" hidden="1"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spans="2:26" ht="13.5" hidden="1"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spans="2:26" ht="13.5" hidden="1"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spans="2:26" ht="13.5" hidden="1"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spans="2:26" ht="13.5" hidden="1"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spans="2:26" ht="13.5" hidden="1"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spans="2:26" ht="13.5" hidden="1"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spans="2:26" ht="13.5" hidden="1"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spans="2:26" ht="13.5" hidden="1"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spans="2:26" ht="13.5" hidden="1"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spans="2:26" ht="13.5" hidden="1"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spans="2:26" ht="13.5" hidden="1"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spans="2:26" ht="13.5" hidden="1"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spans="2:26" ht="13.5" hidden="1"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spans="2:26" ht="13.5" hidden="1"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spans="2:26" ht="13.5" hidden="1"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spans="2:26" ht="13.5" hidden="1"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spans="2:26" ht="13.5" hidden="1"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spans="2:26" ht="13.5" hidden="1"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spans="2:26" ht="13.5" hidden="1"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spans="2:26" ht="13.5" hidden="1"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spans="2:26" ht="13.5" hidden="1"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spans="2:26" ht="13.5" hidden="1"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spans="2:26" ht="13.5" hidden="1"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spans="2:26" ht="13.5" hidden="1"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spans="2:26" ht="13.5" hidden="1"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spans="2:26" ht="13.5" hidden="1"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spans="2:26" ht="13.5" hidden="1"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spans="2:26" ht="13.5" hidden="1"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spans="2:26" ht="13.5" hidden="1"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spans="2:26" ht="13.5" hidden="1"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spans="2:26" ht="13.5" hidden="1"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spans="2:26" ht="13.5" hidden="1"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spans="2:26" ht="13.5" hidden="1"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spans="2:26" ht="13.5" hidden="1"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spans="2:26" ht="13.5" hidden="1"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spans="2:26" ht="13.5" hidden="1"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spans="2:26" ht="13.5" hidden="1"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spans="2:26" ht="13.5" hidden="1"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spans="2:26" ht="13.5" hidden="1"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spans="2:26" ht="13.5" hidden="1"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spans="2:26" ht="13.5" hidden="1"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spans="2:26" ht="13.5" hidden="1"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spans="2:26" ht="13.5" hidden="1"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spans="2:26" ht="13.5" hidden="1"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spans="2:26" ht="13.5" hidden="1"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spans="2:26" ht="13.5" hidden="1"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spans="2:26" ht="13.5" hidden="1"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spans="2:26" ht="13.5" hidden="1"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spans="2:26" ht="13.5" hidden="1"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spans="2:26" ht="13.5" hidden="1"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spans="2:26" ht="13.5" hidden="1"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spans="2:26" ht="13.5" hidden="1"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spans="2:26" ht="13.5" hidden="1"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spans="2:26" ht="13.5" hidden="1"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spans="2:26" ht="13.5" hidden="1"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spans="2:26" ht="13.5" hidden="1"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spans="2:26" ht="13.5" hidden="1"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spans="2:26" ht="13.5" hidden="1"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spans="2:26" ht="13.5" hidden="1"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spans="2:26" ht="13.5" hidden="1"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spans="2:26" ht="13.5" hidden="1"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spans="2:26" ht="13.5" hidden="1"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spans="2:26" ht="13.5" hidden="1"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spans="2:26" ht="13.5" hidden="1"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spans="2:26" ht="13.5" hidden="1"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spans="2:26" ht="13.5" hidden="1"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spans="2:26" ht="13.5" hidden="1"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spans="2:26" ht="13.5" hidden="1"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spans="2:26" ht="13.5" hidden="1"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spans="2:26" ht="13.5" hidden="1"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spans="2:26" ht="13.5" hidden="1"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spans="2:26" ht="13.5" hidden="1"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spans="2:26" ht="13.5" hidden="1"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spans="2:26" ht="13.5" hidden="1"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spans="2:26" ht="13.5" hidden="1"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spans="2:26" ht="13.5" hidden="1"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spans="2:26" ht="13.5" hidden="1"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spans="2:26" ht="13.5" hidden="1"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spans="2:26" ht="13.5" hidden="1"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spans="2:26" ht="13.5" hidden="1"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spans="2:26" ht="13.5" hidden="1"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spans="2:26" ht="13.5" hidden="1"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spans="2:26" ht="13.5" hidden="1"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spans="2:26" ht="13.5" hidden="1"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spans="2:26" ht="13.5" hidden="1"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spans="2:26" ht="13.5" hidden="1"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spans="2:26" ht="13.5" hidden="1"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spans="2:26" ht="13.5" hidden="1"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spans="2:26" ht="13.5" hidden="1"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spans="2:26" ht="13.5" hidden="1"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spans="2:26" ht="13.5" hidden="1"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spans="2:26" ht="13.5" hidden="1"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spans="2:26" ht="13.5" hidden="1"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spans="2:26" ht="13.5" hidden="1"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spans="2:26" ht="13.5" hidden="1"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spans="2:26" ht="13.5" hidden="1"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spans="2:26" ht="13.5" hidden="1"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spans="2:26" ht="13.5" hidden="1"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spans="2:26" ht="13.5" hidden="1"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spans="2:26" ht="13.5" hidden="1"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spans="2:26" ht="13.5" hidden="1"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spans="2:26" ht="13.5" hidden="1"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spans="2:26" ht="13.5" hidden="1"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spans="2:26" ht="13.5" hidden="1"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spans="2:26" ht="13.5" hidden="1"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spans="2:26" ht="13.5" hidden="1"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spans="2:26" ht="13.5" hidden="1"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spans="2:26" ht="13.5" hidden="1"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spans="2:26" ht="13.5" hidden="1"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spans="2:26" ht="13.5" hidden="1"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spans="2:26" ht="13.5" hidden="1"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spans="2:26" ht="13.5" hidden="1"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spans="2:26" ht="13.5" hidden="1"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spans="2:26" ht="13.5" hidden="1"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spans="2:26" ht="13.5" hidden="1"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spans="2:26" ht="13.5" hidden="1"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spans="2:26" ht="13.5" hidden="1"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spans="2:26" ht="13.5" hidden="1"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spans="2:26" ht="13.5" hidden="1"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spans="2:26" ht="13.5" hidden="1"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spans="2:26" ht="13.5" hidden="1"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spans="2:26" ht="13.5" hidden="1"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spans="2:26" ht="13.5" hidden="1"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spans="2:26" ht="13.5" hidden="1"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spans="2:26" ht="13.5" hidden="1"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spans="2:26" ht="13.5" hidden="1"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spans="2:26" ht="13.5" hidden="1"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spans="2:26" ht="13.5" hidden="1"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spans="2:26" ht="13.5" hidden="1"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3</vt:i4>
      </vt:variant>
    </vt:vector>
  </HeadingPairs>
  <TitlesOfParts>
    <vt:vector size="11" baseType="lpstr">
      <vt:lpstr>교육과정편제표(그린바이오과)</vt:lpstr>
      <vt:lpstr>실무과목 능력단위(그린바이오과)</vt:lpstr>
      <vt:lpstr>교육과정편제표(바이오스마트테크과)</vt:lpstr>
      <vt:lpstr>실무과목 능력단위(바이오스마트테크과)</vt:lpstr>
      <vt:lpstr>교육과정편제표(바이오스마트경영과)</vt:lpstr>
      <vt:lpstr>실무과목 능력단위(바이오스마트경영과)</vt:lpstr>
      <vt:lpstr>삭제금지</vt:lpstr>
      <vt:lpstr>(참고1) 편성 기준🔐</vt:lpstr>
      <vt:lpstr>'교육과정편제표(그린바이오과)'!Print_Area</vt:lpstr>
      <vt:lpstr>'교육과정편제표(바이오스마트경영과)'!Print_Area</vt:lpstr>
      <vt:lpstr>'교육과정편제표(바이오스마트테크과)'!Print_Area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user</cp:lastModifiedBy>
  <cp:lastPrinted>2026-10-13T00:03:00Z</cp:lastPrinted>
  <dcterms:created xsi:type="dcterms:W3CDTF">2020-03-04T02:26:59Z</dcterms:created>
  <dcterms:modified xsi:type="dcterms:W3CDTF">2026-10-30T00:44:01Z</dcterms:modified>
</cp:coreProperties>
</file>