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eacher\Desktop\교육과정부\6. 편제\"/>
    </mc:Choice>
  </mc:AlternateContent>
  <xr:revisionPtr revIDLastSave="0" documentId="13_ncr:1_{2C74D437-A8F4-4B02-8A27-7927ECEBE9AD}" xr6:coauthVersionLast="47" xr6:coauthVersionMax="47" xr10:uidLastSave="{00000000-0000-0000-0000-000000000000}"/>
  <bookViews>
    <workbookView xWindow="-120" yWindow="-120" windowWidth="29040" windowHeight="15720" tabRatio="795" xr2:uid="{00000000-000D-0000-FFFF-FFFF00000000}"/>
  </bookViews>
  <sheets>
    <sheet name="교육과정편제표(관광경영과)" sheetId="20" r:id="rId1"/>
    <sheet name="교육과정편제표(보건간호과)" sheetId="19" r:id="rId2"/>
    <sheet name="실무과목 능력단위(관광경영과)" sheetId="21" r:id="rId3"/>
    <sheet name="실무과목 능력단위(보건간호과)" sheetId="22" r:id="rId4"/>
    <sheet name="삭제금지" sheetId="4" r:id="rId5"/>
    <sheet name="(참고1) 편성 기준🔐" sheetId="16" r:id="rId6"/>
  </sheets>
  <externalReferences>
    <externalReference r:id="rId7"/>
    <externalReference r:id="rId8"/>
  </externalReferences>
  <definedNames>
    <definedName name="_xlnm._FilterDatabase" localSheetId="0" hidden="1">'교육과정편제표(관광경영과)'!$M$3:$P$4</definedName>
    <definedName name="_xlnm._FilterDatabase" localSheetId="1" hidden="1">'교육과정편제표(보건간호과)'!$M$3:$P$4</definedName>
    <definedName name="_xlnm._FilterDatabase" localSheetId="4" hidden="1">삭제금지!$A$1:$F$151</definedName>
    <definedName name="_xlnm._FilterDatabase" localSheetId="2" hidden="1">'실무과목 능력단위(관광경영과)'!#REF!</definedName>
    <definedName name="_xlnm._FilterDatabase" localSheetId="3" hidden="1">'실무과목 능력단위(보건간호과)'!#REF!</definedName>
    <definedName name="_xlnm.Print_Area" localSheetId="0">'교육과정편제표(관광경영과)'!$A$1:$AE$60</definedName>
    <definedName name="_xlnm.Print_Area" localSheetId="1">'교육과정편제표(보건간호과)'!$A$1:$AE$58</definedName>
    <definedName name="_xlnm.Print_Area" localSheetId="2">'실무과목 능력단위(관광경영과)'!$A$1:$AF$54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7" i="21" l="1"/>
  <c r="J47" i="21"/>
  <c r="R47" i="21" l="1"/>
  <c r="AA35" i="20"/>
  <c r="AA51" i="20"/>
  <c r="AA56" i="20"/>
  <c r="AA54" i="20"/>
  <c r="Q29" i="22" l="1"/>
  <c r="R29" i="22"/>
  <c r="S29" i="22"/>
  <c r="P29" i="22"/>
  <c r="M23" i="22"/>
  <c r="N23" i="22"/>
  <c r="O23" i="22"/>
  <c r="L23" i="22"/>
  <c r="M18" i="22"/>
  <c r="N18" i="22"/>
  <c r="O18" i="22"/>
  <c r="L18" i="22"/>
  <c r="I13" i="22"/>
  <c r="J13" i="22"/>
  <c r="K13" i="22"/>
  <c r="H13" i="22"/>
  <c r="S32" i="22"/>
  <c r="R32" i="22"/>
  <c r="Q52" i="21"/>
  <c r="R52" i="21"/>
  <c r="S52" i="21"/>
  <c r="P52" i="21"/>
  <c r="Q44" i="21"/>
  <c r="R44" i="21"/>
  <c r="S44" i="21"/>
  <c r="P44" i="21"/>
  <c r="Q39" i="21"/>
  <c r="R39" i="21"/>
  <c r="S39" i="21"/>
  <c r="P39" i="21"/>
  <c r="M34" i="21"/>
  <c r="N34" i="21"/>
  <c r="O34" i="21"/>
  <c r="L34" i="21"/>
  <c r="P26" i="21"/>
  <c r="R26" i="21"/>
  <c r="Q26" i="21"/>
  <c r="S26" i="21"/>
  <c r="S29" i="21" l="1"/>
  <c r="R29" i="21"/>
  <c r="R20" i="21"/>
  <c r="S20" i="21"/>
  <c r="I14" i="21"/>
  <c r="M17" i="21"/>
  <c r="L17" i="21"/>
  <c r="H14" i="21"/>
  <c r="R14" i="21" l="1"/>
  <c r="P14" i="21"/>
  <c r="N14" i="21"/>
  <c r="M14" i="21"/>
  <c r="L14" i="21"/>
  <c r="K14" i="21"/>
  <c r="J14" i="21"/>
  <c r="K10" i="21"/>
  <c r="T14" i="21"/>
  <c r="S14" i="21"/>
  <c r="Q14" i="21"/>
  <c r="O14" i="21"/>
  <c r="K9" i="21"/>
  <c r="U14" i="21" l="1"/>
  <c r="H33" i="20"/>
  <c r="H36" i="19"/>
  <c r="W24" i="19"/>
  <c r="W11" i="19"/>
  <c r="S60" i="20"/>
  <c r="O60" i="20"/>
  <c r="K60" i="20"/>
  <c r="W59" i="20"/>
  <c r="Y59" i="20" s="1"/>
  <c r="W58" i="20"/>
  <c r="Y55" i="20"/>
  <c r="U52" i="20"/>
  <c r="S52" i="20"/>
  <c r="Q52" i="20"/>
  <c r="O52" i="20"/>
  <c r="M52" i="20"/>
  <c r="K52" i="20"/>
  <c r="J52" i="20"/>
  <c r="I52" i="20"/>
  <c r="I54" i="20" s="1"/>
  <c r="H52" i="20"/>
  <c r="W50" i="20"/>
  <c r="W49" i="20"/>
  <c r="W48" i="20"/>
  <c r="W47" i="20"/>
  <c r="W46" i="20"/>
  <c r="W45" i="20"/>
  <c r="W44" i="20"/>
  <c r="W43" i="20"/>
  <c r="W42" i="20"/>
  <c r="W41" i="20"/>
  <c r="W40" i="20"/>
  <c r="W39" i="20"/>
  <c r="W38" i="20"/>
  <c r="W37" i="20"/>
  <c r="W36" i="20"/>
  <c r="W35" i="20"/>
  <c r="W34" i="20"/>
  <c r="U33" i="20"/>
  <c r="S33" i="20"/>
  <c r="Q33" i="20"/>
  <c r="O33" i="20"/>
  <c r="M33" i="20"/>
  <c r="K33" i="20"/>
  <c r="K54" i="20" s="1"/>
  <c r="H54" i="20"/>
  <c r="W31" i="20"/>
  <c r="W29" i="20"/>
  <c r="W28" i="20"/>
  <c r="W27" i="20"/>
  <c r="W26" i="20"/>
  <c r="W25" i="20"/>
  <c r="J25" i="20"/>
  <c r="W24" i="20"/>
  <c r="J24" i="20"/>
  <c r="W23" i="20"/>
  <c r="W22" i="20"/>
  <c r="W21" i="20"/>
  <c r="W20" i="20"/>
  <c r="W19" i="20"/>
  <c r="W18" i="20"/>
  <c r="X18" i="20" s="1"/>
  <c r="W17" i="20"/>
  <c r="W15" i="20"/>
  <c r="W14" i="20"/>
  <c r="W13" i="20"/>
  <c r="W12" i="20"/>
  <c r="X12" i="20" s="1"/>
  <c r="W11" i="20"/>
  <c r="W10" i="20"/>
  <c r="W9" i="20"/>
  <c r="X9" i="20" s="1"/>
  <c r="Q54" i="20" l="1"/>
  <c r="X22" i="20"/>
  <c r="W60" i="20"/>
  <c r="X14" i="20"/>
  <c r="Y34" i="20"/>
  <c r="Y52" i="20" s="1"/>
  <c r="X24" i="20"/>
  <c r="M54" i="20"/>
  <c r="O54" i="20"/>
  <c r="X20" i="20"/>
  <c r="U54" i="20"/>
  <c r="W52" i="20"/>
  <c r="S54" i="20"/>
  <c r="J33" i="20"/>
  <c r="J54" i="20" s="1"/>
  <c r="W33" i="20"/>
  <c r="W54" i="20" l="1"/>
  <c r="S58" i="19"/>
  <c r="O58" i="19"/>
  <c r="K58" i="19"/>
  <c r="W57" i="19"/>
  <c r="Y57" i="19" s="1"/>
  <c r="W56" i="19"/>
  <c r="AA54" i="19" s="1"/>
  <c r="Y53" i="19"/>
  <c r="U50" i="19"/>
  <c r="S50" i="19"/>
  <c r="Q50" i="19"/>
  <c r="O50" i="19"/>
  <c r="M50" i="19"/>
  <c r="K50" i="19"/>
  <c r="J50" i="19"/>
  <c r="I50" i="19"/>
  <c r="I52" i="19" s="1"/>
  <c r="H50" i="19"/>
  <c r="W47" i="19"/>
  <c r="W46" i="19"/>
  <c r="W45" i="19"/>
  <c r="W44" i="19"/>
  <c r="W43" i="19"/>
  <c r="W42" i="19"/>
  <c r="W41" i="19"/>
  <c r="W40" i="19"/>
  <c r="W39" i="19"/>
  <c r="W38" i="19"/>
  <c r="W37" i="19"/>
  <c r="Y36" i="19"/>
  <c r="U36" i="19"/>
  <c r="S36" i="19"/>
  <c r="Q36" i="19"/>
  <c r="O36" i="19"/>
  <c r="M36" i="19"/>
  <c r="K36" i="19"/>
  <c r="W34" i="19"/>
  <c r="W32" i="19"/>
  <c r="W31" i="19"/>
  <c r="W30" i="19"/>
  <c r="W29" i="19"/>
  <c r="W28" i="19"/>
  <c r="J28" i="19"/>
  <c r="W27" i="19"/>
  <c r="J27" i="19"/>
  <c r="W23" i="19"/>
  <c r="W22" i="19"/>
  <c r="W21" i="19"/>
  <c r="W20" i="19"/>
  <c r="W19" i="19"/>
  <c r="W18" i="19"/>
  <c r="W16" i="19"/>
  <c r="W15" i="19"/>
  <c r="W14" i="19"/>
  <c r="W13" i="19"/>
  <c r="W12" i="19"/>
  <c r="W10" i="19"/>
  <c r="W9" i="19"/>
  <c r="Y37" i="19" l="1"/>
  <c r="Y50" i="19" s="1"/>
  <c r="X15" i="19"/>
  <c r="X21" i="19"/>
  <c r="J36" i="19"/>
  <c r="J52" i="19" s="1"/>
  <c r="Y52" i="19"/>
  <c r="S52" i="19"/>
  <c r="X23" i="19"/>
  <c r="AA56" i="19"/>
  <c r="K52" i="19"/>
  <c r="X9" i="19"/>
  <c r="W50" i="19"/>
  <c r="H52" i="19"/>
  <c r="X19" i="19"/>
  <c r="U52" i="19"/>
  <c r="X27" i="19"/>
  <c r="W36" i="19"/>
  <c r="AA35" i="19" s="1"/>
  <c r="O52" i="19"/>
  <c r="X13" i="19"/>
  <c r="Q52" i="19"/>
  <c r="W58" i="19"/>
  <c r="M52" i="19"/>
  <c r="W52" i="19" l="1"/>
  <c r="AA51" i="19" s="1"/>
  <c r="Y33" i="20" l="1"/>
  <c r="Y54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4" authorId="0" shapeId="0" xr:uid="{B86F4E3B-14C5-448C-8477-8615628C0764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35" authorId="0" shapeId="0" xr:uid="{D16B47BD-0E08-448D-8B78-5F127ADADE80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2" authorId="0" shapeId="0" xr:uid="{D95F2D17-2FBA-4A1B-81A8-4C37C741F36A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7" authorId="0" shapeId="0" xr:uid="{0184503D-2820-40D4-8215-422263DF2F4F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38" authorId="0" shapeId="0" xr:uid="{18FA014F-6182-4AFE-837F-3BDFAD43DAF2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0" authorId="0" shapeId="0" xr:uid="{D12C1CFE-4190-4D89-A7BE-8E3DA9FCBF95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<sst xmlns="http://schemas.openxmlformats.org/spreadsheetml/2006/main" count="1733" uniqueCount="680">
  <si>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</si>
  <si>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</si>
  <si>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</si>
  <si>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</si>
  <si>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</si>
  <si>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</si>
  <si>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</si>
  <si>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</si>
  <si>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</si>
  <si>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</si>
  <si>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</si>
  <si>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</si>
  <si>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</si>
  <si>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</si>
  <si>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</si>
  <si>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</si>
  <si>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</si>
  <si>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</si>
  <si>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</si>
  <si>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</si>
  <si>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</si>
  <si>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</si>
  <si>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</si>
  <si>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</si>
  <si>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</si>
  <si>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</si>
  <si>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</si>
  <si>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</si>
  <si>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</si>
  <si>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</si>
  <si>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</si>
  <si>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</si>
  <si>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</si>
  <si>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</si>
  <si>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</si>
  <si>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</si>
  <si>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</si>
  <si>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</si>
  <si>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</si>
  <si>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</si>
  <si>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</si>
  <si>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</si>
  <si>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</si>
  <si>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</si>
  <si>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</si>
  <si>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</si>
  <si>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</si>
  <si>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</si>
  <si>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</si>
  <si>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</si>
  <si>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</si>
  <si>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</si>
  <si>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</si>
  <si>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</si>
  <si>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</si>
  <si>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</si>
  <si>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</si>
  <si>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</si>
  <si>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</si>
  <si>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</si>
  <si>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</si>
  <si>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</si>
  <si>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</si>
  <si>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</si>
  <si>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</si>
  <si>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</si>
  <si>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</si>
  <si>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</si>
  <si>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</si>
  <si>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</si>
  <si>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</si>
  <si>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</si>
  <si>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</si>
  <si>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</si>
  <si>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</si>
  <si>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</si>
  <si>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</si>
  <si>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</si>
  <si>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</si>
  <si>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</si>
  <si>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</si>
  <si>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</si>
  <si>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</si>
  <si>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</si>
  <si>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</si>
  <si>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</si>
  <si>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</si>
  <si>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</si>
  <si>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</si>
  <si>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</si>
  <si>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</si>
  <si>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</si>
  <si>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</si>
  <si>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</si>
  <si>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</si>
  <si>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</si>
  <si>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</si>
  <si>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</si>
  <si>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</si>
  <si>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</si>
  <si>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</si>
  <si>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</si>
  <si>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</si>
  <si>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</si>
  <si>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</si>
  <si>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</si>
  <si>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</si>
  <si>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</si>
  <si>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</si>
  <si>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</si>
  <si>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</si>
  <si>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</si>
  <si>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</si>
  <si>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</si>
  <si>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</si>
  <si>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</si>
  <si>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</si>
  <si>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</si>
  <si>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</si>
  <si>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</si>
  <si>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</si>
  <si>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</si>
  <si>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</si>
  <si>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</si>
  <si>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</si>
  <si>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</si>
  <si>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</si>
  <si>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</si>
  <si>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</si>
  <si>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</si>
  <si>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</si>
  <si>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</si>
  <si>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</si>
  <si>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</si>
  <si>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</si>
  <si>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</si>
  <si>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</si>
  <si>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</si>
  <si>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</si>
  <si>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</si>
  <si>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</si>
  <si>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</si>
  <si>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</si>
  <si>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</si>
  <si>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</si>
  <si>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</si>
  <si>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</si>
  <si>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</si>
  <si>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학기별 이수학점</t>
    <phoneticPr fontId="9" type="noConversion"/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</si>
  <si>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</si>
  <si>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</si>
  <si>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</si>
  <si>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전공
선택
(택1)</t>
    <phoneticPr fontId="9" type="noConversion"/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</si>
  <si>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</si>
  <si>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</si>
  <si>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</si>
  <si>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</si>
  <si>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</si>
  <si>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</si>
  <si>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</si>
  <si>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</si>
  <si>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</si>
  <si>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</si>
  <si>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</si>
  <si>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</si>
  <si>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</si>
  <si>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</si>
  <si>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</si>
  <si>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</si>
  <si>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</si>
  <si>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</si>
  <si>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</si>
  <si>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</si>
  <si>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</si>
  <si>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</si>
  <si>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</si>
  <si>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</si>
  <si>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</si>
  <si>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</si>
  <si>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</si>
  <si>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</si>
  <si>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</si>
  <si>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</si>
  <si>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</si>
  <si>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</si>
  <si>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</si>
  <si>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</si>
  <si>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</si>
  <si>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</si>
  <si>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</si>
  <si>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</si>
  <si>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</si>
  <si>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</si>
  <si>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</si>
  <si>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</si>
  <si>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</si>
  <si>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</si>
  <si>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</si>
  <si>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</si>
  <si>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</si>
  <si>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</si>
  <si>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</si>
  <si>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</si>
  <si>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</si>
  <si>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</si>
  <si>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</si>
  <si>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</si>
  <si>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</si>
  <si>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</si>
  <si>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</si>
  <si>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</si>
  <si>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</si>
  <si>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</si>
  <si>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</si>
  <si>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</si>
  <si>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</si>
  <si>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</si>
  <si>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</si>
  <si>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</si>
  <si>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</si>
  <si>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</si>
  <si>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</si>
  <si>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</si>
  <si>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</si>
  <si>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</si>
  <si>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</si>
  <si>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</si>
  <si>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</si>
  <si>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</si>
  <si>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</si>
  <si>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</si>
  <si>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</si>
  <si>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</si>
  <si>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</si>
  <si>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</si>
  <si>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</si>
  <si>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</si>
  <si>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</si>
  <si>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</si>
  <si>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</si>
  <si>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</si>
  <si>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</si>
  <si>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</si>
  <si>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</si>
  <si>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</si>
  <si>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</si>
  <si>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</si>
  <si>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</si>
  <si>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</si>
  <si>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</si>
  <si>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</si>
  <si>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</si>
  <si>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</si>
  <si>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</si>
  <si>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</si>
  <si>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</si>
  <si>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</si>
  <si>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</si>
  <si>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</si>
  <si>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</si>
  <si>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</si>
  <si>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</si>
  <si>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</si>
  <si>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</si>
  <si>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</si>
  <si>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</si>
  <si>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</si>
  <si>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</si>
  <si>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</si>
  <si>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</si>
  <si>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</si>
  <si>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</si>
  <si>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</si>
  <si>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</si>
  <si>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</si>
  <si>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</si>
  <si>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</si>
  <si>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</si>
  <si>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</si>
  <si>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</si>
  <si>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</si>
  <si>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</si>
  <si>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</si>
  <si>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</si>
  <si>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</si>
  <si>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</si>
  <si>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</si>
  <si>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</si>
  <si>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</si>
  <si>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</si>
  <si>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</si>
  <si>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</si>
  <si>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</si>
  <si>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</si>
  <si>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</si>
  <si>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</si>
  <si>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</si>
  <si>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</si>
  <si>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</si>
  <si>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</si>
  <si>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</si>
  <si>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</si>
  <si>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</si>
  <si>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</si>
  <si>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</si>
  <si>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</si>
  <si>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</si>
  <si>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</si>
  <si>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</si>
  <si>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</si>
  <si>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</si>
  <si>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</si>
  <si>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</si>
  <si>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</si>
  <si>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</si>
  <si>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</si>
  <si>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</si>
  <si>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</si>
  <si>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</si>
  <si>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</si>
  <si>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</si>
  <si>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</si>
  <si>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</si>
  <si>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</si>
  <si>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</si>
  <si>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</si>
  <si>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</si>
  <si>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</si>
  <si>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</si>
  <si>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</si>
  <si>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</si>
  <si>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</si>
  <si>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</si>
  <si>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</si>
  <si>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</si>
  <si>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</si>
  <si>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</si>
  <si>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</si>
  <si>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3~5</t>
    <phoneticPr fontId="9" type="noConversion"/>
  </si>
  <si>
    <t>사회(역사/도덕 포함)</t>
    <phoneticPr fontId="9" type="noConversion"/>
  </si>
  <si>
    <t>3~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</si>
  <si>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</si>
  <si>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</si>
  <si>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</si>
  <si>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</si>
  <si>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</si>
  <si>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</si>
  <si>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</si>
  <si>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전문공통</t>
    <phoneticPr fontId="9" type="noConversion"/>
  </si>
  <si>
    <t>전공일반</t>
    <phoneticPr fontId="9" type="noConversion"/>
  </si>
  <si>
    <t>전공실무</t>
    <phoneticPr fontId="9" type="noConversion"/>
  </si>
  <si>
    <t>심화코스1</t>
    <phoneticPr fontId="9" type="noConversion"/>
  </si>
  <si>
    <t>심화코스2</t>
    <phoneticPr fontId="9" type="noConversion"/>
  </si>
  <si>
    <t>식품·조리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</si>
  <si>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</si>
  <si>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</si>
  <si>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</si>
  <si>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</si>
  <si>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</si>
  <si>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</si>
  <si>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</si>
  <si>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</si>
  <si>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</si>
  <si>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t>스포츠 문화*</t>
    <phoneticPr fontId="9" type="noConversion"/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</si>
  <si>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</si>
  <si>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</si>
  <si>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</si>
  <si>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</si>
  <si>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</si>
  <si>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</si>
  <si>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</si>
  <si>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</si>
  <si>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</si>
  <si>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</si>
  <si>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</si>
  <si>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</si>
  <si>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</si>
  <si>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</si>
  <si>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</si>
  <si>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</si>
  <si>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</si>
  <si>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</si>
  <si>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</si>
  <si>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</si>
  <si>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</si>
  <si>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</si>
  <si>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</si>
  <si>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</si>
  <si>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</si>
  <si>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</si>
  <si>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</si>
  <si>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</si>
  <si>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</si>
  <si>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</si>
  <si>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</si>
  <si>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</si>
  <si>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</si>
  <si>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</si>
  <si>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</si>
  <si>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</si>
  <si>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</si>
  <si>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</si>
  <si>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</si>
  <si>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</si>
  <si>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</si>
  <si>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</si>
  <si>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</si>
  <si>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</si>
  <si>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</si>
  <si>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</si>
  <si>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</si>
  <si>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</si>
  <si>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</si>
  <si>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</si>
  <si>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</si>
  <si>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</si>
  <si>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</si>
  <si>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</si>
  <si>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</si>
  <si>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</si>
  <si>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</si>
  <si>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</si>
  <si>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</si>
  <si>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</si>
  <si>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</si>
  <si>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</si>
  <si>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</si>
  <si>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</si>
  <si>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</si>
  <si>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</si>
  <si>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</si>
  <si>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</si>
  <si>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</si>
  <si>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</si>
  <si>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</si>
  <si>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</si>
  <si>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</si>
  <si>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</si>
  <si>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</si>
  <si>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</si>
  <si>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</si>
  <si>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</si>
  <si>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</si>
  <si>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</si>
  <si>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</si>
  <si>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</si>
  <si>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</si>
  <si>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</si>
  <si>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</si>
  <si>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</si>
  <si>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</si>
  <si>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</si>
  <si>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</si>
  <si>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</si>
  <si>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</si>
  <si>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</si>
  <si>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</si>
  <si>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</si>
  <si>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</si>
  <si>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</si>
  <si>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</si>
  <si>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</si>
  <si>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</si>
  <si>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</si>
  <si>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</si>
  <si>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</si>
  <si>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</si>
  <si>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</si>
  <si>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</si>
  <si>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</si>
  <si>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</si>
  <si>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</si>
  <si>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</si>
  <si>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</si>
  <si>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</si>
  <si>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</si>
  <si>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</si>
  <si>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</si>
  <si>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</si>
  <si>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</si>
  <si>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</si>
  <si>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</si>
  <si>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</si>
  <si>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</si>
  <si>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</si>
  <si>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</si>
  <si>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</si>
  <si>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</si>
  <si>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</si>
  <si>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</si>
  <si>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</si>
  <si>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</si>
  <si>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</si>
  <si>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</si>
  <si>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</si>
  <si>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</si>
  <si>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</si>
  <si>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</si>
  <si>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</si>
  <si>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</si>
  <si>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전문교과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</si>
  <si>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</si>
  <si>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</si>
  <si>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</si>
  <si>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±1</t>
    <phoneticPr fontId="9" type="noConversion"/>
  </si>
  <si>
    <t>2026학년도 교육과정 편제 및 학점배당표(마이스터고/특성화고)</t>
    <phoneticPr fontId="9" type="noConversion"/>
  </si>
  <si>
    <t>충남</t>
  </si>
  <si>
    <t>관광레저</t>
  </si>
  <si>
    <t>관광과</t>
  </si>
  <si>
    <t>레저산업과</t>
  </si>
  <si>
    <t>관광경영과</t>
    <phoneticPr fontId="9" type="noConversion"/>
  </si>
  <si>
    <t>호텔 서비스 종사원, 식음료 서비스 종사원, 여행 안내원, 제과 제빵사, 경영지원사무원, 총무사무원, 여가 서비스 종사원</t>
    <phoneticPr fontId="9" type="noConversion"/>
  </si>
  <si>
    <r>
      <t>영어</t>
    </r>
    <r>
      <rPr>
        <sz val="10"/>
        <rFont val="맑은 고딕"/>
        <family val="3"/>
        <charset val="129"/>
      </rPr>
      <t>Ⅰ</t>
    </r>
    <phoneticPr fontId="9" type="noConversion"/>
  </si>
  <si>
    <t>스포츠 과학*</t>
    <phoneticPr fontId="9" type="noConversion"/>
  </si>
  <si>
    <t>운동과 건강</t>
    <phoneticPr fontId="9" type="noConversion"/>
  </si>
  <si>
    <t>기술가정대체</t>
    <phoneticPr fontId="9" type="noConversion"/>
  </si>
  <si>
    <t>관광 일반</t>
    <phoneticPr fontId="9" type="noConversion"/>
  </si>
  <si>
    <t>김영실</t>
    <phoneticPr fontId="9" type="noConversion"/>
  </si>
  <si>
    <t>041-588-2001</t>
    <phoneticPr fontId="9" type="noConversion"/>
  </si>
  <si>
    <t>성공적인 직업 생활</t>
    <phoneticPr fontId="9" type="noConversion"/>
  </si>
  <si>
    <t>사무 관리</t>
    <phoneticPr fontId="5" type="noConversion"/>
  </si>
  <si>
    <t>회계 정보 처리 시스템</t>
    <phoneticPr fontId="9" type="noConversion"/>
  </si>
  <si>
    <t>상업 경제</t>
    <phoneticPr fontId="9" type="noConversion"/>
  </si>
  <si>
    <t>식음료 기초</t>
    <phoneticPr fontId="9" type="noConversion"/>
  </si>
  <si>
    <t>사무 행정</t>
    <phoneticPr fontId="9" type="noConversion"/>
  </si>
  <si>
    <t>회계 실무</t>
    <phoneticPr fontId="9" type="noConversion"/>
  </si>
  <si>
    <t>바리스타</t>
    <phoneticPr fontId="9" type="noConversion"/>
  </si>
  <si>
    <t>국외 여행 서비스 실무</t>
    <phoneticPr fontId="9" type="noConversion"/>
  </si>
  <si>
    <t>카지도 서비스 실무</t>
    <phoneticPr fontId="9" type="noConversion"/>
  </si>
  <si>
    <t>전공실무</t>
    <phoneticPr fontId="9" type="noConversion"/>
  </si>
  <si>
    <t>바텐더</t>
    <phoneticPr fontId="9" type="noConversion"/>
  </si>
  <si>
    <t>호텔 식음료 서비스 실무</t>
    <phoneticPr fontId="9" type="noConversion"/>
  </si>
  <si>
    <t>전공일반</t>
    <phoneticPr fontId="9" type="noConversion"/>
  </si>
  <si>
    <t>제빵</t>
    <phoneticPr fontId="9" type="noConversion"/>
  </si>
  <si>
    <t>제과</t>
    <phoneticPr fontId="9" type="noConversion"/>
  </si>
  <si>
    <t>호텔 객실 서비스 실무</t>
    <phoneticPr fontId="9" type="noConversion"/>
  </si>
  <si>
    <t>관광·레저</t>
    <phoneticPr fontId="9" type="noConversion"/>
  </si>
  <si>
    <t>보건·복지</t>
  </si>
  <si>
    <t>간호과</t>
  </si>
  <si>
    <t>복지과</t>
  </si>
  <si>
    <t>보건간호과</t>
    <phoneticPr fontId="9" type="noConversion"/>
  </si>
  <si>
    <t>간호조무사, 병원행정전문가, 의료심사전문가, 요양보호사, 치과조무사</t>
    <phoneticPr fontId="9" type="noConversion"/>
  </si>
  <si>
    <t>보건 간호</t>
    <phoneticPr fontId="9" type="noConversion"/>
  </si>
  <si>
    <t>인제 구조와 기능</t>
    <phoneticPr fontId="5" type="noConversion"/>
  </si>
  <si>
    <t>기초 간호 임상 실무</t>
    <phoneticPr fontId="9" type="noConversion"/>
  </si>
  <si>
    <t>간호의 기초</t>
    <phoneticPr fontId="9" type="noConversion"/>
  </si>
  <si>
    <t>보건 의료 법규</t>
    <phoneticPr fontId="9" type="noConversion"/>
  </si>
  <si>
    <t>전공 실무</t>
    <phoneticPr fontId="9" type="noConversion"/>
  </si>
  <si>
    <t>병원실기</t>
    <phoneticPr fontId="9" type="noConversion"/>
  </si>
  <si>
    <t>대상자별 간호 보조 실무</t>
    <phoneticPr fontId="9" type="noConversion"/>
  </si>
  <si>
    <t>심화코스3</t>
    <phoneticPr fontId="9" type="noConversion"/>
  </si>
  <si>
    <t>미용</t>
    <phoneticPr fontId="9" type="noConversion"/>
  </si>
  <si>
    <t>피부 미용</t>
    <phoneticPr fontId="9" type="noConversion"/>
  </si>
  <si>
    <t>치과 간호 임상 실무(1학기)/의학용어(2학기)</t>
    <phoneticPr fontId="9" type="noConversion"/>
  </si>
  <si>
    <t>커피분류평가</t>
  </si>
  <si>
    <t>에스프레소추출</t>
  </si>
  <si>
    <t>에스프레소응용메뉴제조</t>
  </si>
  <si>
    <t>커피추출운용</t>
  </si>
  <si>
    <t>라떼아트</t>
  </si>
  <si>
    <t>1301020325_23v2</t>
  </si>
  <si>
    <t>1301020314_23v4</t>
  </si>
  <si>
    <t>1301020316_23v4</t>
  </si>
  <si>
    <t>1301020315_23v4</t>
  </si>
  <si>
    <t>1301020318_23v4</t>
  </si>
  <si>
    <t>국외 여행 
서비스 실무</t>
    <phoneticPr fontId="9" type="noConversion"/>
  </si>
  <si>
    <t>교통편 조회 예약</t>
  </si>
  <si>
    <t>여행 상품 설명</t>
  </si>
  <si>
    <t>1203010219_22v3</t>
  </si>
  <si>
    <t xml:space="preserve">1203010218_22v3 </t>
  </si>
  <si>
    <t>블랙잭 게임 진행</t>
  </si>
  <si>
    <t>바카라 게임 진행</t>
  </si>
  <si>
    <t>1203040217_23v3</t>
  </si>
  <si>
    <t>1203040218_23v3</t>
  </si>
  <si>
    <t>바텐더</t>
    <phoneticPr fontId="9" type="noConversion"/>
  </si>
  <si>
    <t>음료 특성 분석</t>
  </si>
  <si>
    <t>칵테일 기법 실무</t>
  </si>
  <si>
    <t>칵테일 조주 실무</t>
  </si>
  <si>
    <t>고객 서비스</t>
  </si>
  <si>
    <t>메뉴 개발</t>
  </si>
  <si>
    <t>1301020402_23v4</t>
  </si>
  <si>
    <t>1301020410_23v4</t>
  </si>
  <si>
    <t>1301020411_23v4</t>
  </si>
  <si>
    <t>1301020404_23v3</t>
  </si>
  <si>
    <t>1301020406_23v4</t>
  </si>
  <si>
    <t>호텔 식음료 서비스 실무</t>
    <phoneticPr fontId="9" type="noConversion"/>
  </si>
  <si>
    <t>호텔 레스토랑 서비스</t>
  </si>
  <si>
    <t>호텔 음료 서비스</t>
  </si>
  <si>
    <t>1203020302_24v3</t>
  </si>
  <si>
    <t>1203020303_24v3</t>
  </si>
  <si>
    <t>단과자빵류 만들기</t>
  </si>
  <si>
    <t>식빵류 만들기</t>
  </si>
  <si>
    <t>하드계열빵류 만들기</t>
  </si>
  <si>
    <t>기본 케이크류 만들기</t>
  </si>
  <si>
    <t>타르트·파이류 만들기</t>
  </si>
  <si>
    <t>구움과자류 만들기</t>
  </si>
  <si>
    <t>객실 예약 관리</t>
  </si>
  <si>
    <t>체크 인(Check In)</t>
  </si>
  <si>
    <t>체크 아웃(Check Out) 정산</t>
  </si>
  <si>
    <t>컨시어지</t>
  </si>
  <si>
    <t>전표관리</t>
  </si>
  <si>
    <t>원가계산</t>
  </si>
  <si>
    <t>결산처리</t>
  </si>
  <si>
    <t>호텔 객실 
서비스 실무</t>
    <phoneticPr fontId="9" type="noConversion"/>
  </si>
  <si>
    <t>회계 실무</t>
    <phoneticPr fontId="9" type="noConversion"/>
  </si>
  <si>
    <t>사무 행정</t>
    <phoneticPr fontId="9" type="noConversion"/>
  </si>
  <si>
    <t>2102010222_23v1</t>
  </si>
  <si>
    <t>2102010221_23v1</t>
  </si>
  <si>
    <t>2102010223_23v1</t>
  </si>
  <si>
    <t>2102010117_23v1</t>
  </si>
  <si>
    <t>2102010119_23v1</t>
  </si>
  <si>
    <t>2102010118_23v1</t>
  </si>
  <si>
    <t>1203020202_24v2</t>
  </si>
  <si>
    <t>1203020211_24v3</t>
  </si>
  <si>
    <t>1203020504_24v3</t>
  </si>
  <si>
    <t>1203020201_24v3</t>
    <phoneticPr fontId="9" type="noConversion"/>
  </si>
  <si>
    <t>0203020101_20v4</t>
  </si>
  <si>
    <t>0203020105_20v4</t>
  </si>
  <si>
    <t>0203020103_20v4</t>
  </si>
  <si>
    <t>0203020104_23v5</t>
  </si>
  <si>
    <t>문서작성</t>
  </si>
  <si>
    <t>0202030201_22v3</t>
  </si>
  <si>
    <t>사무자동화 프로그램 활용</t>
  </si>
  <si>
    <t>0202030209_22v2</t>
  </si>
  <si>
    <t>내용영역 합계</t>
    <phoneticPr fontId="9" type="noConversion"/>
  </si>
  <si>
    <t>병원실기</t>
    <phoneticPr fontId="9" type="noConversion"/>
  </si>
  <si>
    <t>피부 미용</t>
    <phoneticPr fontId="9" type="noConversion"/>
  </si>
  <si>
    <t>대상자별 
간호 보조 
실무</t>
    <phoneticPr fontId="9" type="noConversion"/>
  </si>
  <si>
    <t>고객응대관리</t>
  </si>
  <si>
    <t>0601020201_17v2</t>
  </si>
  <si>
    <t>신체활동지원관리</t>
  </si>
  <si>
    <t>0701020201_20v2</t>
  </si>
  <si>
    <t>진료서비스지원관리</t>
  </si>
  <si>
    <t>0601020204_17v2</t>
  </si>
  <si>
    <t>응급처치</t>
  </si>
  <si>
    <t>0502010308_22v2</t>
  </si>
  <si>
    <t>얼굴각질관리</t>
  </si>
  <si>
    <t>1201010212_19v5</t>
  </si>
  <si>
    <t>얼굴매뉴얼테크닉</t>
  </si>
  <si>
    <t>1201010213_20v6</t>
  </si>
  <si>
    <t>1201010214_19v5</t>
  </si>
  <si>
    <t>예약관리</t>
  </si>
  <si>
    <t>0601020203_17v2</t>
  </si>
  <si>
    <t>고객상담관리</t>
  </si>
  <si>
    <t>0601020205_17v2</t>
  </si>
  <si>
    <t>수납관리</t>
  </si>
  <si>
    <t>0601020206_17v2</t>
  </si>
  <si>
    <t>병원환경관리</t>
  </si>
  <si>
    <t>0601020209_17v2</t>
  </si>
  <si>
    <t>산모관리</t>
  </si>
  <si>
    <t>0703010203_21v2</t>
  </si>
  <si>
    <t>신생아관리</t>
  </si>
  <si>
    <t>0703010204_21v2</t>
  </si>
  <si>
    <t>수유관리</t>
  </si>
  <si>
    <t>0703010205_21v2</t>
  </si>
  <si>
    <t>건강안전돌봄</t>
  </si>
  <si>
    <t>0703010303_23v2</t>
  </si>
  <si>
    <t>보건대상자별 위생관리</t>
  </si>
  <si>
    <t>0601020506_20v2</t>
  </si>
  <si>
    <t>권지은</t>
    <phoneticPr fontId="9" type="noConversion"/>
  </si>
  <si>
    <t>충남관광보건고등학교</t>
    <phoneticPr fontId="9" type="noConversion"/>
  </si>
  <si>
    <t>관광 서비스</t>
    <phoneticPr fontId="5" type="noConversion"/>
  </si>
  <si>
    <t>회계 원리</t>
    <phoneticPr fontId="9" type="noConversion"/>
  </si>
  <si>
    <t>공중 보건</t>
    <phoneticPr fontId="5" type="noConversion"/>
  </si>
  <si>
    <t>진료 보조 기초1</t>
    <phoneticPr fontId="9" type="noConversion"/>
  </si>
  <si>
    <t>병원안내(NCS)</t>
    <phoneticPr fontId="9" type="noConversion"/>
  </si>
  <si>
    <t>카지노 
서비스 실무</t>
    <phoneticPr fontId="9" type="noConversion"/>
  </si>
  <si>
    <t>병원 안내(NCS)</t>
    <phoneticPr fontId="9" type="noConversion"/>
  </si>
  <si>
    <t>조리빵 만들기</t>
    <phoneticPr fontId="9" type="noConversion"/>
  </si>
  <si>
    <t>2102010218_23v2</t>
    <phoneticPr fontId="9" type="noConversion"/>
  </si>
  <si>
    <t>장식케이크 만들기</t>
    <phoneticPr fontId="9" type="noConversion"/>
  </si>
  <si>
    <t>2102010115_23v2</t>
    <phoneticPr fontId="9" type="noConversion"/>
  </si>
  <si>
    <t>2027학년도 교육과정 편제 및 학점배당표(마이스터고/특성화고)</t>
    <phoneticPr fontId="9" type="noConversion"/>
  </si>
  <si>
    <t>학교장</t>
    <phoneticPr fontId="9" type="noConversion"/>
  </si>
  <si>
    <t>교과최소학점</t>
    <phoneticPr fontId="9" type="noConversion"/>
  </si>
  <si>
    <t>진로 선택</t>
    <phoneticPr fontId="9" type="noConversion"/>
  </si>
  <si>
    <t>*빅데이터 엑셀</t>
    <phoneticPr fontId="9" type="noConversion"/>
  </si>
  <si>
    <t>회계정보시스템 운용</t>
    <phoneticPr fontId="9" type="noConversion"/>
  </si>
  <si>
    <t>피부미용 얼굴팩·마스크</t>
    <phoneticPr fontId="9" type="noConversion"/>
  </si>
  <si>
    <t>피부미용 림프관리</t>
    <phoneticPr fontId="9" type="noConversion"/>
  </si>
  <si>
    <t>1201010227_20v5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</si>
</sst>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67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10"/>
      <color rgb="FF0070C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Malgun Gothic"/>
      <family val="3"/>
      <charset val="129"/>
    </font>
    <font>
      <b/>
      <i/>
      <sz val="11"/>
      <color rgb="FF0070C0"/>
      <name val="맑은 고딕"/>
      <family val="3"/>
      <charset val="129"/>
    </font>
    <font>
      <i/>
      <sz val="11"/>
      <color rgb="FF0070C0"/>
      <name val="맑은 고딕"/>
      <family val="3"/>
      <charset val="129"/>
    </font>
    <font>
      <i/>
      <sz val="11"/>
      <color rgb="FF0070C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8"/>
      <color rgb="FF000000"/>
      <name val="맑은 고딕"/>
      <family val="3"/>
      <charset val="129"/>
      <scheme val="minor"/>
    </font>
    <font>
      <b/>
      <sz val="9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sz val="11"/>
      <name val="Malgun Gothic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9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dotted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4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7" fillId="0" borderId="0"/>
  </cellStyleXfs>
  <cellXfs count="69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4" xfId="3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2" fillId="0" borderId="0" xfId="0" applyFont="1">
      <alignment vertical="center"/>
    </xf>
    <xf numFmtId="0" fontId="14" fillId="12" borderId="77" xfId="3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6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9" xfId="4" applyFont="1" applyFill="1" applyBorder="1" applyAlignment="1" applyProtection="1">
      <alignment horizontal="center" vertical="center" wrapText="1"/>
    </xf>
    <xf numFmtId="0" fontId="32" fillId="0" borderId="6" xfId="0" applyFont="1" applyBorder="1" applyAlignment="1">
      <alignment vertical="center"/>
    </xf>
    <xf numFmtId="0" fontId="32" fillId="0" borderId="0" xfId="0" applyFont="1" applyBorder="1" applyAlignment="1">
      <alignment vertical="center"/>
    </xf>
    <xf numFmtId="0" fontId="32" fillId="0" borderId="6" xfId="0" applyFont="1" applyBorder="1" applyAlignment="1">
      <alignment horizontal="left" vertical="center"/>
    </xf>
    <xf numFmtId="0" fontId="32" fillId="0" borderId="0" xfId="0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32" fillId="0" borderId="21" xfId="0" applyFont="1" applyBorder="1" applyAlignment="1">
      <alignment vertical="center"/>
    </xf>
    <xf numFmtId="0" fontId="13" fillId="10" borderId="91" xfId="6" applyFont="1" applyFill="1" applyBorder="1" applyAlignment="1" applyProtection="1">
      <alignment horizontal="center" vertical="center" wrapText="1"/>
    </xf>
    <xf numFmtId="0" fontId="12" fillId="12" borderId="92" xfId="0" applyFont="1" applyFill="1" applyBorder="1" applyAlignment="1" applyProtection="1">
      <alignment horizontal="center" vertical="center"/>
      <protection locked="0"/>
    </xf>
    <xf numFmtId="0" fontId="12" fillId="12" borderId="30" xfId="0" applyFont="1" applyFill="1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 shrinkToFit="1"/>
      <protection locked="0"/>
    </xf>
    <xf numFmtId="0" fontId="33" fillId="12" borderId="93" xfId="0" applyFont="1" applyFill="1" applyBorder="1" applyAlignment="1" applyProtection="1">
      <alignment horizontal="center" vertical="center"/>
      <protection locked="0"/>
    </xf>
    <xf numFmtId="0" fontId="25" fillId="3" borderId="56" xfId="3" applyFont="1" applyBorder="1" applyAlignment="1" applyProtection="1">
      <alignment horizontal="center" vertical="center"/>
      <protection locked="0"/>
    </xf>
    <xf numFmtId="0" fontId="38" fillId="9" borderId="15" xfId="7" applyNumberFormat="1" applyFont="1" applyFill="1" applyBorder="1" applyAlignment="1" applyProtection="1">
      <alignment horizontal="center" vertical="center" shrinkToFit="1"/>
    </xf>
    <xf numFmtId="176" fontId="38" fillId="9" borderId="15" xfId="7" applyNumberFormat="1" applyFont="1" applyFill="1" applyBorder="1" applyAlignment="1" applyProtection="1">
      <alignment horizontal="center" vertical="center" shrinkToFit="1"/>
    </xf>
    <xf numFmtId="176" fontId="39" fillId="18" borderId="15" xfId="0" applyNumberFormat="1" applyFont="1" applyFill="1" applyBorder="1" applyAlignment="1">
      <alignment horizontal="center" vertical="center" shrinkToFit="1"/>
    </xf>
    <xf numFmtId="176" fontId="18" fillId="16" borderId="93" xfId="7" applyNumberFormat="1" applyFont="1" applyFill="1" applyBorder="1" applyAlignment="1" applyProtection="1">
      <alignment horizontal="center" vertical="center" shrinkToFit="1"/>
    </xf>
    <xf numFmtId="0" fontId="28" fillId="11" borderId="93" xfId="7" applyFont="1" applyFill="1" applyBorder="1" applyAlignment="1" applyProtection="1">
      <alignment horizontal="center" vertical="center" wrapText="1"/>
    </xf>
    <xf numFmtId="0" fontId="38" fillId="9" borderId="92" xfId="7" applyNumberFormat="1" applyFont="1" applyFill="1" applyBorder="1" applyAlignment="1" applyProtection="1">
      <alignment horizontal="center" vertical="center" shrinkToFit="1"/>
    </xf>
    <xf numFmtId="176" fontId="38" fillId="9" borderId="92" xfId="7" applyNumberFormat="1" applyFont="1" applyFill="1" applyBorder="1" applyAlignment="1" applyProtection="1">
      <alignment horizontal="center" vertical="center" shrinkToFit="1"/>
    </xf>
    <xf numFmtId="176" fontId="37" fillId="16" borderId="93" xfId="7" applyNumberFormat="1" applyFont="1" applyFill="1" applyBorder="1" applyAlignment="1" applyProtection="1">
      <alignment horizontal="center" vertical="center" shrinkToFit="1"/>
    </xf>
    <xf numFmtId="176" fontId="39" fillId="18" borderId="12" xfId="0" applyNumberFormat="1" applyFont="1" applyFill="1" applyBorder="1" applyAlignment="1">
      <alignment horizontal="center" vertical="center" shrinkToFit="1"/>
    </xf>
    <xf numFmtId="176" fontId="12" fillId="16" borderId="32" xfId="0" applyNumberFormat="1" applyFont="1" applyFill="1" applyBorder="1" applyAlignment="1">
      <alignment horizontal="right" vertical="center"/>
    </xf>
    <xf numFmtId="176" fontId="12" fillId="16" borderId="102" xfId="0" applyNumberFormat="1" applyFont="1" applyFill="1" applyBorder="1" applyAlignment="1">
      <alignment horizontal="right" vertical="center"/>
    </xf>
    <xf numFmtId="176" fontId="12" fillId="16" borderId="93" xfId="0" applyNumberFormat="1" applyFont="1" applyFill="1" applyBorder="1" applyAlignment="1">
      <alignment horizontal="right" vertical="center"/>
    </xf>
    <xf numFmtId="176" fontId="12" fillId="16" borderId="31" xfId="0" applyNumberFormat="1" applyFont="1" applyFill="1" applyBorder="1" applyAlignment="1">
      <alignment horizontal="right" vertical="center"/>
    </xf>
    <xf numFmtId="176" fontId="7" fillId="0" borderId="11" xfId="0" applyNumberFormat="1" applyFont="1" applyBorder="1" applyAlignment="1">
      <alignment horizontal="right" vertical="center"/>
    </xf>
    <xf numFmtId="176" fontId="7" fillId="0" borderId="15" xfId="0" applyNumberFormat="1" applyFont="1" applyBorder="1" applyAlignment="1">
      <alignment horizontal="right" vertical="center"/>
    </xf>
    <xf numFmtId="0" fontId="38" fillId="9" borderId="32" xfId="7" applyNumberFormat="1" applyFont="1" applyFill="1" applyBorder="1" applyAlignment="1" applyProtection="1">
      <alignment horizontal="center" vertical="center" shrinkToFit="1"/>
    </xf>
    <xf numFmtId="176" fontId="7" fillId="0" borderId="101" xfId="0" applyNumberFormat="1" applyFont="1" applyBorder="1" applyAlignment="1">
      <alignment horizontal="right" vertical="center"/>
    </xf>
    <xf numFmtId="176" fontId="7" fillId="0" borderId="12" xfId="0" applyNumberFormat="1" applyFont="1" applyBorder="1" applyAlignment="1">
      <alignment horizontal="right" vertical="center"/>
    </xf>
    <xf numFmtId="176" fontId="38" fillId="9" borderId="12" xfId="7" applyNumberFormat="1" applyFont="1" applyFill="1" applyBorder="1" applyAlignment="1" applyProtection="1">
      <alignment horizontal="center" vertical="center" shrinkToFit="1"/>
    </xf>
    <xf numFmtId="0" fontId="38" fillId="9" borderId="12" xfId="7" applyNumberFormat="1" applyFont="1" applyFill="1" applyBorder="1" applyAlignment="1" applyProtection="1">
      <alignment horizontal="center" vertical="center" shrinkToFit="1"/>
    </xf>
    <xf numFmtId="176" fontId="7" fillId="0" borderId="30" xfId="0" applyNumberFormat="1" applyFont="1" applyBorder="1" applyAlignment="1">
      <alignment horizontal="right" vertical="center"/>
    </xf>
    <xf numFmtId="176" fontId="7" fillId="0" borderId="92" xfId="0" applyNumberFormat="1" applyFont="1" applyBorder="1" applyAlignment="1">
      <alignment horizontal="right" vertical="center"/>
    </xf>
    <xf numFmtId="176" fontId="37" fillId="16" borderId="32" xfId="7" applyNumberFormat="1" applyFont="1" applyFill="1" applyBorder="1" applyAlignment="1" applyProtection="1">
      <alignment horizontal="center" vertical="center" shrinkToFit="1"/>
    </xf>
    <xf numFmtId="0" fontId="20" fillId="9" borderId="0" xfId="7" applyNumberFormat="1" applyFont="1" applyFill="1" applyBorder="1" applyAlignment="1" applyProtection="1">
      <alignment horizontal="center" vertical="center" shrinkToFit="1"/>
    </xf>
    <xf numFmtId="0" fontId="38" fillId="0" borderId="92" xfId="7" applyNumberFormat="1" applyFont="1" applyFill="1" applyBorder="1" applyAlignment="1" applyProtection="1">
      <alignment horizontal="center" vertical="center" shrinkToFit="1"/>
    </xf>
    <xf numFmtId="176" fontId="41" fillId="9" borderId="15" xfId="7" applyNumberFormat="1" applyFont="1" applyFill="1" applyBorder="1" applyAlignment="1" applyProtection="1">
      <alignment horizontal="center" vertical="center" shrinkToFit="1"/>
    </xf>
    <xf numFmtId="176" fontId="42" fillId="0" borderId="15" xfId="0" applyNumberFormat="1" applyFont="1" applyBorder="1">
      <alignment vertical="center"/>
    </xf>
    <xf numFmtId="176" fontId="42" fillId="0" borderId="11" xfId="0" applyNumberFormat="1" applyFont="1" applyBorder="1">
      <alignment vertical="center"/>
    </xf>
    <xf numFmtId="176" fontId="41" fillId="9" borderId="12" xfId="7" applyNumberFormat="1" applyFont="1" applyFill="1" applyBorder="1" applyAlignment="1" applyProtection="1">
      <alignment horizontal="center" vertical="center" shrinkToFit="1"/>
    </xf>
    <xf numFmtId="176" fontId="42" fillId="0" borderId="12" xfId="0" applyNumberFormat="1" applyFont="1" applyBorder="1">
      <alignment vertical="center"/>
    </xf>
    <xf numFmtId="176" fontId="42" fillId="0" borderId="101" xfId="0" applyNumberFormat="1" applyFont="1" applyBorder="1">
      <alignment vertical="center"/>
    </xf>
    <xf numFmtId="176" fontId="40" fillId="16" borderId="93" xfId="7" applyNumberFormat="1" applyFont="1" applyFill="1" applyBorder="1" applyAlignment="1" applyProtection="1">
      <alignment horizontal="center" vertical="center" shrinkToFit="1"/>
    </xf>
    <xf numFmtId="176" fontId="40" fillId="16" borderId="93" xfId="7" applyNumberFormat="1" applyFont="1" applyFill="1" applyBorder="1" applyAlignment="1" applyProtection="1">
      <alignment horizontal="right" vertical="center" shrinkToFit="1"/>
    </xf>
    <xf numFmtId="0" fontId="12" fillId="12" borderId="109" xfId="0" applyFont="1" applyFill="1" applyBorder="1" applyAlignment="1" applyProtection="1">
      <alignment horizontal="center" vertical="center"/>
      <protection locked="0"/>
    </xf>
    <xf numFmtId="0" fontId="29" fillId="15" borderId="57" xfId="4" applyFont="1" applyFill="1" applyBorder="1" applyAlignment="1" applyProtection="1">
      <alignment horizontal="center" vertical="center" wrapText="1"/>
    </xf>
    <xf numFmtId="0" fontId="29" fillId="0" borderId="58" xfId="4" applyFont="1" applyFill="1" applyBorder="1" applyAlignment="1" applyProtection="1">
      <alignment horizontal="center" vertical="center" wrapText="1"/>
    </xf>
    <xf numFmtId="0" fontId="29" fillId="0" borderId="97" xfId="4" applyFont="1" applyFill="1" applyBorder="1" applyAlignment="1" applyProtection="1">
      <alignment horizontal="center" vertical="center" wrapText="1"/>
    </xf>
    <xf numFmtId="0" fontId="29" fillId="15" borderId="69" xfId="4" applyFont="1" applyFill="1" applyBorder="1" applyAlignment="1" applyProtection="1">
      <alignment horizontal="center" vertical="center" wrapText="1"/>
    </xf>
    <xf numFmtId="0" fontId="13" fillId="6" borderId="25" xfId="4" applyFont="1" applyFill="1" applyBorder="1" applyAlignment="1" applyProtection="1">
      <alignment horizontal="center" vertical="center" wrapText="1"/>
    </xf>
    <xf numFmtId="0" fontId="12" fillId="0" borderId="104" xfId="0" applyFont="1" applyBorder="1" applyAlignment="1" applyProtection="1">
      <alignment horizontal="center" vertical="center"/>
      <protection locked="0"/>
    </xf>
    <xf numFmtId="0" fontId="12" fillId="0" borderId="104" xfId="0" applyFont="1" applyBorder="1" applyAlignment="1" applyProtection="1">
      <alignment horizontal="center" vertical="center" shrinkToFit="1"/>
      <protection locked="0"/>
    </xf>
    <xf numFmtId="0" fontId="33" fillId="0" borderId="8" xfId="0" applyFont="1" applyBorder="1" applyAlignment="1" applyProtection="1">
      <alignment horizontal="center" vertical="center"/>
      <protection locked="0"/>
    </xf>
    <xf numFmtId="176" fontId="13" fillId="15" borderId="38" xfId="0" applyNumberFormat="1" applyFont="1" applyFill="1" applyBorder="1" applyAlignment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0" fontId="13" fillId="15" borderId="66" xfId="4" applyFont="1" applyFill="1" applyBorder="1" applyAlignment="1" applyProtection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0" fontId="13" fillId="15" borderId="41" xfId="5" applyFont="1" applyFill="1" applyBorder="1" applyAlignment="1" applyProtection="1">
      <alignment horizontal="center" vertical="center" wrapText="1"/>
    </xf>
    <xf numFmtId="176" fontId="13" fillId="15" borderId="39" xfId="0" applyNumberFormat="1" applyFont="1" applyFill="1" applyBorder="1" applyAlignment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0" fontId="13" fillId="15" borderId="34" xfId="4" applyFont="1" applyFill="1" applyBorder="1" applyAlignment="1" applyProtection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0" fontId="13" fillId="15" borderId="44" xfId="5" applyFont="1" applyFill="1" applyBorder="1" applyAlignment="1" applyProtection="1">
      <alignment horizontal="center" vertical="center" wrapText="1"/>
    </xf>
    <xf numFmtId="176" fontId="13" fillId="15" borderId="95" xfId="0" applyNumberFormat="1" applyFont="1" applyFill="1" applyBorder="1" applyAlignment="1">
      <alignment horizontal="center" vertical="center" wrapText="1"/>
    </xf>
    <xf numFmtId="0" fontId="13" fillId="15" borderId="46" xfId="4" applyFont="1" applyFill="1" applyBorder="1" applyAlignment="1" applyProtection="1">
      <alignment horizontal="center" vertical="center" wrapText="1"/>
    </xf>
    <xf numFmtId="0" fontId="13" fillId="15" borderId="47" xfId="4" applyFont="1" applyFill="1" applyBorder="1" applyAlignment="1" applyProtection="1">
      <alignment horizontal="center" vertical="center" wrapText="1"/>
    </xf>
    <xf numFmtId="0" fontId="13" fillId="15" borderId="48" xfId="4" applyFont="1" applyFill="1" applyBorder="1" applyAlignment="1" applyProtection="1">
      <alignment horizontal="center" vertical="center" wrapText="1"/>
    </xf>
    <xf numFmtId="176" fontId="13" fillId="15" borderId="40" xfId="0" applyNumberFormat="1" applyFont="1" applyFill="1" applyBorder="1" applyAlignment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176" fontId="13" fillId="15" borderId="80" xfId="0" applyNumberFormat="1" applyFont="1" applyFill="1" applyBorder="1" applyAlignment="1">
      <alignment horizontal="center" vertical="center" wrapText="1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15" borderId="55" xfId="4" applyFont="1" applyFill="1" applyBorder="1" applyAlignment="1" applyProtection="1">
      <alignment horizontal="center" vertical="center" wrapText="1"/>
    </xf>
    <xf numFmtId="0" fontId="13" fillId="15" borderId="46" xfId="5" applyFont="1" applyFill="1" applyBorder="1" applyAlignment="1" applyProtection="1">
      <alignment horizontal="center" vertical="center" wrapText="1"/>
    </xf>
    <xf numFmtId="0" fontId="13" fillId="15" borderId="90" xfId="4" applyFont="1" applyFill="1" applyBorder="1" applyAlignment="1" applyProtection="1">
      <alignment horizontal="center" vertical="center" wrapText="1"/>
    </xf>
    <xf numFmtId="0" fontId="13" fillId="15" borderId="96" xfId="4" applyFont="1" applyFill="1" applyBorder="1" applyAlignment="1" applyProtection="1">
      <alignment horizontal="center" vertical="center" shrinkToFit="1"/>
    </xf>
    <xf numFmtId="0" fontId="13" fillId="15" borderId="39" xfId="4" applyFont="1" applyFill="1" applyBorder="1" applyAlignment="1" applyProtection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shrinkToFit="1"/>
    </xf>
    <xf numFmtId="0" fontId="13" fillId="15" borderId="17" xfId="4" applyFont="1" applyFill="1" applyBorder="1" applyAlignment="1" applyProtection="1">
      <alignment horizontal="center" vertical="center" shrinkToFit="1"/>
    </xf>
    <xf numFmtId="0" fontId="13" fillId="15" borderId="38" xfId="4" applyFont="1" applyFill="1" applyBorder="1" applyAlignment="1" applyProtection="1">
      <alignment horizontal="center" vertical="center" shrinkToFit="1"/>
    </xf>
    <xf numFmtId="0" fontId="13" fillId="15" borderId="38" xfId="4" applyFont="1" applyFill="1" applyBorder="1" applyAlignment="1" applyProtection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shrinkToFit="1"/>
    </xf>
    <xf numFmtId="0" fontId="13" fillId="6" borderId="73" xfId="4" applyFont="1" applyFill="1" applyBorder="1" applyAlignment="1" applyProtection="1">
      <alignment horizontal="center" vertical="center" wrapText="1"/>
    </xf>
    <xf numFmtId="0" fontId="22" fillId="0" borderId="119" xfId="0" applyFont="1" applyBorder="1" applyAlignment="1" applyProtection="1">
      <alignment horizontal="center" vertical="center"/>
      <protection locked="0"/>
    </xf>
    <xf numFmtId="0" fontId="36" fillId="0" borderId="0" xfId="16" applyFont="1" applyAlignment="1">
      <alignment vertical="center"/>
    </xf>
    <xf numFmtId="0" fontId="16" fillId="0" borderId="0" xfId="16" applyFont="1" applyAlignment="1"/>
    <xf numFmtId="0" fontId="36" fillId="19" borderId="120" xfId="16" applyFont="1" applyFill="1" applyBorder="1" applyAlignment="1">
      <alignment horizontal="center" vertical="center"/>
    </xf>
    <xf numFmtId="0" fontId="36" fillId="0" borderId="121" xfId="16" applyFont="1" applyBorder="1" applyAlignment="1">
      <alignment vertical="center"/>
    </xf>
    <xf numFmtId="0" fontId="36" fillId="0" borderId="28" xfId="16" applyFont="1" applyBorder="1" applyAlignment="1">
      <alignment vertical="center"/>
    </xf>
    <xf numFmtId="0" fontId="36" fillId="0" borderId="25" xfId="16" applyFont="1" applyBorder="1" applyAlignment="1">
      <alignment vertical="center"/>
    </xf>
    <xf numFmtId="0" fontId="36" fillId="0" borderId="4" xfId="16" applyFont="1" applyBorder="1" applyAlignment="1">
      <alignment vertical="center"/>
    </xf>
    <xf numFmtId="0" fontId="36" fillId="0" borderId="123" xfId="16" applyFont="1" applyBorder="1" applyAlignment="1">
      <alignment vertical="center"/>
    </xf>
    <xf numFmtId="0" fontId="36" fillId="0" borderId="21" xfId="16" applyFont="1" applyBorder="1" applyAlignment="1">
      <alignment vertical="center"/>
    </xf>
    <xf numFmtId="0" fontId="36" fillId="0" borderId="6" xfId="16" applyFont="1" applyBorder="1" applyAlignment="1">
      <alignment vertical="center"/>
    </xf>
    <xf numFmtId="0" fontId="36" fillId="0" borderId="128" xfId="16" applyFont="1" applyBorder="1" applyAlignment="1">
      <alignment vertical="center"/>
    </xf>
    <xf numFmtId="0" fontId="36" fillId="0" borderId="3" xfId="16" applyFont="1" applyBorder="1" applyAlignment="1">
      <alignment vertical="center"/>
    </xf>
    <xf numFmtId="0" fontId="36" fillId="0" borderId="22" xfId="16" applyFont="1" applyBorder="1" applyAlignment="1">
      <alignment vertical="center"/>
    </xf>
    <xf numFmtId="0" fontId="36" fillId="0" borderId="19" xfId="16" applyFont="1" applyBorder="1" applyAlignment="1">
      <alignment vertical="center"/>
    </xf>
    <xf numFmtId="0" fontId="36" fillId="21" borderId="134" xfId="16" applyFont="1" applyFill="1" applyBorder="1" applyAlignment="1">
      <alignment horizontal="center" vertical="center" wrapText="1"/>
    </xf>
    <xf numFmtId="0" fontId="36" fillId="21" borderId="135" xfId="16" applyFont="1" applyFill="1" applyBorder="1" applyAlignment="1">
      <alignment horizontal="center" vertical="center" wrapText="1"/>
    </xf>
    <xf numFmtId="0" fontId="53" fillId="21" borderId="135" xfId="16" applyFont="1" applyFill="1" applyBorder="1" applyAlignment="1">
      <alignment horizontal="center" vertical="center" wrapText="1"/>
    </xf>
    <xf numFmtId="0" fontId="53" fillId="21" borderId="136" xfId="16" applyFont="1" applyFill="1" applyBorder="1" applyAlignment="1">
      <alignment horizontal="center" vertical="center" wrapText="1"/>
    </xf>
    <xf numFmtId="0" fontId="36" fillId="0" borderId="21" xfId="16" applyFont="1" applyBorder="1" applyAlignment="1">
      <alignment vertical="center" wrapText="1"/>
    </xf>
    <xf numFmtId="0" fontId="36" fillId="0" borderId="6" xfId="16" applyFont="1" applyBorder="1" applyAlignment="1">
      <alignment vertical="center" wrapText="1"/>
    </xf>
    <xf numFmtId="0" fontId="54" fillId="0" borderId="140" xfId="16" applyFont="1" applyBorder="1" applyAlignment="1">
      <alignment horizontal="center" vertical="center" wrapText="1"/>
    </xf>
    <xf numFmtId="0" fontId="54" fillId="0" borderId="142" xfId="16" applyFont="1" applyBorder="1" applyAlignment="1">
      <alignment horizontal="center" vertical="center" wrapText="1"/>
    </xf>
    <xf numFmtId="0" fontId="54" fillId="0" borderId="146" xfId="16" applyFont="1" applyBorder="1" applyAlignment="1">
      <alignment horizontal="center" vertical="center" wrapText="1"/>
    </xf>
    <xf numFmtId="0" fontId="54" fillId="0" borderId="147" xfId="16" applyFont="1" applyBorder="1" applyAlignment="1">
      <alignment horizontal="center" vertical="center" wrapText="1"/>
    </xf>
    <xf numFmtId="0" fontId="54" fillId="0" borderId="150" xfId="16" applyFont="1" applyBorder="1" applyAlignment="1">
      <alignment horizontal="center" vertical="center" wrapText="1"/>
    </xf>
    <xf numFmtId="0" fontId="54" fillId="0" borderId="151" xfId="16" applyFont="1" applyBorder="1" applyAlignment="1">
      <alignment horizontal="center" vertical="center" wrapText="1"/>
    </xf>
    <xf numFmtId="0" fontId="54" fillId="0" borderId="153" xfId="16" applyFont="1" applyBorder="1" applyAlignment="1">
      <alignment horizontal="center" vertical="center" wrapText="1"/>
    </xf>
    <xf numFmtId="0" fontId="36" fillId="0" borderId="153" xfId="16" applyFont="1" applyBorder="1" applyAlignment="1">
      <alignment horizontal="center" vertical="center" wrapText="1"/>
    </xf>
    <xf numFmtId="0" fontId="54" fillId="0" borderId="154" xfId="16" applyFont="1" applyBorder="1" applyAlignment="1">
      <alignment horizontal="center" vertical="center" wrapText="1"/>
    </xf>
    <xf numFmtId="0" fontId="36" fillId="0" borderId="147" xfId="16" applyFont="1" applyBorder="1" applyAlignment="1">
      <alignment horizontal="center" vertical="center" wrapText="1"/>
    </xf>
    <xf numFmtId="0" fontId="36" fillId="0" borderId="150" xfId="16" applyFont="1" applyBorder="1" applyAlignment="1">
      <alignment horizontal="center" vertical="center" wrapText="1"/>
    </xf>
    <xf numFmtId="0" fontId="54" fillId="0" borderId="126" xfId="16" applyFont="1" applyBorder="1" applyAlignment="1">
      <alignment horizontal="center" vertical="center" wrapText="1"/>
    </xf>
    <xf numFmtId="0" fontId="56" fillId="21" borderId="126" xfId="16" applyFont="1" applyFill="1" applyBorder="1" applyAlignment="1">
      <alignment horizontal="center" vertical="center" wrapText="1"/>
    </xf>
    <xf numFmtId="0" fontId="57" fillId="0" borderId="147" xfId="16" applyFont="1" applyBorder="1" applyAlignment="1">
      <alignment horizontal="center" vertical="center" wrapText="1"/>
    </xf>
    <xf numFmtId="0" fontId="57" fillId="0" borderId="125" xfId="16" applyFont="1" applyBorder="1" applyAlignment="1">
      <alignment horizontal="center" vertical="center" wrapText="1"/>
    </xf>
    <xf numFmtId="0" fontId="56" fillId="0" borderId="126" xfId="16" applyFont="1" applyBorder="1" applyAlignment="1">
      <alignment horizontal="center" vertical="center" wrapText="1"/>
    </xf>
    <xf numFmtId="0" fontId="36" fillId="0" borderId="0" xfId="16" applyFont="1" applyBorder="1" applyAlignment="1">
      <alignment vertical="center"/>
    </xf>
    <xf numFmtId="0" fontId="58" fillId="0" borderId="0" xfId="16" applyFont="1" applyBorder="1" applyAlignment="1">
      <alignment horizontal="center" vertical="center"/>
    </xf>
    <xf numFmtId="0" fontId="52" fillId="0" borderId="126" xfId="16" applyFont="1" applyBorder="1" applyAlignment="1">
      <alignment horizontal="center" vertical="center"/>
    </xf>
    <xf numFmtId="0" fontId="52" fillId="20" borderId="147" xfId="16" applyFont="1" applyFill="1" applyBorder="1" applyAlignment="1">
      <alignment horizontal="center" vertical="center"/>
    </xf>
    <xf numFmtId="0" fontId="52" fillId="20" borderId="125" xfId="16" applyFont="1" applyFill="1" applyBorder="1" applyAlignment="1">
      <alignment horizontal="center" vertical="center" wrapText="1"/>
    </xf>
    <xf numFmtId="0" fontId="58" fillId="0" borderId="147" xfId="16" applyFont="1" applyBorder="1" applyAlignment="1">
      <alignment horizontal="center" vertical="center" wrapText="1"/>
    </xf>
    <xf numFmtId="0" fontId="58" fillId="0" borderId="126" xfId="16" applyFont="1" applyBorder="1" applyAlignment="1">
      <alignment horizontal="center" vertical="center" wrapText="1"/>
    </xf>
    <xf numFmtId="0" fontId="52" fillId="0" borderId="147" xfId="16" applyFont="1" applyBorder="1" applyAlignment="1">
      <alignment horizontal="center" vertical="center" wrapText="1"/>
    </xf>
    <xf numFmtId="0" fontId="52" fillId="0" borderId="126" xfId="16" applyFont="1" applyBorder="1" applyAlignment="1">
      <alignment horizontal="center" vertical="center" wrapText="1"/>
    </xf>
    <xf numFmtId="0" fontId="36" fillId="0" borderId="147" xfId="16" applyFont="1" applyBorder="1" applyAlignment="1">
      <alignment vertical="center" wrapText="1"/>
    </xf>
    <xf numFmtId="0" fontId="36" fillId="0" borderId="0" xfId="16" applyFont="1" applyBorder="1" applyAlignment="1">
      <alignment vertical="center" wrapText="1"/>
    </xf>
    <xf numFmtId="0" fontId="52" fillId="20" borderId="126" xfId="16" applyFont="1" applyFill="1" applyBorder="1" applyAlignment="1">
      <alignment horizontal="center" vertical="center"/>
    </xf>
    <xf numFmtId="0" fontId="52" fillId="0" borderId="125" xfId="16" applyFont="1" applyBorder="1" applyAlignment="1">
      <alignment horizontal="center" vertical="center"/>
    </xf>
    <xf numFmtId="0" fontId="52" fillId="0" borderId="147" xfId="16" applyFont="1" applyBorder="1" applyAlignment="1">
      <alignment horizontal="center" vertical="center"/>
    </xf>
    <xf numFmtId="0" fontId="59" fillId="0" borderId="147" xfId="16" applyFont="1" applyBorder="1" applyAlignment="1">
      <alignment horizontal="center" vertical="center"/>
    </xf>
    <xf numFmtId="0" fontId="59" fillId="0" borderId="126" xfId="16" applyFont="1" applyBorder="1" applyAlignment="1">
      <alignment horizontal="center" vertical="center"/>
    </xf>
    <xf numFmtId="0" fontId="36" fillId="0" borderId="133" xfId="16" applyFont="1" applyBorder="1" applyAlignment="1">
      <alignment vertical="center"/>
    </xf>
    <xf numFmtId="0" fontId="36" fillId="0" borderId="131" xfId="16" applyFont="1" applyBorder="1" applyAlignment="1">
      <alignment vertical="center"/>
    </xf>
    <xf numFmtId="0" fontId="36" fillId="0" borderId="158" xfId="16" applyFont="1" applyBorder="1" applyAlignment="1">
      <alignment vertical="center"/>
    </xf>
    <xf numFmtId="0" fontId="36" fillId="0" borderId="159" xfId="16" applyFont="1" applyBorder="1" applyAlignment="1">
      <alignment vertical="center"/>
    </xf>
    <xf numFmtId="0" fontId="36" fillId="0" borderId="107" xfId="16" applyFont="1" applyBorder="1" applyAlignment="1">
      <alignment vertical="center"/>
    </xf>
    <xf numFmtId="0" fontId="36" fillId="0" borderId="129" xfId="16" applyFont="1" applyBorder="1" applyAlignment="1">
      <alignment vertical="center"/>
    </xf>
    <xf numFmtId="0" fontId="36" fillId="0" borderId="161" xfId="16" applyFont="1" applyBorder="1" applyAlignment="1">
      <alignment vertical="center"/>
    </xf>
    <xf numFmtId="0" fontId="36" fillId="0" borderId="162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2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13" fillId="15" borderId="163" xfId="4" applyFont="1" applyFill="1" applyBorder="1" applyAlignment="1" applyProtection="1">
      <alignment horizontal="center" vertical="center" wrapText="1"/>
    </xf>
    <xf numFmtId="176" fontId="13" fillId="15" borderId="96" xfId="0" applyNumberFormat="1" applyFont="1" applyFill="1" applyBorder="1" applyAlignment="1">
      <alignment horizontal="center" vertical="center" wrapText="1"/>
    </xf>
    <xf numFmtId="0" fontId="13" fillId="15" borderId="25" xfId="4" applyFont="1" applyFill="1" applyBorder="1" applyAlignment="1" applyProtection="1">
      <alignment vertical="center" wrapText="1"/>
    </xf>
    <xf numFmtId="0" fontId="13" fillId="15" borderId="21" xfId="4" applyFont="1" applyFill="1" applyBorder="1" applyAlignment="1" applyProtection="1">
      <alignment vertical="center" wrapText="1"/>
    </xf>
    <xf numFmtId="0" fontId="13" fillId="15" borderId="22" xfId="4" applyFont="1" applyFill="1" applyBorder="1" applyAlignment="1" applyProtection="1">
      <alignment vertical="center" wrapText="1"/>
    </xf>
    <xf numFmtId="0" fontId="13" fillId="15" borderId="164" xfId="4" applyFont="1" applyFill="1" applyBorder="1" applyAlignment="1" applyProtection="1">
      <alignment horizontal="center" vertical="center" wrapText="1"/>
    </xf>
    <xf numFmtId="0" fontId="13" fillId="15" borderId="165" xfId="4" applyFont="1" applyFill="1" applyBorder="1" applyAlignment="1" applyProtection="1">
      <alignment horizontal="center" vertical="center" wrapText="1"/>
    </xf>
    <xf numFmtId="0" fontId="13" fillId="15" borderId="97" xfId="4" applyFont="1" applyFill="1" applyBorder="1" applyAlignment="1" applyProtection="1">
      <alignment horizontal="center" vertical="center" wrapText="1"/>
    </xf>
    <xf numFmtId="0" fontId="13" fillId="15" borderId="62" xfId="4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114" xfId="4" applyFont="1" applyFill="1" applyBorder="1" applyAlignment="1" applyProtection="1">
      <alignment horizontal="center" vertical="center" wrapText="1"/>
    </xf>
    <xf numFmtId="0" fontId="13" fillId="15" borderId="53" xfId="4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5" borderId="56" xfId="4" applyFont="1" applyFill="1" applyBorder="1" applyAlignment="1" applyProtection="1">
      <alignment horizontal="center" vertical="center" wrapText="1"/>
    </xf>
    <xf numFmtId="0" fontId="13" fillId="15" borderId="14" xfId="4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0" fillId="0" borderId="31" xfId="0" applyBorder="1" applyAlignment="1" applyProtection="1">
      <alignment horizontal="center" vertical="center"/>
      <protection locked="0"/>
    </xf>
    <xf numFmtId="0" fontId="13" fillId="15" borderId="59" xfId="4" applyFont="1" applyFill="1" applyBorder="1" applyAlignment="1" applyProtection="1">
      <alignment horizontal="center" vertical="center" wrapText="1"/>
    </xf>
    <xf numFmtId="0" fontId="22" fillId="15" borderId="4" xfId="4" applyFont="1" applyFill="1" applyBorder="1" applyAlignment="1" applyProtection="1">
      <alignment vertical="center" wrapText="1"/>
    </xf>
    <xf numFmtId="0" fontId="22" fillId="15" borderId="25" xfId="4" applyFont="1" applyFill="1" applyBorder="1" applyAlignment="1" applyProtection="1">
      <alignment vertical="center" wrapText="1"/>
    </xf>
    <xf numFmtId="0" fontId="22" fillId="15" borderId="6" xfId="4" applyFont="1" applyFill="1" applyBorder="1" applyAlignment="1" applyProtection="1">
      <alignment vertical="center" wrapText="1"/>
    </xf>
    <xf numFmtId="0" fontId="22" fillId="15" borderId="21" xfId="4" applyFont="1" applyFill="1" applyBorder="1" applyAlignment="1" applyProtection="1">
      <alignment vertical="center" wrapText="1"/>
    </xf>
    <xf numFmtId="0" fontId="19" fillId="0" borderId="0" xfId="0" applyFont="1" applyAlignment="1">
      <alignment horizontal="center" vertical="center"/>
    </xf>
    <xf numFmtId="0" fontId="40" fillId="16" borderId="93" xfId="7" applyNumberFormat="1" applyFont="1" applyFill="1" applyBorder="1" applyAlignment="1" applyProtection="1">
      <alignment horizontal="center" vertical="center" shrinkToFit="1"/>
    </xf>
    <xf numFmtId="0" fontId="37" fillId="16" borderId="32" xfId="7" applyNumberFormat="1" applyFont="1" applyFill="1" applyBorder="1" applyAlignment="1" applyProtection="1">
      <alignment horizontal="center" vertical="center" shrinkToFit="1"/>
    </xf>
    <xf numFmtId="0" fontId="22" fillId="15" borderId="69" xfId="4" applyFont="1" applyFill="1" applyBorder="1" applyAlignment="1" applyProtection="1">
      <alignment horizontal="center" vertical="center" wrapText="1"/>
    </xf>
    <xf numFmtId="0" fontId="22" fillId="0" borderId="97" xfId="4" applyFont="1" applyFill="1" applyBorder="1" applyAlignment="1" applyProtection="1">
      <alignment horizontal="center" vertical="center" wrapText="1"/>
    </xf>
    <xf numFmtId="0" fontId="22" fillId="15" borderId="98" xfId="4" applyFont="1" applyFill="1" applyBorder="1" applyAlignment="1" applyProtection="1">
      <alignment horizontal="center" vertical="center" wrapText="1"/>
    </xf>
    <xf numFmtId="0" fontId="22" fillId="0" borderId="34" xfId="4" applyFont="1" applyFill="1" applyBorder="1" applyAlignment="1" applyProtection="1">
      <alignment horizontal="center" vertical="center" wrapText="1"/>
    </xf>
    <xf numFmtId="0" fontId="22" fillId="15" borderId="45" xfId="4" applyFont="1" applyFill="1" applyBorder="1" applyAlignment="1" applyProtection="1">
      <alignment horizontal="center" vertical="center" wrapText="1"/>
    </xf>
    <xf numFmtId="0" fontId="22" fillId="15" borderId="17" xfId="4" applyFont="1" applyFill="1" applyBorder="1" applyAlignment="1" applyProtection="1">
      <alignment horizontal="center" vertical="center" shrinkToFit="1"/>
    </xf>
    <xf numFmtId="0" fontId="22" fillId="15" borderId="39" xfId="4" applyFont="1" applyFill="1" applyBorder="1" applyAlignment="1" applyProtection="1">
      <alignment horizontal="center" vertical="center" wrapText="1"/>
    </xf>
    <xf numFmtId="0" fontId="22" fillId="15" borderId="44" xfId="4" applyFont="1" applyFill="1" applyBorder="1" applyAlignment="1" applyProtection="1">
      <alignment horizontal="center" vertical="center" wrapText="1"/>
    </xf>
    <xf numFmtId="0" fontId="22" fillId="15" borderId="41" xfId="4" applyFont="1" applyFill="1" applyBorder="1" applyAlignment="1" applyProtection="1">
      <alignment horizontal="center" vertical="center" wrapText="1"/>
    </xf>
    <xf numFmtId="0" fontId="22" fillId="15" borderId="46" xfId="4" applyFont="1" applyFill="1" applyBorder="1" applyAlignment="1" applyProtection="1">
      <alignment horizontal="center" vertical="center" wrapText="1"/>
    </xf>
    <xf numFmtId="0" fontId="13" fillId="15" borderId="4" xfId="4" applyFont="1" applyFill="1" applyBorder="1" applyAlignment="1" applyProtection="1">
      <alignment vertical="center" wrapText="1"/>
    </xf>
    <xf numFmtId="0" fontId="13" fillId="15" borderId="6" xfId="4" applyFont="1" applyFill="1" applyBorder="1" applyAlignment="1" applyProtection="1">
      <alignment vertical="center" wrapText="1"/>
    </xf>
    <xf numFmtId="0" fontId="13" fillId="15" borderId="19" xfId="4" applyFont="1" applyFill="1" applyBorder="1" applyAlignment="1" applyProtection="1">
      <alignment vertical="center" wrapText="1"/>
    </xf>
    <xf numFmtId="176" fontId="13" fillId="15" borderId="99" xfId="0" applyNumberFormat="1" applyFont="1" applyFill="1" applyBorder="1" applyAlignment="1">
      <alignment horizontal="center" vertical="center" wrapText="1"/>
    </xf>
    <xf numFmtId="0" fontId="13" fillId="15" borderId="69" xfId="4" applyFont="1" applyFill="1" applyBorder="1" applyAlignment="1" applyProtection="1">
      <alignment horizontal="center" vertical="center" wrapText="1"/>
    </xf>
    <xf numFmtId="0" fontId="13" fillId="15" borderId="98" xfId="4" applyFont="1" applyFill="1" applyBorder="1" applyAlignment="1" applyProtection="1">
      <alignment horizontal="center" vertical="center" wrapText="1"/>
    </xf>
    <xf numFmtId="0" fontId="18" fillId="16" borderId="93" xfId="7" applyNumberFormat="1" applyFont="1" applyFill="1" applyBorder="1" applyAlignment="1" applyProtection="1">
      <alignment horizontal="center" vertical="center" shrinkToFit="1"/>
    </xf>
    <xf numFmtId="0" fontId="37" fillId="16" borderId="93" xfId="7" applyNumberFormat="1" applyFont="1" applyFill="1" applyBorder="1" applyAlignment="1" applyProtection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22" fillId="0" borderId="90" xfId="4" applyFont="1" applyFill="1" applyBorder="1" applyAlignment="1" applyProtection="1">
      <alignment vertical="center" wrapText="1"/>
    </xf>
    <xf numFmtId="0" fontId="13" fillId="15" borderId="96" xfId="4" applyFont="1" applyFill="1" applyBorder="1" applyAlignment="1" applyProtection="1">
      <alignment horizontal="center" vertical="center" wrapText="1"/>
    </xf>
    <xf numFmtId="0" fontId="22" fillId="15" borderId="163" xfId="4" applyFont="1" applyFill="1" applyBorder="1" applyAlignment="1" applyProtection="1">
      <alignment horizontal="center" vertical="center" wrapText="1"/>
    </xf>
    <xf numFmtId="0" fontId="22" fillId="0" borderId="47" xfId="4" applyFont="1" applyFill="1" applyBorder="1" applyAlignment="1" applyProtection="1">
      <alignment vertical="center" wrapText="1"/>
    </xf>
    <xf numFmtId="0" fontId="63" fillId="0" borderId="142" xfId="0" applyFont="1" applyBorder="1" applyAlignment="1">
      <alignment horizontal="center" vertical="center" wrapText="1"/>
    </xf>
    <xf numFmtId="0" fontId="63" fillId="0" borderId="147" xfId="0" applyFont="1" applyBorder="1" applyAlignment="1">
      <alignment horizontal="center" vertical="center" wrapText="1"/>
    </xf>
    <xf numFmtId="0" fontId="64" fillId="11" borderId="93" xfId="7" applyFont="1" applyFill="1" applyBorder="1" applyAlignment="1" applyProtection="1">
      <alignment horizontal="center" vertical="center" wrapText="1"/>
    </xf>
    <xf numFmtId="176" fontId="20" fillId="9" borderId="15" xfId="7" applyNumberFormat="1" applyFont="1" applyFill="1" applyBorder="1" applyAlignment="1" applyProtection="1">
      <alignment horizontal="center" vertical="center" shrinkToFit="1"/>
    </xf>
    <xf numFmtId="176" fontId="20" fillId="9" borderId="12" xfId="7" applyNumberFormat="1" applyFont="1" applyFill="1" applyBorder="1" applyAlignment="1" applyProtection="1">
      <alignment horizontal="center" vertical="center" shrinkToFit="1"/>
    </xf>
    <xf numFmtId="0" fontId="63" fillId="0" borderId="152" xfId="0" applyFont="1" applyBorder="1" applyAlignment="1">
      <alignment horizontal="center" vertical="center" wrapText="1"/>
    </xf>
    <xf numFmtId="0" fontId="63" fillId="0" borderId="176" xfId="0" applyFont="1" applyBorder="1" applyAlignment="1">
      <alignment horizontal="center" vertical="center" wrapText="1"/>
    </xf>
    <xf numFmtId="0" fontId="63" fillId="0" borderId="177" xfId="0" applyFont="1" applyBorder="1" applyAlignment="1">
      <alignment horizontal="center" vertical="center" wrapText="1"/>
    </xf>
    <xf numFmtId="0" fontId="63" fillId="0" borderId="149" xfId="0" applyFont="1" applyBorder="1" applyAlignment="1">
      <alignment horizontal="center" vertical="center" wrapText="1"/>
    </xf>
    <xf numFmtId="0" fontId="63" fillId="0" borderId="178" xfId="0" applyFont="1" applyBorder="1" applyAlignment="1">
      <alignment horizontal="center" vertical="center" wrapText="1"/>
    </xf>
    <xf numFmtId="176" fontId="40" fillId="16" borderId="31" xfId="7" applyNumberFormat="1" applyFont="1" applyFill="1" applyBorder="1" applyAlignment="1" applyProtection="1">
      <alignment horizontal="right" vertical="center" shrinkToFit="1"/>
    </xf>
    <xf numFmtId="0" fontId="63" fillId="0" borderId="0" xfId="0" applyFont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63" fillId="0" borderId="12" xfId="0" applyFont="1" applyBorder="1" applyAlignment="1">
      <alignment horizontal="center" vertical="center"/>
    </xf>
    <xf numFmtId="0" fontId="63" fillId="0" borderId="10" xfId="0" applyFont="1" applyBorder="1" applyAlignment="1">
      <alignment horizontal="center" vertical="center"/>
    </xf>
    <xf numFmtId="0" fontId="38" fillId="0" borderId="12" xfId="7" applyNumberFormat="1" applyFont="1" applyFill="1" applyBorder="1" applyAlignment="1" applyProtection="1">
      <alignment horizontal="center" vertical="center" shrinkToFit="1"/>
    </xf>
    <xf numFmtId="0" fontId="63" fillId="0" borderId="108" xfId="0" applyFont="1" applyBorder="1" applyAlignment="1">
      <alignment horizontal="center" vertical="center"/>
    </xf>
    <xf numFmtId="0" fontId="63" fillId="0" borderId="92" xfId="0" applyFont="1" applyBorder="1" applyAlignment="1">
      <alignment horizontal="center" vertical="center"/>
    </xf>
    <xf numFmtId="0" fontId="63" fillId="0" borderId="182" xfId="0" applyFont="1" applyBorder="1" applyAlignment="1">
      <alignment horizontal="center" vertical="center" wrapText="1"/>
    </xf>
    <xf numFmtId="0" fontId="63" fillId="0" borderId="183" xfId="0" applyFont="1" applyBorder="1" applyAlignment="1">
      <alignment horizontal="center" vertical="center" wrapText="1"/>
    </xf>
    <xf numFmtId="176" fontId="66" fillId="18" borderId="15" xfId="0" applyNumberFormat="1" applyFont="1" applyFill="1" applyBorder="1" applyAlignment="1">
      <alignment horizontal="center" vertical="center" shrinkToFit="1"/>
    </xf>
    <xf numFmtId="176" fontId="66" fillId="18" borderId="12" xfId="0" applyNumberFormat="1" applyFont="1" applyFill="1" applyBorder="1" applyAlignment="1">
      <alignment horizontal="center" vertical="center" shrinkToFit="1"/>
    </xf>
    <xf numFmtId="0" fontId="9" fillId="0" borderId="147" xfId="0" applyFont="1" applyBorder="1" applyAlignment="1">
      <alignment horizontal="center" vertical="center" wrapText="1"/>
    </xf>
    <xf numFmtId="0" fontId="38" fillId="9" borderId="12" xfId="7" applyFont="1" applyFill="1" applyBorder="1" applyAlignment="1">
      <alignment horizontal="center" vertical="center" shrinkToFit="1"/>
    </xf>
    <xf numFmtId="0" fontId="9" fillId="0" borderId="152" xfId="0" applyFont="1" applyBorder="1" applyAlignment="1">
      <alignment horizontal="center" vertical="center" wrapText="1"/>
    </xf>
    <xf numFmtId="0" fontId="38" fillId="9" borderId="10" xfId="7" applyFont="1" applyFill="1" applyBorder="1" applyAlignment="1">
      <alignment horizontal="center" vertical="center" shrinkToFit="1"/>
    </xf>
    <xf numFmtId="0" fontId="9" fillId="0" borderId="15" xfId="0" applyFont="1" applyBorder="1" applyAlignment="1">
      <alignment horizontal="center" vertical="center" wrapText="1"/>
    </xf>
    <xf numFmtId="0" fontId="38" fillId="9" borderId="15" xfId="7" applyFont="1" applyFill="1" applyBorder="1" applyAlignment="1">
      <alignment horizontal="center" vertical="center" shrinkToFit="1"/>
    </xf>
    <xf numFmtId="0" fontId="9" fillId="0" borderId="15" xfId="0" applyFont="1" applyBorder="1" applyAlignment="1">
      <alignment horizontal="center" vertical="center"/>
    </xf>
    <xf numFmtId="0" fontId="18" fillId="16" borderId="93" xfId="7" applyFont="1" applyFill="1" applyBorder="1" applyAlignment="1">
      <alignment horizontal="center" vertical="center" shrinkToFit="1"/>
    </xf>
    <xf numFmtId="0" fontId="38" fillId="9" borderId="32" xfId="7" applyFont="1" applyFill="1" applyBorder="1" applyAlignment="1">
      <alignment horizontal="center" vertical="center" shrinkToFit="1"/>
    </xf>
    <xf numFmtId="0" fontId="63" fillId="0" borderId="184" xfId="0" applyFont="1" applyBorder="1" applyAlignment="1">
      <alignment horizontal="center" vertical="center" wrapText="1"/>
    </xf>
    <xf numFmtId="0" fontId="38" fillId="9" borderId="185" xfId="7" applyNumberFormat="1" applyFont="1" applyFill="1" applyBorder="1" applyAlignment="1" applyProtection="1">
      <alignment horizontal="center" vertical="center" shrinkToFit="1"/>
    </xf>
    <xf numFmtId="0" fontId="0" fillId="0" borderId="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64" fillId="11" borderId="186" xfId="7" applyFont="1" applyFill="1" applyBorder="1" applyAlignment="1" applyProtection="1">
      <alignment horizontal="center" vertical="center" wrapText="1"/>
    </xf>
    <xf numFmtId="0" fontId="28" fillId="11" borderId="186" xfId="7" applyFont="1" applyFill="1" applyBorder="1" applyAlignment="1" applyProtection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13" fillId="15" borderId="14" xfId="0" applyFont="1" applyFill="1" applyBorder="1" applyAlignment="1">
      <alignment horizontal="center" vertical="center" wrapText="1"/>
    </xf>
    <xf numFmtId="0" fontId="13" fillId="15" borderId="80" xfId="0" applyFont="1" applyFill="1" applyBorder="1" applyAlignment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23" fillId="13" borderId="24" xfId="0" applyFont="1" applyFill="1" applyBorder="1" applyAlignment="1" applyProtection="1">
      <alignment horizontal="center" vertical="center"/>
      <protection locked="0"/>
    </xf>
    <xf numFmtId="0" fontId="23" fillId="13" borderId="29" xfId="0" applyFont="1" applyFill="1" applyBorder="1" applyAlignment="1" applyProtection="1">
      <alignment horizontal="center" vertical="center"/>
      <protection locked="0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29" xfId="6" applyFont="1" applyFill="1" applyBorder="1" applyAlignment="1" applyProtection="1">
      <alignment horizontal="center" vertical="center" wrapText="1"/>
    </xf>
    <xf numFmtId="0" fontId="13" fillId="10" borderId="24" xfId="6" applyFont="1" applyFill="1" applyBorder="1" applyAlignment="1" applyProtection="1">
      <alignment horizontal="center" vertical="center" wrapText="1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103" xfId="6" applyFont="1" applyFill="1" applyBorder="1" applyAlignment="1" applyProtection="1">
      <alignment horizontal="center" vertical="center" wrapText="1"/>
    </xf>
    <xf numFmtId="0" fontId="13" fillId="10" borderId="16" xfId="6" applyFont="1" applyFill="1" applyBorder="1" applyAlignment="1" applyProtection="1">
      <alignment horizontal="center" vertical="center" wrapText="1"/>
    </xf>
    <xf numFmtId="0" fontId="13" fillId="15" borderId="114" xfId="4" applyFont="1" applyFill="1" applyBorder="1" applyAlignment="1" applyProtection="1">
      <alignment horizontal="center" vertical="center" wrapText="1"/>
    </xf>
    <xf numFmtId="0" fontId="13" fillId="15" borderId="115" xfId="4" applyFont="1" applyFill="1" applyBorder="1" applyAlignment="1" applyProtection="1">
      <alignment horizontal="center" vertical="center" wrapText="1"/>
    </xf>
    <xf numFmtId="0" fontId="13" fillId="15" borderId="116" xfId="4" applyFont="1" applyFill="1" applyBorder="1" applyAlignment="1" applyProtection="1">
      <alignment horizontal="center" vertical="center" wrapText="1"/>
    </xf>
    <xf numFmtId="0" fontId="13" fillId="15" borderId="52" xfId="4" applyFont="1" applyFill="1" applyBorder="1" applyAlignment="1" applyProtection="1">
      <alignment horizontal="center" vertical="center" wrapText="1"/>
    </xf>
    <xf numFmtId="0" fontId="13" fillId="15" borderId="53" xfId="4" applyFont="1" applyFill="1" applyBorder="1" applyAlignment="1" applyProtection="1">
      <alignment horizontal="center" vertical="center" wrapText="1"/>
    </xf>
    <xf numFmtId="0" fontId="13" fillId="15" borderId="56" xfId="6" applyFont="1" applyFill="1" applyBorder="1" applyAlignment="1" applyProtection="1">
      <alignment horizontal="center" vertical="center" wrapText="1"/>
    </xf>
    <xf numFmtId="0" fontId="13" fillId="15" borderId="53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8" xfId="6" applyFont="1" applyFill="1" applyBorder="1" applyAlignment="1" applyProtection="1">
      <alignment horizontal="center" vertical="center" wrapText="1"/>
    </xf>
    <xf numFmtId="0" fontId="13" fillId="15" borderId="25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21" xfId="6" applyFont="1" applyFill="1" applyBorder="1" applyAlignment="1" applyProtection="1">
      <alignment horizontal="center" vertical="center" wrapText="1"/>
    </xf>
    <xf numFmtId="0" fontId="13" fillId="15" borderId="19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2" xfId="6" applyFont="1" applyFill="1" applyBorder="1" applyAlignment="1" applyProtection="1">
      <alignment horizontal="center" vertical="center" wrapText="1"/>
    </xf>
    <xf numFmtId="0" fontId="13" fillId="15" borderId="72" xfId="6" applyFont="1" applyFill="1" applyBorder="1" applyAlignment="1" applyProtection="1">
      <alignment horizontal="center" vertical="center" wrapText="1"/>
    </xf>
    <xf numFmtId="0" fontId="13" fillId="15" borderId="56" xfId="4" applyFont="1" applyFill="1" applyBorder="1" applyAlignment="1" applyProtection="1">
      <alignment horizontal="center" vertical="center" wrapText="1"/>
    </xf>
    <xf numFmtId="0" fontId="13" fillId="0" borderId="35" xfId="4" applyFont="1" applyFill="1" applyBorder="1" applyAlignment="1" applyProtection="1">
      <alignment horizontal="center" vertical="center" wrapText="1"/>
      <protection locked="0"/>
    </xf>
    <xf numFmtId="0" fontId="13" fillId="0" borderId="54" xfId="4" applyFont="1" applyFill="1" applyBorder="1" applyAlignment="1" applyProtection="1">
      <alignment horizontal="center" vertical="center" wrapText="1"/>
      <protection locked="0"/>
    </xf>
    <xf numFmtId="0" fontId="13" fillId="0" borderId="111" xfId="4" applyFont="1" applyFill="1" applyBorder="1" applyAlignment="1" applyProtection="1">
      <alignment horizontal="center" vertical="center" wrapText="1"/>
      <protection locked="0"/>
    </xf>
    <xf numFmtId="0" fontId="13" fillId="0" borderId="51" xfId="4" applyFont="1" applyFill="1" applyBorder="1" applyAlignment="1" applyProtection="1">
      <alignment horizontal="center" vertical="center" wrapText="1"/>
      <protection locked="0"/>
    </xf>
    <xf numFmtId="0" fontId="13" fillId="0" borderId="71" xfId="4" applyFont="1" applyFill="1" applyBorder="1" applyAlignment="1" applyProtection="1">
      <alignment horizontal="center" vertical="center" wrapText="1"/>
      <protection locked="0"/>
    </xf>
    <xf numFmtId="0" fontId="13" fillId="0" borderId="60" xfId="4" applyFont="1" applyFill="1" applyBorder="1" applyAlignment="1" applyProtection="1">
      <alignment horizontal="center" vertical="center" wrapText="1"/>
      <protection locked="0"/>
    </xf>
    <xf numFmtId="0" fontId="13" fillId="15" borderId="99" xfId="6" applyFont="1" applyFill="1" applyBorder="1" applyAlignment="1" applyProtection="1">
      <alignment horizontal="center" vertical="center" wrapText="1"/>
    </xf>
    <xf numFmtId="0" fontId="13" fillId="15" borderId="100" xfId="6" applyFont="1" applyFill="1" applyBorder="1" applyAlignment="1" applyProtection="1">
      <alignment horizontal="center" vertical="center" wrapText="1"/>
    </xf>
    <xf numFmtId="0" fontId="13" fillId="6" borderId="14" xfId="4" applyFont="1" applyFill="1" applyBorder="1" applyAlignment="1" applyProtection="1">
      <alignment horizontal="center" vertical="center" wrapText="1"/>
    </xf>
    <xf numFmtId="0" fontId="13" fillId="6" borderId="17" xfId="4" applyFont="1" applyFill="1" applyBorder="1" applyAlignment="1" applyProtection="1">
      <alignment horizontal="center" vertical="center" wrapText="1"/>
    </xf>
    <xf numFmtId="0" fontId="13" fillId="6" borderId="95" xfId="4" applyFont="1" applyFill="1" applyBorder="1" applyAlignment="1" applyProtection="1">
      <alignment horizontal="center" vertical="center" wrapText="1"/>
    </xf>
    <xf numFmtId="0" fontId="13" fillId="15" borderId="50" xfId="6" applyFont="1" applyFill="1" applyBorder="1" applyAlignment="1" applyProtection="1">
      <alignment horizontal="center" vertical="center" wrapText="1"/>
    </xf>
    <xf numFmtId="0" fontId="13" fillId="15" borderId="70" xfId="6" applyFont="1" applyFill="1" applyBorder="1" applyAlignment="1" applyProtection="1">
      <alignment horizontal="center" vertical="center" wrapText="1"/>
    </xf>
    <xf numFmtId="0" fontId="13" fillId="15" borderId="54" xfId="6" applyFont="1" applyFill="1" applyBorder="1" applyAlignment="1" applyProtection="1">
      <alignment horizontal="center" vertical="center" wrapText="1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0" borderId="36" xfId="4" applyFont="1" applyFill="1" applyBorder="1" applyAlignment="1" applyProtection="1">
      <alignment horizontal="center" vertical="center" wrapText="1"/>
      <protection locked="0"/>
    </xf>
    <xf numFmtId="0" fontId="13" fillId="0" borderId="112" xfId="4" applyFont="1" applyFill="1" applyBorder="1" applyAlignment="1" applyProtection="1">
      <alignment horizontal="center" vertical="center" wrapText="1"/>
      <protection locked="0"/>
    </xf>
    <xf numFmtId="0" fontId="13" fillId="0" borderId="113" xfId="4" applyFont="1" applyFill="1" applyBorder="1" applyAlignment="1" applyProtection="1">
      <alignment horizontal="center" vertical="center" wrapText="1"/>
      <protection locked="0"/>
    </xf>
    <xf numFmtId="0" fontId="13" fillId="15" borderId="49" xfId="6" applyFont="1" applyFill="1" applyBorder="1" applyAlignment="1" applyProtection="1">
      <alignment horizontal="center" vertical="center" wrapText="1"/>
    </xf>
    <xf numFmtId="0" fontId="13" fillId="15" borderId="79" xfId="6" applyFont="1" applyFill="1" applyBorder="1" applyAlignment="1" applyProtection="1">
      <alignment horizontal="center" vertical="center" wrapText="1"/>
    </xf>
    <xf numFmtId="0" fontId="13" fillId="15" borderId="60" xfId="6" applyFont="1" applyFill="1" applyBorder="1" applyAlignment="1" applyProtection="1">
      <alignment horizontal="center" vertical="center" wrapText="1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110" xfId="4" applyFont="1" applyFill="1" applyBorder="1" applyAlignment="1" applyProtection="1">
      <alignment horizontal="center" vertical="center" wrapText="1"/>
      <protection locked="0"/>
    </xf>
    <xf numFmtId="0" fontId="13" fillId="10" borderId="118" xfId="6" applyFont="1" applyFill="1" applyBorder="1" applyAlignment="1" applyProtection="1">
      <alignment horizontal="center" vertical="center" wrapText="1"/>
    </xf>
    <xf numFmtId="0" fontId="13" fillId="10" borderId="68" xfId="6" applyFont="1" applyFill="1" applyBorder="1" applyAlignment="1" applyProtection="1">
      <alignment horizontal="center" vertical="center" wrapText="1"/>
    </xf>
    <xf numFmtId="0" fontId="13" fillId="10" borderId="81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67" xfId="6" applyFont="1" applyFill="1" applyBorder="1" applyAlignment="1" applyProtection="1">
      <alignment horizontal="center" vertical="center" wrapText="1"/>
    </xf>
    <xf numFmtId="0" fontId="13" fillId="10" borderId="117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88" xfId="6" applyFont="1" applyFill="1" applyBorder="1" applyAlignment="1" applyProtection="1">
      <alignment horizontal="center" vertical="center" wrapText="1"/>
    </xf>
    <xf numFmtId="0" fontId="13" fillId="10" borderId="28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25" xfId="6" applyFont="1" applyFill="1" applyBorder="1" applyAlignment="1" applyProtection="1">
      <alignment horizontal="center" vertical="center" wrapText="1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19" xfId="6" applyFont="1" applyFill="1" applyBorder="1" applyAlignment="1" applyProtection="1">
      <alignment horizontal="center" vertical="center" wrapText="1"/>
    </xf>
    <xf numFmtId="0" fontId="13" fillId="6" borderId="80" xfId="4" applyFont="1" applyFill="1" applyBorder="1" applyAlignment="1" applyProtection="1">
      <alignment horizontal="center" vertical="center" wrapText="1"/>
    </xf>
    <xf numFmtId="0" fontId="13" fillId="10" borderId="76" xfId="6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13" fillId="10" borderId="66" xfId="6" applyFont="1" applyFill="1" applyBorder="1" applyAlignment="1" applyProtection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75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22" fillId="0" borderId="118" xfId="4" applyFont="1" applyFill="1" applyBorder="1" applyAlignment="1" applyProtection="1">
      <alignment horizontal="center" vertical="center" wrapText="1"/>
      <protection locked="0"/>
    </xf>
    <xf numFmtId="0" fontId="22" fillId="0" borderId="68" xfId="4" applyFont="1" applyFill="1" applyBorder="1" applyAlignment="1" applyProtection="1">
      <alignment horizontal="center" vertical="center" wrapText="1"/>
      <protection locked="0"/>
    </xf>
    <xf numFmtId="0" fontId="22" fillId="0" borderId="81" xfId="4" applyFont="1" applyFill="1" applyBorder="1" applyAlignment="1" applyProtection="1">
      <alignment horizontal="center" vertical="center" wrapText="1"/>
      <protection locked="0"/>
    </xf>
    <xf numFmtId="0" fontId="22" fillId="0" borderId="61" xfId="4" applyFont="1" applyFill="1" applyBorder="1" applyAlignment="1" applyProtection="1">
      <alignment horizontal="center" vertical="center" wrapText="1"/>
      <protection locked="0"/>
    </xf>
    <xf numFmtId="0" fontId="22" fillId="0" borderId="67" xfId="4" applyFont="1" applyFill="1" applyBorder="1" applyAlignment="1" applyProtection="1">
      <alignment horizontal="center" vertical="center" wrapText="1"/>
      <protection locked="0"/>
    </xf>
    <xf numFmtId="0" fontId="22" fillId="0" borderId="25" xfId="4" applyFont="1" applyFill="1" applyBorder="1" applyAlignment="1" applyProtection="1">
      <alignment horizontal="center" vertical="center" wrapText="1"/>
      <protection locked="0"/>
    </xf>
    <xf numFmtId="0" fontId="22" fillId="0" borderId="63" xfId="4" applyFont="1" applyFill="1" applyBorder="1" applyAlignment="1" applyProtection="1">
      <alignment horizontal="center" vertical="center" wrapText="1"/>
      <protection locked="0"/>
    </xf>
    <xf numFmtId="0" fontId="22" fillId="0" borderId="22" xfId="4" applyFont="1" applyFill="1" applyBorder="1" applyAlignment="1" applyProtection="1">
      <alignment horizontal="center" vertical="center" wrapText="1"/>
      <protection locked="0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5" xfId="5" applyFont="1" applyFill="1" applyBorder="1" applyAlignment="1" applyProtection="1">
      <alignment horizontal="center" vertical="center" wrapText="1"/>
    </xf>
    <xf numFmtId="0" fontId="13" fillId="15" borderId="19" xfId="5" applyFont="1" applyFill="1" applyBorder="1" applyAlignment="1" applyProtection="1">
      <alignment horizontal="center" vertical="center" wrapText="1"/>
    </xf>
    <xf numFmtId="0" fontId="13" fillId="15" borderId="22" xfId="5" applyFont="1" applyFill="1" applyBorder="1" applyAlignment="1" applyProtection="1">
      <alignment horizontal="center" vertical="center" wrapText="1"/>
    </xf>
    <xf numFmtId="0" fontId="22" fillId="0" borderId="56" xfId="0" applyFont="1" applyBorder="1" applyAlignment="1" applyProtection="1">
      <alignment horizontal="center" vertical="center" shrinkToFit="1"/>
      <protection locked="0"/>
    </xf>
    <xf numFmtId="0" fontId="22" fillId="0" borderId="53" xfId="0" applyFont="1" applyBorder="1" applyAlignment="1" applyProtection="1">
      <alignment horizontal="center" vertical="center" shrinkToFit="1"/>
      <protection locked="0"/>
    </xf>
    <xf numFmtId="0" fontId="22" fillId="0" borderId="56" xfId="4" applyFont="1" applyFill="1" applyBorder="1" applyAlignment="1" applyProtection="1">
      <alignment horizontal="center" vertical="center" wrapText="1"/>
      <protection locked="0"/>
    </xf>
    <xf numFmtId="0" fontId="22" fillId="0" borderId="52" xfId="4" applyFont="1" applyFill="1" applyBorder="1" applyAlignment="1" applyProtection="1">
      <alignment horizontal="center" vertical="center" wrapText="1"/>
      <protection locked="0"/>
    </xf>
    <xf numFmtId="0" fontId="22" fillId="0" borderId="114" xfId="4" applyFont="1" applyFill="1" applyBorder="1" applyAlignment="1" applyProtection="1">
      <alignment horizontal="center" vertical="center" wrapText="1"/>
      <protection locked="0"/>
    </xf>
    <xf numFmtId="0" fontId="22" fillId="0" borderId="72" xfId="4" applyFont="1" applyFill="1" applyBorder="1" applyAlignment="1" applyProtection="1">
      <alignment horizontal="center" vertical="center" wrapText="1"/>
      <protection locked="0"/>
    </xf>
    <xf numFmtId="0" fontId="22" fillId="0" borderId="116" xfId="4" applyFont="1" applyFill="1" applyBorder="1" applyAlignment="1" applyProtection="1">
      <alignment horizontal="center" vertical="center" wrapText="1"/>
      <protection locked="0"/>
    </xf>
    <xf numFmtId="0" fontId="22" fillId="0" borderId="115" xfId="4" applyFont="1" applyFill="1" applyBorder="1" applyAlignment="1" applyProtection="1">
      <alignment horizontal="center" vertical="center" wrapText="1"/>
      <protection locked="0"/>
    </xf>
    <xf numFmtId="0" fontId="22" fillId="0" borderId="35" xfId="4" applyFont="1" applyFill="1" applyBorder="1" applyAlignment="1" applyProtection="1">
      <alignment horizontal="center" vertical="center" wrapText="1"/>
      <protection locked="0"/>
    </xf>
    <xf numFmtId="0" fontId="22" fillId="0" borderId="54" xfId="4" applyFont="1" applyFill="1" applyBorder="1" applyAlignment="1" applyProtection="1">
      <alignment horizontal="center" vertical="center" wrapText="1"/>
      <protection locked="0"/>
    </xf>
    <xf numFmtId="0" fontId="22" fillId="15" borderId="50" xfId="5" applyFont="1" applyFill="1" applyBorder="1" applyAlignment="1" applyProtection="1">
      <alignment horizontal="center" vertical="center" wrapText="1"/>
    </xf>
    <xf numFmtId="0" fontId="22" fillId="15" borderId="54" xfId="5" applyFont="1" applyFill="1" applyBorder="1" applyAlignment="1" applyProtection="1">
      <alignment horizontal="center" vertical="center" wrapText="1"/>
    </xf>
    <xf numFmtId="0" fontId="22" fillId="0" borderId="70" xfId="4" applyFont="1" applyFill="1" applyBorder="1" applyAlignment="1" applyProtection="1">
      <alignment horizontal="center" vertical="center" wrapText="1"/>
      <protection locked="0"/>
    </xf>
    <xf numFmtId="0" fontId="22" fillId="0" borderId="36" xfId="4" applyFont="1" applyFill="1" applyBorder="1" applyAlignment="1" applyProtection="1">
      <alignment horizontal="center" vertical="center" wrapText="1"/>
      <protection locked="0"/>
    </xf>
    <xf numFmtId="0" fontId="43" fillId="15" borderId="14" xfId="4" applyFont="1" applyFill="1" applyBorder="1" applyAlignment="1" applyProtection="1">
      <alignment horizontal="center" vertical="center" wrapText="1"/>
    </xf>
    <xf numFmtId="0" fontId="43" fillId="15" borderId="80" xfId="4" applyFont="1" applyFill="1" applyBorder="1" applyAlignment="1" applyProtection="1">
      <alignment horizontal="center" vertical="center" wrapText="1"/>
    </xf>
    <xf numFmtId="0" fontId="22" fillId="0" borderId="49" xfId="0" applyFont="1" applyBorder="1" applyAlignment="1" applyProtection="1">
      <alignment horizontal="center" vertical="center" shrinkToFit="1"/>
      <protection locked="0"/>
    </xf>
    <xf numFmtId="0" fontId="22" fillId="0" borderId="60" xfId="0" applyFont="1" applyBorder="1" applyAlignment="1" applyProtection="1">
      <alignment horizontal="center" vertical="center" shrinkToFit="1"/>
      <protection locked="0"/>
    </xf>
    <xf numFmtId="0" fontId="22" fillId="0" borderId="66" xfId="4" applyFont="1" applyFill="1" applyBorder="1" applyAlignment="1" applyProtection="1">
      <alignment horizontal="center" vertical="center" wrapText="1"/>
    </xf>
    <xf numFmtId="0" fontId="22" fillId="0" borderId="55" xfId="4" applyFont="1" applyFill="1" applyBorder="1" applyAlignment="1" applyProtection="1">
      <alignment horizontal="center" vertical="center" wrapText="1"/>
    </xf>
    <xf numFmtId="0" fontId="22" fillId="15" borderId="75" xfId="4" applyFont="1" applyFill="1" applyBorder="1" applyAlignment="1" applyProtection="1">
      <alignment horizontal="center" vertical="center" wrapText="1"/>
    </xf>
    <xf numFmtId="0" fontId="22" fillId="15" borderId="62" xfId="4" applyFont="1" applyFill="1" applyBorder="1" applyAlignment="1" applyProtection="1">
      <alignment horizontal="center" vertical="center" wrapText="1"/>
    </xf>
    <xf numFmtId="0" fontId="22" fillId="0" borderId="49" xfId="4" applyFont="1" applyFill="1" applyBorder="1" applyAlignment="1" applyProtection="1">
      <alignment horizontal="center" vertical="center" wrapText="1"/>
      <protection locked="0"/>
    </xf>
    <xf numFmtId="0" fontId="22" fillId="0" borderId="51" xfId="4" applyFont="1" applyFill="1" applyBorder="1" applyAlignment="1" applyProtection="1">
      <alignment horizontal="center" vertical="center" wrapText="1"/>
      <protection locked="0"/>
    </xf>
    <xf numFmtId="0" fontId="22" fillId="0" borderId="71" xfId="4" applyFont="1" applyFill="1" applyBorder="1" applyAlignment="1" applyProtection="1">
      <alignment horizontal="center" vertical="center" wrapText="1"/>
      <protection locked="0"/>
    </xf>
    <xf numFmtId="0" fontId="22" fillId="0" borderId="79" xfId="4" applyFont="1" applyFill="1" applyBorder="1" applyAlignment="1" applyProtection="1">
      <alignment horizontal="center" vertical="center" wrapText="1"/>
      <protection locked="0"/>
    </xf>
    <xf numFmtId="0" fontId="22" fillId="0" borderId="111" xfId="4" applyFont="1" applyFill="1" applyBorder="1" applyAlignment="1" applyProtection="1">
      <alignment horizontal="center" vertical="center" wrapText="1"/>
      <protection locked="0"/>
    </xf>
    <xf numFmtId="0" fontId="22" fillId="0" borderId="110" xfId="4" applyFont="1" applyFill="1" applyBorder="1" applyAlignment="1" applyProtection="1">
      <alignment horizontal="center" vertical="center" wrapText="1"/>
      <protection locked="0"/>
    </xf>
    <xf numFmtId="0" fontId="22" fillId="0" borderId="50" xfId="0" applyFont="1" applyBorder="1" applyAlignment="1" applyProtection="1">
      <alignment horizontal="center" vertical="center" shrinkToFit="1"/>
      <protection locked="0"/>
    </xf>
    <xf numFmtId="0" fontId="22" fillId="0" borderId="54" xfId="0" applyFont="1" applyBorder="1" applyAlignment="1" applyProtection="1">
      <alignment horizontal="center" vertical="center" shrinkToFit="1"/>
      <protection locked="0"/>
    </xf>
    <xf numFmtId="0" fontId="22" fillId="0" borderId="113" xfId="4" applyFont="1" applyFill="1" applyBorder="1" applyAlignment="1" applyProtection="1">
      <alignment horizontal="center" vertical="center" wrapText="1"/>
      <protection locked="0"/>
    </xf>
    <xf numFmtId="0" fontId="22" fillId="0" borderId="112" xfId="4" applyFont="1" applyFill="1" applyBorder="1" applyAlignment="1" applyProtection="1">
      <alignment horizontal="center" vertical="center" wrapText="1"/>
      <protection locked="0"/>
    </xf>
    <xf numFmtId="0" fontId="22" fillId="15" borderId="4" xfId="4" applyFont="1" applyFill="1" applyBorder="1" applyAlignment="1" applyProtection="1">
      <alignment horizontal="center" vertical="center" wrapText="1"/>
    </xf>
    <xf numFmtId="0" fontId="22" fillId="15" borderId="25" xfId="4" applyFont="1" applyFill="1" applyBorder="1" applyAlignment="1" applyProtection="1">
      <alignment horizontal="center" vertical="center" wrapText="1"/>
    </xf>
    <xf numFmtId="0" fontId="22" fillId="15" borderId="6" xfId="4" applyFont="1" applyFill="1" applyBorder="1" applyAlignment="1" applyProtection="1">
      <alignment horizontal="center" vertical="center" wrapText="1"/>
    </xf>
    <xf numFmtId="0" fontId="22" fillId="15" borderId="21" xfId="4" applyFont="1" applyFill="1" applyBorder="1" applyAlignment="1" applyProtection="1">
      <alignment horizontal="center" vertical="center" wrapText="1"/>
    </xf>
    <xf numFmtId="0" fontId="22" fillId="15" borderId="19" xfId="4" applyFont="1" applyFill="1" applyBorder="1" applyAlignment="1" applyProtection="1">
      <alignment horizontal="center" vertical="center" wrapText="1"/>
    </xf>
    <xf numFmtId="0" fontId="22" fillId="15" borderId="22" xfId="4" applyFont="1" applyFill="1" applyBorder="1" applyAlignment="1" applyProtection="1">
      <alignment horizontal="center" vertical="center" wrapText="1"/>
    </xf>
    <xf numFmtId="0" fontId="29" fillId="0" borderId="35" xfId="4" applyFont="1" applyFill="1" applyBorder="1" applyAlignment="1" applyProtection="1">
      <alignment horizontal="center" vertical="center" wrapText="1"/>
      <protection locked="0"/>
    </xf>
    <xf numFmtId="0" fontId="29" fillId="0" borderId="112" xfId="4" applyFont="1" applyFill="1" applyBorder="1" applyAlignment="1" applyProtection="1">
      <alignment horizontal="center" vertical="center" wrapText="1"/>
      <protection locked="0"/>
    </xf>
    <xf numFmtId="0" fontId="13" fillId="15" borderId="50" xfId="5" applyFont="1" applyFill="1" applyBorder="1" applyAlignment="1" applyProtection="1">
      <alignment horizontal="center" vertical="center" wrapText="1"/>
    </xf>
    <xf numFmtId="0" fontId="13" fillId="15" borderId="54" xfId="5" applyFont="1" applyFill="1" applyBorder="1" applyAlignment="1" applyProtection="1">
      <alignment horizontal="center" vertical="center" wrapText="1"/>
    </xf>
    <xf numFmtId="0" fontId="22" fillId="0" borderId="50" xfId="0" applyFont="1" applyFill="1" applyBorder="1" applyAlignment="1" applyProtection="1">
      <alignment horizontal="center" vertical="center" shrinkToFit="1"/>
      <protection locked="0"/>
    </xf>
    <xf numFmtId="0" fontId="22" fillId="0" borderId="54" xfId="0" applyFont="1" applyFill="1" applyBorder="1" applyAlignment="1" applyProtection="1">
      <alignment horizontal="center" vertical="center" shrinkToFit="1"/>
      <protection locked="0"/>
    </xf>
    <xf numFmtId="0" fontId="22" fillId="0" borderId="50" xfId="4" applyFont="1" applyFill="1" applyBorder="1" applyAlignment="1" applyProtection="1">
      <alignment horizontal="center" vertical="center" wrapText="1"/>
      <protection locked="0"/>
    </xf>
    <xf numFmtId="0" fontId="29" fillId="0" borderId="54" xfId="4" applyFont="1" applyFill="1" applyBorder="1" applyAlignment="1" applyProtection="1">
      <alignment horizontal="center" vertical="center" wrapText="1"/>
      <protection locked="0"/>
    </xf>
    <xf numFmtId="0" fontId="29" fillId="0" borderId="113" xfId="4" applyFont="1" applyFill="1" applyBorder="1" applyAlignment="1" applyProtection="1">
      <alignment horizontal="center" vertical="center" wrapText="1"/>
      <protection locked="0"/>
    </xf>
    <xf numFmtId="0" fontId="29" fillId="0" borderId="36" xfId="4" applyFont="1" applyFill="1" applyBorder="1" applyAlignment="1" applyProtection="1">
      <alignment horizontal="center" vertical="center" wrapText="1"/>
      <protection locked="0"/>
    </xf>
    <xf numFmtId="0" fontId="22" fillId="0" borderId="50" xfId="2" applyFont="1" applyBorder="1" applyAlignment="1" applyProtection="1">
      <alignment horizontal="center" vertical="center" wrapText="1"/>
      <protection locked="0"/>
    </xf>
    <xf numFmtId="0" fontId="22" fillId="0" borderId="54" xfId="2" applyFont="1" applyBorder="1" applyAlignment="1" applyProtection="1">
      <alignment horizontal="center" vertical="center" wrapText="1"/>
      <protection locked="0"/>
    </xf>
    <xf numFmtId="0" fontId="29" fillId="0" borderId="70" xfId="4" applyFont="1" applyFill="1" applyBorder="1" applyAlignment="1" applyProtection="1">
      <alignment horizontal="center" vertical="center" wrapText="1"/>
      <protection locked="0"/>
    </xf>
    <xf numFmtId="0" fontId="13" fillId="15" borderId="49" xfId="5" applyFont="1" applyFill="1" applyBorder="1" applyAlignment="1" applyProtection="1">
      <alignment horizontal="center" vertical="center" wrapText="1"/>
    </xf>
    <xf numFmtId="0" fontId="13" fillId="15" borderId="60" xfId="5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176" fontId="13" fillId="15" borderId="24" xfId="0" applyNumberFormat="1" applyFont="1" applyFill="1" applyBorder="1" applyAlignment="1">
      <alignment horizontal="center" vertical="center" wrapText="1"/>
    </xf>
    <xf numFmtId="176" fontId="13" fillId="15" borderId="29" xfId="0" applyNumberFormat="1" applyFont="1" applyFill="1" applyBorder="1" applyAlignment="1">
      <alignment horizontal="center" vertical="center" wrapText="1"/>
    </xf>
    <xf numFmtId="0" fontId="13" fillId="0" borderId="24" xfId="0" applyFont="1" applyBorder="1" applyAlignment="1" applyProtection="1">
      <alignment horizontal="center" vertical="center" wrapText="1"/>
      <protection locked="0"/>
    </xf>
    <xf numFmtId="0" fontId="13" fillId="0" borderId="29" xfId="0" applyFont="1" applyBorder="1" applyAlignment="1" applyProtection="1">
      <alignment horizontal="center" vertical="center" wrapText="1"/>
      <protection locked="0"/>
    </xf>
    <xf numFmtId="0" fontId="29" fillId="0" borderId="24" xfId="4" applyFont="1" applyFill="1" applyBorder="1" applyAlignment="1" applyProtection="1">
      <alignment horizontal="center" vertical="center" wrapText="1"/>
      <protection locked="0"/>
    </xf>
    <xf numFmtId="0" fontId="29" fillId="0" borderId="65" xfId="4" applyFont="1" applyFill="1" applyBorder="1" applyAlignment="1" applyProtection="1">
      <alignment horizontal="center" vertical="center" wrapText="1"/>
      <protection locked="0"/>
    </xf>
    <xf numFmtId="0" fontId="29" fillId="0" borderId="64" xfId="4" applyFont="1" applyFill="1" applyBorder="1" applyAlignment="1" applyProtection="1">
      <alignment horizontal="center" vertical="center" wrapText="1"/>
      <protection locked="0"/>
    </xf>
    <xf numFmtId="0" fontId="29" fillId="0" borderId="103" xfId="4" applyFont="1" applyFill="1" applyBorder="1" applyAlignment="1" applyProtection="1">
      <alignment horizontal="center" vertical="center" wrapText="1"/>
      <protection locked="0"/>
    </xf>
    <xf numFmtId="0" fontId="29" fillId="0" borderId="16" xfId="4" applyFont="1" applyFill="1" applyBorder="1" applyAlignment="1" applyProtection="1">
      <alignment horizontal="center" vertical="center" wrapText="1"/>
      <protection locked="0"/>
    </xf>
    <xf numFmtId="0" fontId="13" fillId="0" borderId="64" xfId="4" applyFont="1" applyFill="1" applyBorder="1" applyAlignment="1" applyProtection="1">
      <alignment horizontal="center" vertical="center" wrapText="1"/>
      <protection locked="0"/>
    </xf>
    <xf numFmtId="0" fontId="13" fillId="0" borderId="29" xfId="4" applyFont="1" applyFill="1" applyBorder="1" applyAlignment="1" applyProtection="1">
      <alignment horizontal="center" vertical="center" wrapText="1"/>
      <protection locked="0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82" xfId="6" applyFont="1" applyFill="1" applyBorder="1" applyAlignment="1" applyProtection="1">
      <alignment horizontal="center" vertical="center" wrapText="1"/>
    </xf>
    <xf numFmtId="0" fontId="13" fillId="10" borderId="85" xfId="6" applyFont="1" applyFill="1" applyBorder="1" applyAlignment="1" applyProtection="1">
      <alignment horizontal="center" vertical="center" wrapText="1"/>
    </xf>
    <xf numFmtId="0" fontId="13" fillId="15" borderId="24" xfId="5" applyFont="1" applyFill="1" applyBorder="1" applyAlignment="1" applyProtection="1">
      <alignment horizontal="center" vertical="center" wrapText="1"/>
    </xf>
    <xf numFmtId="0" fontId="13" fillId="15" borderId="29" xfId="5" applyFont="1" applyFill="1" applyBorder="1" applyAlignment="1" applyProtection="1">
      <alignment horizontal="center" vertical="center" wrapText="1"/>
    </xf>
    <xf numFmtId="0" fontId="44" fillId="15" borderId="14" xfId="0" applyFont="1" applyFill="1" applyBorder="1" applyAlignment="1">
      <alignment horizontal="center" vertical="center" wrapText="1"/>
    </xf>
    <xf numFmtId="0" fontId="44" fillId="15" borderId="80" xfId="0" applyFont="1" applyFill="1" applyBorder="1" applyAlignment="1">
      <alignment horizontal="center" vertical="center" wrapText="1"/>
    </xf>
    <xf numFmtId="0" fontId="29" fillId="0" borderId="111" xfId="4" applyFont="1" applyFill="1" applyBorder="1" applyAlignment="1" applyProtection="1">
      <alignment horizontal="center" vertical="center" wrapText="1"/>
      <protection locked="0"/>
    </xf>
    <xf numFmtId="0" fontId="29" fillId="0" borderId="51" xfId="4" applyFont="1" applyFill="1" applyBorder="1" applyAlignment="1" applyProtection="1">
      <alignment horizontal="center" vertical="center" wrapText="1"/>
      <protection locked="0"/>
    </xf>
    <xf numFmtId="0" fontId="29" fillId="0" borderId="71" xfId="4" applyFont="1" applyFill="1" applyBorder="1" applyAlignment="1" applyProtection="1">
      <alignment horizontal="center" vertical="center" wrapText="1"/>
      <protection locked="0"/>
    </xf>
    <xf numFmtId="0" fontId="29" fillId="0" borderId="60" xfId="4" applyFont="1" applyFill="1" applyBorder="1" applyAlignment="1" applyProtection="1">
      <alignment horizontal="center" vertical="center" wrapText="1"/>
      <protection locked="0"/>
    </xf>
    <xf numFmtId="0" fontId="13" fillId="15" borderId="17" xfId="0" applyFont="1" applyFill="1" applyBorder="1" applyAlignment="1">
      <alignment horizontal="center" vertical="center" wrapText="1"/>
    </xf>
    <xf numFmtId="0" fontId="13" fillId="6" borderId="33" xfId="4" applyFont="1" applyFill="1" applyBorder="1" applyAlignment="1" applyProtection="1">
      <alignment horizontal="center" vertical="center" wrapText="1"/>
    </xf>
    <xf numFmtId="0" fontId="13" fillId="0" borderId="56" xfId="4" applyFont="1" applyFill="1" applyBorder="1" applyAlignment="1" applyProtection="1">
      <alignment horizontal="center" vertical="center" wrapText="1"/>
      <protection locked="0"/>
    </xf>
    <xf numFmtId="0" fontId="13" fillId="0" borderId="53" xfId="4" applyFont="1" applyFill="1" applyBorder="1" applyAlignment="1" applyProtection="1">
      <alignment horizontal="center" vertical="center" wrapText="1"/>
      <protection locked="0"/>
    </xf>
    <xf numFmtId="0" fontId="13" fillId="0" borderId="166" xfId="4" applyFont="1" applyFill="1" applyBorder="1" applyAlignment="1" applyProtection="1">
      <alignment horizontal="center" vertical="center" wrapText="1"/>
      <protection locked="0"/>
    </xf>
    <xf numFmtId="0" fontId="13" fillId="0" borderId="72" xfId="4" applyFont="1" applyFill="1" applyBorder="1" applyAlignment="1" applyProtection="1">
      <alignment horizontal="center" vertical="center" wrapText="1"/>
      <protection locked="0"/>
    </xf>
    <xf numFmtId="0" fontId="13" fillId="0" borderId="115" xfId="4" applyFont="1" applyFill="1" applyBorder="1" applyAlignment="1" applyProtection="1">
      <alignment horizontal="center" vertical="center" wrapText="1"/>
      <protection locked="0"/>
    </xf>
    <xf numFmtId="0" fontId="13" fillId="0" borderId="116" xfId="4" applyFont="1" applyFill="1" applyBorder="1" applyAlignment="1" applyProtection="1">
      <alignment horizontal="center" vertical="center" wrapText="1"/>
      <protection locked="0"/>
    </xf>
    <xf numFmtId="0" fontId="13" fillId="0" borderId="52" xfId="4" applyFont="1" applyFill="1" applyBorder="1" applyAlignment="1" applyProtection="1">
      <alignment horizontal="center" vertical="center" wrapText="1"/>
      <protection locked="0"/>
    </xf>
    <xf numFmtId="0" fontId="13" fillId="0" borderId="114" xfId="4" applyFont="1" applyFill="1" applyBorder="1" applyAlignment="1" applyProtection="1">
      <alignment horizontal="center" vertical="center" wrapText="1"/>
      <protection locked="0"/>
    </xf>
    <xf numFmtId="0" fontId="29" fillId="0" borderId="114" xfId="4" applyFont="1" applyFill="1" applyBorder="1" applyAlignment="1" applyProtection="1">
      <alignment horizontal="center" vertical="center" wrapText="1"/>
      <protection locked="0"/>
    </xf>
    <xf numFmtId="0" fontId="29" fillId="0" borderId="53" xfId="4" applyFont="1" applyFill="1" applyBorder="1" applyAlignment="1" applyProtection="1">
      <alignment horizontal="center" vertical="center" wrapText="1"/>
      <protection locked="0"/>
    </xf>
    <xf numFmtId="0" fontId="13" fillId="15" borderId="75" xfId="5" applyFont="1" applyFill="1" applyBorder="1" applyAlignment="1" applyProtection="1">
      <alignment horizontal="center" vertical="center" wrapText="1"/>
    </xf>
    <xf numFmtId="0" fontId="13" fillId="15" borderId="78" xfId="5" applyFont="1" applyFill="1" applyBorder="1" applyAlignment="1" applyProtection="1">
      <alignment horizontal="center" vertical="center" wrapText="1"/>
    </xf>
    <xf numFmtId="0" fontId="13" fillId="15" borderId="62" xfId="5" applyFont="1" applyFill="1" applyBorder="1" applyAlignment="1" applyProtection="1">
      <alignment horizontal="center" vertical="center" wrapText="1"/>
    </xf>
    <xf numFmtId="0" fontId="13" fillId="15" borderId="75" xfId="4" applyFont="1" applyFill="1" applyBorder="1" applyAlignment="1" applyProtection="1">
      <alignment horizontal="center" vertical="center" wrapText="1"/>
    </xf>
    <xf numFmtId="0" fontId="13" fillId="15" borderId="62" xfId="4" applyFont="1" applyFill="1" applyBorder="1" applyAlignment="1" applyProtection="1">
      <alignment horizontal="center" vertical="center" wrapText="1"/>
    </xf>
    <xf numFmtId="0" fontId="29" fillId="0" borderId="116" xfId="4" applyFont="1" applyFill="1" applyBorder="1" applyAlignment="1" applyProtection="1">
      <alignment horizontal="center" vertical="center" wrapText="1"/>
      <protection locked="0"/>
    </xf>
    <xf numFmtId="0" fontId="29" fillId="0" borderId="52" xfId="4" applyFont="1" applyFill="1" applyBorder="1" applyAlignment="1" applyProtection="1">
      <alignment horizontal="center" vertical="center" wrapText="1"/>
      <protection locked="0"/>
    </xf>
    <xf numFmtId="0" fontId="13" fillId="0" borderId="19" xfId="4" applyFont="1" applyFill="1" applyBorder="1" applyAlignment="1" applyProtection="1">
      <alignment horizontal="center" vertical="center" wrapText="1"/>
      <protection locked="0"/>
    </xf>
    <xf numFmtId="0" fontId="13" fillId="0" borderId="22" xfId="4" applyFont="1" applyFill="1" applyBorder="1" applyAlignment="1" applyProtection="1">
      <alignment horizontal="center" vertical="center" wrapText="1"/>
      <protection locked="0"/>
    </xf>
    <xf numFmtId="0" fontId="29" fillId="0" borderId="56" xfId="4" applyFont="1" applyFill="1" applyBorder="1" applyAlignment="1" applyProtection="1">
      <alignment horizontal="center" vertical="center" wrapText="1"/>
      <protection locked="0"/>
    </xf>
    <xf numFmtId="0" fontId="29" fillId="0" borderId="115" xfId="4" applyFont="1" applyFill="1" applyBorder="1" applyAlignment="1" applyProtection="1">
      <alignment horizontal="center" vertical="center" wrapText="1"/>
      <protection locked="0"/>
    </xf>
    <xf numFmtId="0" fontId="29" fillId="0" borderId="4" xfId="4" applyFont="1" applyFill="1" applyBorder="1" applyAlignment="1" applyProtection="1">
      <alignment horizontal="center" vertical="center" wrapText="1"/>
      <protection locked="0"/>
    </xf>
    <xf numFmtId="0" fontId="29" fillId="0" borderId="68" xfId="4" applyFont="1" applyFill="1" applyBorder="1" applyAlignment="1" applyProtection="1">
      <alignment horizontal="center" vertical="center" wrapText="1"/>
      <protection locked="0"/>
    </xf>
    <xf numFmtId="0" fontId="29" fillId="0" borderId="67" xfId="4" applyFont="1" applyFill="1" applyBorder="1" applyAlignment="1" applyProtection="1">
      <alignment horizontal="center" vertical="center" wrapText="1"/>
      <protection locked="0"/>
    </xf>
    <xf numFmtId="0" fontId="29" fillId="0" borderId="117" xfId="4" applyFont="1" applyFill="1" applyBorder="1" applyAlignment="1" applyProtection="1">
      <alignment horizontal="center" vertical="center" wrapText="1"/>
      <protection locked="0"/>
    </xf>
    <xf numFmtId="0" fontId="13" fillId="0" borderId="118" xfId="4" applyFont="1" applyFill="1" applyBorder="1" applyAlignment="1" applyProtection="1">
      <alignment horizontal="center" vertical="center" wrapText="1"/>
      <protection locked="0"/>
    </xf>
    <xf numFmtId="0" fontId="13" fillId="0" borderId="68" xfId="4" applyFont="1" applyFill="1" applyBorder="1" applyAlignment="1" applyProtection="1">
      <alignment horizontal="center" vertical="center" wrapText="1"/>
      <protection locked="0"/>
    </xf>
    <xf numFmtId="0" fontId="13" fillId="0" borderId="67" xfId="4" applyFont="1" applyFill="1" applyBorder="1" applyAlignment="1" applyProtection="1">
      <alignment horizontal="center" vertical="center" wrapText="1"/>
      <protection locked="0"/>
    </xf>
    <xf numFmtId="0" fontId="13" fillId="0" borderId="117" xfId="4" applyFont="1" applyFill="1" applyBorder="1" applyAlignment="1" applyProtection="1">
      <alignment horizontal="center" vertical="center" wrapText="1"/>
      <protection locked="0"/>
    </xf>
    <xf numFmtId="0" fontId="29" fillId="0" borderId="118" xfId="4" applyFont="1" applyFill="1" applyBorder="1" applyAlignment="1" applyProtection="1">
      <alignment horizontal="center" vertical="center" wrapText="1"/>
      <protection locked="0"/>
    </xf>
    <xf numFmtId="0" fontId="29" fillId="0" borderId="25" xfId="4" applyFont="1" applyFill="1" applyBorder="1" applyAlignment="1" applyProtection="1">
      <alignment horizontal="center" vertical="center" wrapText="1"/>
      <protection locked="0"/>
    </xf>
    <xf numFmtId="0" fontId="13" fillId="15" borderId="78" xfId="4" applyFont="1" applyFill="1" applyBorder="1" applyAlignment="1" applyProtection="1">
      <alignment horizontal="center" vertical="center" wrapText="1"/>
    </xf>
    <xf numFmtId="0" fontId="0" fillId="0" borderId="93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25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3" fillId="15" borderId="21" xfId="4" applyFont="1" applyFill="1" applyBorder="1" applyAlignment="1" applyProtection="1">
      <alignment horizontal="center" vertical="center" wrapText="1"/>
    </xf>
    <xf numFmtId="0" fontId="13" fillId="15" borderId="19" xfId="4" applyFont="1" applyFill="1" applyBorder="1" applyAlignment="1" applyProtection="1">
      <alignment horizontal="center" vertical="center" wrapText="1"/>
    </xf>
    <xf numFmtId="0" fontId="13" fillId="15" borderId="22" xfId="4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5" xfId="3" applyFont="1" applyFill="1" applyBorder="1" applyAlignment="1" applyProtection="1">
      <alignment horizontal="center" vertical="center" wrapText="1"/>
      <protection locked="0"/>
    </xf>
    <xf numFmtId="0" fontId="14" fillId="4" borderId="19" xfId="3" applyFont="1" applyFill="1" applyBorder="1" applyAlignment="1" applyProtection="1">
      <alignment horizontal="center" vertical="center" wrapText="1"/>
      <protection locked="0"/>
    </xf>
    <xf numFmtId="0" fontId="14" fillId="4" borderId="22" xfId="3" applyFont="1" applyFill="1" applyBorder="1" applyAlignment="1" applyProtection="1">
      <alignment horizontal="center" vertical="center" wrapText="1"/>
      <protection locked="0"/>
    </xf>
    <xf numFmtId="0" fontId="14" fillId="4" borderId="38" xfId="3" applyFont="1" applyFill="1" applyBorder="1" applyAlignment="1" applyProtection="1">
      <alignment horizontal="center" vertical="center" wrapText="1"/>
      <protection locked="0"/>
    </xf>
    <xf numFmtId="0" fontId="14" fillId="4" borderId="39" xfId="3" applyFont="1" applyFill="1" applyBorder="1" applyAlignment="1" applyProtection="1">
      <alignment horizontal="center" vertical="center" wrapText="1"/>
      <protection locked="0"/>
    </xf>
    <xf numFmtId="0" fontId="14" fillId="4" borderId="49" xfId="3" applyFont="1" applyFill="1" applyBorder="1" applyAlignment="1" applyProtection="1">
      <alignment horizontal="center" vertical="center" wrapText="1"/>
      <protection locked="0"/>
    </xf>
    <xf numFmtId="0" fontId="14" fillId="4" borderId="79" xfId="3" applyFont="1" applyFill="1" applyBorder="1" applyAlignment="1" applyProtection="1">
      <alignment horizontal="center" vertical="center" wrapText="1"/>
      <protection locked="0"/>
    </xf>
    <xf numFmtId="0" fontId="14" fillId="4" borderId="60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44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45" xfId="3" applyFont="1" applyFill="1" applyBorder="1" applyAlignment="1" applyProtection="1">
      <alignment horizontal="center" vertical="center" wrapText="1"/>
      <protection locked="0"/>
    </xf>
    <xf numFmtId="0" fontId="14" fillId="4" borderId="51" xfId="3" applyFont="1" applyFill="1" applyBorder="1" applyAlignment="1" applyProtection="1">
      <alignment horizontal="center" vertical="center" wrapText="1"/>
      <protection locked="0"/>
    </xf>
    <xf numFmtId="0" fontId="14" fillId="4" borderId="83" xfId="3" applyFont="1" applyFill="1" applyBorder="1" applyAlignment="1" applyProtection="1">
      <alignment horizontal="center" vertical="center" wrapText="1"/>
      <protection locked="0"/>
    </xf>
    <xf numFmtId="0" fontId="14" fillId="4" borderId="86" xfId="3" applyFont="1" applyFill="1" applyBorder="1" applyAlignment="1" applyProtection="1">
      <alignment horizontal="center" vertical="center" wrapText="1"/>
      <protection locked="0"/>
    </xf>
    <xf numFmtId="0" fontId="14" fillId="4" borderId="71" xfId="3" applyFont="1" applyFill="1" applyBorder="1" applyAlignment="1" applyProtection="1">
      <alignment horizontal="center" vertical="center" wrapText="1"/>
      <protection locked="0"/>
    </xf>
    <xf numFmtId="0" fontId="14" fillId="4" borderId="54" xfId="3" applyFont="1" applyFill="1" applyBorder="1" applyAlignment="1" applyProtection="1">
      <alignment horizontal="center" vertical="center" wrapText="1"/>
      <protection locked="0"/>
    </xf>
    <xf numFmtId="0" fontId="25" fillId="3" borderId="37" xfId="3" applyFont="1" applyBorder="1" applyAlignment="1" applyProtection="1">
      <alignment horizontal="center" vertical="center"/>
      <protection locked="0"/>
    </xf>
    <xf numFmtId="0" fontId="25" fillId="3" borderId="73" xfId="3" applyFont="1" applyBorder="1" applyAlignment="1" applyProtection="1">
      <alignment horizontal="center" vertical="center"/>
      <protection locked="0"/>
    </xf>
    <xf numFmtId="0" fontId="14" fillId="4" borderId="36" xfId="3" applyFont="1" applyFill="1" applyBorder="1" applyAlignment="1" applyProtection="1">
      <alignment horizontal="center" vertical="center" wrapText="1"/>
      <protection locked="0"/>
    </xf>
    <xf numFmtId="0" fontId="14" fillId="4" borderId="84" xfId="3" applyFont="1" applyFill="1" applyBorder="1" applyAlignment="1" applyProtection="1">
      <alignment horizontal="center" vertical="center" wrapText="1"/>
      <protection locked="0"/>
    </xf>
    <xf numFmtId="0" fontId="14" fillId="4" borderId="87" xfId="3" applyFont="1" applyFill="1" applyBorder="1" applyAlignment="1" applyProtection="1">
      <alignment horizontal="center" vertical="center" wrapText="1"/>
      <protection locked="0"/>
    </xf>
    <xf numFmtId="0" fontId="14" fillId="4" borderId="35" xfId="3" applyFont="1" applyFill="1" applyBorder="1" applyAlignment="1" applyProtection="1">
      <alignment horizontal="center" vertical="center" wrapText="1"/>
      <protection locked="0"/>
    </xf>
    <xf numFmtId="0" fontId="0" fillId="0" borderId="102" xfId="0" applyBorder="1" applyAlignment="1" applyProtection="1">
      <alignment horizontal="center" vertical="center"/>
      <protection locked="0"/>
    </xf>
    <xf numFmtId="0" fontId="0" fillId="0" borderId="101" xfId="0" applyBorder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9" xfId="0" applyFont="1" applyFill="1" applyBorder="1" applyAlignment="1" applyProtection="1">
      <alignment horizontal="center" vertical="center"/>
      <protection locked="0"/>
    </xf>
    <xf numFmtId="0" fontId="22" fillId="0" borderId="16" xfId="0" applyFont="1" applyBorder="1" applyAlignment="1" applyProtection="1">
      <alignment horizontal="center" vertical="center"/>
      <protection locked="0"/>
    </xf>
    <xf numFmtId="0" fontId="22" fillId="0" borderId="23" xfId="0" applyFont="1" applyBorder="1" applyAlignment="1" applyProtection="1">
      <alignment horizontal="center" vertical="center"/>
      <protection locked="0"/>
    </xf>
    <xf numFmtId="0" fontId="22" fillId="0" borderId="103" xfId="0" applyFont="1" applyBorder="1" applyAlignment="1" applyProtection="1">
      <alignment horizontal="center" vertical="center"/>
      <protection locked="0"/>
    </xf>
    <xf numFmtId="0" fontId="22" fillId="0" borderId="29" xfId="0" applyFont="1" applyBorder="1" applyAlignment="1" applyProtection="1">
      <alignment horizontal="center" vertical="center"/>
      <protection locked="0"/>
    </xf>
    <xf numFmtId="0" fontId="22" fillId="0" borderId="24" xfId="0" applyFont="1" applyBorder="1" applyAlignment="1" applyProtection="1">
      <alignment horizontal="center" vertical="center"/>
      <protection locked="0"/>
    </xf>
    <xf numFmtId="0" fontId="22" fillId="0" borderId="16" xfId="0" applyFont="1" applyBorder="1" applyAlignment="1" applyProtection="1">
      <alignment horizontal="center" vertical="center" wrapText="1"/>
      <protection locked="0"/>
    </xf>
    <xf numFmtId="0" fontId="22" fillId="0" borderId="23" xfId="0" applyFont="1" applyBorder="1" applyAlignment="1" applyProtection="1">
      <alignment horizontal="center" vertical="center" wrapText="1"/>
      <protection locked="0"/>
    </xf>
    <xf numFmtId="0" fontId="22" fillId="0" borderId="29" xfId="0" applyFont="1" applyBorder="1" applyAlignment="1" applyProtection="1">
      <alignment horizontal="center" vertical="center" wrapText="1"/>
      <protection locked="0"/>
    </xf>
    <xf numFmtId="0" fontId="30" fillId="0" borderId="3" xfId="0" applyFont="1" applyBorder="1" applyAlignment="1" applyProtection="1">
      <alignment horizontal="center" vertical="center"/>
      <protection locked="0"/>
    </xf>
    <xf numFmtId="0" fontId="30" fillId="0" borderId="22" xfId="0" applyFont="1" applyBorder="1" applyAlignment="1" applyProtection="1">
      <alignment horizontal="center" vertical="center"/>
      <protection locked="0"/>
    </xf>
    <xf numFmtId="0" fontId="15" fillId="17" borderId="24" xfId="0" applyFont="1" applyFill="1" applyBorder="1" applyAlignment="1" applyProtection="1">
      <alignment horizontal="center" vertical="center"/>
      <protection locked="0"/>
    </xf>
    <xf numFmtId="0" fontId="15" fillId="17" borderId="65" xfId="0" applyFont="1" applyFill="1" applyBorder="1" applyAlignment="1" applyProtection="1">
      <alignment horizontal="center" vertical="center"/>
      <protection locked="0"/>
    </xf>
    <xf numFmtId="0" fontId="15" fillId="17" borderId="23" xfId="0" applyFont="1" applyFill="1" applyBorder="1" applyAlignment="1" applyProtection="1">
      <alignment horizontal="center" vertical="center"/>
      <protection locked="0"/>
    </xf>
    <xf numFmtId="0" fontId="15" fillId="17" borderId="29" xfId="0" applyFont="1" applyFill="1" applyBorder="1" applyAlignment="1" applyProtection="1">
      <alignment horizontal="center" vertical="center"/>
      <protection locked="0"/>
    </xf>
    <xf numFmtId="0" fontId="12" fillId="8" borderId="94" xfId="0" applyFont="1" applyFill="1" applyBorder="1" applyAlignment="1" applyProtection="1">
      <alignment horizontal="center" vertical="center" wrapText="1"/>
      <protection locked="0"/>
    </xf>
    <xf numFmtId="0" fontId="12" fillId="8" borderId="26" xfId="0" applyFont="1" applyFill="1" applyBorder="1" applyAlignment="1" applyProtection="1">
      <alignment horizontal="center" vertical="center" wrapText="1"/>
      <protection locked="0"/>
    </xf>
    <xf numFmtId="0" fontId="12" fillId="8" borderId="27" xfId="0" applyFont="1" applyFill="1" applyBorder="1" applyAlignment="1" applyProtection="1">
      <alignment horizontal="center" vertical="center" wrapText="1"/>
      <protection locked="0"/>
    </xf>
    <xf numFmtId="0" fontId="15" fillId="8" borderId="14" xfId="0" applyFont="1" applyFill="1" applyBorder="1" applyAlignment="1" applyProtection="1">
      <alignment horizontal="center" vertical="center"/>
      <protection locked="0"/>
    </xf>
    <xf numFmtId="0" fontId="15" fillId="8" borderId="80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8" xfId="0" applyFont="1" applyFill="1" applyBorder="1" applyAlignment="1" applyProtection="1">
      <alignment horizontal="center" vertical="center"/>
      <protection locked="0"/>
    </xf>
    <xf numFmtId="0" fontId="15" fillId="8" borderId="19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5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21" xfId="5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43" fillId="15" borderId="17" xfId="4" applyFont="1" applyFill="1" applyBorder="1" applyAlignment="1" applyProtection="1">
      <alignment horizontal="center" vertical="center" wrapText="1"/>
    </xf>
    <xf numFmtId="0" fontId="22" fillId="0" borderId="53" xfId="4" applyFont="1" applyFill="1" applyBorder="1" applyAlignment="1" applyProtection="1">
      <alignment horizontal="center" vertical="center" wrapText="1"/>
      <protection locked="0"/>
    </xf>
    <xf numFmtId="0" fontId="22" fillId="0" borderId="167" xfId="0" applyFont="1" applyBorder="1" applyAlignment="1" applyProtection="1">
      <alignment horizontal="center" vertical="center" shrinkToFit="1"/>
      <protection locked="0"/>
    </xf>
    <xf numFmtId="0" fontId="22" fillId="0" borderId="73" xfId="0" applyFont="1" applyBorder="1" applyAlignment="1" applyProtection="1">
      <alignment horizontal="center" vertical="center" shrinkToFit="1"/>
      <protection locked="0"/>
    </xf>
    <xf numFmtId="0" fontId="22" fillId="0" borderId="167" xfId="4" applyFont="1" applyFill="1" applyBorder="1" applyAlignment="1" applyProtection="1">
      <alignment horizontal="center" vertical="center" wrapText="1"/>
      <protection locked="0"/>
    </xf>
    <xf numFmtId="0" fontId="22" fillId="0" borderId="168" xfId="4" applyFont="1" applyFill="1" applyBorder="1" applyAlignment="1" applyProtection="1">
      <alignment horizontal="center" vertical="center" wrapText="1"/>
      <protection locked="0"/>
    </xf>
    <xf numFmtId="0" fontId="22" fillId="0" borderId="37" xfId="4" applyFont="1" applyFill="1" applyBorder="1" applyAlignment="1" applyProtection="1">
      <alignment horizontal="center" vertical="center" wrapText="1"/>
      <protection locked="0"/>
    </xf>
    <xf numFmtId="0" fontId="22" fillId="0" borderId="175" xfId="4" applyFont="1" applyFill="1" applyBorder="1" applyAlignment="1" applyProtection="1">
      <alignment horizontal="center" vertical="center" wrapText="1"/>
      <protection locked="0"/>
    </xf>
    <xf numFmtId="0" fontId="22" fillId="15" borderId="78" xfId="4" applyFont="1" applyFill="1" applyBorder="1" applyAlignment="1" applyProtection="1">
      <alignment horizontal="center" vertical="center" wrapText="1"/>
    </xf>
    <xf numFmtId="0" fontId="22" fillId="0" borderId="173" xfId="4" applyFont="1" applyFill="1" applyBorder="1" applyAlignment="1" applyProtection="1">
      <alignment horizontal="center" vertical="center" wrapText="1"/>
      <protection locked="0"/>
    </xf>
    <xf numFmtId="0" fontId="22" fillId="0" borderId="100" xfId="4" applyFont="1" applyFill="1" applyBorder="1" applyAlignment="1" applyProtection="1">
      <alignment horizontal="center" vertical="center" wrapText="1"/>
      <protection locked="0"/>
    </xf>
    <xf numFmtId="0" fontId="13" fillId="0" borderId="167" xfId="4" applyFont="1" applyFill="1" applyBorder="1" applyAlignment="1" applyProtection="1">
      <alignment horizontal="center" vertical="center" wrapText="1"/>
      <protection locked="0"/>
    </xf>
    <xf numFmtId="0" fontId="13" fillId="0" borderId="73" xfId="4" applyFont="1" applyFill="1" applyBorder="1" applyAlignment="1" applyProtection="1">
      <alignment horizontal="center" vertical="center" wrapText="1"/>
      <protection locked="0"/>
    </xf>
    <xf numFmtId="0" fontId="13" fillId="0" borderId="170" xfId="4" applyFont="1" applyFill="1" applyBorder="1" applyAlignment="1" applyProtection="1">
      <alignment horizontal="center" vertical="center" wrapText="1"/>
      <protection locked="0"/>
    </xf>
    <xf numFmtId="0" fontId="13" fillId="0" borderId="168" xfId="4" applyFont="1" applyFill="1" applyBorder="1" applyAlignment="1" applyProtection="1">
      <alignment horizontal="center" vertical="center" wrapText="1"/>
      <protection locked="0"/>
    </xf>
    <xf numFmtId="0" fontId="13" fillId="0" borderId="37" xfId="4" applyFont="1" applyFill="1" applyBorder="1" applyAlignment="1" applyProtection="1">
      <alignment horizontal="center" vertical="center" wrapText="1"/>
      <protection locked="0"/>
    </xf>
    <xf numFmtId="0" fontId="13" fillId="0" borderId="169" xfId="4" applyFont="1" applyFill="1" applyBorder="1" applyAlignment="1" applyProtection="1">
      <alignment horizontal="center" vertical="center" wrapText="1"/>
      <protection locked="0"/>
    </xf>
    <xf numFmtId="0" fontId="13" fillId="0" borderId="171" xfId="4" applyFont="1" applyFill="1" applyBorder="1" applyAlignment="1" applyProtection="1">
      <alignment horizontal="center" vertical="center" wrapText="1"/>
      <protection locked="0"/>
    </xf>
    <xf numFmtId="0" fontId="13" fillId="0" borderId="172" xfId="4" applyFont="1" applyFill="1" applyBorder="1" applyAlignment="1" applyProtection="1">
      <alignment horizontal="center" vertical="center" wrapText="1"/>
      <protection locked="0"/>
    </xf>
    <xf numFmtId="0" fontId="13" fillId="0" borderId="99" xfId="4" applyFont="1" applyFill="1" applyBorder="1" applyAlignment="1" applyProtection="1">
      <alignment horizontal="center" vertical="center" wrapText="1"/>
      <protection locked="0"/>
    </xf>
    <xf numFmtId="0" fontId="13" fillId="0" borderId="100" xfId="4" applyFont="1" applyFill="1" applyBorder="1" applyAlignment="1" applyProtection="1">
      <alignment horizontal="center" vertical="center" wrapText="1"/>
      <protection locked="0"/>
    </xf>
    <xf numFmtId="0" fontId="13" fillId="0" borderId="173" xfId="4" applyFont="1" applyFill="1" applyBorder="1" applyAlignment="1" applyProtection="1">
      <alignment horizontal="center" vertical="center" wrapText="1"/>
      <protection locked="0"/>
    </xf>
    <xf numFmtId="0" fontId="13" fillId="0" borderId="174" xfId="4" applyFont="1" applyFill="1" applyBorder="1" applyAlignment="1" applyProtection="1">
      <alignment horizontal="center" vertical="center" wrapText="1"/>
      <protection locked="0"/>
    </xf>
    <xf numFmtId="0" fontId="22" fillId="0" borderId="20" xfId="4" applyFont="1" applyFill="1" applyBorder="1" applyAlignment="1" applyProtection="1">
      <alignment horizontal="center" vertical="center" wrapText="1"/>
      <protection locked="0"/>
    </xf>
    <xf numFmtId="0" fontId="22" fillId="0" borderId="89" xfId="4" applyFont="1" applyFill="1" applyBorder="1" applyAlignment="1" applyProtection="1">
      <alignment horizontal="center" vertical="center" wrapText="1"/>
      <protection locked="0"/>
    </xf>
    <xf numFmtId="0" fontId="22" fillId="0" borderId="117" xfId="4" applyFont="1" applyFill="1" applyBorder="1" applyAlignment="1" applyProtection="1">
      <alignment horizontal="center" vertical="center" wrapText="1"/>
      <protection locked="0"/>
    </xf>
    <xf numFmtId="0" fontId="22" fillId="0" borderId="77" xfId="4" applyFont="1" applyFill="1" applyBorder="1" applyAlignment="1" applyProtection="1">
      <alignment horizontal="center" vertical="center" wrapText="1"/>
      <protection locked="0"/>
    </xf>
    <xf numFmtId="0" fontId="22" fillId="0" borderId="7" xfId="4" applyFont="1" applyFill="1" applyBorder="1" applyAlignment="1" applyProtection="1">
      <alignment horizontal="center" vertical="center" wrapText="1"/>
      <protection locked="0"/>
    </xf>
    <xf numFmtId="0" fontId="22" fillId="0" borderId="88" xfId="4" applyFont="1" applyFill="1" applyBorder="1" applyAlignment="1" applyProtection="1">
      <alignment horizontal="center" vertical="center" wrapText="1"/>
      <protection locked="0"/>
    </xf>
    <xf numFmtId="0" fontId="17" fillId="9" borderId="26" xfId="7" applyFont="1" applyFill="1" applyBorder="1" applyAlignment="1" applyProtection="1">
      <alignment horizontal="center" vertical="center" wrapText="1"/>
    </xf>
    <xf numFmtId="0" fontId="17" fillId="9" borderId="27" xfId="7" applyFont="1" applyFill="1" applyBorder="1" applyAlignment="1" applyProtection="1">
      <alignment horizontal="center" vertical="center" wrapText="1"/>
    </xf>
    <xf numFmtId="0" fontId="17" fillId="9" borderId="105" xfId="7" applyFont="1" applyFill="1" applyBorder="1" applyAlignment="1" applyProtection="1">
      <alignment horizontal="center" vertical="center" wrapText="1"/>
    </xf>
    <xf numFmtId="0" fontId="17" fillId="9" borderId="10" xfId="7" applyFont="1" applyFill="1" applyBorder="1" applyAlignment="1" applyProtection="1">
      <alignment horizontal="center" vertical="center" wrapText="1"/>
    </xf>
    <xf numFmtId="0" fontId="17" fillId="9" borderId="106" xfId="7" applyFont="1" applyFill="1" applyBorder="1" applyAlignment="1" applyProtection="1">
      <alignment horizontal="center" vertical="center" wrapText="1"/>
    </xf>
    <xf numFmtId="0" fontId="65" fillId="16" borderId="93" xfId="7" applyNumberFormat="1" applyFont="1" applyFill="1" applyBorder="1" applyAlignment="1" applyProtection="1">
      <alignment horizontal="center" vertical="center" shrinkToFit="1"/>
    </xf>
    <xf numFmtId="0" fontId="17" fillId="9" borderId="94" xfId="7" applyFont="1" applyFill="1" applyBorder="1" applyAlignment="1" applyProtection="1">
      <alignment horizontal="center" vertical="center" wrapText="1"/>
    </xf>
    <xf numFmtId="176" fontId="17" fillId="9" borderId="105" xfId="7" applyNumberFormat="1" applyFont="1" applyFill="1" applyBorder="1" applyAlignment="1" applyProtection="1">
      <alignment horizontal="center" vertical="center" wrapText="1"/>
    </xf>
    <xf numFmtId="176" fontId="17" fillId="9" borderId="10" xfId="7" applyNumberFormat="1" applyFont="1" applyFill="1" applyBorder="1" applyAlignment="1" applyProtection="1">
      <alignment horizontal="center" vertical="center" wrapText="1"/>
    </xf>
    <xf numFmtId="176" fontId="17" fillId="9" borderId="106" xfId="7" applyNumberFormat="1" applyFont="1" applyFill="1" applyBorder="1" applyAlignment="1" applyProtection="1">
      <alignment horizontal="center" vertical="center" wrapText="1"/>
    </xf>
    <xf numFmtId="0" fontId="65" fillId="16" borderId="8" xfId="7" applyNumberFormat="1" applyFont="1" applyFill="1" applyBorder="1" applyAlignment="1" applyProtection="1">
      <alignment horizontal="center" vertical="center" shrinkToFit="1"/>
    </xf>
    <xf numFmtId="0" fontId="65" fillId="16" borderId="18" xfId="7" applyNumberFormat="1" applyFont="1" applyFill="1" applyBorder="1" applyAlignment="1" applyProtection="1">
      <alignment horizontal="center" vertical="center" shrinkToFit="1"/>
    </xf>
    <xf numFmtId="0" fontId="65" fillId="16" borderId="180" xfId="7" applyNumberFormat="1" applyFont="1" applyFill="1" applyBorder="1" applyAlignment="1" applyProtection="1">
      <alignment horizontal="center" vertical="center" shrinkToFit="1"/>
    </xf>
    <xf numFmtId="0" fontId="65" fillId="16" borderId="181" xfId="7" applyNumberFormat="1" applyFont="1" applyFill="1" applyBorder="1" applyAlignment="1" applyProtection="1">
      <alignment horizontal="center" vertical="center" shrinkToFit="1"/>
    </xf>
    <xf numFmtId="0" fontId="18" fillId="9" borderId="94" xfId="7" applyFont="1" applyFill="1" applyBorder="1" applyAlignment="1">
      <alignment horizontal="center" vertical="center" wrapText="1"/>
    </xf>
    <xf numFmtId="0" fontId="18" fillId="9" borderId="26" xfId="7" applyFont="1" applyFill="1" applyBorder="1" applyAlignment="1">
      <alignment horizontal="center" vertical="center" wrapText="1"/>
    </xf>
    <xf numFmtId="0" fontId="18" fillId="9" borderId="27" xfId="7" applyFont="1" applyFill="1" applyBorder="1" applyAlignment="1">
      <alignment horizontal="center" vertical="center" wrapText="1"/>
    </xf>
    <xf numFmtId="176" fontId="18" fillId="9" borderId="105" xfId="7" applyNumberFormat="1" applyFont="1" applyFill="1" applyBorder="1" applyAlignment="1">
      <alignment horizontal="center" vertical="center" wrapText="1"/>
    </xf>
    <xf numFmtId="176" fontId="18" fillId="9" borderId="10" xfId="7" applyNumberFormat="1" applyFont="1" applyFill="1" applyBorder="1" applyAlignment="1">
      <alignment horizontal="center" vertical="center" wrapText="1"/>
    </xf>
    <xf numFmtId="176" fontId="18" fillId="9" borderId="106" xfId="7" applyNumberFormat="1" applyFont="1" applyFill="1" applyBorder="1" applyAlignment="1">
      <alignment horizontal="center" vertical="center" wrapText="1"/>
    </xf>
    <xf numFmtId="0" fontId="65" fillId="16" borderId="93" xfId="7" applyFont="1" applyFill="1" applyBorder="1" applyAlignment="1">
      <alignment horizontal="center" vertical="center" shrinkToFit="1"/>
    </xf>
    <xf numFmtId="176" fontId="17" fillId="9" borderId="105" xfId="7" applyNumberFormat="1" applyFont="1" applyFill="1" applyBorder="1" applyAlignment="1">
      <alignment horizontal="center" vertical="center" wrapText="1"/>
    </xf>
    <xf numFmtId="176" fontId="17" fillId="9" borderId="10" xfId="7" applyNumberFormat="1" applyFont="1" applyFill="1" applyBorder="1" applyAlignment="1">
      <alignment horizontal="center" vertical="center" wrapText="1"/>
    </xf>
    <xf numFmtId="176" fontId="17" fillId="9" borderId="106" xfId="7" applyNumberFormat="1" applyFont="1" applyFill="1" applyBorder="1" applyAlignment="1">
      <alignment horizontal="center" vertical="center" wrapText="1"/>
    </xf>
    <xf numFmtId="0" fontId="65" fillId="16" borderId="8" xfId="7" applyFont="1" applyFill="1" applyBorder="1" applyAlignment="1">
      <alignment horizontal="center" vertical="center" shrinkToFit="1"/>
    </xf>
    <xf numFmtId="0" fontId="65" fillId="16" borderId="18" xfId="7" applyFont="1" applyFill="1" applyBorder="1" applyAlignment="1">
      <alignment horizontal="center" vertical="center" shrinkToFit="1"/>
    </xf>
    <xf numFmtId="0" fontId="17" fillId="11" borderId="92" xfId="7" applyNumberFormat="1" applyFont="1" applyFill="1" applyBorder="1" applyAlignment="1" applyProtection="1">
      <alignment horizontal="center" vertical="center" shrinkToFit="1"/>
    </xf>
    <xf numFmtId="0" fontId="17" fillId="11" borderId="15" xfId="7" applyNumberFormat="1" applyFont="1" applyFill="1" applyBorder="1" applyAlignment="1" applyProtection="1">
      <alignment horizontal="center" vertical="center" shrinkToFit="1"/>
    </xf>
    <xf numFmtId="0" fontId="17" fillId="11" borderId="186" xfId="7" applyNumberFormat="1" applyFont="1" applyFill="1" applyBorder="1" applyAlignment="1" applyProtection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26" fillId="8" borderId="33" xfId="0" applyFont="1" applyFill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7" fillId="11" borderId="5" xfId="7" applyFont="1" applyFill="1" applyBorder="1" applyAlignment="1" applyProtection="1">
      <alignment horizontal="center" vertical="center" wrapText="1"/>
    </xf>
    <xf numFmtId="0" fontId="17" fillId="11" borderId="13" xfId="7" applyFont="1" applyFill="1" applyBorder="1" applyAlignment="1" applyProtection="1">
      <alignment horizontal="center" vertical="center" wrapText="1"/>
    </xf>
    <xf numFmtId="0" fontId="17" fillId="11" borderId="188" xfId="7" applyFont="1" applyFill="1" applyBorder="1" applyAlignment="1" applyProtection="1">
      <alignment horizontal="center" vertical="center" wrapText="1"/>
    </xf>
    <xf numFmtId="0" fontId="17" fillId="11" borderId="92" xfId="7" applyFont="1" applyFill="1" applyBorder="1" applyAlignment="1" applyProtection="1">
      <alignment horizontal="center" vertical="center" wrapText="1"/>
    </xf>
    <xf numFmtId="0" fontId="17" fillId="11" borderId="15" xfId="7" applyFont="1" applyFill="1" applyBorder="1" applyAlignment="1" applyProtection="1">
      <alignment horizontal="center" vertical="center" wrapText="1"/>
    </xf>
    <xf numFmtId="0" fontId="17" fillId="11" borderId="186" xfId="7" applyFont="1" applyFill="1" applyBorder="1" applyAlignment="1" applyProtection="1">
      <alignment horizontal="center" vertical="center" wrapText="1"/>
    </xf>
    <xf numFmtId="0" fontId="17" fillId="11" borderId="92" xfId="7" applyFont="1" applyFill="1" applyBorder="1" applyAlignment="1">
      <alignment horizontal="center" vertical="center"/>
    </xf>
    <xf numFmtId="0" fontId="27" fillId="11" borderId="92" xfId="7" applyFont="1" applyFill="1" applyBorder="1" applyAlignment="1">
      <alignment horizontal="center" vertical="center" wrapText="1"/>
    </xf>
    <xf numFmtId="0" fontId="27" fillId="11" borderId="15" xfId="7" applyFont="1" applyFill="1" applyBorder="1" applyAlignment="1">
      <alignment horizontal="center" vertical="center"/>
    </xf>
    <xf numFmtId="0" fontId="27" fillId="11" borderId="186" xfId="7" applyFont="1" applyFill="1" applyBorder="1" applyAlignment="1">
      <alignment horizontal="center" vertical="center"/>
    </xf>
    <xf numFmtId="0" fontId="32" fillId="0" borderId="4" xfId="0" applyFont="1" applyBorder="1" applyAlignment="1">
      <alignment horizontal="left" vertical="center"/>
    </xf>
    <xf numFmtId="0" fontId="32" fillId="0" borderId="28" xfId="0" applyFont="1" applyBorder="1" applyAlignment="1">
      <alignment horizontal="left" vertical="center"/>
    </xf>
    <xf numFmtId="0" fontId="32" fillId="0" borderId="25" xfId="0" applyFont="1" applyBorder="1" applyAlignment="1">
      <alignment horizontal="left" vertical="center"/>
    </xf>
    <xf numFmtId="0" fontId="17" fillId="11" borderId="15" xfId="7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27" fillId="11" borderId="30" xfId="7" applyFont="1" applyFill="1" applyBorder="1" applyAlignment="1">
      <alignment horizontal="center" vertical="center" wrapText="1"/>
    </xf>
    <xf numFmtId="0" fontId="27" fillId="11" borderId="11" xfId="7" applyFont="1" applyFill="1" applyBorder="1" applyAlignment="1">
      <alignment horizontal="center" vertical="center"/>
    </xf>
    <xf numFmtId="0" fontId="27" fillId="11" borderId="187" xfId="7" applyFont="1" applyFill="1" applyBorder="1" applyAlignment="1">
      <alignment horizontal="center" vertical="center"/>
    </xf>
    <xf numFmtId="0" fontId="18" fillId="9" borderId="26" xfId="7" applyFont="1" applyFill="1" applyBorder="1" applyAlignment="1" applyProtection="1">
      <alignment horizontal="center" vertical="center" wrapText="1"/>
    </xf>
    <xf numFmtId="0" fontId="18" fillId="9" borderId="27" xfId="7" applyFont="1" applyFill="1" applyBorder="1" applyAlignment="1" applyProtection="1">
      <alignment horizontal="center" vertical="center" wrapText="1"/>
    </xf>
    <xf numFmtId="176" fontId="18" fillId="9" borderId="20" xfId="7" applyNumberFormat="1" applyFont="1" applyFill="1" applyBorder="1" applyAlignment="1" applyProtection="1">
      <alignment horizontal="center" vertical="center" wrapText="1"/>
    </xf>
    <xf numFmtId="176" fontId="18" fillId="9" borderId="81" xfId="7" applyNumberFormat="1" applyFont="1" applyFill="1" applyBorder="1" applyAlignment="1" applyProtection="1">
      <alignment horizontal="center" vertical="center" wrapText="1"/>
    </xf>
    <xf numFmtId="176" fontId="17" fillId="9" borderId="118" xfId="7" applyNumberFormat="1" applyFont="1" applyFill="1" applyBorder="1" applyAlignment="1" applyProtection="1">
      <alignment horizontal="center" vertical="center" wrapText="1"/>
    </xf>
    <xf numFmtId="176" fontId="17" fillId="9" borderId="20" xfId="7" applyNumberFormat="1" applyFont="1" applyFill="1" applyBorder="1" applyAlignment="1" applyProtection="1">
      <alignment horizontal="center" vertical="center" wrapText="1"/>
    </xf>
    <xf numFmtId="176" fontId="17" fillId="9" borderId="81" xfId="7" applyNumberFormat="1" applyFont="1" applyFill="1" applyBorder="1" applyAlignment="1" applyProtection="1">
      <alignment horizontal="center" vertical="center" wrapText="1"/>
    </xf>
    <xf numFmtId="0" fontId="65" fillId="16" borderId="179" xfId="7" applyNumberFormat="1" applyFont="1" applyFill="1" applyBorder="1" applyAlignment="1" applyProtection="1">
      <alignment horizontal="center" vertical="center" shrinkToFit="1"/>
    </xf>
    <xf numFmtId="0" fontId="17" fillId="11" borderId="93" xfId="7" applyNumberFormat="1" applyFont="1" applyFill="1" applyBorder="1" applyAlignment="1" applyProtection="1">
      <alignment horizontal="center" vertical="center" shrinkToFit="1"/>
    </xf>
    <xf numFmtId="0" fontId="27" fillId="11" borderId="93" xfId="7" applyFont="1" applyFill="1" applyBorder="1" applyAlignment="1">
      <alignment horizontal="center" vertical="center"/>
    </xf>
    <xf numFmtId="0" fontId="27" fillId="11" borderId="31" xfId="7" applyFont="1" applyFill="1" applyBorder="1" applyAlignment="1">
      <alignment horizontal="center" vertical="center"/>
    </xf>
    <xf numFmtId="0" fontId="17" fillId="11" borderId="9" xfId="7" applyFont="1" applyFill="1" applyBorder="1" applyAlignment="1" applyProtection="1">
      <alignment horizontal="center" vertical="center" wrapText="1"/>
    </xf>
    <xf numFmtId="0" fontId="17" fillId="11" borderId="93" xfId="7" applyFont="1" applyFill="1" applyBorder="1" applyAlignment="1" applyProtection="1">
      <alignment horizontal="center" vertical="center" wrapText="1"/>
    </xf>
    <xf numFmtId="0" fontId="26" fillId="8" borderId="57" xfId="0" applyFont="1" applyFill="1" applyBorder="1" applyAlignment="1">
      <alignment horizontal="center" vertical="center"/>
    </xf>
    <xf numFmtId="0" fontId="26" fillId="8" borderId="59" xfId="0" applyFont="1" applyFill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52" fillId="20" borderId="124" xfId="16" applyFont="1" applyFill="1" applyBorder="1" applyAlignment="1">
      <alignment horizontal="center" vertical="center"/>
    </xf>
    <xf numFmtId="0" fontId="45" fillId="0" borderId="124" xfId="16" applyFont="1" applyBorder="1"/>
    <xf numFmtId="0" fontId="45" fillId="0" borderId="125" xfId="16" applyFont="1" applyBorder="1"/>
    <xf numFmtId="0" fontId="52" fillId="0" borderId="126" xfId="16" applyFont="1" applyBorder="1" applyAlignment="1">
      <alignment horizontal="center" vertical="center"/>
    </xf>
    <xf numFmtId="0" fontId="48" fillId="0" borderId="0" xfId="16" applyFont="1" applyAlignment="1">
      <alignment horizontal="center" vertical="center"/>
    </xf>
    <xf numFmtId="0" fontId="50" fillId="0" borderId="0" xfId="16" applyFont="1" applyAlignment="1"/>
    <xf numFmtId="0" fontId="51" fillId="0" borderId="121" xfId="16" applyFont="1" applyBorder="1" applyAlignment="1">
      <alignment horizontal="center" vertical="center"/>
    </xf>
    <xf numFmtId="0" fontId="45" fillId="0" borderId="28" xfId="16" applyFont="1" applyBorder="1"/>
    <xf numFmtId="0" fontId="45" fillId="0" borderId="25" xfId="16" applyFont="1" applyBorder="1"/>
    <xf numFmtId="0" fontId="51" fillId="8" borderId="4" xfId="16" applyFont="1" applyFill="1" applyBorder="1" applyAlignment="1">
      <alignment horizontal="center" vertical="center"/>
    </xf>
    <xf numFmtId="0" fontId="45" fillId="8" borderId="28" xfId="16" applyFont="1" applyFill="1" applyBorder="1"/>
    <xf numFmtId="0" fontId="45" fillId="8" borderId="25" xfId="16" applyFont="1" applyFill="1" applyBorder="1"/>
    <xf numFmtId="0" fontId="36" fillId="19" borderId="120" xfId="16" applyFont="1" applyFill="1" applyBorder="1" applyAlignment="1">
      <alignment horizontal="center" vertical="center" wrapText="1"/>
    </xf>
    <xf numFmtId="0" fontId="45" fillId="0" borderId="122" xfId="16" applyFont="1" applyBorder="1"/>
    <xf numFmtId="0" fontId="45" fillId="0" borderId="127" xfId="16" applyFont="1" applyBorder="1"/>
    <xf numFmtId="0" fontId="52" fillId="20" borderId="129" xfId="16" applyFont="1" applyFill="1" applyBorder="1" applyAlignment="1">
      <alignment horizontal="center" vertical="center"/>
    </xf>
    <xf numFmtId="0" fontId="45" fillId="0" borderId="130" xfId="16" applyFont="1" applyBorder="1"/>
    <xf numFmtId="0" fontId="45" fillId="0" borderId="131" xfId="16" applyFont="1" applyBorder="1"/>
    <xf numFmtId="0" fontId="45" fillId="0" borderId="132" xfId="16" applyFont="1" applyBorder="1"/>
    <xf numFmtId="0" fontId="52" fillId="0" borderId="107" xfId="16" applyFont="1" applyBorder="1" applyAlignment="1">
      <alignment horizontal="center" vertical="center" wrapText="1"/>
    </xf>
    <xf numFmtId="0" fontId="45" fillId="0" borderId="129" xfId="16" applyFont="1" applyBorder="1"/>
    <xf numFmtId="0" fontId="45" fillId="0" borderId="133" xfId="16" applyFont="1" applyBorder="1"/>
    <xf numFmtId="0" fontId="53" fillId="21" borderId="136" xfId="16" applyFont="1" applyFill="1" applyBorder="1" applyAlignment="1">
      <alignment horizontal="center" vertical="center" wrapText="1"/>
    </xf>
    <xf numFmtId="0" fontId="45" fillId="0" borderId="137" xfId="16" applyFont="1" applyBorder="1"/>
    <xf numFmtId="0" fontId="54" fillId="0" borderId="138" xfId="16" applyFont="1" applyBorder="1" applyAlignment="1">
      <alignment horizontal="center" vertical="center" wrapText="1"/>
    </xf>
    <xf numFmtId="0" fontId="45" fillId="0" borderId="144" xfId="16" applyFont="1" applyBorder="1"/>
    <xf numFmtId="0" fontId="54" fillId="0" borderId="139" xfId="16" applyFont="1" applyBorder="1" applyAlignment="1">
      <alignment horizontal="center" vertical="center" wrapText="1"/>
    </xf>
    <xf numFmtId="0" fontId="45" fillId="0" borderId="145" xfId="16" applyFont="1" applyBorder="1"/>
    <xf numFmtId="0" fontId="45" fillId="0" borderId="149" xfId="16" applyFont="1" applyBorder="1"/>
    <xf numFmtId="0" fontId="54" fillId="0" borderId="141" xfId="16" applyFont="1" applyBorder="1" applyAlignment="1">
      <alignment horizontal="center" vertical="center" wrapText="1"/>
    </xf>
    <xf numFmtId="0" fontId="45" fillId="0" borderId="123" xfId="16" applyFont="1" applyBorder="1"/>
    <xf numFmtId="0" fontId="45" fillId="0" borderId="148" xfId="16" applyFont="1" applyBorder="1"/>
    <xf numFmtId="0" fontId="54" fillId="0" borderId="124" xfId="16" applyFont="1" applyBorder="1" applyAlignment="1">
      <alignment horizontal="center" vertical="center" wrapText="1"/>
    </xf>
    <xf numFmtId="0" fontId="56" fillId="0" borderId="126" xfId="16" applyFont="1" applyBorder="1" applyAlignment="1">
      <alignment horizontal="center" vertical="center" wrapText="1"/>
    </xf>
    <xf numFmtId="0" fontId="54" fillId="0" borderId="126" xfId="16" applyFont="1" applyBorder="1" applyAlignment="1">
      <alignment horizontal="center" vertical="center" wrapText="1"/>
    </xf>
    <xf numFmtId="0" fontId="54" fillId="21" borderId="126" xfId="16" applyFont="1" applyFill="1" applyBorder="1" applyAlignment="1">
      <alignment horizontal="center" vertical="center" wrapText="1"/>
    </xf>
    <xf numFmtId="0" fontId="56" fillId="21" borderId="126" xfId="16" applyFont="1" applyFill="1" applyBorder="1" applyAlignment="1">
      <alignment horizontal="center" vertical="center" wrapText="1"/>
    </xf>
    <xf numFmtId="0" fontId="45" fillId="0" borderId="143" xfId="16" applyFont="1" applyBorder="1"/>
    <xf numFmtId="0" fontId="16" fillId="0" borderId="0" xfId="16" applyFont="1" applyBorder="1" applyAlignment="1"/>
    <xf numFmtId="0" fontId="54" fillId="0" borderId="152" xfId="16" applyFont="1" applyBorder="1" applyAlignment="1">
      <alignment horizontal="center" vertical="center" wrapText="1"/>
    </xf>
    <xf numFmtId="0" fontId="54" fillId="0" borderId="154" xfId="16" applyFont="1" applyBorder="1" applyAlignment="1">
      <alignment horizontal="center" vertical="center" wrapText="1"/>
    </xf>
    <xf numFmtId="0" fontId="45" fillId="0" borderId="155" xfId="16" applyFont="1" applyBorder="1"/>
    <xf numFmtId="0" fontId="54" fillId="0" borderId="107" xfId="16" applyFont="1" applyBorder="1" applyAlignment="1">
      <alignment horizontal="center" vertical="center" wrapText="1"/>
    </xf>
    <xf numFmtId="0" fontId="54" fillId="0" borderId="156" xfId="16" applyFont="1" applyBorder="1" applyAlignment="1">
      <alignment horizontal="center" vertical="center" wrapText="1"/>
    </xf>
    <xf numFmtId="0" fontId="45" fillId="0" borderId="157" xfId="16" applyFont="1" applyBorder="1"/>
    <xf numFmtId="0" fontId="54" fillId="21" borderId="124" xfId="16" applyFont="1" applyFill="1" applyBorder="1" applyAlignment="1">
      <alignment horizontal="center" vertical="center" wrapText="1"/>
    </xf>
    <xf numFmtId="0" fontId="58" fillId="20" borderId="124" xfId="16" applyFont="1" applyFill="1" applyBorder="1" applyAlignment="1">
      <alignment horizontal="center" vertical="center"/>
    </xf>
    <xf numFmtId="0" fontId="58" fillId="0" borderId="126" xfId="16" applyFont="1" applyBorder="1" applyAlignment="1">
      <alignment horizontal="center" vertical="center"/>
    </xf>
    <xf numFmtId="0" fontId="52" fillId="0" borderId="126" xfId="16" applyFont="1" applyBorder="1" applyAlignment="1">
      <alignment horizontal="center" vertical="center" wrapText="1"/>
    </xf>
    <xf numFmtId="0" fontId="52" fillId="0" borderId="107" xfId="16" applyFont="1" applyBorder="1" applyAlignment="1">
      <alignment horizontal="center" vertical="center"/>
    </xf>
    <xf numFmtId="0" fontId="52" fillId="20" borderId="124" xfId="16" applyFont="1" applyFill="1" applyBorder="1" applyAlignment="1">
      <alignment horizontal="center" vertical="center" wrapText="1"/>
    </xf>
    <xf numFmtId="0" fontId="58" fillId="20" borderId="124" xfId="16" applyFont="1" applyFill="1" applyBorder="1" applyAlignment="1">
      <alignment horizontal="center" vertical="center" wrapText="1"/>
    </xf>
    <xf numFmtId="0" fontId="60" fillId="0" borderId="152" xfId="16" applyFont="1" applyBorder="1" applyAlignment="1">
      <alignment horizontal="center" vertical="center"/>
    </xf>
    <xf numFmtId="0" fontId="36" fillId="0" borderId="0" xfId="16" applyFont="1" applyBorder="1" applyAlignment="1">
      <alignment vertical="center" wrapText="1"/>
    </xf>
    <xf numFmtId="0" fontId="36" fillId="19" borderId="160" xfId="16" applyFont="1" applyFill="1" applyBorder="1" applyAlignment="1">
      <alignment horizontal="center" vertical="center" wrapText="1"/>
    </xf>
    <xf numFmtId="0" fontId="36" fillId="19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58" fillId="20" borderId="130" xfId="16" applyFont="1" applyFill="1" applyBorder="1" applyAlignment="1">
      <alignment horizontal="center" vertical="center"/>
    </xf>
    <xf numFmtId="0" fontId="58" fillId="20" borderId="126" xfId="16" applyFont="1" applyFill="1" applyBorder="1" applyAlignment="1">
      <alignment horizontal="center" vertical="center"/>
    </xf>
    <xf numFmtId="0" fontId="59" fillId="0" borderId="130" xfId="16" applyFont="1" applyBorder="1" applyAlignment="1">
      <alignment horizontal="center" vertical="center"/>
    </xf>
    <xf numFmtId="0" fontId="61" fillId="0" borderId="132" xfId="16" applyFont="1" applyBorder="1"/>
    <xf numFmtId="0" fontId="26" fillId="8" borderId="76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0" fontId="26" fillId="8" borderId="189" xfId="0" applyFont="1" applyFill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103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103" xfId="0" applyFont="1" applyBorder="1" applyAlignment="1">
      <alignment horizontal="center" vertical="center"/>
    </xf>
    <xf numFmtId="176" fontId="37" fillId="16" borderId="106" xfId="7" applyNumberFormat="1" applyFont="1" applyFill="1" applyBorder="1" applyAlignment="1" applyProtection="1">
      <alignment horizontal="center" vertical="center" shrinkToFit="1"/>
    </xf>
    <xf numFmtId="176" fontId="38" fillId="9" borderId="93" xfId="7" applyNumberFormat="1" applyFont="1" applyFill="1" applyBorder="1" applyAlignment="1" applyProtection="1">
      <alignment horizontal="center" vertical="center" shrinkToFit="1"/>
    </xf>
    <xf numFmtId="0" fontId="13" fillId="0" borderId="54" xfId="0" applyFont="1" applyFill="1" applyBorder="1" applyAlignment="1" applyProtection="1">
      <alignment horizontal="center" vertical="center" shrinkToFit="1"/>
      <protection locked="0"/>
    </xf>
    <xf numFmtId="0" fontId="13" fillId="0" borderId="50" xfId="0" applyFont="1" applyFill="1" applyBorder="1" applyAlignment="1" applyProtection="1">
      <alignment horizontal="center" vertical="center" shrinkToFit="1"/>
      <protection locked="0"/>
    </xf>
    <xf numFmtId="0" fontId="13" fillId="10" borderId="33" xfId="6" applyFont="1" applyFill="1" applyBorder="1" applyAlignment="1" applyProtection="1">
      <alignment horizontal="center" vertical="center" wrapText="1"/>
    </xf>
    <xf numFmtId="0" fontId="22" fillId="0" borderId="42" xfId="4" applyFont="1" applyFill="1" applyBorder="1" applyAlignment="1" applyProtection="1">
      <alignment vertical="center" wrapText="1"/>
    </xf>
    <xf numFmtId="0" fontId="22" fillId="0" borderId="60" xfId="4" applyFont="1" applyFill="1" applyBorder="1" applyAlignment="1" applyProtection="1">
      <alignment horizontal="center" vertical="center" wrapText="1"/>
      <protection locked="0"/>
    </xf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F861730E-8F1C-43A8-B1FE-EB0D4ADA9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08200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6058F48B-70D6-4591-945C-7E1670625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66620" y="2247900"/>
          <a:ext cx="6494930" cy="110548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SaniTOX LINK 065fd7cf" TargetMode="External" /></Relationships>
</file>

<file path=xl/externalLinks/_rels/externalLink2.xml.rels><?xml version="1.0" encoding="UTF-8" standalone="yes"?>
<Relationships xmlns="http://schemas.openxmlformats.org/package/2006/relationships"><Relationship Id="rId1" Type="http://schemas.openxmlformats.org/officeDocument/2006/relationships/externalLinkPath" Target="SaniTOX LINK 7e76ac26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방법"/>
      <sheetName val="교육과정편제표 양식"/>
      <sheetName val="실무과목 능력단위"/>
      <sheetName val="삭제금지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방법"/>
      <sheetName val="2024학년도 입학생 교육과정 현황"/>
      <sheetName val="교육과정편제표(IT융합과)"/>
      <sheetName val="실무과목 능력단위(IT융합과)"/>
      <sheetName val="삭제금지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98E79-6F7D-4D6A-AA4F-73C0CA49F145}">
  <sheetPr>
    <pageSetUpPr fitToPage="1"/>
  </sheetPr>
  <dimension ref="B1:AD88"/>
  <sheetViews>
    <sheetView tabSelected="1" view="pageBreakPreview" zoomScale="85" zoomScaleNormal="100" zoomScaleSheetLayoutView="85" workbookViewId="0">
      <pane ySplit="8" topLeftCell="A37" activePane="bottomLeft" state="frozen"/>
      <selection pane="bottomLeft" activeCell="M42" sqref="M42:N42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8.75" style="4"/>
    <col min="27" max="27" width="16.375" style="4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499" t="s">
        <v>671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499"/>
      <c r="R2" s="499"/>
      <c r="S2" s="499"/>
      <c r="T2" s="499"/>
      <c r="U2" s="500"/>
      <c r="V2" s="501" t="s">
        <v>130</v>
      </c>
      <c r="W2" s="502"/>
      <c r="X2" s="503">
        <v>2027</v>
      </c>
      <c r="Y2" s="504"/>
      <c r="AA2" s="505" t="s">
        <v>143</v>
      </c>
      <c r="AB2" s="19" t="s">
        <v>144</v>
      </c>
      <c r="AC2" s="59" t="s">
        <v>150</v>
      </c>
      <c r="AD2" s="20" t="s">
        <v>145</v>
      </c>
    </row>
    <row r="3" spans="2:30" ht="17.25" thickBot="1">
      <c r="B3" s="508" t="s">
        <v>355</v>
      </c>
      <c r="C3" s="510" t="s">
        <v>53</v>
      </c>
      <c r="D3" s="511"/>
      <c r="E3" s="511"/>
      <c r="F3" s="510" t="s">
        <v>64</v>
      </c>
      <c r="G3" s="514"/>
      <c r="H3" s="510" t="s">
        <v>54</v>
      </c>
      <c r="I3" s="511"/>
      <c r="J3" s="511"/>
      <c r="K3" s="510" t="s">
        <v>55</v>
      </c>
      <c r="L3" s="511"/>
      <c r="M3" s="511"/>
      <c r="N3" s="511"/>
      <c r="O3" s="514"/>
      <c r="P3" s="488" t="s">
        <v>56</v>
      </c>
      <c r="Q3" s="489"/>
      <c r="R3" s="489"/>
      <c r="S3" s="489"/>
      <c r="T3" s="489"/>
      <c r="U3" s="489"/>
      <c r="V3" s="489"/>
      <c r="W3" s="489"/>
      <c r="X3" s="489"/>
      <c r="Y3" s="490"/>
      <c r="AA3" s="506"/>
      <c r="AB3" s="21" t="s">
        <v>146</v>
      </c>
      <c r="AC3" s="65" t="s">
        <v>517</v>
      </c>
      <c r="AD3" s="486" t="s">
        <v>518</v>
      </c>
    </row>
    <row r="4" spans="2:30" ht="17.25" thickBot="1">
      <c r="B4" s="509"/>
      <c r="C4" s="512"/>
      <c r="D4" s="513"/>
      <c r="E4" s="513"/>
      <c r="F4" s="512"/>
      <c r="G4" s="515"/>
      <c r="H4" s="512"/>
      <c r="I4" s="513"/>
      <c r="J4" s="513"/>
      <c r="K4" s="512"/>
      <c r="L4" s="513"/>
      <c r="M4" s="513"/>
      <c r="N4" s="513"/>
      <c r="O4" s="515"/>
      <c r="P4" s="488" t="s">
        <v>127</v>
      </c>
      <c r="Q4" s="489"/>
      <c r="R4" s="489"/>
      <c r="S4" s="489"/>
      <c r="T4" s="488" t="s">
        <v>61</v>
      </c>
      <c r="U4" s="489"/>
      <c r="V4" s="490"/>
      <c r="W4" s="489" t="s">
        <v>128</v>
      </c>
      <c r="X4" s="489"/>
      <c r="Y4" s="490"/>
      <c r="AA4" s="506"/>
      <c r="AB4" s="23" t="s">
        <v>147</v>
      </c>
      <c r="AC4" s="66" t="s">
        <v>658</v>
      </c>
      <c r="AD4" s="487"/>
    </row>
    <row r="5" spans="2:30" ht="26.25" customHeight="1" thickBot="1">
      <c r="B5" s="98" t="s">
        <v>506</v>
      </c>
      <c r="C5" s="491" t="s">
        <v>659</v>
      </c>
      <c r="D5" s="492"/>
      <c r="E5" s="493"/>
      <c r="F5" s="491" t="s">
        <v>507</v>
      </c>
      <c r="G5" s="494"/>
      <c r="H5" s="495" t="s">
        <v>508</v>
      </c>
      <c r="I5" s="492"/>
      <c r="J5" s="493"/>
      <c r="K5" s="491" t="s">
        <v>509</v>
      </c>
      <c r="L5" s="492"/>
      <c r="M5" s="492"/>
      <c r="N5" s="492"/>
      <c r="O5" s="494"/>
      <c r="P5" s="495" t="s">
        <v>510</v>
      </c>
      <c r="Q5" s="492"/>
      <c r="R5" s="492"/>
      <c r="S5" s="493"/>
      <c r="T5" s="491" t="s">
        <v>34</v>
      </c>
      <c r="U5" s="492"/>
      <c r="V5" s="493"/>
      <c r="W5" s="496" t="s">
        <v>511</v>
      </c>
      <c r="X5" s="497"/>
      <c r="Y5" s="498"/>
      <c r="AA5" s="507"/>
      <c r="AB5" s="24"/>
      <c r="AC5" s="67"/>
      <c r="AD5" s="183"/>
    </row>
    <row r="6" spans="2:30" ht="15.75" customHeight="1" thickBot="1">
      <c r="U6" s="459"/>
      <c r="V6" s="459"/>
      <c r="W6" s="459"/>
      <c r="X6" s="459"/>
      <c r="Y6" s="459"/>
    </row>
    <row r="7" spans="2:30" s="10" customFormat="1" ht="22.5" customHeight="1">
      <c r="B7" s="460" t="s">
        <v>2</v>
      </c>
      <c r="C7" s="461"/>
      <c r="D7" s="464" t="s">
        <v>120</v>
      </c>
      <c r="E7" s="466" t="s">
        <v>57</v>
      </c>
      <c r="F7" s="467"/>
      <c r="G7" s="468"/>
      <c r="H7" s="469" t="s">
        <v>133</v>
      </c>
      <c r="I7" s="471" t="s">
        <v>134</v>
      </c>
      <c r="J7" s="473" t="s">
        <v>135</v>
      </c>
      <c r="K7" s="475" t="s">
        <v>58</v>
      </c>
      <c r="L7" s="471"/>
      <c r="M7" s="471"/>
      <c r="N7" s="476"/>
      <c r="O7" s="477" t="s">
        <v>59</v>
      </c>
      <c r="P7" s="471"/>
      <c r="Q7" s="471"/>
      <c r="R7" s="476"/>
      <c r="S7" s="475" t="s">
        <v>60</v>
      </c>
      <c r="T7" s="471"/>
      <c r="U7" s="471"/>
      <c r="V7" s="478"/>
      <c r="W7" s="469" t="s">
        <v>136</v>
      </c>
      <c r="X7" s="473"/>
      <c r="Y7" s="468" t="s">
        <v>137</v>
      </c>
      <c r="Z7" s="9"/>
    </row>
    <row r="8" spans="2:30" s="10" customFormat="1" ht="22.5" customHeight="1" thickBot="1">
      <c r="B8" s="462"/>
      <c r="C8" s="463"/>
      <c r="D8" s="465"/>
      <c r="E8" s="25" t="s">
        <v>18</v>
      </c>
      <c r="F8" s="480" t="s">
        <v>19</v>
      </c>
      <c r="G8" s="481"/>
      <c r="H8" s="470"/>
      <c r="I8" s="472"/>
      <c r="J8" s="474"/>
      <c r="K8" s="482" t="s">
        <v>0</v>
      </c>
      <c r="L8" s="472"/>
      <c r="M8" s="472" t="s">
        <v>62</v>
      </c>
      <c r="N8" s="483"/>
      <c r="O8" s="484" t="s">
        <v>0</v>
      </c>
      <c r="P8" s="472"/>
      <c r="Q8" s="472" t="s">
        <v>62</v>
      </c>
      <c r="R8" s="483"/>
      <c r="S8" s="482" t="s">
        <v>0</v>
      </c>
      <c r="T8" s="472"/>
      <c r="U8" s="472" t="s">
        <v>62</v>
      </c>
      <c r="V8" s="485"/>
      <c r="W8" s="470"/>
      <c r="X8" s="474"/>
      <c r="Y8" s="479"/>
      <c r="AA8" s="452" t="s">
        <v>495</v>
      </c>
      <c r="AB8" s="452"/>
      <c r="AC8" s="452"/>
      <c r="AD8" s="452"/>
    </row>
    <row r="9" spans="2:30" ht="16.5" customHeight="1">
      <c r="B9" s="453" t="s">
        <v>335</v>
      </c>
      <c r="C9" s="454"/>
      <c r="D9" s="253" t="s">
        <v>21</v>
      </c>
      <c r="E9" s="68" t="s">
        <v>12</v>
      </c>
      <c r="F9" s="304" t="s">
        <v>199</v>
      </c>
      <c r="G9" s="288"/>
      <c r="H9" s="69">
        <v>4</v>
      </c>
      <c r="I9" s="70" t="s">
        <v>336</v>
      </c>
      <c r="J9" s="71">
        <v>3</v>
      </c>
      <c r="K9" s="304">
        <v>3</v>
      </c>
      <c r="L9" s="286"/>
      <c r="M9" s="287"/>
      <c r="N9" s="305"/>
      <c r="O9" s="285"/>
      <c r="P9" s="286"/>
      <c r="Q9" s="287"/>
      <c r="R9" s="305"/>
      <c r="S9" s="285"/>
      <c r="T9" s="286"/>
      <c r="U9" s="287"/>
      <c r="V9" s="288"/>
      <c r="W9" s="72">
        <f>SUM(K9:V9)</f>
        <v>3</v>
      </c>
      <c r="X9" s="431">
        <f>SUM(W9:W11)</f>
        <v>10</v>
      </c>
      <c r="Y9" s="291">
        <v>24</v>
      </c>
      <c r="AA9" s="159" t="s">
        <v>18</v>
      </c>
      <c r="AB9" s="160" t="s">
        <v>501</v>
      </c>
      <c r="AC9" s="160" t="s">
        <v>502</v>
      </c>
      <c r="AD9" s="161" t="s">
        <v>503</v>
      </c>
    </row>
    <row r="10" spans="2:30">
      <c r="B10" s="455"/>
      <c r="C10" s="456"/>
      <c r="D10" s="416"/>
      <c r="E10" s="73" t="s">
        <v>12</v>
      </c>
      <c r="F10" s="297" t="s">
        <v>200</v>
      </c>
      <c r="G10" s="284"/>
      <c r="H10" s="74">
        <v>4</v>
      </c>
      <c r="I10" s="75" t="s">
        <v>336</v>
      </c>
      <c r="J10" s="76">
        <v>3</v>
      </c>
      <c r="K10" s="297"/>
      <c r="L10" s="298"/>
      <c r="M10" s="283">
        <v>3</v>
      </c>
      <c r="N10" s="299"/>
      <c r="O10" s="300"/>
      <c r="P10" s="298"/>
      <c r="Q10" s="283"/>
      <c r="R10" s="299"/>
      <c r="S10" s="300"/>
      <c r="T10" s="298"/>
      <c r="U10" s="283"/>
      <c r="V10" s="284"/>
      <c r="W10" s="77">
        <f t="shared" ref="W10:W23" si="0">SUM(K10:V10)</f>
        <v>3</v>
      </c>
      <c r="X10" s="449"/>
      <c r="Y10" s="292"/>
      <c r="AA10" s="162" t="s">
        <v>496</v>
      </c>
      <c r="AB10" s="163">
        <v>4</v>
      </c>
      <c r="AC10" s="163">
        <v>-1</v>
      </c>
      <c r="AD10" s="22" t="s">
        <v>336</v>
      </c>
    </row>
    <row r="11" spans="2:30" ht="17.25" thickBot="1">
      <c r="B11" s="455"/>
      <c r="C11" s="456"/>
      <c r="D11" s="254"/>
      <c r="E11" s="78" t="s">
        <v>341</v>
      </c>
      <c r="F11" s="418" t="s">
        <v>203</v>
      </c>
      <c r="G11" s="419"/>
      <c r="H11" s="79">
        <v>4</v>
      </c>
      <c r="I11" s="80" t="s">
        <v>338</v>
      </c>
      <c r="J11" s="81">
        <v>4</v>
      </c>
      <c r="K11" s="418"/>
      <c r="L11" s="424"/>
      <c r="M11" s="425"/>
      <c r="N11" s="422"/>
      <c r="O11" s="423"/>
      <c r="P11" s="424"/>
      <c r="Q11" s="425"/>
      <c r="R11" s="422"/>
      <c r="S11" s="423">
        <v>4</v>
      </c>
      <c r="T11" s="424"/>
      <c r="U11" s="425"/>
      <c r="V11" s="419"/>
      <c r="W11" s="77">
        <f t="shared" si="0"/>
        <v>4</v>
      </c>
      <c r="X11" s="449"/>
      <c r="Y11" s="292"/>
      <c r="AA11" s="162" t="s">
        <v>497</v>
      </c>
      <c r="AB11" s="163">
        <v>3</v>
      </c>
      <c r="AC11" s="163"/>
      <c r="AD11" s="22">
        <v>3</v>
      </c>
    </row>
    <row r="12" spans="2:30">
      <c r="B12" s="455"/>
      <c r="C12" s="456"/>
      <c r="D12" s="253" t="s">
        <v>5</v>
      </c>
      <c r="E12" s="68" t="s">
        <v>12</v>
      </c>
      <c r="F12" s="304" t="s">
        <v>211</v>
      </c>
      <c r="G12" s="288"/>
      <c r="H12" s="69">
        <v>4</v>
      </c>
      <c r="I12" s="70" t="s">
        <v>336</v>
      </c>
      <c r="J12" s="71">
        <v>3</v>
      </c>
      <c r="K12" s="304">
        <v>3</v>
      </c>
      <c r="L12" s="286"/>
      <c r="M12" s="287"/>
      <c r="N12" s="305"/>
      <c r="O12" s="285"/>
      <c r="P12" s="286"/>
      <c r="Q12" s="287"/>
      <c r="R12" s="305"/>
      <c r="S12" s="285"/>
      <c r="T12" s="286"/>
      <c r="U12" s="287"/>
      <c r="V12" s="288"/>
      <c r="W12" s="72">
        <f t="shared" si="0"/>
        <v>3</v>
      </c>
      <c r="X12" s="431">
        <f>SUM(W12:W13)</f>
        <v>6</v>
      </c>
      <c r="Y12" s="292"/>
      <c r="AA12" s="162" t="s">
        <v>498</v>
      </c>
      <c r="AB12" s="163">
        <v>4</v>
      </c>
      <c r="AC12" s="163" t="s">
        <v>504</v>
      </c>
      <c r="AD12" s="22" t="s">
        <v>338</v>
      </c>
    </row>
    <row r="13" spans="2:30" ht="17.45" customHeight="1" thickBot="1">
      <c r="B13" s="455"/>
      <c r="C13" s="456"/>
      <c r="D13" s="254"/>
      <c r="E13" s="73" t="s">
        <v>12</v>
      </c>
      <c r="F13" s="297" t="s">
        <v>213</v>
      </c>
      <c r="G13" s="284"/>
      <c r="H13" s="74">
        <v>4</v>
      </c>
      <c r="I13" s="75" t="s">
        <v>336</v>
      </c>
      <c r="J13" s="76">
        <v>3</v>
      </c>
      <c r="K13" s="297"/>
      <c r="L13" s="298"/>
      <c r="M13" s="283">
        <v>3</v>
      </c>
      <c r="N13" s="299"/>
      <c r="O13" s="300"/>
      <c r="P13" s="298"/>
      <c r="Q13" s="283"/>
      <c r="R13" s="299"/>
      <c r="S13" s="300"/>
      <c r="T13" s="298"/>
      <c r="U13" s="283"/>
      <c r="V13" s="284"/>
      <c r="W13" s="77">
        <f t="shared" si="0"/>
        <v>3</v>
      </c>
      <c r="X13" s="432"/>
      <c r="Y13" s="292"/>
      <c r="AA13" s="162" t="s">
        <v>499</v>
      </c>
      <c r="AB13" s="163">
        <v>3</v>
      </c>
      <c r="AC13" s="163" t="s">
        <v>504</v>
      </c>
      <c r="AD13" s="22" t="s">
        <v>343</v>
      </c>
    </row>
    <row r="14" spans="2:30" ht="17.25" thickBot="1">
      <c r="B14" s="455"/>
      <c r="C14" s="456"/>
      <c r="D14" s="253" t="s">
        <v>6</v>
      </c>
      <c r="E14" s="68" t="s">
        <v>12</v>
      </c>
      <c r="F14" s="304" t="s">
        <v>218</v>
      </c>
      <c r="G14" s="288"/>
      <c r="H14" s="69">
        <v>4</v>
      </c>
      <c r="I14" s="70" t="s">
        <v>336</v>
      </c>
      <c r="J14" s="71">
        <v>3</v>
      </c>
      <c r="K14" s="304">
        <v>3</v>
      </c>
      <c r="L14" s="286"/>
      <c r="M14" s="287"/>
      <c r="N14" s="305"/>
      <c r="O14" s="285"/>
      <c r="P14" s="286"/>
      <c r="Q14" s="287"/>
      <c r="R14" s="305"/>
      <c r="S14" s="285"/>
      <c r="T14" s="286"/>
      <c r="U14" s="414"/>
      <c r="V14" s="415"/>
      <c r="W14" s="72">
        <f t="shared" si="0"/>
        <v>3</v>
      </c>
      <c r="X14" s="431">
        <f>SUM(W14:W17)</f>
        <v>13</v>
      </c>
      <c r="Y14" s="292"/>
      <c r="AA14" s="164" t="s">
        <v>500</v>
      </c>
      <c r="AB14" s="450" t="s">
        <v>672</v>
      </c>
      <c r="AC14" s="450"/>
      <c r="AD14" s="451"/>
    </row>
    <row r="15" spans="2:30">
      <c r="B15" s="455"/>
      <c r="C15" s="456"/>
      <c r="D15" s="416"/>
      <c r="E15" s="73" t="s">
        <v>12</v>
      </c>
      <c r="F15" s="297" t="s">
        <v>224</v>
      </c>
      <c r="G15" s="284"/>
      <c r="H15" s="74">
        <v>4</v>
      </c>
      <c r="I15" s="75" t="s">
        <v>336</v>
      </c>
      <c r="J15" s="76">
        <v>3</v>
      </c>
      <c r="K15" s="297"/>
      <c r="L15" s="298"/>
      <c r="M15" s="283">
        <v>3</v>
      </c>
      <c r="N15" s="299"/>
      <c r="O15" s="300"/>
      <c r="P15" s="298"/>
      <c r="Q15" s="283"/>
      <c r="R15" s="299"/>
      <c r="S15" s="300"/>
      <c r="T15" s="298"/>
      <c r="U15" s="377"/>
      <c r="V15" s="384"/>
      <c r="W15" s="77">
        <f t="shared" si="0"/>
        <v>3</v>
      </c>
      <c r="X15" s="449"/>
      <c r="Y15" s="292"/>
    </row>
    <row r="16" spans="2:30">
      <c r="B16" s="455"/>
      <c r="C16" s="456"/>
      <c r="D16" s="416"/>
      <c r="E16" s="166" t="s">
        <v>341</v>
      </c>
      <c r="F16" s="297" t="s">
        <v>512</v>
      </c>
      <c r="G16" s="284"/>
      <c r="H16" s="165">
        <v>4</v>
      </c>
      <c r="I16" s="170" t="s">
        <v>338</v>
      </c>
      <c r="J16" s="171">
        <v>4</v>
      </c>
      <c r="K16" s="297"/>
      <c r="L16" s="298"/>
      <c r="M16" s="283"/>
      <c r="N16" s="299"/>
      <c r="O16" s="300"/>
      <c r="P16" s="298"/>
      <c r="Q16" s="283"/>
      <c r="R16" s="299"/>
      <c r="S16" s="300">
        <v>4</v>
      </c>
      <c r="T16" s="298"/>
      <c r="U16" s="377"/>
      <c r="V16" s="384"/>
      <c r="W16" s="77">
        <v>4</v>
      </c>
      <c r="X16" s="449"/>
      <c r="Y16" s="292"/>
    </row>
    <row r="17" spans="2:29" ht="17.25" thickBot="1">
      <c r="B17" s="455"/>
      <c r="C17" s="456"/>
      <c r="D17" s="254"/>
      <c r="E17" s="82" t="s">
        <v>341</v>
      </c>
      <c r="F17" s="418" t="s">
        <v>39</v>
      </c>
      <c r="G17" s="419"/>
      <c r="H17" s="79">
        <v>4</v>
      </c>
      <c r="I17" s="80" t="s">
        <v>338</v>
      </c>
      <c r="J17" s="81">
        <v>3</v>
      </c>
      <c r="K17" s="418"/>
      <c r="L17" s="424"/>
      <c r="M17" s="425"/>
      <c r="N17" s="422"/>
      <c r="O17" s="423"/>
      <c r="P17" s="424"/>
      <c r="Q17" s="425">
        <v>3</v>
      </c>
      <c r="R17" s="422"/>
      <c r="S17" s="423"/>
      <c r="T17" s="424"/>
      <c r="U17" s="426"/>
      <c r="V17" s="427"/>
      <c r="W17" s="77">
        <f t="shared" si="0"/>
        <v>3</v>
      </c>
      <c r="X17" s="432"/>
      <c r="Y17" s="320"/>
    </row>
    <row r="18" spans="2:29" ht="17.25" thickBot="1">
      <c r="B18" s="455"/>
      <c r="C18" s="456"/>
      <c r="D18" s="253" t="s">
        <v>339</v>
      </c>
      <c r="E18" s="68" t="s">
        <v>12</v>
      </c>
      <c r="F18" s="304" t="s">
        <v>232</v>
      </c>
      <c r="G18" s="288"/>
      <c r="H18" s="69">
        <v>3</v>
      </c>
      <c r="I18" s="83" t="s">
        <v>340</v>
      </c>
      <c r="J18" s="71">
        <v>3</v>
      </c>
      <c r="K18" s="439"/>
      <c r="L18" s="440"/>
      <c r="M18" s="441"/>
      <c r="N18" s="442"/>
      <c r="O18" s="443">
        <v>3</v>
      </c>
      <c r="P18" s="444"/>
      <c r="Q18" s="445"/>
      <c r="R18" s="446"/>
      <c r="S18" s="447"/>
      <c r="T18" s="440"/>
      <c r="U18" s="441"/>
      <c r="V18" s="448"/>
      <c r="W18" s="72">
        <f t="shared" si="0"/>
        <v>3</v>
      </c>
      <c r="X18" s="431">
        <f>SUM(W18:W19)</f>
        <v>6</v>
      </c>
      <c r="Y18" s="417">
        <v>6</v>
      </c>
    </row>
    <row r="19" spans="2:29" ht="17.25" thickBot="1">
      <c r="B19" s="455"/>
      <c r="C19" s="456"/>
      <c r="D19" s="416"/>
      <c r="E19" s="84" t="s">
        <v>12</v>
      </c>
      <c r="F19" s="435" t="s">
        <v>233</v>
      </c>
      <c r="G19" s="436"/>
      <c r="H19" s="85">
        <v>3</v>
      </c>
      <c r="I19" s="86" t="s">
        <v>340</v>
      </c>
      <c r="J19" s="173">
        <v>3</v>
      </c>
      <c r="K19" s="437"/>
      <c r="L19" s="434"/>
      <c r="M19" s="426"/>
      <c r="N19" s="438"/>
      <c r="O19" s="423"/>
      <c r="P19" s="424"/>
      <c r="Q19" s="425">
        <v>3</v>
      </c>
      <c r="R19" s="422"/>
      <c r="S19" s="433"/>
      <c r="T19" s="434"/>
      <c r="U19" s="426"/>
      <c r="V19" s="427"/>
      <c r="W19" s="87">
        <f t="shared" si="0"/>
        <v>3</v>
      </c>
      <c r="X19" s="432"/>
      <c r="Y19" s="417"/>
      <c r="AA19" s="255"/>
      <c r="AB19" s="255"/>
      <c r="AC19" s="174"/>
    </row>
    <row r="20" spans="2:29">
      <c r="B20" s="455"/>
      <c r="C20" s="456"/>
      <c r="D20" s="416"/>
      <c r="E20" s="68" t="s">
        <v>12</v>
      </c>
      <c r="F20" s="304" t="s">
        <v>235</v>
      </c>
      <c r="G20" s="288"/>
      <c r="H20" s="69">
        <v>4</v>
      </c>
      <c r="I20" s="83" t="s">
        <v>336</v>
      </c>
      <c r="J20" s="71">
        <v>3</v>
      </c>
      <c r="K20" s="304">
        <v>3</v>
      </c>
      <c r="L20" s="286"/>
      <c r="M20" s="287"/>
      <c r="N20" s="305"/>
      <c r="O20" s="285"/>
      <c r="P20" s="286"/>
      <c r="Q20" s="287"/>
      <c r="R20" s="305"/>
      <c r="S20" s="412"/>
      <c r="T20" s="413"/>
      <c r="U20" s="414"/>
      <c r="V20" s="415"/>
      <c r="W20" s="72">
        <f t="shared" si="0"/>
        <v>3</v>
      </c>
      <c r="X20" s="431">
        <f>SUM(W20:W21)</f>
        <v>6</v>
      </c>
      <c r="Y20" s="291">
        <v>12</v>
      </c>
    </row>
    <row r="21" spans="2:29" ht="17.25" thickBot="1">
      <c r="B21" s="455"/>
      <c r="C21" s="456"/>
      <c r="D21" s="254"/>
      <c r="E21" s="82" t="s">
        <v>12</v>
      </c>
      <c r="F21" s="418" t="s">
        <v>236</v>
      </c>
      <c r="G21" s="419"/>
      <c r="H21" s="79">
        <v>4</v>
      </c>
      <c r="I21" s="80" t="s">
        <v>336</v>
      </c>
      <c r="J21" s="81">
        <v>3</v>
      </c>
      <c r="K21" s="418"/>
      <c r="L21" s="424"/>
      <c r="M21" s="425">
        <v>3</v>
      </c>
      <c r="N21" s="422"/>
      <c r="O21" s="423"/>
      <c r="P21" s="424"/>
      <c r="Q21" s="425"/>
      <c r="R21" s="422"/>
      <c r="S21" s="433"/>
      <c r="T21" s="434"/>
      <c r="U21" s="426"/>
      <c r="V21" s="427"/>
      <c r="W21" s="87">
        <f t="shared" si="0"/>
        <v>3</v>
      </c>
      <c r="X21" s="432"/>
      <c r="Y21" s="292"/>
    </row>
    <row r="22" spans="2:29">
      <c r="B22" s="455"/>
      <c r="C22" s="456"/>
      <c r="D22" s="253" t="s">
        <v>26</v>
      </c>
      <c r="E22" s="68" t="s">
        <v>12</v>
      </c>
      <c r="F22" s="304" t="s">
        <v>253</v>
      </c>
      <c r="G22" s="288"/>
      <c r="H22" s="69">
        <v>4</v>
      </c>
      <c r="I22" s="83" t="s">
        <v>336</v>
      </c>
      <c r="J22" s="71">
        <v>3</v>
      </c>
      <c r="K22" s="304"/>
      <c r="L22" s="286"/>
      <c r="M22" s="287"/>
      <c r="N22" s="305"/>
      <c r="O22" s="285">
        <v>3</v>
      </c>
      <c r="P22" s="286"/>
      <c r="Q22" s="287"/>
      <c r="R22" s="305"/>
      <c r="S22" s="412"/>
      <c r="T22" s="413"/>
      <c r="U22" s="414"/>
      <c r="V22" s="415"/>
      <c r="W22" s="72">
        <f t="shared" si="0"/>
        <v>3</v>
      </c>
      <c r="X22" s="431">
        <f>SUM(W22:W23)</f>
        <v>6</v>
      </c>
      <c r="Y22" s="292"/>
    </row>
    <row r="23" spans="2:29" ht="17.25" thickBot="1">
      <c r="B23" s="455"/>
      <c r="C23" s="456"/>
      <c r="D23" s="254"/>
      <c r="E23" s="73" t="s">
        <v>12</v>
      </c>
      <c r="F23" s="297" t="s">
        <v>254</v>
      </c>
      <c r="G23" s="284"/>
      <c r="H23" s="74">
        <v>4</v>
      </c>
      <c r="I23" s="75" t="s">
        <v>336</v>
      </c>
      <c r="J23" s="76">
        <v>3</v>
      </c>
      <c r="K23" s="297"/>
      <c r="L23" s="298"/>
      <c r="M23" s="283"/>
      <c r="N23" s="299"/>
      <c r="O23" s="300"/>
      <c r="P23" s="298"/>
      <c r="Q23" s="283">
        <v>3</v>
      </c>
      <c r="R23" s="299"/>
      <c r="S23" s="385"/>
      <c r="T23" s="386"/>
      <c r="U23" s="377"/>
      <c r="V23" s="384"/>
      <c r="W23" s="77">
        <f t="shared" si="0"/>
        <v>3</v>
      </c>
      <c r="X23" s="432"/>
      <c r="Y23" s="320"/>
    </row>
    <row r="24" spans="2:29" ht="17.25" thickBot="1">
      <c r="B24" s="455"/>
      <c r="C24" s="456"/>
      <c r="D24" s="253" t="s">
        <v>8</v>
      </c>
      <c r="E24" s="68" t="s">
        <v>341</v>
      </c>
      <c r="F24" s="304" t="s">
        <v>342</v>
      </c>
      <c r="G24" s="288"/>
      <c r="H24" s="69">
        <v>3</v>
      </c>
      <c r="I24" s="83" t="s">
        <v>343</v>
      </c>
      <c r="J24" s="71">
        <f t="shared" ref="J24:J25" si="1">SUM(K24:V24)</f>
        <v>2</v>
      </c>
      <c r="K24" s="304">
        <v>2</v>
      </c>
      <c r="L24" s="286"/>
      <c r="M24" s="287"/>
      <c r="N24" s="305"/>
      <c r="O24" s="285"/>
      <c r="P24" s="286"/>
      <c r="Q24" s="287"/>
      <c r="R24" s="305"/>
      <c r="S24" s="285"/>
      <c r="T24" s="286"/>
      <c r="U24" s="414"/>
      <c r="V24" s="415"/>
      <c r="W24" s="72">
        <f>SUM(K24:V24)</f>
        <v>2</v>
      </c>
      <c r="X24" s="428">
        <f>SUM(W24:W28)</f>
        <v>8</v>
      </c>
      <c r="Y24" s="417">
        <v>8</v>
      </c>
    </row>
    <row r="25" spans="2:29" ht="16.5" customHeight="1" thickBot="1">
      <c r="B25" s="455"/>
      <c r="C25" s="456"/>
      <c r="D25" s="416"/>
      <c r="E25" s="73" t="s">
        <v>341</v>
      </c>
      <c r="F25" s="297" t="s">
        <v>344</v>
      </c>
      <c r="G25" s="284"/>
      <c r="H25" s="74">
        <v>3</v>
      </c>
      <c r="I25" s="75" t="s">
        <v>343</v>
      </c>
      <c r="J25" s="76">
        <f t="shared" si="1"/>
        <v>2</v>
      </c>
      <c r="K25" s="297"/>
      <c r="L25" s="298"/>
      <c r="M25" s="283">
        <v>2</v>
      </c>
      <c r="N25" s="299"/>
      <c r="O25" s="300"/>
      <c r="P25" s="298"/>
      <c r="Q25" s="283"/>
      <c r="R25" s="299"/>
      <c r="S25" s="300"/>
      <c r="T25" s="298"/>
      <c r="U25" s="377"/>
      <c r="V25" s="384"/>
      <c r="W25" s="77">
        <f t="shared" ref="W25:W28" si="2">SUM(K25:V25)</f>
        <v>2</v>
      </c>
      <c r="X25" s="429"/>
      <c r="Y25" s="417"/>
    </row>
    <row r="26" spans="2:29" ht="17.25" thickBot="1">
      <c r="B26" s="455"/>
      <c r="C26" s="456"/>
      <c r="D26" s="416"/>
      <c r="E26" s="73" t="s">
        <v>337</v>
      </c>
      <c r="F26" s="297" t="s">
        <v>363</v>
      </c>
      <c r="G26" s="284"/>
      <c r="H26" s="74">
        <v>2</v>
      </c>
      <c r="I26" s="75" t="s">
        <v>345</v>
      </c>
      <c r="J26" s="76">
        <v>1</v>
      </c>
      <c r="K26" s="297"/>
      <c r="L26" s="298"/>
      <c r="M26" s="283"/>
      <c r="N26" s="299"/>
      <c r="O26" s="300">
        <v>1</v>
      </c>
      <c r="P26" s="298"/>
      <c r="Q26" s="283"/>
      <c r="R26" s="299"/>
      <c r="S26" s="300"/>
      <c r="T26" s="298"/>
      <c r="U26" s="377"/>
      <c r="V26" s="384"/>
      <c r="W26" s="77">
        <f t="shared" si="2"/>
        <v>1</v>
      </c>
      <c r="X26" s="429"/>
      <c r="Y26" s="417"/>
    </row>
    <row r="27" spans="2:29" ht="17.25" thickBot="1">
      <c r="B27" s="455"/>
      <c r="C27" s="456"/>
      <c r="D27" s="416"/>
      <c r="E27" s="73" t="s">
        <v>337</v>
      </c>
      <c r="F27" s="297" t="s">
        <v>513</v>
      </c>
      <c r="G27" s="284"/>
      <c r="H27" s="74">
        <v>2</v>
      </c>
      <c r="I27" s="170" t="s">
        <v>345</v>
      </c>
      <c r="J27" s="76">
        <v>1</v>
      </c>
      <c r="K27" s="297"/>
      <c r="L27" s="298"/>
      <c r="M27" s="283"/>
      <c r="N27" s="299"/>
      <c r="O27" s="300"/>
      <c r="P27" s="298"/>
      <c r="Q27" s="283">
        <v>1</v>
      </c>
      <c r="R27" s="299"/>
      <c r="S27" s="300"/>
      <c r="T27" s="298"/>
      <c r="U27" s="377"/>
      <c r="V27" s="384"/>
      <c r="W27" s="77">
        <f t="shared" si="2"/>
        <v>1</v>
      </c>
      <c r="X27" s="429"/>
      <c r="Y27" s="417"/>
    </row>
    <row r="28" spans="2:29" ht="17.25" thickBot="1">
      <c r="B28" s="455"/>
      <c r="C28" s="456"/>
      <c r="D28" s="254"/>
      <c r="E28" s="82" t="s">
        <v>337</v>
      </c>
      <c r="F28" s="418" t="s">
        <v>514</v>
      </c>
      <c r="G28" s="419"/>
      <c r="H28" s="178">
        <v>3</v>
      </c>
      <c r="I28" s="80" t="s">
        <v>343</v>
      </c>
      <c r="J28" s="176">
        <v>2</v>
      </c>
      <c r="K28" s="418"/>
      <c r="L28" s="420"/>
      <c r="M28" s="421"/>
      <c r="N28" s="422"/>
      <c r="O28" s="423"/>
      <c r="P28" s="424"/>
      <c r="Q28" s="425"/>
      <c r="R28" s="422"/>
      <c r="S28" s="423">
        <v>2</v>
      </c>
      <c r="T28" s="424"/>
      <c r="U28" s="426"/>
      <c r="V28" s="427"/>
      <c r="W28" s="87">
        <f t="shared" si="2"/>
        <v>2</v>
      </c>
      <c r="X28" s="430"/>
      <c r="Y28" s="417"/>
    </row>
    <row r="29" spans="2:29" ht="17.25" thickBot="1">
      <c r="B29" s="455"/>
      <c r="C29" s="456"/>
      <c r="D29" s="253" t="s">
        <v>28</v>
      </c>
      <c r="E29" s="68" t="s">
        <v>341</v>
      </c>
      <c r="F29" s="304" t="s">
        <v>47</v>
      </c>
      <c r="G29" s="288"/>
      <c r="H29" s="69">
        <v>3</v>
      </c>
      <c r="I29" s="88" t="s">
        <v>343</v>
      </c>
      <c r="J29" s="71">
        <v>3</v>
      </c>
      <c r="K29" s="304"/>
      <c r="L29" s="286"/>
      <c r="M29" s="287"/>
      <c r="N29" s="305"/>
      <c r="O29" s="285">
        <v>3</v>
      </c>
      <c r="P29" s="286"/>
      <c r="Q29" s="287"/>
      <c r="R29" s="305"/>
      <c r="S29" s="285"/>
      <c r="T29" s="286"/>
      <c r="U29" s="414"/>
      <c r="V29" s="415"/>
      <c r="W29" s="335">
        <f>SUM(K29:V30)</f>
        <v>6</v>
      </c>
      <c r="X29" s="336"/>
      <c r="Y29" s="417">
        <v>6</v>
      </c>
    </row>
    <row r="30" spans="2:29" ht="17.25" thickBot="1">
      <c r="B30" s="455"/>
      <c r="C30" s="456"/>
      <c r="D30" s="416"/>
      <c r="E30" s="78" t="s">
        <v>674</v>
      </c>
      <c r="F30" s="297" t="s">
        <v>281</v>
      </c>
      <c r="G30" s="284"/>
      <c r="H30" s="74">
        <v>3</v>
      </c>
      <c r="I30" s="75" t="s">
        <v>343</v>
      </c>
      <c r="J30" s="76">
        <v>3</v>
      </c>
      <c r="K30" s="297"/>
      <c r="L30" s="298"/>
      <c r="M30" s="283"/>
      <c r="N30" s="299"/>
      <c r="O30" s="300"/>
      <c r="P30" s="298"/>
      <c r="Q30" s="283">
        <v>3</v>
      </c>
      <c r="R30" s="299"/>
      <c r="S30" s="300"/>
      <c r="T30" s="298"/>
      <c r="U30" s="377"/>
      <c r="V30" s="384"/>
      <c r="W30" s="337"/>
      <c r="X30" s="338"/>
      <c r="Y30" s="417"/>
    </row>
    <row r="31" spans="2:29" ht="17.45" customHeight="1">
      <c r="B31" s="455"/>
      <c r="C31" s="456"/>
      <c r="D31" s="410" t="s">
        <v>346</v>
      </c>
      <c r="E31" s="68" t="s">
        <v>341</v>
      </c>
      <c r="F31" s="304" t="s">
        <v>298</v>
      </c>
      <c r="G31" s="288"/>
      <c r="H31" s="69">
        <v>4</v>
      </c>
      <c r="I31" s="83" t="s">
        <v>338</v>
      </c>
      <c r="J31" s="71">
        <v>4</v>
      </c>
      <c r="K31" s="304"/>
      <c r="L31" s="286"/>
      <c r="M31" s="287"/>
      <c r="N31" s="305"/>
      <c r="O31" s="285"/>
      <c r="P31" s="286"/>
      <c r="Q31" s="287">
        <v>4</v>
      </c>
      <c r="R31" s="305"/>
      <c r="S31" s="412"/>
      <c r="T31" s="413"/>
      <c r="U31" s="414"/>
      <c r="V31" s="415"/>
      <c r="W31" s="335">
        <f>SUM(K31:V32)</f>
        <v>9</v>
      </c>
      <c r="X31" s="336"/>
      <c r="Y31" s="291">
        <v>8</v>
      </c>
    </row>
    <row r="32" spans="2:29" ht="16.5" customHeight="1" thickBot="1">
      <c r="B32" s="457"/>
      <c r="C32" s="458"/>
      <c r="D32" s="411"/>
      <c r="E32" s="78" t="s">
        <v>515</v>
      </c>
      <c r="F32" s="297" t="s">
        <v>516</v>
      </c>
      <c r="G32" s="284"/>
      <c r="H32" s="74">
        <v>4</v>
      </c>
      <c r="I32" s="172" t="s">
        <v>338</v>
      </c>
      <c r="J32" s="76">
        <v>5</v>
      </c>
      <c r="K32" s="297">
        <v>5</v>
      </c>
      <c r="L32" s="298"/>
      <c r="M32" s="377"/>
      <c r="N32" s="378"/>
      <c r="O32" s="385"/>
      <c r="P32" s="386"/>
      <c r="Q32" s="377"/>
      <c r="R32" s="378"/>
      <c r="S32" s="385"/>
      <c r="T32" s="386"/>
      <c r="U32" s="377"/>
      <c r="V32" s="384"/>
      <c r="W32" s="337"/>
      <c r="X32" s="338"/>
      <c r="Y32" s="320"/>
    </row>
    <row r="33" spans="2:28" ht="16.5" customHeight="1" thickBot="1">
      <c r="B33" s="260" t="s">
        <v>356</v>
      </c>
      <c r="C33" s="261"/>
      <c r="D33" s="261"/>
      <c r="E33" s="261"/>
      <c r="F33" s="261"/>
      <c r="G33" s="259"/>
      <c r="H33" s="177">
        <f>SUM(H9:H32)</f>
        <v>85</v>
      </c>
      <c r="I33" s="18"/>
      <c r="J33" s="181">
        <f>SUM(J9:J32)</f>
        <v>70</v>
      </c>
      <c r="K33" s="405">
        <f>SUM(K9:L32)</f>
        <v>19</v>
      </c>
      <c r="L33" s="392"/>
      <c r="M33" s="392">
        <f>SUM(M9:N32)</f>
        <v>14</v>
      </c>
      <c r="N33" s="258"/>
      <c r="O33" s="406">
        <f>SUM(O9:P32)</f>
        <v>10</v>
      </c>
      <c r="P33" s="392"/>
      <c r="Q33" s="392">
        <f>SUM(Q9:R32)</f>
        <v>17</v>
      </c>
      <c r="R33" s="407"/>
      <c r="S33" s="271">
        <f>SUM(S9:T32)</f>
        <v>10</v>
      </c>
      <c r="T33" s="392"/>
      <c r="U33" s="392">
        <f>SUM(U9:V32)</f>
        <v>0</v>
      </c>
      <c r="V33" s="393"/>
      <c r="W33" s="260">
        <f>SUM(K33:V33)</f>
        <v>70</v>
      </c>
      <c r="X33" s="271"/>
      <c r="Y33" s="181">
        <f>SUM(Y9:Y32)</f>
        <v>64</v>
      </c>
    </row>
    <row r="34" spans="2:28" ht="17.25" thickBot="1">
      <c r="B34" s="371" t="s">
        <v>347</v>
      </c>
      <c r="C34" s="372"/>
      <c r="D34" s="394" t="s">
        <v>348</v>
      </c>
      <c r="E34" s="395"/>
      <c r="F34" s="396" t="s">
        <v>519</v>
      </c>
      <c r="G34" s="397"/>
      <c r="H34" s="60"/>
      <c r="I34" s="61"/>
      <c r="J34" s="184">
        <v>4</v>
      </c>
      <c r="K34" s="398"/>
      <c r="L34" s="399"/>
      <c r="M34" s="400"/>
      <c r="N34" s="401"/>
      <c r="O34" s="402"/>
      <c r="P34" s="399"/>
      <c r="Q34" s="400"/>
      <c r="R34" s="401"/>
      <c r="S34" s="402"/>
      <c r="T34" s="399"/>
      <c r="U34" s="403">
        <v>4</v>
      </c>
      <c r="V34" s="404"/>
      <c r="W34" s="408">
        <f>SUM(K34:V34)</f>
        <v>4</v>
      </c>
      <c r="X34" s="409"/>
      <c r="Y34" s="291">
        <f>SUM(W34:X51)</f>
        <v>104</v>
      </c>
    </row>
    <row r="35" spans="2:28" ht="24.75" customHeight="1" thickBot="1">
      <c r="B35" s="373"/>
      <c r="C35" s="374"/>
      <c r="D35" s="89" t="s">
        <v>536</v>
      </c>
      <c r="E35" s="90" t="s">
        <v>349</v>
      </c>
      <c r="F35" s="387" t="s">
        <v>660</v>
      </c>
      <c r="G35" s="388"/>
      <c r="H35" s="192"/>
      <c r="I35" s="193"/>
      <c r="J35" s="194">
        <v>5</v>
      </c>
      <c r="K35" s="383"/>
      <c r="L35" s="352"/>
      <c r="M35" s="347">
        <v>5</v>
      </c>
      <c r="N35" s="351"/>
      <c r="O35" s="385"/>
      <c r="P35" s="386"/>
      <c r="Q35" s="377"/>
      <c r="R35" s="378"/>
      <c r="S35" s="389"/>
      <c r="T35" s="386"/>
      <c r="U35" s="377"/>
      <c r="V35" s="384"/>
      <c r="W35" s="390">
        <f t="shared" ref="W35:W49" si="3">SUM(K35:V35)</f>
        <v>5</v>
      </c>
      <c r="X35" s="391"/>
      <c r="Y35" s="292"/>
      <c r="AA35" s="256" t="b">
        <f>W33&gt;=Y33</f>
        <v>1</v>
      </c>
      <c r="AB35" s="257"/>
    </row>
    <row r="36" spans="2:28" ht="17.25" customHeight="1">
      <c r="B36" s="373"/>
      <c r="C36" s="374"/>
      <c r="D36" s="89" t="s">
        <v>66</v>
      </c>
      <c r="E36" s="90" t="s">
        <v>349</v>
      </c>
      <c r="F36" s="387" t="s">
        <v>520</v>
      </c>
      <c r="G36" s="388"/>
      <c r="H36" s="63"/>
      <c r="I36" s="62"/>
      <c r="J36" s="194">
        <v>4</v>
      </c>
      <c r="K36" s="383">
        <v>4</v>
      </c>
      <c r="L36" s="352"/>
      <c r="M36" s="347"/>
      <c r="N36" s="370"/>
      <c r="O36" s="369"/>
      <c r="P36" s="352"/>
      <c r="Q36" s="377"/>
      <c r="R36" s="378"/>
      <c r="S36" s="385"/>
      <c r="T36" s="386"/>
      <c r="U36" s="377"/>
      <c r="V36" s="384"/>
      <c r="W36" s="379">
        <f t="shared" si="3"/>
        <v>4</v>
      </c>
      <c r="X36" s="380"/>
      <c r="Y36" s="292"/>
    </row>
    <row r="37" spans="2:28" ht="17.25" customHeight="1">
      <c r="B37" s="373"/>
      <c r="C37" s="374"/>
      <c r="D37" s="89" t="s">
        <v>66</v>
      </c>
      <c r="E37" s="90" t="s">
        <v>349</v>
      </c>
      <c r="F37" s="387" t="s">
        <v>661</v>
      </c>
      <c r="G37" s="388"/>
      <c r="H37" s="192"/>
      <c r="I37" s="193"/>
      <c r="J37" s="194">
        <v>4</v>
      </c>
      <c r="K37" s="383"/>
      <c r="L37" s="352"/>
      <c r="M37" s="347"/>
      <c r="N37" s="370"/>
      <c r="O37" s="369">
        <v>4</v>
      </c>
      <c r="P37" s="352"/>
      <c r="Q37" s="377"/>
      <c r="R37" s="378"/>
      <c r="S37" s="385"/>
      <c r="T37" s="386"/>
      <c r="U37" s="377"/>
      <c r="V37" s="384"/>
      <c r="W37" s="379">
        <f t="shared" si="3"/>
        <v>4</v>
      </c>
      <c r="X37" s="380"/>
      <c r="Y37" s="292"/>
    </row>
    <row r="38" spans="2:28" ht="17.25" customHeight="1">
      <c r="B38" s="373"/>
      <c r="C38" s="374"/>
      <c r="D38" s="89" t="s">
        <v>66</v>
      </c>
      <c r="E38" s="90" t="s">
        <v>349</v>
      </c>
      <c r="F38" s="381" t="s">
        <v>521</v>
      </c>
      <c r="G38" s="382"/>
      <c r="H38" s="192"/>
      <c r="I38" s="193"/>
      <c r="J38" s="194">
        <v>4</v>
      </c>
      <c r="K38" s="383"/>
      <c r="L38" s="352"/>
      <c r="M38" s="347"/>
      <c r="N38" s="370"/>
      <c r="O38" s="369"/>
      <c r="P38" s="352"/>
      <c r="Q38" s="347">
        <v>4</v>
      </c>
      <c r="R38" s="370"/>
      <c r="S38" s="385"/>
      <c r="T38" s="386"/>
      <c r="U38" s="377"/>
      <c r="V38" s="384"/>
      <c r="W38" s="379">
        <f t="shared" si="3"/>
        <v>4</v>
      </c>
      <c r="X38" s="380"/>
      <c r="Y38" s="292"/>
    </row>
    <row r="39" spans="2:28" ht="17.25" customHeight="1">
      <c r="B39" s="373"/>
      <c r="C39" s="374"/>
      <c r="D39" s="89" t="s">
        <v>66</v>
      </c>
      <c r="E39" s="90" t="s">
        <v>349</v>
      </c>
      <c r="F39" s="381" t="s">
        <v>522</v>
      </c>
      <c r="G39" s="382"/>
      <c r="H39" s="192"/>
      <c r="I39" s="193"/>
      <c r="J39" s="194">
        <v>3</v>
      </c>
      <c r="K39" s="383"/>
      <c r="L39" s="352"/>
      <c r="M39" s="347"/>
      <c r="N39" s="351"/>
      <c r="O39" s="369"/>
      <c r="P39" s="352"/>
      <c r="Q39" s="347"/>
      <c r="R39" s="370"/>
      <c r="S39" s="351">
        <v>3</v>
      </c>
      <c r="T39" s="352"/>
      <c r="U39" s="377"/>
      <c r="V39" s="384"/>
      <c r="W39" s="379">
        <f t="shared" si="3"/>
        <v>3</v>
      </c>
      <c r="X39" s="380"/>
      <c r="Y39" s="292"/>
    </row>
    <row r="40" spans="2:28" ht="17.25" customHeight="1">
      <c r="B40" s="373"/>
      <c r="C40" s="374"/>
      <c r="D40" s="91" t="s">
        <v>66</v>
      </c>
      <c r="E40" s="90" t="s">
        <v>349</v>
      </c>
      <c r="F40" s="381" t="s">
        <v>675</v>
      </c>
      <c r="G40" s="382"/>
      <c r="H40" s="192"/>
      <c r="I40" s="195"/>
      <c r="J40" s="196">
        <v>3</v>
      </c>
      <c r="K40" s="383"/>
      <c r="L40" s="352"/>
      <c r="M40" s="347"/>
      <c r="N40" s="351"/>
      <c r="O40" s="369"/>
      <c r="P40" s="352"/>
      <c r="Q40" s="347"/>
      <c r="R40" s="370"/>
      <c r="S40" s="351"/>
      <c r="T40" s="352"/>
      <c r="U40" s="347">
        <v>3</v>
      </c>
      <c r="V40" s="348"/>
      <c r="W40" s="379">
        <f t="shared" si="3"/>
        <v>3</v>
      </c>
      <c r="X40" s="380"/>
      <c r="Y40" s="292"/>
    </row>
    <row r="41" spans="2:28" ht="17.25" customHeight="1">
      <c r="B41" s="373"/>
      <c r="C41" s="374"/>
      <c r="D41" s="91" t="s">
        <v>353</v>
      </c>
      <c r="E41" s="90" t="s">
        <v>532</v>
      </c>
      <c r="F41" s="381" t="s">
        <v>523</v>
      </c>
      <c r="G41" s="382"/>
      <c r="H41" s="192"/>
      <c r="I41" s="195"/>
      <c r="J41" s="196">
        <v>3</v>
      </c>
      <c r="K41" s="383"/>
      <c r="L41" s="352"/>
      <c r="M41" s="347"/>
      <c r="N41" s="370"/>
      <c r="O41" s="369">
        <v>3</v>
      </c>
      <c r="P41" s="352"/>
      <c r="Q41" s="377"/>
      <c r="R41" s="378"/>
      <c r="S41" s="385"/>
      <c r="T41" s="386"/>
      <c r="U41" s="377"/>
      <c r="V41" s="384"/>
      <c r="W41" s="379">
        <f t="shared" si="3"/>
        <v>3</v>
      </c>
      <c r="X41" s="380"/>
      <c r="Y41" s="292"/>
    </row>
    <row r="42" spans="2:28" ht="17.25" customHeight="1">
      <c r="B42" s="373"/>
      <c r="C42" s="374"/>
      <c r="D42" s="92" t="s">
        <v>66</v>
      </c>
      <c r="E42" s="90" t="s">
        <v>529</v>
      </c>
      <c r="F42" s="381" t="s">
        <v>524</v>
      </c>
      <c r="G42" s="382"/>
      <c r="H42" s="192"/>
      <c r="I42" s="195"/>
      <c r="J42" s="196">
        <v>4</v>
      </c>
      <c r="K42" s="383"/>
      <c r="L42" s="352"/>
      <c r="M42" s="347">
        <v>4</v>
      </c>
      <c r="N42" s="370"/>
      <c r="O42" s="385"/>
      <c r="P42" s="386"/>
      <c r="Q42" s="377"/>
      <c r="R42" s="378"/>
      <c r="S42" s="385"/>
      <c r="T42" s="386"/>
      <c r="U42" s="377"/>
      <c r="V42" s="384"/>
      <c r="W42" s="379">
        <f t="shared" si="3"/>
        <v>4</v>
      </c>
      <c r="X42" s="380"/>
      <c r="Y42" s="292"/>
    </row>
    <row r="43" spans="2:28" ht="16.5" customHeight="1">
      <c r="B43" s="373"/>
      <c r="C43" s="374"/>
      <c r="D43" s="91" t="s">
        <v>66</v>
      </c>
      <c r="E43" s="90" t="s">
        <v>529</v>
      </c>
      <c r="F43" s="381" t="s">
        <v>525</v>
      </c>
      <c r="G43" s="382"/>
      <c r="H43" s="192"/>
      <c r="I43" s="195"/>
      <c r="J43" s="196">
        <v>5</v>
      </c>
      <c r="K43" s="383"/>
      <c r="L43" s="352"/>
      <c r="M43" s="347"/>
      <c r="N43" s="370"/>
      <c r="O43" s="369"/>
      <c r="P43" s="352"/>
      <c r="Q43" s="347"/>
      <c r="R43" s="370"/>
      <c r="S43" s="369">
        <v>3</v>
      </c>
      <c r="T43" s="352"/>
      <c r="U43" s="347">
        <v>2</v>
      </c>
      <c r="V43" s="348"/>
      <c r="W43" s="379">
        <f t="shared" si="3"/>
        <v>5</v>
      </c>
      <c r="X43" s="380"/>
      <c r="Y43" s="292"/>
    </row>
    <row r="44" spans="2:28" ht="16.5" customHeight="1">
      <c r="B44" s="373"/>
      <c r="C44" s="374"/>
      <c r="D44" s="91" t="s">
        <v>353</v>
      </c>
      <c r="E44" s="90" t="s">
        <v>529</v>
      </c>
      <c r="F44" s="381" t="s">
        <v>526</v>
      </c>
      <c r="G44" s="382"/>
      <c r="H44" s="192"/>
      <c r="I44" s="195"/>
      <c r="J44" s="196">
        <v>12</v>
      </c>
      <c r="K44" s="383">
        <v>6</v>
      </c>
      <c r="L44" s="352"/>
      <c r="M44" s="347">
        <v>6</v>
      </c>
      <c r="N44" s="370"/>
      <c r="O44" s="385"/>
      <c r="P44" s="386"/>
      <c r="Q44" s="377"/>
      <c r="R44" s="378"/>
      <c r="S44" s="385"/>
      <c r="T44" s="386"/>
      <c r="U44" s="377"/>
      <c r="V44" s="384"/>
      <c r="W44" s="379">
        <f t="shared" si="3"/>
        <v>12</v>
      </c>
      <c r="X44" s="380"/>
      <c r="Y44" s="292"/>
    </row>
    <row r="45" spans="2:28" ht="20.25" customHeight="1">
      <c r="B45" s="373"/>
      <c r="C45" s="374"/>
      <c r="D45" s="92" t="s">
        <v>536</v>
      </c>
      <c r="E45" s="90" t="s">
        <v>350</v>
      </c>
      <c r="F45" s="381" t="s">
        <v>527</v>
      </c>
      <c r="G45" s="382"/>
      <c r="H45" s="192"/>
      <c r="I45" s="195"/>
      <c r="J45" s="196">
        <v>4</v>
      </c>
      <c r="K45" s="383"/>
      <c r="L45" s="352"/>
      <c r="M45" s="347"/>
      <c r="N45" s="370"/>
      <c r="O45" s="369">
        <v>4</v>
      </c>
      <c r="P45" s="352"/>
      <c r="Q45" s="377"/>
      <c r="R45" s="378"/>
      <c r="S45" s="385"/>
      <c r="T45" s="386"/>
      <c r="U45" s="377"/>
      <c r="V45" s="384"/>
      <c r="W45" s="379">
        <f t="shared" si="3"/>
        <v>4</v>
      </c>
      <c r="X45" s="380"/>
      <c r="Y45" s="292"/>
    </row>
    <row r="46" spans="2:28" ht="20.25" customHeight="1">
      <c r="B46" s="373"/>
      <c r="C46" s="374"/>
      <c r="D46" s="89" t="s">
        <v>536</v>
      </c>
      <c r="E46" s="90" t="s">
        <v>350</v>
      </c>
      <c r="F46" s="381" t="s">
        <v>528</v>
      </c>
      <c r="G46" s="382"/>
      <c r="H46" s="192"/>
      <c r="I46" s="195"/>
      <c r="J46" s="196">
        <v>5</v>
      </c>
      <c r="K46" s="383"/>
      <c r="L46" s="352"/>
      <c r="M46" s="347"/>
      <c r="N46" s="370"/>
      <c r="O46" s="369"/>
      <c r="P46" s="352"/>
      <c r="Q46" s="347"/>
      <c r="R46" s="370"/>
      <c r="S46" s="369"/>
      <c r="T46" s="352"/>
      <c r="U46" s="347">
        <v>5</v>
      </c>
      <c r="V46" s="348"/>
      <c r="W46" s="379">
        <f t="shared" si="3"/>
        <v>5</v>
      </c>
      <c r="X46" s="380"/>
      <c r="Y46" s="292"/>
    </row>
    <row r="47" spans="2:28" ht="16.5" customHeight="1">
      <c r="B47" s="373"/>
      <c r="C47" s="374"/>
      <c r="D47" s="89" t="s">
        <v>353</v>
      </c>
      <c r="E47" s="90" t="s">
        <v>350</v>
      </c>
      <c r="F47" s="381" t="s">
        <v>530</v>
      </c>
      <c r="G47" s="382"/>
      <c r="H47" s="192"/>
      <c r="I47" s="195"/>
      <c r="J47" s="196">
        <v>13</v>
      </c>
      <c r="K47" s="383"/>
      <c r="L47" s="352"/>
      <c r="M47" s="347"/>
      <c r="N47" s="370"/>
      <c r="O47" s="369"/>
      <c r="P47" s="352"/>
      <c r="Q47" s="347"/>
      <c r="R47" s="370"/>
      <c r="S47" s="369">
        <v>7</v>
      </c>
      <c r="T47" s="352"/>
      <c r="U47" s="347">
        <v>6</v>
      </c>
      <c r="V47" s="348"/>
      <c r="W47" s="379">
        <f t="shared" si="3"/>
        <v>13</v>
      </c>
      <c r="X47" s="380"/>
      <c r="Y47" s="292"/>
    </row>
    <row r="48" spans="2:28" ht="16.5" customHeight="1">
      <c r="B48" s="373"/>
      <c r="C48" s="374"/>
      <c r="D48" s="91" t="s">
        <v>536</v>
      </c>
      <c r="E48" s="90" t="s">
        <v>529</v>
      </c>
      <c r="F48" s="381" t="s">
        <v>531</v>
      </c>
      <c r="G48" s="382"/>
      <c r="H48" s="192"/>
      <c r="I48" s="195"/>
      <c r="J48" s="196">
        <v>3</v>
      </c>
      <c r="K48" s="383"/>
      <c r="L48" s="352"/>
      <c r="M48" s="347"/>
      <c r="N48" s="370"/>
      <c r="O48" s="369"/>
      <c r="P48" s="352"/>
      <c r="Q48" s="347"/>
      <c r="R48" s="370"/>
      <c r="S48" s="369"/>
      <c r="T48" s="352"/>
      <c r="U48" s="347">
        <v>3</v>
      </c>
      <c r="V48" s="348"/>
      <c r="W48" s="379">
        <f t="shared" si="3"/>
        <v>3</v>
      </c>
      <c r="X48" s="380"/>
      <c r="Y48" s="292"/>
    </row>
    <row r="49" spans="2:28" ht="17.25" thickBot="1">
      <c r="B49" s="375"/>
      <c r="C49" s="376"/>
      <c r="D49" s="197" t="s">
        <v>353</v>
      </c>
      <c r="E49" s="198" t="s">
        <v>350</v>
      </c>
      <c r="F49" s="367" t="s">
        <v>533</v>
      </c>
      <c r="G49" s="368"/>
      <c r="H49" s="199"/>
      <c r="I49" s="195"/>
      <c r="J49" s="196">
        <v>16</v>
      </c>
      <c r="K49" s="347"/>
      <c r="L49" s="351"/>
      <c r="M49" s="347"/>
      <c r="N49" s="351"/>
      <c r="O49" s="369">
        <v>8</v>
      </c>
      <c r="P49" s="352"/>
      <c r="Q49" s="347">
        <v>8</v>
      </c>
      <c r="R49" s="370"/>
      <c r="S49" s="351"/>
      <c r="T49" s="352"/>
      <c r="U49" s="347"/>
      <c r="V49" s="348"/>
      <c r="W49" s="349">
        <f t="shared" si="3"/>
        <v>16</v>
      </c>
      <c r="X49" s="350"/>
      <c r="Y49" s="292"/>
      <c r="AA49" s="255" t="s">
        <v>673</v>
      </c>
      <c r="AB49" s="255"/>
    </row>
    <row r="50" spans="2:28" ht="17.25" thickBot="1">
      <c r="B50" s="353" t="s">
        <v>152</v>
      </c>
      <c r="C50" s="179" t="s">
        <v>351</v>
      </c>
      <c r="D50" s="93" t="s">
        <v>353</v>
      </c>
      <c r="E50" s="94" t="s">
        <v>350</v>
      </c>
      <c r="F50" s="355" t="s">
        <v>534</v>
      </c>
      <c r="G50" s="356"/>
      <c r="H50" s="200"/>
      <c r="I50" s="357"/>
      <c r="J50" s="359">
        <v>12</v>
      </c>
      <c r="K50" s="361"/>
      <c r="L50" s="362"/>
      <c r="M50" s="363"/>
      <c r="N50" s="364"/>
      <c r="O50" s="365"/>
      <c r="P50" s="362"/>
      <c r="Q50" s="363"/>
      <c r="R50" s="366"/>
      <c r="S50" s="327">
        <v>6</v>
      </c>
      <c r="T50" s="328"/>
      <c r="U50" s="331">
        <v>6</v>
      </c>
      <c r="V50" s="332"/>
      <c r="W50" s="335">
        <f>SUM(O50:V51)</f>
        <v>12</v>
      </c>
      <c r="X50" s="336"/>
      <c r="Y50" s="292"/>
      <c r="AA50" s="255"/>
      <c r="AB50" s="255"/>
    </row>
    <row r="51" spans="2:28" ht="17.25" thickBot="1">
      <c r="B51" s="354"/>
      <c r="C51" s="95" t="s">
        <v>352</v>
      </c>
      <c r="D51" s="96" t="s">
        <v>536</v>
      </c>
      <c r="E51" s="90" t="s">
        <v>350</v>
      </c>
      <c r="F51" s="339" t="s">
        <v>535</v>
      </c>
      <c r="G51" s="340"/>
      <c r="H51" s="201"/>
      <c r="I51" s="358"/>
      <c r="J51" s="360"/>
      <c r="K51" s="341"/>
      <c r="L51" s="342"/>
      <c r="M51" s="343"/>
      <c r="N51" s="344"/>
      <c r="O51" s="345"/>
      <c r="P51" s="342"/>
      <c r="Q51" s="343"/>
      <c r="R51" s="346"/>
      <c r="S51" s="329"/>
      <c r="T51" s="330"/>
      <c r="U51" s="333"/>
      <c r="V51" s="334"/>
      <c r="W51" s="337"/>
      <c r="X51" s="338"/>
      <c r="Y51" s="292"/>
      <c r="AA51" s="256" t="b">
        <f>W54&gt;=Y54</f>
        <v>1</v>
      </c>
      <c r="AB51" s="257"/>
    </row>
    <row r="52" spans="2:28" ht="17.25" customHeight="1">
      <c r="B52" s="318" t="s">
        <v>357</v>
      </c>
      <c r="C52" s="314"/>
      <c r="D52" s="314"/>
      <c r="E52" s="314"/>
      <c r="F52" s="314"/>
      <c r="G52" s="316"/>
      <c r="H52" s="321">
        <f>SUM(H34:H49)</f>
        <v>0</v>
      </c>
      <c r="I52" s="323">
        <f>SUM(I34:I49)</f>
        <v>0</v>
      </c>
      <c r="J52" s="325">
        <f>SUM(J34:J51)</f>
        <v>104</v>
      </c>
      <c r="K52" s="318">
        <f>SUM(K34:L51)</f>
        <v>10</v>
      </c>
      <c r="L52" s="307"/>
      <c r="M52" s="310">
        <f>SUM(M34:N51)</f>
        <v>15</v>
      </c>
      <c r="N52" s="314"/>
      <c r="O52" s="306">
        <f>SUM(O34:P51)</f>
        <v>19</v>
      </c>
      <c r="P52" s="307"/>
      <c r="Q52" s="310">
        <f>SUM(Q34:R51)</f>
        <v>12</v>
      </c>
      <c r="R52" s="311"/>
      <c r="S52" s="314">
        <f>SUM(S34:T51)</f>
        <v>19</v>
      </c>
      <c r="T52" s="307"/>
      <c r="U52" s="310">
        <f>SUM(U34:V51)</f>
        <v>29</v>
      </c>
      <c r="V52" s="316"/>
      <c r="W52" s="318">
        <f>SUM(K52:V53)</f>
        <v>104</v>
      </c>
      <c r="X52" s="316"/>
      <c r="Y52" s="291">
        <f>SUM(Y34:Y51)</f>
        <v>104</v>
      </c>
    </row>
    <row r="53" spans="2:28" ht="17.25" customHeight="1" thickBot="1">
      <c r="B53" s="319"/>
      <c r="C53" s="315"/>
      <c r="D53" s="315"/>
      <c r="E53" s="315"/>
      <c r="F53" s="315"/>
      <c r="G53" s="317"/>
      <c r="H53" s="322"/>
      <c r="I53" s="324"/>
      <c r="J53" s="326"/>
      <c r="K53" s="319"/>
      <c r="L53" s="309"/>
      <c r="M53" s="312"/>
      <c r="N53" s="315"/>
      <c r="O53" s="308"/>
      <c r="P53" s="309"/>
      <c r="Q53" s="312"/>
      <c r="R53" s="313"/>
      <c r="S53" s="315"/>
      <c r="T53" s="309"/>
      <c r="U53" s="312"/>
      <c r="V53" s="317"/>
      <c r="W53" s="319"/>
      <c r="X53" s="317"/>
      <c r="Y53" s="320"/>
      <c r="AA53" s="255" t="s">
        <v>153</v>
      </c>
      <c r="AB53" s="255"/>
    </row>
    <row r="54" spans="2:28" ht="17.25" customHeight="1" thickBot="1">
      <c r="B54" s="260"/>
      <c r="C54" s="261"/>
      <c r="D54" s="261"/>
      <c r="E54" s="261"/>
      <c r="F54" s="261"/>
      <c r="G54" s="259"/>
      <c r="H54" s="182">
        <f>SUM(H33,H52)</f>
        <v>85</v>
      </c>
      <c r="I54" s="180">
        <f>SUM(I33,I52)</f>
        <v>0</v>
      </c>
      <c r="J54" s="181">
        <f>SUM(J33,J52)</f>
        <v>174</v>
      </c>
      <c r="K54" s="260">
        <f>SUM(K33,K52)</f>
        <v>29</v>
      </c>
      <c r="L54" s="271"/>
      <c r="M54" s="258">
        <f>SUM(M33,M52)</f>
        <v>29</v>
      </c>
      <c r="N54" s="262"/>
      <c r="O54" s="263">
        <f>SUM(O33,O52)</f>
        <v>29</v>
      </c>
      <c r="P54" s="271"/>
      <c r="Q54" s="258">
        <f>SUM(Q33,Q52)</f>
        <v>29</v>
      </c>
      <c r="R54" s="262"/>
      <c r="S54" s="263">
        <f>SUM(S33,S52)</f>
        <v>29</v>
      </c>
      <c r="T54" s="271"/>
      <c r="U54" s="258">
        <f>SUM(U33,U52)</f>
        <v>29</v>
      </c>
      <c r="V54" s="259"/>
      <c r="W54" s="260">
        <f>SUM(K54:V54)</f>
        <v>174</v>
      </c>
      <c r="X54" s="259"/>
      <c r="Y54" s="11">
        <f>Y52+Y33</f>
        <v>168</v>
      </c>
      <c r="AA54" s="256" t="b">
        <f>W58&gt;=Y58</f>
        <v>1</v>
      </c>
      <c r="AB54" s="257"/>
    </row>
    <row r="55" spans="2:28" ht="17.25" customHeight="1" thickBot="1">
      <c r="B55" s="272" t="s">
        <v>358</v>
      </c>
      <c r="C55" s="273"/>
      <c r="D55" s="273"/>
      <c r="E55" s="274"/>
      <c r="F55" s="301" t="s">
        <v>354</v>
      </c>
      <c r="G55" s="302"/>
      <c r="H55" s="302"/>
      <c r="I55" s="302"/>
      <c r="J55" s="303"/>
      <c r="K55" s="304">
        <v>16</v>
      </c>
      <c r="L55" s="286"/>
      <c r="M55" s="287">
        <v>16</v>
      </c>
      <c r="N55" s="305"/>
      <c r="O55" s="285">
        <v>16</v>
      </c>
      <c r="P55" s="286"/>
      <c r="Q55" s="287">
        <v>16</v>
      </c>
      <c r="R55" s="305"/>
      <c r="S55" s="285">
        <v>16</v>
      </c>
      <c r="T55" s="286"/>
      <c r="U55" s="287">
        <v>16</v>
      </c>
      <c r="V55" s="288"/>
      <c r="W55" s="272">
        <v>288</v>
      </c>
      <c r="X55" s="274"/>
      <c r="Y55" s="291">
        <f>Y58*16</f>
        <v>288</v>
      </c>
      <c r="AA55" s="255" t="s">
        <v>151</v>
      </c>
      <c r="AB55" s="255"/>
    </row>
    <row r="56" spans="2:28" ht="17.25" customHeight="1" thickBot="1">
      <c r="B56" s="275"/>
      <c r="C56" s="276"/>
      <c r="D56" s="276"/>
      <c r="E56" s="277"/>
      <c r="F56" s="294" t="s">
        <v>63</v>
      </c>
      <c r="G56" s="295"/>
      <c r="H56" s="295"/>
      <c r="I56" s="295"/>
      <c r="J56" s="296"/>
      <c r="K56" s="297">
        <v>16</v>
      </c>
      <c r="L56" s="298"/>
      <c r="M56" s="283">
        <v>16</v>
      </c>
      <c r="N56" s="299"/>
      <c r="O56" s="300">
        <v>16</v>
      </c>
      <c r="P56" s="298"/>
      <c r="Q56" s="283">
        <v>16</v>
      </c>
      <c r="R56" s="299"/>
      <c r="S56" s="300">
        <v>16</v>
      </c>
      <c r="T56" s="298"/>
      <c r="U56" s="283">
        <v>16</v>
      </c>
      <c r="V56" s="284"/>
      <c r="W56" s="275"/>
      <c r="X56" s="277"/>
      <c r="Y56" s="292"/>
      <c r="AA56" s="256" t="b">
        <f>W59&gt;=Y59</f>
        <v>1</v>
      </c>
      <c r="AB56" s="257"/>
    </row>
    <row r="57" spans="2:28" ht="17.25" customHeight="1">
      <c r="B57" s="275"/>
      <c r="C57" s="276"/>
      <c r="D57" s="276"/>
      <c r="E57" s="277"/>
      <c r="F57" s="294" t="s">
        <v>11</v>
      </c>
      <c r="G57" s="295"/>
      <c r="H57" s="295"/>
      <c r="I57" s="295"/>
      <c r="J57" s="296"/>
      <c r="K57" s="297">
        <v>16</v>
      </c>
      <c r="L57" s="298"/>
      <c r="M57" s="283">
        <v>16</v>
      </c>
      <c r="N57" s="299"/>
      <c r="O57" s="300">
        <v>16</v>
      </c>
      <c r="P57" s="298"/>
      <c r="Q57" s="283">
        <v>16</v>
      </c>
      <c r="R57" s="299"/>
      <c r="S57" s="300">
        <v>16</v>
      </c>
      <c r="T57" s="298"/>
      <c r="U57" s="283">
        <v>16</v>
      </c>
      <c r="V57" s="284"/>
      <c r="W57" s="289"/>
      <c r="X57" s="290"/>
      <c r="Y57" s="293"/>
    </row>
    <row r="58" spans="2:28" ht="17.25" customHeight="1" thickBot="1">
      <c r="B58" s="278"/>
      <c r="C58" s="279"/>
      <c r="D58" s="279"/>
      <c r="E58" s="280"/>
      <c r="F58" s="269" t="s">
        <v>148</v>
      </c>
      <c r="G58" s="281"/>
      <c r="H58" s="281"/>
      <c r="I58" s="281"/>
      <c r="J58" s="270"/>
      <c r="K58" s="282">
        <v>3</v>
      </c>
      <c r="L58" s="267"/>
      <c r="M58" s="264">
        <v>3</v>
      </c>
      <c r="N58" s="265"/>
      <c r="O58" s="266">
        <v>3</v>
      </c>
      <c r="P58" s="267"/>
      <c r="Q58" s="264">
        <v>3</v>
      </c>
      <c r="R58" s="265"/>
      <c r="S58" s="266">
        <v>3</v>
      </c>
      <c r="T58" s="267"/>
      <c r="U58" s="264">
        <v>3</v>
      </c>
      <c r="V58" s="268"/>
      <c r="W58" s="269">
        <f>SUM(K58:V58)</f>
        <v>18</v>
      </c>
      <c r="X58" s="270"/>
      <c r="Y58" s="97">
        <v>18</v>
      </c>
    </row>
    <row r="59" spans="2:28" ht="17.25" customHeight="1" thickBot="1">
      <c r="B59" s="260"/>
      <c r="C59" s="261"/>
      <c r="D59" s="261"/>
      <c r="E59" s="261"/>
      <c r="F59" s="261"/>
      <c r="G59" s="261"/>
      <c r="H59" s="261"/>
      <c r="I59" s="261"/>
      <c r="J59" s="259"/>
      <c r="K59" s="260">
        <v>32</v>
      </c>
      <c r="L59" s="271"/>
      <c r="M59" s="258">
        <v>32</v>
      </c>
      <c r="N59" s="262"/>
      <c r="O59" s="263">
        <v>32</v>
      </c>
      <c r="P59" s="271"/>
      <c r="Q59" s="258">
        <v>32</v>
      </c>
      <c r="R59" s="262"/>
      <c r="S59" s="263">
        <v>32</v>
      </c>
      <c r="T59" s="271"/>
      <c r="U59" s="258">
        <v>32</v>
      </c>
      <c r="V59" s="259"/>
      <c r="W59" s="260">
        <f>SUM(K59:V59)</f>
        <v>192</v>
      </c>
      <c r="X59" s="259"/>
      <c r="Y59" s="64">
        <f>W59</f>
        <v>192</v>
      </c>
    </row>
    <row r="60" spans="2:28" ht="17.25" thickBot="1">
      <c r="B60" s="260"/>
      <c r="C60" s="261"/>
      <c r="D60" s="261"/>
      <c r="E60" s="261"/>
      <c r="F60" s="261"/>
      <c r="G60" s="261"/>
      <c r="H60" s="261"/>
      <c r="I60" s="261"/>
      <c r="J60" s="259"/>
      <c r="K60" s="260">
        <f>SUM(K59:N59)</f>
        <v>64</v>
      </c>
      <c r="L60" s="261"/>
      <c r="M60" s="261"/>
      <c r="N60" s="262"/>
      <c r="O60" s="263">
        <f>SUM(O59:R59)</f>
        <v>64</v>
      </c>
      <c r="P60" s="261"/>
      <c r="Q60" s="261"/>
      <c r="R60" s="262"/>
      <c r="S60" s="263">
        <f>SUM(S59:V59)</f>
        <v>64</v>
      </c>
      <c r="T60" s="261"/>
      <c r="U60" s="261"/>
      <c r="V60" s="259"/>
      <c r="W60" s="260">
        <f>SUM(K60:V60)</f>
        <v>192</v>
      </c>
      <c r="X60" s="259"/>
      <c r="Y60" s="11"/>
    </row>
    <row r="61" spans="2:28" ht="24.95" customHeight="1"/>
    <row r="62" spans="2:28" ht="24.95" customHeight="1"/>
    <row r="63" spans="2:28" ht="32.25" customHeight="1"/>
    <row r="64" spans="2:28" ht="24.95" customHeight="1"/>
    <row r="66" ht="16.5" customHeight="1"/>
    <row r="67" ht="17.2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244.5" customHeight="1"/>
  </sheetData>
  <mergeCells count="462"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AD3:AD4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S10:T10"/>
    <mergeCell ref="U10:V10"/>
    <mergeCell ref="F11:G11"/>
    <mergeCell ref="D12:D13"/>
    <mergeCell ref="F12:G12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2:T12"/>
    <mergeCell ref="AA8:AD8"/>
    <mergeCell ref="B9:C32"/>
    <mergeCell ref="D9:D11"/>
    <mergeCell ref="F9:G9"/>
    <mergeCell ref="K9:L9"/>
    <mergeCell ref="M9:N9"/>
    <mergeCell ref="O9:P9"/>
    <mergeCell ref="Q9:R9"/>
    <mergeCell ref="S9:T9"/>
    <mergeCell ref="U9:V9"/>
    <mergeCell ref="S11:T11"/>
    <mergeCell ref="U11:V11"/>
    <mergeCell ref="X9:X11"/>
    <mergeCell ref="Y9:Y17"/>
    <mergeCell ref="F10:G10"/>
    <mergeCell ref="K10:L10"/>
    <mergeCell ref="M10:N10"/>
    <mergeCell ref="O10:P10"/>
    <mergeCell ref="Q10:R10"/>
    <mergeCell ref="U12:V12"/>
    <mergeCell ref="X12:X13"/>
    <mergeCell ref="F13:G13"/>
    <mergeCell ref="K13:L13"/>
    <mergeCell ref="M13:N13"/>
    <mergeCell ref="O13:P13"/>
    <mergeCell ref="Q13:R13"/>
    <mergeCell ref="S13:T13"/>
    <mergeCell ref="U13:V13"/>
    <mergeCell ref="K12:L12"/>
    <mergeCell ref="M12:N12"/>
    <mergeCell ref="O12:P12"/>
    <mergeCell ref="Q12:R12"/>
    <mergeCell ref="X14:X17"/>
    <mergeCell ref="AB14:AD14"/>
    <mergeCell ref="F15:G15"/>
    <mergeCell ref="K15:L15"/>
    <mergeCell ref="M15:N15"/>
    <mergeCell ref="O15:P15"/>
    <mergeCell ref="Q15:R15"/>
    <mergeCell ref="S15:T15"/>
    <mergeCell ref="U15:V15"/>
    <mergeCell ref="F14:G14"/>
    <mergeCell ref="K14:L14"/>
    <mergeCell ref="M14:N14"/>
    <mergeCell ref="O14:P14"/>
    <mergeCell ref="Q14:R14"/>
    <mergeCell ref="S14:T14"/>
    <mergeCell ref="D18:D21"/>
    <mergeCell ref="F18:G18"/>
    <mergeCell ref="K18:L18"/>
    <mergeCell ref="M18:N18"/>
    <mergeCell ref="O18:P18"/>
    <mergeCell ref="Q18:R18"/>
    <mergeCell ref="U16:V16"/>
    <mergeCell ref="F17:G17"/>
    <mergeCell ref="K17:L17"/>
    <mergeCell ref="M17:N17"/>
    <mergeCell ref="O17:P17"/>
    <mergeCell ref="Q17:R17"/>
    <mergeCell ref="S17:T17"/>
    <mergeCell ref="U17:V17"/>
    <mergeCell ref="F16:G16"/>
    <mergeCell ref="K16:L16"/>
    <mergeCell ref="M16:N16"/>
    <mergeCell ref="O16:P16"/>
    <mergeCell ref="Q16:R16"/>
    <mergeCell ref="S16:T16"/>
    <mergeCell ref="S18:T18"/>
    <mergeCell ref="U18:V18"/>
    <mergeCell ref="D14:D17"/>
    <mergeCell ref="U14:V14"/>
    <mergeCell ref="AA19:AB19"/>
    <mergeCell ref="F20:G20"/>
    <mergeCell ref="K20:L20"/>
    <mergeCell ref="M20:N20"/>
    <mergeCell ref="O20:P20"/>
    <mergeCell ref="Q20:R20"/>
    <mergeCell ref="S20:T20"/>
    <mergeCell ref="U20:V20"/>
    <mergeCell ref="X20:X21"/>
    <mergeCell ref="X18:X19"/>
    <mergeCell ref="Y18:Y19"/>
    <mergeCell ref="F19:G19"/>
    <mergeCell ref="K19:L19"/>
    <mergeCell ref="M19:N19"/>
    <mergeCell ref="O19:P19"/>
    <mergeCell ref="Q19:R19"/>
    <mergeCell ref="S19:T19"/>
    <mergeCell ref="U19:V19"/>
    <mergeCell ref="U22:V22"/>
    <mergeCell ref="X22:X23"/>
    <mergeCell ref="U23:V23"/>
    <mergeCell ref="Y20:Y23"/>
    <mergeCell ref="F21:G21"/>
    <mergeCell ref="K21:L21"/>
    <mergeCell ref="M21:N21"/>
    <mergeCell ref="O21:P21"/>
    <mergeCell ref="Q21:R21"/>
    <mergeCell ref="S21:T21"/>
    <mergeCell ref="U21:V21"/>
    <mergeCell ref="F22:G22"/>
    <mergeCell ref="K22:L22"/>
    <mergeCell ref="F23:G23"/>
    <mergeCell ref="K23:L23"/>
    <mergeCell ref="M23:N23"/>
    <mergeCell ref="O23:P23"/>
    <mergeCell ref="Q23:R23"/>
    <mergeCell ref="S23:T23"/>
    <mergeCell ref="M22:N22"/>
    <mergeCell ref="O22:P22"/>
    <mergeCell ref="Q22:R22"/>
    <mergeCell ref="S22:T22"/>
    <mergeCell ref="X24:X28"/>
    <mergeCell ref="Y24:Y28"/>
    <mergeCell ref="F25:G25"/>
    <mergeCell ref="K25:L25"/>
    <mergeCell ref="M25:N25"/>
    <mergeCell ref="O25:P25"/>
    <mergeCell ref="Q25:R25"/>
    <mergeCell ref="S25:T25"/>
    <mergeCell ref="D24:D28"/>
    <mergeCell ref="F24:G24"/>
    <mergeCell ref="K24:L24"/>
    <mergeCell ref="M24:N24"/>
    <mergeCell ref="O24:P24"/>
    <mergeCell ref="Q24:R24"/>
    <mergeCell ref="F27:G27"/>
    <mergeCell ref="K27:L27"/>
    <mergeCell ref="M27:N27"/>
    <mergeCell ref="O27:P27"/>
    <mergeCell ref="U25:V25"/>
    <mergeCell ref="F26:G26"/>
    <mergeCell ref="K26:L26"/>
    <mergeCell ref="M26:N26"/>
    <mergeCell ref="O26:P26"/>
    <mergeCell ref="Q26:R26"/>
    <mergeCell ref="S26:T26"/>
    <mergeCell ref="U26:V26"/>
    <mergeCell ref="S24:T24"/>
    <mergeCell ref="U24:V24"/>
    <mergeCell ref="Q27:R27"/>
    <mergeCell ref="S27:T27"/>
    <mergeCell ref="U27:V27"/>
    <mergeCell ref="F28:G28"/>
    <mergeCell ref="K28:L28"/>
    <mergeCell ref="M28:N28"/>
    <mergeCell ref="O28:P28"/>
    <mergeCell ref="Q28:R28"/>
    <mergeCell ref="S28:T28"/>
    <mergeCell ref="U28:V28"/>
    <mergeCell ref="W29:X30"/>
    <mergeCell ref="Y29:Y30"/>
    <mergeCell ref="F30:G30"/>
    <mergeCell ref="K30:L30"/>
    <mergeCell ref="M30:N30"/>
    <mergeCell ref="O30:P30"/>
    <mergeCell ref="Q30:R30"/>
    <mergeCell ref="S30:T30"/>
    <mergeCell ref="F29:G29"/>
    <mergeCell ref="K29:L29"/>
    <mergeCell ref="M29:N29"/>
    <mergeCell ref="O29:P29"/>
    <mergeCell ref="Q29:R29"/>
    <mergeCell ref="U30:V30"/>
    <mergeCell ref="D31:D32"/>
    <mergeCell ref="F31:G31"/>
    <mergeCell ref="K31:L31"/>
    <mergeCell ref="M31:N31"/>
    <mergeCell ref="O31:P31"/>
    <mergeCell ref="Q31:R31"/>
    <mergeCell ref="S31:T31"/>
    <mergeCell ref="U31:V31"/>
    <mergeCell ref="D29:D30"/>
    <mergeCell ref="S29:T29"/>
    <mergeCell ref="U29:V29"/>
    <mergeCell ref="W31:X32"/>
    <mergeCell ref="Y31:Y32"/>
    <mergeCell ref="F32:G32"/>
    <mergeCell ref="K32:L32"/>
    <mergeCell ref="M32:N32"/>
    <mergeCell ref="O32:P32"/>
    <mergeCell ref="Q32:R32"/>
    <mergeCell ref="S32:T32"/>
    <mergeCell ref="U32:V32"/>
    <mergeCell ref="U33:V33"/>
    <mergeCell ref="W33:X33"/>
    <mergeCell ref="D34:E34"/>
    <mergeCell ref="F34:G34"/>
    <mergeCell ref="K34:L34"/>
    <mergeCell ref="M34:N34"/>
    <mergeCell ref="O34:P34"/>
    <mergeCell ref="Q34:R34"/>
    <mergeCell ref="S34:T34"/>
    <mergeCell ref="U34:V34"/>
    <mergeCell ref="B33:G33"/>
    <mergeCell ref="K33:L33"/>
    <mergeCell ref="M33:N33"/>
    <mergeCell ref="O33:P33"/>
    <mergeCell ref="Q33:R33"/>
    <mergeCell ref="S33:T33"/>
    <mergeCell ref="W34:X34"/>
    <mergeCell ref="AA35:AB35"/>
    <mergeCell ref="F36:G36"/>
    <mergeCell ref="K36:L36"/>
    <mergeCell ref="M36:N36"/>
    <mergeCell ref="O36:P36"/>
    <mergeCell ref="Q36:R36"/>
    <mergeCell ref="S36:T36"/>
    <mergeCell ref="U36:V36"/>
    <mergeCell ref="W36:X36"/>
    <mergeCell ref="Y34:Y51"/>
    <mergeCell ref="F35:G35"/>
    <mergeCell ref="K35:L35"/>
    <mergeCell ref="M35:N35"/>
    <mergeCell ref="O35:P35"/>
    <mergeCell ref="Q35:R35"/>
    <mergeCell ref="S35:T35"/>
    <mergeCell ref="U35:V35"/>
    <mergeCell ref="W35:X35"/>
    <mergeCell ref="U37:V37"/>
    <mergeCell ref="W37:X37"/>
    <mergeCell ref="F38:G38"/>
    <mergeCell ref="K38:L38"/>
    <mergeCell ref="M38:N38"/>
    <mergeCell ref="O38:P38"/>
    <mergeCell ref="S37:T37"/>
    <mergeCell ref="U39:V39"/>
    <mergeCell ref="W39:X39"/>
    <mergeCell ref="F40:G40"/>
    <mergeCell ref="K40:L40"/>
    <mergeCell ref="M40:N40"/>
    <mergeCell ref="O40:P40"/>
    <mergeCell ref="Q40:R40"/>
    <mergeCell ref="S40:T40"/>
    <mergeCell ref="U40:V40"/>
    <mergeCell ref="W40:X40"/>
    <mergeCell ref="F39:G39"/>
    <mergeCell ref="K39:L39"/>
    <mergeCell ref="M39:N39"/>
    <mergeCell ref="O39:P39"/>
    <mergeCell ref="Q39:R39"/>
    <mergeCell ref="S39:T39"/>
    <mergeCell ref="Q38:R38"/>
    <mergeCell ref="S38:T38"/>
    <mergeCell ref="U38:V38"/>
    <mergeCell ref="W38:X38"/>
    <mergeCell ref="F37:G37"/>
    <mergeCell ref="K37:L37"/>
    <mergeCell ref="M37:N37"/>
    <mergeCell ref="U41:V41"/>
    <mergeCell ref="W41:X41"/>
    <mergeCell ref="F42:G42"/>
    <mergeCell ref="K42:L42"/>
    <mergeCell ref="M42:N42"/>
    <mergeCell ref="O42:P42"/>
    <mergeCell ref="Q42:R42"/>
    <mergeCell ref="S42:T42"/>
    <mergeCell ref="U42:V42"/>
    <mergeCell ref="W42:X42"/>
    <mergeCell ref="F41:G41"/>
    <mergeCell ref="K41:L41"/>
    <mergeCell ref="M41:N41"/>
    <mergeCell ref="O41:P41"/>
    <mergeCell ref="Q41:R41"/>
    <mergeCell ref="S41:T41"/>
    <mergeCell ref="U43:V43"/>
    <mergeCell ref="W43:X43"/>
    <mergeCell ref="F44:G44"/>
    <mergeCell ref="K44:L44"/>
    <mergeCell ref="M44:N44"/>
    <mergeCell ref="O44:P44"/>
    <mergeCell ref="Q44:R44"/>
    <mergeCell ref="S44:T44"/>
    <mergeCell ref="U44:V44"/>
    <mergeCell ref="W44:X44"/>
    <mergeCell ref="F43:G43"/>
    <mergeCell ref="K43:L43"/>
    <mergeCell ref="M43:N43"/>
    <mergeCell ref="O43:P43"/>
    <mergeCell ref="Q43:R43"/>
    <mergeCell ref="S43:T43"/>
    <mergeCell ref="U45:V45"/>
    <mergeCell ref="W45:X45"/>
    <mergeCell ref="F46:G46"/>
    <mergeCell ref="K46:L46"/>
    <mergeCell ref="M46:N46"/>
    <mergeCell ref="O46:P46"/>
    <mergeCell ref="Q46:R46"/>
    <mergeCell ref="S46:T46"/>
    <mergeCell ref="U46:V46"/>
    <mergeCell ref="W46:X46"/>
    <mergeCell ref="F45:G45"/>
    <mergeCell ref="K45:L45"/>
    <mergeCell ref="M45:N45"/>
    <mergeCell ref="O45:P45"/>
    <mergeCell ref="Q45:R45"/>
    <mergeCell ref="S45:T45"/>
    <mergeCell ref="O48:P48"/>
    <mergeCell ref="Q48:R48"/>
    <mergeCell ref="S48:T48"/>
    <mergeCell ref="U48:V48"/>
    <mergeCell ref="W48:X48"/>
    <mergeCell ref="F47:G47"/>
    <mergeCell ref="K47:L47"/>
    <mergeCell ref="M47:N47"/>
    <mergeCell ref="O47:P47"/>
    <mergeCell ref="Q47:R47"/>
    <mergeCell ref="S47:T47"/>
    <mergeCell ref="U49:V49"/>
    <mergeCell ref="W49:X49"/>
    <mergeCell ref="S49:T49"/>
    <mergeCell ref="B50:B51"/>
    <mergeCell ref="F50:G50"/>
    <mergeCell ref="I50:I51"/>
    <mergeCell ref="J50:J51"/>
    <mergeCell ref="K50:L50"/>
    <mergeCell ref="M50:N50"/>
    <mergeCell ref="O50:P50"/>
    <mergeCell ref="Q50:R50"/>
    <mergeCell ref="F49:G49"/>
    <mergeCell ref="K49:L49"/>
    <mergeCell ref="M49:N49"/>
    <mergeCell ref="O49:P49"/>
    <mergeCell ref="Q49:R49"/>
    <mergeCell ref="B34:C49"/>
    <mergeCell ref="O37:P37"/>
    <mergeCell ref="Q37:R37"/>
    <mergeCell ref="U47:V47"/>
    <mergeCell ref="W47:X47"/>
    <mergeCell ref="F48:G48"/>
    <mergeCell ref="K48:L48"/>
    <mergeCell ref="M48:N48"/>
    <mergeCell ref="B52:G53"/>
    <mergeCell ref="H52:H53"/>
    <mergeCell ref="I52:I53"/>
    <mergeCell ref="J52:J53"/>
    <mergeCell ref="K52:L53"/>
    <mergeCell ref="M52:N53"/>
    <mergeCell ref="S50:T51"/>
    <mergeCell ref="U50:V51"/>
    <mergeCell ref="W50:X51"/>
    <mergeCell ref="F51:G51"/>
    <mergeCell ref="K51:L51"/>
    <mergeCell ref="M51:N51"/>
    <mergeCell ref="O51:P51"/>
    <mergeCell ref="Q51:R51"/>
    <mergeCell ref="O58:P58"/>
    <mergeCell ref="AA53:AB53"/>
    <mergeCell ref="B54:G54"/>
    <mergeCell ref="K54:L54"/>
    <mergeCell ref="M54:N54"/>
    <mergeCell ref="O54:P54"/>
    <mergeCell ref="Q54:R54"/>
    <mergeCell ref="S54:T54"/>
    <mergeCell ref="U54:V54"/>
    <mergeCell ref="W54:X54"/>
    <mergeCell ref="AA54:AB54"/>
    <mergeCell ref="O52:P53"/>
    <mergeCell ref="Q52:R53"/>
    <mergeCell ref="S52:T53"/>
    <mergeCell ref="U52:V53"/>
    <mergeCell ref="W52:X53"/>
    <mergeCell ref="Y52:Y53"/>
    <mergeCell ref="AA56:AB56"/>
    <mergeCell ref="F57:J57"/>
    <mergeCell ref="K57:L57"/>
    <mergeCell ref="M57:N57"/>
    <mergeCell ref="O57:P57"/>
    <mergeCell ref="Q57:R57"/>
    <mergeCell ref="S57:T57"/>
    <mergeCell ref="U57:V57"/>
    <mergeCell ref="S55:T55"/>
    <mergeCell ref="U55:V55"/>
    <mergeCell ref="W55:X57"/>
    <mergeCell ref="Y55:Y57"/>
    <mergeCell ref="AA55:AB55"/>
    <mergeCell ref="F56:J56"/>
    <mergeCell ref="K56:L56"/>
    <mergeCell ref="M56:N56"/>
    <mergeCell ref="O56:P56"/>
    <mergeCell ref="Q56:R56"/>
    <mergeCell ref="F55:J55"/>
    <mergeCell ref="K55:L55"/>
    <mergeCell ref="M55:N55"/>
    <mergeCell ref="O55:P55"/>
    <mergeCell ref="Q55:R55"/>
    <mergeCell ref="S56:T56"/>
    <mergeCell ref="U56:V56"/>
    <mergeCell ref="D22:D23"/>
    <mergeCell ref="AA49:AB50"/>
    <mergeCell ref="AA51:AB51"/>
    <mergeCell ref="U59:V59"/>
    <mergeCell ref="W59:X59"/>
    <mergeCell ref="B60:J60"/>
    <mergeCell ref="K60:N60"/>
    <mergeCell ref="O60:R60"/>
    <mergeCell ref="S60:V60"/>
    <mergeCell ref="W60:X60"/>
    <mergeCell ref="Q58:R58"/>
    <mergeCell ref="S58:T58"/>
    <mergeCell ref="U58:V58"/>
    <mergeCell ref="W58:X58"/>
    <mergeCell ref="B59:J59"/>
    <mergeCell ref="K59:L59"/>
    <mergeCell ref="M59:N59"/>
    <mergeCell ref="O59:P59"/>
    <mergeCell ref="Q59:R59"/>
    <mergeCell ref="S59:T59"/>
    <mergeCell ref="B55:E58"/>
    <mergeCell ref="F58:J58"/>
    <mergeCell ref="K58:L58"/>
    <mergeCell ref="M58:N58"/>
  </mergeCells>
  <phoneticPr fontId="9" type="noConversion"/>
  <conditionalFormatting sqref="AA35:AB35 AA54:AB54 AA56:AB56">
    <cfRule type="containsText" dxfId="2" priority="2" operator="containsText" text="FALSE">
      <formula>NOT(ISERROR(SEARCH("FALSE",AA35)))</formula>
    </cfRule>
  </conditionalFormatting>
  <conditionalFormatting sqref="AA51:AB51">
    <cfRule type="containsText" dxfId="1" priority="1" operator="containsText" text="FALSE">
      <formula>NOT(ISERROR(SEARCH("FALSE",AA51)))</formula>
    </cfRule>
  </conditionalFormatting>
  <printOptions horizontalCentered="1" verticalCentered="1"/>
  <pageMargins left="0.25" right="0.25" top="0.75" bottom="0.75" header="0.3" footer="0.3"/>
  <pageSetup paperSize="12" scale="53" orientation="portrait" cellComments="asDisplayed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1B5C25D4-069B-4C46-8F28-4465BA7ED687}">
          <x14:formula1>
            <xm:f>삭제금지!$J$2:$J$59</xm:f>
          </x14:formula1>
          <xm:sqref>H5:J5</xm:sqref>
        </x14:dataValidation>
        <x14:dataValidation type="list" allowBlank="1" showInputMessage="1" showErrorMessage="1" xr:uid="{5ED1A3DE-7415-4AE7-A21D-54F1F1D86C9D}">
          <x14:formula1>
            <xm:f>삭제금지!$I$2:$I$18</xm:f>
          </x14:formula1>
          <xm:sqref>F5:G5</xm:sqref>
        </x14:dataValidation>
        <x14:dataValidation type="list" allowBlank="1" showInputMessage="1" showErrorMessage="1" xr:uid="{29A12EAD-AD22-4722-B1AD-75E09DEE3626}">
          <x14:formula1>
            <xm:f>삭제금지!$K$2:$K$59</xm:f>
          </x14:formula1>
          <xm:sqref>K5:O5</xm:sqref>
        </x14:dataValidation>
        <x14:dataValidation type="list" allowBlank="1" showInputMessage="1" showErrorMessage="1" xr:uid="{467E01D9-23D3-49FF-9B4C-12CD48AE0CAE}">
          <x14:formula1>
            <xm:f>삭제금지!$L$2:$L$4</xm:f>
          </x14:formula1>
          <xm:sqref>T5:V5</xm:sqref>
        </x14:dataValidation>
        <x14:dataValidation type="list" allowBlank="1" showInputMessage="1" showErrorMessage="1" xr:uid="{BA248038-C804-43DE-9656-6EBF532E1555}">
          <x14:formula1>
            <xm:f>삭제금지!$H$2:$H$18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BB6A-BC16-4B3F-99FD-6C4F49D97E43}">
  <sheetPr>
    <pageSetUpPr fitToPage="1"/>
  </sheetPr>
  <dimension ref="B1:AD88"/>
  <sheetViews>
    <sheetView view="pageBreakPreview" zoomScaleNormal="100" zoomScaleSheetLayoutView="100" workbookViewId="0">
      <pane ySplit="8" topLeftCell="A35" activePane="bottomLeft" state="frozen"/>
      <selection pane="bottomLeft" activeCell="F47" sqref="F47:G47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8.75" style="4"/>
    <col min="27" max="27" width="16.375" style="4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499" t="s">
        <v>505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499"/>
      <c r="R2" s="499"/>
      <c r="S2" s="499"/>
      <c r="T2" s="499"/>
      <c r="U2" s="500"/>
      <c r="V2" s="501" t="s">
        <v>130</v>
      </c>
      <c r="W2" s="502"/>
      <c r="X2" s="503">
        <v>2027</v>
      </c>
      <c r="Y2" s="504"/>
      <c r="AA2" s="505" t="s">
        <v>143</v>
      </c>
      <c r="AB2" s="19" t="s">
        <v>144</v>
      </c>
      <c r="AC2" s="59" t="s">
        <v>150</v>
      </c>
      <c r="AD2" s="20" t="s">
        <v>145</v>
      </c>
    </row>
    <row r="3" spans="2:30" ht="17.25" thickBot="1">
      <c r="B3" s="508" t="s">
        <v>355</v>
      </c>
      <c r="C3" s="510" t="s">
        <v>53</v>
      </c>
      <c r="D3" s="511"/>
      <c r="E3" s="511"/>
      <c r="F3" s="510" t="s">
        <v>64</v>
      </c>
      <c r="G3" s="514"/>
      <c r="H3" s="510" t="s">
        <v>54</v>
      </c>
      <c r="I3" s="511"/>
      <c r="J3" s="511"/>
      <c r="K3" s="510" t="s">
        <v>55</v>
      </c>
      <c r="L3" s="511"/>
      <c r="M3" s="511"/>
      <c r="N3" s="511"/>
      <c r="O3" s="514"/>
      <c r="P3" s="488" t="s">
        <v>56</v>
      </c>
      <c r="Q3" s="489"/>
      <c r="R3" s="489"/>
      <c r="S3" s="489"/>
      <c r="T3" s="489"/>
      <c r="U3" s="489"/>
      <c r="V3" s="489"/>
      <c r="W3" s="489"/>
      <c r="X3" s="489"/>
      <c r="Y3" s="490"/>
      <c r="AA3" s="506"/>
      <c r="AB3" s="21" t="s">
        <v>146</v>
      </c>
      <c r="AC3" s="65" t="s">
        <v>517</v>
      </c>
      <c r="AD3" s="486" t="s">
        <v>518</v>
      </c>
    </row>
    <row r="4" spans="2:30" ht="17.25" thickBot="1">
      <c r="B4" s="509"/>
      <c r="C4" s="512"/>
      <c r="D4" s="513"/>
      <c r="E4" s="513"/>
      <c r="F4" s="512"/>
      <c r="G4" s="515"/>
      <c r="H4" s="512"/>
      <c r="I4" s="513"/>
      <c r="J4" s="513"/>
      <c r="K4" s="512"/>
      <c r="L4" s="513"/>
      <c r="M4" s="513"/>
      <c r="N4" s="513"/>
      <c r="O4" s="515"/>
      <c r="P4" s="488" t="s">
        <v>127</v>
      </c>
      <c r="Q4" s="489"/>
      <c r="R4" s="489"/>
      <c r="S4" s="489"/>
      <c r="T4" s="488" t="s">
        <v>61</v>
      </c>
      <c r="U4" s="489"/>
      <c r="V4" s="490"/>
      <c r="W4" s="489" t="s">
        <v>128</v>
      </c>
      <c r="X4" s="489"/>
      <c r="Y4" s="490"/>
      <c r="AA4" s="506"/>
      <c r="AB4" s="23" t="s">
        <v>147</v>
      </c>
      <c r="AC4" s="66" t="s">
        <v>658</v>
      </c>
      <c r="AD4" s="487"/>
    </row>
    <row r="5" spans="2:30" ht="26.25" customHeight="1" thickBot="1">
      <c r="B5" s="98" t="s">
        <v>506</v>
      </c>
      <c r="C5" s="491" t="s">
        <v>659</v>
      </c>
      <c r="D5" s="492"/>
      <c r="E5" s="493"/>
      <c r="F5" s="491" t="s">
        <v>537</v>
      </c>
      <c r="G5" s="494"/>
      <c r="H5" s="495" t="s">
        <v>538</v>
      </c>
      <c r="I5" s="492"/>
      <c r="J5" s="493"/>
      <c r="K5" s="491" t="s">
        <v>539</v>
      </c>
      <c r="L5" s="492"/>
      <c r="M5" s="492"/>
      <c r="N5" s="492"/>
      <c r="O5" s="494"/>
      <c r="P5" s="495" t="s">
        <v>540</v>
      </c>
      <c r="Q5" s="492"/>
      <c r="R5" s="492"/>
      <c r="S5" s="493"/>
      <c r="T5" s="491" t="s">
        <v>34</v>
      </c>
      <c r="U5" s="492"/>
      <c r="V5" s="493"/>
      <c r="W5" s="496" t="s">
        <v>541</v>
      </c>
      <c r="X5" s="497"/>
      <c r="Y5" s="498"/>
      <c r="AA5" s="507"/>
      <c r="AB5" s="24"/>
      <c r="AC5" s="67"/>
      <c r="AD5" s="183"/>
    </row>
    <row r="6" spans="2:30" ht="15.75" customHeight="1" thickBot="1">
      <c r="U6" s="459"/>
      <c r="V6" s="459"/>
      <c r="W6" s="459"/>
      <c r="X6" s="459"/>
      <c r="Y6" s="459"/>
    </row>
    <row r="7" spans="2:30" s="10" customFormat="1" ht="22.5" customHeight="1">
      <c r="B7" s="460" t="s">
        <v>2</v>
      </c>
      <c r="C7" s="461"/>
      <c r="D7" s="464" t="s">
        <v>120</v>
      </c>
      <c r="E7" s="466" t="s">
        <v>57</v>
      </c>
      <c r="F7" s="467"/>
      <c r="G7" s="468"/>
      <c r="H7" s="469" t="s">
        <v>133</v>
      </c>
      <c r="I7" s="471" t="s">
        <v>134</v>
      </c>
      <c r="J7" s="473" t="s">
        <v>135</v>
      </c>
      <c r="K7" s="475" t="s">
        <v>58</v>
      </c>
      <c r="L7" s="471"/>
      <c r="M7" s="471"/>
      <c r="N7" s="476"/>
      <c r="O7" s="477" t="s">
        <v>59</v>
      </c>
      <c r="P7" s="471"/>
      <c r="Q7" s="471"/>
      <c r="R7" s="476"/>
      <c r="S7" s="475" t="s">
        <v>60</v>
      </c>
      <c r="T7" s="471"/>
      <c r="U7" s="471"/>
      <c r="V7" s="478"/>
      <c r="W7" s="469" t="s">
        <v>136</v>
      </c>
      <c r="X7" s="473"/>
      <c r="Y7" s="468" t="s">
        <v>137</v>
      </c>
      <c r="Z7" s="9"/>
    </row>
    <row r="8" spans="2:30" s="10" customFormat="1" ht="22.5" customHeight="1" thickBot="1">
      <c r="B8" s="462"/>
      <c r="C8" s="463"/>
      <c r="D8" s="465"/>
      <c r="E8" s="25" t="s">
        <v>18</v>
      </c>
      <c r="F8" s="480" t="s">
        <v>19</v>
      </c>
      <c r="G8" s="481"/>
      <c r="H8" s="470"/>
      <c r="I8" s="472"/>
      <c r="J8" s="474"/>
      <c r="K8" s="482" t="s">
        <v>0</v>
      </c>
      <c r="L8" s="472"/>
      <c r="M8" s="472" t="s">
        <v>62</v>
      </c>
      <c r="N8" s="483"/>
      <c r="O8" s="484" t="s">
        <v>0</v>
      </c>
      <c r="P8" s="472"/>
      <c r="Q8" s="472" t="s">
        <v>62</v>
      </c>
      <c r="R8" s="483"/>
      <c r="S8" s="482" t="s">
        <v>0</v>
      </c>
      <c r="T8" s="472"/>
      <c r="U8" s="472" t="s">
        <v>62</v>
      </c>
      <c r="V8" s="485"/>
      <c r="W8" s="470"/>
      <c r="X8" s="474"/>
      <c r="Y8" s="479"/>
      <c r="AA8" s="452" t="s">
        <v>495</v>
      </c>
      <c r="AB8" s="452"/>
      <c r="AC8" s="452"/>
      <c r="AD8" s="452"/>
    </row>
    <row r="9" spans="2:30" ht="16.5" customHeight="1">
      <c r="B9" s="202" t="s">
        <v>335</v>
      </c>
      <c r="C9" s="167"/>
      <c r="D9" s="253" t="s">
        <v>21</v>
      </c>
      <c r="E9" s="68" t="s">
        <v>12</v>
      </c>
      <c r="F9" s="304" t="s">
        <v>199</v>
      </c>
      <c r="G9" s="288"/>
      <c r="H9" s="69">
        <v>4</v>
      </c>
      <c r="I9" s="70" t="s">
        <v>336</v>
      </c>
      <c r="J9" s="71">
        <v>4</v>
      </c>
      <c r="K9" s="304">
        <v>4</v>
      </c>
      <c r="L9" s="286"/>
      <c r="M9" s="287"/>
      <c r="N9" s="305"/>
      <c r="O9" s="285"/>
      <c r="P9" s="286"/>
      <c r="Q9" s="287"/>
      <c r="R9" s="305"/>
      <c r="S9" s="285"/>
      <c r="T9" s="286"/>
      <c r="U9" s="287"/>
      <c r="V9" s="288"/>
      <c r="W9" s="72">
        <f>SUM(K9:V9)</f>
        <v>4</v>
      </c>
      <c r="X9" s="431">
        <f>SUM(W9:W12)</f>
        <v>13</v>
      </c>
      <c r="Y9" s="291">
        <v>24</v>
      </c>
      <c r="AA9" s="159" t="s">
        <v>18</v>
      </c>
      <c r="AB9" s="160" t="s">
        <v>501</v>
      </c>
      <c r="AC9" s="160" t="s">
        <v>502</v>
      </c>
      <c r="AD9" s="161" t="s">
        <v>503</v>
      </c>
    </row>
    <row r="10" spans="2:30">
      <c r="B10" s="203"/>
      <c r="C10" s="168"/>
      <c r="D10" s="416"/>
      <c r="E10" s="73" t="s">
        <v>12</v>
      </c>
      <c r="F10" s="297" t="s">
        <v>200</v>
      </c>
      <c r="G10" s="284"/>
      <c r="H10" s="74">
        <v>4</v>
      </c>
      <c r="I10" s="75" t="s">
        <v>336</v>
      </c>
      <c r="J10" s="76">
        <v>3</v>
      </c>
      <c r="K10" s="297"/>
      <c r="L10" s="298"/>
      <c r="M10" s="283">
        <v>3</v>
      </c>
      <c r="N10" s="299"/>
      <c r="O10" s="300"/>
      <c r="P10" s="298"/>
      <c r="Q10" s="283"/>
      <c r="R10" s="299"/>
      <c r="S10" s="300"/>
      <c r="T10" s="298"/>
      <c r="U10" s="283"/>
      <c r="V10" s="284"/>
      <c r="W10" s="77">
        <f t="shared" ref="W10:W23" si="0">SUM(K10:V10)</f>
        <v>3</v>
      </c>
      <c r="X10" s="449"/>
      <c r="Y10" s="292"/>
      <c r="AA10" s="162" t="s">
        <v>496</v>
      </c>
      <c r="AB10" s="163">
        <v>4</v>
      </c>
      <c r="AC10" s="163">
        <v>-1</v>
      </c>
      <c r="AD10" s="22" t="s">
        <v>336</v>
      </c>
    </row>
    <row r="11" spans="2:30">
      <c r="B11" s="203"/>
      <c r="C11" s="168"/>
      <c r="D11" s="416"/>
      <c r="E11" s="78" t="s">
        <v>341</v>
      </c>
      <c r="F11" s="530" t="s">
        <v>203</v>
      </c>
      <c r="G11" s="531"/>
      <c r="H11" s="165">
        <v>4</v>
      </c>
      <c r="I11" s="170" t="s">
        <v>338</v>
      </c>
      <c r="J11" s="171">
        <v>3</v>
      </c>
      <c r="K11" s="530"/>
      <c r="L11" s="533"/>
      <c r="M11" s="534"/>
      <c r="N11" s="535"/>
      <c r="O11" s="532"/>
      <c r="P11" s="533"/>
      <c r="Q11" s="534"/>
      <c r="R11" s="535"/>
      <c r="S11" s="532">
        <v>3</v>
      </c>
      <c r="T11" s="533"/>
      <c r="U11" s="283"/>
      <c r="V11" s="284"/>
      <c r="W11" s="77">
        <f t="shared" si="0"/>
        <v>3</v>
      </c>
      <c r="X11" s="449"/>
      <c r="Y11" s="292"/>
      <c r="AA11" s="162" t="s">
        <v>497</v>
      </c>
      <c r="AB11" s="163">
        <v>3</v>
      </c>
      <c r="AC11" s="163"/>
      <c r="AD11" s="22">
        <v>3</v>
      </c>
    </row>
    <row r="12" spans="2:30" ht="17.25" thickBot="1">
      <c r="B12" s="203"/>
      <c r="C12" s="168"/>
      <c r="D12" s="254"/>
      <c r="E12" s="205" t="s">
        <v>341</v>
      </c>
      <c r="F12" s="418" t="s">
        <v>202</v>
      </c>
      <c r="G12" s="419"/>
      <c r="H12" s="79">
        <v>4</v>
      </c>
      <c r="I12" s="80" t="s">
        <v>338</v>
      </c>
      <c r="J12" s="175">
        <v>3</v>
      </c>
      <c r="K12" s="418"/>
      <c r="L12" s="424"/>
      <c r="M12" s="425"/>
      <c r="N12" s="422"/>
      <c r="O12" s="423"/>
      <c r="P12" s="424"/>
      <c r="Q12" s="425">
        <v>3</v>
      </c>
      <c r="R12" s="422"/>
      <c r="S12" s="421"/>
      <c r="T12" s="421"/>
      <c r="U12" s="421"/>
      <c r="V12" s="419"/>
      <c r="W12" s="77">
        <f t="shared" si="0"/>
        <v>3</v>
      </c>
      <c r="X12" s="432"/>
      <c r="Y12" s="292"/>
      <c r="AA12" s="162" t="s">
        <v>498</v>
      </c>
      <c r="AB12" s="163">
        <v>4</v>
      </c>
      <c r="AC12" s="163" t="s">
        <v>504</v>
      </c>
      <c r="AD12" s="22" t="s">
        <v>338</v>
      </c>
    </row>
    <row r="13" spans="2:30" ht="17.45" customHeight="1">
      <c r="B13" s="203"/>
      <c r="C13" s="168"/>
      <c r="D13" s="253" t="s">
        <v>5</v>
      </c>
      <c r="E13" s="68" t="s">
        <v>12</v>
      </c>
      <c r="F13" s="538" t="s">
        <v>211</v>
      </c>
      <c r="G13" s="539"/>
      <c r="H13" s="206">
        <v>4</v>
      </c>
      <c r="I13" s="88" t="s">
        <v>336</v>
      </c>
      <c r="J13" s="207">
        <v>3</v>
      </c>
      <c r="K13" s="538"/>
      <c r="L13" s="537"/>
      <c r="M13" s="540"/>
      <c r="N13" s="541"/>
      <c r="O13" s="536">
        <v>3</v>
      </c>
      <c r="P13" s="537"/>
      <c r="Q13" s="540"/>
      <c r="R13" s="541"/>
      <c r="S13" s="536"/>
      <c r="T13" s="537"/>
      <c r="U13" s="287"/>
      <c r="V13" s="288"/>
      <c r="W13" s="72">
        <f t="shared" si="0"/>
        <v>3</v>
      </c>
      <c r="X13" s="431">
        <f>SUM(W13:W14)</f>
        <v>6</v>
      </c>
      <c r="Y13" s="292"/>
      <c r="AA13" s="163" t="s">
        <v>499</v>
      </c>
      <c r="AB13" s="163">
        <v>3</v>
      </c>
      <c r="AC13" s="163" t="s">
        <v>504</v>
      </c>
      <c r="AD13" s="22" t="s">
        <v>343</v>
      </c>
    </row>
    <row r="14" spans="2:30" ht="17.25" thickBot="1">
      <c r="B14" s="203"/>
      <c r="C14" s="168"/>
      <c r="D14" s="254"/>
      <c r="E14" s="73" t="s">
        <v>12</v>
      </c>
      <c r="F14" s="297" t="s">
        <v>213</v>
      </c>
      <c r="G14" s="284"/>
      <c r="H14" s="74">
        <v>4</v>
      </c>
      <c r="I14" s="75" t="s">
        <v>336</v>
      </c>
      <c r="J14" s="76">
        <v>3</v>
      </c>
      <c r="K14" s="297"/>
      <c r="L14" s="298"/>
      <c r="M14" s="283"/>
      <c r="N14" s="299"/>
      <c r="O14" s="300"/>
      <c r="P14" s="298"/>
      <c r="Q14" s="283">
        <v>3</v>
      </c>
      <c r="R14" s="299"/>
      <c r="S14" s="300"/>
      <c r="T14" s="298"/>
      <c r="U14" s="283"/>
      <c r="V14" s="284"/>
      <c r="W14" s="77">
        <f t="shared" si="0"/>
        <v>3</v>
      </c>
      <c r="X14" s="432"/>
      <c r="Y14" s="292"/>
      <c r="AA14" s="164" t="s">
        <v>500</v>
      </c>
      <c r="AB14" s="450" t="s">
        <v>672</v>
      </c>
      <c r="AC14" s="450"/>
      <c r="AD14" s="451"/>
    </row>
    <row r="15" spans="2:30">
      <c r="B15" s="203"/>
      <c r="C15" s="168"/>
      <c r="D15" s="253" t="s">
        <v>6</v>
      </c>
      <c r="E15" s="68" t="s">
        <v>12</v>
      </c>
      <c r="F15" s="304" t="s">
        <v>218</v>
      </c>
      <c r="G15" s="288"/>
      <c r="H15" s="69">
        <v>4</v>
      </c>
      <c r="I15" s="70" t="s">
        <v>336</v>
      </c>
      <c r="J15" s="71">
        <v>3</v>
      </c>
      <c r="K15" s="304">
        <v>3</v>
      </c>
      <c r="L15" s="286"/>
      <c r="M15" s="287"/>
      <c r="N15" s="305"/>
      <c r="O15" s="285"/>
      <c r="P15" s="286"/>
      <c r="Q15" s="287"/>
      <c r="R15" s="305"/>
      <c r="S15" s="285"/>
      <c r="T15" s="286"/>
      <c r="U15" s="414"/>
      <c r="V15" s="415"/>
      <c r="W15" s="72">
        <f t="shared" si="0"/>
        <v>3</v>
      </c>
      <c r="X15" s="431">
        <f>SUM(W15:W18)</f>
        <v>12</v>
      </c>
      <c r="Y15" s="292"/>
    </row>
    <row r="16" spans="2:30">
      <c r="B16" s="203"/>
      <c r="C16" s="168"/>
      <c r="D16" s="416"/>
      <c r="E16" s="73" t="s">
        <v>12</v>
      </c>
      <c r="F16" s="297" t="s">
        <v>224</v>
      </c>
      <c r="G16" s="284"/>
      <c r="H16" s="74">
        <v>4</v>
      </c>
      <c r="I16" s="75" t="s">
        <v>336</v>
      </c>
      <c r="J16" s="76">
        <v>3</v>
      </c>
      <c r="K16" s="297"/>
      <c r="L16" s="298"/>
      <c r="M16" s="283">
        <v>3</v>
      </c>
      <c r="N16" s="299"/>
      <c r="O16" s="300"/>
      <c r="P16" s="298"/>
      <c r="Q16" s="283"/>
      <c r="R16" s="299"/>
      <c r="S16" s="300"/>
      <c r="T16" s="298"/>
      <c r="U16" s="377"/>
      <c r="V16" s="384"/>
      <c r="W16" s="77">
        <f t="shared" si="0"/>
        <v>3</v>
      </c>
      <c r="X16" s="449"/>
      <c r="Y16" s="292"/>
    </row>
    <row r="17" spans="2:29">
      <c r="B17" s="203"/>
      <c r="C17" s="168"/>
      <c r="D17" s="416"/>
      <c r="E17" s="166" t="s">
        <v>341</v>
      </c>
      <c r="F17" s="297" t="s">
        <v>512</v>
      </c>
      <c r="G17" s="284"/>
      <c r="H17" s="165">
        <v>4</v>
      </c>
      <c r="I17" s="170" t="s">
        <v>338</v>
      </c>
      <c r="J17" s="171">
        <v>3</v>
      </c>
      <c r="K17" s="297"/>
      <c r="L17" s="298"/>
      <c r="M17" s="283"/>
      <c r="N17" s="299"/>
      <c r="O17" s="300"/>
      <c r="P17" s="298"/>
      <c r="Q17" s="283"/>
      <c r="R17" s="299"/>
      <c r="S17" s="300">
        <v>3</v>
      </c>
      <c r="T17" s="298"/>
      <c r="U17" s="377"/>
      <c r="V17" s="384"/>
      <c r="W17" s="77">
        <v>3</v>
      </c>
      <c r="X17" s="449"/>
      <c r="Y17" s="292"/>
    </row>
    <row r="18" spans="2:29" ht="17.25" thickBot="1">
      <c r="B18" s="203"/>
      <c r="C18" s="168"/>
      <c r="D18" s="254"/>
      <c r="E18" s="82" t="s">
        <v>341</v>
      </c>
      <c r="F18" s="418" t="s">
        <v>39</v>
      </c>
      <c r="G18" s="419"/>
      <c r="H18" s="79">
        <v>4</v>
      </c>
      <c r="I18" s="80" t="s">
        <v>338</v>
      </c>
      <c r="J18" s="81">
        <v>3</v>
      </c>
      <c r="K18" s="418"/>
      <c r="L18" s="424"/>
      <c r="M18" s="425"/>
      <c r="N18" s="422"/>
      <c r="O18" s="423"/>
      <c r="P18" s="424"/>
      <c r="Q18" s="425">
        <v>3</v>
      </c>
      <c r="R18" s="422"/>
      <c r="S18" s="423"/>
      <c r="T18" s="424"/>
      <c r="U18" s="426"/>
      <c r="V18" s="427"/>
      <c r="W18" s="77">
        <f t="shared" si="0"/>
        <v>3</v>
      </c>
      <c r="X18" s="432"/>
      <c r="Y18" s="320"/>
    </row>
    <row r="19" spans="2:29" ht="17.25" thickBot="1">
      <c r="B19" s="203"/>
      <c r="C19" s="168"/>
      <c r="D19" s="253" t="s">
        <v>339</v>
      </c>
      <c r="E19" s="68" t="s">
        <v>12</v>
      </c>
      <c r="F19" s="304" t="s">
        <v>232</v>
      </c>
      <c r="G19" s="288"/>
      <c r="H19" s="69">
        <v>3</v>
      </c>
      <c r="I19" s="83" t="s">
        <v>340</v>
      </c>
      <c r="J19" s="71">
        <v>3</v>
      </c>
      <c r="K19" s="439"/>
      <c r="L19" s="440"/>
      <c r="M19" s="441"/>
      <c r="N19" s="442"/>
      <c r="O19" s="443">
        <v>3</v>
      </c>
      <c r="P19" s="444"/>
      <c r="Q19" s="445"/>
      <c r="R19" s="446"/>
      <c r="S19" s="447"/>
      <c r="T19" s="440"/>
      <c r="U19" s="441"/>
      <c r="V19" s="448"/>
      <c r="W19" s="72">
        <f t="shared" si="0"/>
        <v>3</v>
      </c>
      <c r="X19" s="431">
        <f>SUM(W19:W20)</f>
        <v>6</v>
      </c>
      <c r="Y19" s="417">
        <v>6</v>
      </c>
      <c r="AA19" s="255"/>
      <c r="AB19" s="255"/>
      <c r="AC19" s="174"/>
    </row>
    <row r="20" spans="2:29" ht="17.25" thickBot="1">
      <c r="B20" s="203"/>
      <c r="C20" s="168"/>
      <c r="D20" s="416"/>
      <c r="E20" s="84" t="s">
        <v>12</v>
      </c>
      <c r="F20" s="435" t="s">
        <v>233</v>
      </c>
      <c r="G20" s="436"/>
      <c r="H20" s="85">
        <v>3</v>
      </c>
      <c r="I20" s="86" t="s">
        <v>340</v>
      </c>
      <c r="J20" s="173">
        <v>3</v>
      </c>
      <c r="K20" s="437"/>
      <c r="L20" s="434"/>
      <c r="M20" s="426"/>
      <c r="N20" s="438"/>
      <c r="O20" s="423"/>
      <c r="P20" s="424"/>
      <c r="Q20" s="425">
        <v>3</v>
      </c>
      <c r="R20" s="422"/>
      <c r="S20" s="433"/>
      <c r="T20" s="434"/>
      <c r="U20" s="426"/>
      <c r="V20" s="427"/>
      <c r="W20" s="87">
        <f t="shared" si="0"/>
        <v>3</v>
      </c>
      <c r="X20" s="432"/>
      <c r="Y20" s="417"/>
    </row>
    <row r="21" spans="2:29">
      <c r="B21" s="203"/>
      <c r="C21" s="168"/>
      <c r="D21" s="416"/>
      <c r="E21" s="68" t="s">
        <v>12</v>
      </c>
      <c r="F21" s="304" t="s">
        <v>235</v>
      </c>
      <c r="G21" s="288"/>
      <c r="H21" s="69">
        <v>4</v>
      </c>
      <c r="I21" s="83" t="s">
        <v>336</v>
      </c>
      <c r="J21" s="71">
        <v>3</v>
      </c>
      <c r="K21" s="304">
        <v>3</v>
      </c>
      <c r="L21" s="286"/>
      <c r="M21" s="287"/>
      <c r="N21" s="305"/>
      <c r="O21" s="285"/>
      <c r="P21" s="286"/>
      <c r="Q21" s="287"/>
      <c r="R21" s="305"/>
      <c r="S21" s="412"/>
      <c r="T21" s="413"/>
      <c r="U21" s="414"/>
      <c r="V21" s="415"/>
      <c r="W21" s="72">
        <f t="shared" si="0"/>
        <v>3</v>
      </c>
      <c r="X21" s="431">
        <f>SUM(W21:W22)</f>
        <v>6</v>
      </c>
      <c r="Y21" s="291">
        <v>12</v>
      </c>
    </row>
    <row r="22" spans="2:29" ht="17.25" thickBot="1">
      <c r="B22" s="203"/>
      <c r="C22" s="168"/>
      <c r="D22" s="254"/>
      <c r="E22" s="82" t="s">
        <v>12</v>
      </c>
      <c r="F22" s="418" t="s">
        <v>236</v>
      </c>
      <c r="G22" s="419"/>
      <c r="H22" s="79">
        <v>4</v>
      </c>
      <c r="I22" s="80" t="s">
        <v>336</v>
      </c>
      <c r="J22" s="81">
        <v>3</v>
      </c>
      <c r="K22" s="418"/>
      <c r="L22" s="424"/>
      <c r="M22" s="425">
        <v>3</v>
      </c>
      <c r="N22" s="422"/>
      <c r="O22" s="423"/>
      <c r="P22" s="424"/>
      <c r="Q22" s="425"/>
      <c r="R22" s="422"/>
      <c r="S22" s="433"/>
      <c r="T22" s="434"/>
      <c r="U22" s="426"/>
      <c r="V22" s="427"/>
      <c r="W22" s="87">
        <f t="shared" si="0"/>
        <v>3</v>
      </c>
      <c r="X22" s="432"/>
      <c r="Y22" s="292"/>
    </row>
    <row r="23" spans="2:29">
      <c r="B23" s="203"/>
      <c r="C23" s="168"/>
      <c r="D23" s="253" t="s">
        <v>26</v>
      </c>
      <c r="E23" s="68" t="s">
        <v>12</v>
      </c>
      <c r="F23" s="304" t="s">
        <v>253</v>
      </c>
      <c r="G23" s="288"/>
      <c r="H23" s="69">
        <v>4</v>
      </c>
      <c r="I23" s="83" t="s">
        <v>336</v>
      </c>
      <c r="J23" s="71">
        <v>3</v>
      </c>
      <c r="K23" s="304">
        <v>3</v>
      </c>
      <c r="L23" s="286"/>
      <c r="M23" s="287"/>
      <c r="N23" s="305"/>
      <c r="O23" s="285"/>
      <c r="P23" s="286"/>
      <c r="Q23" s="287"/>
      <c r="R23" s="305"/>
      <c r="S23" s="412"/>
      <c r="T23" s="413"/>
      <c r="U23" s="414"/>
      <c r="V23" s="415"/>
      <c r="W23" s="72">
        <f t="shared" si="0"/>
        <v>3</v>
      </c>
      <c r="X23" s="431">
        <f>SUM(W23:W26)</f>
        <v>12</v>
      </c>
      <c r="Y23" s="292"/>
    </row>
    <row r="24" spans="2:29">
      <c r="B24" s="203"/>
      <c r="C24" s="168"/>
      <c r="D24" s="416"/>
      <c r="E24" s="73" t="s">
        <v>12</v>
      </c>
      <c r="F24" s="297" t="s">
        <v>254</v>
      </c>
      <c r="G24" s="284"/>
      <c r="H24" s="74">
        <v>4</v>
      </c>
      <c r="I24" s="75" t="s">
        <v>336</v>
      </c>
      <c r="J24" s="76">
        <v>3</v>
      </c>
      <c r="K24" s="297"/>
      <c r="L24" s="298"/>
      <c r="M24" s="283">
        <v>3</v>
      </c>
      <c r="N24" s="299"/>
      <c r="O24" s="300"/>
      <c r="P24" s="298"/>
      <c r="Q24" s="283"/>
      <c r="R24" s="299"/>
      <c r="S24" s="385"/>
      <c r="T24" s="386"/>
      <c r="U24" s="377"/>
      <c r="V24" s="384"/>
      <c r="W24" s="77">
        <f t="shared" ref="W24" si="1">SUM(K24:V24)</f>
        <v>3</v>
      </c>
      <c r="X24" s="449"/>
      <c r="Y24" s="292"/>
    </row>
    <row r="25" spans="2:29" ht="16.5" customHeight="1">
      <c r="B25" s="203"/>
      <c r="C25" s="168"/>
      <c r="D25" s="416"/>
      <c r="E25" s="73" t="s">
        <v>341</v>
      </c>
      <c r="F25" s="297" t="s">
        <v>259</v>
      </c>
      <c r="G25" s="284"/>
      <c r="H25" s="74">
        <v>4</v>
      </c>
      <c r="I25" s="75" t="s">
        <v>338</v>
      </c>
      <c r="J25" s="76">
        <v>3</v>
      </c>
      <c r="K25" s="297"/>
      <c r="L25" s="298"/>
      <c r="M25" s="283"/>
      <c r="N25" s="299"/>
      <c r="O25" s="300">
        <v>3</v>
      </c>
      <c r="P25" s="298"/>
      <c r="Q25" s="283"/>
      <c r="R25" s="299"/>
      <c r="S25" s="385"/>
      <c r="T25" s="386"/>
      <c r="U25" s="377"/>
      <c r="V25" s="384"/>
      <c r="W25" s="77">
        <v>3</v>
      </c>
      <c r="X25" s="449"/>
      <c r="Y25" s="292"/>
    </row>
    <row r="26" spans="2:29" ht="17.25" thickBot="1">
      <c r="B26" s="203"/>
      <c r="C26" s="168"/>
      <c r="D26" s="254"/>
      <c r="E26" s="73" t="s">
        <v>337</v>
      </c>
      <c r="F26" s="297" t="s">
        <v>265</v>
      </c>
      <c r="G26" s="284"/>
      <c r="H26" s="74">
        <v>4</v>
      </c>
      <c r="I26" s="75" t="s">
        <v>338</v>
      </c>
      <c r="J26" s="76">
        <v>3</v>
      </c>
      <c r="K26" s="297"/>
      <c r="L26" s="298"/>
      <c r="M26" s="283"/>
      <c r="N26" s="299"/>
      <c r="O26" s="300"/>
      <c r="P26" s="298"/>
      <c r="Q26" s="283"/>
      <c r="R26" s="299"/>
      <c r="S26" s="369">
        <v>3</v>
      </c>
      <c r="T26" s="352"/>
      <c r="U26" s="377"/>
      <c r="V26" s="384"/>
      <c r="W26" s="77">
        <v>3</v>
      </c>
      <c r="X26" s="432"/>
      <c r="Y26" s="320"/>
    </row>
    <row r="27" spans="2:29" ht="17.25" thickBot="1">
      <c r="B27" s="203"/>
      <c r="C27" s="168"/>
      <c r="D27" s="253" t="s">
        <v>8</v>
      </c>
      <c r="E27" s="68" t="s">
        <v>341</v>
      </c>
      <c r="F27" s="304" t="s">
        <v>342</v>
      </c>
      <c r="G27" s="288"/>
      <c r="H27" s="69">
        <v>3</v>
      </c>
      <c r="I27" s="83" t="s">
        <v>343</v>
      </c>
      <c r="J27" s="71">
        <f t="shared" ref="J27:J28" si="2">SUM(K27:V27)</f>
        <v>2</v>
      </c>
      <c r="K27" s="304"/>
      <c r="L27" s="286"/>
      <c r="M27" s="287">
        <v>2</v>
      </c>
      <c r="N27" s="305"/>
      <c r="O27" s="285"/>
      <c r="P27" s="286"/>
      <c r="Q27" s="287"/>
      <c r="R27" s="305"/>
      <c r="S27" s="285"/>
      <c r="T27" s="286"/>
      <c r="U27" s="414"/>
      <c r="V27" s="415"/>
      <c r="W27" s="72">
        <f>SUM(K27:V27)</f>
        <v>2</v>
      </c>
      <c r="X27" s="428">
        <f>SUM(W27:W31)</f>
        <v>8</v>
      </c>
      <c r="Y27" s="417">
        <v>8</v>
      </c>
    </row>
    <row r="28" spans="2:29" ht="17.25" thickBot="1">
      <c r="B28" s="203"/>
      <c r="C28" s="168"/>
      <c r="D28" s="416"/>
      <c r="E28" s="73" t="s">
        <v>341</v>
      </c>
      <c r="F28" s="297" t="s">
        <v>344</v>
      </c>
      <c r="G28" s="284"/>
      <c r="H28" s="74">
        <v>3</v>
      </c>
      <c r="I28" s="75" t="s">
        <v>343</v>
      </c>
      <c r="J28" s="76">
        <f t="shared" si="2"/>
        <v>2</v>
      </c>
      <c r="K28" s="297"/>
      <c r="L28" s="298"/>
      <c r="M28" s="283"/>
      <c r="N28" s="299"/>
      <c r="O28" s="300"/>
      <c r="P28" s="298"/>
      <c r="Q28" s="283">
        <v>2</v>
      </c>
      <c r="R28" s="299"/>
      <c r="S28" s="300"/>
      <c r="T28" s="298"/>
      <c r="U28" s="377"/>
      <c r="V28" s="384"/>
      <c r="W28" s="77">
        <f t="shared" ref="W28:W31" si="3">SUM(K28:V28)</f>
        <v>2</v>
      </c>
      <c r="X28" s="429"/>
      <c r="Y28" s="417"/>
    </row>
    <row r="29" spans="2:29" ht="17.25" thickBot="1">
      <c r="B29" s="203"/>
      <c r="C29" s="168"/>
      <c r="D29" s="416"/>
      <c r="E29" s="73" t="s">
        <v>337</v>
      </c>
      <c r="F29" s="297" t="s">
        <v>363</v>
      </c>
      <c r="G29" s="284"/>
      <c r="H29" s="74">
        <v>2</v>
      </c>
      <c r="I29" s="75" t="s">
        <v>345</v>
      </c>
      <c r="J29" s="76">
        <v>1</v>
      </c>
      <c r="K29" s="297">
        <v>1</v>
      </c>
      <c r="L29" s="298"/>
      <c r="M29" s="283"/>
      <c r="N29" s="299"/>
      <c r="O29" s="300"/>
      <c r="P29" s="298"/>
      <c r="Q29" s="283"/>
      <c r="R29" s="299"/>
      <c r="S29" s="300"/>
      <c r="T29" s="298"/>
      <c r="U29" s="377"/>
      <c r="V29" s="384"/>
      <c r="W29" s="77">
        <f t="shared" si="3"/>
        <v>1</v>
      </c>
      <c r="X29" s="429"/>
      <c r="Y29" s="417"/>
    </row>
    <row r="30" spans="2:29" ht="17.25" thickBot="1">
      <c r="B30" s="203"/>
      <c r="C30" s="168"/>
      <c r="D30" s="416"/>
      <c r="E30" s="73" t="s">
        <v>337</v>
      </c>
      <c r="F30" s="297" t="s">
        <v>513</v>
      </c>
      <c r="G30" s="284"/>
      <c r="H30" s="74">
        <v>2</v>
      </c>
      <c r="I30" s="170" t="s">
        <v>345</v>
      </c>
      <c r="J30" s="76">
        <v>1</v>
      </c>
      <c r="K30" s="297"/>
      <c r="L30" s="298"/>
      <c r="M30" s="283"/>
      <c r="N30" s="299"/>
      <c r="O30" s="300">
        <v>1</v>
      </c>
      <c r="P30" s="298"/>
      <c r="Q30" s="283"/>
      <c r="R30" s="299"/>
      <c r="S30" s="300"/>
      <c r="T30" s="298"/>
      <c r="U30" s="377"/>
      <c r="V30" s="384"/>
      <c r="W30" s="77">
        <f t="shared" si="3"/>
        <v>1</v>
      </c>
      <c r="X30" s="429"/>
      <c r="Y30" s="417"/>
    </row>
    <row r="31" spans="2:29" ht="17.45" customHeight="1" thickBot="1">
      <c r="B31" s="203"/>
      <c r="C31" s="168"/>
      <c r="D31" s="254"/>
      <c r="E31" s="82" t="s">
        <v>337</v>
      </c>
      <c r="F31" s="418" t="s">
        <v>514</v>
      </c>
      <c r="G31" s="419"/>
      <c r="H31" s="178">
        <v>3</v>
      </c>
      <c r="I31" s="80" t="s">
        <v>343</v>
      </c>
      <c r="J31" s="176">
        <v>2</v>
      </c>
      <c r="K31" s="418"/>
      <c r="L31" s="420"/>
      <c r="M31" s="421"/>
      <c r="N31" s="422"/>
      <c r="O31" s="423"/>
      <c r="P31" s="424"/>
      <c r="Q31" s="425"/>
      <c r="R31" s="422"/>
      <c r="S31" s="423">
        <v>2</v>
      </c>
      <c r="T31" s="424"/>
      <c r="U31" s="426"/>
      <c r="V31" s="427"/>
      <c r="W31" s="87">
        <f t="shared" si="3"/>
        <v>2</v>
      </c>
      <c r="X31" s="430"/>
      <c r="Y31" s="417"/>
    </row>
    <row r="32" spans="2:29" ht="16.5" customHeight="1" thickBot="1">
      <c r="B32" s="203"/>
      <c r="C32" s="168"/>
      <c r="D32" s="253" t="s">
        <v>28</v>
      </c>
      <c r="E32" s="68" t="s">
        <v>341</v>
      </c>
      <c r="F32" s="304" t="s">
        <v>47</v>
      </c>
      <c r="G32" s="288"/>
      <c r="H32" s="69">
        <v>3</v>
      </c>
      <c r="I32" s="88" t="s">
        <v>343</v>
      </c>
      <c r="J32" s="71">
        <v>3</v>
      </c>
      <c r="K32" s="304"/>
      <c r="L32" s="286"/>
      <c r="M32" s="287"/>
      <c r="N32" s="305"/>
      <c r="O32" s="285">
        <v>3</v>
      </c>
      <c r="P32" s="286"/>
      <c r="Q32" s="287"/>
      <c r="R32" s="305"/>
      <c r="S32" s="285"/>
      <c r="T32" s="286"/>
      <c r="U32" s="414"/>
      <c r="V32" s="415"/>
      <c r="W32" s="335">
        <f>SUM(K32:V33)</f>
        <v>6</v>
      </c>
      <c r="X32" s="336"/>
      <c r="Y32" s="417">
        <v>6</v>
      </c>
    </row>
    <row r="33" spans="2:28" ht="16.5" customHeight="1" thickBot="1">
      <c r="B33" s="203"/>
      <c r="C33" s="168"/>
      <c r="D33" s="416"/>
      <c r="E33" s="78" t="s">
        <v>337</v>
      </c>
      <c r="F33" s="297" t="s">
        <v>281</v>
      </c>
      <c r="G33" s="284"/>
      <c r="H33" s="74">
        <v>3</v>
      </c>
      <c r="I33" s="75" t="s">
        <v>343</v>
      </c>
      <c r="J33" s="76">
        <v>3</v>
      </c>
      <c r="K33" s="297"/>
      <c r="L33" s="298"/>
      <c r="M33" s="283"/>
      <c r="N33" s="299"/>
      <c r="O33" s="300"/>
      <c r="P33" s="298"/>
      <c r="Q33" s="283">
        <v>3</v>
      </c>
      <c r="R33" s="299"/>
      <c r="S33" s="300"/>
      <c r="T33" s="298"/>
      <c r="U33" s="377"/>
      <c r="V33" s="384"/>
      <c r="W33" s="337"/>
      <c r="X33" s="338"/>
      <c r="Y33" s="417"/>
    </row>
    <row r="34" spans="2:28" ht="17.25" thickBot="1">
      <c r="B34" s="203"/>
      <c r="C34" s="168"/>
      <c r="D34" s="410" t="s">
        <v>346</v>
      </c>
      <c r="E34" s="68" t="s">
        <v>341</v>
      </c>
      <c r="F34" s="304" t="s">
        <v>298</v>
      </c>
      <c r="G34" s="288"/>
      <c r="H34" s="69">
        <v>4</v>
      </c>
      <c r="I34" s="83" t="s">
        <v>338</v>
      </c>
      <c r="J34" s="71">
        <v>4</v>
      </c>
      <c r="K34" s="304"/>
      <c r="L34" s="286"/>
      <c r="M34" s="287"/>
      <c r="N34" s="305"/>
      <c r="O34" s="285">
        <v>4</v>
      </c>
      <c r="P34" s="286"/>
      <c r="Q34" s="287"/>
      <c r="R34" s="305"/>
      <c r="S34" s="412"/>
      <c r="T34" s="413"/>
      <c r="U34" s="414"/>
      <c r="V34" s="415"/>
      <c r="W34" s="335">
        <f>SUM(K34:V35)</f>
        <v>8</v>
      </c>
      <c r="X34" s="336"/>
      <c r="Y34" s="291">
        <v>8</v>
      </c>
    </row>
    <row r="35" spans="2:28" ht="24.75" customHeight="1" thickBot="1">
      <c r="B35" s="204"/>
      <c r="C35" s="169"/>
      <c r="D35" s="411"/>
      <c r="E35" s="78" t="s">
        <v>515</v>
      </c>
      <c r="F35" s="297" t="s">
        <v>542</v>
      </c>
      <c r="G35" s="284"/>
      <c r="H35" s="74">
        <v>4</v>
      </c>
      <c r="I35" s="172" t="s">
        <v>338</v>
      </c>
      <c r="J35" s="76">
        <v>4</v>
      </c>
      <c r="K35" s="297"/>
      <c r="L35" s="298"/>
      <c r="M35" s="377"/>
      <c r="N35" s="378"/>
      <c r="O35" s="385"/>
      <c r="P35" s="386"/>
      <c r="Q35" s="347">
        <v>4</v>
      </c>
      <c r="R35" s="370"/>
      <c r="S35" s="385"/>
      <c r="T35" s="386"/>
      <c r="U35" s="377"/>
      <c r="V35" s="384"/>
      <c r="W35" s="337"/>
      <c r="X35" s="338"/>
      <c r="Y35" s="320"/>
      <c r="AA35" s="256" t="b">
        <f>W36&gt;=Y36</f>
        <v>1</v>
      </c>
      <c r="AB35" s="257"/>
    </row>
    <row r="36" spans="2:28" ht="17.25" customHeight="1" thickBot="1">
      <c r="B36" s="260" t="s">
        <v>356</v>
      </c>
      <c r="C36" s="261"/>
      <c r="D36" s="261"/>
      <c r="E36" s="261"/>
      <c r="F36" s="261"/>
      <c r="G36" s="259"/>
      <c r="H36" s="177">
        <f>SUM(H9:H35)</f>
        <v>97</v>
      </c>
      <c r="I36" s="18"/>
      <c r="J36" s="181">
        <f>SUM(J9:J35)</f>
        <v>77</v>
      </c>
      <c r="K36" s="405">
        <f>SUM(K9:L35)</f>
        <v>14</v>
      </c>
      <c r="L36" s="392"/>
      <c r="M36" s="392">
        <f>SUM(M9:N35)</f>
        <v>14</v>
      </c>
      <c r="N36" s="258"/>
      <c r="O36" s="406">
        <f>SUM(O9:P35)</f>
        <v>17</v>
      </c>
      <c r="P36" s="392"/>
      <c r="Q36" s="392">
        <f>SUM(Q9:R35)</f>
        <v>21</v>
      </c>
      <c r="R36" s="407"/>
      <c r="S36" s="271">
        <f>SUM(S9:T35)</f>
        <v>11</v>
      </c>
      <c r="T36" s="392"/>
      <c r="U36" s="392">
        <f>SUM(U9:V35)</f>
        <v>0</v>
      </c>
      <c r="V36" s="393"/>
      <c r="W36" s="260">
        <f>SUM(K36:V36)</f>
        <v>77</v>
      </c>
      <c r="X36" s="261"/>
      <c r="Y36" s="692">
        <f>SUM(Y9:Y35)</f>
        <v>64</v>
      </c>
    </row>
    <row r="37" spans="2:28" ht="17.25" customHeight="1" thickBot="1">
      <c r="B37" s="185" t="s">
        <v>347</v>
      </c>
      <c r="C37" s="186"/>
      <c r="D37" s="394" t="s">
        <v>348</v>
      </c>
      <c r="E37" s="395"/>
      <c r="F37" s="396" t="s">
        <v>519</v>
      </c>
      <c r="G37" s="397"/>
      <c r="H37" s="60"/>
      <c r="I37" s="61"/>
      <c r="J37" s="184">
        <v>4</v>
      </c>
      <c r="K37" s="398"/>
      <c r="L37" s="399"/>
      <c r="M37" s="400"/>
      <c r="N37" s="401"/>
      <c r="O37" s="402"/>
      <c r="P37" s="399"/>
      <c r="Q37" s="400"/>
      <c r="R37" s="401"/>
      <c r="S37" s="402"/>
      <c r="T37" s="399"/>
      <c r="U37" s="403">
        <v>4</v>
      </c>
      <c r="V37" s="404"/>
      <c r="W37" s="408">
        <f>SUM(K37:V37)</f>
        <v>4</v>
      </c>
      <c r="X37" s="409"/>
      <c r="Y37" s="291">
        <f>SUM(W37:X49)</f>
        <v>97</v>
      </c>
    </row>
    <row r="38" spans="2:28" ht="17.25" customHeight="1">
      <c r="B38" s="187"/>
      <c r="C38" s="188"/>
      <c r="D38" s="89" t="s">
        <v>67</v>
      </c>
      <c r="E38" s="90" t="s">
        <v>349</v>
      </c>
      <c r="F38" s="387" t="s">
        <v>543</v>
      </c>
      <c r="G38" s="388"/>
      <c r="H38" s="192"/>
      <c r="I38" s="193"/>
      <c r="J38" s="194">
        <v>12</v>
      </c>
      <c r="K38" s="383">
        <v>12</v>
      </c>
      <c r="L38" s="352"/>
      <c r="M38" s="347"/>
      <c r="N38" s="351"/>
      <c r="O38" s="385"/>
      <c r="P38" s="386"/>
      <c r="Q38" s="377"/>
      <c r="R38" s="378"/>
      <c r="S38" s="389"/>
      <c r="T38" s="386"/>
      <c r="U38" s="377"/>
      <c r="V38" s="384"/>
      <c r="W38" s="390">
        <f t="shared" ref="W38:W46" si="4">SUM(K38:V38)</f>
        <v>12</v>
      </c>
      <c r="X38" s="391"/>
      <c r="Y38" s="292"/>
    </row>
    <row r="39" spans="2:28" ht="17.25" customHeight="1">
      <c r="B39" s="187"/>
      <c r="C39" s="188"/>
      <c r="D39" s="89" t="s">
        <v>67</v>
      </c>
      <c r="E39" s="90" t="s">
        <v>349</v>
      </c>
      <c r="F39" s="387" t="s">
        <v>662</v>
      </c>
      <c r="G39" s="388"/>
      <c r="H39" s="63"/>
      <c r="I39" s="62"/>
      <c r="J39" s="194">
        <v>5</v>
      </c>
      <c r="K39" s="383"/>
      <c r="L39" s="352"/>
      <c r="M39" s="347"/>
      <c r="N39" s="370"/>
      <c r="O39" s="369"/>
      <c r="P39" s="352"/>
      <c r="Q39" s="347">
        <v>5</v>
      </c>
      <c r="R39" s="370"/>
      <c r="S39" s="385"/>
      <c r="T39" s="386"/>
      <c r="U39" s="377"/>
      <c r="V39" s="384"/>
      <c r="W39" s="379">
        <f t="shared" si="4"/>
        <v>5</v>
      </c>
      <c r="X39" s="380"/>
      <c r="Y39" s="292"/>
    </row>
    <row r="40" spans="2:28" ht="17.25" customHeight="1">
      <c r="B40" s="187"/>
      <c r="C40" s="188"/>
      <c r="D40" s="89" t="s">
        <v>67</v>
      </c>
      <c r="E40" s="90" t="s">
        <v>349</v>
      </c>
      <c r="F40" s="387" t="s">
        <v>544</v>
      </c>
      <c r="G40" s="388"/>
      <c r="H40" s="192"/>
      <c r="I40" s="193"/>
      <c r="J40" s="194">
        <v>12</v>
      </c>
      <c r="K40" s="383"/>
      <c r="L40" s="352"/>
      <c r="M40" s="347">
        <v>12</v>
      </c>
      <c r="N40" s="370"/>
      <c r="O40" s="369"/>
      <c r="P40" s="352"/>
      <c r="Q40" s="377"/>
      <c r="R40" s="378"/>
      <c r="S40" s="385"/>
      <c r="T40" s="386"/>
      <c r="U40" s="377"/>
      <c r="V40" s="384"/>
      <c r="W40" s="379">
        <f t="shared" si="4"/>
        <v>12</v>
      </c>
      <c r="X40" s="380"/>
      <c r="Y40" s="292"/>
    </row>
    <row r="41" spans="2:28" ht="17.25" customHeight="1">
      <c r="B41" s="187"/>
      <c r="C41" s="188"/>
      <c r="D41" s="89" t="s">
        <v>67</v>
      </c>
      <c r="E41" s="90" t="s">
        <v>349</v>
      </c>
      <c r="F41" s="381" t="s">
        <v>545</v>
      </c>
      <c r="G41" s="382"/>
      <c r="H41" s="192"/>
      <c r="I41" s="193"/>
      <c r="J41" s="194">
        <v>9</v>
      </c>
      <c r="K41" s="383"/>
      <c r="L41" s="352"/>
      <c r="M41" s="347"/>
      <c r="N41" s="370"/>
      <c r="O41" s="369">
        <v>9</v>
      </c>
      <c r="P41" s="352"/>
      <c r="Q41" s="347"/>
      <c r="R41" s="370"/>
      <c r="S41" s="385"/>
      <c r="T41" s="386"/>
      <c r="U41" s="377"/>
      <c r="V41" s="384"/>
      <c r="W41" s="379">
        <f t="shared" si="4"/>
        <v>9</v>
      </c>
      <c r="X41" s="380"/>
      <c r="Y41" s="292"/>
    </row>
    <row r="42" spans="2:28" ht="17.25" customHeight="1">
      <c r="B42" s="187"/>
      <c r="C42" s="188"/>
      <c r="D42" s="89" t="s">
        <v>67</v>
      </c>
      <c r="E42" s="90" t="s">
        <v>349</v>
      </c>
      <c r="F42" s="691" t="s">
        <v>663</v>
      </c>
      <c r="G42" s="690"/>
      <c r="H42" s="192"/>
      <c r="I42" s="193"/>
      <c r="J42" s="194">
        <v>2</v>
      </c>
      <c r="K42" s="383"/>
      <c r="L42" s="352"/>
      <c r="M42" s="347"/>
      <c r="N42" s="351"/>
      <c r="O42" s="369"/>
      <c r="P42" s="352"/>
      <c r="Q42" s="347"/>
      <c r="R42" s="370"/>
      <c r="S42" s="351">
        <v>2</v>
      </c>
      <c r="T42" s="352"/>
      <c r="U42" s="377"/>
      <c r="V42" s="384"/>
      <c r="W42" s="379">
        <f t="shared" si="4"/>
        <v>2</v>
      </c>
      <c r="X42" s="380"/>
      <c r="Y42" s="292"/>
    </row>
    <row r="43" spans="2:28" ht="16.5" customHeight="1">
      <c r="B43" s="187"/>
      <c r="C43" s="188"/>
      <c r="D43" s="91" t="s">
        <v>67</v>
      </c>
      <c r="E43" s="90" t="s">
        <v>349</v>
      </c>
      <c r="F43" s="381" t="s">
        <v>546</v>
      </c>
      <c r="G43" s="382"/>
      <c r="H43" s="192"/>
      <c r="I43" s="195"/>
      <c r="J43" s="196">
        <v>6</v>
      </c>
      <c r="K43" s="383"/>
      <c r="L43" s="352"/>
      <c r="M43" s="347"/>
      <c r="N43" s="351"/>
      <c r="O43" s="369"/>
      <c r="P43" s="352"/>
      <c r="Q43" s="347"/>
      <c r="R43" s="370"/>
      <c r="S43" s="351">
        <v>6</v>
      </c>
      <c r="T43" s="352"/>
      <c r="U43" s="347"/>
      <c r="V43" s="348"/>
      <c r="W43" s="379">
        <f t="shared" si="4"/>
        <v>6</v>
      </c>
      <c r="X43" s="380"/>
      <c r="Y43" s="292"/>
    </row>
    <row r="44" spans="2:28" ht="16.5" customHeight="1">
      <c r="B44" s="187"/>
      <c r="C44" s="188"/>
      <c r="D44" s="91" t="s">
        <v>66</v>
      </c>
      <c r="E44" s="90" t="s">
        <v>547</v>
      </c>
      <c r="F44" s="381" t="s">
        <v>524</v>
      </c>
      <c r="G44" s="382"/>
      <c r="H44" s="192"/>
      <c r="I44" s="195"/>
      <c r="J44" s="196">
        <v>4</v>
      </c>
      <c r="K44" s="383"/>
      <c r="L44" s="352"/>
      <c r="M44" s="347"/>
      <c r="N44" s="370"/>
      <c r="O44" s="369"/>
      <c r="P44" s="352"/>
      <c r="Q44" s="377"/>
      <c r="R44" s="378"/>
      <c r="S44" s="385"/>
      <c r="T44" s="386"/>
      <c r="U44" s="347">
        <v>4</v>
      </c>
      <c r="V44" s="348"/>
      <c r="W44" s="379">
        <f t="shared" si="4"/>
        <v>4</v>
      </c>
      <c r="X44" s="380"/>
      <c r="Y44" s="292"/>
    </row>
    <row r="45" spans="2:28" ht="20.25" customHeight="1">
      <c r="B45" s="187"/>
      <c r="C45" s="188"/>
      <c r="D45" s="92" t="s">
        <v>67</v>
      </c>
      <c r="E45" s="90" t="s">
        <v>529</v>
      </c>
      <c r="F45" s="381" t="s">
        <v>548</v>
      </c>
      <c r="G45" s="382"/>
      <c r="H45" s="192"/>
      <c r="I45" s="195"/>
      <c r="J45" s="196">
        <v>6</v>
      </c>
      <c r="K45" s="383">
        <v>3</v>
      </c>
      <c r="L45" s="352"/>
      <c r="M45" s="347">
        <v>3</v>
      </c>
      <c r="N45" s="370"/>
      <c r="O45" s="385"/>
      <c r="P45" s="386"/>
      <c r="Q45" s="377"/>
      <c r="R45" s="378"/>
      <c r="S45" s="385"/>
      <c r="T45" s="386"/>
      <c r="U45" s="377"/>
      <c r="V45" s="384"/>
      <c r="W45" s="379">
        <f t="shared" si="4"/>
        <v>6</v>
      </c>
      <c r="X45" s="380"/>
      <c r="Y45" s="292"/>
    </row>
    <row r="46" spans="2:28" ht="20.25" customHeight="1" thickBot="1">
      <c r="B46" s="187"/>
      <c r="C46" s="188"/>
      <c r="D46" s="96" t="s">
        <v>67</v>
      </c>
      <c r="E46" s="90" t="s">
        <v>529</v>
      </c>
      <c r="F46" s="381" t="s">
        <v>549</v>
      </c>
      <c r="G46" s="382"/>
      <c r="H46" s="192"/>
      <c r="I46" s="195"/>
      <c r="J46" s="196">
        <v>31</v>
      </c>
      <c r="K46" s="383"/>
      <c r="L46" s="352"/>
      <c r="M46" s="347"/>
      <c r="N46" s="370"/>
      <c r="O46" s="369"/>
      <c r="P46" s="352"/>
      <c r="Q46" s="347"/>
      <c r="R46" s="370"/>
      <c r="S46" s="369">
        <v>10</v>
      </c>
      <c r="T46" s="352"/>
      <c r="U46" s="347">
        <v>21</v>
      </c>
      <c r="V46" s="348"/>
      <c r="W46" s="379">
        <f t="shared" si="4"/>
        <v>31</v>
      </c>
      <c r="X46" s="380"/>
      <c r="Y46" s="292"/>
    </row>
    <row r="47" spans="2:28" ht="16.5" customHeight="1">
      <c r="B47" s="353" t="s">
        <v>152</v>
      </c>
      <c r="C47" s="179" t="s">
        <v>351</v>
      </c>
      <c r="D47" s="93" t="s">
        <v>67</v>
      </c>
      <c r="E47" s="94" t="s">
        <v>350</v>
      </c>
      <c r="F47" s="355" t="s">
        <v>664</v>
      </c>
      <c r="G47" s="356"/>
      <c r="H47" s="200"/>
      <c r="I47" s="693"/>
      <c r="J47" s="359">
        <v>6</v>
      </c>
      <c r="K47" s="361"/>
      <c r="L47" s="362"/>
      <c r="M47" s="363"/>
      <c r="N47" s="364"/>
      <c r="O47" s="327">
        <v>3</v>
      </c>
      <c r="P47" s="328"/>
      <c r="Q47" s="331">
        <v>3</v>
      </c>
      <c r="R47" s="544"/>
      <c r="S47" s="365"/>
      <c r="T47" s="362"/>
      <c r="U47" s="363"/>
      <c r="V47" s="694"/>
      <c r="W47" s="335">
        <f>SUM(O47:V49)</f>
        <v>6</v>
      </c>
      <c r="X47" s="336"/>
      <c r="Y47" s="292"/>
    </row>
    <row r="48" spans="2:28" ht="16.5" customHeight="1">
      <c r="B48" s="519"/>
      <c r="C48" s="212" t="s">
        <v>352</v>
      </c>
      <c r="D48" s="89" t="s">
        <v>551</v>
      </c>
      <c r="E48" s="212" t="s">
        <v>350</v>
      </c>
      <c r="F48" s="521" t="s">
        <v>552</v>
      </c>
      <c r="G48" s="522"/>
      <c r="H48" s="213"/>
      <c r="I48" s="211"/>
      <c r="J48" s="527"/>
      <c r="K48" s="523"/>
      <c r="L48" s="524"/>
      <c r="M48" s="525"/>
      <c r="N48" s="526"/>
      <c r="O48" s="542"/>
      <c r="P48" s="543"/>
      <c r="Q48" s="545"/>
      <c r="R48" s="546"/>
      <c r="S48" s="369"/>
      <c r="T48" s="352"/>
      <c r="U48" s="528"/>
      <c r="V48" s="529"/>
      <c r="W48" s="516"/>
      <c r="X48" s="517"/>
      <c r="Y48" s="292"/>
    </row>
    <row r="49" spans="2:28" ht="17.25" thickBot="1">
      <c r="B49" s="354"/>
      <c r="C49" s="95" t="s">
        <v>550</v>
      </c>
      <c r="D49" s="96" t="s">
        <v>67</v>
      </c>
      <c r="E49" s="90" t="s">
        <v>349</v>
      </c>
      <c r="F49" s="339" t="s">
        <v>553</v>
      </c>
      <c r="G49" s="340"/>
      <c r="H49" s="201"/>
      <c r="I49" s="214"/>
      <c r="J49" s="360"/>
      <c r="K49" s="341"/>
      <c r="L49" s="342"/>
      <c r="M49" s="343"/>
      <c r="N49" s="344"/>
      <c r="O49" s="329"/>
      <c r="P49" s="330"/>
      <c r="Q49" s="333"/>
      <c r="R49" s="547"/>
      <c r="S49" s="345"/>
      <c r="T49" s="342"/>
      <c r="U49" s="343"/>
      <c r="V49" s="520"/>
      <c r="W49" s="337"/>
      <c r="X49" s="338"/>
      <c r="Y49" s="320"/>
    </row>
    <row r="50" spans="2:28" ht="18.75" customHeight="1" thickBot="1">
      <c r="B50" s="318" t="s">
        <v>357</v>
      </c>
      <c r="C50" s="314"/>
      <c r="D50" s="314"/>
      <c r="E50" s="314"/>
      <c r="F50" s="314"/>
      <c r="G50" s="316"/>
      <c r="H50" s="321">
        <f>SUM(H37:H46)</f>
        <v>0</v>
      </c>
      <c r="I50" s="323">
        <f>SUM(I37:I46)</f>
        <v>0</v>
      </c>
      <c r="J50" s="325">
        <f>SUM(J37:J49)</f>
        <v>97</v>
      </c>
      <c r="K50" s="318">
        <f>SUM(K37:L49)</f>
        <v>15</v>
      </c>
      <c r="L50" s="307"/>
      <c r="M50" s="310">
        <f>SUM(M37:N49)</f>
        <v>15</v>
      </c>
      <c r="N50" s="314"/>
      <c r="O50" s="306">
        <f>SUM(O37:P49)</f>
        <v>12</v>
      </c>
      <c r="P50" s="307"/>
      <c r="Q50" s="310">
        <f>SUM(Q37:R49)</f>
        <v>8</v>
      </c>
      <c r="R50" s="311"/>
      <c r="S50" s="314">
        <f>SUM(S37:T49)</f>
        <v>18</v>
      </c>
      <c r="T50" s="307"/>
      <c r="U50" s="310">
        <f>SUM(U37:V49)</f>
        <v>29</v>
      </c>
      <c r="V50" s="316"/>
      <c r="W50" s="318">
        <f>SUM(K50:V51)</f>
        <v>97</v>
      </c>
      <c r="X50" s="316"/>
      <c r="Y50" s="291">
        <f>SUM(Y37:Y49)</f>
        <v>97</v>
      </c>
      <c r="AA50" s="518"/>
      <c r="AB50" s="518"/>
    </row>
    <row r="51" spans="2:28" ht="17.25" customHeight="1" thickBot="1">
      <c r="B51" s="319"/>
      <c r="C51" s="315"/>
      <c r="D51" s="315"/>
      <c r="E51" s="315"/>
      <c r="F51" s="315"/>
      <c r="G51" s="317"/>
      <c r="H51" s="322"/>
      <c r="I51" s="324"/>
      <c r="J51" s="326"/>
      <c r="K51" s="319"/>
      <c r="L51" s="309"/>
      <c r="M51" s="312"/>
      <c r="N51" s="315"/>
      <c r="O51" s="308"/>
      <c r="P51" s="309"/>
      <c r="Q51" s="312"/>
      <c r="R51" s="313"/>
      <c r="S51" s="315"/>
      <c r="T51" s="309"/>
      <c r="U51" s="312"/>
      <c r="V51" s="317"/>
      <c r="W51" s="319"/>
      <c r="X51" s="317"/>
      <c r="Y51" s="320"/>
      <c r="AA51" s="256" t="b">
        <f>W52&gt;=Y52</f>
        <v>1</v>
      </c>
      <c r="AB51" s="257"/>
    </row>
    <row r="52" spans="2:28" ht="17.25" customHeight="1" thickBot="1">
      <c r="B52" s="260"/>
      <c r="C52" s="261"/>
      <c r="D52" s="261"/>
      <c r="E52" s="261"/>
      <c r="F52" s="261"/>
      <c r="G52" s="259"/>
      <c r="H52" s="182">
        <f>SUM(H36,H50)</f>
        <v>97</v>
      </c>
      <c r="I52" s="180">
        <f>SUM(I36,I50)</f>
        <v>0</v>
      </c>
      <c r="J52" s="181">
        <f>SUM(J36,J50)</f>
        <v>174</v>
      </c>
      <c r="K52" s="260">
        <f>SUM(K36,K50)</f>
        <v>29</v>
      </c>
      <c r="L52" s="271"/>
      <c r="M52" s="258">
        <f>SUM(M36,M50)</f>
        <v>29</v>
      </c>
      <c r="N52" s="262"/>
      <c r="O52" s="263">
        <f>SUM(O36,O50)</f>
        <v>29</v>
      </c>
      <c r="P52" s="271"/>
      <c r="Q52" s="258">
        <f>SUM(Q36,Q50)</f>
        <v>29</v>
      </c>
      <c r="R52" s="262"/>
      <c r="S52" s="263">
        <f>SUM(S36,S50)</f>
        <v>29</v>
      </c>
      <c r="T52" s="271"/>
      <c r="U52" s="258">
        <f>SUM(U36,U50)</f>
        <v>29</v>
      </c>
      <c r="V52" s="259"/>
      <c r="W52" s="260">
        <f>SUM(K52:V52)</f>
        <v>174</v>
      </c>
      <c r="X52" s="259"/>
      <c r="Y52" s="11">
        <f>Y50+Y36</f>
        <v>161</v>
      </c>
    </row>
    <row r="53" spans="2:28" ht="17.25" customHeight="1" thickBot="1">
      <c r="B53" s="272" t="s">
        <v>358</v>
      </c>
      <c r="C53" s="273"/>
      <c r="D53" s="273"/>
      <c r="E53" s="274"/>
      <c r="F53" s="301" t="s">
        <v>354</v>
      </c>
      <c r="G53" s="302"/>
      <c r="H53" s="302"/>
      <c r="I53" s="302"/>
      <c r="J53" s="303"/>
      <c r="K53" s="304">
        <v>16</v>
      </c>
      <c r="L53" s="286"/>
      <c r="M53" s="287">
        <v>16</v>
      </c>
      <c r="N53" s="305"/>
      <c r="O53" s="285">
        <v>16</v>
      </c>
      <c r="P53" s="286"/>
      <c r="Q53" s="287">
        <v>16</v>
      </c>
      <c r="R53" s="305"/>
      <c r="S53" s="285">
        <v>16</v>
      </c>
      <c r="T53" s="286"/>
      <c r="U53" s="287">
        <v>16</v>
      </c>
      <c r="V53" s="288"/>
      <c r="W53" s="272">
        <v>288</v>
      </c>
      <c r="X53" s="274"/>
      <c r="Y53" s="291">
        <f>Y56*16</f>
        <v>288</v>
      </c>
      <c r="AA53" s="255" t="s">
        <v>153</v>
      </c>
      <c r="AB53" s="255"/>
    </row>
    <row r="54" spans="2:28" ht="17.25" customHeight="1" thickBot="1">
      <c r="B54" s="275"/>
      <c r="C54" s="276"/>
      <c r="D54" s="276"/>
      <c r="E54" s="277"/>
      <c r="F54" s="294" t="s">
        <v>63</v>
      </c>
      <c r="G54" s="295"/>
      <c r="H54" s="295"/>
      <c r="I54" s="295"/>
      <c r="J54" s="296"/>
      <c r="K54" s="297">
        <v>16</v>
      </c>
      <c r="L54" s="298"/>
      <c r="M54" s="283">
        <v>16</v>
      </c>
      <c r="N54" s="299"/>
      <c r="O54" s="300">
        <v>16</v>
      </c>
      <c r="P54" s="298"/>
      <c r="Q54" s="283">
        <v>16</v>
      </c>
      <c r="R54" s="299"/>
      <c r="S54" s="300">
        <v>16</v>
      </c>
      <c r="T54" s="298"/>
      <c r="U54" s="283">
        <v>16</v>
      </c>
      <c r="V54" s="284"/>
      <c r="W54" s="275"/>
      <c r="X54" s="277"/>
      <c r="Y54" s="292"/>
      <c r="AA54" s="256" t="b">
        <f>W56&gt;=Y56</f>
        <v>1</v>
      </c>
      <c r="AB54" s="257"/>
    </row>
    <row r="55" spans="2:28" ht="17.25" customHeight="1" thickBot="1">
      <c r="B55" s="275"/>
      <c r="C55" s="276"/>
      <c r="D55" s="276"/>
      <c r="E55" s="277"/>
      <c r="F55" s="294" t="s">
        <v>11</v>
      </c>
      <c r="G55" s="295"/>
      <c r="H55" s="295"/>
      <c r="I55" s="295"/>
      <c r="J55" s="296"/>
      <c r="K55" s="297">
        <v>16</v>
      </c>
      <c r="L55" s="298"/>
      <c r="M55" s="283">
        <v>16</v>
      </c>
      <c r="N55" s="299"/>
      <c r="O55" s="300">
        <v>16</v>
      </c>
      <c r="P55" s="298"/>
      <c r="Q55" s="283">
        <v>16</v>
      </c>
      <c r="R55" s="299"/>
      <c r="S55" s="300">
        <v>16</v>
      </c>
      <c r="T55" s="298"/>
      <c r="U55" s="283">
        <v>16</v>
      </c>
      <c r="V55" s="284"/>
      <c r="W55" s="289"/>
      <c r="X55" s="290"/>
      <c r="Y55" s="293"/>
      <c r="AA55" s="255" t="s">
        <v>151</v>
      </c>
      <c r="AB55" s="255"/>
    </row>
    <row r="56" spans="2:28" ht="17.25" customHeight="1" thickBot="1">
      <c r="B56" s="278"/>
      <c r="C56" s="279"/>
      <c r="D56" s="279"/>
      <c r="E56" s="280"/>
      <c r="F56" s="269" t="s">
        <v>148</v>
      </c>
      <c r="G56" s="281"/>
      <c r="H56" s="281"/>
      <c r="I56" s="281"/>
      <c r="J56" s="270"/>
      <c r="K56" s="282">
        <v>3</v>
      </c>
      <c r="L56" s="267"/>
      <c r="M56" s="264">
        <v>3</v>
      </c>
      <c r="N56" s="265"/>
      <c r="O56" s="266">
        <v>3</v>
      </c>
      <c r="P56" s="267"/>
      <c r="Q56" s="264">
        <v>3</v>
      </c>
      <c r="R56" s="265"/>
      <c r="S56" s="266">
        <v>3</v>
      </c>
      <c r="T56" s="267"/>
      <c r="U56" s="264">
        <v>3</v>
      </c>
      <c r="V56" s="268"/>
      <c r="W56" s="269">
        <f>SUM(K56:V56)</f>
        <v>18</v>
      </c>
      <c r="X56" s="270"/>
      <c r="Y56" s="97">
        <v>18</v>
      </c>
      <c r="AA56" s="256" t="b">
        <f>W57&gt;=Y57</f>
        <v>1</v>
      </c>
      <c r="AB56" s="257"/>
    </row>
    <row r="57" spans="2:28" ht="17.25" customHeight="1" thickBot="1">
      <c r="B57" s="260"/>
      <c r="C57" s="261"/>
      <c r="D57" s="261"/>
      <c r="E57" s="261"/>
      <c r="F57" s="261"/>
      <c r="G57" s="261"/>
      <c r="H57" s="261"/>
      <c r="I57" s="261"/>
      <c r="J57" s="259"/>
      <c r="K57" s="260">
        <v>32</v>
      </c>
      <c r="L57" s="271"/>
      <c r="M57" s="258">
        <v>32</v>
      </c>
      <c r="N57" s="262"/>
      <c r="O57" s="263">
        <v>32</v>
      </c>
      <c r="P57" s="271"/>
      <c r="Q57" s="258">
        <v>32</v>
      </c>
      <c r="R57" s="262"/>
      <c r="S57" s="263">
        <v>32</v>
      </c>
      <c r="T57" s="271"/>
      <c r="U57" s="258">
        <v>32</v>
      </c>
      <c r="V57" s="259"/>
      <c r="W57" s="260">
        <f>SUM(K57:V57)</f>
        <v>192</v>
      </c>
      <c r="X57" s="259"/>
      <c r="Y57" s="64">
        <f>W57</f>
        <v>192</v>
      </c>
    </row>
    <row r="58" spans="2:28" ht="17.25" customHeight="1" thickBot="1">
      <c r="B58" s="260"/>
      <c r="C58" s="261"/>
      <c r="D58" s="261"/>
      <c r="E58" s="261"/>
      <c r="F58" s="261"/>
      <c r="G58" s="261"/>
      <c r="H58" s="261"/>
      <c r="I58" s="261"/>
      <c r="J58" s="259"/>
      <c r="K58" s="260">
        <f>SUM(K57:N57)</f>
        <v>64</v>
      </c>
      <c r="L58" s="261"/>
      <c r="M58" s="261"/>
      <c r="N58" s="262"/>
      <c r="O58" s="263">
        <f>SUM(O57:R57)</f>
        <v>64</v>
      </c>
      <c r="P58" s="261"/>
      <c r="Q58" s="261"/>
      <c r="R58" s="262"/>
      <c r="S58" s="263">
        <f>SUM(S57:V57)</f>
        <v>64</v>
      </c>
      <c r="T58" s="261"/>
      <c r="U58" s="261"/>
      <c r="V58" s="259"/>
      <c r="W58" s="260">
        <f>SUM(K58:V58)</f>
        <v>192</v>
      </c>
      <c r="X58" s="259"/>
      <c r="Y58" s="11"/>
    </row>
    <row r="59" spans="2:28" ht="17.25" customHeight="1"/>
    <row r="61" spans="2:28" ht="24.95" customHeight="1"/>
    <row r="62" spans="2:28" ht="24.95" customHeight="1"/>
    <row r="63" spans="2:28" ht="32.25" customHeight="1"/>
    <row r="64" spans="2:28" ht="24.95" customHeight="1"/>
    <row r="66" ht="16.5" customHeight="1"/>
    <row r="67" ht="17.2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244.5" customHeight="1"/>
  </sheetData>
  <mergeCells count="437">
    <mergeCell ref="Y37:Y49"/>
    <mergeCell ref="O47:P49"/>
    <mergeCell ref="Q47:R49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AA8:AD8"/>
    <mergeCell ref="F9:G9"/>
    <mergeCell ref="W7:X8"/>
    <mergeCell ref="Y7:Y8"/>
    <mergeCell ref="AD3:AD4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F8:G8"/>
    <mergeCell ref="K8:L8"/>
    <mergeCell ref="M8:N8"/>
    <mergeCell ref="O8:P8"/>
    <mergeCell ref="Q8:R8"/>
    <mergeCell ref="S8:T8"/>
    <mergeCell ref="U8:V8"/>
    <mergeCell ref="F10:G10"/>
    <mergeCell ref="K10:L10"/>
    <mergeCell ref="M10:N10"/>
    <mergeCell ref="O10:P10"/>
    <mergeCell ref="Q10:R10"/>
    <mergeCell ref="S10:T10"/>
    <mergeCell ref="U10:V10"/>
    <mergeCell ref="F12:G12"/>
    <mergeCell ref="S7:V7"/>
    <mergeCell ref="D13:D14"/>
    <mergeCell ref="F13:G13"/>
    <mergeCell ref="K13:L13"/>
    <mergeCell ref="M13:N13"/>
    <mergeCell ref="O13:P13"/>
    <mergeCell ref="Q13:R13"/>
    <mergeCell ref="K12:L12"/>
    <mergeCell ref="M12:N12"/>
    <mergeCell ref="O12:P12"/>
    <mergeCell ref="Q12:R12"/>
    <mergeCell ref="K14:L14"/>
    <mergeCell ref="M14:N14"/>
    <mergeCell ref="O14:P14"/>
    <mergeCell ref="Q14:R14"/>
    <mergeCell ref="D9:D12"/>
    <mergeCell ref="S14:T14"/>
    <mergeCell ref="U14:V14"/>
    <mergeCell ref="U15:V15"/>
    <mergeCell ref="X15:X18"/>
    <mergeCell ref="K9:L9"/>
    <mergeCell ref="M9:N9"/>
    <mergeCell ref="O9:P9"/>
    <mergeCell ref="Q9:R9"/>
    <mergeCell ref="S9:T9"/>
    <mergeCell ref="U9:V9"/>
    <mergeCell ref="S13:T13"/>
    <mergeCell ref="U13:V13"/>
    <mergeCell ref="S12:T12"/>
    <mergeCell ref="U12:V12"/>
    <mergeCell ref="X9:X12"/>
    <mergeCell ref="AB14:AD14"/>
    <mergeCell ref="F16:G16"/>
    <mergeCell ref="K16:L16"/>
    <mergeCell ref="M16:N16"/>
    <mergeCell ref="O16:P16"/>
    <mergeCell ref="Q16:R16"/>
    <mergeCell ref="S16:T16"/>
    <mergeCell ref="U16:V16"/>
    <mergeCell ref="F15:G15"/>
    <mergeCell ref="K15:L15"/>
    <mergeCell ref="M15:N15"/>
    <mergeCell ref="O15:P15"/>
    <mergeCell ref="Q15:R15"/>
    <mergeCell ref="S15:T15"/>
    <mergeCell ref="Y9:Y18"/>
    <mergeCell ref="U11:V11"/>
    <mergeCell ref="F11:G11"/>
    <mergeCell ref="S11:T11"/>
    <mergeCell ref="K11:L11"/>
    <mergeCell ref="M11:N11"/>
    <mergeCell ref="O11:P11"/>
    <mergeCell ref="Q11:R11"/>
    <mergeCell ref="X13:X14"/>
    <mergeCell ref="F14:G14"/>
    <mergeCell ref="D19:D22"/>
    <mergeCell ref="F19:G19"/>
    <mergeCell ref="K19:L19"/>
    <mergeCell ref="M19:N19"/>
    <mergeCell ref="O19:P19"/>
    <mergeCell ref="Q19:R19"/>
    <mergeCell ref="U17:V17"/>
    <mergeCell ref="F18:G18"/>
    <mergeCell ref="K18:L18"/>
    <mergeCell ref="M18:N18"/>
    <mergeCell ref="O18:P18"/>
    <mergeCell ref="Q18:R18"/>
    <mergeCell ref="S18:T18"/>
    <mergeCell ref="U18:V18"/>
    <mergeCell ref="F17:G17"/>
    <mergeCell ref="K17:L17"/>
    <mergeCell ref="M17:N17"/>
    <mergeCell ref="O17:P17"/>
    <mergeCell ref="Q17:R17"/>
    <mergeCell ref="S17:T17"/>
    <mergeCell ref="U20:V20"/>
    <mergeCell ref="D15:D18"/>
    <mergeCell ref="AA19:AB19"/>
    <mergeCell ref="F21:G21"/>
    <mergeCell ref="K21:L21"/>
    <mergeCell ref="M21:N21"/>
    <mergeCell ref="O21:P21"/>
    <mergeCell ref="Q21:R21"/>
    <mergeCell ref="S21:T21"/>
    <mergeCell ref="U21:V21"/>
    <mergeCell ref="X21:X22"/>
    <mergeCell ref="S19:T19"/>
    <mergeCell ref="U19:V19"/>
    <mergeCell ref="X19:X20"/>
    <mergeCell ref="Y19:Y20"/>
    <mergeCell ref="F20:G20"/>
    <mergeCell ref="K20:L20"/>
    <mergeCell ref="M20:N20"/>
    <mergeCell ref="O20:P20"/>
    <mergeCell ref="Q20:R20"/>
    <mergeCell ref="S20:T20"/>
    <mergeCell ref="S22:T22"/>
    <mergeCell ref="U22:V22"/>
    <mergeCell ref="M22:N22"/>
    <mergeCell ref="O22:P22"/>
    <mergeCell ref="Q22:R22"/>
    <mergeCell ref="F23:G23"/>
    <mergeCell ref="K23:L23"/>
    <mergeCell ref="F26:G26"/>
    <mergeCell ref="K26:L26"/>
    <mergeCell ref="M26:N26"/>
    <mergeCell ref="O26:P26"/>
    <mergeCell ref="Q26:R26"/>
    <mergeCell ref="S26:T26"/>
    <mergeCell ref="M23:N23"/>
    <mergeCell ref="O23:P23"/>
    <mergeCell ref="Q23:R23"/>
    <mergeCell ref="S23:T23"/>
    <mergeCell ref="X27:X31"/>
    <mergeCell ref="Y27:Y31"/>
    <mergeCell ref="F28:G28"/>
    <mergeCell ref="K28:L28"/>
    <mergeCell ref="M28:N28"/>
    <mergeCell ref="O28:P28"/>
    <mergeCell ref="Q28:R28"/>
    <mergeCell ref="S28:T28"/>
    <mergeCell ref="D27:D31"/>
    <mergeCell ref="F27:G27"/>
    <mergeCell ref="K27:L27"/>
    <mergeCell ref="M27:N27"/>
    <mergeCell ref="O27:P27"/>
    <mergeCell ref="Q27:R27"/>
    <mergeCell ref="F30:G30"/>
    <mergeCell ref="K30:L30"/>
    <mergeCell ref="M30:N30"/>
    <mergeCell ref="O30:P30"/>
    <mergeCell ref="U28:V28"/>
    <mergeCell ref="F29:G29"/>
    <mergeCell ref="K29:L29"/>
    <mergeCell ref="M29:N29"/>
    <mergeCell ref="O29:P29"/>
    <mergeCell ref="Q29:R29"/>
    <mergeCell ref="S29:T29"/>
    <mergeCell ref="U29:V29"/>
    <mergeCell ref="S27:T27"/>
    <mergeCell ref="U27:V27"/>
    <mergeCell ref="Q30:R30"/>
    <mergeCell ref="S30:T30"/>
    <mergeCell ref="U30:V30"/>
    <mergeCell ref="F31:G31"/>
    <mergeCell ref="K31:L31"/>
    <mergeCell ref="M31:N31"/>
    <mergeCell ref="O31:P31"/>
    <mergeCell ref="Q31:R31"/>
    <mergeCell ref="S31:T31"/>
    <mergeCell ref="U31:V31"/>
    <mergeCell ref="W32:X33"/>
    <mergeCell ref="Y32:Y33"/>
    <mergeCell ref="F33:G33"/>
    <mergeCell ref="K33:L33"/>
    <mergeCell ref="M33:N33"/>
    <mergeCell ref="O33:P33"/>
    <mergeCell ref="Q33:R33"/>
    <mergeCell ref="S33:T33"/>
    <mergeCell ref="F32:G32"/>
    <mergeCell ref="K32:L32"/>
    <mergeCell ref="M32:N32"/>
    <mergeCell ref="O32:P32"/>
    <mergeCell ref="Q32:R32"/>
    <mergeCell ref="M35:N35"/>
    <mergeCell ref="O35:P35"/>
    <mergeCell ref="Q35:R35"/>
    <mergeCell ref="S35:T35"/>
    <mergeCell ref="U35:V35"/>
    <mergeCell ref="U33:V33"/>
    <mergeCell ref="D34:D35"/>
    <mergeCell ref="F34:G34"/>
    <mergeCell ref="K34:L34"/>
    <mergeCell ref="M34:N34"/>
    <mergeCell ref="O34:P34"/>
    <mergeCell ref="Q34:R34"/>
    <mergeCell ref="S34:T34"/>
    <mergeCell ref="U34:V34"/>
    <mergeCell ref="D32:D33"/>
    <mergeCell ref="S32:T32"/>
    <mergeCell ref="U32:V32"/>
    <mergeCell ref="D37:E37"/>
    <mergeCell ref="F37:G37"/>
    <mergeCell ref="K37:L37"/>
    <mergeCell ref="M37:N37"/>
    <mergeCell ref="O37:P37"/>
    <mergeCell ref="Q37:R37"/>
    <mergeCell ref="S37:T37"/>
    <mergeCell ref="U37:V37"/>
    <mergeCell ref="B36:G36"/>
    <mergeCell ref="K36:L36"/>
    <mergeCell ref="M36:N36"/>
    <mergeCell ref="O36:P36"/>
    <mergeCell ref="Q36:R36"/>
    <mergeCell ref="S36:T36"/>
    <mergeCell ref="AA35:AB35"/>
    <mergeCell ref="F39:G39"/>
    <mergeCell ref="K39:L39"/>
    <mergeCell ref="M39:N39"/>
    <mergeCell ref="O39:P39"/>
    <mergeCell ref="Q39:R39"/>
    <mergeCell ref="S39:T39"/>
    <mergeCell ref="U39:V39"/>
    <mergeCell ref="W39:X39"/>
    <mergeCell ref="W37:X37"/>
    <mergeCell ref="F38:G38"/>
    <mergeCell ref="K38:L38"/>
    <mergeCell ref="M38:N38"/>
    <mergeCell ref="O38:P38"/>
    <mergeCell ref="Q38:R38"/>
    <mergeCell ref="S38:T38"/>
    <mergeCell ref="U38:V38"/>
    <mergeCell ref="W38:X38"/>
    <mergeCell ref="U36:V36"/>
    <mergeCell ref="W36:X36"/>
    <mergeCell ref="W34:X35"/>
    <mergeCell ref="Y34:Y35"/>
    <mergeCell ref="F35:G35"/>
    <mergeCell ref="K35:L35"/>
    <mergeCell ref="U40:V40"/>
    <mergeCell ref="W40:X40"/>
    <mergeCell ref="F41:G41"/>
    <mergeCell ref="K41:L41"/>
    <mergeCell ref="M41:N41"/>
    <mergeCell ref="O41:P41"/>
    <mergeCell ref="Q41:R41"/>
    <mergeCell ref="S41:T41"/>
    <mergeCell ref="U41:V41"/>
    <mergeCell ref="W41:X41"/>
    <mergeCell ref="F40:G40"/>
    <mergeCell ref="K40:L40"/>
    <mergeCell ref="M40:N40"/>
    <mergeCell ref="O40:P40"/>
    <mergeCell ref="Q40:R40"/>
    <mergeCell ref="S40:T40"/>
    <mergeCell ref="U42:V42"/>
    <mergeCell ref="W42:X42"/>
    <mergeCell ref="F43:G43"/>
    <mergeCell ref="K43:L43"/>
    <mergeCell ref="M43:N43"/>
    <mergeCell ref="O43:P43"/>
    <mergeCell ref="Q43:R43"/>
    <mergeCell ref="S43:T43"/>
    <mergeCell ref="U43:V43"/>
    <mergeCell ref="W43:X43"/>
    <mergeCell ref="F42:G42"/>
    <mergeCell ref="K42:L42"/>
    <mergeCell ref="M42:N42"/>
    <mergeCell ref="O42:P42"/>
    <mergeCell ref="Q42:R42"/>
    <mergeCell ref="S42:T42"/>
    <mergeCell ref="U44:V44"/>
    <mergeCell ref="W44:X44"/>
    <mergeCell ref="F45:G45"/>
    <mergeCell ref="K45:L45"/>
    <mergeCell ref="M45:N45"/>
    <mergeCell ref="O45:P45"/>
    <mergeCell ref="Q45:R45"/>
    <mergeCell ref="S45:T45"/>
    <mergeCell ref="U45:V45"/>
    <mergeCell ref="W45:X45"/>
    <mergeCell ref="F44:G44"/>
    <mergeCell ref="K44:L44"/>
    <mergeCell ref="M44:N44"/>
    <mergeCell ref="O44:P44"/>
    <mergeCell ref="Q44:R44"/>
    <mergeCell ref="S44:T44"/>
    <mergeCell ref="U46:V46"/>
    <mergeCell ref="W46:X46"/>
    <mergeCell ref="F46:G46"/>
    <mergeCell ref="K46:L46"/>
    <mergeCell ref="M46:N46"/>
    <mergeCell ref="O46:P46"/>
    <mergeCell ref="Q46:R46"/>
    <mergeCell ref="S46:T46"/>
    <mergeCell ref="U48:V48"/>
    <mergeCell ref="S49:T49"/>
    <mergeCell ref="U49:V49"/>
    <mergeCell ref="F48:G48"/>
    <mergeCell ref="K48:L48"/>
    <mergeCell ref="M48:N48"/>
    <mergeCell ref="S48:T48"/>
    <mergeCell ref="J47:J49"/>
    <mergeCell ref="W47:X49"/>
    <mergeCell ref="S47:T47"/>
    <mergeCell ref="U47:V47"/>
    <mergeCell ref="F47:G47"/>
    <mergeCell ref="K47:L47"/>
    <mergeCell ref="M47:N47"/>
    <mergeCell ref="B47:B49"/>
    <mergeCell ref="F49:G49"/>
    <mergeCell ref="K49:L49"/>
    <mergeCell ref="M49:N49"/>
    <mergeCell ref="AA53:AB53"/>
    <mergeCell ref="B52:G52"/>
    <mergeCell ref="K52:L52"/>
    <mergeCell ref="M52:N52"/>
    <mergeCell ref="O52:P52"/>
    <mergeCell ref="Q52:R52"/>
    <mergeCell ref="S52:T52"/>
    <mergeCell ref="U52:V52"/>
    <mergeCell ref="AA50:AB50"/>
    <mergeCell ref="W52:X52"/>
    <mergeCell ref="AA51:AB51"/>
    <mergeCell ref="B50:G51"/>
    <mergeCell ref="H50:H51"/>
    <mergeCell ref="I50:I51"/>
    <mergeCell ref="J50:J51"/>
    <mergeCell ref="K50:L51"/>
    <mergeCell ref="M50:N51"/>
    <mergeCell ref="W50:X51"/>
    <mergeCell ref="Y50:Y51"/>
    <mergeCell ref="O50:P51"/>
    <mergeCell ref="Q50:R51"/>
    <mergeCell ref="S50:T51"/>
    <mergeCell ref="U50:V51"/>
    <mergeCell ref="AA54:AB54"/>
    <mergeCell ref="B53:E56"/>
    <mergeCell ref="F53:J53"/>
    <mergeCell ref="K53:L53"/>
    <mergeCell ref="M53:N53"/>
    <mergeCell ref="O53:P53"/>
    <mergeCell ref="Q53:R53"/>
    <mergeCell ref="S53:T53"/>
    <mergeCell ref="U53:V53"/>
    <mergeCell ref="AA55:AB55"/>
    <mergeCell ref="F54:J54"/>
    <mergeCell ref="K54:L54"/>
    <mergeCell ref="M54:N54"/>
    <mergeCell ref="O54:P54"/>
    <mergeCell ref="Q54:R54"/>
    <mergeCell ref="S54:T54"/>
    <mergeCell ref="U54:V54"/>
    <mergeCell ref="Y53:Y55"/>
    <mergeCell ref="AA56:AB56"/>
    <mergeCell ref="F55:J55"/>
    <mergeCell ref="K55:L55"/>
    <mergeCell ref="M55:N55"/>
    <mergeCell ref="O55:P55"/>
    <mergeCell ref="Q55:R55"/>
    <mergeCell ref="S55:T55"/>
    <mergeCell ref="U55:V55"/>
    <mergeCell ref="W53:X55"/>
    <mergeCell ref="B58:J58"/>
    <mergeCell ref="K58:N58"/>
    <mergeCell ref="O58:R58"/>
    <mergeCell ref="S58:V58"/>
    <mergeCell ref="W58:X58"/>
    <mergeCell ref="U56:V56"/>
    <mergeCell ref="W56:X56"/>
    <mergeCell ref="B57:J57"/>
    <mergeCell ref="K57:L57"/>
    <mergeCell ref="M57:N57"/>
    <mergeCell ref="O57:P57"/>
    <mergeCell ref="Q57:R57"/>
    <mergeCell ref="S57:T57"/>
    <mergeCell ref="U57:V57"/>
    <mergeCell ref="W57:X57"/>
    <mergeCell ref="F56:J56"/>
    <mergeCell ref="K56:L56"/>
    <mergeCell ref="M56:N56"/>
    <mergeCell ref="O56:P56"/>
    <mergeCell ref="Q56:R56"/>
    <mergeCell ref="S56:T56"/>
    <mergeCell ref="D23:D26"/>
    <mergeCell ref="X23:X26"/>
    <mergeCell ref="Y21:Y26"/>
    <mergeCell ref="F25:G25"/>
    <mergeCell ref="K25:L25"/>
    <mergeCell ref="M25:N25"/>
    <mergeCell ref="O25:P25"/>
    <mergeCell ref="Q25:R25"/>
    <mergeCell ref="S25:T25"/>
    <mergeCell ref="F24:G24"/>
    <mergeCell ref="K24:L24"/>
    <mergeCell ref="M24:N24"/>
    <mergeCell ref="O24:P24"/>
    <mergeCell ref="Q24:R24"/>
    <mergeCell ref="S24:T24"/>
    <mergeCell ref="U24:V24"/>
    <mergeCell ref="U23:V23"/>
    <mergeCell ref="U26:V26"/>
    <mergeCell ref="U25:V25"/>
    <mergeCell ref="F22:G22"/>
    <mergeCell ref="K22:L22"/>
  </mergeCells>
  <phoneticPr fontId="9" type="noConversion"/>
  <conditionalFormatting sqref="AA35:AB35 AA51:AB51 AA54:AB54 AA56:AB56">
    <cfRule type="containsText" dxfId="0" priority="1" operator="containsText" text="FALSE">
      <formula>NOT(ISERROR(SEARCH("FALSE",AA35)))</formula>
    </cfRule>
  </conditionalFormatting>
  <printOptions horizontalCentered="1" verticalCentered="1"/>
  <pageMargins left="0.25" right="0.25" top="0.75" bottom="0.75" header="0.3" footer="0.3"/>
  <pageSetup paperSize="12" scale="53" orientation="portrait" cellComments="asDisplayed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30411E7-9EE0-4866-8D13-ADA329F90A0E}">
          <x14:formula1>
            <xm:f>삭제금지!$H$2:$H$18</xm:f>
          </x14:formula1>
          <xm:sqref>B5</xm:sqref>
        </x14:dataValidation>
        <x14:dataValidation type="list" allowBlank="1" showInputMessage="1" showErrorMessage="1" xr:uid="{87DB1D56-5C6A-40E6-BCAB-24612D67FDD1}">
          <x14:formula1>
            <xm:f>삭제금지!$L$2:$L$4</xm:f>
          </x14:formula1>
          <xm:sqref>T5:V5</xm:sqref>
        </x14:dataValidation>
        <x14:dataValidation type="list" allowBlank="1" showInputMessage="1" showErrorMessage="1" xr:uid="{C4B28588-3161-425F-9D8D-7FBD4C4FD629}">
          <x14:formula1>
            <xm:f>삭제금지!$K$2:$K$59</xm:f>
          </x14:formula1>
          <xm:sqref>K5:O5</xm:sqref>
        </x14:dataValidation>
        <x14:dataValidation type="list" allowBlank="1" showInputMessage="1" showErrorMessage="1" xr:uid="{1DE703ED-9B5F-494E-A948-03881E18616A}">
          <x14:formula1>
            <xm:f>삭제금지!$I$2:$I$18</xm:f>
          </x14:formula1>
          <xm:sqref>F5:G5</xm:sqref>
        </x14:dataValidation>
        <x14:dataValidation type="list" allowBlank="1" showInputMessage="1" showErrorMessage="1" xr:uid="{E73251F5-8B6A-4D42-BCCE-2CF4A918A781}">
          <x14:formula1>
            <xm:f>삭제금지!$J$2:$J$59</xm:f>
          </x14:formula1>
          <xm:sqref>H5:J5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79B95-85AF-497B-9A05-F9B0DFE8D132}">
  <sheetPr>
    <pageSetUpPr fitToPage="1"/>
  </sheetPr>
  <dimension ref="B2:AG55"/>
  <sheetViews>
    <sheetView showGridLines="0" view="pageBreakPreview" topLeftCell="A29" zoomScaleNormal="85" zoomScaleSheetLayoutView="100" workbookViewId="0">
      <selection activeCell="I57" sqref="I57"/>
    </sheetView>
  </sheetViews>
  <sheetFormatPr defaultRowHeight="16.5"/>
  <cols>
    <col min="1" max="1" width="3" customWidth="1"/>
    <col min="2" max="2" width="11.75" customWidth="1"/>
    <col min="3" max="3" width="5.625" customWidth="1"/>
    <col min="4" max="4" width="18.875" bestFit="1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3" ht="39.75" customHeight="1" thickBot="1">
      <c r="B2" s="577" t="s">
        <v>149</v>
      </c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577"/>
      <c r="S2" s="577"/>
      <c r="T2" s="577"/>
      <c r="U2" s="577"/>
    </row>
    <row r="3" spans="2:33" ht="27" customHeight="1" thickBot="1"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578" t="s">
        <v>129</v>
      </c>
      <c r="O3" s="578"/>
      <c r="P3" s="578"/>
      <c r="Q3" s="578" t="s">
        <v>127</v>
      </c>
      <c r="R3" s="578"/>
      <c r="S3" s="578"/>
      <c r="T3" s="578" t="s">
        <v>130</v>
      </c>
      <c r="U3" s="578"/>
    </row>
    <row r="4" spans="2:33" ht="27" customHeight="1" thickBot="1">
      <c r="B4" s="189"/>
      <c r="C4" s="189"/>
      <c r="D4" s="189"/>
      <c r="E4" s="189"/>
      <c r="F4" s="252"/>
      <c r="G4" s="252"/>
      <c r="H4" s="189"/>
      <c r="I4" s="189"/>
      <c r="J4" s="189"/>
      <c r="K4" s="189"/>
      <c r="L4" s="189"/>
      <c r="M4" s="189"/>
      <c r="N4" s="579" t="s">
        <v>659</v>
      </c>
      <c r="O4" s="579"/>
      <c r="P4" s="579"/>
      <c r="Q4" s="580" t="s">
        <v>510</v>
      </c>
      <c r="R4" s="580"/>
      <c r="S4" s="580"/>
      <c r="T4" s="580">
        <v>2027</v>
      </c>
      <c r="U4" s="580"/>
    </row>
    <row r="5" spans="2:33" ht="24" customHeight="1" thickBot="1">
      <c r="B5" s="581"/>
      <c r="C5" s="581"/>
    </row>
    <row r="6" spans="2:33" ht="20.25" customHeight="1">
      <c r="B6" s="582" t="s">
        <v>13</v>
      </c>
      <c r="C6" s="585" t="s">
        <v>140</v>
      </c>
      <c r="D6" s="574" t="s">
        <v>14</v>
      </c>
      <c r="E6" s="574" t="s">
        <v>15</v>
      </c>
      <c r="F6" s="574" t="s">
        <v>141</v>
      </c>
      <c r="G6" s="574" t="s">
        <v>142</v>
      </c>
      <c r="H6" s="588" t="s">
        <v>58</v>
      </c>
      <c r="I6" s="588"/>
      <c r="J6" s="588"/>
      <c r="K6" s="588"/>
      <c r="L6" s="588" t="s">
        <v>59</v>
      </c>
      <c r="M6" s="588"/>
      <c r="N6" s="588"/>
      <c r="O6" s="588"/>
      <c r="P6" s="588" t="s">
        <v>60</v>
      </c>
      <c r="Q6" s="588"/>
      <c r="R6" s="588"/>
      <c r="S6" s="588"/>
      <c r="T6" s="589" t="s">
        <v>139</v>
      </c>
      <c r="U6" s="599" t="s">
        <v>126</v>
      </c>
      <c r="W6" s="592" t="s">
        <v>131</v>
      </c>
      <c r="X6" s="593"/>
      <c r="Y6" s="593"/>
      <c r="Z6" s="593"/>
      <c r="AA6" s="593"/>
      <c r="AB6" s="593"/>
      <c r="AC6" s="593"/>
      <c r="AD6" s="593"/>
      <c r="AE6" s="593"/>
      <c r="AF6" s="594"/>
      <c r="AG6" s="13"/>
    </row>
    <row r="7" spans="2:33" ht="16.5" customHeight="1">
      <c r="B7" s="583"/>
      <c r="C7" s="586"/>
      <c r="D7" s="575"/>
      <c r="E7" s="575"/>
      <c r="F7" s="575"/>
      <c r="G7" s="575"/>
      <c r="H7" s="595" t="s">
        <v>124</v>
      </c>
      <c r="I7" s="595"/>
      <c r="J7" s="595" t="s">
        <v>62</v>
      </c>
      <c r="K7" s="595"/>
      <c r="L7" s="595" t="s">
        <v>124</v>
      </c>
      <c r="M7" s="595"/>
      <c r="N7" s="595" t="s">
        <v>62</v>
      </c>
      <c r="O7" s="595"/>
      <c r="P7" s="595" t="s">
        <v>124</v>
      </c>
      <c r="Q7" s="595"/>
      <c r="R7" s="595" t="s">
        <v>62</v>
      </c>
      <c r="S7" s="595"/>
      <c r="T7" s="590"/>
      <c r="U7" s="600"/>
      <c r="W7" s="596" t="s">
        <v>132</v>
      </c>
      <c r="X7" s="597"/>
      <c r="Y7" s="597"/>
      <c r="Z7" s="597"/>
      <c r="AA7" s="597"/>
      <c r="AB7" s="597"/>
      <c r="AC7" s="597"/>
      <c r="AD7" s="597"/>
      <c r="AE7" s="597"/>
      <c r="AF7" s="598"/>
      <c r="AG7" s="13"/>
    </row>
    <row r="8" spans="2:33" ht="17.25" customHeight="1" thickBot="1">
      <c r="B8" s="584"/>
      <c r="C8" s="587"/>
      <c r="D8" s="576"/>
      <c r="E8" s="576"/>
      <c r="F8" s="576"/>
      <c r="G8" s="576"/>
      <c r="H8" s="250" t="s">
        <v>138</v>
      </c>
      <c r="I8" s="250" t="s">
        <v>125</v>
      </c>
      <c r="J8" s="250" t="s">
        <v>138</v>
      </c>
      <c r="K8" s="250" t="s">
        <v>125</v>
      </c>
      <c r="L8" s="251" t="s">
        <v>138</v>
      </c>
      <c r="M8" s="251" t="s">
        <v>125</v>
      </c>
      <c r="N8" s="251" t="s">
        <v>138</v>
      </c>
      <c r="O8" s="251" t="s">
        <v>125</v>
      </c>
      <c r="P8" s="251" t="s">
        <v>138</v>
      </c>
      <c r="Q8" s="251" t="s">
        <v>125</v>
      </c>
      <c r="R8" s="251" t="s">
        <v>138</v>
      </c>
      <c r="S8" s="251" t="s">
        <v>125</v>
      </c>
      <c r="T8" s="591"/>
      <c r="U8" s="601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 thickTop="1">
      <c r="B9" s="602" t="s">
        <v>526</v>
      </c>
      <c r="C9" s="604">
        <v>12</v>
      </c>
      <c r="D9" s="223" t="s">
        <v>554</v>
      </c>
      <c r="E9" s="223" t="s">
        <v>559</v>
      </c>
      <c r="F9" s="45">
        <v>40</v>
      </c>
      <c r="G9" s="45">
        <v>3</v>
      </c>
      <c r="H9" s="219">
        <v>2</v>
      </c>
      <c r="I9" s="219">
        <v>32</v>
      </c>
      <c r="J9" s="219"/>
      <c r="K9" s="219">
        <f>J9*16</f>
        <v>0</v>
      </c>
      <c r="L9" s="54"/>
      <c r="M9" s="54"/>
      <c r="N9" s="54"/>
      <c r="O9" s="54"/>
      <c r="P9" s="54"/>
      <c r="Q9" s="54"/>
      <c r="R9" s="54"/>
      <c r="S9" s="54"/>
      <c r="T9" s="55"/>
      <c r="U9" s="56"/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602"/>
      <c r="C10" s="604"/>
      <c r="D10" s="216" t="s">
        <v>555</v>
      </c>
      <c r="E10" s="216" t="s">
        <v>560</v>
      </c>
      <c r="F10" s="26">
        <v>20</v>
      </c>
      <c r="G10" s="26">
        <v>2</v>
      </c>
      <c r="H10" s="218">
        <v>2</v>
      </c>
      <c r="I10" s="218">
        <v>32</v>
      </c>
      <c r="J10" s="218"/>
      <c r="K10" s="218">
        <f t="shared" ref="K10" si="0">J10*16</f>
        <v>0</v>
      </c>
      <c r="L10" s="51"/>
      <c r="M10" s="51"/>
      <c r="N10" s="51"/>
      <c r="O10" s="51"/>
      <c r="P10" s="51"/>
      <c r="Q10" s="51"/>
      <c r="R10" s="51"/>
      <c r="S10" s="51"/>
      <c r="T10" s="52"/>
      <c r="U10" s="53"/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>
      <c r="B11" s="602"/>
      <c r="C11" s="604"/>
      <c r="D11" s="216" t="s">
        <v>556</v>
      </c>
      <c r="E11" s="216" t="s">
        <v>561</v>
      </c>
      <c r="F11" s="45">
        <v>40</v>
      </c>
      <c r="G11" s="45">
        <v>3</v>
      </c>
      <c r="H11" s="219">
        <v>2</v>
      </c>
      <c r="I11" s="219">
        <v>32</v>
      </c>
      <c r="J11" s="219"/>
      <c r="K11" s="219"/>
      <c r="L11" s="54"/>
      <c r="M11" s="54"/>
      <c r="N11" s="54"/>
      <c r="O11" s="54"/>
      <c r="P11" s="54"/>
      <c r="Q11" s="54"/>
      <c r="R11" s="54"/>
      <c r="S11" s="54"/>
      <c r="T11" s="55"/>
      <c r="U11" s="56"/>
    </row>
    <row r="12" spans="2:33">
      <c r="B12" s="602"/>
      <c r="C12" s="604"/>
      <c r="D12" s="216" t="s">
        <v>557</v>
      </c>
      <c r="E12" s="216" t="s">
        <v>562</v>
      </c>
      <c r="F12" s="45">
        <v>40</v>
      </c>
      <c r="G12" s="45">
        <v>4</v>
      </c>
      <c r="H12" s="219"/>
      <c r="I12" s="219"/>
      <c r="J12" s="219">
        <v>3</v>
      </c>
      <c r="K12" s="219">
        <v>48</v>
      </c>
      <c r="L12" s="54"/>
      <c r="M12" s="54"/>
      <c r="N12" s="54"/>
      <c r="O12" s="54"/>
      <c r="P12" s="54"/>
      <c r="Q12" s="54"/>
      <c r="R12" s="54"/>
      <c r="S12" s="54"/>
      <c r="T12" s="55"/>
      <c r="U12" s="56"/>
    </row>
    <row r="13" spans="2:33">
      <c r="B13" s="602"/>
      <c r="C13" s="604"/>
      <c r="D13" s="220" t="s">
        <v>558</v>
      </c>
      <c r="E13" s="220" t="s">
        <v>563</v>
      </c>
      <c r="F13" s="45">
        <v>50</v>
      </c>
      <c r="G13" s="45">
        <v>4</v>
      </c>
      <c r="H13" s="219"/>
      <c r="I13" s="219"/>
      <c r="J13" s="219">
        <v>3</v>
      </c>
      <c r="K13" s="219">
        <v>48</v>
      </c>
      <c r="L13" s="54"/>
      <c r="M13" s="54"/>
      <c r="N13" s="54"/>
      <c r="O13" s="54"/>
      <c r="P13" s="54"/>
      <c r="Q13" s="54"/>
      <c r="R13" s="54"/>
      <c r="S13" s="54"/>
      <c r="T13" s="52"/>
      <c r="U13" s="53"/>
    </row>
    <row r="14" spans="2:33" ht="17.25" thickBot="1">
      <c r="B14" s="603"/>
      <c r="C14" s="605"/>
      <c r="D14" s="553" t="s">
        <v>16</v>
      </c>
      <c r="E14" s="553"/>
      <c r="F14" s="190"/>
      <c r="G14" s="190"/>
      <c r="H14" s="29">
        <f>SUM(H9:H13)</f>
        <v>6</v>
      </c>
      <c r="I14" s="29">
        <f>SUM(I9:I13)</f>
        <v>96</v>
      </c>
      <c r="J14" s="29">
        <f>SUM(J11:J13)</f>
        <v>6</v>
      </c>
      <c r="K14" s="29">
        <f>SUM(K11:K13)</f>
        <v>96</v>
      </c>
      <c r="L14" s="57">
        <f t="shared" ref="L14:U14" si="1">SUM(L9:L13)</f>
        <v>0</v>
      </c>
      <c r="M14" s="57">
        <f t="shared" si="1"/>
        <v>0</v>
      </c>
      <c r="N14" s="57">
        <f t="shared" si="1"/>
        <v>0</v>
      </c>
      <c r="O14" s="57">
        <f t="shared" si="1"/>
        <v>0</v>
      </c>
      <c r="P14" s="57">
        <f t="shared" si="1"/>
        <v>0</v>
      </c>
      <c r="Q14" s="57">
        <f t="shared" si="1"/>
        <v>0</v>
      </c>
      <c r="R14" s="57">
        <f t="shared" si="1"/>
        <v>0</v>
      </c>
      <c r="S14" s="57">
        <f t="shared" si="1"/>
        <v>0</v>
      </c>
      <c r="T14" s="58">
        <f t="shared" si="1"/>
        <v>0</v>
      </c>
      <c r="U14" s="225">
        <f t="shared" si="1"/>
        <v>0</v>
      </c>
    </row>
    <row r="15" spans="2:33" ht="17.45" customHeight="1">
      <c r="B15" s="554" t="s">
        <v>564</v>
      </c>
      <c r="C15" s="606">
        <v>4</v>
      </c>
      <c r="D15" s="223" t="s">
        <v>565</v>
      </c>
      <c r="E15" s="224" t="s">
        <v>567</v>
      </c>
      <c r="F15" s="31">
        <v>30</v>
      </c>
      <c r="G15" s="31">
        <v>2</v>
      </c>
      <c r="H15" s="32"/>
      <c r="I15" s="32"/>
      <c r="J15" s="32"/>
      <c r="K15" s="32"/>
      <c r="L15" s="32">
        <v>3</v>
      </c>
      <c r="M15" s="32">
        <v>48</v>
      </c>
      <c r="N15" s="32"/>
      <c r="O15" s="32"/>
      <c r="P15" s="32"/>
      <c r="Q15" s="32"/>
      <c r="R15" s="32"/>
      <c r="S15" s="32"/>
      <c r="T15" s="47"/>
      <c r="U15" s="46"/>
    </row>
    <row r="16" spans="2:33">
      <c r="B16" s="548"/>
      <c r="C16" s="607"/>
      <c r="D16" s="221" t="s">
        <v>566</v>
      </c>
      <c r="E16" s="222" t="s">
        <v>568</v>
      </c>
      <c r="F16" s="45">
        <v>30</v>
      </c>
      <c r="G16" s="45">
        <v>3</v>
      </c>
      <c r="H16" s="44"/>
      <c r="I16" s="44"/>
      <c r="J16" s="44"/>
      <c r="K16" s="44"/>
      <c r="L16" s="44">
        <v>1</v>
      </c>
      <c r="M16" s="44">
        <v>16</v>
      </c>
      <c r="N16" s="44"/>
      <c r="O16" s="44"/>
      <c r="P16" s="44"/>
      <c r="Q16" s="44"/>
      <c r="R16" s="44"/>
      <c r="S16" s="27"/>
      <c r="T16" s="43"/>
      <c r="U16" s="42"/>
      <c r="W16" s="49"/>
    </row>
    <row r="17" spans="2:21" ht="17.25" thickBot="1">
      <c r="B17" s="549"/>
      <c r="C17" s="608"/>
      <c r="D17" s="553" t="s">
        <v>16</v>
      </c>
      <c r="E17" s="553"/>
      <c r="F17" s="209"/>
      <c r="G17" s="209"/>
      <c r="H17" s="33"/>
      <c r="I17" s="33"/>
      <c r="J17" s="33"/>
      <c r="K17" s="33"/>
      <c r="L17" s="33">
        <f>SUM(L15:L16)</f>
        <v>4</v>
      </c>
      <c r="M17" s="33">
        <f>SUM(M15:M16)</f>
        <v>64</v>
      </c>
      <c r="N17" s="33"/>
      <c r="O17" s="33"/>
      <c r="P17" s="33"/>
      <c r="Q17" s="33"/>
      <c r="R17" s="33"/>
      <c r="S17" s="33"/>
      <c r="T17" s="37"/>
      <c r="U17" s="38"/>
    </row>
    <row r="18" spans="2:21">
      <c r="B18" s="548" t="s">
        <v>665</v>
      </c>
      <c r="C18" s="550">
        <v>5</v>
      </c>
      <c r="D18" s="228" t="s">
        <v>569</v>
      </c>
      <c r="E18" s="228" t="s">
        <v>571</v>
      </c>
      <c r="F18" s="45">
        <v>45</v>
      </c>
      <c r="G18" s="45">
        <v>3</v>
      </c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>
        <v>3</v>
      </c>
      <c r="S18" s="44">
        <v>48</v>
      </c>
      <c r="T18" s="43"/>
      <c r="U18" s="42"/>
    </row>
    <row r="19" spans="2:21">
      <c r="B19" s="548"/>
      <c r="C19" s="551"/>
      <c r="D19" s="227" t="s">
        <v>570</v>
      </c>
      <c r="E19" s="227" t="s">
        <v>572</v>
      </c>
      <c r="F19" s="45">
        <v>45</v>
      </c>
      <c r="G19" s="45">
        <v>3</v>
      </c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>
        <v>2</v>
      </c>
      <c r="S19" s="27">
        <v>32</v>
      </c>
      <c r="T19" s="43"/>
      <c r="U19" s="42"/>
    </row>
    <row r="20" spans="2:21" ht="17.25" thickBot="1">
      <c r="B20" s="549"/>
      <c r="C20" s="552"/>
      <c r="D20" s="553" t="s">
        <v>16</v>
      </c>
      <c r="E20" s="553"/>
      <c r="F20" s="191"/>
      <c r="G20" s="191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>
        <f>SUM(R18:R19)</f>
        <v>5</v>
      </c>
      <c r="S20" s="48">
        <f>SUM(S18:S19)</f>
        <v>80</v>
      </c>
      <c r="T20" s="35"/>
      <c r="U20" s="36"/>
    </row>
    <row r="21" spans="2:21" ht="17.100000000000001" customHeight="1">
      <c r="B21" s="554" t="s">
        <v>573</v>
      </c>
      <c r="C21" s="606">
        <v>13</v>
      </c>
      <c r="D21" s="229" t="s">
        <v>574</v>
      </c>
      <c r="E21" s="223" t="s">
        <v>579</v>
      </c>
      <c r="F21" s="31">
        <v>40</v>
      </c>
      <c r="G21" s="50">
        <v>2</v>
      </c>
      <c r="H21" s="32"/>
      <c r="I21" s="32"/>
      <c r="J21" s="32"/>
      <c r="K21" s="32"/>
      <c r="L21" s="32"/>
      <c r="M21" s="32"/>
      <c r="N21" s="32"/>
      <c r="O21" s="32"/>
      <c r="P21" s="32">
        <v>2</v>
      </c>
      <c r="Q21" s="32">
        <v>32</v>
      </c>
      <c r="R21" s="32"/>
      <c r="S21" s="32"/>
      <c r="T21" s="47"/>
      <c r="U21" s="46"/>
    </row>
    <row r="22" spans="2:21">
      <c r="B22" s="548"/>
      <c r="C22" s="607"/>
      <c r="D22" s="216" t="s">
        <v>575</v>
      </c>
      <c r="E22" s="216" t="s">
        <v>580</v>
      </c>
      <c r="F22" s="45">
        <v>40</v>
      </c>
      <c r="G22" s="230">
        <v>2</v>
      </c>
      <c r="H22" s="44"/>
      <c r="I22" s="44"/>
      <c r="J22" s="44"/>
      <c r="K22" s="44"/>
      <c r="L22" s="44"/>
      <c r="M22" s="44"/>
      <c r="N22" s="44"/>
      <c r="O22" s="44"/>
      <c r="P22" s="44">
        <v>2</v>
      </c>
      <c r="Q22" s="44">
        <v>32</v>
      </c>
      <c r="R22" s="44"/>
      <c r="S22" s="44"/>
      <c r="T22" s="43"/>
      <c r="U22" s="42"/>
    </row>
    <row r="23" spans="2:21">
      <c r="B23" s="548"/>
      <c r="C23" s="607"/>
      <c r="D23" s="216" t="s">
        <v>576</v>
      </c>
      <c r="E23" s="216" t="s">
        <v>581</v>
      </c>
      <c r="F23" s="45">
        <v>40</v>
      </c>
      <c r="G23" s="45">
        <v>3</v>
      </c>
      <c r="H23" s="44"/>
      <c r="I23" s="44"/>
      <c r="J23" s="44"/>
      <c r="K23" s="44"/>
      <c r="L23" s="44"/>
      <c r="M23" s="44"/>
      <c r="N23" s="44"/>
      <c r="O23" s="44"/>
      <c r="P23" s="44">
        <v>3</v>
      </c>
      <c r="Q23" s="44">
        <v>48</v>
      </c>
      <c r="R23" s="44"/>
      <c r="S23" s="44"/>
      <c r="T23" s="43"/>
      <c r="U23" s="42"/>
    </row>
    <row r="24" spans="2:21">
      <c r="B24" s="548"/>
      <c r="C24" s="607"/>
      <c r="D24" s="216" t="s">
        <v>577</v>
      </c>
      <c r="E24" s="216" t="s">
        <v>582</v>
      </c>
      <c r="F24" s="26">
        <v>36</v>
      </c>
      <c r="G24" s="26">
        <v>3</v>
      </c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>
        <v>2</v>
      </c>
      <c r="S24" s="27">
        <v>32</v>
      </c>
      <c r="T24" s="40"/>
      <c r="U24" s="39"/>
    </row>
    <row r="25" spans="2:21">
      <c r="B25" s="548"/>
      <c r="C25" s="607"/>
      <c r="D25" s="220" t="s">
        <v>578</v>
      </c>
      <c r="E25" s="220" t="s">
        <v>583</v>
      </c>
      <c r="F25" s="26">
        <v>40</v>
      </c>
      <c r="G25" s="26">
        <v>4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>
        <v>4</v>
      </c>
      <c r="S25" s="27">
        <v>64</v>
      </c>
      <c r="T25" s="40"/>
      <c r="U25" s="39"/>
    </row>
    <row r="26" spans="2:21" ht="17.25" thickBot="1">
      <c r="B26" s="549"/>
      <c r="C26" s="608"/>
      <c r="D26" s="553" t="s">
        <v>16</v>
      </c>
      <c r="E26" s="553"/>
      <c r="F26" s="209"/>
      <c r="G26" s="209"/>
      <c r="H26" s="33"/>
      <c r="I26" s="33"/>
      <c r="J26" s="33"/>
      <c r="K26" s="33"/>
      <c r="L26" s="33"/>
      <c r="M26" s="33"/>
      <c r="N26" s="33"/>
      <c r="O26" s="33"/>
      <c r="P26" s="33">
        <f>SUM(P21:P25)</f>
        <v>7</v>
      </c>
      <c r="Q26" s="33">
        <f>SUM(Q21:Q25)</f>
        <v>112</v>
      </c>
      <c r="R26" s="33">
        <f>SUM(R24:R25)</f>
        <v>6</v>
      </c>
      <c r="S26" s="33">
        <f>SUM(S24:S25)</f>
        <v>96</v>
      </c>
      <c r="T26" s="37"/>
      <c r="U26" s="38"/>
    </row>
    <row r="27" spans="2:21">
      <c r="B27" s="548" t="s">
        <v>584</v>
      </c>
      <c r="C27" s="550">
        <v>3</v>
      </c>
      <c r="D27" s="232" t="s">
        <v>585</v>
      </c>
      <c r="E27" s="226" t="s">
        <v>587</v>
      </c>
      <c r="F27" s="45">
        <v>45</v>
      </c>
      <c r="G27" s="45">
        <v>2</v>
      </c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>
        <v>2</v>
      </c>
      <c r="S27" s="44">
        <v>32</v>
      </c>
      <c r="T27" s="43"/>
      <c r="U27" s="42"/>
    </row>
    <row r="28" spans="2:21">
      <c r="B28" s="548"/>
      <c r="C28" s="551"/>
      <c r="D28" s="227" t="s">
        <v>586</v>
      </c>
      <c r="E28" s="231" t="s">
        <v>588</v>
      </c>
      <c r="F28" s="45">
        <v>45</v>
      </c>
      <c r="G28" s="45">
        <v>2</v>
      </c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>
        <v>1</v>
      </c>
      <c r="S28" s="27">
        <v>16</v>
      </c>
      <c r="T28" s="43"/>
      <c r="U28" s="42"/>
    </row>
    <row r="29" spans="2:21" ht="17.25" thickBot="1">
      <c r="B29" s="549"/>
      <c r="C29" s="552"/>
      <c r="D29" s="553" t="s">
        <v>16</v>
      </c>
      <c r="E29" s="553"/>
      <c r="F29" s="209"/>
      <c r="G29" s="209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>
        <f>SUM(R27:R28)</f>
        <v>3</v>
      </c>
      <c r="S29" s="33">
        <f>SUM(S27:S28)</f>
        <v>48</v>
      </c>
      <c r="T29" s="37"/>
      <c r="U29" s="38"/>
    </row>
    <row r="30" spans="2:21">
      <c r="B30" s="562" t="s">
        <v>533</v>
      </c>
      <c r="C30" s="565">
        <v>16</v>
      </c>
      <c r="D30" s="237" t="s">
        <v>590</v>
      </c>
      <c r="E30" s="237" t="s">
        <v>606</v>
      </c>
      <c r="F30" s="238">
        <v>40</v>
      </c>
      <c r="G30" s="238">
        <v>3</v>
      </c>
      <c r="H30" s="44"/>
      <c r="I30" s="44"/>
      <c r="J30" s="44"/>
      <c r="K30" s="44"/>
      <c r="L30" s="44">
        <v>4</v>
      </c>
      <c r="M30" s="44">
        <v>64</v>
      </c>
      <c r="N30" s="44"/>
      <c r="O30" s="44"/>
      <c r="P30" s="34"/>
      <c r="Q30" s="34"/>
      <c r="R30" s="34"/>
      <c r="S30" s="34"/>
      <c r="T30" s="43"/>
      <c r="U30" s="42"/>
    </row>
    <row r="31" spans="2:21">
      <c r="B31" s="563"/>
      <c r="C31" s="566"/>
      <c r="D31" s="239" t="s">
        <v>589</v>
      </c>
      <c r="E31" s="239" t="s">
        <v>605</v>
      </c>
      <c r="F31" s="240">
        <v>40</v>
      </c>
      <c r="G31" s="238">
        <v>3</v>
      </c>
      <c r="H31" s="44"/>
      <c r="I31" s="44"/>
      <c r="J31" s="44"/>
      <c r="K31" s="44"/>
      <c r="L31" s="44">
        <v>4</v>
      </c>
      <c r="M31" s="44">
        <v>64</v>
      </c>
      <c r="N31" s="44"/>
      <c r="O31" s="44"/>
      <c r="P31" s="34"/>
      <c r="Q31" s="34"/>
      <c r="R31" s="34"/>
      <c r="S31" s="34"/>
      <c r="T31" s="43"/>
      <c r="U31" s="42"/>
    </row>
    <row r="32" spans="2:21">
      <c r="B32" s="563"/>
      <c r="C32" s="566"/>
      <c r="D32" s="241" t="s">
        <v>591</v>
      </c>
      <c r="E32" s="241" t="s">
        <v>607</v>
      </c>
      <c r="F32" s="242">
        <v>40</v>
      </c>
      <c r="G32" s="238">
        <v>3</v>
      </c>
      <c r="H32" s="44"/>
      <c r="I32" s="44"/>
      <c r="J32" s="44"/>
      <c r="K32" s="44"/>
      <c r="L32" s="44"/>
      <c r="M32" s="44"/>
      <c r="N32" s="44">
        <v>4</v>
      </c>
      <c r="O32" s="44">
        <v>64</v>
      </c>
      <c r="P32" s="34"/>
      <c r="Q32" s="34"/>
      <c r="R32" s="34"/>
      <c r="S32" s="34"/>
      <c r="T32" s="43"/>
      <c r="U32" s="42"/>
    </row>
    <row r="33" spans="2:21">
      <c r="B33" s="563"/>
      <c r="C33" s="566"/>
      <c r="D33" s="241" t="s">
        <v>667</v>
      </c>
      <c r="E33" s="243" t="s">
        <v>668</v>
      </c>
      <c r="F33" s="242">
        <v>40</v>
      </c>
      <c r="G33" s="242">
        <v>4</v>
      </c>
      <c r="H33" s="27"/>
      <c r="I33" s="27"/>
      <c r="J33" s="27"/>
      <c r="K33" s="27"/>
      <c r="L33" s="27"/>
      <c r="M33" s="27"/>
      <c r="N33" s="27">
        <v>4</v>
      </c>
      <c r="O33" s="27">
        <v>64</v>
      </c>
      <c r="P33" s="28"/>
      <c r="Q33" s="28"/>
      <c r="R33" s="28"/>
      <c r="S33" s="28"/>
      <c r="T33" s="40"/>
      <c r="U33" s="39"/>
    </row>
    <row r="34" spans="2:21" ht="17.25" thickBot="1">
      <c r="B34" s="564"/>
      <c r="C34" s="567"/>
      <c r="D34" s="568" t="s">
        <v>16</v>
      </c>
      <c r="E34" s="568"/>
      <c r="F34" s="244"/>
      <c r="G34" s="244"/>
      <c r="H34" s="29"/>
      <c r="I34" s="29"/>
      <c r="J34" s="29"/>
      <c r="K34" s="29"/>
      <c r="L34" s="29">
        <f>SUM(L30:L33)</f>
        <v>8</v>
      </c>
      <c r="M34" s="29">
        <f t="shared" ref="M34:O34" si="2">SUM(M30:M33)</f>
        <v>128</v>
      </c>
      <c r="N34" s="29">
        <f t="shared" si="2"/>
        <v>8</v>
      </c>
      <c r="O34" s="29">
        <f t="shared" si="2"/>
        <v>128</v>
      </c>
      <c r="P34" s="29"/>
      <c r="Q34" s="29"/>
      <c r="R34" s="29"/>
      <c r="S34" s="29"/>
      <c r="T34" s="37"/>
      <c r="U34" s="38"/>
    </row>
    <row r="35" spans="2:21">
      <c r="B35" s="562" t="s">
        <v>534</v>
      </c>
      <c r="C35" s="569">
        <v>12</v>
      </c>
      <c r="D35" s="223" t="s">
        <v>592</v>
      </c>
      <c r="E35" s="223" t="s">
        <v>608</v>
      </c>
      <c r="F35" s="238">
        <v>40</v>
      </c>
      <c r="G35" s="238">
        <v>3</v>
      </c>
      <c r="H35" s="44"/>
      <c r="I35" s="44"/>
      <c r="J35" s="44"/>
      <c r="K35" s="44"/>
      <c r="L35" s="44"/>
      <c r="M35" s="44"/>
      <c r="N35" s="44"/>
      <c r="O35" s="44"/>
      <c r="P35" s="34">
        <v>2</v>
      </c>
      <c r="Q35" s="34">
        <v>32</v>
      </c>
      <c r="R35" s="34"/>
      <c r="S35" s="34"/>
      <c r="T35" s="43"/>
      <c r="U35" s="42"/>
    </row>
    <row r="36" spans="2:21">
      <c r="B36" s="563"/>
      <c r="C36" s="570"/>
      <c r="D36" s="216" t="s">
        <v>593</v>
      </c>
      <c r="E36" s="216" t="s">
        <v>609</v>
      </c>
      <c r="F36" s="238">
        <v>40</v>
      </c>
      <c r="G36" s="238">
        <v>3</v>
      </c>
      <c r="H36" s="44"/>
      <c r="I36" s="44"/>
      <c r="J36" s="44"/>
      <c r="K36" s="44"/>
      <c r="L36" s="44"/>
      <c r="M36" s="44"/>
      <c r="N36" s="44"/>
      <c r="O36" s="44"/>
      <c r="P36" s="34">
        <v>4</v>
      </c>
      <c r="Q36" s="34">
        <v>64</v>
      </c>
      <c r="R36" s="34"/>
      <c r="S36" s="34"/>
      <c r="T36" s="43"/>
      <c r="U36" s="42"/>
    </row>
    <row r="37" spans="2:21">
      <c r="B37" s="563"/>
      <c r="C37" s="570"/>
      <c r="D37" s="216" t="s">
        <v>594</v>
      </c>
      <c r="E37" s="216" t="s">
        <v>610</v>
      </c>
      <c r="F37" s="242">
        <v>40</v>
      </c>
      <c r="G37" s="238">
        <v>3</v>
      </c>
      <c r="H37" s="44"/>
      <c r="I37" s="44"/>
      <c r="J37" s="44"/>
      <c r="K37" s="44"/>
      <c r="L37" s="44"/>
      <c r="M37" s="44"/>
      <c r="N37" s="44"/>
      <c r="O37" s="44"/>
      <c r="P37" s="34"/>
      <c r="Q37" s="34"/>
      <c r="R37" s="34">
        <v>4</v>
      </c>
      <c r="S37" s="34">
        <v>64</v>
      </c>
      <c r="T37" s="43"/>
      <c r="U37" s="42"/>
    </row>
    <row r="38" spans="2:21">
      <c r="B38" s="563"/>
      <c r="C38" s="570"/>
      <c r="D38" s="239" t="s">
        <v>669</v>
      </c>
      <c r="E38" s="239" t="s">
        <v>670</v>
      </c>
      <c r="F38" s="245">
        <v>45</v>
      </c>
      <c r="G38" s="242">
        <v>4</v>
      </c>
      <c r="H38" s="27"/>
      <c r="I38" s="27"/>
      <c r="J38" s="27"/>
      <c r="K38" s="27"/>
      <c r="L38" s="27"/>
      <c r="M38" s="27"/>
      <c r="N38" s="27"/>
      <c r="O38" s="27"/>
      <c r="P38" s="235"/>
      <c r="Q38" s="235"/>
      <c r="R38" s="235">
        <v>2</v>
      </c>
      <c r="S38" s="235">
        <v>32</v>
      </c>
      <c r="T38" s="40"/>
      <c r="U38" s="39"/>
    </row>
    <row r="39" spans="2:21" ht="17.25" thickBot="1">
      <c r="B39" s="564"/>
      <c r="C39" s="571"/>
      <c r="D39" s="572" t="s">
        <v>16</v>
      </c>
      <c r="E39" s="573"/>
      <c r="F39" s="244"/>
      <c r="G39" s="244"/>
      <c r="H39" s="29"/>
      <c r="I39" s="29"/>
      <c r="J39" s="29"/>
      <c r="K39" s="29"/>
      <c r="L39" s="29"/>
      <c r="M39" s="29"/>
      <c r="N39" s="29"/>
      <c r="O39" s="29"/>
      <c r="P39" s="29">
        <f>SUM(P35:P38)</f>
        <v>6</v>
      </c>
      <c r="Q39" s="29">
        <f t="shared" ref="Q39:S39" si="3">SUM(Q35:Q38)</f>
        <v>96</v>
      </c>
      <c r="R39" s="29">
        <f t="shared" si="3"/>
        <v>6</v>
      </c>
      <c r="S39" s="29">
        <f t="shared" si="3"/>
        <v>96</v>
      </c>
      <c r="T39" s="37"/>
      <c r="U39" s="38"/>
    </row>
    <row r="40" spans="2:21">
      <c r="B40" s="554" t="s">
        <v>602</v>
      </c>
      <c r="C40" s="555">
        <v>12</v>
      </c>
      <c r="D40" s="223" t="s">
        <v>595</v>
      </c>
      <c r="E40" s="223" t="s">
        <v>614</v>
      </c>
      <c r="F40" s="45">
        <v>30</v>
      </c>
      <c r="G40" s="45">
        <v>3</v>
      </c>
      <c r="H40" s="44"/>
      <c r="I40" s="44"/>
      <c r="J40" s="44"/>
      <c r="K40" s="44"/>
      <c r="L40" s="44"/>
      <c r="M40" s="44"/>
      <c r="N40" s="44"/>
      <c r="O40" s="44"/>
      <c r="P40" s="236">
        <v>3</v>
      </c>
      <c r="Q40" s="236">
        <v>48</v>
      </c>
      <c r="R40" s="236"/>
      <c r="S40" s="236"/>
      <c r="T40" s="43"/>
      <c r="U40" s="42"/>
    </row>
    <row r="41" spans="2:21">
      <c r="B41" s="548"/>
      <c r="C41" s="556"/>
      <c r="D41" s="216" t="s">
        <v>596</v>
      </c>
      <c r="E41" s="216" t="s">
        <v>611</v>
      </c>
      <c r="F41" s="45">
        <v>15</v>
      </c>
      <c r="G41" s="45">
        <v>3</v>
      </c>
      <c r="H41" s="44"/>
      <c r="I41" s="44"/>
      <c r="J41" s="44"/>
      <c r="K41" s="44"/>
      <c r="L41" s="44"/>
      <c r="M41" s="44"/>
      <c r="N41" s="44"/>
      <c r="O41" s="44"/>
      <c r="P41" s="236">
        <v>3</v>
      </c>
      <c r="Q41" s="236">
        <v>48</v>
      </c>
      <c r="R41" s="236"/>
      <c r="S41" s="236"/>
      <c r="T41" s="43"/>
      <c r="U41" s="42"/>
    </row>
    <row r="42" spans="2:21">
      <c r="B42" s="548"/>
      <c r="C42" s="556"/>
      <c r="D42" s="216" t="s">
        <v>597</v>
      </c>
      <c r="E42" s="216" t="s">
        <v>612</v>
      </c>
      <c r="F42" s="26">
        <v>20</v>
      </c>
      <c r="G42" s="45">
        <v>3</v>
      </c>
      <c r="H42" s="44"/>
      <c r="I42" s="44"/>
      <c r="J42" s="44"/>
      <c r="K42" s="44"/>
      <c r="L42" s="44"/>
      <c r="M42" s="44"/>
      <c r="N42" s="44"/>
      <c r="O42" s="44"/>
      <c r="P42" s="236"/>
      <c r="Q42" s="236"/>
      <c r="R42" s="236">
        <v>3</v>
      </c>
      <c r="S42" s="236">
        <v>48</v>
      </c>
      <c r="T42" s="43"/>
      <c r="U42" s="42"/>
    </row>
    <row r="43" spans="2:21">
      <c r="B43" s="548"/>
      <c r="C43" s="556"/>
      <c r="D43" s="216" t="s">
        <v>598</v>
      </c>
      <c r="E43" s="216" t="s">
        <v>613</v>
      </c>
      <c r="F43" s="41">
        <v>20</v>
      </c>
      <c r="G43" s="26">
        <v>3</v>
      </c>
      <c r="H43" s="27"/>
      <c r="I43" s="27"/>
      <c r="J43" s="27"/>
      <c r="K43" s="27"/>
      <c r="L43" s="27"/>
      <c r="M43" s="27"/>
      <c r="N43" s="27"/>
      <c r="O43" s="27"/>
      <c r="P43" s="235"/>
      <c r="Q43" s="235"/>
      <c r="R43" s="235">
        <v>3</v>
      </c>
      <c r="S43" s="235">
        <v>48</v>
      </c>
      <c r="T43" s="40"/>
      <c r="U43" s="39"/>
    </row>
    <row r="44" spans="2:21" ht="17.25" thickBot="1">
      <c r="B44" s="549"/>
      <c r="C44" s="557"/>
      <c r="D44" s="560" t="s">
        <v>623</v>
      </c>
      <c r="E44" s="561"/>
      <c r="F44" s="208"/>
      <c r="G44" s="208"/>
      <c r="H44" s="29"/>
      <c r="I44" s="29"/>
      <c r="J44" s="29"/>
      <c r="K44" s="29"/>
      <c r="L44" s="29"/>
      <c r="M44" s="29"/>
      <c r="N44" s="29"/>
      <c r="O44" s="29"/>
      <c r="P44" s="29">
        <f>SUM(P40:P43)</f>
        <v>6</v>
      </c>
      <c r="Q44" s="29">
        <f t="shared" ref="Q44:S44" si="4">SUM(Q40:Q43)</f>
        <v>96</v>
      </c>
      <c r="R44" s="29">
        <f t="shared" si="4"/>
        <v>6</v>
      </c>
      <c r="S44" s="29">
        <f t="shared" si="4"/>
        <v>96</v>
      </c>
      <c r="T44" s="37"/>
      <c r="U44" s="38"/>
    </row>
    <row r="45" spans="2:21">
      <c r="B45" s="548" t="s">
        <v>524</v>
      </c>
      <c r="C45" s="550">
        <v>4</v>
      </c>
      <c r="D45" s="233" t="s">
        <v>619</v>
      </c>
      <c r="E45" s="234" t="s">
        <v>620</v>
      </c>
      <c r="F45" s="45">
        <v>20</v>
      </c>
      <c r="G45" s="45">
        <v>3</v>
      </c>
      <c r="H45" s="44"/>
      <c r="I45" s="44"/>
      <c r="J45" s="44">
        <v>1</v>
      </c>
      <c r="K45" s="44">
        <v>16</v>
      </c>
      <c r="L45" s="44"/>
      <c r="M45" s="44"/>
      <c r="N45" s="44"/>
      <c r="O45" s="44"/>
      <c r="P45" s="44"/>
      <c r="Q45" s="44"/>
      <c r="R45" s="44"/>
      <c r="S45" s="44"/>
      <c r="T45" s="43"/>
      <c r="U45" s="42"/>
    </row>
    <row r="46" spans="2:21">
      <c r="B46" s="548"/>
      <c r="C46" s="551"/>
      <c r="D46" s="223" t="s">
        <v>621</v>
      </c>
      <c r="E46" s="223" t="s">
        <v>622</v>
      </c>
      <c r="F46" s="45">
        <v>80</v>
      </c>
      <c r="G46" s="45">
        <v>3</v>
      </c>
      <c r="H46" s="44"/>
      <c r="I46" s="44"/>
      <c r="J46" s="44">
        <v>3</v>
      </c>
      <c r="K46" s="44">
        <v>48</v>
      </c>
      <c r="L46" s="44"/>
      <c r="M46" s="44"/>
      <c r="N46" s="44"/>
      <c r="O46" s="44"/>
      <c r="P46" s="44"/>
      <c r="Q46" s="44"/>
      <c r="R46" s="44"/>
      <c r="S46" s="27"/>
      <c r="T46" s="43"/>
      <c r="U46" s="42"/>
    </row>
    <row r="47" spans="2:21" ht="17.25" thickBot="1">
      <c r="B47" s="549"/>
      <c r="C47" s="552"/>
      <c r="D47" s="553" t="s">
        <v>16</v>
      </c>
      <c r="E47" s="553"/>
      <c r="F47" s="209"/>
      <c r="G47" s="209"/>
      <c r="H47" s="33"/>
      <c r="I47" s="33"/>
      <c r="J47" s="33">
        <f>SUM(J45:J46)</f>
        <v>4</v>
      </c>
      <c r="K47" s="33">
        <f>SUM(K45:K46)</f>
        <v>64</v>
      </c>
      <c r="L47" s="33"/>
      <c r="M47" s="33"/>
      <c r="N47" s="33"/>
      <c r="O47" s="33"/>
      <c r="P47" s="33"/>
      <c r="Q47" s="33"/>
      <c r="R47" s="33">
        <f>SUM(R45:R46)</f>
        <v>0</v>
      </c>
      <c r="S47" s="33"/>
      <c r="T47" s="37"/>
      <c r="U47" s="38"/>
    </row>
    <row r="48" spans="2:21" ht="17.100000000000001" customHeight="1">
      <c r="B48" s="554" t="s">
        <v>603</v>
      </c>
      <c r="C48" s="555">
        <v>5</v>
      </c>
      <c r="D48" s="246" t="s">
        <v>599</v>
      </c>
      <c r="E48" s="223" t="s">
        <v>615</v>
      </c>
      <c r="F48" s="247">
        <v>40</v>
      </c>
      <c r="G48" s="31">
        <v>2</v>
      </c>
      <c r="H48" s="32"/>
      <c r="I48" s="32"/>
      <c r="J48" s="32"/>
      <c r="K48" s="44"/>
      <c r="L48" s="44"/>
      <c r="M48" s="44"/>
      <c r="N48" s="44"/>
      <c r="O48" s="44"/>
      <c r="P48" s="34">
        <v>1</v>
      </c>
      <c r="Q48" s="34">
        <v>16</v>
      </c>
      <c r="R48" s="34"/>
      <c r="S48" s="34"/>
      <c r="T48" s="43"/>
      <c r="U48" s="42"/>
    </row>
    <row r="49" spans="2:21">
      <c r="B49" s="548"/>
      <c r="C49" s="556"/>
      <c r="D49" s="216" t="s">
        <v>676</v>
      </c>
      <c r="E49" s="216" t="s">
        <v>616</v>
      </c>
      <c r="F49" s="45">
        <v>20</v>
      </c>
      <c r="G49" s="45">
        <v>2</v>
      </c>
      <c r="H49" s="44"/>
      <c r="I49" s="44"/>
      <c r="J49" s="44"/>
      <c r="K49" s="44"/>
      <c r="L49" s="44"/>
      <c r="M49" s="44"/>
      <c r="N49" s="44"/>
      <c r="O49" s="44"/>
      <c r="P49" s="34">
        <v>2</v>
      </c>
      <c r="Q49" s="34">
        <v>32</v>
      </c>
      <c r="R49" s="34"/>
      <c r="S49" s="34"/>
      <c r="T49" s="43"/>
      <c r="U49" s="42"/>
    </row>
    <row r="50" spans="2:21">
      <c r="B50" s="548"/>
      <c r="C50" s="556"/>
      <c r="D50" s="216" t="s">
        <v>600</v>
      </c>
      <c r="E50" s="216" t="s">
        <v>617</v>
      </c>
      <c r="F50" s="26">
        <v>40</v>
      </c>
      <c r="G50" s="45">
        <v>2</v>
      </c>
      <c r="H50" s="44"/>
      <c r="I50" s="44"/>
      <c r="J50" s="44"/>
      <c r="K50" s="44"/>
      <c r="L50" s="44"/>
      <c r="M50" s="44"/>
      <c r="N50" s="44"/>
      <c r="O50" s="44"/>
      <c r="P50" s="34"/>
      <c r="Q50" s="34"/>
      <c r="R50" s="34">
        <v>1</v>
      </c>
      <c r="S50" s="34">
        <v>16</v>
      </c>
      <c r="T50" s="43"/>
      <c r="U50" s="42"/>
    </row>
    <row r="51" spans="2:21">
      <c r="B51" s="548"/>
      <c r="C51" s="556"/>
      <c r="D51" s="220" t="s">
        <v>601</v>
      </c>
      <c r="E51" s="220" t="s">
        <v>618</v>
      </c>
      <c r="F51" s="41">
        <v>30</v>
      </c>
      <c r="G51" s="26">
        <v>2</v>
      </c>
      <c r="H51" s="27"/>
      <c r="I51" s="27"/>
      <c r="J51" s="27"/>
      <c r="K51" s="27"/>
      <c r="L51" s="27"/>
      <c r="M51" s="27"/>
      <c r="N51" s="27"/>
      <c r="O51" s="27"/>
      <c r="P51" s="28"/>
      <c r="Q51" s="28"/>
      <c r="R51" s="28">
        <v>1</v>
      </c>
      <c r="S51" s="28">
        <v>16</v>
      </c>
      <c r="T51" s="40"/>
      <c r="U51" s="39"/>
    </row>
    <row r="52" spans="2:21" ht="17.25" thickBot="1">
      <c r="B52" s="549"/>
      <c r="C52" s="557"/>
      <c r="D52" s="558" t="s">
        <v>623</v>
      </c>
      <c r="E52" s="559"/>
      <c r="F52" s="208"/>
      <c r="G52" s="208"/>
      <c r="H52" s="29"/>
      <c r="I52" s="29"/>
      <c r="J52" s="29"/>
      <c r="K52" s="29"/>
      <c r="L52" s="29"/>
      <c r="M52" s="29"/>
      <c r="N52" s="29"/>
      <c r="O52" s="29"/>
      <c r="P52" s="29">
        <f>SUM(P48:P51)</f>
        <v>3</v>
      </c>
      <c r="Q52" s="29">
        <f t="shared" ref="Q52:S52" si="5">SUM(Q48:Q51)</f>
        <v>48</v>
      </c>
      <c r="R52" s="29">
        <f t="shared" si="5"/>
        <v>2</v>
      </c>
      <c r="S52" s="29">
        <f t="shared" si="5"/>
        <v>32</v>
      </c>
      <c r="T52" s="37"/>
      <c r="U52" s="38"/>
    </row>
    <row r="54" spans="2:21" ht="17.25" thickBot="1"/>
    <row r="55" spans="2:21">
      <c r="E55" s="249"/>
      <c r="F55" s="248"/>
    </row>
  </sheetData>
  <mergeCells count="57">
    <mergeCell ref="B18:B20"/>
    <mergeCell ref="C18:C20"/>
    <mergeCell ref="D20:E20"/>
    <mergeCell ref="D26:E26"/>
    <mergeCell ref="B27:B29"/>
    <mergeCell ref="C27:C29"/>
    <mergeCell ref="D29:E29"/>
    <mergeCell ref="B21:B26"/>
    <mergeCell ref="C21:C26"/>
    <mergeCell ref="D14:E14"/>
    <mergeCell ref="D17:E17"/>
    <mergeCell ref="B9:B14"/>
    <mergeCell ref="C9:C14"/>
    <mergeCell ref="B15:B17"/>
    <mergeCell ref="C15:C17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B40:B44"/>
    <mergeCell ref="C40:C44"/>
    <mergeCell ref="D44:E44"/>
    <mergeCell ref="B30:B34"/>
    <mergeCell ref="C30:C34"/>
    <mergeCell ref="D34:E34"/>
    <mergeCell ref="B35:B39"/>
    <mergeCell ref="C35:C39"/>
    <mergeCell ref="D39:E39"/>
    <mergeCell ref="B45:B47"/>
    <mergeCell ref="C45:C47"/>
    <mergeCell ref="D47:E47"/>
    <mergeCell ref="B48:B52"/>
    <mergeCell ref="C48:C52"/>
    <mergeCell ref="D52:E52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9F23-964B-4E74-857C-BCD3CB54EA07}">
  <sheetPr>
    <pageSetUpPr fitToPage="1"/>
  </sheetPr>
  <dimension ref="B2:AG50"/>
  <sheetViews>
    <sheetView showGridLines="0" view="pageBreakPreview" topLeftCell="A9" zoomScaleNormal="85" zoomScaleSheetLayoutView="100" workbookViewId="0">
      <selection activeCell="I36" sqref="I36"/>
    </sheetView>
  </sheetViews>
  <sheetFormatPr defaultRowHeight="16.5"/>
  <cols>
    <col min="1" max="1" width="3" customWidth="1"/>
    <col min="2" max="2" width="11.75" customWidth="1"/>
    <col min="3" max="3" width="5.625" customWidth="1"/>
    <col min="4" max="4" width="18.875" bestFit="1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3" ht="39.75" customHeight="1" thickBot="1">
      <c r="B2" s="577" t="s">
        <v>149</v>
      </c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577"/>
      <c r="S2" s="577"/>
      <c r="T2" s="577"/>
      <c r="U2" s="577"/>
    </row>
    <row r="3" spans="2:33" ht="27" customHeight="1" thickBot="1"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680" t="s">
        <v>129</v>
      </c>
      <c r="O3" s="681"/>
      <c r="P3" s="682"/>
      <c r="Q3" s="680" t="s">
        <v>127</v>
      </c>
      <c r="R3" s="681"/>
      <c r="S3" s="682"/>
      <c r="T3" s="615" t="s">
        <v>130</v>
      </c>
      <c r="U3" s="616"/>
    </row>
    <row r="4" spans="2:33" ht="27" customHeight="1" thickBot="1">
      <c r="B4" s="210"/>
      <c r="C4" s="210"/>
      <c r="D4" s="210"/>
      <c r="E4" s="210"/>
      <c r="F4" s="252"/>
      <c r="G4" s="252"/>
      <c r="H4" s="210"/>
      <c r="I4" s="210"/>
      <c r="J4" s="210"/>
      <c r="K4" s="210"/>
      <c r="L4" s="210"/>
      <c r="M4" s="210"/>
      <c r="N4" s="683" t="s">
        <v>659</v>
      </c>
      <c r="O4" s="684"/>
      <c r="P4" s="685"/>
      <c r="Q4" s="617" t="s">
        <v>540</v>
      </c>
      <c r="R4" s="686"/>
      <c r="S4" s="687"/>
      <c r="T4" s="617">
        <v>2027</v>
      </c>
      <c r="U4" s="618"/>
    </row>
    <row r="5" spans="2:33" ht="24" customHeight="1" thickBot="1">
      <c r="B5" s="581"/>
      <c r="C5" s="581"/>
    </row>
    <row r="6" spans="2:33" ht="20.25" customHeight="1">
      <c r="B6" s="582" t="s">
        <v>13</v>
      </c>
      <c r="C6" s="585" t="s">
        <v>140</v>
      </c>
      <c r="D6" s="574" t="s">
        <v>14</v>
      </c>
      <c r="E6" s="574" t="s">
        <v>15</v>
      </c>
      <c r="F6" s="574" t="s">
        <v>141</v>
      </c>
      <c r="G6" s="574" t="s">
        <v>142</v>
      </c>
      <c r="H6" s="588" t="s">
        <v>58</v>
      </c>
      <c r="I6" s="588"/>
      <c r="J6" s="588"/>
      <c r="K6" s="588"/>
      <c r="L6" s="588" t="s">
        <v>59</v>
      </c>
      <c r="M6" s="588"/>
      <c r="N6" s="588"/>
      <c r="O6" s="588"/>
      <c r="P6" s="588" t="s">
        <v>60</v>
      </c>
      <c r="Q6" s="588"/>
      <c r="R6" s="588"/>
      <c r="S6" s="588"/>
      <c r="T6" s="589" t="s">
        <v>139</v>
      </c>
      <c r="U6" s="599" t="s">
        <v>126</v>
      </c>
      <c r="W6" s="592" t="s">
        <v>131</v>
      </c>
      <c r="X6" s="593"/>
      <c r="Y6" s="593"/>
      <c r="Z6" s="593"/>
      <c r="AA6" s="593"/>
      <c r="AB6" s="593"/>
      <c r="AC6" s="593"/>
      <c r="AD6" s="593"/>
      <c r="AE6" s="593"/>
      <c r="AF6" s="594"/>
      <c r="AG6" s="13"/>
    </row>
    <row r="7" spans="2:33" ht="16.5" customHeight="1">
      <c r="B7" s="583"/>
      <c r="C7" s="586"/>
      <c r="D7" s="575"/>
      <c r="E7" s="575"/>
      <c r="F7" s="575"/>
      <c r="G7" s="575"/>
      <c r="H7" s="595" t="s">
        <v>124</v>
      </c>
      <c r="I7" s="595"/>
      <c r="J7" s="595" t="s">
        <v>62</v>
      </c>
      <c r="K7" s="595"/>
      <c r="L7" s="595" t="s">
        <v>124</v>
      </c>
      <c r="M7" s="595"/>
      <c r="N7" s="595" t="s">
        <v>62</v>
      </c>
      <c r="O7" s="595"/>
      <c r="P7" s="595" t="s">
        <v>124</v>
      </c>
      <c r="Q7" s="595"/>
      <c r="R7" s="595" t="s">
        <v>62</v>
      </c>
      <c r="S7" s="595"/>
      <c r="T7" s="590"/>
      <c r="U7" s="600"/>
      <c r="W7" s="596" t="s">
        <v>132</v>
      </c>
      <c r="X7" s="597"/>
      <c r="Y7" s="597"/>
      <c r="Z7" s="597"/>
      <c r="AA7" s="597"/>
      <c r="AB7" s="597"/>
      <c r="AC7" s="597"/>
      <c r="AD7" s="597"/>
      <c r="AE7" s="597"/>
      <c r="AF7" s="598"/>
      <c r="AG7" s="13"/>
    </row>
    <row r="8" spans="2:33" ht="17.25" customHeight="1" thickBot="1">
      <c r="B8" s="613"/>
      <c r="C8" s="614"/>
      <c r="D8" s="610"/>
      <c r="E8" s="610"/>
      <c r="F8" s="610"/>
      <c r="G8" s="610"/>
      <c r="H8" s="217" t="s">
        <v>138</v>
      </c>
      <c r="I8" s="217" t="s">
        <v>125</v>
      </c>
      <c r="J8" s="217" t="s">
        <v>138</v>
      </c>
      <c r="K8" s="217" t="s">
        <v>125</v>
      </c>
      <c r="L8" s="30" t="s">
        <v>138</v>
      </c>
      <c r="M8" s="30" t="s">
        <v>125</v>
      </c>
      <c r="N8" s="30" t="s">
        <v>138</v>
      </c>
      <c r="O8" s="30" t="s">
        <v>125</v>
      </c>
      <c r="P8" s="30" t="s">
        <v>138</v>
      </c>
      <c r="Q8" s="30" t="s">
        <v>125</v>
      </c>
      <c r="R8" s="30" t="s">
        <v>138</v>
      </c>
      <c r="S8" s="30" t="s">
        <v>125</v>
      </c>
      <c r="T8" s="611"/>
      <c r="U8" s="612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 thickTop="1">
      <c r="B9" s="554" t="s">
        <v>624</v>
      </c>
      <c r="C9" s="606">
        <v>6</v>
      </c>
      <c r="D9" s="215" t="s">
        <v>627</v>
      </c>
      <c r="E9" s="215" t="s">
        <v>628</v>
      </c>
      <c r="F9" s="31">
        <v>30</v>
      </c>
      <c r="G9" s="50">
        <v>3</v>
      </c>
      <c r="H9" s="32">
        <v>1</v>
      </c>
      <c r="I9" s="32">
        <v>16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47"/>
      <c r="U9" s="46"/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548"/>
      <c r="C10" s="607"/>
      <c r="D10" s="216" t="s">
        <v>629</v>
      </c>
      <c r="E10" s="216" t="s">
        <v>630</v>
      </c>
      <c r="F10" s="45">
        <v>30</v>
      </c>
      <c r="G10" s="230">
        <v>3</v>
      </c>
      <c r="H10" s="44">
        <v>2</v>
      </c>
      <c r="I10" s="44">
        <v>32</v>
      </c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3"/>
      <c r="U10" s="42"/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>
      <c r="B11" s="548"/>
      <c r="C11" s="607"/>
      <c r="D11" s="216" t="s">
        <v>631</v>
      </c>
      <c r="E11" s="216" t="s">
        <v>632</v>
      </c>
      <c r="F11" s="45">
        <v>20</v>
      </c>
      <c r="G11" s="45">
        <v>2</v>
      </c>
      <c r="H11" s="44"/>
      <c r="I11" s="44"/>
      <c r="J11" s="44">
        <v>1</v>
      </c>
      <c r="K11" s="44">
        <v>16</v>
      </c>
      <c r="L11" s="44"/>
      <c r="M11" s="44"/>
      <c r="N11" s="44"/>
      <c r="O11" s="44"/>
      <c r="P11" s="44"/>
      <c r="Q11" s="44"/>
      <c r="R11" s="44"/>
      <c r="S11" s="44"/>
      <c r="T11" s="43"/>
      <c r="U11" s="42"/>
    </row>
    <row r="12" spans="2:33" ht="17.25" thickBot="1">
      <c r="B12" s="548"/>
      <c r="C12" s="607"/>
      <c r="D12" s="216" t="s">
        <v>633</v>
      </c>
      <c r="E12" s="216" t="s">
        <v>634</v>
      </c>
      <c r="F12" s="26">
        <v>32</v>
      </c>
      <c r="G12" s="26">
        <v>7</v>
      </c>
      <c r="H12" s="27"/>
      <c r="I12" s="27"/>
      <c r="J12" s="27">
        <v>2</v>
      </c>
      <c r="K12" s="27">
        <v>32</v>
      </c>
      <c r="L12" s="27"/>
      <c r="M12" s="689"/>
      <c r="N12" s="27"/>
      <c r="O12" s="27"/>
      <c r="P12" s="27"/>
      <c r="Q12" s="27"/>
      <c r="R12" s="27"/>
      <c r="S12" s="27"/>
      <c r="T12" s="40"/>
      <c r="U12" s="39"/>
    </row>
    <row r="13" spans="2:33" ht="17.25" thickBot="1">
      <c r="B13" s="549"/>
      <c r="C13" s="608"/>
      <c r="D13" s="609" t="s">
        <v>16</v>
      </c>
      <c r="E13" s="609"/>
      <c r="F13" s="209"/>
      <c r="G13" s="209"/>
      <c r="H13" s="33">
        <f>SUM(H9:H12)</f>
        <v>3</v>
      </c>
      <c r="I13" s="33">
        <f t="shared" ref="I13:K13" si="0">SUM(I9:I12)</f>
        <v>48</v>
      </c>
      <c r="J13" s="33">
        <f t="shared" si="0"/>
        <v>3</v>
      </c>
      <c r="K13" s="33">
        <f t="shared" si="0"/>
        <v>48</v>
      </c>
      <c r="L13" s="33"/>
      <c r="M13" s="688"/>
      <c r="N13" s="33"/>
      <c r="O13" s="33"/>
      <c r="P13" s="33"/>
      <c r="Q13" s="33"/>
      <c r="R13" s="33"/>
      <c r="S13" s="33"/>
      <c r="T13" s="37"/>
      <c r="U13" s="38"/>
    </row>
    <row r="14" spans="2:33">
      <c r="B14" s="554" t="s">
        <v>625</v>
      </c>
      <c r="C14" s="555">
        <v>6</v>
      </c>
      <c r="D14" s="223" t="s">
        <v>635</v>
      </c>
      <c r="E14" s="223" t="s">
        <v>636</v>
      </c>
      <c r="F14" s="45">
        <v>50</v>
      </c>
      <c r="G14" s="45">
        <v>2</v>
      </c>
      <c r="H14" s="44"/>
      <c r="I14" s="44"/>
      <c r="J14" s="44"/>
      <c r="K14" s="44"/>
      <c r="L14" s="44">
        <v>1</v>
      </c>
      <c r="M14" s="44">
        <v>16</v>
      </c>
      <c r="N14" s="44"/>
      <c r="O14" s="44"/>
      <c r="P14" s="34"/>
      <c r="Q14" s="34"/>
      <c r="R14" s="34"/>
      <c r="S14" s="34"/>
      <c r="T14" s="43"/>
      <c r="U14" s="42"/>
    </row>
    <row r="15" spans="2:33" ht="17.45" customHeight="1">
      <c r="B15" s="548"/>
      <c r="C15" s="556"/>
      <c r="D15" s="216" t="s">
        <v>637</v>
      </c>
      <c r="E15" s="216" t="s">
        <v>638</v>
      </c>
      <c r="F15" s="45">
        <v>50</v>
      </c>
      <c r="G15" s="45">
        <v>3</v>
      </c>
      <c r="H15" s="44"/>
      <c r="I15" s="44"/>
      <c r="J15" s="44"/>
      <c r="K15" s="44"/>
      <c r="L15" s="44">
        <v>2</v>
      </c>
      <c r="M15" s="44">
        <v>32</v>
      </c>
      <c r="N15" s="44"/>
      <c r="O15" s="44"/>
      <c r="P15" s="34"/>
      <c r="Q15" s="34"/>
      <c r="R15" s="34"/>
      <c r="S15" s="34"/>
      <c r="T15" s="43"/>
      <c r="U15" s="42"/>
    </row>
    <row r="16" spans="2:33">
      <c r="B16" s="548"/>
      <c r="C16" s="556"/>
      <c r="D16" s="237" t="s">
        <v>677</v>
      </c>
      <c r="E16" s="237" t="s">
        <v>639</v>
      </c>
      <c r="F16" s="26">
        <v>50</v>
      </c>
      <c r="G16" s="45">
        <v>2</v>
      </c>
      <c r="H16" s="44"/>
      <c r="I16" s="44"/>
      <c r="J16" s="44"/>
      <c r="K16" s="44"/>
      <c r="L16" s="44"/>
      <c r="M16" s="44"/>
      <c r="N16" s="44">
        <v>1</v>
      </c>
      <c r="O16" s="44">
        <v>16</v>
      </c>
      <c r="P16" s="34"/>
      <c r="Q16" s="34"/>
      <c r="R16" s="34"/>
      <c r="S16" s="34"/>
      <c r="T16" s="43"/>
      <c r="U16" s="42"/>
      <c r="W16" s="49"/>
    </row>
    <row r="17" spans="2:21">
      <c r="B17" s="548"/>
      <c r="C17" s="556"/>
      <c r="D17" s="239" t="s">
        <v>678</v>
      </c>
      <c r="E17" s="239" t="s">
        <v>679</v>
      </c>
      <c r="F17" s="41">
        <v>50</v>
      </c>
      <c r="G17" s="26">
        <v>3</v>
      </c>
      <c r="H17" s="27"/>
      <c r="I17" s="27"/>
      <c r="J17" s="27"/>
      <c r="K17" s="27"/>
      <c r="L17" s="27"/>
      <c r="M17" s="27"/>
      <c r="N17" s="27">
        <v>2</v>
      </c>
      <c r="O17" s="27">
        <v>32</v>
      </c>
      <c r="P17" s="28"/>
      <c r="Q17" s="28"/>
      <c r="R17" s="28"/>
      <c r="S17" s="28"/>
      <c r="T17" s="40"/>
      <c r="U17" s="39"/>
    </row>
    <row r="18" spans="2:21" ht="17.25" thickBot="1">
      <c r="B18" s="549"/>
      <c r="C18" s="557"/>
      <c r="D18" s="558" t="s">
        <v>623</v>
      </c>
      <c r="E18" s="559"/>
      <c r="F18" s="208"/>
      <c r="G18" s="208"/>
      <c r="H18" s="29"/>
      <c r="I18" s="29"/>
      <c r="J18" s="29"/>
      <c r="K18" s="29"/>
      <c r="L18" s="29">
        <f>SUM(L14:L17)</f>
        <v>3</v>
      </c>
      <c r="M18" s="29">
        <f t="shared" ref="M18:O18" si="1">SUM(M14:M17)</f>
        <v>48</v>
      </c>
      <c r="N18" s="29">
        <f t="shared" si="1"/>
        <v>3</v>
      </c>
      <c r="O18" s="29">
        <f t="shared" si="1"/>
        <v>48</v>
      </c>
      <c r="P18" s="29"/>
      <c r="Q18" s="29"/>
      <c r="R18" s="29"/>
      <c r="S18" s="29"/>
      <c r="T18" s="37"/>
      <c r="U18" s="38"/>
    </row>
    <row r="19" spans="2:21">
      <c r="B19" s="554" t="s">
        <v>666</v>
      </c>
      <c r="C19" s="555">
        <v>6</v>
      </c>
      <c r="D19" s="223" t="s">
        <v>640</v>
      </c>
      <c r="E19" s="223" t="s">
        <v>641</v>
      </c>
      <c r="F19" s="45">
        <v>30</v>
      </c>
      <c r="G19" s="45">
        <v>3</v>
      </c>
      <c r="H19" s="44"/>
      <c r="I19" s="44"/>
      <c r="J19" s="44"/>
      <c r="K19" s="44"/>
      <c r="L19" s="44">
        <v>1</v>
      </c>
      <c r="M19" s="44">
        <v>16</v>
      </c>
      <c r="N19" s="44"/>
      <c r="O19" s="44"/>
      <c r="P19" s="34"/>
      <c r="Q19" s="34"/>
      <c r="R19" s="34"/>
      <c r="S19" s="34"/>
      <c r="T19" s="43"/>
      <c r="U19" s="42"/>
    </row>
    <row r="20" spans="2:21">
      <c r="B20" s="548"/>
      <c r="C20" s="556"/>
      <c r="D20" s="216" t="s">
        <v>642</v>
      </c>
      <c r="E20" s="216" t="s">
        <v>643</v>
      </c>
      <c r="F20" s="45">
        <v>30</v>
      </c>
      <c r="G20" s="45">
        <v>4</v>
      </c>
      <c r="H20" s="44"/>
      <c r="I20" s="44"/>
      <c r="J20" s="44"/>
      <c r="K20" s="44"/>
      <c r="L20" s="44">
        <v>2</v>
      </c>
      <c r="M20" s="44">
        <v>32</v>
      </c>
      <c r="N20" s="44"/>
      <c r="O20" s="44"/>
      <c r="P20" s="34"/>
      <c r="Q20" s="34"/>
      <c r="R20" s="34"/>
      <c r="S20" s="34"/>
      <c r="T20" s="43"/>
      <c r="U20" s="42"/>
    </row>
    <row r="21" spans="2:21" ht="17.100000000000001" customHeight="1">
      <c r="B21" s="548"/>
      <c r="C21" s="556"/>
      <c r="D21" s="216" t="s">
        <v>644</v>
      </c>
      <c r="E21" s="216" t="s">
        <v>645</v>
      </c>
      <c r="F21" s="26">
        <v>40</v>
      </c>
      <c r="G21" s="45">
        <v>3</v>
      </c>
      <c r="H21" s="44"/>
      <c r="I21" s="44"/>
      <c r="J21" s="44"/>
      <c r="K21" s="44"/>
      <c r="L21" s="44"/>
      <c r="M21" s="44"/>
      <c r="N21" s="44">
        <v>1</v>
      </c>
      <c r="O21" s="44">
        <v>16</v>
      </c>
      <c r="P21" s="34"/>
      <c r="Q21" s="34"/>
      <c r="R21" s="34"/>
      <c r="S21" s="34"/>
      <c r="T21" s="43"/>
      <c r="U21" s="42"/>
    </row>
    <row r="22" spans="2:21">
      <c r="B22" s="548"/>
      <c r="C22" s="556"/>
      <c r="D22" s="220" t="s">
        <v>646</v>
      </c>
      <c r="E22" s="220" t="s">
        <v>647</v>
      </c>
      <c r="F22" s="41">
        <v>20</v>
      </c>
      <c r="G22" s="26">
        <v>2</v>
      </c>
      <c r="H22" s="27"/>
      <c r="I22" s="27"/>
      <c r="J22" s="27"/>
      <c r="K22" s="27"/>
      <c r="L22" s="27"/>
      <c r="M22" s="27"/>
      <c r="N22" s="27">
        <v>2</v>
      </c>
      <c r="O22" s="27">
        <v>32</v>
      </c>
      <c r="P22" s="28"/>
      <c r="Q22" s="28"/>
      <c r="R22" s="28"/>
      <c r="S22" s="28"/>
      <c r="T22" s="40"/>
      <c r="U22" s="39"/>
    </row>
    <row r="23" spans="2:21" ht="17.25" thickBot="1">
      <c r="B23" s="549"/>
      <c r="C23" s="557"/>
      <c r="D23" s="558" t="s">
        <v>623</v>
      </c>
      <c r="E23" s="559"/>
      <c r="F23" s="208"/>
      <c r="G23" s="208"/>
      <c r="H23" s="29"/>
      <c r="I23" s="29"/>
      <c r="J23" s="29"/>
      <c r="K23" s="29"/>
      <c r="L23" s="29">
        <f>SUM(L19:L22)</f>
        <v>3</v>
      </c>
      <c r="M23" s="29">
        <f t="shared" ref="M23:O23" si="2">SUM(M19:M22)</f>
        <v>48</v>
      </c>
      <c r="N23" s="29">
        <f t="shared" si="2"/>
        <v>3</v>
      </c>
      <c r="O23" s="29">
        <f t="shared" si="2"/>
        <v>48</v>
      </c>
      <c r="P23" s="29"/>
      <c r="Q23" s="29"/>
      <c r="R23" s="29"/>
      <c r="S23" s="29"/>
      <c r="T23" s="37"/>
      <c r="U23" s="38"/>
    </row>
    <row r="24" spans="2:21" ht="17.100000000000001" customHeight="1">
      <c r="B24" s="554" t="s">
        <v>626</v>
      </c>
      <c r="C24" s="606">
        <v>31</v>
      </c>
      <c r="D24" s="223" t="s">
        <v>648</v>
      </c>
      <c r="E24" s="223" t="s">
        <v>649</v>
      </c>
      <c r="F24" s="45">
        <v>20</v>
      </c>
      <c r="G24" s="45">
        <v>2</v>
      </c>
      <c r="H24" s="44"/>
      <c r="I24" s="44"/>
      <c r="J24" s="44"/>
      <c r="K24" s="44"/>
      <c r="L24" s="44"/>
      <c r="M24" s="44"/>
      <c r="N24" s="44"/>
      <c r="O24" s="44"/>
      <c r="P24" s="34">
        <v>5</v>
      </c>
      <c r="Q24" s="34">
        <v>80</v>
      </c>
      <c r="R24" s="34"/>
      <c r="S24" s="34"/>
      <c r="T24" s="43"/>
      <c r="U24" s="42"/>
    </row>
    <row r="25" spans="2:21">
      <c r="B25" s="548"/>
      <c r="C25" s="607"/>
      <c r="D25" s="216" t="s">
        <v>650</v>
      </c>
      <c r="E25" s="216" t="s">
        <v>651</v>
      </c>
      <c r="F25" s="45">
        <v>20</v>
      </c>
      <c r="G25" s="45">
        <v>2</v>
      </c>
      <c r="H25" s="44"/>
      <c r="I25" s="44"/>
      <c r="J25" s="44"/>
      <c r="K25" s="44"/>
      <c r="L25" s="44"/>
      <c r="M25" s="44"/>
      <c r="N25" s="44"/>
      <c r="O25" s="44"/>
      <c r="P25" s="34">
        <v>5</v>
      </c>
      <c r="Q25" s="34">
        <v>80</v>
      </c>
      <c r="R25" s="34"/>
      <c r="S25" s="34"/>
      <c r="T25" s="43"/>
      <c r="U25" s="42"/>
    </row>
    <row r="26" spans="2:21">
      <c r="B26" s="548"/>
      <c r="C26" s="607"/>
      <c r="D26" s="216" t="s">
        <v>652</v>
      </c>
      <c r="E26" s="216" t="s">
        <v>653</v>
      </c>
      <c r="F26" s="26">
        <v>20</v>
      </c>
      <c r="G26" s="45">
        <v>2</v>
      </c>
      <c r="H26" s="44"/>
      <c r="I26" s="44"/>
      <c r="J26" s="44"/>
      <c r="K26" s="44"/>
      <c r="L26" s="44"/>
      <c r="M26" s="44"/>
      <c r="N26" s="44"/>
      <c r="O26" s="44"/>
      <c r="P26" s="34"/>
      <c r="Q26" s="34"/>
      <c r="R26" s="34">
        <v>7</v>
      </c>
      <c r="S26" s="34">
        <v>112</v>
      </c>
      <c r="T26" s="43"/>
      <c r="U26" s="42"/>
    </row>
    <row r="27" spans="2:21">
      <c r="B27" s="548"/>
      <c r="C27" s="607"/>
      <c r="D27" s="216" t="s">
        <v>654</v>
      </c>
      <c r="E27" s="216" t="s">
        <v>655</v>
      </c>
      <c r="F27" s="41">
        <v>20</v>
      </c>
      <c r="G27" s="45">
        <v>3</v>
      </c>
      <c r="H27" s="44"/>
      <c r="I27" s="44"/>
      <c r="J27" s="44"/>
      <c r="K27" s="44"/>
      <c r="L27" s="44"/>
      <c r="M27" s="44"/>
      <c r="N27" s="44"/>
      <c r="O27" s="44"/>
      <c r="P27" s="34"/>
      <c r="Q27" s="34"/>
      <c r="R27" s="34">
        <v>7</v>
      </c>
      <c r="S27" s="34">
        <v>112</v>
      </c>
      <c r="T27" s="43"/>
      <c r="U27" s="42"/>
    </row>
    <row r="28" spans="2:21">
      <c r="B28" s="548"/>
      <c r="C28" s="607"/>
      <c r="D28" s="220" t="s">
        <v>656</v>
      </c>
      <c r="E28" s="220" t="s">
        <v>657</v>
      </c>
      <c r="F28" s="41">
        <v>45</v>
      </c>
      <c r="G28" s="26">
        <v>4</v>
      </c>
      <c r="H28" s="27"/>
      <c r="I28" s="27"/>
      <c r="J28" s="27"/>
      <c r="K28" s="27"/>
      <c r="L28" s="27"/>
      <c r="M28" s="27"/>
      <c r="N28" s="27"/>
      <c r="O28" s="27"/>
      <c r="P28" s="28"/>
      <c r="Q28" s="28"/>
      <c r="R28" s="28">
        <v>7</v>
      </c>
      <c r="S28" s="28">
        <v>112</v>
      </c>
      <c r="T28" s="40"/>
      <c r="U28" s="39"/>
    </row>
    <row r="29" spans="2:21" ht="17.25" thickBot="1">
      <c r="B29" s="549"/>
      <c r="C29" s="608"/>
      <c r="D29" s="558" t="s">
        <v>623</v>
      </c>
      <c r="E29" s="559"/>
      <c r="F29" s="208"/>
      <c r="G29" s="208"/>
      <c r="H29" s="29"/>
      <c r="I29" s="29"/>
      <c r="J29" s="29"/>
      <c r="K29" s="29"/>
      <c r="L29" s="29"/>
      <c r="M29" s="29"/>
      <c r="N29" s="29"/>
      <c r="O29" s="29"/>
      <c r="P29" s="29">
        <f>SUM(P24:P28)</f>
        <v>10</v>
      </c>
      <c r="Q29" s="29">
        <f t="shared" ref="Q29:S29" si="3">SUM(Q24:Q28)</f>
        <v>160</v>
      </c>
      <c r="R29" s="29">
        <f t="shared" si="3"/>
        <v>21</v>
      </c>
      <c r="S29" s="29">
        <f t="shared" si="3"/>
        <v>336</v>
      </c>
      <c r="T29" s="37"/>
      <c r="U29" s="38"/>
    </row>
    <row r="30" spans="2:21">
      <c r="B30" s="548" t="s">
        <v>604</v>
      </c>
      <c r="C30" s="550">
        <v>4</v>
      </c>
      <c r="D30" s="233" t="s">
        <v>619</v>
      </c>
      <c r="E30" s="234" t="s">
        <v>620</v>
      </c>
      <c r="F30" s="45">
        <v>20</v>
      </c>
      <c r="G30" s="45">
        <v>3</v>
      </c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>
        <v>1</v>
      </c>
      <c r="S30" s="44">
        <v>16</v>
      </c>
      <c r="T30" s="43"/>
      <c r="U30" s="42"/>
    </row>
    <row r="31" spans="2:21">
      <c r="B31" s="548"/>
      <c r="C31" s="551"/>
      <c r="D31" s="223" t="s">
        <v>621</v>
      </c>
      <c r="E31" s="223" t="s">
        <v>622</v>
      </c>
      <c r="F31" s="45">
        <v>80</v>
      </c>
      <c r="G31" s="45">
        <v>3</v>
      </c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>
        <v>3</v>
      </c>
      <c r="S31" s="27">
        <v>48</v>
      </c>
      <c r="T31" s="43"/>
      <c r="U31" s="42"/>
    </row>
    <row r="32" spans="2:21" ht="17.25" thickBot="1">
      <c r="B32" s="549"/>
      <c r="C32" s="552"/>
      <c r="D32" s="553" t="s">
        <v>16</v>
      </c>
      <c r="E32" s="553"/>
      <c r="F32" s="209"/>
      <c r="G32" s="209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>
        <f>SUM(R30:R31)</f>
        <v>4</v>
      </c>
      <c r="S32" s="33">
        <f>SUM(S30:S31)</f>
        <v>64</v>
      </c>
      <c r="T32" s="37"/>
      <c r="U32" s="38"/>
    </row>
    <row r="35" spans="5:5">
      <c r="E35" s="248"/>
    </row>
    <row r="45" spans="5:5" ht="17.100000000000001" customHeight="1"/>
    <row r="50" ht="17.100000000000001" customHeight="1"/>
  </sheetData>
  <mergeCells count="42">
    <mergeCell ref="B2:U2"/>
    <mergeCell ref="N3:P3"/>
    <mergeCell ref="Q3:S3"/>
    <mergeCell ref="T3:U3"/>
    <mergeCell ref="N4:P4"/>
    <mergeCell ref="Q4:S4"/>
    <mergeCell ref="T4:U4"/>
    <mergeCell ref="U6:U8"/>
    <mergeCell ref="B5:C5"/>
    <mergeCell ref="B6:B8"/>
    <mergeCell ref="C6:C8"/>
    <mergeCell ref="D6:D8"/>
    <mergeCell ref="E6:E8"/>
    <mergeCell ref="F6:F8"/>
    <mergeCell ref="D13:E13"/>
    <mergeCell ref="B9:B13"/>
    <mergeCell ref="C9:C13"/>
    <mergeCell ref="W6:AF6"/>
    <mergeCell ref="H7:I7"/>
    <mergeCell ref="J7:K7"/>
    <mergeCell ref="L7:M7"/>
    <mergeCell ref="N7:O7"/>
    <mergeCell ref="P7:Q7"/>
    <mergeCell ref="R7:S7"/>
    <mergeCell ref="W7:AF7"/>
    <mergeCell ref="G6:G8"/>
    <mergeCell ref="H6:K6"/>
    <mergeCell ref="L6:O6"/>
    <mergeCell ref="P6:S6"/>
    <mergeCell ref="T6:T8"/>
    <mergeCell ref="B19:B23"/>
    <mergeCell ref="C19:C23"/>
    <mergeCell ref="D23:E23"/>
    <mergeCell ref="D29:E29"/>
    <mergeCell ref="B14:B18"/>
    <mergeCell ref="C14:C18"/>
    <mergeCell ref="D18:E18"/>
    <mergeCell ref="B30:B32"/>
    <mergeCell ref="C30:C32"/>
    <mergeCell ref="D32:E32"/>
    <mergeCell ref="B24:B29"/>
    <mergeCell ref="C24:C29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122" activePane="bottomLeft" state="frozen"/>
      <selection pane="bottomLeft" activeCell="I11" sqref="I11"/>
    </sheetView>
  </sheetViews>
  <sheetFormatPr defaultRowHeight="16.5"/>
  <cols>
    <col min="1" max="1" width="16.5" style="1" bestFit="1" customWidth="1"/>
    <col min="2" max="5" width="9" style="1"/>
    <col min="6" max="6" width="11.375" style="1" bestFit="1" customWidth="1"/>
    <col min="9" max="9" width="17.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199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336</v>
      </c>
      <c r="G2" s="5"/>
      <c r="H2" s="3" t="s">
        <v>74</v>
      </c>
      <c r="I2" s="3" t="s">
        <v>66</v>
      </c>
      <c r="J2" s="3" t="s">
        <v>164</v>
      </c>
      <c r="K2" s="3" t="s">
        <v>164</v>
      </c>
      <c r="L2" s="3" t="s">
        <v>123</v>
      </c>
    </row>
    <row r="3" spans="1:12">
      <c r="A3" s="3" t="s">
        <v>200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336</v>
      </c>
      <c r="G3" s="5"/>
      <c r="H3" s="3" t="s">
        <v>75</v>
      </c>
      <c r="I3" s="3" t="s">
        <v>67</v>
      </c>
      <c r="J3" s="3" t="s">
        <v>165</v>
      </c>
      <c r="K3" s="3" t="s">
        <v>165</v>
      </c>
      <c r="L3" s="3" t="s">
        <v>118</v>
      </c>
    </row>
    <row r="4" spans="1:12">
      <c r="A4" s="3" t="s">
        <v>202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338</v>
      </c>
      <c r="G4" s="5"/>
      <c r="H4" s="3" t="s">
        <v>76</v>
      </c>
      <c r="I4" s="3" t="s">
        <v>154</v>
      </c>
      <c r="J4" s="3" t="s">
        <v>93</v>
      </c>
      <c r="K4" s="3" t="s">
        <v>93</v>
      </c>
      <c r="L4" s="3" t="s">
        <v>119</v>
      </c>
    </row>
    <row r="5" spans="1:12">
      <c r="A5" s="3" t="s">
        <v>203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338</v>
      </c>
      <c r="G5" s="5"/>
      <c r="H5" s="3" t="s">
        <v>77</v>
      </c>
      <c r="I5" s="3" t="s">
        <v>155</v>
      </c>
      <c r="J5" s="3" t="s">
        <v>166</v>
      </c>
      <c r="K5" s="3" t="s">
        <v>166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338</v>
      </c>
      <c r="G6" s="5"/>
      <c r="H6" s="3" t="s">
        <v>78</v>
      </c>
      <c r="I6" s="3" t="s">
        <v>156</v>
      </c>
      <c r="J6" s="3" t="s">
        <v>167</v>
      </c>
      <c r="K6" s="3" t="s">
        <v>167</v>
      </c>
      <c r="L6" s="8"/>
    </row>
    <row r="7" spans="1:12">
      <c r="A7" s="3" t="s">
        <v>204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338</v>
      </c>
      <c r="G7" s="5"/>
      <c r="H7" s="3" t="s">
        <v>79</v>
      </c>
      <c r="I7" s="3" t="s">
        <v>162</v>
      </c>
      <c r="J7" s="3" t="s">
        <v>94</v>
      </c>
      <c r="K7" s="3" t="s">
        <v>94</v>
      </c>
      <c r="L7" s="5"/>
    </row>
    <row r="8" spans="1:12">
      <c r="A8" s="3" t="s">
        <v>205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338</v>
      </c>
      <c r="G8" s="5"/>
      <c r="H8" s="3" t="s">
        <v>80</v>
      </c>
      <c r="I8" s="3" t="s">
        <v>157</v>
      </c>
      <c r="J8" s="3" t="s">
        <v>168</v>
      </c>
      <c r="K8" s="3" t="s">
        <v>168</v>
      </c>
      <c r="L8" s="5"/>
    </row>
    <row r="9" spans="1:12">
      <c r="A9" s="3" t="s">
        <v>206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338</v>
      </c>
      <c r="G9" s="5"/>
      <c r="H9" s="3" t="s">
        <v>81</v>
      </c>
      <c r="I9" s="3" t="s">
        <v>68</v>
      </c>
      <c r="J9" s="3" t="s">
        <v>169</v>
      </c>
      <c r="K9" s="3" t="s">
        <v>169</v>
      </c>
      <c r="L9" s="5"/>
    </row>
    <row r="10" spans="1:12">
      <c r="A10" s="3" t="s">
        <v>207</v>
      </c>
      <c r="B10" s="3" t="s">
        <v>17</v>
      </c>
      <c r="C10" s="3" t="s">
        <v>21</v>
      </c>
      <c r="D10" s="3" t="s">
        <v>210</v>
      </c>
      <c r="E10" s="3">
        <v>4</v>
      </c>
      <c r="F10" s="7" t="s">
        <v>338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208</v>
      </c>
      <c r="B11" s="3" t="s">
        <v>17</v>
      </c>
      <c r="C11" s="3" t="s">
        <v>21</v>
      </c>
      <c r="D11" s="3" t="s">
        <v>210</v>
      </c>
      <c r="E11" s="3">
        <v>4</v>
      </c>
      <c r="F11" s="7" t="s">
        <v>338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209</v>
      </c>
      <c r="B12" s="3" t="s">
        <v>17</v>
      </c>
      <c r="C12" s="3" t="s">
        <v>21</v>
      </c>
      <c r="D12" s="3" t="s">
        <v>210</v>
      </c>
      <c r="E12" s="3">
        <v>4</v>
      </c>
      <c r="F12" s="7" t="s">
        <v>338</v>
      </c>
      <c r="G12" s="5"/>
      <c r="H12" s="3" t="s">
        <v>84</v>
      </c>
      <c r="I12" s="3" t="s">
        <v>158</v>
      </c>
      <c r="J12" s="3" t="s">
        <v>96</v>
      </c>
      <c r="K12" s="3" t="s">
        <v>96</v>
      </c>
      <c r="L12" s="5"/>
    </row>
    <row r="13" spans="1:12">
      <c r="A13" s="3" t="s">
        <v>211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336</v>
      </c>
      <c r="G13" s="5"/>
      <c r="H13" s="3" t="s">
        <v>85</v>
      </c>
      <c r="I13" s="3" t="s">
        <v>71</v>
      </c>
      <c r="J13" s="3" t="s">
        <v>170</v>
      </c>
      <c r="K13" s="3" t="s">
        <v>170</v>
      </c>
      <c r="L13" s="5"/>
    </row>
    <row r="14" spans="1:12">
      <c r="A14" s="3" t="s">
        <v>213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336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214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338</v>
      </c>
      <c r="G15" s="5"/>
      <c r="H15" s="3" t="s">
        <v>87</v>
      </c>
      <c r="I15" s="3" t="s">
        <v>159</v>
      </c>
      <c r="J15" s="3" t="s">
        <v>171</v>
      </c>
      <c r="K15" s="3" t="s">
        <v>171</v>
      </c>
      <c r="L15" s="5"/>
    </row>
    <row r="16" spans="1:12">
      <c r="A16" s="3" t="s">
        <v>215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338</v>
      </c>
      <c r="G16" s="5"/>
      <c r="H16" s="3" t="s">
        <v>88</v>
      </c>
      <c r="I16" s="3" t="s">
        <v>160</v>
      </c>
      <c r="J16" s="3" t="s">
        <v>172</v>
      </c>
      <c r="K16" s="3" t="s">
        <v>172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338</v>
      </c>
      <c r="G17" s="5"/>
      <c r="H17" s="3" t="s">
        <v>89</v>
      </c>
      <c r="I17" s="3" t="s">
        <v>161</v>
      </c>
      <c r="J17" s="3" t="s">
        <v>173</v>
      </c>
      <c r="K17" s="3" t="s">
        <v>173</v>
      </c>
      <c r="L17" s="5"/>
    </row>
    <row r="18" spans="1:12">
      <c r="A18" s="3" t="s">
        <v>216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338</v>
      </c>
      <c r="G18" s="5"/>
      <c r="H18" s="3" t="s">
        <v>90</v>
      </c>
      <c r="I18" s="3" t="s">
        <v>163</v>
      </c>
      <c r="J18" s="3" t="s">
        <v>174</v>
      </c>
      <c r="K18" s="3" t="s">
        <v>174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338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338</v>
      </c>
      <c r="G20" s="5"/>
      <c r="J20" s="3" t="s">
        <v>175</v>
      </c>
      <c r="K20" s="3" t="s">
        <v>175</v>
      </c>
      <c r="L20" s="5"/>
    </row>
    <row r="21" spans="1:12">
      <c r="A21" s="3" t="s">
        <v>217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338</v>
      </c>
      <c r="G21" s="5"/>
      <c r="J21" s="3" t="s">
        <v>98</v>
      </c>
      <c r="K21" s="3" t="s">
        <v>98</v>
      </c>
      <c r="L21" s="5"/>
    </row>
    <row r="22" spans="1:12">
      <c r="A22" s="3" t="s">
        <v>219</v>
      </c>
      <c r="B22" s="3" t="s">
        <v>17</v>
      </c>
      <c r="C22" s="3" t="s">
        <v>5</v>
      </c>
      <c r="D22" s="3" t="s">
        <v>220</v>
      </c>
      <c r="E22" s="3">
        <v>4</v>
      </c>
      <c r="F22" s="7" t="s">
        <v>338</v>
      </c>
      <c r="G22" s="5"/>
      <c r="H22" s="3"/>
      <c r="I22" s="3"/>
      <c r="J22" s="3" t="s">
        <v>176</v>
      </c>
      <c r="K22" s="3" t="s">
        <v>176</v>
      </c>
      <c r="L22" s="5"/>
    </row>
    <row r="23" spans="1:12">
      <c r="A23" s="3" t="s">
        <v>221</v>
      </c>
      <c r="B23" s="3" t="s">
        <v>17</v>
      </c>
      <c r="C23" s="3" t="s">
        <v>5</v>
      </c>
      <c r="D23" s="3" t="s">
        <v>210</v>
      </c>
      <c r="E23" s="3">
        <v>4</v>
      </c>
      <c r="F23" s="7" t="s">
        <v>338</v>
      </c>
      <c r="G23" s="5"/>
      <c r="H23" s="3"/>
      <c r="I23" s="3"/>
      <c r="J23" s="3" t="s">
        <v>177</v>
      </c>
      <c r="K23" s="3" t="s">
        <v>177</v>
      </c>
      <c r="L23" s="5"/>
    </row>
    <row r="24" spans="1:12">
      <c r="A24" s="3" t="s">
        <v>222</v>
      </c>
      <c r="B24" s="3" t="s">
        <v>17</v>
      </c>
      <c r="C24" s="3" t="s">
        <v>5</v>
      </c>
      <c r="D24" s="3" t="s">
        <v>210</v>
      </c>
      <c r="E24" s="3">
        <v>4</v>
      </c>
      <c r="F24" s="7" t="s">
        <v>338</v>
      </c>
      <c r="G24" s="5"/>
      <c r="H24" s="3"/>
      <c r="I24" s="3"/>
      <c r="J24" s="3" t="s">
        <v>178</v>
      </c>
      <c r="K24" s="3" t="s">
        <v>178</v>
      </c>
      <c r="L24" s="5"/>
    </row>
    <row r="25" spans="1:12">
      <c r="A25" s="3" t="s">
        <v>223</v>
      </c>
      <c r="B25" s="3" t="s">
        <v>17</v>
      </c>
      <c r="C25" s="3" t="s">
        <v>5</v>
      </c>
      <c r="D25" s="3" t="s">
        <v>210</v>
      </c>
      <c r="E25" s="3">
        <v>4</v>
      </c>
      <c r="F25" s="7" t="s">
        <v>338</v>
      </c>
      <c r="G25" s="5"/>
      <c r="H25" s="3"/>
      <c r="I25" s="3"/>
      <c r="J25" s="3" t="s">
        <v>179</v>
      </c>
      <c r="K25" s="3" t="s">
        <v>179</v>
      </c>
      <c r="L25" s="5"/>
    </row>
    <row r="26" spans="1:12">
      <c r="A26" s="3" t="s">
        <v>218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336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224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338</v>
      </c>
      <c r="G27" s="5"/>
      <c r="H27" s="5"/>
      <c r="I27" s="5"/>
      <c r="J27" s="3" t="s">
        <v>180</v>
      </c>
      <c r="K27" s="3" t="s">
        <v>180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338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338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338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338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225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338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226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338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227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338</v>
      </c>
      <c r="G34" s="5"/>
      <c r="H34" s="5"/>
      <c r="I34" s="5"/>
      <c r="J34" s="3" t="s">
        <v>181</v>
      </c>
      <c r="K34" s="3" t="s">
        <v>181</v>
      </c>
      <c r="L34" s="5"/>
    </row>
    <row r="35" spans="1:12">
      <c r="A35" s="3" t="s">
        <v>228</v>
      </c>
      <c r="B35" s="3" t="s">
        <v>17</v>
      </c>
      <c r="C35" s="3" t="s">
        <v>6</v>
      </c>
      <c r="D35" s="3" t="s">
        <v>220</v>
      </c>
      <c r="E35" s="3">
        <v>4</v>
      </c>
      <c r="F35" s="7" t="s">
        <v>338</v>
      </c>
      <c r="G35" s="5"/>
      <c r="H35" s="5"/>
      <c r="I35" s="5"/>
      <c r="J35" s="3" t="s">
        <v>182</v>
      </c>
      <c r="K35" s="3" t="s">
        <v>182</v>
      </c>
      <c r="L35" s="5"/>
    </row>
    <row r="36" spans="1:12">
      <c r="A36" s="3" t="s">
        <v>229</v>
      </c>
      <c r="B36" s="3" t="s">
        <v>17</v>
      </c>
      <c r="C36" s="3" t="s">
        <v>6</v>
      </c>
      <c r="D36" s="3" t="s">
        <v>210</v>
      </c>
      <c r="E36" s="3">
        <v>4</v>
      </c>
      <c r="F36" s="7" t="s">
        <v>338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230</v>
      </c>
      <c r="B37" s="3" t="s">
        <v>17</v>
      </c>
      <c r="C37" s="3" t="s">
        <v>6</v>
      </c>
      <c r="D37" s="3" t="s">
        <v>210</v>
      </c>
      <c r="E37" s="3">
        <v>4</v>
      </c>
      <c r="F37" s="7" t="s">
        <v>338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231</v>
      </c>
      <c r="B38" s="3" t="s">
        <v>17</v>
      </c>
      <c r="C38" s="3" t="s">
        <v>6</v>
      </c>
      <c r="D38" s="3" t="s">
        <v>210</v>
      </c>
      <c r="E38" s="3">
        <v>4</v>
      </c>
      <c r="F38" s="7" t="s">
        <v>338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232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360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233</v>
      </c>
      <c r="B40" s="3" t="s">
        <v>17</v>
      </c>
      <c r="C40" s="3" t="s">
        <v>7</v>
      </c>
      <c r="D40" s="3" t="s">
        <v>234</v>
      </c>
      <c r="E40" s="3">
        <v>3</v>
      </c>
      <c r="F40" s="7" t="s">
        <v>360</v>
      </c>
      <c r="G40" s="5"/>
      <c r="H40" s="5"/>
      <c r="I40" s="5"/>
      <c r="J40" s="3" t="s">
        <v>183</v>
      </c>
      <c r="K40" s="3" t="s">
        <v>183</v>
      </c>
      <c r="L40" s="5"/>
    </row>
    <row r="41" spans="1:12" ht="17.25" customHeight="1">
      <c r="A41" s="3" t="s">
        <v>235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336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236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336</v>
      </c>
      <c r="G42" s="5"/>
      <c r="H42" s="5"/>
      <c r="I42" s="5"/>
      <c r="J42" s="3" t="s">
        <v>184</v>
      </c>
      <c r="K42" s="3" t="s">
        <v>184</v>
      </c>
      <c r="L42" s="5"/>
    </row>
    <row r="43" spans="1:12" ht="17.25" customHeight="1">
      <c r="A43" s="3" t="s">
        <v>248</v>
      </c>
      <c r="B43" s="3" t="s">
        <v>17</v>
      </c>
      <c r="C43" s="3" t="s">
        <v>25</v>
      </c>
      <c r="D43" s="3" t="s">
        <v>252</v>
      </c>
      <c r="E43" s="3">
        <v>4</v>
      </c>
      <c r="F43" s="7" t="s">
        <v>338</v>
      </c>
      <c r="G43" s="5"/>
      <c r="H43" s="5"/>
      <c r="I43" s="5"/>
      <c r="J43" s="3" t="s">
        <v>185</v>
      </c>
      <c r="K43" s="3" t="s">
        <v>185</v>
      </c>
      <c r="L43" s="5"/>
    </row>
    <row r="44" spans="1:12" ht="17.25" customHeight="1">
      <c r="A44" s="3" t="s">
        <v>249</v>
      </c>
      <c r="B44" s="3" t="s">
        <v>17</v>
      </c>
      <c r="C44" s="3" t="s">
        <v>25</v>
      </c>
      <c r="D44" s="3" t="s">
        <v>252</v>
      </c>
      <c r="E44" s="3">
        <v>4</v>
      </c>
      <c r="F44" s="7" t="s">
        <v>338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250</v>
      </c>
      <c r="B45" s="3" t="s">
        <v>17</v>
      </c>
      <c r="C45" s="3" t="s">
        <v>25</v>
      </c>
      <c r="D45" s="3" t="s">
        <v>252</v>
      </c>
      <c r="E45" s="3">
        <v>4</v>
      </c>
      <c r="F45" s="7" t="s">
        <v>338</v>
      </c>
      <c r="G45" s="5"/>
      <c r="H45" s="5"/>
      <c r="I45" s="5"/>
      <c r="J45" s="3" t="s">
        <v>186</v>
      </c>
      <c r="K45" s="3" t="s">
        <v>186</v>
      </c>
      <c r="L45" s="5"/>
    </row>
    <row r="46" spans="1:12" ht="17.25" customHeight="1">
      <c r="A46" s="3" t="s">
        <v>251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338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237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338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238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338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239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338</v>
      </c>
      <c r="G49" s="5"/>
      <c r="H49" s="5"/>
      <c r="I49" s="5"/>
      <c r="J49" s="5" t="s">
        <v>187</v>
      </c>
      <c r="K49" s="5" t="s">
        <v>187</v>
      </c>
      <c r="L49" s="5"/>
    </row>
    <row r="50" spans="1:12">
      <c r="A50" s="3" t="s">
        <v>240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338</v>
      </c>
      <c r="G50" s="5"/>
      <c r="H50" s="5"/>
      <c r="I50" s="5"/>
      <c r="J50" s="5" t="s">
        <v>188</v>
      </c>
      <c r="K50" s="5" t="s">
        <v>188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338</v>
      </c>
      <c r="G51" s="5"/>
      <c r="H51" s="5"/>
      <c r="I51" s="5"/>
      <c r="J51" s="5" t="s">
        <v>189</v>
      </c>
      <c r="K51" s="5" t="s">
        <v>189</v>
      </c>
      <c r="L51" s="5"/>
    </row>
    <row r="52" spans="1:12">
      <c r="A52" s="3" t="s">
        <v>241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338</v>
      </c>
      <c r="G52" s="5"/>
      <c r="H52" s="5"/>
      <c r="I52" s="5"/>
      <c r="J52" s="5" t="s">
        <v>190</v>
      </c>
      <c r="K52" s="5" t="s">
        <v>190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338</v>
      </c>
      <c r="G53" s="5"/>
      <c r="H53" s="5"/>
      <c r="I53" s="5"/>
      <c r="J53" s="5" t="s">
        <v>191</v>
      </c>
      <c r="K53" s="5" t="s">
        <v>191</v>
      </c>
      <c r="L53" s="5"/>
    </row>
    <row r="54" spans="1:12">
      <c r="A54" s="3" t="s">
        <v>242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338</v>
      </c>
      <c r="G54" s="5"/>
      <c r="H54" s="5"/>
      <c r="I54" s="5"/>
      <c r="J54" s="5" t="s">
        <v>192</v>
      </c>
      <c r="K54" s="5" t="s">
        <v>192</v>
      </c>
      <c r="L54" s="5"/>
    </row>
    <row r="55" spans="1:12">
      <c r="A55" s="3" t="s">
        <v>243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338</v>
      </c>
      <c r="G55" s="5"/>
      <c r="H55" s="5"/>
      <c r="I55" s="5"/>
      <c r="J55" s="5" t="s">
        <v>194</v>
      </c>
      <c r="K55" s="5" t="s">
        <v>194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210</v>
      </c>
      <c r="E56" s="3">
        <v>4</v>
      </c>
      <c r="F56" s="7" t="s">
        <v>338</v>
      </c>
      <c r="G56" s="5"/>
      <c r="H56" s="5"/>
      <c r="I56" s="5"/>
      <c r="J56" s="5" t="s">
        <v>193</v>
      </c>
      <c r="K56" s="5" t="s">
        <v>193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210</v>
      </c>
      <c r="E57" s="3">
        <v>4</v>
      </c>
      <c r="F57" s="7" t="s">
        <v>338</v>
      </c>
      <c r="G57" s="5"/>
      <c r="H57" s="5"/>
      <c r="I57" s="5"/>
      <c r="J57" s="5" t="s">
        <v>195</v>
      </c>
      <c r="K57" s="5" t="s">
        <v>195</v>
      </c>
      <c r="L57" s="5"/>
    </row>
    <row r="58" spans="1:12">
      <c r="A58" s="3" t="s">
        <v>244</v>
      </c>
      <c r="B58" s="3" t="s">
        <v>17</v>
      </c>
      <c r="C58" s="3" t="s">
        <v>25</v>
      </c>
      <c r="D58" s="3" t="s">
        <v>210</v>
      </c>
      <c r="E58" s="3">
        <v>4</v>
      </c>
      <c r="F58" s="7" t="s">
        <v>338</v>
      </c>
      <c r="G58" s="5"/>
      <c r="H58" s="5"/>
      <c r="I58" s="5"/>
      <c r="J58" s="5" t="s">
        <v>196</v>
      </c>
      <c r="K58" s="5" t="s">
        <v>196</v>
      </c>
      <c r="L58" s="5"/>
    </row>
    <row r="59" spans="1:12">
      <c r="A59" s="3" t="s">
        <v>245</v>
      </c>
      <c r="B59" s="3" t="s">
        <v>17</v>
      </c>
      <c r="C59" s="3" t="s">
        <v>25</v>
      </c>
      <c r="D59" s="3" t="s">
        <v>210</v>
      </c>
      <c r="E59" s="3">
        <v>4</v>
      </c>
      <c r="F59" s="7" t="s">
        <v>338</v>
      </c>
      <c r="G59" s="5"/>
      <c r="H59" s="5"/>
      <c r="I59" s="5"/>
      <c r="J59" s="5" t="s">
        <v>197</v>
      </c>
      <c r="K59" s="5" t="s">
        <v>197</v>
      </c>
      <c r="L59" s="5"/>
    </row>
    <row r="60" spans="1:12">
      <c r="A60" s="3" t="s">
        <v>246</v>
      </c>
      <c r="B60" s="3" t="s">
        <v>17</v>
      </c>
      <c r="C60" s="3" t="s">
        <v>25</v>
      </c>
      <c r="D60" s="3" t="s">
        <v>210</v>
      </c>
      <c r="E60" s="3">
        <v>4</v>
      </c>
      <c r="F60" s="7" t="s">
        <v>338</v>
      </c>
      <c r="G60" s="5"/>
      <c r="H60" s="5"/>
      <c r="I60" s="5"/>
      <c r="J60" s="3"/>
      <c r="K60" s="3"/>
      <c r="L60" s="5"/>
    </row>
    <row r="61" spans="1:12">
      <c r="A61" s="3" t="s">
        <v>247</v>
      </c>
      <c r="B61" s="3" t="s">
        <v>17</v>
      </c>
      <c r="C61" s="3" t="s">
        <v>25</v>
      </c>
      <c r="D61" s="3" t="s">
        <v>210</v>
      </c>
      <c r="E61" s="3">
        <v>4</v>
      </c>
      <c r="F61" s="7" t="s">
        <v>338</v>
      </c>
      <c r="G61" s="5"/>
      <c r="H61" s="5"/>
      <c r="I61" s="5"/>
      <c r="J61" s="3"/>
      <c r="K61" s="3"/>
      <c r="L61" s="5"/>
    </row>
    <row r="62" spans="1:12">
      <c r="A62" s="3" t="s">
        <v>253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336</v>
      </c>
      <c r="G62" s="5"/>
      <c r="H62" s="5"/>
      <c r="I62" s="5"/>
      <c r="L62" s="5"/>
    </row>
    <row r="63" spans="1:12">
      <c r="A63" s="3" t="s">
        <v>254</v>
      </c>
      <c r="B63" s="3" t="s">
        <v>17</v>
      </c>
      <c r="C63" s="3" t="s">
        <v>26</v>
      </c>
      <c r="D63" s="3" t="s">
        <v>234</v>
      </c>
      <c r="E63" s="3">
        <v>4</v>
      </c>
      <c r="F63" s="7" t="s">
        <v>336</v>
      </c>
      <c r="G63" s="5"/>
      <c r="H63" s="5"/>
      <c r="I63" s="5"/>
      <c r="J63" s="3"/>
      <c r="K63" s="3"/>
      <c r="L63" s="5"/>
    </row>
    <row r="64" spans="1:12">
      <c r="A64" s="3" t="s">
        <v>255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336</v>
      </c>
      <c r="G64" s="5"/>
      <c r="H64" s="5"/>
      <c r="I64" s="5"/>
      <c r="L64" s="5"/>
    </row>
    <row r="65" spans="1:12">
      <c r="A65" s="3" t="s">
        <v>256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336</v>
      </c>
      <c r="G65" s="5"/>
      <c r="H65" s="5"/>
      <c r="I65" s="5"/>
      <c r="J65" s="3"/>
      <c r="K65" s="3"/>
      <c r="L65" s="5"/>
    </row>
    <row r="66" spans="1:12">
      <c r="A66" s="3" t="s">
        <v>257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338</v>
      </c>
      <c r="G66" s="5"/>
      <c r="H66" s="5"/>
      <c r="I66" s="5"/>
      <c r="J66" s="3"/>
      <c r="K66" s="3"/>
      <c r="L66" s="5"/>
    </row>
    <row r="67" spans="1:12">
      <c r="A67" s="3" t="s">
        <v>258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338</v>
      </c>
      <c r="G67" s="5"/>
      <c r="H67" s="5"/>
      <c r="I67" s="5"/>
      <c r="J67" s="3"/>
      <c r="K67" s="3"/>
      <c r="L67" s="5"/>
    </row>
    <row r="68" spans="1:12">
      <c r="A68" s="3" t="s">
        <v>259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338</v>
      </c>
      <c r="G68" s="5"/>
      <c r="H68" s="5"/>
      <c r="I68" s="5"/>
      <c r="J68" s="3"/>
      <c r="K68" s="3"/>
      <c r="L68" s="5"/>
    </row>
    <row r="69" spans="1:12">
      <c r="A69" s="3" t="s">
        <v>260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338</v>
      </c>
      <c r="G69" s="5"/>
      <c r="H69" s="5"/>
      <c r="I69" s="5"/>
      <c r="L69" s="5"/>
    </row>
    <row r="70" spans="1:12">
      <c r="A70" s="3" t="s">
        <v>261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338</v>
      </c>
      <c r="G70" s="5"/>
      <c r="H70" s="5"/>
      <c r="I70" s="5"/>
      <c r="L70" s="5"/>
    </row>
    <row r="71" spans="1:12">
      <c r="A71" s="3" t="s">
        <v>262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338</v>
      </c>
      <c r="G71" s="5"/>
      <c r="H71" s="5"/>
      <c r="I71" s="5"/>
      <c r="L71" s="5"/>
    </row>
    <row r="72" spans="1:12">
      <c r="A72" s="3" t="s">
        <v>263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338</v>
      </c>
      <c r="G72" s="5"/>
      <c r="H72" s="5"/>
      <c r="I72" s="5"/>
      <c r="L72" s="5"/>
    </row>
    <row r="73" spans="1:12">
      <c r="A73" s="3" t="s">
        <v>264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338</v>
      </c>
      <c r="G73" s="5"/>
      <c r="H73" s="5"/>
      <c r="I73" s="5"/>
      <c r="L73" s="5"/>
    </row>
    <row r="74" spans="1:12">
      <c r="A74" s="3" t="s">
        <v>265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338</v>
      </c>
      <c r="G74" s="5"/>
      <c r="H74" s="5"/>
      <c r="I74" s="5"/>
      <c r="L74" s="5"/>
    </row>
    <row r="75" spans="1:12">
      <c r="A75" s="3" t="s">
        <v>266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338</v>
      </c>
      <c r="G75" s="5"/>
      <c r="H75" s="5"/>
      <c r="I75" s="5"/>
      <c r="L75" s="5"/>
    </row>
    <row r="76" spans="1:12">
      <c r="A76" s="3" t="s">
        <v>267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338</v>
      </c>
      <c r="G76" s="5"/>
      <c r="H76" s="5"/>
      <c r="I76" s="5"/>
      <c r="L76" s="5"/>
    </row>
    <row r="77" spans="1:12">
      <c r="A77" s="3" t="s">
        <v>268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338</v>
      </c>
      <c r="G77" s="5"/>
      <c r="H77" s="5"/>
      <c r="I77" s="5"/>
      <c r="L77" s="5"/>
    </row>
    <row r="78" spans="1:12">
      <c r="A78" s="3" t="s">
        <v>269</v>
      </c>
      <c r="B78" s="3" t="s">
        <v>17</v>
      </c>
      <c r="C78" s="3" t="s">
        <v>26</v>
      </c>
      <c r="D78" s="3" t="s">
        <v>272</v>
      </c>
      <c r="E78" s="3">
        <v>4</v>
      </c>
      <c r="F78" s="7" t="s">
        <v>338</v>
      </c>
      <c r="G78" s="5"/>
      <c r="H78" s="5"/>
      <c r="I78" s="5"/>
      <c r="L78" s="5"/>
    </row>
    <row r="79" spans="1:12">
      <c r="A79" s="3" t="s">
        <v>270</v>
      </c>
      <c r="B79" s="3" t="s">
        <v>17</v>
      </c>
      <c r="C79" s="3" t="s">
        <v>26</v>
      </c>
      <c r="D79" s="3" t="s">
        <v>210</v>
      </c>
      <c r="E79" s="3">
        <v>4</v>
      </c>
      <c r="F79" s="7" t="s">
        <v>338</v>
      </c>
      <c r="G79" s="5"/>
      <c r="H79" s="5"/>
      <c r="I79" s="5"/>
      <c r="L79" s="5"/>
    </row>
    <row r="80" spans="1:12">
      <c r="A80" s="3" t="s">
        <v>271</v>
      </c>
      <c r="B80" s="3" t="s">
        <v>17</v>
      </c>
      <c r="C80" s="3" t="s">
        <v>26</v>
      </c>
      <c r="D80" s="3" t="s">
        <v>210</v>
      </c>
      <c r="E80" s="3">
        <v>4</v>
      </c>
      <c r="F80" s="7" t="s">
        <v>338</v>
      </c>
      <c r="G80" s="5"/>
      <c r="H80" s="5"/>
      <c r="I80" s="5"/>
      <c r="L80" s="5"/>
    </row>
    <row r="81" spans="1:12">
      <c r="A81" s="3" t="s">
        <v>273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343</v>
      </c>
      <c r="G81" s="5"/>
      <c r="H81" s="5"/>
      <c r="I81" s="5"/>
      <c r="L81" s="5"/>
    </row>
    <row r="82" spans="1:12">
      <c r="A82" s="3" t="s">
        <v>274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343</v>
      </c>
      <c r="G82" s="5"/>
      <c r="H82" s="5"/>
      <c r="I82" s="5"/>
      <c r="L82" s="5"/>
    </row>
    <row r="83" spans="1:12">
      <c r="A83" s="3" t="s">
        <v>275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343</v>
      </c>
      <c r="G83" s="5"/>
      <c r="H83" s="5"/>
      <c r="I83" s="5"/>
      <c r="L83" s="5"/>
    </row>
    <row r="84" spans="1:12">
      <c r="A84" s="3" t="s">
        <v>276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343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345</v>
      </c>
      <c r="G85" s="5"/>
      <c r="H85" s="5"/>
      <c r="I85" s="5"/>
      <c r="J85" s="5"/>
      <c r="K85" s="5"/>
      <c r="L85" s="5"/>
    </row>
    <row r="86" spans="1:12">
      <c r="A86" s="3" t="s">
        <v>277</v>
      </c>
      <c r="B86" s="3" t="s">
        <v>17</v>
      </c>
      <c r="C86" s="3" t="s">
        <v>8</v>
      </c>
      <c r="D86" s="3" t="s">
        <v>210</v>
      </c>
      <c r="E86" s="3">
        <v>3</v>
      </c>
      <c r="F86" s="7" t="s">
        <v>343</v>
      </c>
      <c r="G86" s="5"/>
      <c r="H86" s="5"/>
      <c r="I86" s="5"/>
      <c r="J86" s="5"/>
      <c r="K86" s="5"/>
      <c r="L86" s="5"/>
    </row>
    <row r="87" spans="1:12">
      <c r="A87" s="3" t="s">
        <v>278</v>
      </c>
      <c r="B87" s="3" t="s">
        <v>17</v>
      </c>
      <c r="C87" s="3" t="s">
        <v>8</v>
      </c>
      <c r="D87" s="3" t="s">
        <v>210</v>
      </c>
      <c r="E87" s="3">
        <v>2</v>
      </c>
      <c r="F87" s="7" t="s">
        <v>345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343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343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343</v>
      </c>
      <c r="G90" s="5"/>
      <c r="H90" s="5"/>
      <c r="I90" s="5"/>
      <c r="J90" s="5"/>
      <c r="K90" s="5"/>
      <c r="L90" s="5"/>
    </row>
    <row r="91" spans="1:12">
      <c r="A91" s="3" t="s">
        <v>279</v>
      </c>
      <c r="B91" s="3" t="s">
        <v>17</v>
      </c>
      <c r="C91" s="3" t="s">
        <v>28</v>
      </c>
      <c r="D91" s="3" t="s">
        <v>220</v>
      </c>
      <c r="E91" s="3">
        <v>3</v>
      </c>
      <c r="F91" s="7" t="s">
        <v>343</v>
      </c>
      <c r="G91" s="5"/>
      <c r="H91" s="5"/>
      <c r="I91" s="5"/>
      <c r="J91" s="5"/>
      <c r="K91" s="5"/>
      <c r="L91" s="5"/>
    </row>
    <row r="92" spans="1:12">
      <c r="A92" s="3" t="s">
        <v>280</v>
      </c>
      <c r="B92" s="3" t="s">
        <v>17</v>
      </c>
      <c r="C92" s="3" t="s">
        <v>28</v>
      </c>
      <c r="D92" s="3" t="s">
        <v>220</v>
      </c>
      <c r="E92" s="3">
        <v>3</v>
      </c>
      <c r="F92" s="7" t="s">
        <v>343</v>
      </c>
      <c r="G92" s="5"/>
      <c r="H92" s="5"/>
      <c r="I92" s="5"/>
      <c r="J92" s="5"/>
      <c r="K92" s="5"/>
      <c r="L92" s="5"/>
    </row>
    <row r="93" spans="1:12">
      <c r="A93" s="3" t="s">
        <v>281</v>
      </c>
      <c r="B93" s="3" t="s">
        <v>17</v>
      </c>
      <c r="C93" s="3" t="s">
        <v>28</v>
      </c>
      <c r="D93" s="3" t="s">
        <v>220</v>
      </c>
      <c r="E93" s="3">
        <v>3</v>
      </c>
      <c r="F93" s="7" t="s">
        <v>343</v>
      </c>
      <c r="G93" s="5"/>
      <c r="H93" s="5"/>
      <c r="I93" s="5"/>
      <c r="J93" s="5"/>
      <c r="K93" s="5"/>
      <c r="L93" s="5"/>
    </row>
    <row r="94" spans="1:12">
      <c r="A94" s="3" t="s">
        <v>282</v>
      </c>
      <c r="B94" s="3" t="s">
        <v>17</v>
      </c>
      <c r="C94" s="3" t="s">
        <v>28</v>
      </c>
      <c r="D94" s="3" t="s">
        <v>220</v>
      </c>
      <c r="E94" s="3">
        <v>3</v>
      </c>
      <c r="F94" s="7" t="s">
        <v>343</v>
      </c>
      <c r="G94" s="5"/>
      <c r="H94" s="5"/>
      <c r="I94" s="5"/>
      <c r="J94" s="5"/>
      <c r="K94" s="5"/>
      <c r="L94" s="5"/>
    </row>
    <row r="95" spans="1:12">
      <c r="A95" s="3" t="s">
        <v>283</v>
      </c>
      <c r="B95" s="3" t="s">
        <v>17</v>
      </c>
      <c r="C95" s="3" t="s">
        <v>28</v>
      </c>
      <c r="D95" s="3" t="s">
        <v>210</v>
      </c>
      <c r="E95" s="3">
        <v>3</v>
      </c>
      <c r="F95" s="7" t="s">
        <v>343</v>
      </c>
      <c r="G95" s="5"/>
      <c r="H95" s="5"/>
      <c r="I95" s="5"/>
      <c r="J95" s="5"/>
      <c r="K95" s="5"/>
      <c r="L95" s="5"/>
    </row>
    <row r="96" spans="1:12">
      <c r="A96" s="3" t="s">
        <v>284</v>
      </c>
      <c r="B96" s="3" t="s">
        <v>17</v>
      </c>
      <c r="C96" s="3" t="s">
        <v>28</v>
      </c>
      <c r="D96" s="3" t="s">
        <v>210</v>
      </c>
      <c r="E96" s="3">
        <v>3</v>
      </c>
      <c r="F96" s="7" t="s">
        <v>343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338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338</v>
      </c>
      <c r="G98" s="5"/>
      <c r="H98" s="5"/>
      <c r="I98" s="5"/>
      <c r="J98" s="5"/>
      <c r="K98" s="5"/>
      <c r="L98" s="5"/>
    </row>
    <row r="99" spans="1:12">
      <c r="A99" s="3" t="s">
        <v>285</v>
      </c>
      <c r="B99" s="3" t="s">
        <v>17</v>
      </c>
      <c r="C99" s="3" t="s">
        <v>10</v>
      </c>
      <c r="D99" s="3" t="s">
        <v>220</v>
      </c>
      <c r="E99" s="3">
        <v>4</v>
      </c>
      <c r="F99" s="7" t="s">
        <v>338</v>
      </c>
      <c r="G99" s="5"/>
      <c r="H99" s="5"/>
      <c r="I99" s="5"/>
      <c r="J99" s="5"/>
      <c r="K99" s="5"/>
      <c r="L99" s="5"/>
    </row>
    <row r="100" spans="1:12">
      <c r="A100" s="3" t="s">
        <v>286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338</v>
      </c>
      <c r="G100" s="5"/>
      <c r="H100" s="5"/>
      <c r="I100" s="5"/>
      <c r="J100" s="5"/>
      <c r="K100" s="5"/>
      <c r="L100" s="5"/>
    </row>
    <row r="101" spans="1:12">
      <c r="A101" s="3" t="s">
        <v>287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338</v>
      </c>
      <c r="G101" s="5"/>
      <c r="H101" s="5"/>
      <c r="I101" s="5"/>
      <c r="J101" s="5"/>
      <c r="K101" s="5"/>
      <c r="L101" s="5"/>
    </row>
    <row r="102" spans="1:12">
      <c r="A102" s="3" t="s">
        <v>288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338</v>
      </c>
      <c r="G102" s="5"/>
      <c r="H102" s="5"/>
      <c r="I102" s="5"/>
      <c r="J102" s="5"/>
      <c r="K102" s="5"/>
      <c r="L102" s="5"/>
    </row>
    <row r="103" spans="1:12">
      <c r="A103" s="3" t="s">
        <v>289</v>
      </c>
      <c r="B103" s="3" t="s">
        <v>17</v>
      </c>
      <c r="C103" s="3" t="s">
        <v>10</v>
      </c>
      <c r="D103" s="3" t="s">
        <v>210</v>
      </c>
      <c r="E103" s="3">
        <v>4</v>
      </c>
      <c r="F103" s="7" t="s">
        <v>338</v>
      </c>
      <c r="G103" s="5"/>
      <c r="H103" s="5"/>
      <c r="I103" s="5"/>
      <c r="J103" s="5"/>
      <c r="K103" s="5"/>
      <c r="L103" s="5"/>
    </row>
    <row r="104" spans="1:12">
      <c r="A104" s="3" t="s">
        <v>290</v>
      </c>
      <c r="B104" s="3" t="s">
        <v>17</v>
      </c>
      <c r="C104" s="3" t="s">
        <v>10</v>
      </c>
      <c r="D104" s="3" t="s">
        <v>210</v>
      </c>
      <c r="E104" s="3">
        <v>4</v>
      </c>
      <c r="F104" s="7" t="s">
        <v>338</v>
      </c>
      <c r="G104" s="5"/>
      <c r="H104" s="5"/>
      <c r="I104" s="5"/>
      <c r="J104" s="5"/>
      <c r="K104" s="5"/>
      <c r="L104" s="5"/>
    </row>
    <row r="105" spans="1:12">
      <c r="A105" s="3" t="s">
        <v>291</v>
      </c>
      <c r="B105" s="3" t="s">
        <v>17</v>
      </c>
      <c r="C105" s="3" t="s">
        <v>10</v>
      </c>
      <c r="D105" s="3" t="s">
        <v>210</v>
      </c>
      <c r="E105" s="3">
        <v>4</v>
      </c>
      <c r="F105" s="7" t="s">
        <v>338</v>
      </c>
      <c r="G105" s="5"/>
      <c r="H105" s="5"/>
      <c r="I105" s="5"/>
      <c r="J105" s="5"/>
      <c r="K105" s="5"/>
      <c r="L105" s="5"/>
    </row>
    <row r="106" spans="1:12">
      <c r="A106" s="3" t="s">
        <v>292</v>
      </c>
      <c r="B106" s="3" t="s">
        <v>17</v>
      </c>
      <c r="C106" s="3" t="s">
        <v>10</v>
      </c>
      <c r="D106" s="3" t="s">
        <v>210</v>
      </c>
      <c r="E106" s="3">
        <v>2</v>
      </c>
      <c r="F106" s="7" t="s">
        <v>345</v>
      </c>
      <c r="G106" s="5"/>
      <c r="H106" s="5"/>
      <c r="I106" s="5"/>
      <c r="J106" s="5"/>
      <c r="K106" s="5"/>
      <c r="L106" s="5"/>
    </row>
    <row r="107" spans="1:12">
      <c r="A107" s="3" t="s">
        <v>293</v>
      </c>
      <c r="B107" s="3" t="s">
        <v>17</v>
      </c>
      <c r="C107" s="3" t="s">
        <v>10</v>
      </c>
      <c r="D107" s="3" t="s">
        <v>210</v>
      </c>
      <c r="E107" s="3">
        <v>4</v>
      </c>
      <c r="F107" s="7" t="s">
        <v>338</v>
      </c>
      <c r="G107" s="5"/>
      <c r="H107" s="5"/>
      <c r="I107" s="5"/>
      <c r="J107" s="5"/>
      <c r="K107" s="5"/>
      <c r="L107" s="5"/>
    </row>
    <row r="108" spans="1:12">
      <c r="A108" s="3" t="s">
        <v>294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338</v>
      </c>
      <c r="G108" s="5"/>
      <c r="H108" s="5"/>
      <c r="I108" s="5"/>
      <c r="J108" s="5"/>
      <c r="K108" s="5"/>
      <c r="L108" s="5"/>
    </row>
    <row r="109" spans="1:12">
      <c r="A109" s="3" t="s">
        <v>295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338</v>
      </c>
      <c r="G109" s="5"/>
      <c r="H109" s="5"/>
      <c r="I109" s="5"/>
      <c r="J109" s="5"/>
      <c r="K109" s="5"/>
      <c r="L109" s="5"/>
    </row>
    <row r="110" spans="1:12">
      <c r="A110" s="3" t="s">
        <v>296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338</v>
      </c>
      <c r="G110" s="5"/>
      <c r="H110" s="5"/>
      <c r="I110" s="5"/>
      <c r="J110" s="5"/>
      <c r="K110" s="5"/>
      <c r="L110" s="5"/>
    </row>
    <row r="111" spans="1:12">
      <c r="A111" s="3" t="s">
        <v>297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338</v>
      </c>
      <c r="G111" s="5"/>
      <c r="H111" s="5"/>
      <c r="I111" s="5"/>
      <c r="J111" s="5"/>
      <c r="K111" s="5"/>
      <c r="L111" s="5"/>
    </row>
    <row r="112" spans="1:12">
      <c r="A112" s="3" t="s">
        <v>298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338</v>
      </c>
      <c r="G112" s="5"/>
      <c r="H112" s="5"/>
      <c r="I112" s="5"/>
      <c r="J112" s="5"/>
      <c r="K112" s="5"/>
      <c r="L112" s="5"/>
    </row>
    <row r="113" spans="1:12">
      <c r="A113" s="3" t="s">
        <v>299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338</v>
      </c>
      <c r="G113" s="5"/>
      <c r="H113" s="5"/>
      <c r="I113" s="5"/>
      <c r="J113" s="5"/>
      <c r="K113" s="5"/>
      <c r="L113" s="5"/>
    </row>
    <row r="114" spans="1:12">
      <c r="A114" s="3" t="s">
        <v>300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338</v>
      </c>
      <c r="G114" s="5"/>
      <c r="H114" s="5"/>
      <c r="I114" s="5"/>
      <c r="J114" s="5"/>
      <c r="K114" s="5"/>
      <c r="L114" s="5"/>
    </row>
    <row r="115" spans="1:12">
      <c r="A115" s="3" t="s">
        <v>301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338</v>
      </c>
      <c r="G115" s="5"/>
      <c r="H115" s="5"/>
      <c r="I115" s="5"/>
      <c r="J115" s="5"/>
      <c r="K115" s="5"/>
      <c r="L115" s="5"/>
    </row>
    <row r="116" spans="1:12">
      <c r="A116" s="3" t="s">
        <v>302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338</v>
      </c>
      <c r="G116" s="5"/>
      <c r="H116" s="5"/>
      <c r="I116" s="5"/>
      <c r="J116" s="5"/>
      <c r="K116" s="5"/>
      <c r="L116" s="5"/>
    </row>
    <row r="117" spans="1:12">
      <c r="A117" s="3" t="s">
        <v>303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338</v>
      </c>
      <c r="G117" s="5"/>
      <c r="H117" s="5"/>
      <c r="I117" s="5"/>
      <c r="J117" s="5"/>
      <c r="K117" s="5"/>
      <c r="L117" s="5"/>
    </row>
    <row r="118" spans="1:12">
      <c r="A118" s="3" t="s">
        <v>304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338</v>
      </c>
      <c r="G118" s="5"/>
      <c r="H118" s="5"/>
      <c r="I118" s="5"/>
      <c r="J118" s="5"/>
      <c r="K118" s="5"/>
      <c r="L118" s="5"/>
    </row>
    <row r="119" spans="1:12">
      <c r="A119" s="3" t="s">
        <v>305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338</v>
      </c>
      <c r="G119" s="5"/>
      <c r="H119" s="5"/>
      <c r="I119" s="5"/>
      <c r="J119" s="5"/>
      <c r="K119" s="5"/>
      <c r="L119" s="5"/>
    </row>
    <row r="120" spans="1:12">
      <c r="A120" s="3" t="s">
        <v>306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338</v>
      </c>
      <c r="G120" s="5"/>
      <c r="H120" s="5"/>
      <c r="I120" s="5"/>
      <c r="J120" s="5"/>
      <c r="K120" s="5"/>
      <c r="L120" s="5"/>
    </row>
    <row r="121" spans="1:12">
      <c r="A121" s="3" t="s">
        <v>307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338</v>
      </c>
      <c r="G121" s="5"/>
      <c r="H121" s="5"/>
      <c r="I121" s="5"/>
      <c r="J121" s="5"/>
      <c r="K121" s="5"/>
      <c r="L121" s="5"/>
    </row>
    <row r="122" spans="1:12">
      <c r="A122" s="3" t="s">
        <v>308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338</v>
      </c>
      <c r="G122" s="5"/>
      <c r="H122" s="5"/>
      <c r="I122" s="5"/>
      <c r="J122" s="5"/>
      <c r="K122" s="5"/>
      <c r="L122" s="5"/>
    </row>
    <row r="123" spans="1:12">
      <c r="A123" s="3" t="s">
        <v>309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338</v>
      </c>
      <c r="G123" s="5"/>
      <c r="H123" s="5"/>
      <c r="I123" s="5"/>
      <c r="J123" s="5"/>
      <c r="K123" s="5"/>
      <c r="L123" s="5"/>
    </row>
    <row r="124" spans="1:12">
      <c r="A124" s="3" t="s">
        <v>310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338</v>
      </c>
      <c r="G124" s="5"/>
      <c r="H124" s="5"/>
      <c r="I124" s="5"/>
      <c r="J124" s="5"/>
      <c r="K124" s="5"/>
      <c r="L124" s="5"/>
    </row>
    <row r="125" spans="1:12">
      <c r="A125" s="3" t="s">
        <v>311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338</v>
      </c>
      <c r="G125" s="5"/>
      <c r="H125" s="5"/>
      <c r="I125" s="5"/>
      <c r="J125" s="5"/>
      <c r="K125" s="5"/>
      <c r="L125" s="5"/>
    </row>
    <row r="126" spans="1:12">
      <c r="A126" s="3" t="s">
        <v>313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338</v>
      </c>
      <c r="G126" s="5"/>
      <c r="H126" s="5"/>
      <c r="I126" s="5"/>
      <c r="J126" s="5"/>
      <c r="K126" s="5"/>
      <c r="L126" s="5"/>
    </row>
    <row r="127" spans="1:12">
      <c r="A127" s="3" t="s">
        <v>312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338</v>
      </c>
      <c r="G127" s="5"/>
      <c r="H127" s="5"/>
      <c r="I127" s="5"/>
      <c r="J127" s="5"/>
      <c r="K127" s="5"/>
      <c r="L127" s="5"/>
    </row>
    <row r="128" spans="1:12">
      <c r="A128" s="3" t="s">
        <v>314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338</v>
      </c>
      <c r="G128" s="5"/>
      <c r="H128" s="5"/>
      <c r="I128" s="5"/>
      <c r="J128" s="5"/>
      <c r="K128" s="5"/>
      <c r="L128" s="5"/>
    </row>
    <row r="129" spans="1:12">
      <c r="A129" s="3" t="s">
        <v>315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338</v>
      </c>
      <c r="G129" s="5"/>
      <c r="H129" s="5"/>
      <c r="I129" s="5"/>
      <c r="J129" s="5"/>
      <c r="K129" s="5"/>
      <c r="L129" s="5"/>
    </row>
    <row r="130" spans="1:12">
      <c r="A130" s="3" t="s">
        <v>316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338</v>
      </c>
      <c r="G130" s="5"/>
      <c r="H130" s="5"/>
      <c r="I130" s="5"/>
      <c r="J130" s="5"/>
      <c r="K130" s="5"/>
      <c r="L130" s="5"/>
    </row>
    <row r="131" spans="1:12">
      <c r="A131" s="3" t="s">
        <v>320</v>
      </c>
      <c r="B131" s="3" t="s">
        <v>17</v>
      </c>
      <c r="C131" s="3" t="s">
        <v>30</v>
      </c>
      <c r="D131" s="3" t="s">
        <v>210</v>
      </c>
      <c r="E131" s="3">
        <v>4</v>
      </c>
      <c r="F131" s="7" t="s">
        <v>338</v>
      </c>
      <c r="G131" s="5"/>
      <c r="H131" s="5"/>
      <c r="I131" s="5"/>
      <c r="J131" s="5"/>
      <c r="K131" s="5"/>
      <c r="L131" s="5"/>
    </row>
    <row r="132" spans="1:12">
      <c r="A132" s="3" t="s">
        <v>321</v>
      </c>
      <c r="B132" s="3" t="s">
        <v>17</v>
      </c>
      <c r="C132" s="3" t="s">
        <v>30</v>
      </c>
      <c r="D132" s="3" t="s">
        <v>210</v>
      </c>
      <c r="E132" s="3">
        <v>4</v>
      </c>
      <c r="F132" s="7" t="s">
        <v>338</v>
      </c>
      <c r="G132" s="5"/>
      <c r="H132" s="5"/>
      <c r="I132" s="5"/>
      <c r="J132" s="5"/>
      <c r="K132" s="5"/>
      <c r="L132" s="5"/>
    </row>
    <row r="133" spans="1:12">
      <c r="A133" s="3" t="s">
        <v>322</v>
      </c>
      <c r="B133" s="3" t="s">
        <v>17</v>
      </c>
      <c r="C133" s="3" t="s">
        <v>30</v>
      </c>
      <c r="D133" s="3" t="s">
        <v>210</v>
      </c>
      <c r="E133" s="3">
        <v>4</v>
      </c>
      <c r="F133" s="7" t="s">
        <v>338</v>
      </c>
      <c r="G133" s="5"/>
      <c r="H133" s="5"/>
      <c r="I133" s="5"/>
      <c r="J133" s="5"/>
      <c r="K133" s="5"/>
      <c r="L133" s="5"/>
    </row>
    <row r="134" spans="1:12">
      <c r="A134" s="3" t="s">
        <v>323</v>
      </c>
      <c r="B134" s="3" t="s">
        <v>17</v>
      </c>
      <c r="C134" s="3" t="s">
        <v>30</v>
      </c>
      <c r="D134" s="3" t="s">
        <v>210</v>
      </c>
      <c r="E134" s="3">
        <v>4</v>
      </c>
      <c r="F134" s="7" t="s">
        <v>338</v>
      </c>
      <c r="G134" s="5"/>
      <c r="H134" s="5"/>
      <c r="I134" s="5"/>
      <c r="J134" s="5"/>
      <c r="K134" s="5"/>
      <c r="L134" s="5"/>
    </row>
    <row r="135" spans="1:12">
      <c r="A135" s="3" t="s">
        <v>324</v>
      </c>
      <c r="B135" s="3" t="s">
        <v>17</v>
      </c>
      <c r="C135" s="3" t="s">
        <v>30</v>
      </c>
      <c r="D135" s="3" t="s">
        <v>210</v>
      </c>
      <c r="E135" s="3">
        <v>4</v>
      </c>
      <c r="F135" s="7" t="s">
        <v>338</v>
      </c>
      <c r="G135" s="5"/>
      <c r="H135" s="5"/>
      <c r="I135" s="5"/>
      <c r="J135" s="5"/>
      <c r="K135" s="5"/>
      <c r="L135" s="5"/>
    </row>
    <row r="136" spans="1:12">
      <c r="A136" s="3" t="s">
        <v>325</v>
      </c>
      <c r="B136" s="3" t="s">
        <v>17</v>
      </c>
      <c r="C136" s="3" t="s">
        <v>30</v>
      </c>
      <c r="D136" s="3" t="s">
        <v>210</v>
      </c>
      <c r="E136" s="3">
        <v>4</v>
      </c>
      <c r="F136" s="7" t="s">
        <v>338</v>
      </c>
      <c r="G136" s="5"/>
      <c r="H136" s="5"/>
      <c r="I136" s="5"/>
      <c r="J136" s="5"/>
      <c r="K136" s="5"/>
      <c r="L136" s="5"/>
    </row>
    <row r="137" spans="1:12">
      <c r="A137" s="3" t="s">
        <v>326</v>
      </c>
      <c r="B137" s="3" t="s">
        <v>17</v>
      </c>
      <c r="C137" s="3" t="s">
        <v>30</v>
      </c>
      <c r="D137" s="3" t="s">
        <v>210</v>
      </c>
      <c r="E137" s="3">
        <v>4</v>
      </c>
      <c r="F137" s="7" t="s">
        <v>338</v>
      </c>
      <c r="G137" s="5"/>
      <c r="H137" s="5"/>
      <c r="I137" s="5"/>
      <c r="J137" s="5"/>
      <c r="K137" s="5"/>
      <c r="L137" s="5"/>
    </row>
    <row r="138" spans="1:12">
      <c r="A138" s="3" t="s">
        <v>327</v>
      </c>
      <c r="B138" s="3" t="s">
        <v>17</v>
      </c>
      <c r="C138" s="3" t="s">
        <v>30</v>
      </c>
      <c r="D138" s="3" t="s">
        <v>210</v>
      </c>
      <c r="E138" s="3">
        <v>4</v>
      </c>
      <c r="F138" s="7" t="s">
        <v>338</v>
      </c>
      <c r="G138" s="5"/>
      <c r="H138" s="5"/>
      <c r="I138" s="5"/>
      <c r="J138" s="5"/>
      <c r="K138" s="5"/>
      <c r="L138" s="5"/>
    </row>
    <row r="139" spans="1:12">
      <c r="A139" s="3" t="s">
        <v>318</v>
      </c>
      <c r="B139" s="3" t="s">
        <v>17</v>
      </c>
      <c r="C139" s="3" t="s">
        <v>318</v>
      </c>
      <c r="D139" s="3" t="s">
        <v>252</v>
      </c>
      <c r="E139" s="3">
        <v>4</v>
      </c>
      <c r="F139" s="7" t="s">
        <v>338</v>
      </c>
      <c r="G139" s="5"/>
      <c r="H139" s="5"/>
      <c r="I139" s="5"/>
      <c r="J139" s="5"/>
      <c r="K139" s="5"/>
      <c r="L139" s="5"/>
    </row>
    <row r="140" spans="1:12">
      <c r="A140" s="3" t="s">
        <v>317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338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343</v>
      </c>
      <c r="G141" s="5"/>
      <c r="H141" s="5"/>
      <c r="I141" s="5"/>
      <c r="J141" s="5"/>
      <c r="K141" s="5"/>
      <c r="L141" s="5"/>
    </row>
    <row r="142" spans="1:12">
      <c r="A142" s="3" t="s">
        <v>328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343</v>
      </c>
      <c r="G142" s="5"/>
      <c r="H142" s="5"/>
      <c r="I142" s="5"/>
      <c r="J142" s="5"/>
      <c r="K142" s="5"/>
      <c r="L142" s="5"/>
    </row>
    <row r="143" spans="1:12">
      <c r="A143" s="3" t="s">
        <v>329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343</v>
      </c>
      <c r="G143" s="5"/>
      <c r="H143" s="5"/>
      <c r="I143" s="5"/>
      <c r="J143" s="5"/>
      <c r="K143" s="5"/>
      <c r="L143" s="5"/>
    </row>
    <row r="144" spans="1:12">
      <c r="A144" s="3" t="s">
        <v>330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343</v>
      </c>
      <c r="G144" s="5"/>
      <c r="H144" s="5"/>
      <c r="I144" s="5"/>
      <c r="J144" s="5"/>
      <c r="K144" s="5"/>
      <c r="L144" s="5"/>
    </row>
    <row r="145" spans="1:12">
      <c r="A145" s="3" t="s">
        <v>331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343</v>
      </c>
      <c r="G145" s="5"/>
      <c r="H145" s="5"/>
      <c r="I145" s="5"/>
      <c r="J145" s="5"/>
      <c r="K145" s="5"/>
      <c r="L145" s="5"/>
    </row>
    <row r="146" spans="1:12">
      <c r="A146" s="3" t="s">
        <v>332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343</v>
      </c>
      <c r="G146" s="5"/>
      <c r="H146" s="5"/>
      <c r="I146" s="5"/>
      <c r="J146" s="5"/>
      <c r="K146" s="5"/>
      <c r="L146" s="5"/>
    </row>
    <row r="147" spans="1:12">
      <c r="A147" s="3" t="s">
        <v>333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343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343</v>
      </c>
      <c r="G148" s="5"/>
      <c r="H148" s="5"/>
      <c r="I148" s="5"/>
      <c r="J148" s="5"/>
      <c r="K148" s="5"/>
      <c r="L148" s="5"/>
    </row>
    <row r="149" spans="1:12">
      <c r="A149" s="3" t="s">
        <v>334</v>
      </c>
      <c r="B149" s="3" t="s">
        <v>17</v>
      </c>
      <c r="C149" s="3" t="s">
        <v>32</v>
      </c>
      <c r="D149" s="3" t="s">
        <v>272</v>
      </c>
      <c r="E149" s="3">
        <v>3</v>
      </c>
      <c r="F149" s="7" t="s">
        <v>343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210</v>
      </c>
      <c r="E150" s="3">
        <v>3</v>
      </c>
      <c r="F150" s="7" t="s">
        <v>343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60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75" style="100" customWidth="1"/>
    <col min="2" max="2" width="7.5" style="100" customWidth="1"/>
    <col min="3" max="3" width="0.875" style="100" customWidth="1"/>
    <col min="4" max="4" width="4" style="100" customWidth="1"/>
    <col min="5" max="5" width="5.875" style="100" customWidth="1"/>
    <col min="6" max="6" width="5.625" style="100" customWidth="1"/>
    <col min="7" max="7" width="11.25" style="100" customWidth="1"/>
    <col min="8" max="8" width="9.125" style="100" customWidth="1"/>
    <col min="9" max="9" width="12.75" style="100" customWidth="1"/>
    <col min="10" max="10" width="1.375" style="100" customWidth="1"/>
    <col min="11" max="11" width="1" style="100" customWidth="1"/>
    <col min="12" max="12" width="10.75" style="100" customWidth="1"/>
    <col min="13" max="13" width="10.125" style="100" customWidth="1"/>
    <col min="14" max="14" width="16.625" style="100" customWidth="1"/>
    <col min="15" max="15" width="8.375" style="100" customWidth="1"/>
    <col min="16" max="16" width="9.5" style="100" customWidth="1"/>
    <col min="17" max="17" width="1.25" style="100" customWidth="1"/>
    <col min="18" max="18" width="0.5" style="100" customWidth="1"/>
    <col min="19" max="26" width="0" style="100" hidden="1" customWidth="1"/>
    <col min="27" max="16384" width="11" style="100" hidden="1"/>
  </cols>
  <sheetData>
    <row r="1" spans="2:26" ht="13.5"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spans="2:26" ht="39" thickBot="1">
      <c r="B2" s="623" t="s">
        <v>364</v>
      </c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  <c r="N2" s="624"/>
      <c r="O2" s="624"/>
      <c r="P2" s="624"/>
      <c r="Q2" s="624"/>
      <c r="R2" s="99"/>
      <c r="S2" s="99"/>
      <c r="T2" s="99"/>
      <c r="U2" s="99"/>
      <c r="V2" s="99"/>
      <c r="W2" s="99"/>
      <c r="X2" s="99"/>
      <c r="Y2" s="99"/>
      <c r="Z2" s="99"/>
    </row>
    <row r="3" spans="2:26" ht="24" customHeight="1" thickBot="1">
      <c r="B3" s="101" t="s">
        <v>365</v>
      </c>
      <c r="C3" s="625" t="s">
        <v>366</v>
      </c>
      <c r="D3" s="626"/>
      <c r="E3" s="626"/>
      <c r="F3" s="626"/>
      <c r="G3" s="626"/>
      <c r="H3" s="626"/>
      <c r="I3" s="626"/>
      <c r="J3" s="627"/>
      <c r="K3" s="628" t="s">
        <v>367</v>
      </c>
      <c r="L3" s="629"/>
      <c r="M3" s="629"/>
      <c r="N3" s="629"/>
      <c r="O3" s="629"/>
      <c r="P3" s="629"/>
      <c r="Q3" s="630"/>
      <c r="R3" s="99"/>
      <c r="S3" s="99"/>
      <c r="T3" s="99"/>
      <c r="U3" s="99"/>
      <c r="V3" s="99"/>
      <c r="W3" s="99"/>
      <c r="X3" s="99"/>
      <c r="Y3" s="99"/>
      <c r="Z3" s="99"/>
    </row>
    <row r="4" spans="2:26" ht="13.5">
      <c r="B4" s="631" t="s">
        <v>368</v>
      </c>
      <c r="C4" s="102" t="s">
        <v>369</v>
      </c>
      <c r="D4" s="103"/>
      <c r="E4" s="103"/>
      <c r="F4" s="103"/>
      <c r="G4" s="103"/>
      <c r="H4" s="103"/>
      <c r="I4" s="103"/>
      <c r="J4" s="104"/>
      <c r="K4" s="105" t="s">
        <v>369</v>
      </c>
      <c r="L4" s="103"/>
      <c r="M4" s="103"/>
      <c r="N4" s="103"/>
      <c r="O4" s="103"/>
      <c r="P4" s="103"/>
      <c r="Q4" s="104"/>
      <c r="R4" s="99"/>
      <c r="S4" s="99"/>
      <c r="T4" s="99"/>
      <c r="U4" s="99"/>
      <c r="V4" s="99"/>
      <c r="W4" s="99"/>
      <c r="X4" s="99"/>
      <c r="Y4" s="99"/>
      <c r="Z4" s="99"/>
    </row>
    <row r="5" spans="2:26" ht="18.75" customHeight="1">
      <c r="B5" s="632"/>
      <c r="C5" s="106"/>
      <c r="D5" s="619" t="s">
        <v>370</v>
      </c>
      <c r="E5" s="620"/>
      <c r="F5" s="620"/>
      <c r="G5" s="621"/>
      <c r="H5" s="622" t="s">
        <v>371</v>
      </c>
      <c r="I5" s="620"/>
      <c r="J5" s="107"/>
      <c r="K5" s="108"/>
      <c r="L5" s="619" t="s">
        <v>370</v>
      </c>
      <c r="M5" s="620"/>
      <c r="N5" s="621"/>
      <c r="O5" s="622" t="s">
        <v>372</v>
      </c>
      <c r="P5" s="620"/>
      <c r="Q5" s="107"/>
      <c r="R5" s="99"/>
      <c r="S5" s="99"/>
      <c r="T5" s="99"/>
      <c r="U5" s="99"/>
      <c r="V5" s="99"/>
      <c r="W5" s="99"/>
      <c r="X5" s="99"/>
      <c r="Y5" s="99"/>
      <c r="Z5" s="99"/>
    </row>
    <row r="6" spans="2:26" ht="18.75" customHeight="1">
      <c r="B6" s="632"/>
      <c r="C6" s="106"/>
      <c r="D6" s="619" t="s">
        <v>373</v>
      </c>
      <c r="E6" s="620"/>
      <c r="F6" s="620"/>
      <c r="G6" s="621"/>
      <c r="H6" s="622" t="s">
        <v>374</v>
      </c>
      <c r="I6" s="620"/>
      <c r="J6" s="107"/>
      <c r="K6" s="108"/>
      <c r="L6" s="619" t="s">
        <v>373</v>
      </c>
      <c r="M6" s="620"/>
      <c r="N6" s="621"/>
      <c r="O6" s="622" t="s">
        <v>375</v>
      </c>
      <c r="P6" s="620"/>
      <c r="Q6" s="107"/>
      <c r="R6" s="99"/>
      <c r="S6" s="99"/>
      <c r="T6" s="99"/>
      <c r="U6" s="99"/>
      <c r="V6" s="99"/>
      <c r="W6" s="99"/>
      <c r="X6" s="99"/>
      <c r="Y6" s="99"/>
      <c r="Z6" s="99"/>
    </row>
    <row r="7" spans="2:26" ht="18.75" customHeight="1">
      <c r="B7" s="632"/>
      <c r="C7" s="106"/>
      <c r="D7" s="619" t="s">
        <v>376</v>
      </c>
      <c r="E7" s="620"/>
      <c r="F7" s="620"/>
      <c r="G7" s="621"/>
      <c r="H7" s="622" t="s">
        <v>377</v>
      </c>
      <c r="I7" s="620"/>
      <c r="J7" s="107"/>
      <c r="K7" s="108"/>
      <c r="L7" s="619" t="s">
        <v>376</v>
      </c>
      <c r="M7" s="620"/>
      <c r="N7" s="621"/>
      <c r="O7" s="622" t="s">
        <v>378</v>
      </c>
      <c r="P7" s="620"/>
      <c r="Q7" s="107"/>
      <c r="R7" s="99"/>
      <c r="S7" s="99"/>
      <c r="T7" s="99"/>
      <c r="U7" s="99"/>
      <c r="V7" s="99"/>
      <c r="W7" s="99"/>
      <c r="X7" s="99"/>
      <c r="Y7" s="99"/>
      <c r="Z7" s="99"/>
    </row>
    <row r="8" spans="2:26" ht="18.75" customHeight="1">
      <c r="B8" s="632"/>
      <c r="C8" s="106"/>
      <c r="D8" s="619" t="s">
        <v>379</v>
      </c>
      <c r="E8" s="620"/>
      <c r="F8" s="620"/>
      <c r="G8" s="621"/>
      <c r="H8" s="622" t="s">
        <v>380</v>
      </c>
      <c r="I8" s="620"/>
      <c r="J8" s="107"/>
      <c r="K8" s="108"/>
      <c r="L8" s="619" t="s">
        <v>379</v>
      </c>
      <c r="M8" s="620"/>
      <c r="N8" s="621"/>
      <c r="O8" s="622" t="s">
        <v>380</v>
      </c>
      <c r="P8" s="620"/>
      <c r="Q8" s="107"/>
      <c r="R8" s="99"/>
      <c r="S8" s="99"/>
      <c r="T8" s="99"/>
      <c r="U8" s="99"/>
      <c r="V8" s="99"/>
      <c r="W8" s="99"/>
      <c r="X8" s="99"/>
      <c r="Y8" s="99"/>
      <c r="Z8" s="99"/>
    </row>
    <row r="9" spans="2:26" ht="8.25" customHeight="1" thickBot="1">
      <c r="B9" s="633"/>
      <c r="C9" s="109"/>
      <c r="D9" s="110"/>
      <c r="E9" s="110"/>
      <c r="F9" s="110"/>
      <c r="G9" s="110"/>
      <c r="H9" s="110"/>
      <c r="I9" s="110"/>
      <c r="J9" s="111"/>
      <c r="K9" s="112"/>
      <c r="L9" s="110"/>
      <c r="M9" s="110"/>
      <c r="N9" s="110"/>
      <c r="O9" s="110"/>
      <c r="P9" s="110"/>
      <c r="Q9" s="111"/>
      <c r="R9" s="99"/>
      <c r="S9" s="99"/>
      <c r="T9" s="99"/>
      <c r="U9" s="99"/>
      <c r="V9" s="99"/>
      <c r="W9" s="99"/>
      <c r="X9" s="99"/>
      <c r="Y9" s="99"/>
      <c r="Z9" s="99"/>
    </row>
    <row r="10" spans="2:26" ht="6.75" customHeight="1">
      <c r="B10" s="631" t="s">
        <v>381</v>
      </c>
      <c r="C10" s="102"/>
      <c r="D10" s="103"/>
      <c r="E10" s="103"/>
      <c r="F10" s="103"/>
      <c r="G10" s="103"/>
      <c r="H10" s="103"/>
      <c r="I10" s="103"/>
      <c r="J10" s="104"/>
      <c r="K10" s="105"/>
      <c r="L10" s="103"/>
      <c r="M10" s="103"/>
      <c r="N10" s="103"/>
      <c r="O10" s="103"/>
      <c r="P10" s="103"/>
      <c r="Q10" s="104"/>
      <c r="R10" s="99"/>
      <c r="S10" s="99"/>
      <c r="T10" s="99"/>
      <c r="U10" s="99"/>
      <c r="V10" s="99"/>
      <c r="W10" s="99"/>
      <c r="X10" s="99"/>
      <c r="Y10" s="99"/>
      <c r="Z10" s="99"/>
    </row>
    <row r="11" spans="2:26" ht="16.5" customHeight="1">
      <c r="B11" s="632"/>
      <c r="C11" s="106"/>
      <c r="D11" s="619" t="s">
        <v>319</v>
      </c>
      <c r="E11" s="620"/>
      <c r="F11" s="620"/>
      <c r="G11" s="622" t="s">
        <v>382</v>
      </c>
      <c r="H11" s="620"/>
      <c r="I11" s="620"/>
      <c r="J11" s="107"/>
      <c r="K11" s="108"/>
      <c r="L11" s="634" t="s">
        <v>319</v>
      </c>
      <c r="M11" s="635"/>
      <c r="N11" s="638" t="s">
        <v>383</v>
      </c>
      <c r="O11" s="639"/>
      <c r="P11" s="639"/>
      <c r="Q11" s="107"/>
      <c r="R11" s="99"/>
      <c r="S11" s="99"/>
      <c r="T11" s="99"/>
      <c r="U11" s="99"/>
      <c r="V11" s="99"/>
      <c r="W11" s="99"/>
      <c r="X11" s="99"/>
      <c r="Y11" s="99"/>
      <c r="Z11" s="99"/>
    </row>
    <row r="12" spans="2:26" ht="16.5" customHeight="1">
      <c r="B12" s="632"/>
      <c r="C12" s="106"/>
      <c r="D12" s="619" t="s">
        <v>384</v>
      </c>
      <c r="E12" s="620"/>
      <c r="F12" s="620"/>
      <c r="G12" s="622" t="s">
        <v>385</v>
      </c>
      <c r="H12" s="620"/>
      <c r="I12" s="620"/>
      <c r="J12" s="107"/>
      <c r="K12" s="108"/>
      <c r="L12" s="636"/>
      <c r="M12" s="637"/>
      <c r="N12" s="640"/>
      <c r="O12" s="636"/>
      <c r="P12" s="636"/>
      <c r="Q12" s="107"/>
      <c r="R12" s="99"/>
      <c r="S12" s="99"/>
      <c r="T12" s="99"/>
      <c r="U12" s="99"/>
      <c r="V12" s="99"/>
      <c r="W12" s="99"/>
      <c r="X12" s="99"/>
      <c r="Y12" s="99"/>
      <c r="Z12" s="99"/>
    </row>
    <row r="13" spans="2:26" ht="16.5" customHeight="1">
      <c r="B13" s="632"/>
      <c r="C13" s="106"/>
      <c r="D13" s="619" t="s">
        <v>386</v>
      </c>
      <c r="E13" s="620"/>
      <c r="F13" s="620"/>
      <c r="G13" s="622" t="s">
        <v>387</v>
      </c>
      <c r="H13" s="620"/>
      <c r="I13" s="620"/>
      <c r="J13" s="107"/>
      <c r="K13" s="108"/>
      <c r="L13" s="619" t="s">
        <v>388</v>
      </c>
      <c r="M13" s="621"/>
      <c r="N13" s="622" t="s">
        <v>387</v>
      </c>
      <c r="O13" s="620"/>
      <c r="P13" s="620"/>
      <c r="Q13" s="107"/>
      <c r="R13" s="99"/>
      <c r="S13" s="99"/>
      <c r="T13" s="99"/>
      <c r="U13" s="99"/>
      <c r="V13" s="99"/>
      <c r="W13" s="99"/>
      <c r="X13" s="99"/>
      <c r="Y13" s="99"/>
      <c r="Z13" s="99"/>
    </row>
    <row r="14" spans="2:26" ht="6.75" customHeight="1" thickBot="1">
      <c r="B14" s="633"/>
      <c r="C14" s="109"/>
      <c r="D14" s="110"/>
      <c r="E14" s="110"/>
      <c r="F14" s="110"/>
      <c r="G14" s="110"/>
      <c r="H14" s="110"/>
      <c r="I14" s="110"/>
      <c r="J14" s="111"/>
      <c r="K14" s="112"/>
      <c r="L14" s="110"/>
      <c r="M14" s="110"/>
      <c r="N14" s="110"/>
      <c r="O14" s="110"/>
      <c r="P14" s="110"/>
      <c r="Q14" s="111"/>
      <c r="R14" s="99"/>
      <c r="S14" s="99"/>
      <c r="T14" s="99"/>
      <c r="U14" s="99"/>
      <c r="V14" s="99"/>
      <c r="W14" s="99"/>
      <c r="X14" s="99"/>
      <c r="Y14" s="99"/>
      <c r="Z14" s="99"/>
    </row>
    <row r="15" spans="2:26" ht="6.75" customHeight="1">
      <c r="B15" s="631" t="s">
        <v>389</v>
      </c>
      <c r="C15" s="102"/>
      <c r="D15" s="103"/>
      <c r="E15" s="103"/>
      <c r="F15" s="103"/>
      <c r="G15" s="103"/>
      <c r="H15" s="103"/>
      <c r="I15" s="103"/>
      <c r="J15" s="104"/>
      <c r="K15" s="105"/>
      <c r="L15" s="103"/>
      <c r="M15" s="103"/>
      <c r="N15" s="103"/>
      <c r="O15" s="103"/>
      <c r="P15" s="103"/>
      <c r="Q15" s="104"/>
      <c r="R15" s="99"/>
      <c r="S15" s="99"/>
      <c r="T15" s="99"/>
      <c r="U15" s="99"/>
      <c r="V15" s="99"/>
      <c r="W15" s="99"/>
      <c r="X15" s="99"/>
      <c r="Y15" s="99"/>
      <c r="Z15" s="99"/>
    </row>
    <row r="16" spans="2:26" ht="20.25" customHeight="1">
      <c r="B16" s="632"/>
      <c r="C16" s="106"/>
      <c r="D16" s="619" t="s">
        <v>390</v>
      </c>
      <c r="E16" s="620"/>
      <c r="F16" s="620"/>
      <c r="G16" s="621"/>
      <c r="H16" s="622">
        <v>1</v>
      </c>
      <c r="I16" s="620"/>
      <c r="J16" s="107"/>
      <c r="K16" s="108"/>
      <c r="L16" s="619" t="s">
        <v>390</v>
      </c>
      <c r="M16" s="620"/>
      <c r="N16" s="621"/>
      <c r="O16" s="622" t="s">
        <v>391</v>
      </c>
      <c r="P16" s="620"/>
      <c r="Q16" s="107"/>
      <c r="R16" s="99"/>
      <c r="S16" s="99"/>
      <c r="T16" s="99"/>
      <c r="U16" s="99"/>
      <c r="V16" s="99"/>
      <c r="W16" s="99"/>
      <c r="X16" s="99"/>
      <c r="Y16" s="99"/>
      <c r="Z16" s="99"/>
    </row>
    <row r="17" spans="2:26" ht="20.25" customHeight="1">
      <c r="B17" s="632"/>
      <c r="C17" s="106"/>
      <c r="D17" s="619" t="s">
        <v>392</v>
      </c>
      <c r="E17" s="620"/>
      <c r="F17" s="620"/>
      <c r="G17" s="621"/>
      <c r="H17" s="622">
        <v>179</v>
      </c>
      <c r="I17" s="620"/>
      <c r="J17" s="107"/>
      <c r="K17" s="108"/>
      <c r="L17" s="619" t="s">
        <v>393</v>
      </c>
      <c r="M17" s="620"/>
      <c r="N17" s="621"/>
      <c r="O17" s="622" t="s">
        <v>394</v>
      </c>
      <c r="P17" s="620"/>
      <c r="Q17" s="107"/>
      <c r="R17" s="99"/>
      <c r="S17" s="99"/>
      <c r="T17" s="99"/>
      <c r="U17" s="99"/>
      <c r="V17" s="99"/>
      <c r="W17" s="99"/>
      <c r="X17" s="99"/>
      <c r="Y17" s="99"/>
      <c r="Z17" s="99"/>
    </row>
    <row r="18" spans="2:26" ht="20.25" customHeight="1">
      <c r="B18" s="632"/>
      <c r="C18" s="106"/>
      <c r="D18" s="619" t="s">
        <v>395</v>
      </c>
      <c r="E18" s="620"/>
      <c r="F18" s="620"/>
      <c r="G18" s="621"/>
      <c r="H18" s="622">
        <v>368</v>
      </c>
      <c r="I18" s="620"/>
      <c r="J18" s="107"/>
      <c r="K18" s="108"/>
      <c r="L18" s="619" t="s">
        <v>396</v>
      </c>
      <c r="M18" s="620"/>
      <c r="N18" s="621"/>
      <c r="O18" s="622" t="s">
        <v>397</v>
      </c>
      <c r="P18" s="620"/>
      <c r="Q18" s="107"/>
      <c r="R18" s="99"/>
      <c r="S18" s="99"/>
      <c r="T18" s="99"/>
      <c r="U18" s="99"/>
      <c r="V18" s="99"/>
      <c r="W18" s="99"/>
      <c r="X18" s="99"/>
      <c r="Y18" s="99"/>
      <c r="Z18" s="99"/>
    </row>
    <row r="19" spans="2:26" ht="20.25" customHeight="1">
      <c r="B19" s="632"/>
      <c r="C19" s="106"/>
      <c r="D19" s="619" t="s">
        <v>398</v>
      </c>
      <c r="E19" s="620"/>
      <c r="F19" s="620"/>
      <c r="G19" s="621"/>
      <c r="H19" s="622">
        <v>548</v>
      </c>
      <c r="I19" s="620"/>
      <c r="J19" s="107"/>
      <c r="K19" s="108"/>
      <c r="L19" s="619" t="s">
        <v>398</v>
      </c>
      <c r="M19" s="620"/>
      <c r="N19" s="621"/>
      <c r="O19" s="622" t="s">
        <v>399</v>
      </c>
      <c r="P19" s="620"/>
      <c r="Q19" s="107"/>
      <c r="R19" s="99"/>
      <c r="S19" s="99"/>
      <c r="T19" s="99"/>
      <c r="U19" s="99"/>
      <c r="V19" s="99"/>
      <c r="W19" s="99"/>
      <c r="X19" s="99"/>
      <c r="Y19" s="99"/>
      <c r="Z19" s="99"/>
    </row>
    <row r="20" spans="2:26" ht="5.25" customHeight="1" thickBot="1">
      <c r="B20" s="633"/>
      <c r="C20" s="109"/>
      <c r="D20" s="110"/>
      <c r="E20" s="110"/>
      <c r="F20" s="110"/>
      <c r="G20" s="110"/>
      <c r="H20" s="110"/>
      <c r="I20" s="110"/>
      <c r="J20" s="111"/>
      <c r="K20" s="112"/>
      <c r="L20" s="110"/>
      <c r="M20" s="110"/>
      <c r="N20" s="110"/>
      <c r="O20" s="110"/>
      <c r="P20" s="110"/>
      <c r="Q20" s="111"/>
      <c r="R20" s="99"/>
      <c r="S20" s="99"/>
      <c r="T20" s="99"/>
      <c r="U20" s="99"/>
      <c r="V20" s="99"/>
      <c r="W20" s="99"/>
      <c r="X20" s="99"/>
      <c r="Y20" s="99"/>
      <c r="Z20" s="99"/>
    </row>
    <row r="21" spans="2:26" ht="5.25" customHeight="1">
      <c r="B21" s="631" t="s">
        <v>400</v>
      </c>
      <c r="C21" s="102"/>
      <c r="D21" s="103"/>
      <c r="E21" s="103"/>
      <c r="F21" s="103"/>
      <c r="G21" s="103"/>
      <c r="H21" s="103"/>
      <c r="I21" s="103"/>
      <c r="J21" s="104"/>
      <c r="K21" s="105"/>
      <c r="L21" s="103"/>
      <c r="M21" s="103"/>
      <c r="N21" s="103"/>
      <c r="O21" s="103"/>
      <c r="P21" s="103"/>
      <c r="Q21" s="104"/>
      <c r="R21" s="99"/>
      <c r="S21" s="99"/>
      <c r="T21" s="99"/>
      <c r="U21" s="99"/>
      <c r="V21" s="99"/>
      <c r="W21" s="99"/>
      <c r="X21" s="99"/>
      <c r="Y21" s="99"/>
      <c r="Z21" s="99"/>
    </row>
    <row r="22" spans="2:26" ht="27.75" thickBot="1">
      <c r="B22" s="632"/>
      <c r="C22" s="106"/>
      <c r="D22" s="113"/>
      <c r="E22" s="114"/>
      <c r="F22" s="115" t="s">
        <v>401</v>
      </c>
      <c r="G22" s="115" t="s">
        <v>402</v>
      </c>
      <c r="H22" s="115" t="s">
        <v>403</v>
      </c>
      <c r="I22" s="116" t="s">
        <v>404</v>
      </c>
      <c r="J22" s="117"/>
      <c r="K22" s="118"/>
      <c r="L22" s="113"/>
      <c r="M22" s="115" t="s">
        <v>402</v>
      </c>
      <c r="N22" s="115" t="s">
        <v>405</v>
      </c>
      <c r="O22" s="641" t="s">
        <v>404</v>
      </c>
      <c r="P22" s="642"/>
      <c r="Q22" s="107"/>
      <c r="R22" s="99"/>
      <c r="S22" s="99"/>
      <c r="T22" s="99"/>
      <c r="U22" s="99"/>
      <c r="V22" s="99"/>
      <c r="W22" s="99"/>
      <c r="X22" s="99"/>
      <c r="Y22" s="99"/>
      <c r="Z22" s="99"/>
    </row>
    <row r="23" spans="2:26" ht="14.25" thickTop="1">
      <c r="B23" s="632"/>
      <c r="C23" s="106"/>
      <c r="D23" s="643" t="s">
        <v>402</v>
      </c>
      <c r="E23" s="645" t="s">
        <v>406</v>
      </c>
      <c r="F23" s="645" t="s">
        <v>407</v>
      </c>
      <c r="G23" s="119" t="s">
        <v>408</v>
      </c>
      <c r="H23" s="119" t="s">
        <v>409</v>
      </c>
      <c r="I23" s="648">
        <v>24</v>
      </c>
      <c r="J23" s="117"/>
      <c r="K23" s="118"/>
      <c r="L23" s="643" t="s">
        <v>410</v>
      </c>
      <c r="M23" s="120" t="s">
        <v>408</v>
      </c>
      <c r="N23" s="120" t="s">
        <v>411</v>
      </c>
      <c r="O23" s="648">
        <v>24</v>
      </c>
      <c r="P23" s="656"/>
      <c r="Q23" s="107"/>
      <c r="R23" s="99"/>
      <c r="S23" s="99"/>
      <c r="T23" s="99"/>
      <c r="U23" s="99"/>
      <c r="V23" s="99"/>
      <c r="W23" s="99"/>
      <c r="X23" s="99"/>
      <c r="Y23" s="99"/>
      <c r="Z23" s="99"/>
    </row>
    <row r="24" spans="2:26" ht="13.5">
      <c r="B24" s="632"/>
      <c r="C24" s="106"/>
      <c r="D24" s="644"/>
      <c r="E24" s="646"/>
      <c r="F24" s="646"/>
      <c r="G24" s="121" t="s">
        <v>412</v>
      </c>
      <c r="H24" s="121" t="s">
        <v>413</v>
      </c>
      <c r="I24" s="649"/>
      <c r="J24" s="117"/>
      <c r="K24" s="118"/>
      <c r="L24" s="644"/>
      <c r="M24" s="122" t="s">
        <v>412</v>
      </c>
      <c r="N24" s="122" t="s">
        <v>414</v>
      </c>
      <c r="O24" s="649"/>
      <c r="P24" s="657"/>
      <c r="Q24" s="107"/>
      <c r="R24" s="99"/>
      <c r="S24" s="99"/>
      <c r="T24" s="99"/>
      <c r="U24" s="99"/>
      <c r="V24" s="99"/>
      <c r="W24" s="99"/>
      <c r="X24" s="99"/>
      <c r="Y24" s="99"/>
      <c r="Z24" s="99"/>
    </row>
    <row r="25" spans="2:26" ht="13.5">
      <c r="B25" s="632"/>
      <c r="C25" s="106"/>
      <c r="D25" s="644"/>
      <c r="E25" s="646"/>
      <c r="F25" s="646"/>
      <c r="G25" s="121" t="s">
        <v>415</v>
      </c>
      <c r="H25" s="121" t="s">
        <v>416</v>
      </c>
      <c r="I25" s="650"/>
      <c r="J25" s="117"/>
      <c r="K25" s="118"/>
      <c r="L25" s="644"/>
      <c r="M25" s="122" t="s">
        <v>415</v>
      </c>
      <c r="N25" s="122" t="s">
        <v>417</v>
      </c>
      <c r="O25" s="640"/>
      <c r="P25" s="636"/>
      <c r="Q25" s="107"/>
      <c r="R25" s="99"/>
      <c r="S25" s="99"/>
      <c r="T25" s="99"/>
      <c r="U25" s="99"/>
      <c r="V25" s="99"/>
      <c r="W25" s="99"/>
      <c r="X25" s="99"/>
      <c r="Y25" s="99"/>
      <c r="Z25" s="99"/>
    </row>
    <row r="26" spans="2:26" ht="13.5">
      <c r="B26" s="632"/>
      <c r="C26" s="106"/>
      <c r="D26" s="644"/>
      <c r="E26" s="646"/>
      <c r="F26" s="647"/>
      <c r="G26" s="123" t="s">
        <v>418</v>
      </c>
      <c r="H26" s="123" t="s">
        <v>419</v>
      </c>
      <c r="I26" s="124">
        <v>6</v>
      </c>
      <c r="J26" s="117"/>
      <c r="K26" s="118"/>
      <c r="L26" s="644"/>
      <c r="M26" s="658" t="s">
        <v>420</v>
      </c>
      <c r="N26" s="125" t="s">
        <v>421</v>
      </c>
      <c r="O26" s="659">
        <v>6</v>
      </c>
      <c r="P26" s="660"/>
      <c r="Q26" s="107"/>
      <c r="R26" s="99"/>
      <c r="S26" s="99"/>
      <c r="T26" s="99"/>
      <c r="U26" s="99"/>
      <c r="V26" s="99"/>
      <c r="W26" s="99"/>
      <c r="X26" s="99"/>
      <c r="Y26" s="99"/>
      <c r="Z26" s="99"/>
    </row>
    <row r="27" spans="2:26" ht="40.5">
      <c r="B27" s="632"/>
      <c r="C27" s="106"/>
      <c r="D27" s="644"/>
      <c r="E27" s="646"/>
      <c r="F27" s="658" t="s">
        <v>422</v>
      </c>
      <c r="G27" s="125" t="s">
        <v>420</v>
      </c>
      <c r="H27" s="125" t="s">
        <v>423</v>
      </c>
      <c r="I27" s="661">
        <v>12</v>
      </c>
      <c r="J27" s="117"/>
      <c r="K27" s="118"/>
      <c r="L27" s="644"/>
      <c r="M27" s="647"/>
      <c r="N27" s="123" t="s">
        <v>424</v>
      </c>
      <c r="O27" s="662">
        <v>12</v>
      </c>
      <c r="P27" s="663"/>
      <c r="Q27" s="107"/>
      <c r="R27" s="99"/>
      <c r="S27" s="99"/>
      <c r="T27" s="99"/>
      <c r="U27" s="99"/>
      <c r="V27" s="99"/>
      <c r="W27" s="99"/>
      <c r="X27" s="99"/>
      <c r="Y27" s="99"/>
      <c r="Z27" s="99"/>
    </row>
    <row r="28" spans="2:26" ht="13.5">
      <c r="B28" s="632"/>
      <c r="C28" s="106"/>
      <c r="D28" s="644"/>
      <c r="E28" s="646"/>
      <c r="F28" s="647"/>
      <c r="G28" s="123" t="s">
        <v>425</v>
      </c>
      <c r="H28" s="123" t="s">
        <v>426</v>
      </c>
      <c r="I28" s="640"/>
      <c r="J28" s="117"/>
      <c r="K28" s="118"/>
      <c r="L28" s="644"/>
      <c r="M28" s="122" t="s">
        <v>425</v>
      </c>
      <c r="N28" s="122" t="s">
        <v>427</v>
      </c>
      <c r="O28" s="640"/>
      <c r="P28" s="636"/>
      <c r="Q28" s="107"/>
      <c r="R28" s="99"/>
      <c r="S28" s="99"/>
      <c r="T28" s="99"/>
      <c r="U28" s="99"/>
      <c r="V28" s="99"/>
      <c r="W28" s="99"/>
      <c r="X28" s="99"/>
      <c r="Y28" s="99"/>
      <c r="Z28" s="99"/>
    </row>
    <row r="29" spans="2:26" ht="13.5">
      <c r="B29" s="632"/>
      <c r="C29" s="106"/>
      <c r="D29" s="644"/>
      <c r="E29" s="646"/>
      <c r="F29" s="658" t="s">
        <v>428</v>
      </c>
      <c r="G29" s="125" t="s">
        <v>429</v>
      </c>
      <c r="H29" s="126"/>
      <c r="I29" s="127">
        <v>8</v>
      </c>
      <c r="J29" s="117"/>
      <c r="K29" s="118"/>
      <c r="L29" s="644"/>
      <c r="M29" s="122" t="s">
        <v>429</v>
      </c>
      <c r="N29" s="128"/>
      <c r="O29" s="653">
        <v>8</v>
      </c>
      <c r="P29" s="620"/>
      <c r="Q29" s="107"/>
      <c r="R29" s="99"/>
      <c r="S29" s="99"/>
      <c r="T29" s="99"/>
      <c r="U29" s="99"/>
      <c r="V29" s="99"/>
      <c r="W29" s="99"/>
      <c r="X29" s="99"/>
      <c r="Y29" s="99"/>
      <c r="Z29" s="99"/>
    </row>
    <row r="30" spans="2:26" ht="13.5">
      <c r="B30" s="632"/>
      <c r="C30" s="106"/>
      <c r="D30" s="644"/>
      <c r="E30" s="646"/>
      <c r="F30" s="647"/>
      <c r="G30" s="123" t="s">
        <v>430</v>
      </c>
      <c r="H30" s="129"/>
      <c r="I30" s="124">
        <v>6</v>
      </c>
      <c r="J30" s="117"/>
      <c r="K30" s="118"/>
      <c r="L30" s="644"/>
      <c r="M30" s="122" t="s">
        <v>430</v>
      </c>
      <c r="N30" s="128"/>
      <c r="O30" s="653">
        <v>6</v>
      </c>
      <c r="P30" s="620"/>
      <c r="Q30" s="107"/>
      <c r="R30" s="99"/>
      <c r="S30" s="99"/>
      <c r="T30" s="99"/>
      <c r="U30" s="99"/>
      <c r="V30" s="99"/>
      <c r="W30" s="99"/>
      <c r="X30" s="99"/>
      <c r="Y30" s="99"/>
      <c r="Z30" s="99"/>
    </row>
    <row r="31" spans="2:26" ht="54">
      <c r="B31" s="632"/>
      <c r="C31" s="106"/>
      <c r="D31" s="644"/>
      <c r="E31" s="646"/>
      <c r="F31" s="122" t="s">
        <v>431</v>
      </c>
      <c r="G31" s="122" t="s">
        <v>432</v>
      </c>
      <c r="H31" s="128"/>
      <c r="I31" s="130">
        <v>10</v>
      </c>
      <c r="J31" s="117"/>
      <c r="K31" s="118"/>
      <c r="L31" s="644"/>
      <c r="M31" s="122" t="s">
        <v>433</v>
      </c>
      <c r="N31" s="128"/>
      <c r="O31" s="653">
        <v>8</v>
      </c>
      <c r="P31" s="620"/>
      <c r="Q31" s="107"/>
      <c r="R31" s="99"/>
      <c r="S31" s="99"/>
      <c r="T31" s="99"/>
      <c r="U31" s="99"/>
      <c r="V31" s="99"/>
      <c r="W31" s="99"/>
      <c r="X31" s="99"/>
      <c r="Y31" s="99"/>
      <c r="Z31" s="99"/>
    </row>
    <row r="32" spans="2:26" ht="18.75" customHeight="1">
      <c r="B32" s="632"/>
      <c r="C32" s="106"/>
      <c r="D32" s="644"/>
      <c r="E32" s="647"/>
      <c r="F32" s="654" t="s">
        <v>398</v>
      </c>
      <c r="G32" s="620"/>
      <c r="H32" s="621"/>
      <c r="I32" s="131">
        <v>66</v>
      </c>
      <c r="J32" s="117"/>
      <c r="K32" s="118"/>
      <c r="L32" s="637"/>
      <c r="M32" s="654" t="s">
        <v>398</v>
      </c>
      <c r="N32" s="621"/>
      <c r="O32" s="655">
        <v>64</v>
      </c>
      <c r="P32" s="620"/>
      <c r="Q32" s="107"/>
      <c r="R32" s="99"/>
      <c r="S32" s="99"/>
      <c r="T32" s="99"/>
      <c r="U32" s="99"/>
      <c r="V32" s="99"/>
      <c r="W32" s="99"/>
      <c r="X32" s="99"/>
      <c r="Y32" s="99"/>
      <c r="Z32" s="99"/>
    </row>
    <row r="33" spans="2:26" ht="35.25" customHeight="1">
      <c r="B33" s="632"/>
      <c r="C33" s="106"/>
      <c r="D33" s="637"/>
      <c r="E33" s="132" t="s">
        <v>434</v>
      </c>
      <c r="F33" s="654" t="s">
        <v>435</v>
      </c>
      <c r="G33" s="620"/>
      <c r="H33" s="621"/>
      <c r="I33" s="131">
        <v>86</v>
      </c>
      <c r="J33" s="117"/>
      <c r="K33" s="118"/>
      <c r="L33" s="133" t="s">
        <v>436</v>
      </c>
      <c r="M33" s="654" t="s">
        <v>437</v>
      </c>
      <c r="N33" s="621"/>
      <c r="O33" s="655">
        <v>80</v>
      </c>
      <c r="P33" s="620"/>
      <c r="Q33" s="107"/>
      <c r="R33" s="99"/>
      <c r="S33" s="99"/>
      <c r="T33" s="99"/>
      <c r="U33" s="99"/>
      <c r="V33" s="99"/>
      <c r="W33" s="99"/>
      <c r="X33" s="99"/>
      <c r="Y33" s="99"/>
      <c r="Z33" s="99"/>
    </row>
    <row r="34" spans="2:26" ht="21.75" customHeight="1">
      <c r="B34" s="632"/>
      <c r="C34" s="106"/>
      <c r="D34" s="651" t="s">
        <v>376</v>
      </c>
      <c r="E34" s="620"/>
      <c r="F34" s="620"/>
      <c r="G34" s="620"/>
      <c r="H34" s="621"/>
      <c r="I34" s="134">
        <v>22</v>
      </c>
      <c r="J34" s="117"/>
      <c r="K34" s="118"/>
      <c r="L34" s="651" t="s">
        <v>376</v>
      </c>
      <c r="M34" s="620"/>
      <c r="N34" s="621"/>
      <c r="O34" s="652">
        <v>30</v>
      </c>
      <c r="P34" s="620"/>
      <c r="Q34" s="107"/>
      <c r="R34" s="99"/>
      <c r="S34" s="99"/>
      <c r="T34" s="99"/>
      <c r="U34" s="99"/>
      <c r="V34" s="99"/>
      <c r="W34" s="99"/>
      <c r="X34" s="99"/>
      <c r="Y34" s="99"/>
      <c r="Z34" s="99"/>
    </row>
    <row r="35" spans="2:26" ht="24" customHeight="1">
      <c r="B35" s="632"/>
      <c r="C35" s="106"/>
      <c r="D35" s="651" t="s">
        <v>379</v>
      </c>
      <c r="E35" s="620"/>
      <c r="F35" s="620"/>
      <c r="G35" s="620"/>
      <c r="H35" s="621"/>
      <c r="I35" s="134">
        <v>18</v>
      </c>
      <c r="J35" s="117"/>
      <c r="K35" s="118"/>
      <c r="L35" s="651" t="s">
        <v>379</v>
      </c>
      <c r="M35" s="620"/>
      <c r="N35" s="621"/>
      <c r="O35" s="652">
        <v>18</v>
      </c>
      <c r="P35" s="620"/>
      <c r="Q35" s="107"/>
      <c r="R35" s="99"/>
      <c r="S35" s="99"/>
      <c r="T35" s="99"/>
      <c r="U35" s="99"/>
      <c r="V35" s="99"/>
      <c r="W35" s="99"/>
      <c r="X35" s="99"/>
      <c r="Y35" s="99"/>
      <c r="Z35" s="99"/>
    </row>
    <row r="36" spans="2:26" ht="13.5">
      <c r="B36" s="632"/>
      <c r="C36" s="106"/>
      <c r="D36" s="664" t="s">
        <v>438</v>
      </c>
      <c r="E36" s="620"/>
      <c r="F36" s="620"/>
      <c r="G36" s="620"/>
      <c r="H36" s="621"/>
      <c r="I36" s="131">
        <v>192</v>
      </c>
      <c r="J36" s="117"/>
      <c r="K36" s="118"/>
      <c r="L36" s="664" t="s">
        <v>438</v>
      </c>
      <c r="M36" s="620"/>
      <c r="N36" s="621"/>
      <c r="O36" s="655">
        <v>192</v>
      </c>
      <c r="P36" s="620"/>
      <c r="Q36" s="107"/>
      <c r="R36" s="99"/>
      <c r="S36" s="99"/>
      <c r="T36" s="99"/>
      <c r="U36" s="99"/>
      <c r="V36" s="99"/>
      <c r="W36" s="99"/>
      <c r="X36" s="99"/>
      <c r="Y36" s="99"/>
      <c r="Z36" s="99"/>
    </row>
    <row r="37" spans="2:26" ht="5.25" customHeight="1" thickBot="1">
      <c r="B37" s="633"/>
      <c r="C37" s="109"/>
      <c r="D37" s="110"/>
      <c r="E37" s="110"/>
      <c r="F37" s="110"/>
      <c r="G37" s="110"/>
      <c r="H37" s="110"/>
      <c r="I37" s="110"/>
      <c r="J37" s="111"/>
      <c r="K37" s="112"/>
      <c r="L37" s="110"/>
      <c r="M37" s="110"/>
      <c r="N37" s="110"/>
      <c r="O37" s="110"/>
      <c r="P37" s="110"/>
      <c r="Q37" s="111"/>
      <c r="R37" s="99"/>
      <c r="S37" s="99"/>
      <c r="T37" s="99"/>
      <c r="U37" s="99"/>
      <c r="V37" s="99"/>
      <c r="W37" s="99"/>
      <c r="X37" s="99"/>
      <c r="Y37" s="99"/>
      <c r="Z37" s="99"/>
    </row>
    <row r="38" spans="2:26" ht="5.25" customHeight="1">
      <c r="B38" s="631" t="s">
        <v>439</v>
      </c>
      <c r="C38" s="102"/>
      <c r="D38" s="103"/>
      <c r="E38" s="103"/>
      <c r="F38" s="103"/>
      <c r="G38" s="103"/>
      <c r="H38" s="103"/>
      <c r="I38" s="103"/>
      <c r="J38" s="104"/>
      <c r="K38" s="105"/>
      <c r="L38" s="103"/>
      <c r="M38" s="103"/>
      <c r="N38" s="103"/>
      <c r="O38" s="103"/>
      <c r="P38" s="103"/>
      <c r="Q38" s="104"/>
      <c r="R38" s="99"/>
      <c r="S38" s="99"/>
      <c r="T38" s="99"/>
      <c r="U38" s="99"/>
      <c r="V38" s="99"/>
      <c r="W38" s="99"/>
      <c r="X38" s="99"/>
      <c r="Y38" s="99"/>
      <c r="Z38" s="99"/>
    </row>
    <row r="39" spans="2:26" ht="13.5">
      <c r="B39" s="632"/>
      <c r="C39" s="106" t="s">
        <v>440</v>
      </c>
      <c r="D39" s="135"/>
      <c r="E39" s="135"/>
      <c r="F39" s="135"/>
      <c r="G39" s="135"/>
      <c r="H39" s="135"/>
      <c r="I39" s="135"/>
      <c r="J39" s="107"/>
      <c r="K39" s="108"/>
      <c r="L39" s="135" t="s">
        <v>441</v>
      </c>
      <c r="M39" s="135"/>
      <c r="N39" s="135"/>
      <c r="O39" s="135"/>
      <c r="P39" s="135"/>
      <c r="Q39" s="107"/>
      <c r="R39" s="99"/>
      <c r="S39" s="99"/>
      <c r="T39" s="99"/>
      <c r="U39" s="99"/>
      <c r="V39" s="99"/>
      <c r="W39" s="99"/>
      <c r="X39" s="99"/>
      <c r="Y39" s="99"/>
      <c r="Z39" s="99"/>
    </row>
    <row r="40" spans="2:26" ht="13.5">
      <c r="B40" s="632"/>
      <c r="C40" s="106" t="s">
        <v>442</v>
      </c>
      <c r="D40" s="135"/>
      <c r="E40" s="135"/>
      <c r="F40" s="135"/>
      <c r="G40" s="135"/>
      <c r="H40" s="135"/>
      <c r="I40" s="135"/>
      <c r="J40" s="107"/>
      <c r="K40" s="108"/>
      <c r="L40" s="135" t="s">
        <v>443</v>
      </c>
      <c r="M40" s="135"/>
      <c r="N40" s="135"/>
      <c r="O40" s="135"/>
      <c r="P40" s="135"/>
      <c r="Q40" s="107"/>
      <c r="R40" s="99"/>
      <c r="S40" s="99"/>
      <c r="T40" s="99"/>
      <c r="U40" s="99"/>
      <c r="V40" s="99"/>
      <c r="W40" s="99"/>
      <c r="X40" s="99"/>
      <c r="Y40" s="99"/>
      <c r="Z40" s="99"/>
    </row>
    <row r="41" spans="2:26" ht="5.25" customHeight="1" thickBot="1">
      <c r="B41" s="633"/>
      <c r="C41" s="109"/>
      <c r="D41" s="110"/>
      <c r="E41" s="110"/>
      <c r="F41" s="110"/>
      <c r="G41" s="110"/>
      <c r="H41" s="110"/>
      <c r="I41" s="110"/>
      <c r="J41" s="111"/>
      <c r="K41" s="112"/>
      <c r="L41" s="110"/>
      <c r="M41" s="110"/>
      <c r="N41" s="110"/>
      <c r="O41" s="110"/>
      <c r="P41" s="110"/>
      <c r="Q41" s="111"/>
      <c r="R41" s="99"/>
      <c r="S41" s="99"/>
      <c r="T41" s="99"/>
      <c r="U41" s="99"/>
      <c r="V41" s="99"/>
      <c r="W41" s="99"/>
      <c r="X41" s="99"/>
      <c r="Y41" s="99"/>
      <c r="Z41" s="99"/>
    </row>
    <row r="42" spans="2:26" ht="5.25" customHeight="1">
      <c r="B42" s="631" t="s">
        <v>444</v>
      </c>
      <c r="C42" s="102"/>
      <c r="D42" s="103"/>
      <c r="E42" s="103"/>
      <c r="F42" s="103"/>
      <c r="G42" s="103"/>
      <c r="H42" s="103"/>
      <c r="I42" s="103"/>
      <c r="J42" s="104"/>
      <c r="K42" s="105"/>
      <c r="L42" s="103"/>
      <c r="M42" s="103"/>
      <c r="N42" s="103"/>
      <c r="O42" s="103"/>
      <c r="P42" s="103"/>
      <c r="Q42" s="104"/>
      <c r="R42" s="99"/>
      <c r="S42" s="99"/>
      <c r="T42" s="99"/>
      <c r="U42" s="99"/>
      <c r="V42" s="99"/>
      <c r="W42" s="99"/>
      <c r="X42" s="99"/>
      <c r="Y42" s="99"/>
      <c r="Z42" s="99"/>
    </row>
    <row r="43" spans="2:26" ht="13.5">
      <c r="B43" s="632"/>
      <c r="C43" s="106"/>
      <c r="D43" s="135" t="s">
        <v>445</v>
      </c>
      <c r="E43" s="135"/>
      <c r="F43" s="135"/>
      <c r="G43" s="135"/>
      <c r="H43" s="135"/>
      <c r="I43" s="135"/>
      <c r="J43" s="107"/>
      <c r="K43" s="108"/>
      <c r="L43" s="135" t="s">
        <v>446</v>
      </c>
      <c r="M43" s="135"/>
      <c r="N43" s="135"/>
      <c r="O43" s="135"/>
      <c r="P43" s="135"/>
      <c r="Q43" s="107"/>
      <c r="R43" s="99"/>
      <c r="S43" s="99"/>
      <c r="T43" s="99"/>
      <c r="U43" s="99"/>
      <c r="V43" s="99"/>
      <c r="W43" s="99"/>
      <c r="X43" s="99"/>
      <c r="Y43" s="99"/>
      <c r="Z43" s="99"/>
    </row>
    <row r="44" spans="2:26" ht="13.5">
      <c r="B44" s="632"/>
      <c r="C44" s="106"/>
      <c r="D44" s="135" t="s">
        <v>447</v>
      </c>
      <c r="E44" s="136"/>
      <c r="F44" s="136"/>
      <c r="G44" s="136"/>
      <c r="H44" s="136"/>
      <c r="I44" s="136"/>
      <c r="J44" s="107"/>
      <c r="K44" s="108"/>
      <c r="L44" s="135"/>
      <c r="M44" s="135"/>
      <c r="N44" s="135"/>
      <c r="O44" s="135"/>
      <c r="P44" s="135"/>
      <c r="Q44" s="107"/>
      <c r="R44" s="99"/>
      <c r="S44" s="99"/>
      <c r="T44" s="99"/>
      <c r="U44" s="99"/>
      <c r="V44" s="99"/>
      <c r="W44" s="99"/>
      <c r="X44" s="99"/>
      <c r="Y44" s="99"/>
      <c r="Z44" s="99"/>
    </row>
    <row r="45" spans="2:26" ht="13.5">
      <c r="B45" s="632"/>
      <c r="C45" s="106"/>
      <c r="D45" s="665" t="s">
        <v>365</v>
      </c>
      <c r="E45" s="620"/>
      <c r="F45" s="621"/>
      <c r="G45" s="666" t="s">
        <v>448</v>
      </c>
      <c r="H45" s="621"/>
      <c r="I45" s="137" t="s">
        <v>449</v>
      </c>
      <c r="J45" s="107"/>
      <c r="K45" s="108"/>
      <c r="L45" s="665" t="s">
        <v>365</v>
      </c>
      <c r="M45" s="621"/>
      <c r="N45" s="666" t="s">
        <v>448</v>
      </c>
      <c r="O45" s="621"/>
      <c r="P45" s="137" t="s">
        <v>450</v>
      </c>
      <c r="Q45" s="107"/>
      <c r="R45" s="99"/>
      <c r="S45" s="99"/>
      <c r="T45" s="99"/>
      <c r="U45" s="99"/>
      <c r="V45" s="99"/>
      <c r="W45" s="99"/>
      <c r="X45" s="99"/>
      <c r="Y45" s="99"/>
      <c r="Z45" s="99"/>
    </row>
    <row r="46" spans="2:26" ht="38.25" customHeight="1">
      <c r="B46" s="632"/>
      <c r="C46" s="106"/>
      <c r="D46" s="619" t="s">
        <v>451</v>
      </c>
      <c r="E46" s="621"/>
      <c r="F46" s="138">
        <v>1</v>
      </c>
      <c r="G46" s="667" t="s">
        <v>452</v>
      </c>
      <c r="H46" s="621"/>
      <c r="I46" s="668">
        <v>86</v>
      </c>
      <c r="J46" s="107"/>
      <c r="K46" s="108"/>
      <c r="L46" s="139" t="s">
        <v>451</v>
      </c>
      <c r="M46" s="138">
        <v>3</v>
      </c>
      <c r="N46" s="667" t="s">
        <v>453</v>
      </c>
      <c r="O46" s="621"/>
      <c r="P46" s="668">
        <v>80</v>
      </c>
      <c r="Q46" s="107"/>
      <c r="R46" s="99"/>
      <c r="S46" s="99"/>
      <c r="T46" s="99"/>
      <c r="U46" s="99"/>
      <c r="V46" s="99"/>
      <c r="W46" s="99"/>
      <c r="X46" s="99"/>
      <c r="Y46" s="99"/>
      <c r="Z46" s="99"/>
    </row>
    <row r="47" spans="2:26" ht="16.5" customHeight="1">
      <c r="B47" s="632"/>
      <c r="C47" s="106"/>
      <c r="D47" s="619" t="s">
        <v>454</v>
      </c>
      <c r="E47" s="621"/>
      <c r="F47" s="138">
        <v>179</v>
      </c>
      <c r="G47" s="622" t="s">
        <v>437</v>
      </c>
      <c r="H47" s="621"/>
      <c r="I47" s="649"/>
      <c r="J47" s="107"/>
      <c r="K47" s="108"/>
      <c r="L47" s="139" t="s">
        <v>455</v>
      </c>
      <c r="M47" s="138">
        <v>216</v>
      </c>
      <c r="N47" s="622" t="s">
        <v>437</v>
      </c>
      <c r="O47" s="621"/>
      <c r="P47" s="649"/>
      <c r="Q47" s="107"/>
      <c r="R47" s="99"/>
      <c r="S47" s="99"/>
      <c r="T47" s="99"/>
      <c r="U47" s="99"/>
      <c r="V47" s="99"/>
      <c r="W47" s="99"/>
      <c r="X47" s="99"/>
      <c r="Y47" s="99"/>
      <c r="Z47" s="99"/>
    </row>
    <row r="48" spans="2:26" ht="16.5" customHeight="1">
      <c r="B48" s="632"/>
      <c r="C48" s="106"/>
      <c r="D48" s="619" t="s">
        <v>456</v>
      </c>
      <c r="E48" s="621"/>
      <c r="F48" s="138">
        <v>368</v>
      </c>
      <c r="G48" s="622" t="s">
        <v>437</v>
      </c>
      <c r="H48" s="621"/>
      <c r="I48" s="640"/>
      <c r="J48" s="107"/>
      <c r="K48" s="108"/>
      <c r="L48" s="139" t="s">
        <v>457</v>
      </c>
      <c r="M48" s="138">
        <v>309</v>
      </c>
      <c r="N48" s="622" t="s">
        <v>437</v>
      </c>
      <c r="O48" s="621"/>
      <c r="P48" s="640"/>
      <c r="Q48" s="107"/>
      <c r="R48" s="99"/>
      <c r="S48" s="99"/>
      <c r="T48" s="99"/>
      <c r="U48" s="99"/>
      <c r="V48" s="99"/>
      <c r="W48" s="99"/>
      <c r="X48" s="99"/>
      <c r="Y48" s="99"/>
      <c r="Z48" s="99"/>
    </row>
    <row r="49" spans="2:26" ht="5.25" customHeight="1" thickBot="1">
      <c r="B49" s="633"/>
      <c r="C49" s="109"/>
      <c r="D49" s="110"/>
      <c r="E49" s="110"/>
      <c r="F49" s="110"/>
      <c r="G49" s="110"/>
      <c r="H49" s="110"/>
      <c r="I49" s="110"/>
      <c r="J49" s="111"/>
      <c r="K49" s="112"/>
      <c r="L49" s="110"/>
      <c r="M49" s="110"/>
      <c r="N49" s="110"/>
      <c r="O49" s="110"/>
      <c r="P49" s="110"/>
      <c r="Q49" s="111"/>
      <c r="R49" s="99"/>
      <c r="S49" s="99"/>
      <c r="T49" s="99"/>
      <c r="U49" s="99"/>
      <c r="V49" s="99"/>
      <c r="W49" s="99"/>
      <c r="X49" s="99"/>
      <c r="Y49" s="99"/>
      <c r="Z49" s="99"/>
    </row>
    <row r="50" spans="2:26" ht="5.25" customHeight="1">
      <c r="B50" s="631" t="s">
        <v>458</v>
      </c>
      <c r="C50" s="102"/>
      <c r="D50" s="103"/>
      <c r="E50" s="103"/>
      <c r="F50" s="103"/>
      <c r="G50" s="103"/>
      <c r="H50" s="103"/>
      <c r="I50" s="103"/>
      <c r="J50" s="104"/>
      <c r="K50" s="105"/>
      <c r="L50" s="103"/>
      <c r="M50" s="103"/>
      <c r="N50" s="103"/>
      <c r="O50" s="103"/>
      <c r="P50" s="103"/>
      <c r="Q50" s="104"/>
      <c r="R50" s="99"/>
      <c r="S50" s="99"/>
      <c r="T50" s="99"/>
      <c r="U50" s="99"/>
      <c r="V50" s="99"/>
      <c r="W50" s="99"/>
      <c r="X50" s="99"/>
      <c r="Y50" s="99"/>
      <c r="Z50" s="99"/>
    </row>
    <row r="51" spans="2:26" ht="24">
      <c r="B51" s="632"/>
      <c r="C51" s="106"/>
      <c r="D51" s="670" t="s">
        <v>365</v>
      </c>
      <c r="E51" s="620"/>
      <c r="F51" s="621"/>
      <c r="G51" s="140" t="s">
        <v>459</v>
      </c>
      <c r="H51" s="140" t="s">
        <v>460</v>
      </c>
      <c r="I51" s="141" t="s">
        <v>461</v>
      </c>
      <c r="J51" s="117"/>
      <c r="K51" s="118"/>
      <c r="L51" s="670" t="s">
        <v>365</v>
      </c>
      <c r="M51" s="621"/>
      <c r="N51" s="140" t="s">
        <v>459</v>
      </c>
      <c r="O51" s="140" t="s">
        <v>460</v>
      </c>
      <c r="P51" s="141" t="s">
        <v>462</v>
      </c>
      <c r="Q51" s="107"/>
      <c r="R51" s="99"/>
      <c r="S51" s="99"/>
      <c r="T51" s="99"/>
      <c r="U51" s="99"/>
      <c r="V51" s="99"/>
      <c r="W51" s="99"/>
      <c r="X51" s="99"/>
      <c r="Y51" s="99"/>
      <c r="Z51" s="99"/>
    </row>
    <row r="52" spans="2:26" ht="13.5">
      <c r="B52" s="632"/>
      <c r="C52" s="106"/>
      <c r="D52" s="669" t="s">
        <v>463</v>
      </c>
      <c r="E52" s="620"/>
      <c r="F52" s="621"/>
      <c r="G52" s="142">
        <v>8</v>
      </c>
      <c r="H52" s="142">
        <v>-2</v>
      </c>
      <c r="I52" s="143" t="s">
        <v>464</v>
      </c>
      <c r="J52" s="117"/>
      <c r="K52" s="118"/>
      <c r="L52" s="669" t="s">
        <v>463</v>
      </c>
      <c r="M52" s="621"/>
      <c r="N52" s="142">
        <v>4</v>
      </c>
      <c r="O52" s="142">
        <v>-1</v>
      </c>
      <c r="P52" s="143" t="s">
        <v>359</v>
      </c>
      <c r="Q52" s="107"/>
      <c r="R52" s="99"/>
      <c r="S52" s="99"/>
      <c r="T52" s="99"/>
      <c r="U52" s="99"/>
      <c r="V52" s="99"/>
      <c r="W52" s="99"/>
      <c r="X52" s="99"/>
      <c r="Y52" s="99"/>
      <c r="Z52" s="99"/>
    </row>
    <row r="53" spans="2:26" ht="27.75" customHeight="1">
      <c r="B53" s="632"/>
      <c r="C53" s="106"/>
      <c r="D53" s="669" t="s">
        <v>465</v>
      </c>
      <c r="E53" s="620"/>
      <c r="F53" s="621"/>
      <c r="G53" s="142">
        <v>6</v>
      </c>
      <c r="H53" s="144"/>
      <c r="I53" s="143" t="s">
        <v>466</v>
      </c>
      <c r="J53" s="117"/>
      <c r="K53" s="118"/>
      <c r="L53" s="669" t="s">
        <v>467</v>
      </c>
      <c r="M53" s="621"/>
      <c r="N53" s="142">
        <v>3</v>
      </c>
      <c r="O53" s="144"/>
      <c r="P53" s="143">
        <v>3</v>
      </c>
      <c r="Q53" s="107"/>
      <c r="R53" s="99"/>
      <c r="S53" s="99"/>
      <c r="T53" s="99"/>
      <c r="U53" s="99"/>
      <c r="V53" s="99"/>
      <c r="W53" s="99"/>
      <c r="X53" s="99"/>
      <c r="Y53" s="99"/>
      <c r="Z53" s="99"/>
    </row>
    <row r="54" spans="2:26" ht="13.5">
      <c r="B54" s="632"/>
      <c r="C54" s="106"/>
      <c r="D54" s="669" t="s">
        <v>468</v>
      </c>
      <c r="E54" s="620"/>
      <c r="F54" s="621"/>
      <c r="G54" s="142">
        <v>5</v>
      </c>
      <c r="H54" s="142" t="s">
        <v>469</v>
      </c>
      <c r="I54" s="143" t="s">
        <v>470</v>
      </c>
      <c r="J54" s="117"/>
      <c r="K54" s="118"/>
      <c r="L54" s="669" t="s">
        <v>471</v>
      </c>
      <c r="M54" s="621"/>
      <c r="N54" s="142">
        <v>4</v>
      </c>
      <c r="O54" s="142" t="s">
        <v>472</v>
      </c>
      <c r="P54" s="143" t="s">
        <v>361</v>
      </c>
      <c r="Q54" s="107"/>
      <c r="R54" s="99"/>
      <c r="S54" s="99"/>
      <c r="T54" s="99"/>
      <c r="U54" s="99"/>
      <c r="V54" s="99"/>
      <c r="W54" s="99"/>
      <c r="X54" s="99"/>
      <c r="Y54" s="99"/>
      <c r="Z54" s="99"/>
    </row>
    <row r="55" spans="2:26" ht="13.5">
      <c r="B55" s="632"/>
      <c r="C55" s="106"/>
      <c r="D55" s="669" t="s">
        <v>473</v>
      </c>
      <c r="E55" s="620"/>
      <c r="F55" s="621"/>
      <c r="G55" s="142">
        <v>5</v>
      </c>
      <c r="H55" s="142" t="s">
        <v>474</v>
      </c>
      <c r="I55" s="143" t="s">
        <v>475</v>
      </c>
      <c r="J55" s="117"/>
      <c r="K55" s="118"/>
      <c r="L55" s="669" t="s">
        <v>476</v>
      </c>
      <c r="M55" s="621"/>
      <c r="N55" s="142">
        <v>3</v>
      </c>
      <c r="O55" s="142" t="s">
        <v>472</v>
      </c>
      <c r="P55" s="143" t="s">
        <v>362</v>
      </c>
      <c r="Q55" s="107"/>
      <c r="R55" s="99"/>
      <c r="S55" s="99"/>
      <c r="T55" s="99"/>
      <c r="U55" s="99"/>
      <c r="V55" s="99"/>
      <c r="W55" s="99"/>
      <c r="X55" s="99"/>
      <c r="Y55" s="99"/>
      <c r="Z55" s="99"/>
    </row>
    <row r="56" spans="2:26" ht="13.5">
      <c r="B56" s="632"/>
      <c r="C56" s="106"/>
      <c r="D56" s="669" t="s">
        <v>477</v>
      </c>
      <c r="E56" s="620"/>
      <c r="F56" s="621"/>
      <c r="G56" s="142">
        <v>5</v>
      </c>
      <c r="H56" s="142" t="s">
        <v>474</v>
      </c>
      <c r="I56" s="143" t="s">
        <v>475</v>
      </c>
      <c r="J56" s="117"/>
      <c r="K56" s="118"/>
      <c r="L56" s="669" t="s">
        <v>388</v>
      </c>
      <c r="M56" s="621"/>
      <c r="N56" s="667" t="s">
        <v>478</v>
      </c>
      <c r="O56" s="620"/>
      <c r="P56" s="620"/>
      <c r="Q56" s="107"/>
      <c r="R56" s="99"/>
      <c r="S56" s="99"/>
      <c r="T56" s="99"/>
      <c r="U56" s="99"/>
      <c r="V56" s="99"/>
      <c r="W56" s="99"/>
      <c r="X56" s="99"/>
      <c r="Y56" s="99"/>
      <c r="Z56" s="99"/>
    </row>
    <row r="57" spans="2:26" ht="13.5">
      <c r="B57" s="632"/>
      <c r="C57" s="106"/>
      <c r="D57" s="669" t="s">
        <v>386</v>
      </c>
      <c r="E57" s="620"/>
      <c r="F57" s="621"/>
      <c r="G57" s="667" t="s">
        <v>478</v>
      </c>
      <c r="H57" s="620"/>
      <c r="I57" s="620"/>
      <c r="J57" s="117"/>
      <c r="K57" s="118"/>
      <c r="L57" s="145"/>
      <c r="M57" s="135"/>
      <c r="N57" s="135"/>
      <c r="O57" s="135"/>
      <c r="P57" s="135"/>
      <c r="Q57" s="107"/>
      <c r="R57" s="99"/>
      <c r="S57" s="99"/>
      <c r="T57" s="99"/>
      <c r="U57" s="99"/>
      <c r="V57" s="99"/>
      <c r="W57" s="99"/>
      <c r="X57" s="99"/>
      <c r="Y57" s="99"/>
      <c r="Z57" s="99"/>
    </row>
    <row r="58" spans="2:26" ht="13.5">
      <c r="B58" s="632"/>
      <c r="C58" s="106"/>
      <c r="D58" s="135"/>
      <c r="E58" s="135"/>
      <c r="F58" s="135"/>
      <c r="G58" s="135"/>
      <c r="H58" s="135"/>
      <c r="I58" s="135"/>
      <c r="J58" s="107"/>
      <c r="K58" s="108"/>
      <c r="L58" s="135"/>
      <c r="M58" s="135"/>
      <c r="N58" s="135"/>
      <c r="O58" s="135"/>
      <c r="P58" s="135"/>
      <c r="Q58" s="107"/>
      <c r="R58" s="99"/>
      <c r="S58" s="99"/>
      <c r="T58" s="99"/>
      <c r="U58" s="99"/>
      <c r="V58" s="99"/>
      <c r="W58" s="99"/>
      <c r="X58" s="99"/>
      <c r="Y58" s="99"/>
      <c r="Z58" s="99"/>
    </row>
    <row r="59" spans="2:26" ht="33.75" customHeight="1">
      <c r="B59" s="632"/>
      <c r="C59" s="106"/>
      <c r="D59" s="672" t="s">
        <v>479</v>
      </c>
      <c r="E59" s="657"/>
      <c r="F59" s="657"/>
      <c r="G59" s="657"/>
      <c r="H59" s="657"/>
      <c r="I59" s="657"/>
      <c r="J59" s="107"/>
      <c r="K59" s="108"/>
      <c r="L59" s="672" t="s">
        <v>480</v>
      </c>
      <c r="M59" s="672"/>
      <c r="N59" s="672"/>
      <c r="O59" s="672"/>
      <c r="P59" s="672"/>
      <c r="Q59" s="107"/>
      <c r="R59" s="99"/>
      <c r="S59" s="99"/>
      <c r="T59" s="99"/>
      <c r="U59" s="99"/>
      <c r="V59" s="99"/>
      <c r="W59" s="99"/>
      <c r="X59" s="99"/>
      <c r="Y59" s="99"/>
      <c r="Z59" s="99"/>
    </row>
    <row r="60" spans="2:26" ht="5.25" customHeight="1" thickBot="1">
      <c r="B60" s="633"/>
      <c r="C60" s="109"/>
      <c r="D60" s="110"/>
      <c r="E60" s="110"/>
      <c r="F60" s="110"/>
      <c r="G60" s="110"/>
      <c r="H60" s="110"/>
      <c r="I60" s="110"/>
      <c r="J60" s="111"/>
      <c r="K60" s="112"/>
      <c r="L60" s="110"/>
      <c r="M60" s="110"/>
      <c r="N60" s="110"/>
      <c r="O60" s="110"/>
      <c r="P60" s="110"/>
      <c r="Q60" s="111"/>
      <c r="R60" s="99"/>
      <c r="S60" s="99"/>
      <c r="T60" s="99"/>
      <c r="U60" s="99"/>
      <c r="V60" s="99"/>
      <c r="W60" s="99"/>
      <c r="X60" s="99"/>
      <c r="Y60" s="99"/>
      <c r="Z60" s="99"/>
    </row>
    <row r="61" spans="2:26" ht="5.25" customHeight="1">
      <c r="B61" s="674" t="s">
        <v>481</v>
      </c>
      <c r="C61" s="106"/>
      <c r="D61" s="135"/>
      <c r="E61" s="135"/>
      <c r="F61" s="135"/>
      <c r="G61" s="135"/>
      <c r="H61" s="135"/>
      <c r="I61" s="135"/>
      <c r="J61" s="135"/>
      <c r="K61" s="105"/>
      <c r="L61" s="103"/>
      <c r="M61" s="103"/>
      <c r="N61" s="103"/>
      <c r="O61" s="103"/>
      <c r="P61" s="103"/>
      <c r="Q61" s="104"/>
      <c r="R61" s="99"/>
      <c r="S61" s="99"/>
      <c r="T61" s="99"/>
      <c r="U61" s="99"/>
      <c r="V61" s="99"/>
      <c r="W61" s="99"/>
      <c r="X61" s="99"/>
      <c r="Y61" s="99"/>
      <c r="Z61" s="99"/>
    </row>
    <row r="62" spans="2:26" ht="13.5">
      <c r="B62" s="675"/>
      <c r="C62" s="106"/>
      <c r="D62" s="135"/>
      <c r="E62" s="135"/>
      <c r="F62" s="135"/>
      <c r="G62" s="135"/>
      <c r="H62" s="135"/>
      <c r="I62" s="135"/>
      <c r="J62" s="135"/>
      <c r="K62" s="108"/>
      <c r="L62" s="135" t="s">
        <v>482</v>
      </c>
      <c r="M62" s="135"/>
      <c r="N62" s="135"/>
      <c r="O62" s="135"/>
      <c r="P62" s="135"/>
      <c r="Q62" s="107"/>
      <c r="R62" s="99"/>
      <c r="S62" s="99"/>
      <c r="T62" s="99"/>
      <c r="U62" s="99"/>
      <c r="V62" s="99"/>
      <c r="W62" s="99"/>
      <c r="X62" s="99"/>
      <c r="Y62" s="99"/>
      <c r="Z62" s="99"/>
    </row>
    <row r="63" spans="2:26" ht="13.5">
      <c r="B63" s="675"/>
      <c r="C63" s="106"/>
      <c r="D63" s="135"/>
      <c r="E63" s="135"/>
      <c r="F63" s="135"/>
      <c r="G63" s="135"/>
      <c r="H63" s="135"/>
      <c r="I63" s="135"/>
      <c r="J63" s="135"/>
      <c r="K63" s="108"/>
      <c r="L63" s="135" t="s">
        <v>483</v>
      </c>
      <c r="M63" s="135"/>
      <c r="N63" s="135"/>
      <c r="O63" s="135"/>
      <c r="P63" s="135"/>
      <c r="Q63" s="107"/>
      <c r="R63" s="99"/>
      <c r="S63" s="99"/>
      <c r="T63" s="99"/>
      <c r="U63" s="99"/>
      <c r="V63" s="99"/>
      <c r="W63" s="99"/>
      <c r="X63" s="99"/>
      <c r="Y63" s="99"/>
      <c r="Z63" s="99"/>
    </row>
    <row r="64" spans="2:26" ht="13.5">
      <c r="B64" s="675"/>
      <c r="C64" s="106"/>
      <c r="D64" s="135"/>
      <c r="E64" s="135"/>
      <c r="F64" s="135"/>
      <c r="G64" s="135"/>
      <c r="H64" s="135"/>
      <c r="I64" s="135"/>
      <c r="J64" s="135"/>
      <c r="K64" s="108"/>
      <c r="L64" s="676" t="s">
        <v>365</v>
      </c>
      <c r="M64" s="677" t="s">
        <v>484</v>
      </c>
      <c r="N64" s="621"/>
      <c r="O64" s="677" t="s">
        <v>485</v>
      </c>
      <c r="P64" s="620"/>
      <c r="Q64" s="107"/>
      <c r="R64" s="99"/>
      <c r="S64" s="99"/>
      <c r="T64" s="99"/>
      <c r="U64" s="99"/>
      <c r="V64" s="99"/>
      <c r="W64" s="99"/>
      <c r="X64" s="99"/>
      <c r="Y64" s="99"/>
      <c r="Z64" s="99"/>
    </row>
    <row r="65" spans="2:26" ht="13.5">
      <c r="B65" s="675"/>
      <c r="C65" s="106"/>
      <c r="D65" s="135"/>
      <c r="E65" s="135"/>
      <c r="F65" s="135"/>
      <c r="G65" s="135"/>
      <c r="H65" s="135"/>
      <c r="I65" s="135"/>
      <c r="J65" s="135"/>
      <c r="K65" s="108"/>
      <c r="L65" s="637"/>
      <c r="M65" s="138" t="s">
        <v>0</v>
      </c>
      <c r="N65" s="138" t="s">
        <v>486</v>
      </c>
      <c r="O65" s="138" t="s">
        <v>0</v>
      </c>
      <c r="P65" s="146" t="s">
        <v>486</v>
      </c>
      <c r="Q65" s="107"/>
      <c r="R65" s="99"/>
      <c r="S65" s="99"/>
      <c r="T65" s="99"/>
      <c r="U65" s="99"/>
      <c r="V65" s="99"/>
      <c r="W65" s="99"/>
      <c r="X65" s="99"/>
      <c r="Y65" s="99"/>
      <c r="Z65" s="99"/>
    </row>
    <row r="66" spans="2:26" ht="13.5">
      <c r="B66" s="675"/>
      <c r="C66" s="106"/>
      <c r="D66" s="135"/>
      <c r="E66" s="135"/>
      <c r="F66" s="135"/>
      <c r="G66" s="135"/>
      <c r="H66" s="135"/>
      <c r="I66" s="135"/>
      <c r="J66" s="135"/>
      <c r="K66" s="108"/>
      <c r="L66" s="147" t="s">
        <v>198</v>
      </c>
      <c r="M66" s="148">
        <v>2</v>
      </c>
      <c r="N66" s="148">
        <v>2</v>
      </c>
      <c r="O66" s="148">
        <v>4</v>
      </c>
      <c r="P66" s="137">
        <v>0</v>
      </c>
      <c r="Q66" s="107"/>
      <c r="R66" s="99"/>
      <c r="S66" s="99"/>
      <c r="T66" s="99"/>
      <c r="U66" s="99"/>
      <c r="V66" s="99"/>
      <c r="W66" s="99"/>
      <c r="X66" s="99"/>
      <c r="Y66" s="99"/>
      <c r="Z66" s="99"/>
    </row>
    <row r="67" spans="2:26" ht="13.5">
      <c r="B67" s="675"/>
      <c r="C67" s="106"/>
      <c r="D67" s="135"/>
      <c r="E67" s="135"/>
      <c r="F67" s="135"/>
      <c r="G67" s="135"/>
      <c r="H67" s="135"/>
      <c r="I67" s="135"/>
      <c r="J67" s="135"/>
      <c r="K67" s="108"/>
      <c r="L67" s="147" t="s">
        <v>212</v>
      </c>
      <c r="M67" s="148">
        <v>2</v>
      </c>
      <c r="N67" s="148">
        <v>2</v>
      </c>
      <c r="O67" s="148">
        <v>0</v>
      </c>
      <c r="P67" s="137">
        <v>4</v>
      </c>
      <c r="Q67" s="107"/>
      <c r="R67" s="99"/>
      <c r="S67" s="99"/>
      <c r="T67" s="99"/>
      <c r="U67" s="99"/>
      <c r="V67" s="99"/>
      <c r="W67" s="99"/>
      <c r="X67" s="99"/>
      <c r="Y67" s="99"/>
      <c r="Z67" s="99"/>
    </row>
    <row r="68" spans="2:26" ht="13.5">
      <c r="B68" s="675"/>
      <c r="C68" s="106"/>
      <c r="D68" s="135"/>
      <c r="E68" s="135"/>
      <c r="F68" s="135"/>
      <c r="G68" s="135"/>
      <c r="H68" s="135"/>
      <c r="I68" s="135"/>
      <c r="J68" s="135"/>
      <c r="K68" s="108"/>
      <c r="L68" s="147" t="s">
        <v>201</v>
      </c>
      <c r="M68" s="148">
        <v>2</v>
      </c>
      <c r="N68" s="148">
        <v>2</v>
      </c>
      <c r="O68" s="148">
        <v>4</v>
      </c>
      <c r="P68" s="137">
        <v>0</v>
      </c>
      <c r="Q68" s="107"/>
      <c r="R68" s="99"/>
      <c r="S68" s="99"/>
      <c r="T68" s="99"/>
      <c r="U68" s="99"/>
      <c r="V68" s="99"/>
      <c r="W68" s="99"/>
      <c r="X68" s="99"/>
      <c r="Y68" s="99"/>
      <c r="Z68" s="99"/>
    </row>
    <row r="69" spans="2:26" ht="13.5">
      <c r="B69" s="675"/>
      <c r="C69" s="106"/>
      <c r="D69" s="135"/>
      <c r="E69" s="135"/>
      <c r="F69" s="135"/>
      <c r="G69" s="135"/>
      <c r="H69" s="135"/>
      <c r="I69" s="135"/>
      <c r="J69" s="135"/>
      <c r="K69" s="108"/>
      <c r="L69" s="135" t="s">
        <v>487</v>
      </c>
      <c r="M69" s="135"/>
      <c r="N69" s="135"/>
      <c r="O69" s="135"/>
      <c r="P69" s="135"/>
      <c r="Q69" s="107"/>
      <c r="R69" s="99"/>
      <c r="S69" s="99"/>
      <c r="T69" s="99"/>
      <c r="U69" s="99"/>
      <c r="V69" s="99"/>
      <c r="W69" s="99"/>
      <c r="X69" s="99"/>
      <c r="Y69" s="99"/>
      <c r="Z69" s="99"/>
    </row>
    <row r="70" spans="2:26" ht="13.5">
      <c r="B70" s="675"/>
      <c r="C70" s="106"/>
      <c r="D70" s="135"/>
      <c r="E70" s="135"/>
      <c r="F70" s="135"/>
      <c r="G70" s="135"/>
      <c r="H70" s="135"/>
      <c r="I70" s="135"/>
      <c r="J70" s="135"/>
      <c r="K70" s="108"/>
      <c r="L70" s="676" t="s">
        <v>365</v>
      </c>
      <c r="M70" s="677" t="s">
        <v>484</v>
      </c>
      <c r="N70" s="621"/>
      <c r="O70" s="677" t="s">
        <v>485</v>
      </c>
      <c r="P70" s="620"/>
      <c r="Q70" s="107"/>
      <c r="R70" s="99"/>
      <c r="S70" s="99"/>
      <c r="T70" s="99"/>
      <c r="U70" s="99"/>
      <c r="V70" s="99"/>
      <c r="W70" s="99"/>
      <c r="X70" s="99"/>
      <c r="Y70" s="99"/>
      <c r="Z70" s="99"/>
    </row>
    <row r="71" spans="2:26" ht="13.5">
      <c r="B71" s="675"/>
      <c r="C71" s="106"/>
      <c r="D71" s="135"/>
      <c r="E71" s="135"/>
      <c r="F71" s="135"/>
      <c r="G71" s="135"/>
      <c r="H71" s="135"/>
      <c r="I71" s="135"/>
      <c r="J71" s="135"/>
      <c r="K71" s="108"/>
      <c r="L71" s="637"/>
      <c r="M71" s="138" t="s">
        <v>0</v>
      </c>
      <c r="N71" s="138" t="s">
        <v>486</v>
      </c>
      <c r="O71" s="138" t="s">
        <v>0</v>
      </c>
      <c r="P71" s="146" t="s">
        <v>486</v>
      </c>
      <c r="Q71" s="107"/>
      <c r="R71" s="99"/>
      <c r="S71" s="99"/>
      <c r="T71" s="99"/>
      <c r="U71" s="99"/>
      <c r="V71" s="99"/>
      <c r="W71" s="99"/>
      <c r="X71" s="99"/>
      <c r="Y71" s="99"/>
      <c r="Z71" s="99"/>
    </row>
    <row r="72" spans="2:26" ht="13.5">
      <c r="B72" s="675"/>
      <c r="C72" s="106"/>
      <c r="D72" s="135"/>
      <c r="E72" s="135"/>
      <c r="F72" s="135"/>
      <c r="G72" s="135"/>
      <c r="H72" s="135"/>
      <c r="I72" s="135"/>
      <c r="J72" s="135"/>
      <c r="K72" s="108"/>
      <c r="L72" s="147" t="s">
        <v>451</v>
      </c>
      <c r="M72" s="148">
        <v>1</v>
      </c>
      <c r="N72" s="148">
        <v>1</v>
      </c>
      <c r="O72" s="148">
        <v>2</v>
      </c>
      <c r="P72" s="137">
        <v>0</v>
      </c>
      <c r="Q72" s="107"/>
      <c r="R72" s="99"/>
      <c r="S72" s="99"/>
      <c r="T72" s="99"/>
      <c r="U72" s="99"/>
      <c r="V72" s="99"/>
      <c r="W72" s="99"/>
      <c r="X72" s="99"/>
      <c r="Y72" s="99"/>
      <c r="Z72" s="99"/>
    </row>
    <row r="73" spans="2:26" ht="13.5">
      <c r="B73" s="675"/>
      <c r="C73" s="106"/>
      <c r="D73" s="135"/>
      <c r="E73" s="135"/>
      <c r="F73" s="135"/>
      <c r="G73" s="135"/>
      <c r="H73" s="135"/>
      <c r="I73" s="135"/>
      <c r="J73" s="135"/>
      <c r="K73" s="108"/>
      <c r="L73" s="147" t="s">
        <v>455</v>
      </c>
      <c r="M73" s="148">
        <v>2</v>
      </c>
      <c r="N73" s="148">
        <v>2</v>
      </c>
      <c r="O73" s="148">
        <v>0</v>
      </c>
      <c r="P73" s="137">
        <v>4</v>
      </c>
      <c r="Q73" s="107"/>
      <c r="R73" s="99"/>
      <c r="S73" s="99"/>
      <c r="T73" s="99"/>
      <c r="U73" s="99"/>
      <c r="V73" s="99"/>
      <c r="W73" s="99"/>
      <c r="X73" s="99"/>
      <c r="Y73" s="99"/>
      <c r="Z73" s="99"/>
    </row>
    <row r="74" spans="2:26" ht="13.5">
      <c r="B74" s="675"/>
      <c r="C74" s="106"/>
      <c r="D74" s="135"/>
      <c r="E74" s="135"/>
      <c r="F74" s="135"/>
      <c r="G74" s="135"/>
      <c r="H74" s="135"/>
      <c r="I74" s="135"/>
      <c r="J74" s="135"/>
      <c r="K74" s="108"/>
      <c r="L74" s="678" t="s">
        <v>488</v>
      </c>
      <c r="M74" s="671" t="s">
        <v>489</v>
      </c>
      <c r="N74" s="671" t="s">
        <v>489</v>
      </c>
      <c r="O74" s="149">
        <v>8</v>
      </c>
      <c r="P74" s="150">
        <v>0</v>
      </c>
      <c r="Q74" s="107"/>
      <c r="R74" s="99"/>
      <c r="S74" s="99"/>
      <c r="T74" s="99"/>
      <c r="U74" s="99"/>
      <c r="V74" s="99"/>
      <c r="W74" s="99"/>
      <c r="X74" s="99"/>
      <c r="Y74" s="99"/>
      <c r="Z74" s="99"/>
    </row>
    <row r="75" spans="2:26" ht="13.5">
      <c r="B75" s="675"/>
      <c r="C75" s="106"/>
      <c r="D75" s="135"/>
      <c r="E75" s="135"/>
      <c r="F75" s="135"/>
      <c r="G75" s="135"/>
      <c r="H75" s="135"/>
      <c r="I75" s="135"/>
      <c r="J75" s="135"/>
      <c r="K75" s="108"/>
      <c r="L75" s="679"/>
      <c r="M75" s="647"/>
      <c r="N75" s="647"/>
      <c r="O75" s="149">
        <v>4</v>
      </c>
      <c r="P75" s="150">
        <v>4</v>
      </c>
      <c r="Q75" s="107"/>
      <c r="R75" s="99"/>
      <c r="S75" s="99"/>
      <c r="T75" s="99"/>
      <c r="U75" s="99"/>
      <c r="V75" s="99"/>
      <c r="W75" s="99"/>
      <c r="X75" s="99"/>
      <c r="Y75" s="99"/>
      <c r="Z75" s="99"/>
    </row>
    <row r="76" spans="2:26" ht="33.75" customHeight="1">
      <c r="B76" s="675"/>
      <c r="C76" s="106"/>
      <c r="D76" s="135"/>
      <c r="E76" s="135"/>
      <c r="F76" s="135"/>
      <c r="G76" s="135"/>
      <c r="H76" s="135"/>
      <c r="I76" s="135"/>
      <c r="J76" s="135"/>
      <c r="K76" s="108"/>
      <c r="L76" s="672" t="s">
        <v>490</v>
      </c>
      <c r="M76" s="657"/>
      <c r="N76" s="657"/>
      <c r="O76" s="657"/>
      <c r="P76" s="657"/>
      <c r="Q76" s="107"/>
      <c r="R76" s="99"/>
      <c r="S76" s="99"/>
      <c r="T76" s="99"/>
      <c r="U76" s="99"/>
      <c r="V76" s="99"/>
      <c r="W76" s="99"/>
      <c r="X76" s="99"/>
      <c r="Y76" s="99"/>
      <c r="Z76" s="99"/>
    </row>
    <row r="77" spans="2:26" ht="5.25" customHeight="1">
      <c r="B77" s="675"/>
      <c r="C77" s="151"/>
      <c r="D77" s="152"/>
      <c r="E77" s="152"/>
      <c r="F77" s="152"/>
      <c r="G77" s="152"/>
      <c r="H77" s="152"/>
      <c r="I77" s="152"/>
      <c r="J77" s="152"/>
      <c r="K77" s="153"/>
      <c r="L77" s="152"/>
      <c r="M77" s="152"/>
      <c r="N77" s="152"/>
      <c r="O77" s="152"/>
      <c r="P77" s="152"/>
      <c r="Q77" s="154"/>
      <c r="R77" s="99"/>
      <c r="S77" s="99"/>
      <c r="T77" s="99"/>
      <c r="U77" s="99"/>
      <c r="V77" s="99"/>
      <c r="W77" s="99"/>
      <c r="X77" s="99"/>
      <c r="Y77" s="99"/>
      <c r="Z77" s="99"/>
    </row>
    <row r="78" spans="2:26" ht="5.25" customHeight="1">
      <c r="B78" s="673" t="s">
        <v>491</v>
      </c>
      <c r="C78" s="155"/>
      <c r="D78" s="156"/>
      <c r="E78" s="156"/>
      <c r="F78" s="156"/>
      <c r="G78" s="156"/>
      <c r="H78" s="156"/>
      <c r="I78" s="156"/>
      <c r="J78" s="156"/>
      <c r="K78" s="157"/>
      <c r="L78" s="156"/>
      <c r="M78" s="156"/>
      <c r="N78" s="156"/>
      <c r="O78" s="156"/>
      <c r="P78" s="156"/>
      <c r="Q78" s="158"/>
      <c r="R78" s="99"/>
      <c r="S78" s="99"/>
      <c r="T78" s="99"/>
      <c r="U78" s="99"/>
      <c r="V78" s="99"/>
      <c r="W78" s="99"/>
      <c r="X78" s="99"/>
      <c r="Y78" s="99"/>
      <c r="Z78" s="99"/>
    </row>
    <row r="79" spans="2:26" ht="13.5">
      <c r="B79" s="632"/>
      <c r="C79" s="106"/>
      <c r="D79" s="135" t="s">
        <v>492</v>
      </c>
      <c r="E79" s="135"/>
      <c r="F79" s="135"/>
      <c r="G79" s="135"/>
      <c r="H79" s="135"/>
      <c r="I79" s="135"/>
      <c r="J79" s="135"/>
      <c r="K79" s="108"/>
      <c r="L79" s="135" t="s">
        <v>493</v>
      </c>
      <c r="M79" s="135"/>
      <c r="N79" s="135"/>
      <c r="O79" s="135"/>
      <c r="P79" s="135"/>
      <c r="Q79" s="107"/>
      <c r="R79" s="99"/>
      <c r="S79" s="99"/>
      <c r="T79" s="99"/>
      <c r="U79" s="99"/>
      <c r="V79" s="99"/>
      <c r="W79" s="99"/>
      <c r="X79" s="99"/>
      <c r="Y79" s="99"/>
      <c r="Z79" s="99"/>
    </row>
    <row r="80" spans="2:26" ht="13.5">
      <c r="B80" s="632"/>
      <c r="C80" s="106"/>
      <c r="D80" s="135"/>
      <c r="E80" s="135"/>
      <c r="F80" s="135"/>
      <c r="G80" s="135"/>
      <c r="H80" s="135"/>
      <c r="I80" s="135"/>
      <c r="J80" s="135"/>
      <c r="K80" s="108"/>
      <c r="L80" s="135" t="s">
        <v>494</v>
      </c>
      <c r="M80" s="135"/>
      <c r="N80" s="135"/>
      <c r="O80" s="135"/>
      <c r="P80" s="135"/>
      <c r="Q80" s="107"/>
      <c r="R80" s="99"/>
      <c r="S80" s="99"/>
      <c r="T80" s="99"/>
      <c r="U80" s="99"/>
      <c r="V80" s="99"/>
      <c r="W80" s="99"/>
      <c r="X80" s="99"/>
      <c r="Y80" s="99"/>
      <c r="Z80" s="99"/>
    </row>
    <row r="81" spans="2:26" ht="5.25" customHeight="1" thickBot="1">
      <c r="B81" s="633"/>
      <c r="C81" s="109"/>
      <c r="D81" s="110"/>
      <c r="E81" s="110"/>
      <c r="F81" s="110"/>
      <c r="G81" s="110"/>
      <c r="H81" s="110"/>
      <c r="I81" s="110"/>
      <c r="J81" s="110"/>
      <c r="K81" s="112"/>
      <c r="L81" s="110"/>
      <c r="M81" s="110"/>
      <c r="N81" s="110"/>
      <c r="O81" s="110"/>
      <c r="P81" s="110"/>
      <c r="Q81" s="111"/>
      <c r="R81" s="99"/>
      <c r="S81" s="99"/>
      <c r="T81" s="99"/>
      <c r="U81" s="99"/>
      <c r="V81" s="99"/>
      <c r="W81" s="99"/>
      <c r="X81" s="99"/>
      <c r="Y81" s="99"/>
      <c r="Z81" s="99"/>
    </row>
    <row r="82" spans="2:26" ht="4.5" customHeight="1"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spans="2:26" ht="13.5" hidden="1"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spans="2:26" ht="13.5" hidden="1"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spans="2:26" ht="13.5" hidden="1"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spans="2:26" ht="13.5" hidden="1"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spans="2:26" ht="13.5" hidden="1"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spans="2:26" ht="13.5" hidden="1"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spans="2:26" ht="13.5" hidden="1"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spans="2:26" ht="13.5" hidden="1"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spans="2:26" ht="13.5" hidden="1"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spans="2:26" ht="13.5" hidden="1"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spans="2:26" ht="13.5" hidden="1"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spans="2:26" ht="13.5" hidden="1"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spans="2:26" ht="13.5" hidden="1"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spans="2:26" ht="13.5" hidden="1"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spans="2:26" ht="13.5" hidden="1"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spans="2:26" ht="13.5" hidden="1"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spans="2:26" ht="13.5" hidden="1"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spans="2:26" ht="13.5" hidden="1"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spans="2:26" ht="13.5" hidden="1"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spans="2:26" ht="13.5" hidden="1"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spans="2:26" ht="13.5" hidden="1"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spans="2:26" ht="13.5" hidden="1"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spans="2:26" ht="13.5" hidden="1"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spans="2:26" ht="13.5" hidden="1"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spans="2:26" ht="13.5" hidden="1"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spans="2:26" ht="13.5" hidden="1"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spans="2:26" ht="13.5" hidden="1"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spans="2:26" ht="13.5" hidden="1"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spans="2:26" ht="13.5" hidden="1"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spans="2:26" ht="13.5" hidden="1"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spans="2:26" ht="13.5" hidden="1"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spans="2:26" ht="13.5" hidden="1"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spans="2:26" ht="13.5" hidden="1"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spans="2:26" ht="13.5" hidden="1"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spans="2:26" ht="13.5" hidden="1"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spans="2:26" ht="13.5" hidden="1"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spans="2:26" ht="13.5" hidden="1"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spans="2:26" ht="13.5" hidden="1"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spans="2:26" ht="13.5" hidden="1"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spans="2:26" ht="13.5" hidden="1"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spans="2:26" ht="13.5" hidden="1"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spans="2:26" ht="13.5" hidden="1"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spans="2:26" ht="13.5" hidden="1"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spans="2:26" ht="13.5" hidden="1"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spans="2:26" ht="13.5" hidden="1"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spans="2:26" ht="13.5" hidden="1"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spans="2:26" ht="13.5" hidden="1"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spans="2:26" ht="13.5" hidden="1"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spans="2:26" ht="13.5" hidden="1"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spans="2:26" ht="13.5" hidden="1"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spans="2:26" ht="13.5" hidden="1"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spans="2:26" ht="13.5" hidden="1"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spans="2:26" ht="13.5" hidden="1"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spans="2:26" ht="13.5" hidden="1"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spans="2:26" ht="13.5" hidden="1"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spans="2:26" ht="13.5" hidden="1"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spans="2:26" ht="13.5" hidden="1"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spans="2:26" ht="13.5" hidden="1"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spans="2:26" ht="13.5" hidden="1"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spans="2:26" ht="13.5" hidden="1"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spans="2:26" ht="13.5" hidden="1"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spans="2:26" ht="13.5" hidden="1"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spans="2:26" ht="13.5" hidden="1"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spans="2:26" ht="13.5" hidden="1"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spans="2:26" ht="13.5" hidden="1"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spans="2:26" ht="13.5" hidden="1"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spans="2:26" ht="13.5" hidden="1"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spans="2:26" ht="13.5" hidden="1"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spans="2:26" ht="13.5" hidden="1"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spans="2:26" ht="13.5" hidden="1"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spans="2:26" ht="13.5" hidden="1"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spans="2:26" ht="13.5" hidden="1"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spans="2:26" ht="13.5" hidden="1"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spans="2:26" ht="13.5" hidden="1"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spans="2:26" ht="13.5" hidden="1"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spans="2:26" ht="13.5" hidden="1"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spans="2:26" ht="13.5" hidden="1"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spans="2:26" ht="13.5" hidden="1"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spans="2:26" ht="13.5" hidden="1"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spans="2:26" ht="13.5" hidden="1"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spans="2:26" ht="13.5" hidden="1"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spans="2:26" ht="13.5" hidden="1"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spans="2:26" ht="13.5" hidden="1"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spans="2:26" ht="13.5" hidden="1"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spans="2:26" ht="13.5" hidden="1"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spans="2:26" ht="13.5" hidden="1"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spans="2:26" ht="13.5" hidden="1"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spans="2:26" ht="13.5" hidden="1"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spans="2:26" ht="13.5" hidden="1"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spans="2:26" ht="13.5" hidden="1"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spans="2:26" ht="13.5" hidden="1"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spans="2:26" ht="13.5" hidden="1"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spans="2:26" ht="13.5" hidden="1"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spans="2:26" ht="13.5" hidden="1"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spans="2:26" ht="13.5" hidden="1"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spans="2:26" ht="13.5" hidden="1"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spans="2:26" ht="13.5" hidden="1"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spans="2:26" ht="13.5" hidden="1"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spans="2:26" ht="13.5" hidden="1"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spans="2:26" ht="13.5" hidden="1"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spans="2:26" ht="13.5" hidden="1"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spans="2:26" ht="13.5" hidden="1"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spans="2:26" ht="13.5" hidden="1"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spans="2:26" ht="13.5" hidden="1"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spans="2:26" ht="13.5" hidden="1"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spans="2:26" ht="13.5" hidden="1"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spans="2:26" ht="13.5" hidden="1"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spans="2:26" ht="13.5" hidden="1"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spans="2:26" ht="13.5" hidden="1"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spans="2:26" ht="13.5" hidden="1"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spans="2:26" ht="13.5" hidden="1"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spans="2:26" ht="13.5" hidden="1"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spans="2:26" ht="13.5" hidden="1"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spans="2:26" ht="13.5" hidden="1"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spans="2:26" ht="13.5" hidden="1"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spans="2:26" ht="13.5" hidden="1"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spans="2:26" ht="13.5" hidden="1"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spans="2:26" ht="13.5" hidden="1"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spans="2:26" ht="13.5" hidden="1"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spans="2:26" ht="13.5" hidden="1"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spans="2:26" ht="13.5" hidden="1"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spans="2:26" ht="13.5" hidden="1"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spans="2:26" ht="13.5" hidden="1"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spans="2:26" ht="13.5" hidden="1"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spans="2:26" ht="13.5" hidden="1"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spans="2:26" ht="13.5" hidden="1"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spans="2:26" ht="13.5" hidden="1"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spans="2:26" ht="13.5" hidden="1"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spans="2:26" ht="13.5" hidden="1"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spans="2:26" ht="13.5" hidden="1"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spans="2:26" ht="13.5" hidden="1"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spans="2:26" ht="13.5" hidden="1"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spans="2:26" ht="13.5" hidden="1"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spans="2:26" ht="13.5" hidden="1"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spans="2:26" ht="13.5" hidden="1"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spans="2:26" ht="13.5" hidden="1"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spans="2:26" ht="13.5" hidden="1"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spans="2:26" ht="13.5" hidden="1"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spans="2:26" ht="13.5" hidden="1"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spans="2:26" ht="13.5" hidden="1"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spans="2:26" ht="13.5" hidden="1"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spans="2:26" ht="13.5" hidden="1"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spans="2:26" ht="13.5" hidden="1"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spans="2:26" ht="13.5" hidden="1"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spans="2:26" ht="13.5" hidden="1"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spans="2:26" ht="13.5" hidden="1"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spans="2:26" ht="13.5" hidden="1"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spans="2:26" ht="13.5" hidden="1"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spans="2:26" ht="13.5" hidden="1"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spans="2:26" ht="13.5" hidden="1"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spans="2:26" ht="13.5" hidden="1"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spans="2:26" ht="13.5" hidden="1"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spans="2:26" ht="13.5" hidden="1"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spans="2:26" ht="13.5" hidden="1"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spans="2:26" ht="13.5" hidden="1"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spans="2:26" ht="13.5" hidden="1"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spans="2:26" ht="13.5" hidden="1"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spans="2:26" ht="13.5" hidden="1"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spans="2:26" ht="13.5" hidden="1"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spans="2:26" ht="13.5" hidden="1"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spans="2:26" ht="13.5" hidden="1"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spans="2:26" ht="13.5" hidden="1"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spans="2:26" ht="13.5" hidden="1"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spans="2:26" ht="13.5" hidden="1"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spans="2:26" ht="13.5" hidden="1"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spans="2:26" ht="13.5" hidden="1"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spans="2:26" ht="13.5" hidden="1"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spans="2:26" ht="13.5" hidden="1"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spans="2:26" ht="13.5" hidden="1"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spans="2:26" ht="13.5" hidden="1"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spans="2:26" ht="13.5" hidden="1"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spans="2:26" ht="13.5" hidden="1"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spans="2:26" ht="13.5" hidden="1"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spans="2:26" ht="13.5" hidden="1"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spans="2:26" ht="13.5" hidden="1"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spans="2:26" ht="13.5" hidden="1"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spans="2:26" ht="13.5" hidden="1"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spans="2:26" ht="13.5" hidden="1"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spans="2:26" ht="13.5" hidden="1"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spans="2:26" ht="13.5" hidden="1"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spans="2:26" ht="13.5" hidden="1"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spans="2:26" ht="13.5" hidden="1"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spans="2:26" ht="13.5" hidden="1"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spans="2:26" ht="13.5" hidden="1"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spans="2:26" ht="13.5" hidden="1"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spans="2:26" ht="13.5" hidden="1"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spans="2:26" ht="13.5" hidden="1"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spans="2:26" ht="13.5" hidden="1"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spans="2:26" ht="13.5" hidden="1"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spans="2:26" ht="13.5" hidden="1"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spans="2:26" ht="13.5" hidden="1"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spans="2:26" ht="13.5" hidden="1"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spans="2:26" ht="13.5" hidden="1"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spans="2:26" ht="13.5" hidden="1"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spans="2:26" ht="13.5" hidden="1"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spans="2:26" ht="13.5" hidden="1"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spans="2:26" ht="13.5" hidden="1"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spans="2:26" ht="13.5" hidden="1"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spans="2:26" ht="13.5" hidden="1"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spans="2:26" ht="13.5" hidden="1"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spans="2:26" ht="13.5" hidden="1"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spans="2:26" ht="13.5" hidden="1"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spans="2:26" ht="13.5" hidden="1"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spans="2:26" ht="13.5" hidden="1"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spans="2:26" ht="13.5" hidden="1"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spans="2:26" ht="13.5" hidden="1"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spans="2:26" ht="13.5" hidden="1"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spans="2:26" ht="13.5" hidden="1"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spans="2:26" ht="13.5" hidden="1"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spans="2:26" ht="13.5" hidden="1"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spans="2:26" ht="13.5" hidden="1"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spans="2:26" ht="13.5" hidden="1"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spans="2:26" ht="13.5" hidden="1"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spans="2:26" ht="13.5" hidden="1"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spans="2:26" ht="13.5" hidden="1"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spans="2:26" ht="13.5" hidden="1"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spans="2:26" ht="13.5" hidden="1"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spans="2:26" ht="13.5" hidden="1"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spans="2:26" ht="13.5" hidden="1"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spans="2:26" ht="13.5" hidden="1"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spans="2:26" ht="13.5" hidden="1"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spans="2:26" ht="13.5" hidden="1"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spans="2:26" ht="13.5" hidden="1"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spans="2:26" ht="13.5" hidden="1"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spans="2:26" ht="13.5" hidden="1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spans="2:26" ht="13.5" hidden="1"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spans="2:26" ht="13.5" hidden="1"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spans="2:26" ht="13.5" hidden="1"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spans="2:26" ht="13.5" hidden="1"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spans="2:26" ht="13.5" hidden="1"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spans="2:26" ht="13.5" hidden="1"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spans="2:26" ht="13.5" hidden="1"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spans="2:26" ht="13.5" hidden="1"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spans="2:26" ht="13.5" hidden="1"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spans="2:26" ht="13.5" hidden="1"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spans="2:26" ht="13.5" hidden="1"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spans="2:26" ht="13.5" hidden="1"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spans="2:26" ht="13.5" hidden="1"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spans="2:26" ht="13.5" hidden="1"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spans="2:26" ht="13.5" hidden="1"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spans="2:26" ht="13.5" hidden="1"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spans="2:26" ht="13.5" hidden="1"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spans="2:26" ht="13.5" hidden="1"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spans="2:26" ht="13.5" hidden="1"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spans="2:26" ht="13.5" hidden="1"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spans="2:26" ht="13.5" hidden="1"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spans="2:26" ht="13.5" hidden="1"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spans="2:26" ht="13.5" hidden="1"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spans="2:26" ht="13.5" hidden="1"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spans="2:26" ht="13.5" hidden="1"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spans="2:26" ht="13.5" hidden="1"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spans="2:26" ht="13.5" hidden="1"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spans="2:26" ht="13.5" hidden="1"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spans="2:26" ht="13.5" hidden="1"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spans="2:26" ht="13.5" hidden="1"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spans="2:26" ht="13.5" hidden="1"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spans="2:26" ht="13.5" hidden="1"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spans="2:26" ht="13.5" hidden="1"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spans="2:26" ht="13.5" hidden="1"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spans="2:26" ht="13.5" hidden="1"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spans="2:26" ht="13.5" hidden="1"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spans="2:26" ht="13.5" hidden="1"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spans="2:26" ht="13.5" hidden="1"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spans="2:26" ht="13.5" hidden="1"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spans="2:26" ht="13.5" hidden="1"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spans="2:26" ht="13.5" hidden="1"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spans="2:26" ht="13.5" hidden="1"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spans="2:26" ht="13.5" hidden="1"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spans="2:26" ht="13.5" hidden="1"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spans="2:26" ht="13.5" hidden="1"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spans="2:26" ht="13.5" hidden="1"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spans="2:26" ht="13.5" hidden="1"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spans="2:26" ht="13.5" hidden="1"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spans="2:26" ht="13.5" hidden="1"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spans="2:26" ht="13.5" hidden="1"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spans="2:26" ht="13.5" hidden="1"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spans="2:26" ht="13.5" hidden="1"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spans="2:26" ht="13.5" hidden="1"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spans="2:26" ht="13.5" hidden="1"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spans="2:26" ht="13.5" hidden="1"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spans="2:26" ht="13.5" hidden="1"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spans="2:26" ht="13.5" hidden="1"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spans="2:26" ht="13.5" hidden="1"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spans="2:26" ht="13.5" hidden="1"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spans="2:26" ht="13.5" hidden="1"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spans="2:26" ht="13.5" hidden="1"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spans="2:26" ht="13.5" hidden="1"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spans="2:26" ht="13.5" hidden="1"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spans="2:26" ht="13.5" hidden="1"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spans="2:26" ht="13.5" hidden="1"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spans="2:26" ht="13.5" hidden="1"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spans="2:26" ht="13.5" hidden="1"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spans="2:26" ht="13.5" hidden="1"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spans="2:26" ht="13.5" hidden="1"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spans="2:26" ht="13.5" hidden="1"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spans="2:26" ht="13.5" hidden="1"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spans="2:26" ht="13.5" hidden="1"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spans="2:26" ht="13.5" hidden="1"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spans="2:26" ht="13.5" hidden="1"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spans="2:26" ht="13.5" hidden="1"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spans="2:26" ht="13.5" hidden="1"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spans="2:26" ht="13.5" hidden="1"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spans="2:26" ht="13.5" hidden="1"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spans="2:26" ht="13.5" hidden="1"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spans="2:26" ht="13.5" hidden="1"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spans="2:26" ht="13.5" hidden="1"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spans="2:26" ht="13.5" hidden="1"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spans="2:26" ht="13.5" hidden="1"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spans="2:26" ht="13.5" hidden="1"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spans="2:26" ht="13.5" hidden="1"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spans="2:26" ht="13.5" hidden="1"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spans="2:26" ht="13.5" hidden="1"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spans="2:26" ht="13.5" hidden="1"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spans="2:26" ht="13.5" hidden="1"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spans="2:26" ht="13.5" hidden="1"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spans="2:26" ht="13.5" hidden="1"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spans="2:26" ht="13.5" hidden="1"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spans="2:26" ht="13.5" hidden="1"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spans="2:26" ht="13.5" hidden="1"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 spans="2:26" ht="13.5" hidden="1"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 spans="2:26" ht="13.5" hidden="1"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 spans="2:26" ht="13.5" hidden="1"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 spans="2:26" ht="13.5" hidden="1"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 spans="2:26" ht="13.5" hidden="1"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 spans="2:26" ht="13.5" hidden="1"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 spans="2:26" ht="13.5" hidden="1"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 spans="2:26" ht="13.5" hidden="1"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 spans="2:26" ht="13.5" hidden="1"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 spans="2:26" ht="13.5" hidden="1"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 spans="2:26" ht="13.5" hidden="1"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 spans="2:26" ht="13.5" hidden="1"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 spans="2:26" ht="13.5" hidden="1"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 spans="2:26" ht="13.5" hidden="1"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 spans="2:26" ht="13.5" hidden="1"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 spans="2:26" ht="13.5" hidden="1"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 spans="2:26" ht="13.5" hidden="1"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 spans="2:26" ht="13.5" hidden="1"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 spans="2:26" ht="13.5" hidden="1"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 spans="2:26" ht="13.5" hidden="1"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 spans="2:26" ht="13.5" hidden="1"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 spans="2:26" ht="13.5" hidden="1"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 spans="2:26" ht="13.5" hidden="1"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 spans="2:26" ht="13.5" hidden="1"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 spans="2:26" ht="13.5" hidden="1"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 spans="2:26" ht="13.5" hidden="1"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 spans="2:26" ht="13.5" hidden="1"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 spans="2:26" ht="13.5" hidden="1"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 spans="2:26" ht="13.5" hidden="1"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 spans="2:26" ht="13.5" hidden="1"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 spans="2:26" ht="13.5" hidden="1"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 spans="2:26" ht="13.5" hidden="1"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 spans="2:26" ht="13.5" hidden="1"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 spans="2:26" ht="13.5" hidden="1"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 spans="2:26" ht="13.5" hidden="1"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 spans="2:26" ht="13.5" hidden="1"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 spans="2:26" ht="13.5" hidden="1"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 spans="2:26" ht="13.5" hidden="1"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 spans="2:26" ht="13.5" hidden="1"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 spans="2:26" ht="13.5" hidden="1"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 spans="2:26" ht="13.5" hidden="1"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 spans="2:26" ht="13.5" hidden="1"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 spans="2:26" ht="13.5" hidden="1"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 spans="2:26" ht="13.5" hidden="1"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 spans="2:26" ht="13.5" hidden="1"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 spans="2:26" ht="13.5" hidden="1"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 spans="2:26" ht="13.5" hidden="1"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 spans="2:26" ht="13.5" hidden="1"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 spans="2:26" ht="13.5" hidden="1"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 spans="2:26" ht="13.5" hidden="1"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spans="2:26" ht="13.5" hidden="1"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 spans="2:26" ht="13.5" hidden="1"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 spans="2:26" ht="13.5" hidden="1"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 spans="2:26" ht="13.5" hidden="1"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spans="2:26" ht="13.5" hidden="1"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spans="2:26" ht="13.5" hidden="1"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spans="2:26" ht="13.5" hidden="1"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 spans="2:26" ht="13.5" hidden="1"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spans="2:26" ht="13.5" hidden="1"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spans="2:26" ht="13.5" hidden="1"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spans="2:26" ht="13.5" hidden="1"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spans="2:26" ht="13.5" hidden="1"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spans="2:26" ht="13.5" hidden="1"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spans="2:26" ht="13.5" hidden="1"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spans="2:26" ht="13.5" hidden="1"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 spans="2:26" ht="13.5" hidden="1"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spans="2:26" ht="13.5" hidden="1"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 spans="2:26" ht="13.5" hidden="1"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 spans="2:26" ht="13.5" hidden="1"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 spans="2:26" ht="13.5" hidden="1"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spans="2:26" ht="13.5" hidden="1"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spans="2:26" ht="13.5" hidden="1"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spans="2:26" ht="13.5" hidden="1"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spans="2:26" ht="13.5" hidden="1"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spans="2:26" ht="13.5" hidden="1"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spans="2:26" ht="13.5" hidden="1"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 spans="2:26" ht="13.5" hidden="1"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 spans="2:26" ht="13.5" hidden="1"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 spans="2:26" ht="13.5" hidden="1"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spans="2:26" ht="13.5" hidden="1"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spans="2:26" ht="13.5" hidden="1"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spans="2:26" ht="13.5" hidden="1"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 spans="2:26" ht="13.5" hidden="1"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spans="2:26" ht="13.5" hidden="1"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 spans="2:26" ht="13.5" hidden="1"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 spans="2:26" ht="13.5" hidden="1"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 spans="2:26" ht="13.5" hidden="1"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 spans="2:26" ht="13.5" hidden="1"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 spans="2:26" ht="13.5" hidden="1"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 spans="2:26" ht="13.5" hidden="1"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 spans="2:26" ht="13.5" hidden="1"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 spans="2:26" ht="13.5" hidden="1"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 spans="2:26" ht="13.5" hidden="1"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 spans="2:26" ht="13.5" hidden="1"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 spans="2:26" ht="13.5" hidden="1"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 spans="2:26" ht="13.5" hidden="1"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 spans="2:26" ht="13.5" hidden="1"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 spans="2:26" ht="13.5" hidden="1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 spans="2:26" ht="13.5" hidden="1"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 spans="2:26" ht="13.5" hidden="1"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 spans="2:26" ht="13.5" hidden="1"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 spans="2:26" ht="13.5" hidden="1"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 spans="2:26" ht="13.5" hidden="1"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 spans="2:26" ht="13.5" hidden="1"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 spans="2:26" ht="13.5" hidden="1"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 spans="2:26" ht="13.5" hidden="1"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 spans="2:26" ht="13.5" hidden="1"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 spans="2:26" ht="13.5" hidden="1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 spans="2:26" ht="13.5" hidden="1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 spans="2:26" ht="13.5" hidden="1"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 spans="2:26" ht="13.5" hidden="1"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 spans="2:26" ht="13.5" hidden="1"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 spans="2:26" ht="13.5" hidden="1"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 spans="2:26" ht="13.5" hidden="1"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 spans="2:26" ht="13.5" hidden="1"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 spans="2:26" ht="13.5" hidden="1"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 spans="2:26" ht="13.5" hidden="1"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 spans="2:26" ht="13.5" hidden="1"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 spans="2:26" ht="13.5" hidden="1"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 spans="2:26" ht="13.5" hidden="1"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 spans="2:26" ht="13.5" hidden="1"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 spans="2:26" ht="13.5" hidden="1"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 spans="2:26" ht="13.5" hidden="1"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 spans="2:26" ht="13.5" hidden="1"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 spans="2:26" ht="13.5" hidden="1"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 spans="2:26" ht="13.5" hidden="1"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 spans="2:26" ht="13.5" hidden="1"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 spans="2:26" ht="13.5" hidden="1"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 spans="2:26" ht="13.5" hidden="1"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 spans="2:26" ht="13.5" hidden="1"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 spans="2:26" ht="13.5" hidden="1"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 spans="2:26" ht="13.5" hidden="1"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 spans="2:26" ht="13.5" hidden="1"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 spans="2:26" ht="13.5" hidden="1"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 spans="2:26" ht="13.5" hidden="1"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 spans="2:26" ht="13.5" hidden="1"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 spans="2:26" ht="13.5" hidden="1"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 spans="2:26" ht="13.5" hidden="1"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 spans="2:26" ht="13.5" hidden="1"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 spans="2:26" ht="13.5" hidden="1"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 spans="2:26" ht="13.5" hidden="1"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 spans="2:26" ht="13.5" hidden="1"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 spans="2:26" ht="13.5" hidden="1"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 spans="2:26" ht="13.5" hidden="1"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 spans="2:26" ht="13.5" hidden="1"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 spans="2:26" ht="13.5" hidden="1"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 spans="2:26" ht="13.5" hidden="1"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 spans="2:26" ht="13.5" hidden="1"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 spans="2:26" ht="13.5" hidden="1"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 spans="2:26" ht="13.5" hidden="1"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 spans="2:26" ht="13.5" hidden="1"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 spans="2:26" ht="13.5" hidden="1"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 spans="2:26" ht="13.5" hidden="1"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 spans="2:26" ht="13.5" hidden="1"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 spans="2:26" ht="13.5" hidden="1"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 spans="2:26" ht="13.5" hidden="1"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 spans="2:26" ht="13.5" hidden="1"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 spans="2:26" ht="13.5" hidden="1"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 spans="2:26" ht="13.5" hidden="1"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 spans="2:26" ht="13.5" hidden="1"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 spans="2:26" ht="13.5" hidden="1"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 spans="2:26" ht="13.5" hidden="1"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 spans="2:26" ht="13.5" hidden="1"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 spans="2:26" ht="13.5" hidden="1"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 spans="2:26" ht="13.5" hidden="1"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 spans="2:26" ht="13.5" hidden="1"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 spans="2:26" ht="13.5" hidden="1"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 spans="2:26" ht="13.5" hidden="1"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 spans="2:26" ht="13.5" hidden="1"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 spans="2:26" ht="13.5" hidden="1"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 spans="2:26" ht="13.5" hidden="1"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 spans="2:26" ht="13.5" hidden="1"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 spans="2:26" ht="13.5" hidden="1"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 spans="2:26" ht="13.5" hidden="1"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 spans="2:26" ht="13.5" hidden="1"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 spans="2:26" ht="13.5" hidden="1"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 spans="2:26" ht="13.5" hidden="1"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 spans="2:26" ht="13.5" hidden="1"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 spans="2:26" ht="13.5" hidden="1"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 spans="2:26" ht="13.5" hidden="1"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 spans="2:26" ht="13.5" hidden="1"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 spans="2:26" ht="13.5" hidden="1"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 spans="2:26" ht="13.5" hidden="1"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 spans="2:26" ht="13.5" hidden="1"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 spans="2:26" ht="13.5" hidden="1"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 spans="2:26" ht="13.5" hidden="1"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 spans="2:26" ht="13.5" hidden="1"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 spans="2:26" ht="13.5" hidden="1"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 spans="2:26" ht="13.5" hidden="1"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 spans="2:26" ht="13.5" hidden="1"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 spans="2:26" ht="13.5" hidden="1"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 spans="2:26" ht="13.5" hidden="1"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 spans="2:26" ht="13.5" hidden="1"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 spans="2:26" ht="13.5" hidden="1"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 spans="2:26" ht="13.5" hidden="1"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 spans="2:26" ht="13.5" hidden="1"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 spans="2:26" ht="13.5" hidden="1"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 spans="2:26" ht="13.5" hidden="1"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 spans="2:26" ht="13.5" hidden="1"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 spans="2:26" ht="13.5" hidden="1"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 spans="2:26" ht="13.5" hidden="1"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 spans="2:26" ht="13.5" hidden="1"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 spans="2:26" ht="13.5" hidden="1"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 spans="2:26" ht="13.5" hidden="1"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 spans="2:26" ht="13.5" hidden="1"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 spans="2:26" ht="13.5" hidden="1"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 spans="2:26" ht="13.5" hidden="1"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 spans="2:26" ht="13.5" hidden="1"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 spans="2:26" ht="13.5" hidden="1"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 spans="2:26" ht="13.5" hidden="1"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 spans="2:26" ht="13.5" hidden="1"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 spans="2:26" ht="13.5" hidden="1"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 spans="2:26" ht="13.5" hidden="1"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 spans="2:26" ht="13.5" hidden="1"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 spans="2:26" ht="13.5" hidden="1"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 spans="2:26" ht="13.5" hidden="1"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 spans="2:26" ht="13.5" hidden="1"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 spans="2:26" ht="13.5" hidden="1"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 spans="2:26" ht="13.5" hidden="1"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 spans="2:26" ht="13.5" hidden="1"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 spans="2:26" ht="13.5" hidden="1"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 spans="2:26" ht="13.5" hidden="1"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 spans="2:26" ht="13.5" hidden="1"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 spans="2:26" ht="13.5" hidden="1"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 spans="2:26" ht="13.5" hidden="1"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 spans="2:26" ht="13.5" hidden="1"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 spans="2:26" ht="13.5" hidden="1"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 spans="2:26" ht="13.5" hidden="1"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 spans="2:26" ht="13.5" hidden="1"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 spans="2:26" ht="13.5" hidden="1"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 spans="2:26" ht="13.5" hidden="1"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 spans="2:26" ht="13.5" hidden="1"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 spans="2:26" ht="13.5" hidden="1"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 spans="2:26" ht="13.5" hidden="1"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 spans="2:26" ht="13.5" hidden="1"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 spans="2:26" ht="13.5" hidden="1"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 spans="2:26" ht="13.5" hidden="1"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 spans="2:26" ht="13.5" hidden="1"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 spans="2:26" ht="13.5" hidden="1"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 spans="2:26" ht="13.5" hidden="1"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 spans="2:26" ht="13.5" hidden="1"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 spans="2:26" ht="13.5" hidden="1"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 spans="2:26" ht="13.5" hidden="1"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 spans="2:26" ht="13.5" hidden="1"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 spans="2:26" ht="13.5" hidden="1"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 spans="2:26" ht="13.5" hidden="1"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 spans="2:26" ht="13.5" hidden="1"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 spans="2:26" ht="13.5" hidden="1"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 spans="2:26" ht="13.5" hidden="1"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 spans="2:26" ht="13.5" hidden="1"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 spans="2:26" ht="13.5" hidden="1"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 spans="2:26" ht="13.5" hidden="1"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 spans="2:26" ht="13.5" hidden="1"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 spans="2:26" ht="13.5" hidden="1"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 spans="2:26" ht="13.5" hidden="1"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 spans="2:26" ht="13.5" hidden="1"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 spans="2:26" ht="13.5" hidden="1"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 spans="2:26" ht="13.5" hidden="1"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 spans="2:26" ht="13.5" hidden="1"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 spans="2:26" ht="13.5" hidden="1"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 spans="2:26" ht="13.5" hidden="1"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 spans="2:26" ht="13.5" hidden="1"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 spans="2:26" ht="13.5" hidden="1"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 spans="2:26" ht="13.5" hidden="1"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 spans="2:26" ht="13.5" hidden="1"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 spans="2:26" ht="13.5" hidden="1"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 spans="2:26" ht="13.5" hidden="1"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 spans="2:26" ht="13.5" hidden="1"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 spans="2:26" ht="13.5" hidden="1"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 spans="2:26" ht="13.5" hidden="1"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 spans="2:26" ht="13.5" hidden="1"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 spans="2:26" ht="13.5" hidden="1"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 spans="2:26" ht="13.5" hidden="1"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 spans="2:26" ht="13.5" hidden="1"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 spans="2:26" ht="13.5" hidden="1"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 spans="2:26" ht="13.5" hidden="1"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 spans="2:26" ht="13.5" hidden="1"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 spans="2:26" ht="13.5" hidden="1"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 spans="2:26" ht="13.5" hidden="1"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 spans="2:26" ht="13.5" hidden="1"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 spans="2:26" ht="13.5" hidden="1"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 spans="2:26" ht="13.5" hidden="1"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 spans="2:26" ht="13.5" hidden="1"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 spans="2:26" ht="13.5" hidden="1"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 spans="2:26" ht="13.5" hidden="1"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 spans="2:26" ht="13.5" hidden="1"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 spans="2:26" ht="13.5" hidden="1"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 spans="2:26" ht="13.5" hidden="1"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 spans="2:26" ht="13.5" hidden="1"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 spans="2:26" ht="13.5" hidden="1"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 spans="2:26" ht="13.5" hidden="1"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 spans="2:26" ht="13.5" hidden="1"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 spans="2:26" ht="13.5" hidden="1"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 spans="2:26" ht="13.5" hidden="1"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 spans="2:26" ht="13.5" hidden="1"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 spans="2:26" ht="13.5" hidden="1"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 spans="2:26" ht="13.5" hidden="1"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 spans="2:26" ht="13.5" hidden="1"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 spans="2:26" ht="13.5" hidden="1"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 spans="2:26" ht="13.5" hidden="1"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 spans="2:26" ht="13.5" hidden="1"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 spans="2:26" ht="13.5" hidden="1"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 spans="2:26" ht="13.5" hidden="1"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 spans="2:26" ht="13.5" hidden="1"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 spans="2:26" ht="13.5" hidden="1"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 spans="2:26" ht="13.5" hidden="1"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 spans="2:26" ht="13.5" hidden="1"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 spans="2:26" ht="13.5" hidden="1"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 spans="2:26" ht="13.5" hidden="1"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 spans="2:26" ht="13.5" hidden="1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 spans="2:26" ht="13.5" hidden="1"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 spans="2:26" ht="13.5" hidden="1"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 spans="2:26" ht="13.5" hidden="1"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 spans="2:26" ht="13.5" hidden="1"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 spans="2:26" ht="13.5" hidden="1"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 spans="2:26" ht="13.5" hidden="1"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 spans="2:26" ht="13.5" hidden="1"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 spans="2:26" ht="13.5" hidden="1"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 spans="2:26" ht="13.5" hidden="1"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 spans="2:26" ht="13.5" hidden="1"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 spans="2:26" ht="13.5" hidden="1"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 spans="2:26" ht="13.5" hidden="1"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 spans="2:26" ht="13.5" hidden="1"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 spans="2:26" ht="13.5" hidden="1"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 spans="2:26" ht="13.5" hidden="1"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 spans="2:26" ht="13.5" hidden="1"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 spans="2:26" ht="13.5" hidden="1"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 spans="2:26" ht="13.5" hidden="1"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 spans="2:26" ht="13.5" hidden="1"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 spans="2:26" ht="13.5" hidden="1"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 spans="2:26" ht="13.5" hidden="1"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 spans="2:26" ht="13.5" hidden="1"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 spans="2:26" ht="13.5" hidden="1"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 spans="2:26" ht="13.5" hidden="1"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 spans="2:26" ht="13.5" hidden="1"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 spans="2:26" ht="13.5" hidden="1"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 spans="2:26" ht="13.5" hidden="1"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 spans="2:26" ht="13.5" hidden="1"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 spans="2:26" ht="13.5" hidden="1"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 spans="2:26" ht="13.5" hidden="1"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 spans="2:26" ht="13.5" hidden="1"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 spans="2:26" ht="13.5" hidden="1"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 spans="2:26" ht="13.5" hidden="1"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 spans="2:26" ht="13.5" hidden="1"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 spans="2:26" ht="13.5" hidden="1"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 spans="2:26" ht="13.5" hidden="1"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 spans="2:26" ht="13.5" hidden="1"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 spans="2:26" ht="13.5" hidden="1"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 spans="2:26" ht="13.5" hidden="1"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 spans="2:26" ht="13.5" hidden="1"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 spans="2:26" ht="13.5" hidden="1"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 spans="2:26" ht="13.5" hidden="1"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 spans="2:26" ht="13.5" hidden="1"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 spans="2:26" ht="13.5" hidden="1"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 spans="2:26" ht="13.5" hidden="1"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 spans="2:26" ht="13.5" hidden="1"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 spans="2:26" ht="13.5" hidden="1"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 spans="2:26" ht="13.5" hidden="1"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 spans="2:26" ht="13.5" hidden="1"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 spans="2:26" ht="13.5" hidden="1"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 spans="2:26" ht="13.5" hidden="1"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 spans="2:26" ht="13.5" hidden="1"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 spans="2:26" ht="13.5" hidden="1"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 spans="2:26" ht="13.5" hidden="1"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 spans="2:26" ht="13.5" hidden="1"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 spans="2:26" ht="13.5" hidden="1"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 spans="2:26" ht="13.5" hidden="1"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 spans="2:26" ht="13.5" hidden="1"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 spans="2:26" ht="13.5" hidden="1"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 spans="2:26" ht="13.5" hidden="1"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 spans="2:26" ht="13.5" hidden="1"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 spans="2:26" ht="13.5" hidden="1"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 spans="2:26" ht="13.5" hidden="1"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 spans="2:26" ht="13.5" hidden="1"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 spans="2:26" ht="13.5" hidden="1"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 spans="2:26" ht="13.5" hidden="1"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 spans="2:26" ht="13.5" hidden="1"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 spans="2:26" ht="13.5" hidden="1"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 spans="2:26" ht="13.5" hidden="1"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 spans="2:26" ht="13.5" hidden="1"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 spans="2:26" ht="13.5" hidden="1"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 spans="2:26" ht="13.5" hidden="1"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 spans="2:26" ht="13.5" hidden="1"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 spans="2:26" ht="13.5" hidden="1"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 spans="2:26" ht="13.5" hidden="1"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 spans="2:26" ht="13.5" hidden="1"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 spans="2:26" ht="13.5" hidden="1"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 spans="2:26" ht="13.5" hidden="1"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 spans="2:26" ht="13.5" hidden="1"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 spans="2:26" ht="13.5" hidden="1"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 spans="2:26" ht="13.5" hidden="1"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 spans="2:26" ht="13.5" hidden="1"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 spans="2:26" ht="13.5" hidden="1"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 spans="2:26" ht="13.5" hidden="1"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 spans="2:26" ht="13.5" hidden="1"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 spans="2:26" ht="13.5" hidden="1"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 spans="2:26" ht="13.5" hidden="1"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 spans="2:26" ht="13.5" hidden="1"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 spans="2:26" ht="13.5" hidden="1"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 spans="2:26" ht="13.5" hidden="1"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 spans="2:26" ht="13.5" hidden="1"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 spans="2:26" ht="13.5" hidden="1"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 spans="2:26" ht="13.5" hidden="1"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 spans="2:26" ht="13.5" hidden="1"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 spans="2:26" ht="13.5" hidden="1"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 spans="2:26" ht="13.5" hidden="1"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 spans="2:26" ht="13.5" hidden="1"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 spans="2:26" ht="13.5" hidden="1"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 spans="2:26" ht="13.5" hidden="1"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 spans="2:26" ht="13.5" hidden="1"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 spans="2:26" ht="13.5" hidden="1"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 spans="2:26" ht="13.5" hidden="1"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 spans="2:26" ht="13.5" hidden="1"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 spans="2:26" ht="13.5" hidden="1"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 spans="2:26" ht="13.5" hidden="1"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 spans="2:26" ht="13.5" hidden="1"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 spans="2:26" ht="13.5" hidden="1"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 spans="2:26" ht="13.5" hidden="1"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 spans="2:26" ht="13.5" hidden="1"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</row>
    <row r="821" spans="2:26" ht="13.5" hidden="1"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</row>
    <row r="822" spans="2:26" ht="13.5" hidden="1"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 spans="2:26" ht="13.5" hidden="1"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</row>
    <row r="824" spans="2:26" ht="13.5" hidden="1"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 spans="2:26" ht="13.5" hidden="1"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</row>
    <row r="826" spans="2:26" ht="13.5" hidden="1"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 spans="2:26" ht="13.5" hidden="1"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 spans="2:26" ht="13.5" hidden="1"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 spans="2:26" ht="13.5" hidden="1"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</row>
    <row r="830" spans="2:26" ht="13.5" hidden="1"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 spans="2:26" ht="13.5" hidden="1"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 spans="2:26" ht="13.5" hidden="1"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</row>
    <row r="833" spans="2:26" ht="13.5" hidden="1"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 spans="2:26" ht="13.5" hidden="1"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</row>
    <row r="835" spans="2:26" ht="13.5" hidden="1"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</row>
    <row r="836" spans="2:26" ht="13.5" hidden="1"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 spans="2:26" ht="13.5" hidden="1"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</row>
    <row r="838" spans="2:26" ht="13.5" hidden="1"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</row>
    <row r="839" spans="2:26" ht="13.5" hidden="1"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</row>
    <row r="840" spans="2:26" ht="13.5" hidden="1"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</row>
    <row r="841" spans="2:26" ht="13.5" hidden="1"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</row>
    <row r="842" spans="2:26" ht="13.5" hidden="1"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</row>
    <row r="843" spans="2:26" ht="13.5" hidden="1"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 spans="2:26" ht="13.5" hidden="1"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</row>
    <row r="845" spans="2:26" ht="13.5" hidden="1"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 spans="2:26" ht="13.5" hidden="1"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</row>
    <row r="847" spans="2:26" ht="13.5" hidden="1"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</row>
    <row r="848" spans="2:26" ht="13.5" hidden="1"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</row>
    <row r="849" spans="2:26" ht="13.5" hidden="1"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 spans="2:26" ht="13.5" hidden="1"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</row>
    <row r="851" spans="2:26" ht="13.5" hidden="1"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</row>
    <row r="852" spans="2:26" ht="13.5" hidden="1"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</row>
    <row r="853" spans="2:26" ht="13.5" hidden="1"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</row>
    <row r="854" spans="2:26" ht="13.5" hidden="1"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</row>
    <row r="855" spans="2:26" ht="13.5" hidden="1"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</row>
    <row r="856" spans="2:26" ht="13.5" hidden="1"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 spans="2:26" ht="13.5" hidden="1"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 spans="2:26" ht="13.5" hidden="1"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 spans="2:26" ht="13.5" hidden="1"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</row>
    <row r="860" spans="2:26" ht="13.5" hidden="1"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</row>
    <row r="861" spans="2:26" ht="13.5" hidden="1"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</row>
    <row r="862" spans="2:26" ht="13.5" hidden="1"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</row>
    <row r="863" spans="2:26" ht="13.5" hidden="1"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 spans="2:26" ht="13.5" hidden="1"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</row>
    <row r="865" spans="2:26" ht="13.5" hidden="1"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</row>
    <row r="866" spans="2:26" ht="13.5" hidden="1"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 spans="2:26" ht="13.5" hidden="1"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 spans="2:26" ht="13.5" hidden="1"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 spans="2:26" ht="13.5" hidden="1"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 spans="2:26" ht="13.5" hidden="1"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 spans="2:26" ht="13.5" hidden="1"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</row>
    <row r="872" spans="2:26" ht="13.5" hidden="1"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 spans="2:26" ht="13.5" hidden="1"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 spans="2:26" ht="13.5" hidden="1"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 spans="2:26" ht="13.5" hidden="1"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</row>
    <row r="876" spans="2:26" ht="13.5" hidden="1"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 spans="2:26" ht="13.5" hidden="1"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 spans="2:26" ht="13.5" hidden="1"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 spans="2:26" ht="13.5" hidden="1"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 spans="2:26" ht="13.5" hidden="1"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 spans="2:26" ht="13.5" hidden="1"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</row>
    <row r="882" spans="2:26" ht="13.5" hidden="1"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 spans="2:26" ht="13.5" hidden="1"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 spans="2:26" ht="13.5" hidden="1"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</row>
    <row r="885" spans="2:26" ht="13.5" hidden="1"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</row>
    <row r="886" spans="2:26" ht="13.5" hidden="1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</row>
    <row r="887" spans="2:26" ht="13.5" hidden="1"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</row>
    <row r="888" spans="2:26" ht="13.5" hidden="1"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</row>
    <row r="889" spans="2:26" ht="13.5" hidden="1"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 spans="2:26" ht="13.5" hidden="1"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</row>
    <row r="891" spans="2:26" ht="13.5" hidden="1"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</row>
    <row r="892" spans="2:26" ht="13.5" hidden="1"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 spans="2:26" ht="13.5" hidden="1"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 spans="2:26" ht="13.5" hidden="1"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 spans="2:26" ht="13.5" hidden="1"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 spans="2:26" ht="13.5" hidden="1"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</row>
    <row r="897" spans="2:26" ht="13.5" hidden="1"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</row>
    <row r="898" spans="2:26" ht="13.5" hidden="1"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</row>
    <row r="899" spans="2:26" ht="13.5" hidden="1"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 spans="2:26" ht="13.5" hidden="1"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 spans="2:26" ht="13.5" hidden="1"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 spans="2:26" ht="13.5" hidden="1"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 spans="2:26" ht="13.5" hidden="1"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 spans="2:26" ht="13.5" hidden="1"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</row>
    <row r="905" spans="2:26" ht="13.5" hidden="1"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 spans="2:26" ht="13.5" hidden="1"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</row>
    <row r="907" spans="2:26" ht="13.5" hidden="1"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</row>
    <row r="908" spans="2:26" ht="13.5" hidden="1"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</row>
    <row r="909" spans="2:26" ht="13.5" hidden="1"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</row>
    <row r="910" spans="2:26" ht="13.5" hidden="1"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 spans="2:26" ht="13.5" hidden="1"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</row>
    <row r="912" spans="2:26" ht="13.5" hidden="1"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</row>
    <row r="913" spans="2:26" ht="13.5" hidden="1"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 spans="2:26" ht="13.5" hidden="1"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 spans="2:26" ht="13.5" hidden="1"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</row>
    <row r="916" spans="2:26" ht="13.5" hidden="1"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</row>
    <row r="917" spans="2:26" ht="13.5" hidden="1"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</row>
    <row r="918" spans="2:26" ht="13.5" hidden="1"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 spans="2:26" ht="13.5" hidden="1"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 spans="2:26" ht="13.5" hidden="1"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</row>
    <row r="921" spans="2:26" ht="13.5" hidden="1"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 spans="2:26" ht="13.5" hidden="1"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</row>
    <row r="923" spans="2:26" ht="13.5" hidden="1"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 spans="2:26" ht="13.5" hidden="1"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 spans="2:26" ht="13.5" hidden="1"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  <row r="926" spans="2:26" ht="13.5" hidden="1"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</row>
    <row r="927" spans="2:26" ht="13.5" hidden="1"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</row>
    <row r="928" spans="2:26" ht="13.5" hidden="1"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</row>
    <row r="929" spans="2:26" ht="13.5" hidden="1"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</row>
    <row r="930" spans="2:26" ht="13.5" hidden="1"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</row>
    <row r="931" spans="2:26" ht="13.5" hidden="1"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</row>
    <row r="932" spans="2:26" ht="13.5" hidden="1"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</row>
    <row r="933" spans="2:26" ht="13.5" hidden="1"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</row>
    <row r="934" spans="2:26" ht="13.5" hidden="1"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</row>
    <row r="935" spans="2:26" ht="13.5" hidden="1"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</row>
    <row r="936" spans="2:26" ht="13.5" hidden="1"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</row>
    <row r="937" spans="2:26" ht="13.5" hidden="1"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</row>
    <row r="938" spans="2:26" ht="13.5" hidden="1"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</row>
    <row r="939" spans="2:26" ht="13.5" hidden="1"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</row>
    <row r="940" spans="2:26" ht="13.5" hidden="1"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</row>
    <row r="941" spans="2:26" ht="13.5" hidden="1"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</row>
    <row r="942" spans="2:26" ht="13.5" hidden="1"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</row>
    <row r="943" spans="2:26" ht="13.5" hidden="1"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</row>
    <row r="944" spans="2:26" ht="13.5" hidden="1"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</row>
    <row r="945" spans="2:26" ht="13.5" hidden="1"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</row>
    <row r="946" spans="2:26" ht="13.5" hidden="1"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</row>
    <row r="947" spans="2:26" ht="13.5" hidden="1"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</row>
    <row r="948" spans="2:26" ht="13.5" hidden="1"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</row>
    <row r="949" spans="2:26" ht="13.5" hidden="1"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</row>
    <row r="950" spans="2:26" ht="13.5" hidden="1"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</row>
    <row r="951" spans="2:26" ht="13.5" hidden="1"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</row>
    <row r="952" spans="2:26" ht="13.5" hidden="1"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</row>
    <row r="953" spans="2:26" ht="13.5" hidden="1"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</row>
    <row r="954" spans="2:26" ht="13.5" hidden="1"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</row>
    <row r="955" spans="2:26" ht="13.5" hidden="1"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</row>
    <row r="956" spans="2:26" ht="13.5" hidden="1"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</row>
    <row r="957" spans="2:26" ht="13.5" hidden="1"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</row>
    <row r="958" spans="2:26" ht="13.5" hidden="1"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</row>
    <row r="959" spans="2:26" ht="13.5" hidden="1"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</row>
    <row r="960" spans="2:26" ht="13.5" hidden="1"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</row>
    <row r="961" spans="2:26" ht="13.5" hidden="1"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</row>
    <row r="962" spans="2:26" ht="13.5" hidden="1"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</row>
    <row r="963" spans="2:26" ht="13.5" hidden="1"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</row>
    <row r="964" spans="2:26" ht="13.5" hidden="1"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</row>
    <row r="965" spans="2:26" ht="13.5" hidden="1"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</row>
    <row r="966" spans="2:26" ht="13.5" hidden="1"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</row>
    <row r="967" spans="2:26" ht="13.5" hidden="1"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</row>
    <row r="968" spans="2:26" ht="13.5" hidden="1"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</row>
    <row r="969" spans="2:26" ht="13.5" hidden="1"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</row>
    <row r="970" spans="2:26" ht="13.5" hidden="1"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</row>
    <row r="971" spans="2:26" ht="13.5" hidden="1"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</row>
    <row r="972" spans="2:26" ht="13.5" hidden="1"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</row>
    <row r="973" spans="2:26" ht="13.5" hidden="1"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</row>
    <row r="974" spans="2:26" ht="13.5" hidden="1"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</row>
    <row r="975" spans="2:26" ht="13.5" hidden="1"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</row>
    <row r="976" spans="2:26" ht="13.5" hidden="1"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</row>
    <row r="977" spans="2:26" ht="13.5" hidden="1"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</row>
    <row r="978" spans="2:26" ht="13.5" hidden="1"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</row>
    <row r="979" spans="2:26" ht="13.5" hidden="1"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</row>
    <row r="980" spans="2:26" ht="13.5" hidden="1"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</row>
    <row r="981" spans="2:26" ht="13.5" hidden="1"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</row>
    <row r="982" spans="2:26" ht="13.5" hidden="1"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</row>
    <row r="983" spans="2:26" ht="13.5" hidden="1"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</row>
    <row r="984" spans="2:26" ht="13.5" hidden="1"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</row>
    <row r="985" spans="2:26" ht="13.5" hidden="1"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</row>
    <row r="986" spans="2:26" ht="13.5" hidden="1"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</row>
    <row r="987" spans="2:26" ht="13.5" hidden="1"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</row>
    <row r="988" spans="2:26" ht="13.5" hidden="1"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</row>
    <row r="989" spans="2:26" ht="13.5" hidden="1"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</row>
    <row r="990" spans="2:26" ht="13.5" hidden="1"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</row>
    <row r="991" spans="2:26" ht="13.5" hidden="1"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</row>
    <row r="992" spans="2:26" ht="13.5" hidden="1"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</row>
    <row r="993" spans="2:26" ht="13.5" hidden="1"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</row>
    <row r="994" spans="2:26" ht="13.5" hidden="1"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</row>
    <row r="995" spans="2:26" ht="13.5" hidden="1"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</row>
    <row r="996" spans="2:26" ht="13.5" hidden="1"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</row>
    <row r="997" spans="2:26" ht="13.5" hidden="1"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</row>
    <row r="998" spans="2:26" ht="13.5" hidden="1"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</row>
    <row r="999" spans="2:26" ht="13.5" hidden="1"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3</vt:i4>
      </vt:variant>
    </vt:vector>
  </HeadingPairs>
  <TitlesOfParts>
    <vt:vector size="9" baseType="lpstr">
      <vt:lpstr>교육과정편제표(관광경영과)</vt:lpstr>
      <vt:lpstr>교육과정편제표(보건간호과)</vt:lpstr>
      <vt:lpstr>실무과목 능력단위(관광경영과)</vt:lpstr>
      <vt:lpstr>실무과목 능력단위(보건간호과)</vt:lpstr>
      <vt:lpstr>삭제금지</vt:lpstr>
      <vt:lpstr>(참고1) 편성 기준🔐</vt:lpstr>
      <vt:lpstr>'교육과정편제표(관광경영과)'!Print_Area</vt:lpstr>
      <vt:lpstr>'교육과정편제표(보건간호과)'!Print_Area</vt:lpstr>
      <vt:lpstr>'실무과목 능력단위(관광경영과)'!Print_Area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KRIVET</dc:creator>
  <cp:lastModifiedBy>Teacher</cp:lastModifiedBy>
  <cp:lastPrinted>2021-10-27T23:58:37Z</cp:lastPrinted>
  <dcterms:created xsi:type="dcterms:W3CDTF">2020-03-04T02:26:59Z</dcterms:created>
  <dcterms:modified xsi:type="dcterms:W3CDTF">2026-10-06T01:29:26Z</dcterms:modified>
</cp:coreProperties>
</file>