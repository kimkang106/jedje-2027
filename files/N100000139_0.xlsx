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★교육과정 운영계획서\아오편제\"/>
    </mc:Choice>
  </mc:AlternateContent>
  <xr:revisionPtr revIDLastSave="0" documentId="13_ncr:1_{47C5AC80-A3C6-4E40-AFA3-29BC1558BC6E}" xr6:coauthVersionLast="47" xr6:coauthVersionMax="47" xr10:uidLastSave="{00000000-0000-0000-0000-000000000000}"/>
  <bookViews>
    <workbookView xWindow="-28920" yWindow="-2460" windowWidth="29040" windowHeight="15720" tabRatio="795" xr2:uid="{00000000-000D-0000-FFFF-FFFF00000000}"/>
  </bookViews>
  <sheets>
    <sheet name="교육과정편제표(K-POP공연예술과)" sheetId="8" r:id="rId1"/>
    <sheet name="실무과목 능력단위(K-POP공연예술과)" sheetId="14" r:id="rId2"/>
    <sheet name="삭제금지" sheetId="4" r:id="rId3"/>
    <sheet name="(참고1) 편성 기준🔐" sheetId="16" r:id="rId4"/>
  </sheets>
  <definedNames>
    <definedName name="_xlnm._FilterDatabase" localSheetId="0" hidden="1">'교육과정편제표(K-POP공연예술과)'!$M$3:$P$4</definedName>
    <definedName name="_xlnm._FilterDatabase" localSheetId="2" hidden="1">삭제금지!$A$1:$F$151</definedName>
    <definedName name="_xlnm._FilterDatabase" localSheetId="1" hidden="1">'실무과목 능력단위(K-POP공연예술과)'!#REF!</definedName>
    <definedName name="_xlnm.Print_Area" localSheetId="0">'교육과정편제표(K-POP공연예술과)'!$A$1:$AE$110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8" i="14" l="1"/>
  <c r="R18" i="14"/>
  <c r="Q18" i="14"/>
  <c r="P18" i="14"/>
  <c r="O18" i="14"/>
  <c r="N18" i="14"/>
  <c r="M18" i="14"/>
  <c r="L18" i="14"/>
  <c r="K18" i="14"/>
  <c r="J18" i="14"/>
  <c r="I18" i="14"/>
  <c r="H18" i="14"/>
  <c r="U17" i="14"/>
  <c r="T17" i="14"/>
  <c r="U16" i="14"/>
  <c r="T16" i="14"/>
  <c r="T15" i="14"/>
  <c r="K15" i="14"/>
  <c r="I15" i="14"/>
  <c r="U15" i="14" s="1"/>
  <c r="U14" i="14"/>
  <c r="T14" i="14"/>
  <c r="K14" i="14"/>
  <c r="I14" i="14"/>
  <c r="T11" i="14"/>
  <c r="U91" i="8"/>
  <c r="W60" i="8"/>
  <c r="T18" i="14" l="1"/>
  <c r="U18" i="14"/>
  <c r="W48" i="8"/>
  <c r="W53" i="8"/>
  <c r="W50" i="8"/>
  <c r="W51" i="8"/>
  <c r="K91" i="8"/>
  <c r="W75" i="8"/>
  <c r="W56" i="8" l="1"/>
  <c r="W58" i="8"/>
  <c r="W49" i="8"/>
  <c r="W54" i="8"/>
  <c r="W52" i="8"/>
  <c r="W21" i="8"/>
  <c r="W22" i="8"/>
  <c r="W16" i="8"/>
  <c r="W17" i="8"/>
  <c r="W11" i="8"/>
  <c r="W12" i="8"/>
  <c r="S99" i="8"/>
  <c r="O99" i="8"/>
  <c r="K99" i="8"/>
  <c r="W98" i="8"/>
  <c r="Y98" i="8" s="1"/>
  <c r="W97" i="8"/>
  <c r="AA98" i="8" s="1"/>
  <c r="Y94" i="8"/>
  <c r="W94" i="8"/>
  <c r="Y91" i="8"/>
  <c r="S91" i="8"/>
  <c r="Q91" i="8"/>
  <c r="O91" i="8"/>
  <c r="M91" i="8"/>
  <c r="I91" i="8"/>
  <c r="I93" i="8" s="1"/>
  <c r="H91" i="8"/>
  <c r="W67" i="8"/>
  <c r="W47" i="8"/>
  <c r="W46" i="8"/>
  <c r="W45" i="8"/>
  <c r="W44" i="8"/>
  <c r="W43" i="8"/>
  <c r="Y42" i="8"/>
  <c r="U42" i="8"/>
  <c r="S42" i="8"/>
  <c r="Q42" i="8"/>
  <c r="O42" i="8"/>
  <c r="M42" i="8"/>
  <c r="K42" i="8"/>
  <c r="H42" i="8"/>
  <c r="W39" i="8"/>
  <c r="W35" i="8"/>
  <c r="W34" i="8"/>
  <c r="W33" i="8"/>
  <c r="W32" i="8"/>
  <c r="W31" i="8"/>
  <c r="J31" i="8"/>
  <c r="W30" i="8"/>
  <c r="J30" i="8"/>
  <c r="W29" i="8"/>
  <c r="W28" i="8"/>
  <c r="W27" i="8"/>
  <c r="W26" i="8"/>
  <c r="W25" i="8"/>
  <c r="W24" i="8"/>
  <c r="W23" i="8"/>
  <c r="W20" i="8"/>
  <c r="W19" i="8"/>
  <c r="W18" i="8"/>
  <c r="W15" i="8"/>
  <c r="W14" i="8"/>
  <c r="W13" i="8"/>
  <c r="W10" i="8"/>
  <c r="W9" i="8"/>
  <c r="X44" i="8" l="1"/>
  <c r="J42" i="8"/>
  <c r="S93" i="8"/>
  <c r="J91" i="8"/>
  <c r="X30" i="8"/>
  <c r="X26" i="8"/>
  <c r="O93" i="8"/>
  <c r="X19" i="8"/>
  <c r="M93" i="8"/>
  <c r="W99" i="8"/>
  <c r="Q93" i="8"/>
  <c r="U93" i="8"/>
  <c r="W91" i="8"/>
  <c r="X28" i="8"/>
  <c r="X14" i="8"/>
  <c r="X9" i="8"/>
  <c r="AA100" i="8"/>
  <c r="Y93" i="8"/>
  <c r="H93" i="8"/>
  <c r="W42" i="8"/>
  <c r="AA42" i="8" s="1"/>
  <c r="X24" i="8"/>
  <c r="K93" i="8"/>
  <c r="U11" i="14"/>
  <c r="T12" i="14"/>
  <c r="U12" i="14"/>
  <c r="T10" i="14"/>
  <c r="K10" i="14"/>
  <c r="I10" i="14"/>
  <c r="J93" i="8" l="1"/>
  <c r="U10" i="14"/>
  <c r="W93" i="8"/>
  <c r="AA95" i="8" s="1"/>
  <c r="I9" i="14"/>
  <c r="U9" i="14" s="1"/>
  <c r="K9" i="14"/>
  <c r="T9" i="14"/>
  <c r="H13" i="14"/>
  <c r="I13" i="14"/>
  <c r="J13" i="14"/>
  <c r="K13" i="14"/>
  <c r="L13" i="14"/>
  <c r="M13" i="14"/>
  <c r="N13" i="14"/>
  <c r="O13" i="14"/>
  <c r="P13" i="14"/>
  <c r="R13" i="14"/>
  <c r="Q13" i="14" l="1"/>
  <c r="U13" i="14"/>
  <c r="S13" i="14"/>
  <c r="T1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4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<sst xmlns="http://schemas.openxmlformats.org/spreadsheetml/2006/main" count="1504" uniqueCount="587">
  <si>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</si>
  <si>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</si>
  <si>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</si>
  <si>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</si>
  <si>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</si>
  <si>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</si>
  <si>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</si>
  <si>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</si>
  <si>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</si>
  <si>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</si>
  <si>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</si>
  <si>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</si>
  <si>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</si>
  <si>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</si>
  <si>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</si>
  <si>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</si>
  <si>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</si>
  <si>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</si>
  <si>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</si>
  <si>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</si>
  <si>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</si>
  <si>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</si>
  <si>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</si>
  <si>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</si>
  <si>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</si>
  <si>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</si>
  <si>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</si>
  <si>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</si>
  <si>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</si>
  <si>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</si>
  <si>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</si>
  <si>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</si>
  <si>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</si>
  <si>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</si>
  <si>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</si>
  <si>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</si>
  <si>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</si>
  <si>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</si>
  <si>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</si>
  <si>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</si>
  <si>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</si>
  <si>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</si>
  <si>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</si>
  <si>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</si>
  <si>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</si>
  <si>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</si>
  <si>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</si>
  <si>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</si>
  <si>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</si>
  <si>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</si>
  <si>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</si>
  <si>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</si>
  <si>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</si>
  <si>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</si>
  <si>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</si>
  <si>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</si>
  <si>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</si>
  <si>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</si>
  <si>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</si>
  <si>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</si>
  <si>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</si>
  <si>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</si>
  <si>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</si>
  <si>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</si>
  <si>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</si>
  <si>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</si>
  <si>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</si>
  <si>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</si>
  <si>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</si>
  <si>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</si>
  <si>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</si>
  <si>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</si>
  <si>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</si>
  <si>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</si>
  <si>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</si>
  <si>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</si>
  <si>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</si>
  <si>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</si>
  <si>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</si>
  <si>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</si>
  <si>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</si>
  <si>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</si>
  <si>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</si>
  <si>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</si>
  <si>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</si>
  <si>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</si>
  <si>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</si>
  <si>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</si>
  <si>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</si>
  <si>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</si>
  <si>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</si>
  <si>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</si>
  <si>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</si>
  <si>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</si>
  <si>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</si>
  <si>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</si>
  <si>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</si>
  <si>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</si>
  <si>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</si>
  <si>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</si>
  <si>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</si>
  <si>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</si>
  <si>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</si>
  <si>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</si>
  <si>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</si>
  <si>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</si>
  <si>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</si>
  <si>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</si>
  <si>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</si>
  <si>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</si>
  <si>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</si>
  <si>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</si>
  <si>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</si>
  <si>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</si>
  <si>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</si>
  <si>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</si>
  <si>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</si>
  <si>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</si>
  <si>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</si>
  <si>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</si>
  <si>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</si>
  <si>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</si>
  <si>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</si>
  <si>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</si>
  <si>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</si>
  <si>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</si>
  <si>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</si>
  <si>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</si>
  <si>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</si>
  <si>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</si>
  <si>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</si>
  <si>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</si>
  <si>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</si>
  <si>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</si>
  <si>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</si>
  <si>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</si>
  <si>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</si>
  <si>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</si>
  <si>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</si>
  <si>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</si>
  <si>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</si>
  <si>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</si>
  <si>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</si>
  <si>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</si>
  <si>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</si>
  <si>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</si>
  <si>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</si>
  <si>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</si>
  <si>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</si>
  <si>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</si>
  <si>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</si>
  <si>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</si>
  <si>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전공
선택
(택1)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</si>
  <si>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</si>
  <si>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</si>
  <si>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</si>
  <si>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</si>
  <si>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</si>
  <si>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</si>
  <si>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</si>
  <si>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</si>
  <si>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</si>
  <si>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</si>
  <si>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</si>
  <si>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</si>
  <si>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</si>
  <si>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</si>
  <si>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</si>
  <si>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</si>
  <si>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</si>
  <si>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</si>
  <si>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</si>
  <si>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</si>
  <si>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</si>
  <si>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</si>
  <si>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</si>
  <si>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</si>
  <si>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</si>
  <si>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</si>
  <si>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</si>
  <si>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</si>
  <si>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</si>
  <si>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</si>
  <si>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</si>
  <si>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</si>
  <si>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</si>
  <si>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</si>
  <si>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</si>
  <si>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</si>
  <si>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</si>
  <si>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</si>
  <si>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</si>
  <si>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</si>
  <si>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</si>
  <si>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</si>
  <si>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</si>
  <si>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</si>
  <si>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</si>
  <si>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</si>
  <si>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</si>
  <si>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</si>
  <si>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</si>
  <si>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</si>
  <si>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</si>
  <si>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</si>
  <si>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</si>
  <si>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</si>
  <si>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</si>
  <si>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</si>
  <si>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</si>
  <si>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</si>
  <si>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</si>
  <si>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</si>
  <si>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</si>
  <si>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</si>
  <si>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</si>
  <si>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</si>
  <si>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</si>
  <si>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</si>
  <si>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</si>
  <si>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</si>
  <si>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</si>
  <si>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</si>
  <si>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</si>
  <si>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</si>
  <si>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</si>
  <si>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</si>
  <si>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</si>
  <si>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</si>
  <si>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</si>
  <si>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</si>
  <si>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</si>
  <si>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</si>
  <si>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</si>
  <si>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</si>
  <si>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</si>
  <si>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</si>
  <si>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</si>
  <si>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</si>
  <si>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</si>
  <si>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</si>
  <si>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</si>
  <si>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</si>
  <si>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</si>
  <si>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</si>
  <si>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</si>
  <si>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</si>
  <si>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</si>
  <si>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</si>
  <si>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</si>
  <si>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</si>
  <si>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</si>
  <si>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</si>
  <si>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</si>
  <si>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</si>
  <si>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</si>
  <si>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</si>
  <si>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</si>
  <si>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</si>
  <si>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</si>
  <si>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</si>
  <si>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</si>
  <si>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</si>
  <si>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</si>
  <si>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</si>
  <si>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</si>
  <si>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</si>
  <si>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</si>
  <si>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</si>
  <si>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</si>
  <si>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</si>
  <si>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</si>
  <si>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</si>
  <si>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</si>
  <si>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</si>
  <si>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</si>
  <si>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</si>
  <si>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</si>
  <si>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</si>
  <si>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</si>
  <si>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</si>
  <si>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</si>
  <si>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</si>
  <si>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</si>
  <si>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</si>
  <si>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</si>
  <si>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</si>
  <si>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</si>
  <si>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</si>
  <si>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</si>
  <si>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</si>
  <si>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</si>
  <si>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</si>
  <si>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</si>
  <si>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</si>
  <si>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</si>
  <si>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</si>
  <si>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</si>
  <si>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</si>
  <si>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</si>
  <si>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</si>
  <si>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</si>
  <si>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</si>
  <si>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</si>
  <si>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</si>
  <si>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</si>
  <si>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</si>
  <si>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</si>
  <si>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</si>
  <si>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</si>
  <si>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</si>
  <si>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</si>
  <si>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</si>
  <si>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</si>
  <si>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</si>
  <si>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</si>
  <si>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</si>
  <si>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</si>
  <si>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</si>
  <si>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</si>
  <si>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</si>
  <si>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</si>
  <si>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</si>
  <si>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</si>
  <si>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</si>
  <si>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</si>
  <si>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</si>
  <si>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</si>
  <si>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</si>
  <si>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</si>
  <si>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</si>
  <si>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</si>
  <si>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</si>
  <si>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</si>
  <si>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</si>
  <si>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</si>
  <si>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</si>
  <si>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</si>
  <si>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</si>
  <si>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</si>
  <si>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</si>
  <si>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</si>
  <si>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</si>
  <si>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</si>
  <si>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</si>
  <si>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</si>
  <si>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</si>
  <si>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</si>
  <si>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</si>
  <si>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</si>
  <si>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</si>
  <si>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</si>
  <si>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</si>
  <si>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</si>
  <si>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</si>
  <si>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</si>
  <si>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</si>
  <si>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</si>
  <si>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</si>
  <si>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</si>
  <si>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</si>
  <si>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</si>
  <si>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</si>
  <si>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</si>
  <si>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</si>
  <si>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</si>
  <si>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</si>
  <si>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</si>
  <si>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</si>
  <si>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</si>
  <si>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</si>
  <si>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</si>
  <si>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</si>
  <si>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</si>
  <si>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</si>
  <si>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</si>
  <si>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</si>
  <si>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</si>
  <si>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</si>
  <si>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</si>
  <si>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</si>
  <si>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</si>
  <si>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</si>
  <si>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</si>
  <si>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</si>
  <si>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</si>
  <si>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</si>
  <si>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</si>
  <si>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</si>
  <si>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</si>
  <si>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</si>
  <si>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</si>
  <si>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</si>
  <si>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</si>
  <si>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</si>
  <si>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</si>
  <si>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</si>
  <si>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</si>
  <si>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</si>
  <si>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</si>
  <si>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</si>
  <si>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</si>
  <si>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</si>
  <si>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</si>
  <si>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</si>
  <si>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</si>
  <si>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</si>
  <si>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</si>
  <si>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</si>
  <si>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</si>
  <si>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</si>
  <si>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</si>
  <si>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</si>
  <si>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</si>
  <si>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</si>
  <si>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</si>
  <si>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</si>
  <si>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</si>
  <si>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</si>
  <si>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</si>
  <si>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</si>
  <si>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</si>
  <si>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</si>
  <si>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</si>
  <si>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</si>
  <si>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</si>
  <si>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</si>
  <si>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</si>
  <si>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</si>
  <si>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</si>
  <si>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</si>
  <si>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</si>
  <si>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</si>
  <si>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</si>
  <si>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</si>
  <si>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</si>
  <si>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</si>
  <si>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</si>
  <si>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</si>
  <si>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</si>
  <si>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</si>
  <si>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</si>
  <si>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</si>
  <si>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</si>
  <si>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</si>
  <si>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</si>
  <si>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</si>
  <si>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</si>
  <si>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</si>
  <si>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</si>
  <si>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</si>
  <si>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</si>
  <si>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</si>
  <si>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</si>
  <si>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</si>
  <si>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</si>
  <si>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</si>
  <si>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</si>
  <si>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</si>
  <si>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</si>
  <si>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</si>
  <si>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</si>
  <si>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</si>
  <si>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</si>
  <si>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</si>
  <si>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</si>
  <si>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</si>
  <si>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</si>
  <si>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</si>
  <si>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</si>
  <si>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</si>
  <si>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</si>
  <si>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</si>
  <si>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</si>
  <si>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</si>
  <si>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</si>
  <si>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</si>
  <si>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</si>
  <si>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</si>
  <si>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</si>
  <si>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</si>
  <si>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</si>
  <si>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</si>
  <si>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</si>
  <si>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</si>
  <si>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</si>
  <si>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</si>
  <si>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</si>
  <si>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</si>
  <si>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</si>
  <si>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</si>
  <si>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</si>
  <si>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</si>
  <si>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</si>
  <si>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</si>
  <si>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</si>
  <si>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</si>
  <si>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</si>
  <si>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</si>
  <si>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</si>
  <si>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</si>
  <si>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</si>
  <si>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</si>
  <si>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</si>
  <si>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</si>
  <si>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</si>
  <si>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</si>
  <si>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</si>
  <si>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</si>
  <si>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</si>
  <si>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</si>
  <si>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</si>
  <si>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</si>
  <si>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</si>
  <si>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</si>
  <si>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2027학년도 교육과정 편제 및 학점배당표(마이스터고/특성화고)</t>
    <phoneticPr fontId="9" type="noConversion"/>
  </si>
  <si>
    <t>운동과 건강</t>
    <phoneticPr fontId="9" type="noConversion"/>
  </si>
  <si>
    <t>스포츠 과학*</t>
    <phoneticPr fontId="9" type="noConversion"/>
  </si>
  <si>
    <t>성공적인 직업생활</t>
    <phoneticPr fontId="9" type="noConversion"/>
  </si>
  <si>
    <t>문화예술디자인방송</t>
  </si>
  <si>
    <t>문화콘텐츠과</t>
  </si>
  <si>
    <t>K-POP공연예술과</t>
    <phoneticPr fontId="9" type="noConversion"/>
  </si>
  <si>
    <t>한국K-POP고등학교</t>
    <phoneticPr fontId="9" type="noConversion"/>
  </si>
  <si>
    <t>문화·예술·디자인·방송</t>
  </si>
  <si>
    <t>전공일반</t>
  </si>
  <si>
    <t>음악 콘텐츠 제작</t>
    <phoneticPr fontId="9" type="noConversion"/>
  </si>
  <si>
    <t>방송 콘텐츠 제작</t>
    <phoneticPr fontId="9" type="noConversion"/>
  </si>
  <si>
    <t>보컬코스</t>
    <phoneticPr fontId="9" type="noConversion"/>
  </si>
  <si>
    <t>안무가코스</t>
    <phoneticPr fontId="9" type="noConversion"/>
  </si>
  <si>
    <t>보컬·안무가 융합코스</t>
    <phoneticPr fontId="9" type="noConversion"/>
  </si>
  <si>
    <t>과정선택
(택1)</t>
    <phoneticPr fontId="9" type="noConversion"/>
  </si>
  <si>
    <t>안무</t>
    <phoneticPr fontId="9" type="noConversion"/>
  </si>
  <si>
    <t>시창·청음</t>
    <phoneticPr fontId="9" type="noConversion"/>
  </si>
  <si>
    <t>영상 제작 기초</t>
    <phoneticPr fontId="9" type="noConversion"/>
  </si>
  <si>
    <t>남기세</t>
    <phoneticPr fontId="9" type="noConversion"/>
  </si>
  <si>
    <t>041-641-6433</t>
    <phoneticPr fontId="9" type="noConversion"/>
  </si>
  <si>
    <t>박정수</t>
    <phoneticPr fontId="9" type="noConversion"/>
  </si>
  <si>
    <t>교무기획부장</t>
    <phoneticPr fontId="9" type="noConversion"/>
  </si>
  <si>
    <t>**심화 시창·청음</t>
    <phoneticPr fontId="9" type="noConversion"/>
  </si>
  <si>
    <t>**앙상블과 음악공연 제작</t>
    <phoneticPr fontId="9" type="noConversion"/>
  </si>
  <si>
    <t>**무용 작품 실습</t>
    <phoneticPr fontId="9" type="noConversion"/>
  </si>
  <si>
    <t>**공연 무용 제작 실습</t>
    <phoneticPr fontId="9" type="noConversion"/>
  </si>
  <si>
    <t>과정선택</t>
  </si>
  <si>
    <t>(택1)</t>
  </si>
  <si>
    <t>진로일반</t>
    <phoneticPr fontId="9" type="noConversion"/>
  </si>
  <si>
    <t>**실용무용 실습 기초</t>
    <phoneticPr fontId="9" type="noConversion"/>
  </si>
  <si>
    <t>프로그램 기획</t>
    <phoneticPr fontId="9" type="noConversion"/>
  </si>
  <si>
    <t>제작 편집</t>
    <phoneticPr fontId="9" type="noConversion"/>
  </si>
  <si>
    <t>스튜디오 제작</t>
    <phoneticPr fontId="9" type="noConversion"/>
  </si>
  <si>
    <t>종합 편집</t>
    <phoneticPr fontId="9" type="noConversion"/>
  </si>
  <si>
    <t>0803020101_16v2</t>
    <phoneticPr fontId="9" type="noConversion"/>
  </si>
  <si>
    <t>080302120_16v3</t>
    <phoneticPr fontId="9" type="noConversion"/>
  </si>
  <si>
    <t>0803020118_16v3</t>
    <phoneticPr fontId="9" type="noConversion"/>
  </si>
  <si>
    <t>0803020123_16v2</t>
    <phoneticPr fontId="9" type="noConversion"/>
  </si>
  <si>
    <t>음악 콘텐츠 제작 기초</t>
    <phoneticPr fontId="9" type="noConversion"/>
  </si>
  <si>
    <t>미디 테크닉</t>
    <phoneticPr fontId="9" type="noConversion"/>
  </si>
  <si>
    <t>편곡</t>
    <phoneticPr fontId="9" type="noConversion"/>
  </si>
  <si>
    <t>녹음</t>
    <phoneticPr fontId="9" type="noConversion"/>
  </si>
  <si>
    <t>믹스</t>
    <phoneticPr fontId="9" type="noConversion"/>
  </si>
  <si>
    <t>0803020316_16v2</t>
    <phoneticPr fontId="9" type="noConversion"/>
  </si>
  <si>
    <t>0803020317_16v2</t>
    <phoneticPr fontId="9" type="noConversion"/>
  </si>
  <si>
    <t>0803020319_22v3</t>
    <phoneticPr fontId="9" type="noConversion"/>
  </si>
  <si>
    <t>0803020321_16v3</t>
    <phoneticPr fontId="9" type="noConversion"/>
  </si>
  <si>
    <t>가수, 안무가</t>
    <phoneticPr fontId="9" type="noConversion"/>
  </si>
  <si>
    <t>**공연예술 종합실기1</t>
    <phoneticPr fontId="9" type="noConversion"/>
  </si>
  <si>
    <t>**공연예술 종합실기2</t>
    <phoneticPr fontId="9" type="noConversion"/>
  </si>
  <si>
    <t>**공연예술 공연실습1</t>
    <phoneticPr fontId="9" type="noConversion"/>
  </si>
  <si>
    <t>**공연예술 공연실습2</t>
    <phoneticPr fontId="9" type="noConversion"/>
  </si>
  <si>
    <t>*앙상블과 음악공연실습 기초1</t>
    <phoneticPr fontId="9" type="noConversion"/>
  </si>
  <si>
    <t>*현대무용과 실용적 이해1</t>
    <phoneticPr fontId="9" type="noConversion"/>
  </si>
  <si>
    <t>*앙상블과 음악공연실습 기초2</t>
    <phoneticPr fontId="9" type="noConversion"/>
  </si>
  <si>
    <t>*현대무용과 실용적 이해2</t>
    <phoneticPr fontId="9" type="noConversion"/>
  </si>
  <si>
    <t>*케이팝 프로듀싱1</t>
    <phoneticPr fontId="9" type="noConversion"/>
  </si>
  <si>
    <t>*케이팝 프로듀싱2</t>
    <phoneticPr fontId="9" type="noConversion"/>
  </si>
  <si>
    <t>*앙상블과 음악공연실습 심화1</t>
    <phoneticPr fontId="9" type="noConversion"/>
  </si>
  <si>
    <t>*앙상블과 음악공연실습 심화2</t>
    <phoneticPr fontId="9" type="noConversion"/>
  </si>
  <si>
    <t>*실용무용 창작과 응용1</t>
    <phoneticPr fontId="9" type="noConversion"/>
  </si>
  <si>
    <t>*실용무용 창작과 응용2</t>
    <phoneticPr fontId="9" type="noConversion"/>
  </si>
  <si>
    <t>*현대무용과 실용적 이해 심화1</t>
    <phoneticPr fontId="9" type="noConversion"/>
  </si>
  <si>
    <t>*현대무용과 실용적 이해 심화2</t>
    <phoneticPr fontId="9" type="noConversion"/>
  </si>
  <si>
    <t>*실용무용 창작과 응용 심화1</t>
    <phoneticPr fontId="9" type="noConversion"/>
  </si>
  <si>
    <t>*실용무용 창작과 응용 심화2</t>
    <phoneticPr fontId="9" type="noConversion"/>
  </si>
  <si>
    <t>*공연예술 심화실기2</t>
    <phoneticPr fontId="9" type="noConversion"/>
  </si>
  <si>
    <t>*공연예술 전공실기1</t>
    <phoneticPr fontId="5" type="noConversion"/>
  </si>
  <si>
    <t>*공연예술 전공실기2</t>
    <phoneticPr fontId="5" type="noConversion"/>
  </si>
  <si>
    <t>*공연예술 심화실기1</t>
    <phoneticPr fontId="9" type="noConversion"/>
  </si>
  <si>
    <t>3~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</si>
</sst>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5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1" fillId="0" borderId="0"/>
  </cellStyleXfs>
  <cellXfs count="6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5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19" xfId="0" applyFont="1" applyBorder="1" applyAlignment="1">
      <alignment vertical="center"/>
    </xf>
    <xf numFmtId="0" fontId="13" fillId="10" borderId="93" xfId="6" applyFont="1" applyFill="1" applyBorder="1" applyAlignment="1" applyProtection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2" fillId="12" borderId="95" xfId="0" applyFont="1" applyFill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0" fontId="37" fillId="9" borderId="14" xfId="7" applyNumberFormat="1" applyFont="1" applyFill="1" applyBorder="1" applyAlignment="1" applyProtection="1">
      <alignment horizontal="center" vertical="center" shrinkToFit="1"/>
    </xf>
    <xf numFmtId="176" fontId="37" fillId="9" borderId="14" xfId="7" applyNumberFormat="1" applyFont="1" applyFill="1" applyBorder="1" applyAlignment="1" applyProtection="1">
      <alignment horizontal="center" vertical="center" shrinkToFit="1"/>
    </xf>
    <xf numFmtId="176" fontId="38" fillId="18" borderId="14" xfId="0" applyNumberFormat="1" applyFont="1" applyFill="1" applyBorder="1" applyAlignment="1">
      <alignment horizontal="center" vertical="center" shrinkToFit="1"/>
    </xf>
    <xf numFmtId="176" fontId="18" fillId="16" borderId="95" xfId="7" applyNumberFormat="1" applyFont="1" applyFill="1" applyBorder="1" applyAlignment="1" applyProtection="1">
      <alignment horizontal="center" vertical="center" shrinkToFit="1"/>
    </xf>
    <xf numFmtId="0" fontId="28" fillId="11" borderId="95" xfId="7" applyFont="1" applyFill="1" applyBorder="1" applyAlignment="1" applyProtection="1">
      <alignment horizontal="center" vertical="center" wrapText="1"/>
    </xf>
    <xf numFmtId="0" fontId="37" fillId="9" borderId="94" xfId="7" applyNumberFormat="1" applyFont="1" applyFill="1" applyBorder="1" applyAlignment="1" applyProtection="1">
      <alignment horizontal="center" vertical="center" shrinkToFit="1"/>
    </xf>
    <xf numFmtId="176" fontId="37" fillId="9" borderId="94" xfId="7" applyNumberFormat="1" applyFont="1" applyFill="1" applyBorder="1" applyAlignment="1" applyProtection="1">
      <alignment horizontal="center" vertical="center" shrinkToFit="1"/>
    </xf>
    <xf numFmtId="176" fontId="36" fillId="16" borderId="95" xfId="7" applyNumberFormat="1" applyFont="1" applyFill="1" applyBorder="1" applyAlignment="1" applyProtection="1">
      <alignment horizontal="center" vertical="center" shrinkToFit="1"/>
    </xf>
    <xf numFmtId="176" fontId="38" fillId="18" borderId="11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36" fillId="16" borderId="95" xfId="7" applyNumberFormat="1" applyFont="1" applyFill="1" applyBorder="1" applyAlignment="1" applyProtection="1">
      <alignment horizontal="center" vertical="center" shrinkToFit="1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176" fontId="12" fillId="16" borderId="30" xfId="0" applyNumberFormat="1" applyFont="1" applyFill="1" applyBorder="1" applyAlignment="1">
      <alignment horizontal="right" vertical="center"/>
    </xf>
    <xf numFmtId="176" fontId="12" fillId="16" borderId="105" xfId="0" applyNumberFormat="1" applyFont="1" applyFill="1" applyBorder="1" applyAlignment="1">
      <alignment horizontal="right" vertical="center"/>
    </xf>
    <xf numFmtId="176" fontId="12" fillId="16" borderId="95" xfId="0" applyNumberFormat="1" applyFont="1" applyFill="1" applyBorder="1" applyAlignment="1">
      <alignment horizontal="right" vertical="center"/>
    </xf>
    <xf numFmtId="176" fontId="12" fillId="16" borderId="29" xfId="0" applyNumberFormat="1" applyFont="1" applyFill="1" applyBorder="1" applyAlignment="1">
      <alignment horizontal="right" vertical="center"/>
    </xf>
    <xf numFmtId="0" fontId="38" fillId="18" borderId="112" xfId="0" applyFont="1" applyFill="1" applyBorder="1" applyAlignment="1">
      <alignment horizontal="center" vertical="center" shrinkToFit="1"/>
    </xf>
    <xf numFmtId="176" fontId="7" fillId="0" borderId="10" xfId="0" applyNumberFormat="1" applyFont="1" applyBorder="1" applyAlignment="1">
      <alignment horizontal="right" vertical="center"/>
    </xf>
    <xf numFmtId="176" fontId="7" fillId="0" borderId="14" xfId="0" applyNumberFormat="1" applyFont="1" applyBorder="1" applyAlignment="1">
      <alignment horizontal="right" vertical="center"/>
    </xf>
    <xf numFmtId="0" fontId="37" fillId="9" borderId="30" xfId="7" applyNumberFormat="1" applyFont="1" applyFill="1" applyBorder="1" applyAlignment="1" applyProtection="1">
      <alignment horizontal="center" vertical="center" shrinkToFit="1"/>
    </xf>
    <xf numFmtId="0" fontId="37" fillId="9" borderId="109" xfId="7" applyNumberFormat="1" applyFont="1" applyFill="1" applyBorder="1" applyAlignment="1" applyProtection="1">
      <alignment horizontal="center" vertical="center" shrinkToFit="1"/>
    </xf>
    <xf numFmtId="176" fontId="7" fillId="0" borderId="103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07" xfId="7" applyNumberFormat="1" applyFont="1" applyFill="1" applyBorder="1" applyAlignment="1" applyProtection="1">
      <alignment horizontal="center" vertical="center" shrinkToFit="1"/>
    </xf>
    <xf numFmtId="0" fontId="37" fillId="9" borderId="116" xfId="7" applyNumberFormat="1" applyFont="1" applyFill="1" applyBorder="1" applyAlignment="1" applyProtection="1">
      <alignment horizontal="center" vertical="center" shrinkToFit="1"/>
    </xf>
    <xf numFmtId="0" fontId="37" fillId="9" borderId="113" xfId="7" applyNumberFormat="1" applyFont="1" applyFill="1" applyBorder="1" applyAlignment="1" applyProtection="1">
      <alignment horizontal="center" vertical="center" shrinkToFit="1"/>
    </xf>
    <xf numFmtId="176" fontId="7" fillId="0" borderId="28" xfId="0" applyNumberFormat="1" applyFont="1" applyBorder="1" applyAlignment="1">
      <alignment horizontal="right" vertical="center"/>
    </xf>
    <xf numFmtId="176" fontId="7" fillId="0" borderId="94" xfId="0" applyNumberFormat="1" applyFont="1" applyBorder="1" applyAlignment="1">
      <alignment horizontal="right" vertical="center"/>
    </xf>
    <xf numFmtId="176" fontId="36" fillId="16" borderId="30" xfId="7" applyNumberFormat="1" applyFont="1" applyFill="1" applyBorder="1" applyAlignment="1" applyProtection="1">
      <alignment horizontal="center" vertical="center" shrinkToFit="1"/>
    </xf>
    <xf numFmtId="0" fontId="36" fillId="16" borderId="30" xfId="7" applyNumberFormat="1" applyFont="1" applyFill="1" applyBorder="1" applyAlignment="1" applyProtection="1">
      <alignment horizontal="center" vertical="center" shrinkToFit="1"/>
    </xf>
    <xf numFmtId="0" fontId="20" fillId="9" borderId="0" xfId="7" applyNumberFormat="1" applyFont="1" applyFill="1" applyBorder="1" applyAlignment="1" applyProtection="1">
      <alignment horizontal="center" vertical="center" shrinkToFit="1"/>
    </xf>
    <xf numFmtId="0" fontId="37" fillId="0" borderId="94" xfId="7" applyNumberFormat="1" applyFont="1" applyFill="1" applyBorder="1" applyAlignment="1" applyProtection="1">
      <alignment horizontal="center" vertical="center" shrinkToFit="1"/>
    </xf>
    <xf numFmtId="0" fontId="37" fillId="0" borderId="113" xfId="7" applyNumberFormat="1" applyFont="1" applyFill="1" applyBorder="1" applyAlignment="1" applyProtection="1">
      <alignment horizontal="center" vertical="center" shrinkToFit="1"/>
    </xf>
    <xf numFmtId="0" fontId="37" fillId="0" borderId="115" xfId="7" applyNumberFormat="1" applyFont="1" applyFill="1" applyBorder="1" applyAlignment="1" applyProtection="1">
      <alignment horizontal="center" vertical="center" shrinkToFit="1"/>
    </xf>
    <xf numFmtId="0" fontId="37" fillId="0" borderId="108" xfId="7" applyNumberFormat="1" applyFont="1" applyFill="1" applyBorder="1" applyAlignment="1" applyProtection="1">
      <alignment horizontal="center" vertical="center" shrinkToFit="1"/>
    </xf>
    <xf numFmtId="0" fontId="37" fillId="0" borderId="114" xfId="7" applyNumberFormat="1" applyFont="1" applyFill="1" applyBorder="1" applyAlignment="1" applyProtection="1">
      <alignment horizontal="center" vertical="center" shrinkToFit="1"/>
    </xf>
    <xf numFmtId="0" fontId="12" fillId="12" borderId="117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0" fontId="12" fillId="0" borderId="107" xfId="0" applyFont="1" applyBorder="1" applyAlignment="1" applyProtection="1">
      <alignment horizontal="center" vertical="center" shrinkToFit="1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8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2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2" fillId="15" borderId="36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shrinkToFi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15" borderId="97" xfId="4" applyFont="1" applyFill="1" applyBorder="1" applyAlignment="1" applyProtection="1">
      <alignment horizontal="center" vertical="center" shrinkToFit="1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27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8" xfId="16" applyFont="1" applyFill="1" applyBorder="1" applyAlignment="1">
      <alignment horizontal="center" vertical="center"/>
    </xf>
    <xf numFmtId="0" fontId="35" fillId="0" borderId="129" xfId="16" applyFont="1" applyBorder="1" applyAlignment="1">
      <alignment vertical="center"/>
    </xf>
    <xf numFmtId="0" fontId="35" fillId="0" borderId="26" xfId="16" applyFont="1" applyBorder="1" applyAlignment="1">
      <alignment vertical="center"/>
    </xf>
    <xf numFmtId="0" fontId="35" fillId="0" borderId="23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1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6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1" borderId="142" xfId="16" applyFont="1" applyFill="1" applyBorder="1" applyAlignment="1">
      <alignment horizontal="center" vertical="center" wrapText="1"/>
    </xf>
    <xf numFmtId="0" fontId="35" fillId="21" borderId="143" xfId="16" applyFont="1" applyFill="1" applyBorder="1" applyAlignment="1">
      <alignment horizontal="center" vertical="center" wrapText="1"/>
    </xf>
    <xf numFmtId="0" fontId="47" fillId="21" borderId="143" xfId="16" applyFont="1" applyFill="1" applyBorder="1" applyAlignment="1">
      <alignment horizontal="center" vertical="center" wrapText="1"/>
    </xf>
    <xf numFmtId="0" fontId="47" fillId="21" borderId="144" xfId="16" applyFont="1" applyFill="1" applyBorder="1" applyAlignment="1">
      <alignment horizontal="center" vertical="center" wrapText="1"/>
    </xf>
    <xf numFmtId="0" fontId="35" fillId="0" borderId="19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8" fillId="0" borderId="148" xfId="16" applyFont="1" applyBorder="1" applyAlignment="1">
      <alignment horizontal="center" vertical="center" wrapText="1"/>
    </xf>
    <xf numFmtId="0" fontId="48" fillId="0" borderId="150" xfId="16" applyFont="1" applyBorder="1" applyAlignment="1">
      <alignment horizontal="center" vertical="center" wrapText="1"/>
    </xf>
    <xf numFmtId="0" fontId="48" fillId="0" borderId="154" xfId="16" applyFont="1" applyBorder="1" applyAlignment="1">
      <alignment horizontal="center" vertical="center" wrapText="1"/>
    </xf>
    <xf numFmtId="0" fontId="48" fillId="0" borderId="155" xfId="16" applyFont="1" applyBorder="1" applyAlignment="1">
      <alignment horizontal="center" vertical="center" wrapText="1"/>
    </xf>
    <xf numFmtId="0" fontId="48" fillId="0" borderId="158" xfId="16" applyFont="1" applyBorder="1" applyAlignment="1">
      <alignment horizontal="center" vertical="center" wrapText="1"/>
    </xf>
    <xf numFmtId="0" fontId="48" fillId="0" borderId="159" xfId="16" applyFont="1" applyBorder="1" applyAlignment="1">
      <alignment horizontal="center" vertical="center" wrapText="1"/>
    </xf>
    <xf numFmtId="0" fontId="48" fillId="0" borderId="161" xfId="16" applyFont="1" applyBorder="1" applyAlignment="1">
      <alignment horizontal="center" vertical="center" wrapText="1"/>
    </xf>
    <xf numFmtId="0" fontId="35" fillId="0" borderId="161" xfId="16" applyFont="1" applyBorder="1" applyAlignment="1">
      <alignment horizontal="center" vertical="center" wrapText="1"/>
    </xf>
    <xf numFmtId="0" fontId="48" fillId="0" borderId="162" xfId="16" applyFont="1" applyBorder="1" applyAlignment="1">
      <alignment horizontal="center" vertical="center" wrapText="1"/>
    </xf>
    <xf numFmtId="0" fontId="35" fillId="0" borderId="155" xfId="16" applyFont="1" applyBorder="1" applyAlignment="1">
      <alignment horizontal="center" vertical="center" wrapText="1"/>
    </xf>
    <xf numFmtId="0" fontId="35" fillId="0" borderId="158" xfId="16" applyFont="1" applyBorder="1" applyAlignment="1">
      <alignment horizontal="center" vertical="center" wrapText="1"/>
    </xf>
    <xf numFmtId="0" fontId="48" fillId="0" borderId="134" xfId="16" applyFont="1" applyBorder="1" applyAlignment="1">
      <alignment horizontal="center" vertical="center" wrapText="1"/>
    </xf>
    <xf numFmtId="0" fontId="50" fillId="21" borderId="134" xfId="16" applyFont="1" applyFill="1" applyBorder="1" applyAlignment="1">
      <alignment horizontal="center" vertical="center" wrapText="1"/>
    </xf>
    <xf numFmtId="0" fontId="51" fillId="0" borderId="155" xfId="16" applyFont="1" applyBorder="1" applyAlignment="1">
      <alignment horizontal="center" vertical="center" wrapText="1"/>
    </xf>
    <xf numFmtId="0" fontId="51" fillId="0" borderId="133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2" fillId="0" borderId="0" xfId="16" applyFont="1" applyBorder="1" applyAlignment="1">
      <alignment horizontal="center" vertical="center"/>
    </xf>
    <xf numFmtId="0" fontId="46" fillId="0" borderId="134" xfId="16" applyFont="1" applyBorder="1" applyAlignment="1">
      <alignment horizontal="center" vertical="center"/>
    </xf>
    <xf numFmtId="0" fontId="46" fillId="20" borderId="155" xfId="16" applyFont="1" applyFill="1" applyBorder="1" applyAlignment="1">
      <alignment horizontal="center" vertical="center"/>
    </xf>
    <xf numFmtId="0" fontId="46" fillId="20" borderId="133" xfId="16" applyFont="1" applyFill="1" applyBorder="1" applyAlignment="1">
      <alignment horizontal="center" vertical="center" wrapText="1"/>
    </xf>
    <xf numFmtId="0" fontId="52" fillId="0" borderId="155" xfId="16" applyFont="1" applyBorder="1" applyAlignment="1">
      <alignment horizontal="center" vertical="center" wrapText="1"/>
    </xf>
    <xf numFmtId="0" fontId="52" fillId="0" borderId="134" xfId="16" applyFont="1" applyBorder="1" applyAlignment="1">
      <alignment horizontal="center" vertical="center" wrapText="1"/>
    </xf>
    <xf numFmtId="0" fontId="46" fillId="0" borderId="155" xfId="16" applyFont="1" applyBorder="1" applyAlignment="1">
      <alignment horizontal="center" vertical="center" wrapText="1"/>
    </xf>
    <xf numFmtId="0" fontId="46" fillId="0" borderId="134" xfId="16" applyFont="1" applyBorder="1" applyAlignment="1">
      <alignment horizontal="center" vertical="center" wrapText="1"/>
    </xf>
    <xf numFmtId="0" fontId="35" fillId="0" borderId="155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6" fillId="20" borderId="134" xfId="16" applyFont="1" applyFill="1" applyBorder="1" applyAlignment="1">
      <alignment horizontal="center" vertical="center"/>
    </xf>
    <xf numFmtId="0" fontId="46" fillId="0" borderId="133" xfId="16" applyFont="1" applyBorder="1" applyAlignment="1">
      <alignment horizontal="center" vertical="center"/>
    </xf>
    <xf numFmtId="0" fontId="46" fillId="0" borderId="155" xfId="16" applyFont="1" applyBorder="1" applyAlignment="1">
      <alignment horizontal="center" vertical="center"/>
    </xf>
    <xf numFmtId="0" fontId="53" fillId="0" borderId="155" xfId="16" applyFont="1" applyBorder="1" applyAlignment="1">
      <alignment horizontal="center" vertical="center"/>
    </xf>
    <xf numFmtId="0" fontId="53" fillId="0" borderId="134" xfId="16" applyFont="1" applyBorder="1" applyAlignment="1">
      <alignment horizontal="center" vertical="center"/>
    </xf>
    <xf numFmtId="0" fontId="35" fillId="0" borderId="141" xfId="16" applyFont="1" applyBorder="1" applyAlignment="1">
      <alignment vertical="center"/>
    </xf>
    <xf numFmtId="0" fontId="35" fillId="0" borderId="139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35" fillId="0" borderId="167" xfId="16" applyFont="1" applyBorder="1" applyAlignment="1">
      <alignment vertical="center"/>
    </xf>
    <xf numFmtId="0" fontId="35" fillId="0" borderId="112" xfId="16" applyFont="1" applyBorder="1" applyAlignment="1">
      <alignment vertical="center"/>
    </xf>
    <xf numFmtId="0" fontId="35" fillId="0" borderId="137" xfId="16" applyFont="1" applyBorder="1" applyAlignment="1">
      <alignment vertical="center"/>
    </xf>
    <xf numFmtId="0" fontId="35" fillId="0" borderId="169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15" borderId="78" xfId="4" applyFont="1" applyFill="1" applyBorder="1" applyAlignment="1" applyProtection="1">
      <alignment horizontal="center" vertical="center" wrapText="1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0" fontId="0" fillId="0" borderId="104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05" xfId="0" applyBorder="1" applyAlignment="1" applyProtection="1">
      <alignment horizontal="center" vertical="center"/>
      <protection locked="0"/>
    </xf>
    <xf numFmtId="176" fontId="13" fillId="15" borderId="98" xfId="0" applyNumberFormat="1" applyFont="1" applyFill="1" applyBorder="1" applyAlignment="1">
      <alignment horizontal="center" vertical="center" wrapText="1"/>
    </xf>
    <xf numFmtId="0" fontId="13" fillId="15" borderId="6" xfId="4" applyFont="1" applyFill="1" applyBorder="1" applyAlignment="1" applyProtection="1">
      <alignment vertical="center" wrapText="1"/>
    </xf>
    <xf numFmtId="0" fontId="13" fillId="15" borderId="19" xfId="4" applyFont="1" applyFill="1" applyBorder="1" applyAlignment="1" applyProtection="1">
      <alignment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shrinkToFit="1"/>
    </xf>
    <xf numFmtId="0" fontId="13" fillId="15" borderId="78" xfId="4" applyFont="1" applyFill="1" applyBorder="1" applyAlignment="1" applyProtection="1">
      <alignment horizontal="center" vertical="center" wrapText="1"/>
    </xf>
    <xf numFmtId="0" fontId="22" fillId="15" borderId="97" xfId="4" applyFont="1" applyFill="1" applyBorder="1" applyAlignment="1" applyProtection="1">
      <alignment horizontal="center" vertical="center" wrapText="1"/>
    </xf>
    <xf numFmtId="0" fontId="22" fillId="15" borderId="55" xfId="4" applyFont="1" applyFill="1" applyBorder="1" applyAlignment="1" applyProtection="1">
      <alignment horizontal="center" vertical="center" wrapText="1"/>
    </xf>
    <xf numFmtId="0" fontId="22" fillId="0" borderId="56" xfId="4" applyFont="1" applyFill="1" applyBorder="1" applyAlignment="1" applyProtection="1">
      <alignment horizontal="center" vertical="center" wrapText="1"/>
    </xf>
    <xf numFmtId="0" fontId="22" fillId="15" borderId="57" xfId="4" applyFont="1" applyFill="1" applyBorder="1" applyAlignment="1" applyProtection="1">
      <alignment horizontal="center" vertical="center" wrapText="1"/>
    </xf>
    <xf numFmtId="0" fontId="22" fillId="15" borderId="67" xfId="4" applyFont="1" applyFill="1" applyBorder="1" applyAlignment="1" applyProtection="1">
      <alignment horizontal="center" vertical="center" wrapText="1"/>
    </xf>
    <xf numFmtId="0" fontId="22" fillId="15" borderId="99" xfId="4" applyFont="1" applyFill="1" applyBorder="1" applyAlignment="1" applyProtection="1">
      <alignment horizontal="center" vertical="center" wrapText="1"/>
    </xf>
    <xf numFmtId="0" fontId="22" fillId="15" borderId="182" xfId="4" applyFont="1" applyFill="1" applyBorder="1" applyAlignment="1" applyProtection="1">
      <alignment horizontal="center" vertical="center" wrapText="1"/>
    </xf>
    <xf numFmtId="0" fontId="22" fillId="15" borderId="42" xfId="4" applyFont="1" applyFill="1" applyBorder="1" applyAlignment="1" applyProtection="1">
      <alignment horizontal="center" vertical="center" wrapText="1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72" xfId="4" applyFont="1" applyFill="1" applyBorder="1" applyAlignment="1" applyProtection="1">
      <alignment horizontal="center" vertical="center" wrapText="1"/>
    </xf>
    <xf numFmtId="0" fontId="22" fillId="0" borderId="53" xfId="4" applyFont="1" applyFill="1" applyBorder="1" applyAlignment="1" applyProtection="1">
      <alignment horizontal="center" vertical="center" wrapText="1"/>
    </xf>
    <xf numFmtId="0" fontId="22" fillId="15" borderId="46" xfId="4" applyFont="1" applyFill="1" applyBorder="1" applyAlignment="1" applyProtection="1">
      <alignment horizontal="center" vertical="center" wrapText="1"/>
    </xf>
    <xf numFmtId="0" fontId="22" fillId="0" borderId="40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22" fillId="15" borderId="172" xfId="4" applyFont="1" applyFill="1" applyBorder="1" applyAlignment="1" applyProtection="1">
      <alignment horizontal="center" vertical="center" wrapText="1"/>
    </xf>
    <xf numFmtId="0" fontId="13" fillId="15" borderId="68" xfId="5" applyFont="1" applyFill="1" applyBorder="1" applyAlignment="1" applyProtection="1">
      <alignment horizontal="center" vertical="center" wrapText="1"/>
    </xf>
    <xf numFmtId="0" fontId="13" fillId="15" borderId="186" xfId="5" applyFont="1" applyFill="1" applyBorder="1" applyAlignment="1" applyProtection="1">
      <alignment horizontal="center" vertical="center" wrapText="1"/>
    </xf>
    <xf numFmtId="0" fontId="13" fillId="15" borderId="70" xfId="5" applyFont="1" applyFill="1" applyBorder="1" applyAlignment="1" applyProtection="1">
      <alignment horizontal="center" vertical="center" wrapText="1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78" xfId="4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6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18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22" fillId="0" borderId="65" xfId="4" applyFont="1" applyFill="1" applyBorder="1" applyAlignment="1" applyProtection="1">
      <alignment horizontal="center" vertical="center" wrapText="1"/>
      <protection locked="0"/>
    </xf>
    <xf numFmtId="0" fontId="22" fillId="0" borderId="23" xfId="4" applyFont="1" applyFill="1" applyBorder="1" applyAlignment="1" applyProtection="1">
      <alignment horizontal="center" vertical="center" wrapText="1"/>
      <protection locked="0"/>
    </xf>
    <xf numFmtId="0" fontId="22" fillId="0" borderId="61" xfId="4" applyFont="1" applyFill="1" applyBorder="1" applyAlignment="1" applyProtection="1">
      <alignment horizontal="center" vertical="center" wrapText="1"/>
      <protection locked="0"/>
    </xf>
    <xf numFmtId="0" fontId="22" fillId="0" borderId="20" xfId="4" applyFont="1" applyFill="1" applyBorder="1" applyAlignment="1" applyProtection="1">
      <alignment horizontal="center" vertical="center" wrapText="1"/>
      <protection locked="0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0" borderId="64" xfId="4" applyFont="1" applyFill="1" applyBorder="1" applyAlignment="1" applyProtection="1">
      <alignment horizontal="center" vertical="center" wrapText="1"/>
    </xf>
    <xf numFmtId="0" fontId="22" fillId="0" borderId="92" xfId="4" applyFont="1" applyFill="1" applyBorder="1" applyAlignment="1" applyProtection="1">
      <alignment horizontal="center" vertical="center" wrapText="1"/>
    </xf>
    <xf numFmtId="0" fontId="22" fillId="0" borderId="53" xfId="4" applyFont="1" applyFill="1" applyBorder="1" applyAlignment="1" applyProtection="1">
      <alignment horizontal="center" vertical="center" wrapTex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33" xfId="4" applyFont="1" applyFill="1" applyBorder="1" applyAlignment="1" applyProtection="1">
      <alignment horizontal="center" vertical="center" wrapText="1"/>
      <protection locked="0"/>
    </xf>
    <xf numFmtId="0" fontId="22" fillId="0" borderId="68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71" xfId="4" applyFont="1" applyFill="1" applyBorder="1" applyAlignment="1" applyProtection="1">
      <alignment horizontal="center" vertical="center" wrapText="1"/>
      <protection locked="0"/>
    </xf>
    <xf numFmtId="0" fontId="22" fillId="0" borderId="126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22" fillId="0" borderId="181" xfId="4" applyFont="1" applyFill="1" applyBorder="1" applyAlignment="1" applyProtection="1">
      <alignment horizontal="center" vertical="center" wrapText="1"/>
      <protection locked="0"/>
    </xf>
    <xf numFmtId="0" fontId="22" fillId="0" borderId="178" xfId="4" applyFont="1" applyFill="1" applyBorder="1" applyAlignment="1" applyProtection="1">
      <alignment horizontal="center" vertical="center" wrapText="1"/>
      <protection locked="0"/>
    </xf>
    <xf numFmtId="0" fontId="22" fillId="0" borderId="176" xfId="4" applyFont="1" applyFill="1" applyBorder="1" applyAlignment="1" applyProtection="1">
      <alignment horizontal="center" vertical="center" wrapText="1"/>
      <protection locked="0"/>
    </xf>
    <xf numFmtId="0" fontId="22" fillId="0" borderId="88" xfId="4" applyFont="1" applyFill="1" applyBorder="1" applyAlignment="1" applyProtection="1">
      <alignment horizontal="center" vertical="center" wrapText="1"/>
      <protection locked="0"/>
    </xf>
    <xf numFmtId="0" fontId="22" fillId="0" borderId="179" xfId="4" applyFont="1" applyFill="1" applyBorder="1" applyAlignment="1" applyProtection="1">
      <alignment horizontal="center" vertical="center" wrapText="1"/>
      <protection locked="0"/>
    </xf>
    <xf numFmtId="0" fontId="22" fillId="0" borderId="180" xfId="4" applyFont="1" applyFill="1" applyBorder="1" applyAlignment="1" applyProtection="1">
      <alignment horizontal="center" vertical="center" wrapText="1"/>
      <protection locked="0"/>
    </xf>
    <xf numFmtId="0" fontId="22" fillId="0" borderId="79" xfId="4" applyFont="1" applyFill="1" applyBorder="1" applyAlignment="1" applyProtection="1">
      <alignment horizontal="center" vertical="center" wrapText="1"/>
      <protection locked="0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22" fillId="0" borderId="75" xfId="4" applyFont="1" applyFill="1" applyBorder="1" applyAlignment="1" applyProtection="1">
      <alignment horizontal="center" vertical="center" wrapText="1"/>
      <protection locked="0"/>
    </xf>
    <xf numFmtId="0" fontId="22" fillId="0" borderId="19" xfId="4" applyFont="1" applyFill="1" applyBorder="1" applyAlignment="1" applyProtection="1">
      <alignment horizontal="center" vertical="center" wrapText="1"/>
      <protection locked="0"/>
    </xf>
    <xf numFmtId="0" fontId="22" fillId="0" borderId="58" xfId="4" applyFont="1" applyFill="1" applyBorder="1" applyAlignment="1" applyProtection="1">
      <alignment horizontal="center" vertical="center" wrapText="1"/>
      <protection locked="0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22" fillId="0" borderId="54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22" fillId="0" borderId="124" xfId="4" applyFont="1" applyFill="1" applyBorder="1" applyAlignment="1" applyProtection="1">
      <alignment horizontal="center" vertical="center" wrapText="1"/>
      <protection locked="0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48" xfId="0" applyFont="1" applyFill="1" applyBorder="1" applyAlignment="1" applyProtection="1">
      <alignment horizontal="center" vertical="center" shrinkToFit="1"/>
      <protection locked="0"/>
    </xf>
    <xf numFmtId="0" fontId="22" fillId="0" borderId="52" xfId="0" applyFont="1" applyFill="1" applyBorder="1" applyAlignment="1" applyProtection="1">
      <alignment horizontal="center" vertical="center" shrinkToFit="1"/>
      <protection locked="0"/>
    </xf>
    <xf numFmtId="0" fontId="22" fillId="0" borderId="54" xfId="0" applyFont="1" applyFill="1" applyBorder="1" applyAlignment="1" applyProtection="1">
      <alignment horizontal="center" vertical="center" shrinkToFit="1"/>
      <protection locked="0"/>
    </xf>
    <xf numFmtId="0" fontId="22" fillId="0" borderId="51" xfId="0" applyFont="1" applyFill="1" applyBorder="1" applyAlignment="1" applyProtection="1">
      <alignment horizontal="center" vertical="center" shrinkToFit="1"/>
      <protection locked="0"/>
    </xf>
    <xf numFmtId="0" fontId="22" fillId="0" borderId="47" xfId="0" applyFont="1" applyFill="1" applyBorder="1" applyAlignment="1" applyProtection="1">
      <alignment horizontal="center" vertical="center" shrinkToFit="1"/>
      <protection locked="0"/>
    </xf>
    <xf numFmtId="0" fontId="22" fillId="0" borderId="58" xfId="0" applyFont="1" applyFill="1" applyBorder="1" applyAlignment="1" applyProtection="1">
      <alignment horizontal="center" vertical="center" shrinkToFit="1"/>
      <protection locked="0"/>
    </xf>
    <xf numFmtId="0" fontId="22" fillId="0" borderId="54" xfId="0" applyFont="1" applyBorder="1" applyAlignment="1" applyProtection="1">
      <alignment horizontal="center" vertical="center" shrinkToFit="1"/>
      <protection locked="0"/>
    </xf>
    <xf numFmtId="0" fontId="22" fillId="0" borderId="51" xfId="0" applyFont="1" applyBorder="1" applyAlignment="1" applyProtection="1">
      <alignment horizontal="center" vertical="center" shrinkToFit="1"/>
      <protection locked="0"/>
    </xf>
    <xf numFmtId="0" fontId="22" fillId="0" borderId="44" xfId="4" applyFont="1" applyFill="1" applyBorder="1" applyAlignment="1" applyProtection="1">
      <alignment horizontal="center" vertical="center" wrapText="1"/>
      <protection locked="0"/>
    </xf>
    <xf numFmtId="0" fontId="22" fillId="0" borderId="45" xfId="4" applyFont="1" applyFill="1" applyBorder="1" applyAlignment="1" applyProtection="1">
      <alignment horizontal="center" vertical="center" wrapText="1"/>
      <protection locked="0"/>
    </xf>
    <xf numFmtId="0" fontId="22" fillId="0" borderId="74" xfId="4" applyFont="1" applyFill="1" applyBorder="1" applyAlignment="1" applyProtection="1">
      <alignment horizontal="center" vertical="center" wrapText="1"/>
      <protection locked="0"/>
    </xf>
    <xf numFmtId="0" fontId="22" fillId="0" borderId="64" xfId="4" applyFont="1" applyFill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22" fillId="0" borderId="77" xfId="4" applyFont="1" applyFill="1" applyBorder="1" applyAlignment="1" applyProtection="1">
      <alignment horizontal="center" vertical="center" wrapText="1"/>
      <protection locked="0"/>
    </xf>
    <xf numFmtId="0" fontId="22" fillId="15" borderId="13" xfId="4" applyFont="1" applyFill="1" applyBorder="1" applyAlignment="1" applyProtection="1">
      <alignment horizontal="center" vertical="center" shrinkToFit="1"/>
    </xf>
    <xf numFmtId="0" fontId="22" fillId="15" borderId="78" xfId="4" applyFont="1" applyFill="1" applyBorder="1" applyAlignment="1" applyProtection="1">
      <alignment horizontal="center" vertical="center" shrinkToFit="1"/>
    </xf>
    <xf numFmtId="0" fontId="22" fillId="0" borderId="47" xfId="0" applyFont="1" applyBorder="1" applyAlignment="1" applyProtection="1">
      <alignment horizontal="center" vertical="center" shrinkToFit="1"/>
      <protection locked="0"/>
    </xf>
    <xf numFmtId="0" fontId="22" fillId="0" borderId="58" xfId="0" applyFont="1" applyBorder="1" applyAlignment="1" applyProtection="1">
      <alignment horizontal="center" vertical="center" shrinkToFit="1"/>
      <protection locked="0"/>
    </xf>
    <xf numFmtId="0" fontId="22" fillId="15" borderId="73" xfId="4" applyFont="1" applyFill="1" applyBorder="1" applyAlignment="1" applyProtection="1">
      <alignment horizontal="center" vertical="center" wrapText="1"/>
    </xf>
    <xf numFmtId="0" fontId="22" fillId="15" borderId="60" xfId="4" applyFont="1" applyFill="1" applyBorder="1" applyAlignment="1" applyProtection="1">
      <alignment horizontal="center" vertical="center" wrapText="1"/>
    </xf>
    <xf numFmtId="0" fontId="22" fillId="0" borderId="39" xfId="4" applyFont="1" applyFill="1" applyBorder="1" applyAlignment="1" applyProtection="1">
      <alignment horizontal="center" vertical="center" wrapText="1"/>
      <protection locked="0"/>
    </xf>
    <xf numFmtId="0" fontId="22" fillId="0" borderId="40" xfId="4" applyFont="1" applyFill="1" applyBorder="1" applyAlignment="1" applyProtection="1">
      <alignment horizontal="center" vertical="center" wrapText="1"/>
      <protection locked="0"/>
    </xf>
    <xf numFmtId="0" fontId="22" fillId="0" borderId="184" xfId="4" applyFont="1" applyFill="1" applyBorder="1" applyAlignment="1" applyProtection="1">
      <alignment horizontal="center" vertical="center" wrapText="1"/>
      <protection locked="0"/>
    </xf>
    <xf numFmtId="0" fontId="22" fillId="0" borderId="185" xfId="4" applyFont="1" applyFill="1" applyBorder="1" applyAlignment="1" applyProtection="1">
      <alignment horizontal="center" vertical="center" wrapText="1"/>
      <protection locked="0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3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19" xfId="4" applyFont="1" applyFill="1" applyBorder="1" applyAlignment="1" applyProtection="1">
      <alignment horizontal="center" vertical="center" wrapText="1"/>
    </xf>
    <xf numFmtId="0" fontId="22" fillId="15" borderId="18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22" fillId="15" borderId="74" xfId="4" applyFont="1" applyFill="1" applyBorder="1" applyAlignment="1" applyProtection="1">
      <alignment horizontal="center" vertical="center" wrapText="1"/>
    </xf>
    <xf numFmtId="0" fontId="22" fillId="15" borderId="72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shrinkToFit="1"/>
    </xf>
    <xf numFmtId="0" fontId="22" fillId="0" borderId="125" xfId="4" applyFont="1" applyFill="1" applyBorder="1" applyAlignment="1" applyProtection="1">
      <alignment horizontal="center" vertical="center" wrapText="1"/>
      <protection locked="0"/>
    </xf>
    <xf numFmtId="0" fontId="13" fillId="15" borderId="173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172" xfId="4" applyFont="1" applyFill="1" applyBorder="1" applyAlignment="1" applyProtection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174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176" fontId="13" fillId="15" borderId="27" xfId="0" applyNumberFormat="1" applyFont="1" applyFill="1" applyBorder="1" applyAlignment="1">
      <alignment horizontal="center" vertical="center" wrapText="1"/>
    </xf>
    <xf numFmtId="0" fontId="0" fillId="0" borderId="95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22" xfId="4" applyFont="1" applyFill="1" applyBorder="1" applyAlignment="1" applyProtection="1">
      <alignment horizontal="center" vertical="center" wrapText="1"/>
    </xf>
    <xf numFmtId="0" fontId="13" fillId="15" borderId="123" xfId="4" applyFont="1" applyFill="1" applyBorder="1" applyAlignment="1" applyProtection="1">
      <alignment horizontal="center" vertical="center" wrapText="1"/>
    </xf>
    <xf numFmtId="0" fontId="13" fillId="15" borderId="124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7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7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100" xfId="6" applyFont="1" applyFill="1" applyBorder="1" applyAlignment="1" applyProtection="1">
      <alignment horizontal="center" vertical="center" wrapText="1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3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126" xfId="6" applyFont="1" applyFill="1" applyBorder="1" applyAlignment="1" applyProtection="1">
      <alignment horizontal="center" vertical="center" wrapText="1"/>
    </xf>
    <xf numFmtId="0" fontId="13" fillId="10" borderId="79" xfId="6" applyFont="1" applyFill="1" applyBorder="1" applyAlignment="1" applyProtection="1">
      <alignment horizontal="center" vertical="center" wrapText="1"/>
    </xf>
    <xf numFmtId="0" fontId="13" fillId="10" borderId="125" xfId="6" applyFont="1" applyFill="1" applyBorder="1" applyAlignment="1" applyProtection="1">
      <alignment horizontal="center" vertical="center" wrapText="1"/>
    </xf>
    <xf numFmtId="0" fontId="13" fillId="10" borderId="88" xfId="6" applyFont="1" applyFill="1" applyBorder="1" applyAlignment="1" applyProtection="1">
      <alignment horizontal="center" vertical="center" wrapText="1"/>
    </xf>
    <xf numFmtId="0" fontId="22" fillId="15" borderId="76" xfId="4" applyFont="1" applyFill="1" applyBorder="1" applyAlignment="1" applyProtection="1">
      <alignment horizontal="center" vertical="center" wrapText="1"/>
    </xf>
    <xf numFmtId="0" fontId="22" fillId="0" borderId="100" xfId="0" applyFont="1" applyFill="1" applyBorder="1" applyAlignment="1" applyProtection="1">
      <alignment horizontal="center" vertical="center" shrinkToFit="1"/>
      <protection locked="0"/>
    </xf>
    <xf numFmtId="0" fontId="22" fillId="0" borderId="101" xfId="0" applyFont="1" applyFill="1" applyBorder="1" applyAlignment="1" applyProtection="1">
      <alignment horizontal="center" vertical="center" shrinkToFit="1"/>
      <protection locked="0"/>
    </xf>
    <xf numFmtId="0" fontId="22" fillId="0" borderId="100" xfId="4" applyFont="1" applyFill="1" applyBorder="1" applyAlignment="1" applyProtection="1">
      <alignment horizontal="center" vertical="center" wrapText="1"/>
      <protection locked="0"/>
    </xf>
    <xf numFmtId="0" fontId="13" fillId="15" borderId="26" xfId="5" applyFont="1" applyFill="1" applyBorder="1" applyAlignment="1" applyProtection="1">
      <alignment horizontal="center" vertical="center" wrapText="1"/>
    </xf>
    <xf numFmtId="0" fontId="13" fillId="15" borderId="0" xfId="5" applyFont="1" applyFill="1" applyBorder="1" applyAlignment="1" applyProtection="1">
      <alignment horizontal="center" vertical="center" wrapText="1"/>
    </xf>
    <xf numFmtId="0" fontId="22" fillId="0" borderId="83" xfId="4" applyFont="1" applyFill="1" applyBorder="1" applyAlignment="1" applyProtection="1">
      <alignment horizontal="center" vertical="center" wrapText="1"/>
      <protection locked="0"/>
    </xf>
    <xf numFmtId="0" fontId="22" fillId="0" borderId="183" xfId="4" applyFont="1" applyFill="1" applyBorder="1" applyAlignment="1" applyProtection="1">
      <alignment horizontal="center" vertical="center" wrapText="1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22" fillId="0" borderId="22" xfId="4" applyFont="1" applyFill="1" applyBorder="1" applyAlignment="1" applyProtection="1">
      <alignment horizontal="center" vertical="center" wrapText="1"/>
      <protection locked="0"/>
    </xf>
    <xf numFmtId="0" fontId="22" fillId="0" borderId="63" xfId="4" applyFont="1" applyFill="1" applyBorder="1" applyAlignment="1" applyProtection="1">
      <alignment horizontal="center" vertical="center" wrapText="1"/>
      <protection locked="0"/>
    </xf>
    <xf numFmtId="0" fontId="22" fillId="0" borderId="48" xfId="2" applyFont="1" applyBorder="1" applyAlignment="1" applyProtection="1">
      <alignment horizontal="center" vertical="center" wrapText="1"/>
      <protection locked="0"/>
    </xf>
    <xf numFmtId="0" fontId="22" fillId="0" borderId="52" xfId="2" applyFont="1" applyBorder="1" applyAlignment="1" applyProtection="1">
      <alignment horizontal="center" vertical="center" wrapText="1"/>
      <protection locked="0"/>
    </xf>
    <xf numFmtId="0" fontId="22" fillId="0" borderId="171" xfId="0" applyFont="1" applyFill="1" applyBorder="1" applyAlignment="1" applyProtection="1">
      <alignment horizontal="center" vertical="center" shrinkToFit="1"/>
      <protection locked="0"/>
    </xf>
    <xf numFmtId="0" fontId="22" fillId="0" borderId="71" xfId="0" applyFont="1" applyFill="1" applyBorder="1" applyAlignment="1" applyProtection="1">
      <alignment horizontal="center" vertical="center" shrinkToFit="1"/>
      <protection locked="0"/>
    </xf>
    <xf numFmtId="0" fontId="22" fillId="0" borderId="171" xfId="4" applyFont="1" applyFill="1" applyBorder="1" applyAlignment="1" applyProtection="1">
      <alignment horizontal="center" vertical="center" wrapText="1"/>
      <protection locked="0"/>
    </xf>
    <xf numFmtId="0" fontId="22" fillId="0" borderId="175" xfId="4" applyFont="1" applyFill="1" applyBorder="1" applyAlignment="1" applyProtection="1">
      <alignment horizontal="center" vertical="center" wrapText="1"/>
      <protection locked="0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6" borderId="31" xfId="4" applyFont="1" applyFill="1" applyBorder="1" applyAlignment="1" applyProtection="1">
      <alignment horizontal="center" vertical="center" wrapText="1"/>
    </xf>
    <xf numFmtId="0" fontId="39" fillId="15" borderId="13" xfId="0" applyFont="1" applyFill="1" applyBorder="1" applyAlignment="1">
      <alignment horizontal="center" vertical="center" wrapText="1"/>
    </xf>
    <xf numFmtId="0" fontId="39" fillId="15" borderId="16" xfId="0" applyFont="1" applyFill="1" applyBorder="1" applyAlignment="1">
      <alignment horizontal="center" vertical="center" wrapText="1"/>
    </xf>
    <xf numFmtId="0" fontId="13" fillId="15" borderId="78" xfId="0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6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7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84" xfId="3" applyFont="1" applyFill="1" applyBorder="1" applyAlignment="1" applyProtection="1">
      <alignment horizontal="center" vertical="center" wrapText="1"/>
      <protection locked="0"/>
    </xf>
    <xf numFmtId="0" fontId="14" fillId="4" borderId="87" xfId="3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8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2" fillId="8" borderId="96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22" fillId="0" borderId="177" xfId="4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3" fillId="10" borderId="81" xfId="6" applyFont="1" applyFill="1" applyBorder="1" applyAlignment="1" applyProtection="1">
      <alignment horizontal="center" vertical="center" wrapText="1"/>
    </xf>
    <xf numFmtId="0" fontId="22" fillId="0" borderId="62" xfId="4" applyFont="1" applyFill="1" applyBorder="1" applyAlignment="1" applyProtection="1">
      <alignment horizontal="center" vertical="center" wrapText="1"/>
      <protection locked="0"/>
    </xf>
    <xf numFmtId="0" fontId="22" fillId="0" borderId="106" xfId="4" applyFont="1" applyFill="1" applyBorder="1" applyAlignment="1" applyProtection="1">
      <alignment horizontal="center" vertical="center" wrapText="1"/>
      <protection locked="0"/>
    </xf>
    <xf numFmtId="0" fontId="22" fillId="0" borderId="15" xfId="4" applyFont="1" applyFill="1" applyBorder="1" applyAlignment="1" applyProtection="1">
      <alignment horizontal="center" vertical="center" wrapText="1"/>
      <protection locked="0"/>
    </xf>
    <xf numFmtId="0" fontId="22" fillId="0" borderId="27" xfId="4" applyFont="1" applyFill="1" applyBorder="1" applyAlignment="1" applyProtection="1">
      <alignment horizontal="center" vertical="center" wrapText="1"/>
      <protection locked="0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15" borderId="27" xfId="5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85" xfId="6" applyFont="1" applyFill="1" applyBorder="1" applyAlignment="1" applyProtection="1">
      <alignment horizontal="center" vertical="center" wrapText="1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5" xfId="7" applyNumberFormat="1" applyFont="1" applyFill="1" applyBorder="1" applyAlignment="1" applyProtection="1">
      <alignment horizontal="center" vertical="center" shrinkToFit="1"/>
    </xf>
    <xf numFmtId="0" fontId="17" fillId="11" borderId="14" xfId="7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8" borderId="82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90" xfId="0" applyFont="1" applyFill="1" applyBorder="1" applyAlignment="1">
      <alignment horizontal="center" vertical="center"/>
    </xf>
    <xf numFmtId="0" fontId="26" fillId="8" borderId="55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 vertical="center"/>
    </xf>
    <xf numFmtId="0" fontId="0" fillId="0" borderId="91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5" xfId="7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7" fillId="11" borderId="94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27" fillId="11" borderId="94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5" xfId="7" applyFont="1" applyFill="1" applyBorder="1" applyAlignment="1">
      <alignment horizontal="center" vertical="center"/>
    </xf>
    <xf numFmtId="0" fontId="17" fillId="9" borderId="102" xfId="7" applyFont="1" applyFill="1" applyBorder="1" applyAlignment="1" applyProtection="1">
      <alignment horizontal="center" vertical="center" wrapText="1"/>
    </xf>
    <xf numFmtId="0" fontId="17" fillId="9" borderId="104" xfId="7" applyFont="1" applyFill="1" applyBorder="1" applyAlignment="1" applyProtection="1">
      <alignment horizontal="center" vertical="center" wrapText="1"/>
    </xf>
    <xf numFmtId="0" fontId="17" fillId="9" borderId="8" xfId="7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9" borderId="30" xfId="7" applyFont="1" applyFill="1" applyBorder="1" applyAlignment="1" applyProtection="1">
      <alignment horizontal="center" vertical="center" wrapText="1"/>
    </xf>
    <xf numFmtId="0" fontId="17" fillId="9" borderId="95" xfId="7" applyFont="1" applyFill="1" applyBorder="1" applyAlignment="1" applyProtection="1">
      <alignment horizontal="center" vertical="center" wrapText="1"/>
    </xf>
    <xf numFmtId="0" fontId="18" fillId="16" borderId="95" xfId="7" applyNumberFormat="1" applyFont="1" applyFill="1" applyBorder="1" applyAlignment="1" applyProtection="1">
      <alignment horizontal="center" vertical="center" shrinkToFit="1"/>
    </xf>
    <xf numFmtId="0" fontId="17" fillId="9" borderId="24" xfId="7" applyFont="1" applyFill="1" applyBorder="1" applyAlignment="1" applyProtection="1">
      <alignment horizontal="center" vertical="center" wrapText="1"/>
    </xf>
    <xf numFmtId="0" fontId="17" fillId="9" borderId="25" xfId="7" applyFont="1" applyFill="1" applyBorder="1" applyAlignment="1" applyProtection="1">
      <alignment horizontal="center" vertical="center" wrapText="1"/>
    </xf>
    <xf numFmtId="0" fontId="17" fillId="9" borderId="110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111" xfId="7" applyFont="1" applyFill="1" applyBorder="1" applyAlignment="1" applyProtection="1">
      <alignment horizontal="center" vertical="center" wrapText="1"/>
    </xf>
    <xf numFmtId="0" fontId="36" fillId="16" borderId="108" xfId="7" applyNumberFormat="1" applyFont="1" applyFill="1" applyBorder="1" applyAlignment="1" applyProtection="1">
      <alignment horizontal="center" vertical="center" shrinkToFit="1"/>
    </xf>
    <xf numFmtId="0" fontId="36" fillId="16" borderId="30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176" fontId="17" fillId="9" borderId="94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36" fillId="16" borderId="17" xfId="7" applyNumberFormat="1" applyFont="1" applyFill="1" applyBorder="1" applyAlignment="1" applyProtection="1">
      <alignment horizontal="center" vertical="center" shrinkToFit="1"/>
    </xf>
    <xf numFmtId="0" fontId="36" fillId="16" borderId="95" xfId="7" applyNumberFormat="1" applyFont="1" applyFill="1" applyBorder="1" applyAlignment="1" applyProtection="1">
      <alignment horizontal="center" vertical="center" shrinkToFit="1"/>
    </xf>
    <xf numFmtId="0" fontId="54" fillId="0" borderId="160" xfId="16" applyFont="1" applyBorder="1" applyAlignment="1">
      <alignment horizontal="center" vertical="center"/>
    </xf>
    <xf numFmtId="0" fontId="40" fillId="0" borderId="157" xfId="16" applyFont="1" applyBorder="1"/>
    <xf numFmtId="0" fontId="35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5" fillId="19" borderId="168" xfId="16" applyFont="1" applyFill="1" applyBorder="1" applyAlignment="1">
      <alignment horizontal="center" vertical="center" wrapText="1"/>
    </xf>
    <xf numFmtId="0" fontId="40" fillId="0" borderId="130" xfId="16" applyFont="1" applyBorder="1"/>
    <xf numFmtId="0" fontId="40" fillId="0" borderId="135" xfId="16" applyFont="1" applyBorder="1"/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2" fillId="20" borderId="138" xfId="16" applyFont="1" applyFill="1" applyBorder="1" applyAlignment="1">
      <alignment horizontal="center" vertical="center"/>
    </xf>
    <xf numFmtId="0" fontId="40" fillId="0" borderId="140" xfId="16" applyFont="1" applyBorder="1"/>
    <xf numFmtId="0" fontId="52" fillId="20" borderId="134" xfId="16" applyFont="1" applyFill="1" applyBorder="1" applyAlignment="1">
      <alignment horizontal="center" vertical="center"/>
    </xf>
    <xf numFmtId="0" fontId="40" fillId="0" borderId="133" xfId="16" applyFont="1" applyBorder="1"/>
    <xf numFmtId="0" fontId="40" fillId="0" borderId="132" xfId="16" applyFont="1" applyBorder="1"/>
    <xf numFmtId="0" fontId="53" fillId="0" borderId="138" xfId="16" applyFont="1" applyBorder="1" applyAlignment="1">
      <alignment horizontal="center" vertical="center"/>
    </xf>
    <xf numFmtId="0" fontId="55" fillId="0" borderId="140" xfId="16" applyFont="1" applyBorder="1"/>
    <xf numFmtId="0" fontId="46" fillId="20" borderId="132" xfId="16" applyFont="1" applyFill="1" applyBorder="1" applyAlignment="1">
      <alignment horizontal="center" vertical="center" wrapText="1"/>
    </xf>
    <xf numFmtId="0" fontId="46" fillId="0" borderId="134" xfId="16" applyFont="1" applyBorder="1" applyAlignment="1">
      <alignment horizontal="center" vertical="center" wrapText="1"/>
    </xf>
    <xf numFmtId="0" fontId="35" fillId="19" borderId="128" xfId="16" applyFont="1" applyFill="1" applyBorder="1" applyAlignment="1">
      <alignment horizontal="center" vertical="center" wrapText="1"/>
    </xf>
    <xf numFmtId="0" fontId="52" fillId="20" borderId="132" xfId="16" applyFont="1" applyFill="1" applyBorder="1" applyAlignment="1">
      <alignment horizontal="center" vertical="center" wrapText="1"/>
    </xf>
    <xf numFmtId="0" fontId="48" fillId="21" borderId="132" xfId="16" applyFont="1" applyFill="1" applyBorder="1" applyAlignment="1">
      <alignment horizontal="center" vertical="center" wrapText="1"/>
    </xf>
    <xf numFmtId="0" fontId="50" fillId="21" borderId="134" xfId="16" applyFont="1" applyFill="1" applyBorder="1" applyAlignment="1">
      <alignment horizontal="center" vertical="center" wrapText="1"/>
    </xf>
    <xf numFmtId="0" fontId="52" fillId="20" borderId="132" xfId="16" applyFont="1" applyFill="1" applyBorder="1" applyAlignment="1">
      <alignment horizontal="center" vertical="center"/>
    </xf>
    <xf numFmtId="0" fontId="52" fillId="0" borderId="134" xfId="16" applyFont="1" applyBorder="1" applyAlignment="1">
      <alignment horizontal="center" vertical="center"/>
    </xf>
    <xf numFmtId="0" fontId="46" fillId="20" borderId="132" xfId="16" applyFont="1" applyFill="1" applyBorder="1" applyAlignment="1">
      <alignment horizontal="center" vertical="center"/>
    </xf>
    <xf numFmtId="0" fontId="46" fillId="0" borderId="112" xfId="16" applyFont="1" applyBorder="1" applyAlignment="1">
      <alignment horizontal="center" vertical="center"/>
    </xf>
    <xf numFmtId="0" fontId="40" fillId="0" borderId="131" xfId="16" applyFont="1" applyBorder="1"/>
    <xf numFmtId="0" fontId="40" fillId="0" borderId="141" xfId="16" applyFont="1" applyBorder="1"/>
    <xf numFmtId="0" fontId="46" fillId="0" borderId="134" xfId="16" applyFont="1" applyBorder="1" applyAlignment="1">
      <alignment horizontal="center" vertical="center"/>
    </xf>
    <xf numFmtId="0" fontId="48" fillId="0" borderId="146" xfId="16" applyFont="1" applyBorder="1" applyAlignment="1">
      <alignment horizontal="center" vertical="center" wrapText="1"/>
    </xf>
    <xf numFmtId="0" fontId="40" fillId="0" borderId="152" xfId="16" applyFont="1" applyBorder="1"/>
    <xf numFmtId="0" fontId="48" fillId="0" borderId="149" xfId="16" applyFont="1" applyBorder="1" applyAlignment="1">
      <alignment horizontal="center" vertical="center" wrapText="1"/>
    </xf>
    <xf numFmtId="0" fontId="40" fillId="0" borderId="151" xfId="16" applyFont="1" applyBorder="1"/>
    <xf numFmtId="0" fontId="40" fillId="0" borderId="139" xfId="16" applyFont="1" applyBorder="1"/>
    <xf numFmtId="0" fontId="48" fillId="0" borderId="160" xfId="16" applyFont="1" applyBorder="1" applyAlignment="1">
      <alignment horizontal="center" vertical="center" wrapText="1"/>
    </xf>
    <xf numFmtId="0" fontId="48" fillId="0" borderId="162" xfId="16" applyFont="1" applyBorder="1" applyAlignment="1">
      <alignment horizontal="center" vertical="center" wrapText="1"/>
    </xf>
    <xf numFmtId="0" fontId="40" fillId="0" borderId="163" xfId="16" applyFont="1" applyBorder="1"/>
    <xf numFmtId="0" fontId="48" fillId="0" borderId="112" xfId="16" applyFont="1" applyBorder="1" applyAlignment="1">
      <alignment horizontal="center" vertical="center" wrapText="1"/>
    </xf>
    <xf numFmtId="0" fontId="48" fillId="0" borderId="164" xfId="16" applyFont="1" applyBorder="1" applyAlignment="1">
      <alignment horizontal="center" vertical="center" wrapText="1"/>
    </xf>
    <xf numFmtId="0" fontId="40" fillId="0" borderId="165" xfId="16" applyFont="1" applyBorder="1"/>
    <xf numFmtId="0" fontId="48" fillId="0" borderId="134" xfId="16" applyFont="1" applyBorder="1" applyAlignment="1">
      <alignment horizontal="center" vertical="center" wrapText="1"/>
    </xf>
    <xf numFmtId="0" fontId="47" fillId="21" borderId="144" xfId="16" applyFont="1" applyFill="1" applyBorder="1" applyAlignment="1">
      <alignment horizontal="center" vertical="center" wrapText="1"/>
    </xf>
    <xf numFmtId="0" fontId="40" fillId="0" borderId="145" xfId="16" applyFont="1" applyBorder="1"/>
    <xf numFmtId="0" fontId="48" fillId="0" borderId="147" xfId="16" applyFont="1" applyBorder="1" applyAlignment="1">
      <alignment horizontal="center" vertical="center" wrapText="1"/>
    </xf>
    <xf numFmtId="0" fontId="40" fillId="0" borderId="153" xfId="16" applyFont="1" applyBorder="1"/>
    <xf numFmtId="0" fontId="40" fillId="0" borderId="156" xfId="16" applyFont="1" applyBorder="1"/>
    <xf numFmtId="0" fontId="48" fillId="0" borderId="132" xfId="16" applyFont="1" applyBorder="1" applyAlignment="1">
      <alignment horizontal="center" vertical="center" wrapText="1"/>
    </xf>
    <xf numFmtId="0" fontId="50" fillId="0" borderId="134" xfId="16" applyFont="1" applyBorder="1" applyAlignment="1">
      <alignment horizontal="center" vertical="center" wrapText="1"/>
    </xf>
    <xf numFmtId="0" fontId="48" fillId="21" borderId="134" xfId="16" applyFont="1" applyFill="1" applyBorder="1" applyAlignment="1">
      <alignment horizontal="center" vertical="center" wrapText="1"/>
    </xf>
    <xf numFmtId="0" fontId="46" fillId="20" borderId="137" xfId="16" applyFont="1" applyFill="1" applyBorder="1" applyAlignment="1">
      <alignment horizontal="center" vertical="center"/>
    </xf>
    <xf numFmtId="0" fontId="40" fillId="0" borderId="138" xfId="16" applyFont="1" applyBorder="1"/>
    <xf numFmtId="0" fontId="46" fillId="0" borderId="112" xfId="16" applyFont="1" applyBorder="1" applyAlignment="1">
      <alignment horizontal="center" vertical="center" wrapText="1"/>
    </xf>
    <xf numFmtId="0" fontId="40" fillId="0" borderId="137" xfId="16" applyFont="1" applyBorder="1"/>
    <xf numFmtId="0" fontId="42" fillId="0" borderId="0" xfId="16" applyFont="1" applyAlignment="1">
      <alignment horizontal="center" vertical="center"/>
    </xf>
    <xf numFmtId="0" fontId="44" fillId="0" borderId="0" xfId="16" applyFont="1" applyAlignment="1"/>
    <xf numFmtId="0" fontId="45" fillId="0" borderId="129" xfId="16" applyFont="1" applyBorder="1" applyAlignment="1">
      <alignment horizontal="center" vertical="center"/>
    </xf>
    <xf numFmtId="0" fontId="40" fillId="0" borderId="26" xfId="16" applyFont="1" applyBorder="1"/>
    <xf numFmtId="0" fontId="40" fillId="0" borderId="23" xfId="16" applyFont="1" applyBorder="1"/>
    <xf numFmtId="0" fontId="45" fillId="8" borderId="4" xfId="16" applyFont="1" applyFill="1" applyBorder="1" applyAlignment="1">
      <alignment horizontal="center" vertical="center"/>
    </xf>
    <xf numFmtId="0" fontId="40" fillId="8" borderId="26" xfId="16" applyFont="1" applyFill="1" applyBorder="1"/>
    <xf numFmtId="0" fontId="40" fillId="8" borderId="23" xfId="16" applyFont="1" applyFill="1" applyBorder="1"/>
    <xf numFmtId="0" fontId="18" fillId="9" borderId="96" xfId="7" applyFont="1" applyFill="1" applyBorder="1" applyAlignment="1" applyProtection="1">
      <alignment horizontal="center" vertical="center" wrapText="1"/>
    </xf>
    <xf numFmtId="176" fontId="18" fillId="9" borderId="110" xfId="7" applyNumberFormat="1" applyFont="1" applyFill="1" applyBorder="1" applyAlignment="1" applyProtection="1">
      <alignment horizontal="center" vertical="center" wrapText="1"/>
    </xf>
    <xf numFmtId="0" fontId="20" fillId="9" borderId="94" xfId="7" applyNumberFormat="1" applyFont="1" applyFill="1" applyBorder="1" applyAlignment="1" applyProtection="1">
      <alignment horizontal="center" vertical="center" shrinkToFit="1"/>
    </xf>
    <xf numFmtId="176" fontId="20" fillId="9" borderId="94" xfId="7" applyNumberFormat="1" applyFont="1" applyFill="1" applyBorder="1" applyAlignment="1" applyProtection="1">
      <alignment horizontal="center" vertical="center" shrinkToFit="1"/>
    </xf>
    <xf numFmtId="176" fontId="57" fillId="0" borderId="94" xfId="0" applyNumberFormat="1" applyFont="1" applyBorder="1">
      <alignment vertical="center"/>
    </xf>
    <xf numFmtId="176" fontId="57" fillId="0" borderId="28" xfId="0" applyNumberFormat="1" applyFont="1" applyBorder="1">
      <alignment vertical="center"/>
    </xf>
    <xf numFmtId="0" fontId="18" fillId="9" borderId="24" xfId="7" applyFont="1" applyFill="1" applyBorder="1" applyAlignment="1" applyProtection="1">
      <alignment horizontal="center" vertical="center" wrapText="1"/>
    </xf>
    <xf numFmtId="176" fontId="18" fillId="9" borderId="9" xfId="7" applyNumberFormat="1" applyFont="1" applyFill="1" applyBorder="1" applyAlignment="1" applyProtection="1">
      <alignment horizontal="center" vertical="center" wrapText="1"/>
    </xf>
    <xf numFmtId="0" fontId="20" fillId="9" borderId="14" xfId="7" applyNumberFormat="1" applyFont="1" applyFill="1" applyBorder="1" applyAlignment="1" applyProtection="1">
      <alignment horizontal="center" vertical="center" shrinkToFit="1"/>
    </xf>
    <xf numFmtId="0" fontId="20" fillId="9" borderId="11" xfId="7" applyNumberFormat="1" applyFont="1" applyFill="1" applyBorder="1" applyAlignment="1" applyProtection="1">
      <alignment horizontal="center" vertical="center" shrinkToFit="1"/>
    </xf>
    <xf numFmtId="176" fontId="20" fillId="9" borderId="14" xfId="7" applyNumberFormat="1" applyFont="1" applyFill="1" applyBorder="1" applyAlignment="1" applyProtection="1">
      <alignment horizontal="center" vertical="center" shrinkToFit="1"/>
    </xf>
    <xf numFmtId="176" fontId="57" fillId="0" borderId="14" xfId="0" applyNumberFormat="1" applyFont="1" applyBorder="1">
      <alignment vertical="center"/>
    </xf>
    <xf numFmtId="176" fontId="57" fillId="0" borderId="10" xfId="0" applyNumberFormat="1" applyFont="1" applyBorder="1">
      <alignment vertical="center"/>
    </xf>
    <xf numFmtId="176" fontId="20" fillId="9" borderId="11" xfId="7" applyNumberFormat="1" applyFont="1" applyFill="1" applyBorder="1" applyAlignment="1" applyProtection="1">
      <alignment horizontal="center" vertical="center" shrinkToFit="1"/>
    </xf>
    <xf numFmtId="176" fontId="57" fillId="0" borderId="103" xfId="0" applyNumberFormat="1" applyFont="1" applyBorder="1">
      <alignment vertical="center"/>
    </xf>
    <xf numFmtId="176" fontId="57" fillId="0" borderId="11" xfId="0" applyNumberFormat="1" applyFont="1" applyBorder="1">
      <alignment vertical="center"/>
    </xf>
    <xf numFmtId="0" fontId="18" fillId="9" borderId="25" xfId="7" applyFont="1" applyFill="1" applyBorder="1" applyAlignment="1" applyProtection="1">
      <alignment horizontal="center" vertical="center" wrapText="1"/>
    </xf>
    <xf numFmtId="176" fontId="18" fillId="9" borderId="111" xfId="7" applyNumberFormat="1" applyFont="1" applyFill="1" applyBorder="1" applyAlignment="1" applyProtection="1">
      <alignment horizontal="center" vertical="center" wrapText="1"/>
    </xf>
    <xf numFmtId="176" fontId="18" fillId="16" borderId="95" xfId="7" applyNumberFormat="1" applyFont="1" applyFill="1" applyBorder="1" applyAlignment="1" applyProtection="1">
      <alignment horizontal="right" vertical="center" shrinkToFi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D132"/>
  <sheetViews>
    <sheetView tabSelected="1" view="pageBreakPreview" zoomScale="85" zoomScaleNormal="100" zoomScaleSheetLayoutView="85" workbookViewId="0">
      <pane ySplit="8" topLeftCell="A9" activePane="bottomLeft" state="frozen"/>
      <selection pane="bottomLeft" activeCell="I9" sqref="I9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467" t="s">
        <v>515</v>
      </c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8"/>
      <c r="V2" s="469" t="s">
        <v>130</v>
      </c>
      <c r="W2" s="470"/>
      <c r="X2" s="465">
        <v>2027</v>
      </c>
      <c r="Y2" s="466"/>
      <c r="AA2" s="471" t="s">
        <v>143</v>
      </c>
      <c r="AB2" s="19" t="s">
        <v>144</v>
      </c>
      <c r="AC2" s="65" t="s">
        <v>150</v>
      </c>
      <c r="AD2" s="20" t="s">
        <v>145</v>
      </c>
    </row>
    <row r="3" spans="2:30" ht="17.25" thickBot="1">
      <c r="B3" s="454" t="s">
        <v>359</v>
      </c>
      <c r="C3" s="456" t="s">
        <v>53</v>
      </c>
      <c r="D3" s="457"/>
      <c r="E3" s="457"/>
      <c r="F3" s="456" t="s">
        <v>64</v>
      </c>
      <c r="G3" s="460"/>
      <c r="H3" s="456" t="s">
        <v>54</v>
      </c>
      <c r="I3" s="457"/>
      <c r="J3" s="457"/>
      <c r="K3" s="456" t="s">
        <v>55</v>
      </c>
      <c r="L3" s="457"/>
      <c r="M3" s="457"/>
      <c r="N3" s="457"/>
      <c r="O3" s="460"/>
      <c r="P3" s="462" t="s">
        <v>56</v>
      </c>
      <c r="Q3" s="463"/>
      <c r="R3" s="463"/>
      <c r="S3" s="463"/>
      <c r="T3" s="463"/>
      <c r="U3" s="463"/>
      <c r="V3" s="463"/>
      <c r="W3" s="463"/>
      <c r="X3" s="463"/>
      <c r="Y3" s="464"/>
      <c r="AA3" s="472"/>
      <c r="AB3" s="21" t="s">
        <v>146</v>
      </c>
      <c r="AC3" s="72" t="s">
        <v>534</v>
      </c>
      <c r="AD3" s="22" t="s">
        <v>535</v>
      </c>
    </row>
    <row r="4" spans="2:30" ht="17.25" thickBot="1">
      <c r="B4" s="455"/>
      <c r="C4" s="458"/>
      <c r="D4" s="459"/>
      <c r="E4" s="459"/>
      <c r="F4" s="458"/>
      <c r="G4" s="461"/>
      <c r="H4" s="458"/>
      <c r="I4" s="459"/>
      <c r="J4" s="459"/>
      <c r="K4" s="458"/>
      <c r="L4" s="459"/>
      <c r="M4" s="459"/>
      <c r="N4" s="459"/>
      <c r="O4" s="461"/>
      <c r="P4" s="462" t="s">
        <v>127</v>
      </c>
      <c r="Q4" s="463"/>
      <c r="R4" s="463"/>
      <c r="S4" s="463"/>
      <c r="T4" s="462" t="s">
        <v>61</v>
      </c>
      <c r="U4" s="463"/>
      <c r="V4" s="464"/>
      <c r="W4" s="463" t="s">
        <v>128</v>
      </c>
      <c r="X4" s="463"/>
      <c r="Y4" s="464"/>
      <c r="AA4" s="472"/>
      <c r="AB4" s="23" t="s">
        <v>537</v>
      </c>
      <c r="AC4" s="73" t="s">
        <v>536</v>
      </c>
      <c r="AD4" s="22" t="s">
        <v>535</v>
      </c>
    </row>
    <row r="5" spans="2:30" ht="26.25" customHeight="1" thickBot="1">
      <c r="B5" s="112" t="s">
        <v>513</v>
      </c>
      <c r="C5" s="421" t="s">
        <v>522</v>
      </c>
      <c r="D5" s="422"/>
      <c r="E5" s="423"/>
      <c r="F5" s="421" t="s">
        <v>519</v>
      </c>
      <c r="G5" s="424"/>
      <c r="H5" s="425" t="s">
        <v>520</v>
      </c>
      <c r="I5" s="422"/>
      <c r="J5" s="423"/>
      <c r="K5" s="421"/>
      <c r="L5" s="422"/>
      <c r="M5" s="422"/>
      <c r="N5" s="422"/>
      <c r="O5" s="424"/>
      <c r="P5" s="425" t="s">
        <v>521</v>
      </c>
      <c r="Q5" s="422"/>
      <c r="R5" s="422"/>
      <c r="S5" s="423"/>
      <c r="T5" s="421" t="s">
        <v>34</v>
      </c>
      <c r="U5" s="422"/>
      <c r="V5" s="423"/>
      <c r="W5" s="426" t="s">
        <v>563</v>
      </c>
      <c r="X5" s="427"/>
      <c r="Y5" s="400"/>
      <c r="AA5" s="473"/>
      <c r="AB5" s="24" t="s">
        <v>147</v>
      </c>
      <c r="AC5" s="74" t="s">
        <v>536</v>
      </c>
      <c r="AD5" s="25" t="s">
        <v>535</v>
      </c>
    </row>
    <row r="6" spans="2:30" ht="15.75" customHeight="1" thickBot="1">
      <c r="U6" s="428"/>
      <c r="V6" s="428"/>
      <c r="W6" s="428"/>
      <c r="X6" s="428"/>
      <c r="Y6" s="428"/>
    </row>
    <row r="7" spans="2:30" s="10" customFormat="1" ht="22.5" customHeight="1">
      <c r="B7" s="429" t="s">
        <v>2</v>
      </c>
      <c r="C7" s="430"/>
      <c r="D7" s="433" t="s">
        <v>120</v>
      </c>
      <c r="E7" s="435" t="s">
        <v>57</v>
      </c>
      <c r="F7" s="436"/>
      <c r="G7" s="437"/>
      <c r="H7" s="438" t="s">
        <v>133</v>
      </c>
      <c r="I7" s="441" t="s">
        <v>134</v>
      </c>
      <c r="J7" s="445" t="s">
        <v>135</v>
      </c>
      <c r="K7" s="440" t="s">
        <v>58</v>
      </c>
      <c r="L7" s="441"/>
      <c r="M7" s="441"/>
      <c r="N7" s="442"/>
      <c r="O7" s="443" t="s">
        <v>59</v>
      </c>
      <c r="P7" s="441"/>
      <c r="Q7" s="441"/>
      <c r="R7" s="442"/>
      <c r="S7" s="440" t="s">
        <v>60</v>
      </c>
      <c r="T7" s="441"/>
      <c r="U7" s="441"/>
      <c r="V7" s="444"/>
      <c r="W7" s="438" t="s">
        <v>136</v>
      </c>
      <c r="X7" s="445"/>
      <c r="Y7" s="437" t="s">
        <v>137</v>
      </c>
      <c r="Z7" s="9"/>
    </row>
    <row r="8" spans="2:30" s="10" customFormat="1" ht="22.5" customHeight="1" thickBot="1">
      <c r="B8" s="431"/>
      <c r="C8" s="432"/>
      <c r="D8" s="434"/>
      <c r="E8" s="26" t="s">
        <v>18</v>
      </c>
      <c r="F8" s="448" t="s">
        <v>19</v>
      </c>
      <c r="G8" s="449"/>
      <c r="H8" s="439"/>
      <c r="I8" s="451"/>
      <c r="J8" s="446"/>
      <c r="K8" s="450" t="s">
        <v>0</v>
      </c>
      <c r="L8" s="451"/>
      <c r="M8" s="451" t="s">
        <v>62</v>
      </c>
      <c r="N8" s="452"/>
      <c r="O8" s="453" t="s">
        <v>0</v>
      </c>
      <c r="P8" s="451"/>
      <c r="Q8" s="451" t="s">
        <v>62</v>
      </c>
      <c r="R8" s="452"/>
      <c r="S8" s="450" t="s">
        <v>0</v>
      </c>
      <c r="T8" s="451"/>
      <c r="U8" s="451" t="s">
        <v>62</v>
      </c>
      <c r="V8" s="475"/>
      <c r="W8" s="439"/>
      <c r="X8" s="446"/>
      <c r="Y8" s="447"/>
      <c r="AA8" s="315" t="s">
        <v>499</v>
      </c>
      <c r="AB8" s="315"/>
      <c r="AC8" s="315"/>
      <c r="AD8" s="315"/>
    </row>
    <row r="9" spans="2:30" ht="16.5" customHeight="1" thickBot="1">
      <c r="B9" s="224" t="s">
        <v>336</v>
      </c>
      <c r="C9" s="225"/>
      <c r="D9" s="411" t="s">
        <v>21</v>
      </c>
      <c r="E9" s="75" t="s">
        <v>12</v>
      </c>
      <c r="F9" s="245" t="s">
        <v>200</v>
      </c>
      <c r="G9" s="264"/>
      <c r="H9" s="76">
        <v>4</v>
      </c>
      <c r="I9" s="77" t="s">
        <v>337</v>
      </c>
      <c r="J9" s="78">
        <v>3</v>
      </c>
      <c r="K9" s="245">
        <v>3</v>
      </c>
      <c r="L9" s="246"/>
      <c r="M9" s="247"/>
      <c r="N9" s="248"/>
      <c r="O9" s="249"/>
      <c r="P9" s="246"/>
      <c r="Q9" s="247"/>
      <c r="R9" s="248"/>
      <c r="S9" s="249"/>
      <c r="T9" s="246"/>
      <c r="U9" s="247"/>
      <c r="V9" s="264"/>
      <c r="W9" s="79">
        <f>SUM(K9:V9)</f>
        <v>3</v>
      </c>
      <c r="X9" s="417">
        <f>SUM(W9:W13)</f>
        <v>15</v>
      </c>
      <c r="Y9" s="413">
        <v>24</v>
      </c>
      <c r="AA9" s="173" t="s">
        <v>500</v>
      </c>
      <c r="AB9" s="174" t="s">
        <v>506</v>
      </c>
      <c r="AC9" s="174" t="s">
        <v>507</v>
      </c>
      <c r="AD9" s="175" t="s">
        <v>508</v>
      </c>
    </row>
    <row r="10" spans="2:30" ht="17.25" thickBot="1">
      <c r="B10" s="226"/>
      <c r="C10" s="227"/>
      <c r="D10" s="412"/>
      <c r="E10" s="80" t="s">
        <v>12</v>
      </c>
      <c r="F10" s="238" t="s">
        <v>201</v>
      </c>
      <c r="G10" s="244"/>
      <c r="H10" s="81">
        <v>4</v>
      </c>
      <c r="I10" s="82" t="s">
        <v>337</v>
      </c>
      <c r="J10" s="83">
        <v>3</v>
      </c>
      <c r="K10" s="238"/>
      <c r="L10" s="239"/>
      <c r="M10" s="240">
        <v>3</v>
      </c>
      <c r="N10" s="243"/>
      <c r="O10" s="242"/>
      <c r="P10" s="239"/>
      <c r="Q10" s="240"/>
      <c r="R10" s="243"/>
      <c r="S10" s="242"/>
      <c r="T10" s="239"/>
      <c r="U10" s="240"/>
      <c r="V10" s="244"/>
      <c r="W10" s="84">
        <f t="shared" ref="W10:W29" si="0">SUM(K10:V10)</f>
        <v>3</v>
      </c>
      <c r="X10" s="418"/>
      <c r="Y10" s="413"/>
      <c r="AA10" s="176" t="s">
        <v>501</v>
      </c>
      <c r="AB10" s="177">
        <v>4</v>
      </c>
      <c r="AC10" s="177">
        <v>-1</v>
      </c>
      <c r="AD10" s="22" t="s">
        <v>509</v>
      </c>
    </row>
    <row r="11" spans="2:30" ht="17.25" thickBot="1">
      <c r="B11" s="226"/>
      <c r="C11" s="227"/>
      <c r="D11" s="412"/>
      <c r="E11" s="80" t="s">
        <v>347</v>
      </c>
      <c r="F11" s="238" t="s">
        <v>203</v>
      </c>
      <c r="G11" s="244"/>
      <c r="H11" s="81">
        <v>4</v>
      </c>
      <c r="I11" s="82" t="s">
        <v>365</v>
      </c>
      <c r="J11" s="83">
        <v>3</v>
      </c>
      <c r="K11" s="238"/>
      <c r="L11" s="239"/>
      <c r="M11" s="240"/>
      <c r="N11" s="243"/>
      <c r="O11" s="242">
        <v>3</v>
      </c>
      <c r="P11" s="239"/>
      <c r="Q11" s="240"/>
      <c r="R11" s="243"/>
      <c r="S11" s="242"/>
      <c r="T11" s="239"/>
      <c r="U11" s="240"/>
      <c r="V11" s="244"/>
      <c r="W11" s="84">
        <f>SUM(K11:V11)</f>
        <v>3</v>
      </c>
      <c r="X11" s="418"/>
      <c r="Y11" s="413"/>
      <c r="AA11" s="176"/>
      <c r="AB11" s="177"/>
      <c r="AC11" s="177"/>
      <c r="AD11" s="22"/>
    </row>
    <row r="12" spans="2:30" ht="17.25" thickBot="1">
      <c r="B12" s="226"/>
      <c r="C12" s="227"/>
      <c r="D12" s="412"/>
      <c r="E12" s="85" t="s">
        <v>347</v>
      </c>
      <c r="F12" s="238" t="s">
        <v>204</v>
      </c>
      <c r="G12" s="244"/>
      <c r="H12" s="81">
        <v>4</v>
      </c>
      <c r="I12" s="82" t="s">
        <v>339</v>
      </c>
      <c r="J12" s="83">
        <v>3</v>
      </c>
      <c r="K12" s="238"/>
      <c r="L12" s="239"/>
      <c r="M12" s="240"/>
      <c r="N12" s="243"/>
      <c r="O12" s="242"/>
      <c r="P12" s="239"/>
      <c r="Q12" s="240">
        <v>3</v>
      </c>
      <c r="R12" s="243"/>
      <c r="S12" s="242"/>
      <c r="T12" s="239"/>
      <c r="U12" s="240"/>
      <c r="V12" s="244"/>
      <c r="W12" s="84">
        <f t="shared" si="0"/>
        <v>3</v>
      </c>
      <c r="X12" s="418"/>
      <c r="Y12" s="413"/>
      <c r="AA12" s="176"/>
      <c r="AB12" s="177"/>
      <c r="AC12" s="177"/>
      <c r="AD12" s="22"/>
    </row>
    <row r="13" spans="2:30" ht="17.25" thickBot="1">
      <c r="B13" s="226"/>
      <c r="C13" s="227"/>
      <c r="D13" s="416"/>
      <c r="E13" s="85" t="s">
        <v>338</v>
      </c>
      <c r="F13" s="266" t="s">
        <v>206</v>
      </c>
      <c r="G13" s="269"/>
      <c r="H13" s="86">
        <v>4</v>
      </c>
      <c r="I13" s="87" t="s">
        <v>339</v>
      </c>
      <c r="J13" s="88">
        <v>3</v>
      </c>
      <c r="K13" s="266"/>
      <c r="L13" s="212"/>
      <c r="M13" s="265"/>
      <c r="N13" s="267"/>
      <c r="O13" s="268"/>
      <c r="P13" s="212"/>
      <c r="Q13" s="265"/>
      <c r="R13" s="267"/>
      <c r="S13" s="268">
        <v>3</v>
      </c>
      <c r="T13" s="212"/>
      <c r="U13" s="265"/>
      <c r="V13" s="269"/>
      <c r="W13" s="84">
        <f t="shared" si="0"/>
        <v>3</v>
      </c>
      <c r="X13" s="418"/>
      <c r="Y13" s="413"/>
      <c r="AA13" s="176" t="s">
        <v>502</v>
      </c>
      <c r="AB13" s="177">
        <v>3</v>
      </c>
      <c r="AC13" s="177"/>
      <c r="AD13" s="22">
        <v>3</v>
      </c>
    </row>
    <row r="14" spans="2:30" ht="17.25" thickBot="1">
      <c r="B14" s="226"/>
      <c r="C14" s="227"/>
      <c r="D14" s="411" t="s">
        <v>5</v>
      </c>
      <c r="E14" s="75" t="s">
        <v>12</v>
      </c>
      <c r="F14" s="245" t="s">
        <v>212</v>
      </c>
      <c r="G14" s="264"/>
      <c r="H14" s="76">
        <v>4</v>
      </c>
      <c r="I14" s="77" t="s">
        <v>337</v>
      </c>
      <c r="J14" s="78">
        <v>3</v>
      </c>
      <c r="K14" s="245">
        <v>3</v>
      </c>
      <c r="L14" s="246"/>
      <c r="M14" s="247"/>
      <c r="N14" s="248"/>
      <c r="O14" s="249"/>
      <c r="P14" s="246"/>
      <c r="Q14" s="247"/>
      <c r="R14" s="248"/>
      <c r="S14" s="249"/>
      <c r="T14" s="246"/>
      <c r="U14" s="247"/>
      <c r="V14" s="264"/>
      <c r="W14" s="79">
        <f t="shared" si="0"/>
        <v>3</v>
      </c>
      <c r="X14" s="417">
        <f t="shared" ref="X14" si="1">SUM(W14:W18)</f>
        <v>15</v>
      </c>
      <c r="Y14" s="413"/>
      <c r="AA14" s="176" t="s">
        <v>503</v>
      </c>
      <c r="AB14" s="177">
        <v>4</v>
      </c>
      <c r="AC14" s="177" t="s">
        <v>512</v>
      </c>
      <c r="AD14" s="22" t="s">
        <v>510</v>
      </c>
    </row>
    <row r="15" spans="2:30" ht="17.25" thickBot="1">
      <c r="B15" s="226"/>
      <c r="C15" s="227"/>
      <c r="D15" s="412"/>
      <c r="E15" s="80" t="s">
        <v>12</v>
      </c>
      <c r="F15" s="238" t="s">
        <v>214</v>
      </c>
      <c r="G15" s="244"/>
      <c r="H15" s="81">
        <v>4</v>
      </c>
      <c r="I15" s="82" t="s">
        <v>337</v>
      </c>
      <c r="J15" s="83">
        <v>3</v>
      </c>
      <c r="K15" s="238"/>
      <c r="L15" s="239"/>
      <c r="M15" s="240">
        <v>3</v>
      </c>
      <c r="N15" s="243"/>
      <c r="O15" s="242"/>
      <c r="P15" s="239"/>
      <c r="Q15" s="240"/>
      <c r="R15" s="243"/>
      <c r="S15" s="242"/>
      <c r="T15" s="239"/>
      <c r="U15" s="240"/>
      <c r="V15" s="244"/>
      <c r="W15" s="84">
        <f t="shared" si="0"/>
        <v>3</v>
      </c>
      <c r="X15" s="418"/>
      <c r="Y15" s="413"/>
      <c r="AA15" s="176" t="s">
        <v>504</v>
      </c>
      <c r="AB15" s="177">
        <v>3</v>
      </c>
      <c r="AC15" s="177" t="s">
        <v>512</v>
      </c>
      <c r="AD15" s="22" t="s">
        <v>511</v>
      </c>
    </row>
    <row r="16" spans="2:30" ht="17.25" thickBot="1">
      <c r="B16" s="226"/>
      <c r="C16" s="227"/>
      <c r="D16" s="412"/>
      <c r="E16" s="85" t="s">
        <v>347</v>
      </c>
      <c r="F16" s="238" t="s">
        <v>215</v>
      </c>
      <c r="G16" s="244"/>
      <c r="H16" s="81">
        <v>4</v>
      </c>
      <c r="I16" s="82" t="s">
        <v>339</v>
      </c>
      <c r="J16" s="83">
        <v>3</v>
      </c>
      <c r="K16" s="238"/>
      <c r="L16" s="239"/>
      <c r="M16" s="240"/>
      <c r="N16" s="243"/>
      <c r="O16" s="242">
        <v>3</v>
      </c>
      <c r="P16" s="239"/>
      <c r="Q16" s="240"/>
      <c r="R16" s="243"/>
      <c r="S16" s="242"/>
      <c r="T16" s="239"/>
      <c r="U16" s="240"/>
      <c r="V16" s="244"/>
      <c r="W16" s="84">
        <f t="shared" si="0"/>
        <v>3</v>
      </c>
      <c r="X16" s="418"/>
      <c r="Y16" s="413"/>
      <c r="AA16" s="183"/>
      <c r="AB16" s="184"/>
      <c r="AC16" s="184"/>
      <c r="AD16" s="185"/>
    </row>
    <row r="17" spans="2:30" ht="17.25" thickBot="1">
      <c r="B17" s="226"/>
      <c r="C17" s="227"/>
      <c r="D17" s="412"/>
      <c r="E17" s="85" t="s">
        <v>347</v>
      </c>
      <c r="F17" s="238" t="s">
        <v>36</v>
      </c>
      <c r="G17" s="244"/>
      <c r="H17" s="81">
        <v>4</v>
      </c>
      <c r="I17" s="82" t="s">
        <v>339</v>
      </c>
      <c r="J17" s="83">
        <v>3</v>
      </c>
      <c r="K17" s="238"/>
      <c r="L17" s="239"/>
      <c r="M17" s="240"/>
      <c r="N17" s="243"/>
      <c r="O17" s="242"/>
      <c r="P17" s="239"/>
      <c r="Q17" s="240">
        <v>3</v>
      </c>
      <c r="R17" s="243"/>
      <c r="S17" s="242"/>
      <c r="T17" s="239"/>
      <c r="U17" s="240"/>
      <c r="V17" s="244"/>
      <c r="W17" s="84">
        <f t="shared" si="0"/>
        <v>3</v>
      </c>
      <c r="X17" s="418"/>
      <c r="Y17" s="413"/>
      <c r="AA17" s="183"/>
      <c r="AB17" s="184"/>
      <c r="AC17" s="184"/>
      <c r="AD17" s="185"/>
    </row>
    <row r="18" spans="2:30" ht="17.25" thickBot="1">
      <c r="B18" s="226"/>
      <c r="C18" s="227"/>
      <c r="D18" s="416"/>
      <c r="E18" s="85" t="s">
        <v>346</v>
      </c>
      <c r="F18" s="266" t="s">
        <v>222</v>
      </c>
      <c r="G18" s="269"/>
      <c r="H18" s="86">
        <v>4</v>
      </c>
      <c r="I18" s="87" t="s">
        <v>339</v>
      </c>
      <c r="J18" s="88">
        <v>3</v>
      </c>
      <c r="K18" s="266"/>
      <c r="L18" s="212"/>
      <c r="M18" s="265"/>
      <c r="N18" s="267"/>
      <c r="O18" s="268"/>
      <c r="P18" s="212"/>
      <c r="Q18" s="265"/>
      <c r="R18" s="267"/>
      <c r="S18" s="268">
        <v>3</v>
      </c>
      <c r="T18" s="212"/>
      <c r="U18" s="265"/>
      <c r="V18" s="269"/>
      <c r="W18" s="84">
        <f t="shared" si="0"/>
        <v>3</v>
      </c>
      <c r="X18" s="418"/>
      <c r="Y18" s="413"/>
      <c r="AA18" s="178" t="s">
        <v>505</v>
      </c>
      <c r="AB18" s="313" t="s">
        <v>514</v>
      </c>
      <c r="AC18" s="313"/>
      <c r="AD18" s="314"/>
    </row>
    <row r="19" spans="2:30" ht="17.25" thickBot="1">
      <c r="B19" s="226"/>
      <c r="C19" s="227"/>
      <c r="D19" s="411" t="s">
        <v>6</v>
      </c>
      <c r="E19" s="75" t="s">
        <v>12</v>
      </c>
      <c r="F19" s="245" t="s">
        <v>340</v>
      </c>
      <c r="G19" s="264"/>
      <c r="H19" s="76">
        <v>4</v>
      </c>
      <c r="I19" s="77" t="s">
        <v>337</v>
      </c>
      <c r="J19" s="78">
        <v>3</v>
      </c>
      <c r="K19" s="245">
        <v>3</v>
      </c>
      <c r="L19" s="246"/>
      <c r="M19" s="247"/>
      <c r="N19" s="248"/>
      <c r="O19" s="249"/>
      <c r="P19" s="246"/>
      <c r="Q19" s="247"/>
      <c r="R19" s="248"/>
      <c r="S19" s="249"/>
      <c r="T19" s="246"/>
      <c r="U19" s="247"/>
      <c r="V19" s="264"/>
      <c r="W19" s="79">
        <f t="shared" si="0"/>
        <v>3</v>
      </c>
      <c r="X19" s="417">
        <f t="shared" ref="X19" si="2">SUM(W19:W23)</f>
        <v>15</v>
      </c>
      <c r="Y19" s="413"/>
    </row>
    <row r="20" spans="2:30" ht="17.25" thickBot="1">
      <c r="B20" s="226"/>
      <c r="C20" s="227"/>
      <c r="D20" s="412"/>
      <c r="E20" s="80" t="s">
        <v>12</v>
      </c>
      <c r="F20" s="238" t="s">
        <v>225</v>
      </c>
      <c r="G20" s="244"/>
      <c r="H20" s="81">
        <v>4</v>
      </c>
      <c r="I20" s="82" t="s">
        <v>337</v>
      </c>
      <c r="J20" s="83">
        <v>3</v>
      </c>
      <c r="K20" s="238"/>
      <c r="L20" s="239"/>
      <c r="M20" s="240">
        <v>3</v>
      </c>
      <c r="N20" s="243"/>
      <c r="O20" s="242"/>
      <c r="P20" s="239"/>
      <c r="Q20" s="240"/>
      <c r="R20" s="243"/>
      <c r="S20" s="242"/>
      <c r="T20" s="239"/>
      <c r="U20" s="240"/>
      <c r="V20" s="244"/>
      <c r="W20" s="84">
        <f t="shared" si="0"/>
        <v>3</v>
      </c>
      <c r="X20" s="418"/>
      <c r="Y20" s="413"/>
    </row>
    <row r="21" spans="2:30" ht="17.25" thickBot="1">
      <c r="B21" s="226"/>
      <c r="C21" s="227"/>
      <c r="D21" s="412"/>
      <c r="E21" s="186" t="s">
        <v>347</v>
      </c>
      <c r="F21" s="238" t="s">
        <v>230</v>
      </c>
      <c r="G21" s="244"/>
      <c r="H21" s="81">
        <v>4</v>
      </c>
      <c r="I21" s="82" t="s">
        <v>339</v>
      </c>
      <c r="J21" s="83">
        <v>3</v>
      </c>
      <c r="K21" s="238"/>
      <c r="L21" s="239"/>
      <c r="M21" s="240"/>
      <c r="N21" s="243"/>
      <c r="O21" s="242">
        <v>3</v>
      </c>
      <c r="P21" s="239"/>
      <c r="Q21" s="240"/>
      <c r="R21" s="243"/>
      <c r="S21" s="242"/>
      <c r="T21" s="239"/>
      <c r="U21" s="240"/>
      <c r="V21" s="244"/>
      <c r="W21" s="84">
        <f t="shared" si="0"/>
        <v>3</v>
      </c>
      <c r="X21" s="418"/>
      <c r="Y21" s="413"/>
    </row>
    <row r="22" spans="2:30" ht="17.25" thickBot="1">
      <c r="B22" s="226"/>
      <c r="C22" s="227"/>
      <c r="D22" s="412"/>
      <c r="E22" s="186" t="s">
        <v>347</v>
      </c>
      <c r="F22" s="238" t="s">
        <v>232</v>
      </c>
      <c r="G22" s="244"/>
      <c r="H22" s="81">
        <v>4</v>
      </c>
      <c r="I22" s="82" t="s">
        <v>339</v>
      </c>
      <c r="J22" s="83">
        <v>3</v>
      </c>
      <c r="K22" s="238"/>
      <c r="L22" s="239"/>
      <c r="M22" s="240"/>
      <c r="N22" s="243"/>
      <c r="O22" s="242"/>
      <c r="P22" s="239"/>
      <c r="Q22" s="240">
        <v>3</v>
      </c>
      <c r="R22" s="243"/>
      <c r="S22" s="242"/>
      <c r="T22" s="239"/>
      <c r="U22" s="240"/>
      <c r="V22" s="244"/>
      <c r="W22" s="84">
        <f t="shared" si="0"/>
        <v>3</v>
      </c>
      <c r="X22" s="418"/>
      <c r="Y22" s="413"/>
    </row>
    <row r="23" spans="2:30" ht="17.25" thickBot="1">
      <c r="B23" s="226"/>
      <c r="C23" s="227"/>
      <c r="D23" s="416"/>
      <c r="E23" s="89" t="s">
        <v>346</v>
      </c>
      <c r="F23" s="266" t="s">
        <v>341</v>
      </c>
      <c r="G23" s="269"/>
      <c r="H23" s="86">
        <v>4</v>
      </c>
      <c r="I23" s="87" t="s">
        <v>337</v>
      </c>
      <c r="J23" s="88">
        <v>3</v>
      </c>
      <c r="K23" s="266"/>
      <c r="L23" s="212"/>
      <c r="M23" s="265"/>
      <c r="N23" s="267"/>
      <c r="O23" s="268"/>
      <c r="P23" s="212"/>
      <c r="Q23" s="265"/>
      <c r="R23" s="267"/>
      <c r="S23" s="268">
        <v>3</v>
      </c>
      <c r="T23" s="212"/>
      <c r="U23" s="265"/>
      <c r="V23" s="269"/>
      <c r="W23" s="84">
        <f t="shared" si="0"/>
        <v>3</v>
      </c>
      <c r="X23" s="418"/>
      <c r="Y23" s="413"/>
    </row>
    <row r="24" spans="2:30" ht="17.25" thickBot="1">
      <c r="B24" s="226"/>
      <c r="C24" s="227"/>
      <c r="D24" s="411" t="s">
        <v>342</v>
      </c>
      <c r="E24" s="75" t="s">
        <v>12</v>
      </c>
      <c r="F24" s="245" t="s">
        <v>233</v>
      </c>
      <c r="G24" s="264"/>
      <c r="H24" s="76">
        <v>3</v>
      </c>
      <c r="I24" s="90" t="s">
        <v>586</v>
      </c>
      <c r="J24" s="78">
        <v>3</v>
      </c>
      <c r="K24" s="419"/>
      <c r="L24" s="253"/>
      <c r="M24" s="230"/>
      <c r="N24" s="304"/>
      <c r="O24" s="252">
        <v>3</v>
      </c>
      <c r="P24" s="253"/>
      <c r="Q24" s="230"/>
      <c r="R24" s="304"/>
      <c r="S24" s="252"/>
      <c r="T24" s="253"/>
      <c r="U24" s="230"/>
      <c r="V24" s="231"/>
      <c r="W24" s="79">
        <f t="shared" si="0"/>
        <v>3</v>
      </c>
      <c r="X24" s="417">
        <f>SUM(W24:W25)</f>
        <v>6</v>
      </c>
      <c r="Y24" s="413">
        <v>6</v>
      </c>
    </row>
    <row r="25" spans="2:30" ht="17.25" thickBot="1">
      <c r="B25" s="226"/>
      <c r="C25" s="227"/>
      <c r="D25" s="412"/>
      <c r="E25" s="91" t="s">
        <v>12</v>
      </c>
      <c r="F25" s="420" t="s">
        <v>343</v>
      </c>
      <c r="G25" s="233"/>
      <c r="H25" s="92">
        <v>3</v>
      </c>
      <c r="I25" s="93" t="s">
        <v>586</v>
      </c>
      <c r="J25" s="94">
        <v>3</v>
      </c>
      <c r="K25" s="266"/>
      <c r="L25" s="212"/>
      <c r="M25" s="265"/>
      <c r="N25" s="267"/>
      <c r="O25" s="268"/>
      <c r="P25" s="212"/>
      <c r="Q25" s="265">
        <v>3</v>
      </c>
      <c r="R25" s="267"/>
      <c r="S25" s="268"/>
      <c r="T25" s="212"/>
      <c r="U25" s="265"/>
      <c r="V25" s="269"/>
      <c r="W25" s="95">
        <f t="shared" si="0"/>
        <v>3</v>
      </c>
      <c r="X25" s="310"/>
      <c r="Y25" s="413"/>
      <c r="AA25" s="321"/>
      <c r="AB25" s="321"/>
      <c r="AC25" s="66"/>
    </row>
    <row r="26" spans="2:30" ht="17.25" thickBot="1">
      <c r="B26" s="226"/>
      <c r="C26" s="227"/>
      <c r="D26" s="412"/>
      <c r="E26" s="75" t="s">
        <v>12</v>
      </c>
      <c r="F26" s="245" t="s">
        <v>236</v>
      </c>
      <c r="G26" s="264"/>
      <c r="H26" s="76">
        <v>4</v>
      </c>
      <c r="I26" s="90" t="s">
        <v>337</v>
      </c>
      <c r="J26" s="78">
        <v>3</v>
      </c>
      <c r="K26" s="245">
        <v>3</v>
      </c>
      <c r="L26" s="246"/>
      <c r="M26" s="247"/>
      <c r="N26" s="248"/>
      <c r="O26" s="249"/>
      <c r="P26" s="246"/>
      <c r="Q26" s="247"/>
      <c r="R26" s="248"/>
      <c r="S26" s="249"/>
      <c r="T26" s="246"/>
      <c r="U26" s="247"/>
      <c r="V26" s="264"/>
      <c r="W26" s="79">
        <f t="shared" si="0"/>
        <v>3</v>
      </c>
      <c r="X26" s="417">
        <f>SUM(W26:W27)</f>
        <v>6</v>
      </c>
      <c r="Y26" s="413">
        <v>12</v>
      </c>
    </row>
    <row r="27" spans="2:30" ht="17.25" thickBot="1">
      <c r="B27" s="226"/>
      <c r="C27" s="227"/>
      <c r="D27" s="416"/>
      <c r="E27" s="89" t="s">
        <v>12</v>
      </c>
      <c r="F27" s="266" t="s">
        <v>344</v>
      </c>
      <c r="G27" s="269"/>
      <c r="H27" s="86">
        <v>4</v>
      </c>
      <c r="I27" s="87" t="s">
        <v>337</v>
      </c>
      <c r="J27" s="88">
        <v>3</v>
      </c>
      <c r="K27" s="266"/>
      <c r="L27" s="212"/>
      <c r="M27" s="265">
        <v>3</v>
      </c>
      <c r="N27" s="267"/>
      <c r="O27" s="268"/>
      <c r="P27" s="212"/>
      <c r="Q27" s="265"/>
      <c r="R27" s="267"/>
      <c r="S27" s="268"/>
      <c r="T27" s="212"/>
      <c r="U27" s="265"/>
      <c r="V27" s="269"/>
      <c r="W27" s="95">
        <f t="shared" si="0"/>
        <v>3</v>
      </c>
      <c r="X27" s="310"/>
      <c r="Y27" s="413"/>
    </row>
    <row r="28" spans="2:30" ht="17.25" thickBot="1">
      <c r="B28" s="226"/>
      <c r="C28" s="227"/>
      <c r="D28" s="411" t="s">
        <v>26</v>
      </c>
      <c r="E28" s="75" t="s">
        <v>12</v>
      </c>
      <c r="F28" s="245" t="s">
        <v>254</v>
      </c>
      <c r="G28" s="264"/>
      <c r="H28" s="76">
        <v>4</v>
      </c>
      <c r="I28" s="90" t="s">
        <v>337</v>
      </c>
      <c r="J28" s="78">
        <v>3</v>
      </c>
      <c r="K28" s="245"/>
      <c r="L28" s="246"/>
      <c r="M28" s="247"/>
      <c r="N28" s="248"/>
      <c r="O28" s="249">
        <v>3</v>
      </c>
      <c r="P28" s="246"/>
      <c r="Q28" s="247"/>
      <c r="R28" s="248"/>
      <c r="S28" s="249"/>
      <c r="T28" s="246"/>
      <c r="U28" s="247"/>
      <c r="V28" s="264"/>
      <c r="W28" s="79">
        <f t="shared" si="0"/>
        <v>3</v>
      </c>
      <c r="X28" s="225">
        <f>SUM(W28:W29)</f>
        <v>6</v>
      </c>
      <c r="Y28" s="413"/>
    </row>
    <row r="29" spans="2:30" ht="17.25" thickBot="1">
      <c r="B29" s="226"/>
      <c r="C29" s="227"/>
      <c r="D29" s="412"/>
      <c r="E29" s="80" t="s">
        <v>12</v>
      </c>
      <c r="F29" s="238" t="s">
        <v>345</v>
      </c>
      <c r="G29" s="244"/>
      <c r="H29" s="81">
        <v>4</v>
      </c>
      <c r="I29" s="82" t="s">
        <v>337</v>
      </c>
      <c r="J29" s="83">
        <v>3</v>
      </c>
      <c r="K29" s="238"/>
      <c r="L29" s="239"/>
      <c r="M29" s="240"/>
      <c r="N29" s="243"/>
      <c r="O29" s="242"/>
      <c r="P29" s="239"/>
      <c r="Q29" s="240">
        <v>3</v>
      </c>
      <c r="R29" s="243"/>
      <c r="S29" s="242"/>
      <c r="T29" s="239"/>
      <c r="U29" s="240"/>
      <c r="V29" s="244"/>
      <c r="W29" s="84">
        <f t="shared" si="0"/>
        <v>3</v>
      </c>
      <c r="X29" s="227"/>
      <c r="Y29" s="413"/>
    </row>
    <row r="30" spans="2:30" ht="16.5" customHeight="1" thickBot="1">
      <c r="B30" s="226"/>
      <c r="C30" s="227"/>
      <c r="D30" s="411" t="s">
        <v>8</v>
      </c>
      <c r="E30" s="75" t="s">
        <v>347</v>
      </c>
      <c r="F30" s="245" t="s">
        <v>348</v>
      </c>
      <c r="G30" s="264"/>
      <c r="H30" s="76">
        <v>3</v>
      </c>
      <c r="I30" s="90" t="s">
        <v>349</v>
      </c>
      <c r="J30" s="78">
        <f t="shared" ref="J30:J31" si="3">SUM(K30:V30)</f>
        <v>2</v>
      </c>
      <c r="K30" s="245">
        <v>2</v>
      </c>
      <c r="L30" s="246"/>
      <c r="M30" s="247"/>
      <c r="N30" s="248"/>
      <c r="O30" s="249"/>
      <c r="P30" s="246"/>
      <c r="Q30" s="247"/>
      <c r="R30" s="248"/>
      <c r="S30" s="249"/>
      <c r="T30" s="246"/>
      <c r="U30" s="247"/>
      <c r="V30" s="264"/>
      <c r="W30" s="79">
        <f>SUM(K30:V30)</f>
        <v>2</v>
      </c>
      <c r="X30" s="221">
        <f>SUM(W30:W34)</f>
        <v>10</v>
      </c>
      <c r="Y30" s="413">
        <v>8</v>
      </c>
    </row>
    <row r="31" spans="2:30" ht="17.25" thickBot="1">
      <c r="B31" s="226"/>
      <c r="C31" s="227"/>
      <c r="D31" s="412"/>
      <c r="E31" s="80" t="s">
        <v>347</v>
      </c>
      <c r="F31" s="238" t="s">
        <v>350</v>
      </c>
      <c r="G31" s="244"/>
      <c r="H31" s="81">
        <v>3</v>
      </c>
      <c r="I31" s="82" t="s">
        <v>349</v>
      </c>
      <c r="J31" s="83">
        <f t="shared" si="3"/>
        <v>2</v>
      </c>
      <c r="K31" s="238"/>
      <c r="L31" s="239"/>
      <c r="M31" s="240">
        <v>2</v>
      </c>
      <c r="N31" s="243"/>
      <c r="O31" s="242"/>
      <c r="P31" s="239"/>
      <c r="Q31" s="240"/>
      <c r="R31" s="243"/>
      <c r="S31" s="242"/>
      <c r="T31" s="239"/>
      <c r="U31" s="240"/>
      <c r="V31" s="244"/>
      <c r="W31" s="84">
        <f t="shared" ref="W31:W34" si="4">SUM(K31:V31)</f>
        <v>2</v>
      </c>
      <c r="X31" s="222"/>
      <c r="Y31" s="413"/>
    </row>
    <row r="32" spans="2:30" ht="17.25" thickBot="1">
      <c r="B32" s="226"/>
      <c r="C32" s="227"/>
      <c r="D32" s="412"/>
      <c r="E32" s="80" t="s">
        <v>346</v>
      </c>
      <c r="F32" s="238" t="s">
        <v>516</v>
      </c>
      <c r="G32" s="244"/>
      <c r="H32" s="81">
        <v>3</v>
      </c>
      <c r="I32" s="82" t="s">
        <v>349</v>
      </c>
      <c r="J32" s="83">
        <v>2</v>
      </c>
      <c r="K32" s="238"/>
      <c r="L32" s="239"/>
      <c r="M32" s="240"/>
      <c r="N32" s="243"/>
      <c r="O32" s="242">
        <v>2</v>
      </c>
      <c r="P32" s="239"/>
      <c r="Q32" s="240"/>
      <c r="R32" s="243"/>
      <c r="S32" s="242"/>
      <c r="T32" s="239"/>
      <c r="U32" s="240"/>
      <c r="V32" s="244"/>
      <c r="W32" s="84">
        <f t="shared" si="4"/>
        <v>2</v>
      </c>
      <c r="X32" s="222"/>
      <c r="Y32" s="413"/>
    </row>
    <row r="33" spans="2:28" ht="17.25" thickBot="1">
      <c r="B33" s="226"/>
      <c r="C33" s="227"/>
      <c r="D33" s="412"/>
      <c r="E33" s="80" t="s">
        <v>338</v>
      </c>
      <c r="F33" s="238" t="s">
        <v>367</v>
      </c>
      <c r="G33" s="244"/>
      <c r="H33" s="81">
        <v>2</v>
      </c>
      <c r="I33" s="82" t="s">
        <v>351</v>
      </c>
      <c r="J33" s="83">
        <v>2</v>
      </c>
      <c r="K33" s="238"/>
      <c r="L33" s="239"/>
      <c r="M33" s="240"/>
      <c r="N33" s="243"/>
      <c r="O33" s="242"/>
      <c r="P33" s="239"/>
      <c r="Q33" s="240">
        <v>2</v>
      </c>
      <c r="R33" s="243"/>
      <c r="S33" s="242"/>
      <c r="T33" s="239"/>
      <c r="U33" s="240"/>
      <c r="V33" s="244"/>
      <c r="W33" s="84">
        <f t="shared" si="4"/>
        <v>2</v>
      </c>
      <c r="X33" s="222"/>
      <c r="Y33" s="413"/>
    </row>
    <row r="34" spans="2:28" ht="17.25" thickBot="1">
      <c r="B34" s="226"/>
      <c r="C34" s="227"/>
      <c r="D34" s="416"/>
      <c r="E34" s="89" t="s">
        <v>338</v>
      </c>
      <c r="F34" s="266" t="s">
        <v>517</v>
      </c>
      <c r="G34" s="269"/>
      <c r="H34" s="86">
        <v>2</v>
      </c>
      <c r="I34" s="87" t="s">
        <v>351</v>
      </c>
      <c r="J34" s="88">
        <v>2</v>
      </c>
      <c r="K34" s="266"/>
      <c r="L34" s="212"/>
      <c r="M34" s="265"/>
      <c r="N34" s="267"/>
      <c r="O34" s="268"/>
      <c r="P34" s="212"/>
      <c r="Q34" s="265"/>
      <c r="R34" s="267"/>
      <c r="S34" s="268">
        <v>2</v>
      </c>
      <c r="T34" s="212"/>
      <c r="U34" s="265"/>
      <c r="V34" s="269"/>
      <c r="W34" s="95">
        <f t="shared" si="4"/>
        <v>2</v>
      </c>
      <c r="X34" s="223"/>
      <c r="Y34" s="413"/>
    </row>
    <row r="35" spans="2:28" ht="17.25" thickBot="1">
      <c r="B35" s="226"/>
      <c r="C35" s="227"/>
      <c r="D35" s="411" t="s">
        <v>28</v>
      </c>
      <c r="E35" s="75" t="s">
        <v>347</v>
      </c>
      <c r="F35" s="245" t="s">
        <v>9</v>
      </c>
      <c r="G35" s="264"/>
      <c r="H35" s="76">
        <v>3</v>
      </c>
      <c r="I35" s="96" t="s">
        <v>349</v>
      </c>
      <c r="J35" s="78">
        <v>3</v>
      </c>
      <c r="K35" s="245">
        <v>3</v>
      </c>
      <c r="L35" s="246"/>
      <c r="M35" s="247"/>
      <c r="N35" s="248"/>
      <c r="O35" s="249"/>
      <c r="P35" s="246"/>
      <c r="Q35" s="247"/>
      <c r="R35" s="248"/>
      <c r="S35" s="249"/>
      <c r="T35" s="246"/>
      <c r="U35" s="247"/>
      <c r="V35" s="264"/>
      <c r="W35" s="215">
        <f>SUM(K35:V38)</f>
        <v>9</v>
      </c>
      <c r="X35" s="216"/>
      <c r="Y35" s="413">
        <v>6</v>
      </c>
    </row>
    <row r="36" spans="2:28" ht="17.25" thickBot="1">
      <c r="B36" s="226"/>
      <c r="C36" s="227"/>
      <c r="D36" s="412"/>
      <c r="E36" s="85" t="s">
        <v>347</v>
      </c>
      <c r="F36" s="238" t="s">
        <v>284</v>
      </c>
      <c r="G36" s="244"/>
      <c r="H36" s="81">
        <v>3</v>
      </c>
      <c r="I36" s="82" t="s">
        <v>349</v>
      </c>
      <c r="J36" s="83">
        <v>3</v>
      </c>
      <c r="K36" s="238">
        <v>3</v>
      </c>
      <c r="L36" s="239"/>
      <c r="M36" s="240"/>
      <c r="N36" s="243"/>
      <c r="O36" s="242"/>
      <c r="P36" s="239"/>
      <c r="Q36" s="240"/>
      <c r="R36" s="243"/>
      <c r="S36" s="242"/>
      <c r="T36" s="239"/>
      <c r="U36" s="240"/>
      <c r="V36" s="244"/>
      <c r="W36" s="217"/>
      <c r="X36" s="218"/>
      <c r="Y36" s="413"/>
    </row>
    <row r="37" spans="2:28" ht="17.25" thickBot="1">
      <c r="B37" s="187"/>
      <c r="C37" s="188"/>
      <c r="D37" s="412"/>
      <c r="E37" s="85" t="s">
        <v>347</v>
      </c>
      <c r="F37" s="238" t="s">
        <v>532</v>
      </c>
      <c r="G37" s="244"/>
      <c r="H37" s="307">
        <v>3</v>
      </c>
      <c r="I37" s="305" t="s">
        <v>349</v>
      </c>
      <c r="J37" s="309">
        <v>3</v>
      </c>
      <c r="K37" s="238"/>
      <c r="L37" s="239"/>
      <c r="M37" s="250">
        <v>3</v>
      </c>
      <c r="N37" s="256"/>
      <c r="O37" s="242"/>
      <c r="P37" s="239"/>
      <c r="Q37" s="240"/>
      <c r="R37" s="243"/>
      <c r="S37" s="242"/>
      <c r="T37" s="239"/>
      <c r="U37" s="240"/>
      <c r="V37" s="244"/>
      <c r="W37" s="217"/>
      <c r="X37" s="218"/>
      <c r="Y37" s="413"/>
    </row>
    <row r="38" spans="2:28" ht="17.25" thickBot="1">
      <c r="B38" s="187"/>
      <c r="C38" s="188"/>
      <c r="D38" s="412"/>
      <c r="E38" s="85" t="s">
        <v>347</v>
      </c>
      <c r="F38" s="238" t="s">
        <v>531</v>
      </c>
      <c r="G38" s="244"/>
      <c r="H38" s="308"/>
      <c r="I38" s="306"/>
      <c r="J38" s="310"/>
      <c r="K38" s="238"/>
      <c r="L38" s="239"/>
      <c r="M38" s="232"/>
      <c r="N38" s="257"/>
      <c r="O38" s="242"/>
      <c r="P38" s="239"/>
      <c r="Q38" s="240"/>
      <c r="R38" s="243"/>
      <c r="S38" s="242"/>
      <c r="T38" s="239"/>
      <c r="U38" s="240"/>
      <c r="V38" s="244"/>
      <c r="W38" s="217"/>
      <c r="X38" s="218"/>
      <c r="Y38" s="413"/>
    </row>
    <row r="39" spans="2:28" ht="16.5" customHeight="1" thickBot="1">
      <c r="B39" s="226"/>
      <c r="C39" s="227"/>
      <c r="D39" s="414" t="s">
        <v>352</v>
      </c>
      <c r="E39" s="75" t="s">
        <v>347</v>
      </c>
      <c r="F39" s="245" t="s">
        <v>329</v>
      </c>
      <c r="G39" s="264"/>
      <c r="H39" s="76">
        <v>3</v>
      </c>
      <c r="I39" s="90" t="s">
        <v>349</v>
      </c>
      <c r="J39" s="78">
        <v>3</v>
      </c>
      <c r="K39" s="245"/>
      <c r="L39" s="246"/>
      <c r="M39" s="247"/>
      <c r="N39" s="248"/>
      <c r="O39" s="249">
        <v>3</v>
      </c>
      <c r="P39" s="246"/>
      <c r="Q39" s="247"/>
      <c r="R39" s="248"/>
      <c r="S39" s="249"/>
      <c r="T39" s="246"/>
      <c r="U39" s="247"/>
      <c r="V39" s="264"/>
      <c r="W39" s="215">
        <f>SUM(K39:V41)</f>
        <v>8</v>
      </c>
      <c r="X39" s="216"/>
      <c r="Y39" s="413">
        <v>8</v>
      </c>
    </row>
    <row r="40" spans="2:28" ht="16.5" customHeight="1" thickBot="1">
      <c r="B40" s="226"/>
      <c r="C40" s="227"/>
      <c r="D40" s="415"/>
      <c r="E40" s="85" t="s">
        <v>347</v>
      </c>
      <c r="F40" s="238" t="s">
        <v>50</v>
      </c>
      <c r="G40" s="244"/>
      <c r="H40" s="81">
        <v>3</v>
      </c>
      <c r="I40" s="82" t="s">
        <v>349</v>
      </c>
      <c r="J40" s="83">
        <v>3</v>
      </c>
      <c r="K40" s="238"/>
      <c r="L40" s="239"/>
      <c r="M40" s="240"/>
      <c r="N40" s="243"/>
      <c r="O40" s="242"/>
      <c r="P40" s="239"/>
      <c r="Q40" s="240">
        <v>3</v>
      </c>
      <c r="R40" s="243"/>
      <c r="S40" s="242"/>
      <c r="T40" s="239"/>
      <c r="U40" s="240"/>
      <c r="V40" s="244"/>
      <c r="W40" s="217"/>
      <c r="X40" s="218"/>
      <c r="Y40" s="413"/>
    </row>
    <row r="41" spans="2:28" ht="17.25" thickBot="1">
      <c r="B41" s="228"/>
      <c r="C41" s="229"/>
      <c r="D41" s="415"/>
      <c r="E41" s="85" t="s">
        <v>338</v>
      </c>
      <c r="F41" s="266" t="s">
        <v>332</v>
      </c>
      <c r="G41" s="269"/>
      <c r="H41" s="86">
        <v>3</v>
      </c>
      <c r="I41" s="87" t="s">
        <v>349</v>
      </c>
      <c r="J41" s="88">
        <v>2</v>
      </c>
      <c r="K41" s="266"/>
      <c r="L41" s="212"/>
      <c r="M41" s="265"/>
      <c r="N41" s="267"/>
      <c r="O41" s="242"/>
      <c r="P41" s="239"/>
      <c r="Q41" s="240"/>
      <c r="R41" s="243"/>
      <c r="S41" s="242">
        <v>2</v>
      </c>
      <c r="T41" s="239"/>
      <c r="U41" s="240"/>
      <c r="V41" s="244"/>
      <c r="W41" s="217"/>
      <c r="X41" s="218"/>
      <c r="Y41" s="413"/>
    </row>
    <row r="42" spans="2:28" ht="24.75" customHeight="1" thickBot="1">
      <c r="B42" s="316" t="s">
        <v>360</v>
      </c>
      <c r="C42" s="317"/>
      <c r="D42" s="317"/>
      <c r="E42" s="317"/>
      <c r="F42" s="317"/>
      <c r="G42" s="318"/>
      <c r="H42" s="69">
        <f>SUM(H26:H41)</f>
        <v>47</v>
      </c>
      <c r="I42" s="18"/>
      <c r="J42" s="70">
        <f>SUM(J9:J41)</f>
        <v>90</v>
      </c>
      <c r="K42" s="397">
        <f>SUM(K9:L41)</f>
        <v>20</v>
      </c>
      <c r="L42" s="398"/>
      <c r="M42" s="398">
        <f>SUM(M9:N41)</f>
        <v>17</v>
      </c>
      <c r="N42" s="343"/>
      <c r="O42" s="476">
        <f>SUM(O9:P41)</f>
        <v>20</v>
      </c>
      <c r="P42" s="398"/>
      <c r="Q42" s="398">
        <f>SUM(Q9:R41)</f>
        <v>20</v>
      </c>
      <c r="R42" s="484"/>
      <c r="S42" s="342">
        <f>SUM(S9:T41)</f>
        <v>13</v>
      </c>
      <c r="T42" s="398"/>
      <c r="U42" s="398">
        <f>SUM(U9:V41)</f>
        <v>0</v>
      </c>
      <c r="V42" s="483"/>
      <c r="W42" s="316">
        <f>SUM(K42:V42)</f>
        <v>90</v>
      </c>
      <c r="X42" s="342"/>
      <c r="Y42" s="70">
        <f>SUM(Y9:Y41)</f>
        <v>64</v>
      </c>
      <c r="AA42" s="335" t="b">
        <f>W42&gt;=Y42</f>
        <v>1</v>
      </c>
      <c r="AB42" s="336"/>
    </row>
    <row r="43" spans="2:28" ht="17.25" customHeight="1" thickBot="1">
      <c r="B43" s="295" t="s">
        <v>353</v>
      </c>
      <c r="C43" s="296"/>
      <c r="D43" s="311" t="s">
        <v>354</v>
      </c>
      <c r="E43" s="312"/>
      <c r="F43" s="399" t="s">
        <v>518</v>
      </c>
      <c r="G43" s="400"/>
      <c r="H43" s="193"/>
      <c r="I43" s="194"/>
      <c r="J43" s="195">
        <v>2</v>
      </c>
      <c r="K43" s="401"/>
      <c r="L43" s="402"/>
      <c r="M43" s="477"/>
      <c r="N43" s="478"/>
      <c r="O43" s="479"/>
      <c r="P43" s="402"/>
      <c r="Q43" s="477"/>
      <c r="R43" s="478"/>
      <c r="S43" s="479">
        <v>2</v>
      </c>
      <c r="T43" s="402"/>
      <c r="U43" s="477"/>
      <c r="V43" s="480"/>
      <c r="W43" s="481">
        <f>SUM(K43:V43)</f>
        <v>2</v>
      </c>
      <c r="X43" s="482"/>
      <c r="Y43" s="348">
        <v>80</v>
      </c>
    </row>
    <row r="44" spans="2:28" ht="17.25" customHeight="1">
      <c r="B44" s="297"/>
      <c r="C44" s="298"/>
      <c r="D44" s="97" t="s">
        <v>357</v>
      </c>
      <c r="E44" s="98" t="s">
        <v>355</v>
      </c>
      <c r="F44" s="403" t="s">
        <v>583</v>
      </c>
      <c r="G44" s="404"/>
      <c r="H44" s="196"/>
      <c r="I44" s="235"/>
      <c r="J44" s="197">
        <v>3</v>
      </c>
      <c r="K44" s="238">
        <v>3</v>
      </c>
      <c r="L44" s="239"/>
      <c r="M44" s="240"/>
      <c r="N44" s="241"/>
      <c r="O44" s="242"/>
      <c r="P44" s="239"/>
      <c r="Q44" s="240"/>
      <c r="R44" s="243"/>
      <c r="S44" s="241"/>
      <c r="T44" s="239"/>
      <c r="U44" s="247"/>
      <c r="V44" s="264"/>
      <c r="W44" s="208">
        <f t="shared" ref="W44:W52" si="5">SUM(K44:V44)</f>
        <v>3</v>
      </c>
      <c r="X44" s="221">
        <f>SUM(W44:W53)</f>
        <v>40</v>
      </c>
      <c r="Y44" s="371"/>
    </row>
    <row r="45" spans="2:28" ht="17.25" customHeight="1">
      <c r="B45" s="297"/>
      <c r="C45" s="298"/>
      <c r="D45" s="97" t="s">
        <v>523</v>
      </c>
      <c r="E45" s="98" t="s">
        <v>355</v>
      </c>
      <c r="F45" s="403" t="s">
        <v>584</v>
      </c>
      <c r="G45" s="404"/>
      <c r="H45" s="196"/>
      <c r="I45" s="236"/>
      <c r="J45" s="197">
        <v>3</v>
      </c>
      <c r="K45" s="238"/>
      <c r="L45" s="239"/>
      <c r="M45" s="240">
        <v>3</v>
      </c>
      <c r="N45" s="243"/>
      <c r="O45" s="242"/>
      <c r="P45" s="239"/>
      <c r="Q45" s="240"/>
      <c r="R45" s="243"/>
      <c r="S45" s="242"/>
      <c r="T45" s="239"/>
      <c r="U45" s="240"/>
      <c r="V45" s="244"/>
      <c r="W45" s="208">
        <f t="shared" si="5"/>
        <v>3</v>
      </c>
      <c r="X45" s="222"/>
      <c r="Y45" s="371"/>
    </row>
    <row r="46" spans="2:28" ht="17.25" customHeight="1">
      <c r="B46" s="297"/>
      <c r="C46" s="298"/>
      <c r="D46" s="97" t="s">
        <v>523</v>
      </c>
      <c r="E46" s="98" t="s">
        <v>355</v>
      </c>
      <c r="F46" s="403" t="s">
        <v>585</v>
      </c>
      <c r="G46" s="404"/>
      <c r="H46" s="196"/>
      <c r="I46" s="236"/>
      <c r="J46" s="197">
        <v>3</v>
      </c>
      <c r="K46" s="238"/>
      <c r="L46" s="239"/>
      <c r="M46" s="240"/>
      <c r="N46" s="243"/>
      <c r="O46" s="242">
        <v>3</v>
      </c>
      <c r="P46" s="239"/>
      <c r="Q46" s="240"/>
      <c r="R46" s="243"/>
      <c r="S46" s="242"/>
      <c r="T46" s="239"/>
      <c r="U46" s="240"/>
      <c r="V46" s="244"/>
      <c r="W46" s="208">
        <f t="shared" si="5"/>
        <v>3</v>
      </c>
      <c r="X46" s="222"/>
      <c r="Y46" s="371"/>
    </row>
    <row r="47" spans="2:28" ht="17.25" customHeight="1">
      <c r="B47" s="297"/>
      <c r="C47" s="298"/>
      <c r="D47" s="97" t="s">
        <v>357</v>
      </c>
      <c r="E47" s="189" t="s">
        <v>355</v>
      </c>
      <c r="F47" s="405" t="s">
        <v>582</v>
      </c>
      <c r="G47" s="406"/>
      <c r="H47" s="198"/>
      <c r="I47" s="236"/>
      <c r="J47" s="197">
        <v>3</v>
      </c>
      <c r="K47" s="407"/>
      <c r="L47" s="408"/>
      <c r="M47" s="250"/>
      <c r="N47" s="256"/>
      <c r="O47" s="474"/>
      <c r="P47" s="408"/>
      <c r="Q47" s="250">
        <v>3</v>
      </c>
      <c r="R47" s="256"/>
      <c r="S47" s="474"/>
      <c r="T47" s="408"/>
      <c r="U47" s="250"/>
      <c r="V47" s="251"/>
      <c r="W47" s="209">
        <f t="shared" si="5"/>
        <v>3</v>
      </c>
      <c r="X47" s="222"/>
      <c r="Y47" s="371"/>
    </row>
    <row r="48" spans="2:28" ht="17.25" customHeight="1">
      <c r="B48" s="297"/>
      <c r="C48" s="298"/>
      <c r="D48" s="97" t="s">
        <v>523</v>
      </c>
      <c r="E48" s="189" t="s">
        <v>524</v>
      </c>
      <c r="F48" s="270" t="s">
        <v>533</v>
      </c>
      <c r="G48" s="271"/>
      <c r="H48" s="198"/>
      <c r="I48" s="236"/>
      <c r="J48" s="197">
        <v>2</v>
      </c>
      <c r="K48" s="238"/>
      <c r="L48" s="239"/>
      <c r="M48" s="240">
        <v>2</v>
      </c>
      <c r="N48" s="243"/>
      <c r="O48" s="242"/>
      <c r="P48" s="239"/>
      <c r="Q48" s="240"/>
      <c r="R48" s="243"/>
      <c r="S48" s="242"/>
      <c r="T48" s="239"/>
      <c r="U48" s="240"/>
      <c r="V48" s="244"/>
      <c r="W48" s="209">
        <f t="shared" ref="W48" si="6">SUM(K48:V48)</f>
        <v>2</v>
      </c>
      <c r="X48" s="222"/>
      <c r="Y48" s="371"/>
    </row>
    <row r="49" spans="2:27" ht="17.25" customHeight="1">
      <c r="B49" s="297"/>
      <c r="C49" s="298"/>
      <c r="D49" s="99" t="s">
        <v>523</v>
      </c>
      <c r="E49" s="98" t="s">
        <v>356</v>
      </c>
      <c r="F49" s="270" t="s">
        <v>526</v>
      </c>
      <c r="G49" s="271"/>
      <c r="H49" s="196"/>
      <c r="I49" s="236"/>
      <c r="J49" s="197">
        <v>4</v>
      </c>
      <c r="K49" s="238"/>
      <c r="L49" s="239"/>
      <c r="M49" s="240"/>
      <c r="N49" s="243"/>
      <c r="O49" s="242"/>
      <c r="P49" s="239"/>
      <c r="Q49" s="240"/>
      <c r="R49" s="243"/>
      <c r="S49" s="242">
        <v>2</v>
      </c>
      <c r="T49" s="239"/>
      <c r="U49" s="240">
        <v>2</v>
      </c>
      <c r="V49" s="244"/>
      <c r="W49" s="208">
        <f t="shared" ref="W49" si="7">SUM(K49:V49)</f>
        <v>4</v>
      </c>
      <c r="X49" s="222"/>
      <c r="Y49" s="371"/>
    </row>
    <row r="50" spans="2:27" ht="17.25" customHeight="1">
      <c r="B50" s="297"/>
      <c r="C50" s="298"/>
      <c r="D50" s="99" t="s">
        <v>523</v>
      </c>
      <c r="E50" s="98" t="s">
        <v>355</v>
      </c>
      <c r="F50" s="270" t="s">
        <v>564</v>
      </c>
      <c r="G50" s="271"/>
      <c r="H50" s="199"/>
      <c r="I50" s="236"/>
      <c r="J50" s="200">
        <v>4</v>
      </c>
      <c r="K50" s="238"/>
      <c r="L50" s="239"/>
      <c r="M50" s="240"/>
      <c r="N50" s="241"/>
      <c r="O50" s="242"/>
      <c r="P50" s="239"/>
      <c r="Q50" s="240"/>
      <c r="R50" s="243"/>
      <c r="S50" s="242">
        <v>4</v>
      </c>
      <c r="T50" s="239"/>
      <c r="U50" s="240"/>
      <c r="V50" s="244"/>
      <c r="W50" s="208">
        <f t="shared" si="5"/>
        <v>4</v>
      </c>
      <c r="X50" s="222"/>
      <c r="Y50" s="371"/>
    </row>
    <row r="51" spans="2:27" ht="17.25" customHeight="1">
      <c r="B51" s="297"/>
      <c r="C51" s="298"/>
      <c r="D51" s="99" t="s">
        <v>523</v>
      </c>
      <c r="E51" s="98" t="s">
        <v>355</v>
      </c>
      <c r="F51" s="270" t="s">
        <v>565</v>
      </c>
      <c r="G51" s="271"/>
      <c r="H51" s="199"/>
      <c r="I51" s="236"/>
      <c r="J51" s="200">
        <v>7</v>
      </c>
      <c r="K51" s="238"/>
      <c r="L51" s="239"/>
      <c r="M51" s="240"/>
      <c r="N51" s="241"/>
      <c r="O51" s="242"/>
      <c r="P51" s="239"/>
      <c r="Q51" s="240"/>
      <c r="R51" s="243"/>
      <c r="S51" s="242"/>
      <c r="T51" s="239"/>
      <c r="U51" s="240">
        <v>7</v>
      </c>
      <c r="V51" s="244"/>
      <c r="W51" s="208">
        <f t="shared" ref="W51" si="8">SUM(K51:V51)</f>
        <v>7</v>
      </c>
      <c r="X51" s="222"/>
      <c r="Y51" s="371"/>
    </row>
    <row r="52" spans="2:27" ht="16.5" customHeight="1">
      <c r="B52" s="297"/>
      <c r="C52" s="298"/>
      <c r="D52" s="97" t="s">
        <v>523</v>
      </c>
      <c r="E52" s="98" t="s">
        <v>355</v>
      </c>
      <c r="F52" s="409" t="s">
        <v>566</v>
      </c>
      <c r="G52" s="410"/>
      <c r="H52" s="199"/>
      <c r="I52" s="236"/>
      <c r="J52" s="200">
        <v>4</v>
      </c>
      <c r="K52" s="238"/>
      <c r="L52" s="239"/>
      <c r="M52" s="240"/>
      <c r="N52" s="241"/>
      <c r="O52" s="242"/>
      <c r="P52" s="239"/>
      <c r="Q52" s="240"/>
      <c r="R52" s="243"/>
      <c r="S52" s="241">
        <v>4</v>
      </c>
      <c r="T52" s="239"/>
      <c r="U52" s="250"/>
      <c r="V52" s="251"/>
      <c r="W52" s="208">
        <f t="shared" si="5"/>
        <v>4</v>
      </c>
      <c r="X52" s="222"/>
      <c r="Y52" s="371"/>
    </row>
    <row r="53" spans="2:27" ht="16.5" customHeight="1" thickBot="1">
      <c r="B53" s="299"/>
      <c r="C53" s="300"/>
      <c r="D53" s="104" t="s">
        <v>523</v>
      </c>
      <c r="E53" s="103" t="s">
        <v>355</v>
      </c>
      <c r="F53" s="276" t="s">
        <v>567</v>
      </c>
      <c r="G53" s="277"/>
      <c r="H53" s="201"/>
      <c r="I53" s="237"/>
      <c r="J53" s="203">
        <v>7</v>
      </c>
      <c r="K53" s="266"/>
      <c r="L53" s="212"/>
      <c r="M53" s="265"/>
      <c r="N53" s="211"/>
      <c r="O53" s="268"/>
      <c r="P53" s="212"/>
      <c r="Q53" s="265"/>
      <c r="R53" s="267"/>
      <c r="S53" s="211"/>
      <c r="T53" s="212"/>
      <c r="U53" s="232">
        <v>7</v>
      </c>
      <c r="V53" s="233"/>
      <c r="W53" s="210">
        <f t="shared" ref="W53" si="9">SUM(K53:V53)</f>
        <v>7</v>
      </c>
      <c r="X53" s="223"/>
      <c r="Y53" s="371"/>
    </row>
    <row r="54" spans="2:27" ht="16.5" customHeight="1">
      <c r="B54" s="213" t="s">
        <v>353</v>
      </c>
      <c r="C54" s="303" t="s">
        <v>152</v>
      </c>
      <c r="D54" s="101" t="s">
        <v>357</v>
      </c>
      <c r="E54" s="102" t="s">
        <v>355</v>
      </c>
      <c r="F54" s="287" t="s">
        <v>554</v>
      </c>
      <c r="G54" s="288"/>
      <c r="H54" s="301"/>
      <c r="I54" s="204"/>
      <c r="J54" s="289">
        <v>3</v>
      </c>
      <c r="K54" s="245"/>
      <c r="L54" s="246"/>
      <c r="M54" s="230">
        <v>3</v>
      </c>
      <c r="N54" s="304"/>
      <c r="O54" s="249"/>
      <c r="P54" s="246"/>
      <c r="Q54" s="247"/>
      <c r="R54" s="248"/>
      <c r="S54" s="284"/>
      <c r="T54" s="246"/>
      <c r="U54" s="247"/>
      <c r="V54" s="264"/>
      <c r="W54" s="215">
        <f t="shared" ref="W54" si="10">SUM(K54:V54)</f>
        <v>3</v>
      </c>
      <c r="X54" s="216"/>
      <c r="Y54" s="371"/>
    </row>
    <row r="55" spans="2:27" ht="16.5" customHeight="1" thickBot="1">
      <c r="B55" s="234"/>
      <c r="C55" s="286"/>
      <c r="D55" s="190" t="s">
        <v>523</v>
      </c>
      <c r="E55" s="191" t="s">
        <v>544</v>
      </c>
      <c r="F55" s="276" t="s">
        <v>545</v>
      </c>
      <c r="G55" s="277"/>
      <c r="H55" s="302"/>
      <c r="I55" s="202"/>
      <c r="J55" s="290"/>
      <c r="K55" s="266"/>
      <c r="L55" s="212"/>
      <c r="M55" s="232"/>
      <c r="N55" s="257"/>
      <c r="O55" s="268"/>
      <c r="P55" s="212"/>
      <c r="Q55" s="265"/>
      <c r="R55" s="267"/>
      <c r="S55" s="211"/>
      <c r="T55" s="212"/>
      <c r="U55" s="211"/>
      <c r="V55" s="212"/>
      <c r="W55" s="219"/>
      <c r="X55" s="220"/>
      <c r="Y55" s="371"/>
    </row>
    <row r="56" spans="2:27" ht="16.5" customHeight="1">
      <c r="B56" s="234"/>
      <c r="C56" s="285" t="s">
        <v>152</v>
      </c>
      <c r="D56" s="101" t="s">
        <v>357</v>
      </c>
      <c r="E56" s="102" t="s">
        <v>355</v>
      </c>
      <c r="F56" s="287" t="s">
        <v>568</v>
      </c>
      <c r="G56" s="288"/>
      <c r="H56" s="205"/>
      <c r="I56" s="235"/>
      <c r="J56" s="289">
        <v>6</v>
      </c>
      <c r="K56" s="280">
        <v>6</v>
      </c>
      <c r="L56" s="281"/>
      <c r="M56" s="292"/>
      <c r="N56" s="395"/>
      <c r="O56" s="249"/>
      <c r="P56" s="246"/>
      <c r="Q56" s="247"/>
      <c r="R56" s="248"/>
      <c r="S56" s="284"/>
      <c r="T56" s="246"/>
      <c r="U56" s="284"/>
      <c r="V56" s="246"/>
      <c r="W56" s="215">
        <f t="shared" ref="W56" si="11">SUM(K56:V56)</f>
        <v>6</v>
      </c>
      <c r="X56" s="216"/>
      <c r="Y56" s="371"/>
    </row>
    <row r="57" spans="2:27" ht="16.5" customHeight="1" thickBot="1">
      <c r="B57" s="234"/>
      <c r="C57" s="286"/>
      <c r="D57" s="104" t="s">
        <v>357</v>
      </c>
      <c r="E57" s="98" t="s">
        <v>355</v>
      </c>
      <c r="F57" s="276" t="s">
        <v>569</v>
      </c>
      <c r="G57" s="277"/>
      <c r="H57" s="206"/>
      <c r="I57" s="237"/>
      <c r="J57" s="290"/>
      <c r="K57" s="282"/>
      <c r="L57" s="283"/>
      <c r="M57" s="279"/>
      <c r="N57" s="396"/>
      <c r="O57" s="268"/>
      <c r="P57" s="212"/>
      <c r="Q57" s="265"/>
      <c r="R57" s="267"/>
      <c r="S57" s="211"/>
      <c r="T57" s="212"/>
      <c r="U57" s="211"/>
      <c r="V57" s="212"/>
      <c r="W57" s="219"/>
      <c r="X57" s="220"/>
      <c r="Y57" s="371"/>
    </row>
    <row r="58" spans="2:27" ht="16.5" customHeight="1">
      <c r="B58" s="234"/>
      <c r="C58" s="285" t="s">
        <v>152</v>
      </c>
      <c r="D58" s="101" t="s">
        <v>357</v>
      </c>
      <c r="E58" s="102" t="s">
        <v>355</v>
      </c>
      <c r="F58" s="287" t="s">
        <v>570</v>
      </c>
      <c r="G58" s="288"/>
      <c r="H58" s="205"/>
      <c r="I58" s="235"/>
      <c r="J58" s="289">
        <v>4</v>
      </c>
      <c r="K58" s="291"/>
      <c r="L58" s="292"/>
      <c r="M58" s="281">
        <v>4</v>
      </c>
      <c r="N58" s="293"/>
      <c r="O58" s="249"/>
      <c r="P58" s="246"/>
      <c r="Q58" s="247"/>
      <c r="R58" s="248"/>
      <c r="S58" s="284"/>
      <c r="T58" s="246"/>
      <c r="U58" s="284"/>
      <c r="V58" s="246"/>
      <c r="W58" s="215">
        <f t="shared" ref="W58" si="12">SUM(K58:V58)</f>
        <v>4</v>
      </c>
      <c r="X58" s="216"/>
      <c r="Y58" s="371"/>
    </row>
    <row r="59" spans="2:27" ht="16.5" customHeight="1" thickBot="1">
      <c r="B59" s="214"/>
      <c r="C59" s="286"/>
      <c r="D59" s="104" t="s">
        <v>357</v>
      </c>
      <c r="E59" s="98" t="s">
        <v>355</v>
      </c>
      <c r="F59" s="276" t="s">
        <v>571</v>
      </c>
      <c r="G59" s="277"/>
      <c r="H59" s="206"/>
      <c r="I59" s="237"/>
      <c r="J59" s="290"/>
      <c r="K59" s="278"/>
      <c r="L59" s="279"/>
      <c r="M59" s="283"/>
      <c r="N59" s="294"/>
      <c r="O59" s="268"/>
      <c r="P59" s="212"/>
      <c r="Q59" s="265"/>
      <c r="R59" s="267"/>
      <c r="S59" s="211"/>
      <c r="T59" s="212"/>
      <c r="U59" s="211"/>
      <c r="V59" s="212"/>
      <c r="W59" s="219"/>
      <c r="X59" s="220"/>
      <c r="Y59" s="371"/>
    </row>
    <row r="60" spans="2:27" ht="16.5" customHeight="1">
      <c r="B60" s="224" t="s">
        <v>527</v>
      </c>
      <c r="C60" s="225"/>
      <c r="D60" s="100" t="s">
        <v>357</v>
      </c>
      <c r="E60" s="102" t="s">
        <v>355</v>
      </c>
      <c r="F60" s="287" t="s">
        <v>572</v>
      </c>
      <c r="G60" s="288"/>
      <c r="H60" s="205"/>
      <c r="I60" s="235"/>
      <c r="J60" s="289">
        <v>29</v>
      </c>
      <c r="K60" s="245"/>
      <c r="L60" s="246"/>
      <c r="M60" s="247"/>
      <c r="N60" s="284"/>
      <c r="O60" s="249">
        <v>3</v>
      </c>
      <c r="P60" s="246"/>
      <c r="Q60" s="247"/>
      <c r="R60" s="248"/>
      <c r="S60" s="284"/>
      <c r="T60" s="246"/>
      <c r="U60" s="247"/>
      <c r="V60" s="264"/>
      <c r="W60" s="215">
        <f>SUM(K60:V66)</f>
        <v>29</v>
      </c>
      <c r="X60" s="216"/>
      <c r="Y60" s="371"/>
    </row>
    <row r="61" spans="2:27" ht="16.5" customHeight="1">
      <c r="B61" s="226"/>
      <c r="C61" s="227"/>
      <c r="D61" s="99" t="s">
        <v>357</v>
      </c>
      <c r="E61" s="105" t="s">
        <v>355</v>
      </c>
      <c r="F61" s="270" t="s">
        <v>573</v>
      </c>
      <c r="G61" s="271"/>
      <c r="H61" s="196"/>
      <c r="I61" s="236"/>
      <c r="J61" s="389"/>
      <c r="K61" s="238"/>
      <c r="L61" s="239"/>
      <c r="M61" s="240"/>
      <c r="N61" s="243"/>
      <c r="O61" s="242"/>
      <c r="P61" s="239"/>
      <c r="Q61" s="240">
        <v>3</v>
      </c>
      <c r="R61" s="243"/>
      <c r="S61" s="242"/>
      <c r="T61" s="239"/>
      <c r="U61" s="240"/>
      <c r="V61" s="244"/>
      <c r="W61" s="217"/>
      <c r="X61" s="218"/>
      <c r="Y61" s="371"/>
      <c r="AA61"/>
    </row>
    <row r="62" spans="2:27" ht="16.5" customHeight="1">
      <c r="B62" s="226"/>
      <c r="C62" s="227"/>
      <c r="D62" s="99" t="s">
        <v>523</v>
      </c>
      <c r="E62" s="105" t="s">
        <v>355</v>
      </c>
      <c r="F62" s="270" t="s">
        <v>574</v>
      </c>
      <c r="G62" s="271"/>
      <c r="H62" s="196"/>
      <c r="I62" s="236"/>
      <c r="J62" s="389"/>
      <c r="K62" s="238"/>
      <c r="L62" s="239"/>
      <c r="M62" s="240"/>
      <c r="N62" s="243"/>
      <c r="O62" s="242">
        <v>3</v>
      </c>
      <c r="P62" s="239"/>
      <c r="Q62" s="240"/>
      <c r="R62" s="243"/>
      <c r="S62" s="242"/>
      <c r="T62" s="239"/>
      <c r="U62" s="240"/>
      <c r="V62" s="244"/>
      <c r="W62" s="217"/>
      <c r="X62" s="218"/>
      <c r="Y62" s="371"/>
      <c r="AA62"/>
    </row>
    <row r="63" spans="2:27" ht="16.5" customHeight="1">
      <c r="B63" s="226"/>
      <c r="C63" s="227"/>
      <c r="D63" s="99" t="s">
        <v>357</v>
      </c>
      <c r="E63" s="105" t="s">
        <v>355</v>
      </c>
      <c r="F63" s="270" t="s">
        <v>575</v>
      </c>
      <c r="G63" s="271"/>
      <c r="H63" s="196"/>
      <c r="I63" s="236"/>
      <c r="J63" s="389"/>
      <c r="K63" s="238"/>
      <c r="L63" s="239"/>
      <c r="M63" s="240"/>
      <c r="N63" s="243"/>
      <c r="O63" s="242"/>
      <c r="P63" s="239"/>
      <c r="Q63" s="240">
        <v>3</v>
      </c>
      <c r="R63" s="243"/>
      <c r="S63" s="242"/>
      <c r="T63" s="239"/>
      <c r="U63" s="240"/>
      <c r="V63" s="244"/>
      <c r="W63" s="217"/>
      <c r="X63" s="218"/>
      <c r="Y63" s="371"/>
      <c r="AA63"/>
    </row>
    <row r="64" spans="2:27">
      <c r="B64" s="226"/>
      <c r="C64" s="227"/>
      <c r="D64" s="99" t="s">
        <v>523</v>
      </c>
      <c r="E64" s="105" t="s">
        <v>356</v>
      </c>
      <c r="F64" s="270" t="s">
        <v>525</v>
      </c>
      <c r="G64" s="271"/>
      <c r="H64" s="199"/>
      <c r="I64" s="236"/>
      <c r="J64" s="389"/>
      <c r="K64" s="238"/>
      <c r="L64" s="239"/>
      <c r="M64" s="240"/>
      <c r="N64" s="241"/>
      <c r="O64" s="242"/>
      <c r="P64" s="239"/>
      <c r="Q64" s="240"/>
      <c r="R64" s="243"/>
      <c r="S64" s="241">
        <v>4</v>
      </c>
      <c r="T64" s="239"/>
      <c r="U64" s="240">
        <v>7</v>
      </c>
      <c r="V64" s="244"/>
      <c r="W64" s="217"/>
      <c r="X64" s="218"/>
      <c r="Y64" s="371"/>
    </row>
    <row r="65" spans="2:29">
      <c r="B65" s="226"/>
      <c r="C65" s="227"/>
      <c r="D65" s="99" t="s">
        <v>523</v>
      </c>
      <c r="E65" s="105" t="s">
        <v>355</v>
      </c>
      <c r="F65" s="270" t="s">
        <v>539</v>
      </c>
      <c r="G65" s="271"/>
      <c r="H65" s="196"/>
      <c r="I65" s="236"/>
      <c r="J65" s="389"/>
      <c r="K65" s="238"/>
      <c r="L65" s="239"/>
      <c r="M65" s="240"/>
      <c r="N65" s="241"/>
      <c r="O65" s="242"/>
      <c r="P65" s="239"/>
      <c r="Q65" s="240"/>
      <c r="R65" s="243"/>
      <c r="S65" s="241"/>
      <c r="T65" s="239"/>
      <c r="U65" s="240">
        <v>3</v>
      </c>
      <c r="V65" s="244"/>
      <c r="W65" s="217"/>
      <c r="X65" s="218"/>
      <c r="Y65" s="371"/>
    </row>
    <row r="66" spans="2:29" ht="17.25" thickBot="1">
      <c r="B66" s="228"/>
      <c r="C66" s="229"/>
      <c r="D66" s="99" t="s">
        <v>523</v>
      </c>
      <c r="E66" s="105" t="s">
        <v>355</v>
      </c>
      <c r="F66" s="270" t="s">
        <v>538</v>
      </c>
      <c r="G66" s="271"/>
      <c r="H66" s="196"/>
      <c r="I66" s="236"/>
      <c r="J66" s="389"/>
      <c r="K66" s="238"/>
      <c r="L66" s="239"/>
      <c r="M66" s="240"/>
      <c r="N66" s="241"/>
      <c r="O66" s="242"/>
      <c r="P66" s="239"/>
      <c r="Q66" s="240"/>
      <c r="R66" s="243"/>
      <c r="S66" s="241"/>
      <c r="T66" s="239"/>
      <c r="U66" s="240">
        <v>3</v>
      </c>
      <c r="V66" s="244"/>
      <c r="W66" s="219"/>
      <c r="X66" s="220"/>
      <c r="Y66" s="371"/>
    </row>
    <row r="67" spans="2:29">
      <c r="B67" s="224" t="s">
        <v>528</v>
      </c>
      <c r="C67" s="225"/>
      <c r="D67" s="101" t="s">
        <v>357</v>
      </c>
      <c r="E67" s="106" t="s">
        <v>355</v>
      </c>
      <c r="F67" s="274" t="s">
        <v>576</v>
      </c>
      <c r="G67" s="275"/>
      <c r="H67" s="205"/>
      <c r="I67" s="236"/>
      <c r="J67" s="389"/>
      <c r="K67" s="245"/>
      <c r="L67" s="246"/>
      <c r="M67" s="247"/>
      <c r="N67" s="284"/>
      <c r="O67" s="249">
        <v>3</v>
      </c>
      <c r="P67" s="246"/>
      <c r="Q67" s="247"/>
      <c r="R67" s="248"/>
      <c r="S67" s="284"/>
      <c r="T67" s="246"/>
      <c r="U67" s="247"/>
      <c r="V67" s="264"/>
      <c r="W67" s="215">
        <f>SUM(K67:V74)</f>
        <v>29</v>
      </c>
      <c r="X67" s="216"/>
      <c r="Y67" s="371"/>
    </row>
    <row r="68" spans="2:29">
      <c r="B68" s="226"/>
      <c r="C68" s="227"/>
      <c r="D68" s="110" t="s">
        <v>523</v>
      </c>
      <c r="E68" s="192" t="s">
        <v>524</v>
      </c>
      <c r="F68" s="270" t="s">
        <v>577</v>
      </c>
      <c r="G68" s="271"/>
      <c r="H68" s="196"/>
      <c r="I68" s="236"/>
      <c r="J68" s="389"/>
      <c r="K68" s="238"/>
      <c r="L68" s="239"/>
      <c r="M68" s="240"/>
      <c r="N68" s="243"/>
      <c r="O68" s="242"/>
      <c r="P68" s="239"/>
      <c r="Q68" s="240">
        <v>3</v>
      </c>
      <c r="R68" s="243"/>
      <c r="S68" s="242"/>
      <c r="T68" s="239"/>
      <c r="U68" s="240"/>
      <c r="V68" s="244"/>
      <c r="W68" s="217"/>
      <c r="X68" s="218"/>
      <c r="Y68" s="371"/>
    </row>
    <row r="69" spans="2:29">
      <c r="B69" s="226"/>
      <c r="C69" s="227"/>
      <c r="D69" s="110" t="s">
        <v>523</v>
      </c>
      <c r="E69" s="192" t="s">
        <v>524</v>
      </c>
      <c r="F69" s="270" t="s">
        <v>578</v>
      </c>
      <c r="G69" s="271"/>
      <c r="H69" s="196"/>
      <c r="I69" s="236"/>
      <c r="J69" s="389"/>
      <c r="K69" s="238"/>
      <c r="L69" s="239"/>
      <c r="M69" s="240"/>
      <c r="N69" s="243"/>
      <c r="O69" s="242">
        <v>3</v>
      </c>
      <c r="P69" s="239"/>
      <c r="Q69" s="240"/>
      <c r="R69" s="243"/>
      <c r="S69" s="242"/>
      <c r="T69" s="239"/>
      <c r="U69" s="240"/>
      <c r="V69" s="244"/>
      <c r="W69" s="217"/>
      <c r="X69" s="218"/>
      <c r="Y69" s="371"/>
    </row>
    <row r="70" spans="2:29">
      <c r="B70" s="226"/>
      <c r="C70" s="227"/>
      <c r="D70" s="110" t="s">
        <v>523</v>
      </c>
      <c r="E70" s="192" t="s">
        <v>524</v>
      </c>
      <c r="F70" s="270" t="s">
        <v>579</v>
      </c>
      <c r="G70" s="271"/>
      <c r="H70" s="196"/>
      <c r="I70" s="236"/>
      <c r="J70" s="389"/>
      <c r="K70" s="238"/>
      <c r="L70" s="239"/>
      <c r="M70" s="240"/>
      <c r="N70" s="243"/>
      <c r="O70" s="242"/>
      <c r="P70" s="239"/>
      <c r="Q70" s="240">
        <v>3</v>
      </c>
      <c r="R70" s="243"/>
      <c r="S70" s="242"/>
      <c r="T70" s="239"/>
      <c r="U70" s="240"/>
      <c r="V70" s="244"/>
      <c r="W70" s="217"/>
      <c r="X70" s="218"/>
      <c r="Y70" s="371"/>
    </row>
    <row r="71" spans="2:29">
      <c r="B71" s="226"/>
      <c r="C71" s="227"/>
      <c r="D71" s="107" t="s">
        <v>523</v>
      </c>
      <c r="E71" s="98" t="s">
        <v>524</v>
      </c>
      <c r="F71" s="270" t="s">
        <v>580</v>
      </c>
      <c r="G71" s="271"/>
      <c r="H71" s="199"/>
      <c r="I71" s="236"/>
      <c r="J71" s="389"/>
      <c r="K71" s="238"/>
      <c r="L71" s="239"/>
      <c r="M71" s="240"/>
      <c r="N71" s="241"/>
      <c r="O71" s="242"/>
      <c r="P71" s="239"/>
      <c r="Q71" s="240"/>
      <c r="R71" s="243"/>
      <c r="S71" s="241">
        <v>4</v>
      </c>
      <c r="T71" s="239"/>
      <c r="U71" s="240"/>
      <c r="V71" s="244"/>
      <c r="W71" s="217"/>
      <c r="X71" s="218"/>
      <c r="Y71" s="371"/>
    </row>
    <row r="72" spans="2:29">
      <c r="B72" s="226"/>
      <c r="C72" s="227"/>
      <c r="D72" s="107" t="s">
        <v>523</v>
      </c>
      <c r="E72" s="98" t="s">
        <v>524</v>
      </c>
      <c r="F72" s="270" t="s">
        <v>581</v>
      </c>
      <c r="G72" s="271"/>
      <c r="H72" s="207"/>
      <c r="I72" s="236"/>
      <c r="J72" s="389"/>
      <c r="K72" s="238"/>
      <c r="L72" s="239"/>
      <c r="M72" s="240"/>
      <c r="N72" s="241"/>
      <c r="O72" s="242"/>
      <c r="P72" s="239"/>
      <c r="Q72" s="240"/>
      <c r="R72" s="243"/>
      <c r="S72" s="241"/>
      <c r="T72" s="239"/>
      <c r="U72" s="240">
        <v>7</v>
      </c>
      <c r="V72" s="244"/>
      <c r="W72" s="217"/>
      <c r="X72" s="218"/>
      <c r="Y72" s="371"/>
    </row>
    <row r="73" spans="2:29">
      <c r="B73" s="226"/>
      <c r="C73" s="227"/>
      <c r="D73" s="107" t="s">
        <v>523</v>
      </c>
      <c r="E73" s="98" t="s">
        <v>524</v>
      </c>
      <c r="F73" s="270" t="s">
        <v>541</v>
      </c>
      <c r="G73" s="271"/>
      <c r="H73" s="207"/>
      <c r="I73" s="236"/>
      <c r="J73" s="389"/>
      <c r="K73" s="238"/>
      <c r="L73" s="239"/>
      <c r="M73" s="240"/>
      <c r="N73" s="241"/>
      <c r="O73" s="242"/>
      <c r="P73" s="239"/>
      <c r="Q73" s="240"/>
      <c r="R73" s="243"/>
      <c r="S73" s="241"/>
      <c r="T73" s="239"/>
      <c r="U73" s="240">
        <v>3</v>
      </c>
      <c r="V73" s="244"/>
      <c r="W73" s="217"/>
      <c r="X73" s="218"/>
      <c r="Y73" s="371"/>
    </row>
    <row r="74" spans="2:29" ht="17.25" thickBot="1">
      <c r="B74" s="228"/>
      <c r="C74" s="229"/>
      <c r="D74" s="108" t="s">
        <v>357</v>
      </c>
      <c r="E74" s="103" t="s">
        <v>524</v>
      </c>
      <c r="F74" s="272" t="s">
        <v>540</v>
      </c>
      <c r="G74" s="273"/>
      <c r="H74" s="206"/>
      <c r="I74" s="236"/>
      <c r="J74" s="389"/>
      <c r="K74" s="266"/>
      <c r="L74" s="212"/>
      <c r="M74" s="265"/>
      <c r="N74" s="211"/>
      <c r="O74" s="268"/>
      <c r="P74" s="212"/>
      <c r="Q74" s="265"/>
      <c r="R74" s="267"/>
      <c r="S74" s="211"/>
      <c r="T74" s="212"/>
      <c r="U74" s="265">
        <v>3</v>
      </c>
      <c r="V74" s="269"/>
      <c r="W74" s="219"/>
      <c r="X74" s="220"/>
      <c r="Y74" s="371"/>
    </row>
    <row r="75" spans="2:29">
      <c r="B75" s="213" t="s">
        <v>529</v>
      </c>
      <c r="C75" s="213" t="s">
        <v>530</v>
      </c>
      <c r="D75" s="101" t="s">
        <v>357</v>
      </c>
      <c r="E75" s="106" t="s">
        <v>355</v>
      </c>
      <c r="F75" s="274" t="s">
        <v>572</v>
      </c>
      <c r="G75" s="275"/>
      <c r="H75" s="205"/>
      <c r="I75" s="236"/>
      <c r="J75" s="389"/>
      <c r="K75" s="245"/>
      <c r="L75" s="246"/>
      <c r="M75" s="247"/>
      <c r="N75" s="284"/>
      <c r="O75" s="252">
        <v>3</v>
      </c>
      <c r="P75" s="253"/>
      <c r="Q75" s="247"/>
      <c r="R75" s="248"/>
      <c r="S75" s="284"/>
      <c r="T75" s="246"/>
      <c r="U75" s="247"/>
      <c r="V75" s="264"/>
      <c r="W75" s="393">
        <f>SUM(K75:V90)</f>
        <v>29</v>
      </c>
      <c r="X75" s="216"/>
      <c r="Y75" s="371"/>
      <c r="AC75" s="66"/>
    </row>
    <row r="76" spans="2:29">
      <c r="B76" s="234"/>
      <c r="C76" s="234"/>
      <c r="D76" s="110" t="s">
        <v>523</v>
      </c>
      <c r="E76" s="192" t="s">
        <v>524</v>
      </c>
      <c r="F76" s="270" t="s">
        <v>576</v>
      </c>
      <c r="G76" s="271"/>
      <c r="H76" s="196"/>
      <c r="I76" s="236"/>
      <c r="J76" s="389"/>
      <c r="K76" s="238"/>
      <c r="L76" s="239"/>
      <c r="M76" s="240"/>
      <c r="N76" s="243"/>
      <c r="O76" s="254"/>
      <c r="P76" s="255"/>
      <c r="Q76" s="240"/>
      <c r="R76" s="243"/>
      <c r="S76" s="242"/>
      <c r="T76" s="239"/>
      <c r="U76" s="240"/>
      <c r="V76" s="244"/>
      <c r="W76" s="394"/>
      <c r="X76" s="218"/>
      <c r="Y76" s="371"/>
      <c r="AC76" s="179"/>
    </row>
    <row r="77" spans="2:29">
      <c r="B77" s="234"/>
      <c r="C77" s="234"/>
      <c r="D77" s="110" t="s">
        <v>523</v>
      </c>
      <c r="E77" s="192" t="s">
        <v>524</v>
      </c>
      <c r="F77" s="270" t="s">
        <v>573</v>
      </c>
      <c r="G77" s="271"/>
      <c r="H77" s="196"/>
      <c r="I77" s="236"/>
      <c r="J77" s="389"/>
      <c r="K77" s="238"/>
      <c r="L77" s="239"/>
      <c r="M77" s="240"/>
      <c r="N77" s="243"/>
      <c r="O77" s="242"/>
      <c r="P77" s="239"/>
      <c r="Q77" s="250">
        <v>3</v>
      </c>
      <c r="R77" s="256"/>
      <c r="S77" s="242"/>
      <c r="T77" s="239"/>
      <c r="U77" s="240"/>
      <c r="V77" s="244"/>
      <c r="W77" s="394"/>
      <c r="X77" s="218"/>
      <c r="Y77" s="371"/>
      <c r="AC77" s="179"/>
    </row>
    <row r="78" spans="2:29" ht="17.25" thickBot="1">
      <c r="B78" s="234"/>
      <c r="C78" s="214"/>
      <c r="D78" s="190" t="s">
        <v>357</v>
      </c>
      <c r="E78" s="181" t="s">
        <v>524</v>
      </c>
      <c r="F78" s="272" t="s">
        <v>577</v>
      </c>
      <c r="G78" s="273"/>
      <c r="H78" s="201"/>
      <c r="I78" s="236"/>
      <c r="J78" s="389"/>
      <c r="K78" s="266"/>
      <c r="L78" s="212"/>
      <c r="M78" s="265"/>
      <c r="N78" s="267"/>
      <c r="O78" s="268"/>
      <c r="P78" s="212"/>
      <c r="Q78" s="232"/>
      <c r="R78" s="257"/>
      <c r="S78" s="268"/>
      <c r="T78" s="212"/>
      <c r="U78" s="265"/>
      <c r="V78" s="269"/>
      <c r="W78" s="394"/>
      <c r="X78" s="218"/>
      <c r="Y78" s="371"/>
      <c r="AC78" s="179"/>
    </row>
    <row r="79" spans="2:29">
      <c r="B79" s="234"/>
      <c r="C79" s="213" t="s">
        <v>530</v>
      </c>
      <c r="D79" s="101" t="s">
        <v>523</v>
      </c>
      <c r="E79" s="106" t="s">
        <v>524</v>
      </c>
      <c r="F79" s="274" t="s">
        <v>574</v>
      </c>
      <c r="G79" s="275"/>
      <c r="H79" s="205"/>
      <c r="I79" s="236"/>
      <c r="J79" s="389"/>
      <c r="K79" s="245"/>
      <c r="L79" s="246"/>
      <c r="M79" s="247"/>
      <c r="N79" s="248"/>
      <c r="O79" s="252">
        <v>3</v>
      </c>
      <c r="P79" s="253"/>
      <c r="Q79" s="247"/>
      <c r="R79" s="248"/>
      <c r="S79" s="249"/>
      <c r="T79" s="246"/>
      <c r="U79" s="247"/>
      <c r="V79" s="264"/>
      <c r="W79" s="394"/>
      <c r="X79" s="218"/>
      <c r="Y79" s="371"/>
      <c r="AC79" s="179"/>
    </row>
    <row r="80" spans="2:29">
      <c r="B80" s="234"/>
      <c r="C80" s="234"/>
      <c r="D80" s="110" t="s">
        <v>523</v>
      </c>
      <c r="E80" s="192" t="s">
        <v>524</v>
      </c>
      <c r="F80" s="270" t="s">
        <v>578</v>
      </c>
      <c r="G80" s="271"/>
      <c r="H80" s="196"/>
      <c r="I80" s="236"/>
      <c r="J80" s="389"/>
      <c r="K80" s="238"/>
      <c r="L80" s="239"/>
      <c r="M80" s="240"/>
      <c r="N80" s="243"/>
      <c r="O80" s="254"/>
      <c r="P80" s="255"/>
      <c r="Q80" s="240"/>
      <c r="R80" s="243"/>
      <c r="S80" s="242"/>
      <c r="T80" s="239"/>
      <c r="U80" s="240"/>
      <c r="V80" s="244"/>
      <c r="W80" s="394"/>
      <c r="X80" s="218"/>
      <c r="Y80" s="371"/>
      <c r="AC80" s="179"/>
    </row>
    <row r="81" spans="2:29">
      <c r="B81" s="234"/>
      <c r="C81" s="234"/>
      <c r="D81" s="110" t="s">
        <v>523</v>
      </c>
      <c r="E81" s="192" t="s">
        <v>524</v>
      </c>
      <c r="F81" s="270" t="s">
        <v>575</v>
      </c>
      <c r="G81" s="271"/>
      <c r="H81" s="196"/>
      <c r="I81" s="236"/>
      <c r="J81" s="389"/>
      <c r="K81" s="238"/>
      <c r="L81" s="239"/>
      <c r="M81" s="240"/>
      <c r="N81" s="243"/>
      <c r="O81" s="242"/>
      <c r="P81" s="239"/>
      <c r="Q81" s="250">
        <v>3</v>
      </c>
      <c r="R81" s="256"/>
      <c r="S81" s="242"/>
      <c r="T81" s="239"/>
      <c r="U81" s="240"/>
      <c r="V81" s="244"/>
      <c r="W81" s="394"/>
      <c r="X81" s="218"/>
      <c r="Y81" s="371"/>
      <c r="AC81" s="179"/>
    </row>
    <row r="82" spans="2:29" ht="17.25" thickBot="1">
      <c r="B82" s="234"/>
      <c r="C82" s="214"/>
      <c r="D82" s="190" t="s">
        <v>523</v>
      </c>
      <c r="E82" s="181" t="s">
        <v>524</v>
      </c>
      <c r="F82" s="272" t="s">
        <v>579</v>
      </c>
      <c r="G82" s="273"/>
      <c r="H82" s="201"/>
      <c r="I82" s="236"/>
      <c r="J82" s="389"/>
      <c r="K82" s="266"/>
      <c r="L82" s="212"/>
      <c r="M82" s="265"/>
      <c r="N82" s="267"/>
      <c r="O82" s="268"/>
      <c r="P82" s="212"/>
      <c r="Q82" s="232"/>
      <c r="R82" s="257"/>
      <c r="S82" s="268"/>
      <c r="T82" s="212"/>
      <c r="U82" s="265"/>
      <c r="V82" s="269"/>
      <c r="W82" s="394"/>
      <c r="X82" s="218"/>
      <c r="Y82" s="371"/>
      <c r="AC82" s="179"/>
    </row>
    <row r="83" spans="2:29">
      <c r="B83" s="234"/>
      <c r="C83" s="213" t="s">
        <v>530</v>
      </c>
      <c r="D83" s="110" t="s">
        <v>523</v>
      </c>
      <c r="E83" s="192" t="s">
        <v>356</v>
      </c>
      <c r="F83" s="274" t="s">
        <v>525</v>
      </c>
      <c r="G83" s="275"/>
      <c r="H83" s="196"/>
      <c r="I83" s="236"/>
      <c r="J83" s="389"/>
      <c r="K83" s="245"/>
      <c r="L83" s="246"/>
      <c r="M83" s="247"/>
      <c r="N83" s="248"/>
      <c r="O83" s="249"/>
      <c r="P83" s="246"/>
      <c r="Q83" s="247"/>
      <c r="R83" s="248"/>
      <c r="S83" s="252">
        <v>4</v>
      </c>
      <c r="T83" s="253"/>
      <c r="U83" s="247"/>
      <c r="V83" s="264"/>
      <c r="W83" s="394"/>
      <c r="X83" s="218"/>
      <c r="Y83" s="371"/>
      <c r="AC83" s="179"/>
    </row>
    <row r="84" spans="2:29">
      <c r="B84" s="234"/>
      <c r="C84" s="234"/>
      <c r="D84" s="110" t="s">
        <v>357</v>
      </c>
      <c r="E84" s="192" t="s">
        <v>355</v>
      </c>
      <c r="F84" s="270" t="s">
        <v>580</v>
      </c>
      <c r="G84" s="271"/>
      <c r="H84" s="196"/>
      <c r="I84" s="236"/>
      <c r="J84" s="389"/>
      <c r="K84" s="238"/>
      <c r="L84" s="239"/>
      <c r="M84" s="240"/>
      <c r="N84" s="243"/>
      <c r="O84" s="242"/>
      <c r="P84" s="239"/>
      <c r="Q84" s="240"/>
      <c r="R84" s="243"/>
      <c r="S84" s="254"/>
      <c r="T84" s="255"/>
      <c r="U84" s="240"/>
      <c r="V84" s="244"/>
      <c r="W84" s="394"/>
      <c r="X84" s="218"/>
      <c r="Y84" s="371"/>
      <c r="AC84" s="179"/>
    </row>
    <row r="85" spans="2:29">
      <c r="B85" s="234"/>
      <c r="C85" s="234"/>
      <c r="D85" s="100" t="s">
        <v>523</v>
      </c>
      <c r="E85" s="180" t="s">
        <v>356</v>
      </c>
      <c r="F85" s="270" t="s">
        <v>525</v>
      </c>
      <c r="G85" s="271"/>
      <c r="H85" s="196"/>
      <c r="I85" s="236"/>
      <c r="J85" s="389"/>
      <c r="K85" s="238"/>
      <c r="L85" s="239"/>
      <c r="M85" s="240"/>
      <c r="N85" s="243"/>
      <c r="O85" s="242"/>
      <c r="P85" s="239"/>
      <c r="Q85" s="240"/>
      <c r="R85" s="243"/>
      <c r="S85" s="242"/>
      <c r="T85" s="239"/>
      <c r="U85" s="250">
        <v>7</v>
      </c>
      <c r="V85" s="251"/>
      <c r="W85" s="394"/>
      <c r="X85" s="218"/>
      <c r="Y85" s="371"/>
      <c r="AC85" s="179"/>
    </row>
    <row r="86" spans="2:29" ht="17.25" thickBot="1">
      <c r="B86" s="234"/>
      <c r="C86" s="214"/>
      <c r="D86" s="104" t="s">
        <v>523</v>
      </c>
      <c r="E86" s="103" t="s">
        <v>355</v>
      </c>
      <c r="F86" s="276" t="s">
        <v>581</v>
      </c>
      <c r="G86" s="277"/>
      <c r="H86" s="201"/>
      <c r="I86" s="236"/>
      <c r="J86" s="389"/>
      <c r="K86" s="266"/>
      <c r="L86" s="212"/>
      <c r="M86" s="265"/>
      <c r="N86" s="211"/>
      <c r="O86" s="268"/>
      <c r="P86" s="212"/>
      <c r="Q86" s="265"/>
      <c r="R86" s="267"/>
      <c r="S86" s="211"/>
      <c r="T86" s="212"/>
      <c r="U86" s="232"/>
      <c r="V86" s="233"/>
      <c r="W86" s="394"/>
      <c r="X86" s="218"/>
      <c r="Y86" s="371"/>
      <c r="AC86" s="179"/>
    </row>
    <row r="87" spans="2:29" ht="16.5" customHeight="1">
      <c r="B87" s="234"/>
      <c r="C87" s="213" t="s">
        <v>530</v>
      </c>
      <c r="D87" s="101" t="s">
        <v>523</v>
      </c>
      <c r="E87" s="106" t="s">
        <v>355</v>
      </c>
      <c r="F87" s="274" t="s">
        <v>539</v>
      </c>
      <c r="G87" s="275"/>
      <c r="H87" s="205"/>
      <c r="I87" s="236"/>
      <c r="J87" s="389"/>
      <c r="K87" s="245"/>
      <c r="L87" s="246"/>
      <c r="M87" s="247"/>
      <c r="N87" s="248"/>
      <c r="O87" s="249"/>
      <c r="P87" s="246"/>
      <c r="Q87" s="247"/>
      <c r="R87" s="248"/>
      <c r="S87" s="252"/>
      <c r="T87" s="253"/>
      <c r="U87" s="230">
        <v>3</v>
      </c>
      <c r="V87" s="231"/>
      <c r="W87" s="217"/>
      <c r="X87" s="218"/>
      <c r="Y87" s="371"/>
      <c r="AC87" s="179"/>
    </row>
    <row r="88" spans="2:29" ht="17.25" thickBot="1">
      <c r="B88" s="234"/>
      <c r="C88" s="214"/>
      <c r="D88" s="190" t="s">
        <v>357</v>
      </c>
      <c r="E88" s="181" t="s">
        <v>524</v>
      </c>
      <c r="F88" s="272" t="s">
        <v>541</v>
      </c>
      <c r="G88" s="273"/>
      <c r="H88" s="201"/>
      <c r="I88" s="236"/>
      <c r="J88" s="389"/>
      <c r="K88" s="266"/>
      <c r="L88" s="212"/>
      <c r="M88" s="265"/>
      <c r="N88" s="267"/>
      <c r="O88" s="268"/>
      <c r="P88" s="212"/>
      <c r="Q88" s="265"/>
      <c r="R88" s="267"/>
      <c r="S88" s="260"/>
      <c r="T88" s="261"/>
      <c r="U88" s="232"/>
      <c r="V88" s="233"/>
      <c r="W88" s="217"/>
      <c r="X88" s="218"/>
      <c r="Y88" s="371"/>
      <c r="AC88" s="179"/>
    </row>
    <row r="89" spans="2:29">
      <c r="B89" s="234"/>
      <c r="C89" s="180" t="s">
        <v>542</v>
      </c>
      <c r="D89" s="100" t="s">
        <v>523</v>
      </c>
      <c r="E89" s="192" t="s">
        <v>524</v>
      </c>
      <c r="F89" s="390" t="s">
        <v>540</v>
      </c>
      <c r="G89" s="391"/>
      <c r="H89" s="196"/>
      <c r="I89" s="236"/>
      <c r="J89" s="389"/>
      <c r="K89" s="392"/>
      <c r="L89" s="255"/>
      <c r="M89" s="258"/>
      <c r="N89" s="259"/>
      <c r="O89" s="254"/>
      <c r="P89" s="255"/>
      <c r="Q89" s="258"/>
      <c r="R89" s="259"/>
      <c r="S89" s="254"/>
      <c r="T89" s="255"/>
      <c r="U89" s="262">
        <v>3</v>
      </c>
      <c r="V89" s="263"/>
      <c r="W89" s="217"/>
      <c r="X89" s="218"/>
      <c r="Y89" s="371"/>
      <c r="AC89" s="179"/>
    </row>
    <row r="90" spans="2:29" ht="17.25" thickBot="1">
      <c r="B90" s="214"/>
      <c r="C90" s="181" t="s">
        <v>543</v>
      </c>
      <c r="D90" s="104" t="s">
        <v>523</v>
      </c>
      <c r="E90" s="181" t="s">
        <v>524</v>
      </c>
      <c r="F90" s="272" t="s">
        <v>538</v>
      </c>
      <c r="G90" s="273"/>
      <c r="H90" s="201"/>
      <c r="I90" s="237"/>
      <c r="J90" s="290"/>
      <c r="K90" s="266"/>
      <c r="L90" s="212"/>
      <c r="M90" s="265"/>
      <c r="N90" s="211"/>
      <c r="O90" s="268"/>
      <c r="P90" s="212"/>
      <c r="Q90" s="265"/>
      <c r="R90" s="267"/>
      <c r="S90" s="268"/>
      <c r="T90" s="212"/>
      <c r="U90" s="232"/>
      <c r="V90" s="233"/>
      <c r="W90" s="219"/>
      <c r="X90" s="220"/>
      <c r="Y90" s="349"/>
      <c r="AC90" s="109"/>
    </row>
    <row r="91" spans="2:29" ht="24.75" customHeight="1">
      <c r="B91" s="344" t="s">
        <v>361</v>
      </c>
      <c r="C91" s="373"/>
      <c r="D91" s="373"/>
      <c r="E91" s="373"/>
      <c r="F91" s="373"/>
      <c r="G91" s="345"/>
      <c r="H91" s="375">
        <f>SUM(H43:H53)</f>
        <v>0</v>
      </c>
      <c r="I91" s="377">
        <f>SUM(I43:I53)</f>
        <v>0</v>
      </c>
      <c r="J91" s="379">
        <f>SUM(J43:J90)</f>
        <v>84</v>
      </c>
      <c r="K91" s="344">
        <f>SUM(K43:L90)</f>
        <v>9</v>
      </c>
      <c r="L91" s="381"/>
      <c r="M91" s="383">
        <f>SUM(M43:N64)</f>
        <v>12</v>
      </c>
      <c r="N91" s="373"/>
      <c r="O91" s="385">
        <f>SUM(O43:P64)</f>
        <v>9</v>
      </c>
      <c r="P91" s="381"/>
      <c r="Q91" s="383">
        <f>SUM(Q43:R64)</f>
        <v>9</v>
      </c>
      <c r="R91" s="387"/>
      <c r="S91" s="373">
        <f>SUM(S43:T64)</f>
        <v>16</v>
      </c>
      <c r="T91" s="381"/>
      <c r="U91" s="383">
        <f>SUM(U43:V66)</f>
        <v>29</v>
      </c>
      <c r="V91" s="345"/>
      <c r="W91" s="344">
        <f>SUM(K91:V92)</f>
        <v>84</v>
      </c>
      <c r="X91" s="345"/>
      <c r="Y91" s="348">
        <f>SUM(Y43:Y67)</f>
        <v>80</v>
      </c>
      <c r="AC91" s="66"/>
    </row>
    <row r="92" spans="2:29" ht="17.25" thickBot="1">
      <c r="B92" s="346"/>
      <c r="C92" s="374"/>
      <c r="D92" s="374"/>
      <c r="E92" s="374"/>
      <c r="F92" s="374"/>
      <c r="G92" s="347"/>
      <c r="H92" s="376"/>
      <c r="I92" s="378"/>
      <c r="J92" s="380"/>
      <c r="K92" s="346"/>
      <c r="L92" s="382"/>
      <c r="M92" s="384"/>
      <c r="N92" s="374"/>
      <c r="O92" s="386"/>
      <c r="P92" s="382"/>
      <c r="Q92" s="384"/>
      <c r="R92" s="388"/>
      <c r="S92" s="374"/>
      <c r="T92" s="382"/>
      <c r="U92" s="384"/>
      <c r="V92" s="347"/>
      <c r="W92" s="346"/>
      <c r="X92" s="347"/>
      <c r="Y92" s="349"/>
      <c r="AC92" s="109"/>
    </row>
    <row r="93" spans="2:29" ht="17.25" customHeight="1" thickBot="1">
      <c r="B93" s="316"/>
      <c r="C93" s="317"/>
      <c r="D93" s="317"/>
      <c r="E93" s="317"/>
      <c r="F93" s="317"/>
      <c r="G93" s="318"/>
      <c r="H93" s="67">
        <f>SUM(H42,H91)</f>
        <v>47</v>
      </c>
      <c r="I93" s="68">
        <f>SUM(I42,I91)</f>
        <v>0</v>
      </c>
      <c r="J93" s="70">
        <f>SUM(J42,J91)</f>
        <v>174</v>
      </c>
      <c r="K93" s="316">
        <f>SUM(K42,K91)</f>
        <v>29</v>
      </c>
      <c r="L93" s="342"/>
      <c r="M93" s="343">
        <f>SUM(M42,M91)</f>
        <v>29</v>
      </c>
      <c r="N93" s="319"/>
      <c r="O93" s="320">
        <f>SUM(O42,O91)</f>
        <v>29</v>
      </c>
      <c r="P93" s="342"/>
      <c r="Q93" s="343">
        <f>SUM(Q42,Q91)</f>
        <v>29</v>
      </c>
      <c r="R93" s="319"/>
      <c r="S93" s="320">
        <f>SUM(S42,S91)</f>
        <v>29</v>
      </c>
      <c r="T93" s="342"/>
      <c r="U93" s="343">
        <f>SUM(U42,U91)</f>
        <v>29</v>
      </c>
      <c r="V93" s="318"/>
      <c r="W93" s="316">
        <f>SUM(K93:V93)</f>
        <v>174</v>
      </c>
      <c r="X93" s="318"/>
      <c r="Y93" s="11">
        <f>Y91+Y42</f>
        <v>144</v>
      </c>
      <c r="AA93" s="321" t="s">
        <v>153</v>
      </c>
      <c r="AB93" s="321"/>
    </row>
    <row r="94" spans="2:29" ht="18.75" customHeight="1" thickBot="1">
      <c r="B94" s="351" t="s">
        <v>362</v>
      </c>
      <c r="C94" s="352"/>
      <c r="D94" s="352"/>
      <c r="E94" s="353"/>
      <c r="F94" s="360" t="s">
        <v>358</v>
      </c>
      <c r="G94" s="361"/>
      <c r="H94" s="361"/>
      <c r="I94" s="361"/>
      <c r="J94" s="362"/>
      <c r="K94" s="363">
        <v>28</v>
      </c>
      <c r="L94" s="364"/>
      <c r="M94" s="365">
        <v>28</v>
      </c>
      <c r="N94" s="366"/>
      <c r="O94" s="367">
        <v>28</v>
      </c>
      <c r="P94" s="364"/>
      <c r="Q94" s="365">
        <v>28</v>
      </c>
      <c r="R94" s="366"/>
      <c r="S94" s="367">
        <v>28</v>
      </c>
      <c r="T94" s="364"/>
      <c r="U94" s="365">
        <v>28</v>
      </c>
      <c r="V94" s="368"/>
      <c r="W94" s="351">
        <f>SUM(K94:V96)</f>
        <v>288</v>
      </c>
      <c r="X94" s="353"/>
      <c r="Y94" s="348">
        <f>Y97*16</f>
        <v>288</v>
      </c>
      <c r="AA94" s="350"/>
      <c r="AB94" s="350"/>
    </row>
    <row r="95" spans="2:29" ht="17.25" customHeight="1" thickBot="1">
      <c r="B95" s="354"/>
      <c r="C95" s="355"/>
      <c r="D95" s="355"/>
      <c r="E95" s="356"/>
      <c r="F95" s="337" t="s">
        <v>63</v>
      </c>
      <c r="G95" s="338"/>
      <c r="H95" s="338"/>
      <c r="I95" s="338"/>
      <c r="J95" s="339"/>
      <c r="K95" s="340">
        <v>10</v>
      </c>
      <c r="L95" s="332"/>
      <c r="M95" s="333">
        <v>10</v>
      </c>
      <c r="N95" s="341"/>
      <c r="O95" s="331">
        <v>10</v>
      </c>
      <c r="P95" s="332"/>
      <c r="Q95" s="333">
        <v>10</v>
      </c>
      <c r="R95" s="341"/>
      <c r="S95" s="331">
        <v>10</v>
      </c>
      <c r="T95" s="332"/>
      <c r="U95" s="333">
        <v>10</v>
      </c>
      <c r="V95" s="334"/>
      <c r="W95" s="354"/>
      <c r="X95" s="356"/>
      <c r="Y95" s="371"/>
      <c r="AA95" s="335" t="b">
        <f>W93&gt;=Y93</f>
        <v>1</v>
      </c>
      <c r="AB95" s="336"/>
    </row>
    <row r="96" spans="2:29" ht="17.25" customHeight="1">
      <c r="B96" s="354"/>
      <c r="C96" s="355"/>
      <c r="D96" s="355"/>
      <c r="E96" s="356"/>
      <c r="F96" s="337" t="s">
        <v>11</v>
      </c>
      <c r="G96" s="338"/>
      <c r="H96" s="338"/>
      <c r="I96" s="338"/>
      <c r="J96" s="339"/>
      <c r="K96" s="340">
        <v>10</v>
      </c>
      <c r="L96" s="332"/>
      <c r="M96" s="333">
        <v>10</v>
      </c>
      <c r="N96" s="341"/>
      <c r="O96" s="331">
        <v>10</v>
      </c>
      <c r="P96" s="332"/>
      <c r="Q96" s="333">
        <v>10</v>
      </c>
      <c r="R96" s="341"/>
      <c r="S96" s="331">
        <v>10</v>
      </c>
      <c r="T96" s="332"/>
      <c r="U96" s="333">
        <v>10</v>
      </c>
      <c r="V96" s="334"/>
      <c r="W96" s="369"/>
      <c r="X96" s="370"/>
      <c r="Y96" s="372"/>
    </row>
    <row r="97" spans="2:28" ht="17.25" customHeight="1" thickBot="1">
      <c r="B97" s="357"/>
      <c r="C97" s="358"/>
      <c r="D97" s="358"/>
      <c r="E97" s="359"/>
      <c r="F97" s="322" t="s">
        <v>148</v>
      </c>
      <c r="G97" s="323"/>
      <c r="H97" s="323"/>
      <c r="I97" s="323"/>
      <c r="J97" s="324"/>
      <c r="K97" s="325">
        <v>3</v>
      </c>
      <c r="L97" s="326"/>
      <c r="M97" s="327">
        <v>3</v>
      </c>
      <c r="N97" s="328"/>
      <c r="O97" s="329">
        <v>3</v>
      </c>
      <c r="P97" s="326"/>
      <c r="Q97" s="327">
        <v>3</v>
      </c>
      <c r="R97" s="328"/>
      <c r="S97" s="329">
        <v>3</v>
      </c>
      <c r="T97" s="326"/>
      <c r="U97" s="327">
        <v>3</v>
      </c>
      <c r="V97" s="330"/>
      <c r="W97" s="322">
        <f>SUM(K97:V97)</f>
        <v>18</v>
      </c>
      <c r="X97" s="324"/>
      <c r="Y97" s="111">
        <v>18</v>
      </c>
      <c r="AA97" s="321" t="s">
        <v>154</v>
      </c>
      <c r="AB97" s="321"/>
    </row>
    <row r="98" spans="2:28" ht="17.25" customHeight="1" thickBot="1">
      <c r="B98" s="316"/>
      <c r="C98" s="317"/>
      <c r="D98" s="317"/>
      <c r="E98" s="317"/>
      <c r="F98" s="317"/>
      <c r="G98" s="317"/>
      <c r="H98" s="317"/>
      <c r="I98" s="317"/>
      <c r="J98" s="318"/>
      <c r="K98" s="316">
        <v>32</v>
      </c>
      <c r="L98" s="342"/>
      <c r="M98" s="343">
        <v>32</v>
      </c>
      <c r="N98" s="319"/>
      <c r="O98" s="320">
        <v>32</v>
      </c>
      <c r="P98" s="342"/>
      <c r="Q98" s="343">
        <v>32</v>
      </c>
      <c r="R98" s="319"/>
      <c r="S98" s="320">
        <v>32</v>
      </c>
      <c r="T98" s="342"/>
      <c r="U98" s="343">
        <v>32</v>
      </c>
      <c r="V98" s="318"/>
      <c r="W98" s="316">
        <f>SUM(K98:V98)</f>
        <v>192</v>
      </c>
      <c r="X98" s="318"/>
      <c r="Y98" s="71">
        <f>W98</f>
        <v>192</v>
      </c>
      <c r="AA98" s="335" t="b">
        <f>W97&gt;=Y97</f>
        <v>1</v>
      </c>
      <c r="AB98" s="336"/>
    </row>
    <row r="99" spans="2:28" ht="17.25" customHeight="1" thickBot="1">
      <c r="B99" s="316"/>
      <c r="C99" s="317"/>
      <c r="D99" s="317"/>
      <c r="E99" s="317"/>
      <c r="F99" s="317"/>
      <c r="G99" s="317"/>
      <c r="H99" s="317"/>
      <c r="I99" s="317"/>
      <c r="J99" s="318"/>
      <c r="K99" s="316">
        <f>SUM(K98:N98)</f>
        <v>64</v>
      </c>
      <c r="L99" s="317"/>
      <c r="M99" s="317"/>
      <c r="N99" s="319"/>
      <c r="O99" s="320">
        <f>SUM(O98:R98)</f>
        <v>64</v>
      </c>
      <c r="P99" s="317"/>
      <c r="Q99" s="317"/>
      <c r="R99" s="319"/>
      <c r="S99" s="320">
        <f>SUM(S98:V98)</f>
        <v>64</v>
      </c>
      <c r="T99" s="317"/>
      <c r="U99" s="317"/>
      <c r="V99" s="318"/>
      <c r="W99" s="316">
        <f>SUM(K99:V99)</f>
        <v>192</v>
      </c>
      <c r="X99" s="318"/>
      <c r="Y99" s="11"/>
      <c r="AA99" s="321" t="s">
        <v>151</v>
      </c>
      <c r="AB99" s="321"/>
    </row>
    <row r="100" spans="2:28" ht="17.25" customHeight="1" thickBot="1">
      <c r="AA100" s="335" t="b">
        <f>W98&gt;=Y98</f>
        <v>1</v>
      </c>
      <c r="AB100" s="336"/>
    </row>
    <row r="101" spans="2:28" ht="17.25" customHeight="1"/>
    <row r="102" spans="2:28" ht="17.25" customHeight="1"/>
    <row r="103" spans="2:28" ht="17.25" customHeight="1"/>
    <row r="105" spans="2:28" ht="24.95" customHeight="1"/>
    <row r="106" spans="2:28" ht="24.95" customHeight="1"/>
    <row r="107" spans="2:28" ht="32.25" customHeight="1"/>
    <row r="108" spans="2:28" ht="24.95" customHeight="1"/>
    <row r="110" spans="2:28" ht="16.5" customHeight="1"/>
    <row r="111" spans="2:28" ht="17.25" customHeight="1"/>
    <row r="112" spans="2:28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244.5" customHeight="1"/>
  </sheetData>
  <mergeCells count="735">
    <mergeCell ref="S44:T44"/>
    <mergeCell ref="U41:V41"/>
    <mergeCell ref="U42:V42"/>
    <mergeCell ref="W42:X42"/>
    <mergeCell ref="Q44:R44"/>
    <mergeCell ref="Q42:R42"/>
    <mergeCell ref="S42:T42"/>
    <mergeCell ref="Y30:Y34"/>
    <mergeCell ref="M39:N39"/>
    <mergeCell ref="M40:N40"/>
    <mergeCell ref="O41:P41"/>
    <mergeCell ref="M42:N42"/>
    <mergeCell ref="O42:P42"/>
    <mergeCell ref="O40:P40"/>
    <mergeCell ref="M41:N41"/>
    <mergeCell ref="M43:N43"/>
    <mergeCell ref="O43:P43"/>
    <mergeCell ref="Q43:R43"/>
    <mergeCell ref="S43:T43"/>
    <mergeCell ref="U43:V43"/>
    <mergeCell ref="W43:X43"/>
    <mergeCell ref="O39:P39"/>
    <mergeCell ref="S10:T10"/>
    <mergeCell ref="U10:V10"/>
    <mergeCell ref="U35:V35"/>
    <mergeCell ref="M51:N51"/>
    <mergeCell ref="O51:P51"/>
    <mergeCell ref="U50:V50"/>
    <mergeCell ref="M45:N45"/>
    <mergeCell ref="M46:N46"/>
    <mergeCell ref="O45:P45"/>
    <mergeCell ref="O46:P46"/>
    <mergeCell ref="S45:T45"/>
    <mergeCell ref="U45:V45"/>
    <mergeCell ref="M13:N13"/>
    <mergeCell ref="O13:P13"/>
    <mergeCell ref="Q13:R13"/>
    <mergeCell ref="S13:T13"/>
    <mergeCell ref="U13:V13"/>
    <mergeCell ref="O44:P44"/>
    <mergeCell ref="Q41:R41"/>
    <mergeCell ref="S41:T41"/>
    <mergeCell ref="Q51:R51"/>
    <mergeCell ref="M44:N44"/>
    <mergeCell ref="U44:V44"/>
    <mergeCell ref="U47:V47"/>
    <mergeCell ref="X2:Y2"/>
    <mergeCell ref="B2:U2"/>
    <mergeCell ref="V2:W2"/>
    <mergeCell ref="AA2:AA5"/>
    <mergeCell ref="S52:T52"/>
    <mergeCell ref="U51:V51"/>
    <mergeCell ref="M47:N47"/>
    <mergeCell ref="O47:P47"/>
    <mergeCell ref="M50:N50"/>
    <mergeCell ref="O50:P50"/>
    <mergeCell ref="Q47:R47"/>
    <mergeCell ref="S47:T47"/>
    <mergeCell ref="Q39:R39"/>
    <mergeCell ref="Q40:R40"/>
    <mergeCell ref="S39:T39"/>
    <mergeCell ref="S40:T40"/>
    <mergeCell ref="U39:V39"/>
    <mergeCell ref="U40:V40"/>
    <mergeCell ref="U15:V15"/>
    <mergeCell ref="M10:N10"/>
    <mergeCell ref="O10:P10"/>
    <mergeCell ref="S8:T8"/>
    <mergeCell ref="U8:V8"/>
    <mergeCell ref="Q10:R10"/>
    <mergeCell ref="Y24:Y25"/>
    <mergeCell ref="AA25:AB25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Y9:Y23"/>
    <mergeCell ref="M20:N20"/>
    <mergeCell ref="O20:P20"/>
    <mergeCell ref="Q20:R20"/>
    <mergeCell ref="S20:T20"/>
    <mergeCell ref="U20:V20"/>
    <mergeCell ref="M19:N19"/>
    <mergeCell ref="O19:P19"/>
    <mergeCell ref="Q19:R19"/>
    <mergeCell ref="S19:T19"/>
    <mergeCell ref="U19:V19"/>
    <mergeCell ref="M9:N9"/>
    <mergeCell ref="Y26:Y29"/>
    <mergeCell ref="M27:N27"/>
    <mergeCell ref="O27:P27"/>
    <mergeCell ref="Q27:R27"/>
    <mergeCell ref="S27:T27"/>
    <mergeCell ref="U27:V27"/>
    <mergeCell ref="M26:N26"/>
    <mergeCell ref="O26:P26"/>
    <mergeCell ref="Q26:R26"/>
    <mergeCell ref="S26:T26"/>
    <mergeCell ref="U26:V26"/>
    <mergeCell ref="S28:T28"/>
    <mergeCell ref="U28:V28"/>
    <mergeCell ref="S29:T29"/>
    <mergeCell ref="U29:V29"/>
    <mergeCell ref="X28:X29"/>
    <mergeCell ref="M32:N32"/>
    <mergeCell ref="D9:D13"/>
    <mergeCell ref="F9:G9"/>
    <mergeCell ref="K9:L9"/>
    <mergeCell ref="F10:G10"/>
    <mergeCell ref="K10:L10"/>
    <mergeCell ref="M29:N29"/>
    <mergeCell ref="O29:P29"/>
    <mergeCell ref="Q29:R29"/>
    <mergeCell ref="M28:N28"/>
    <mergeCell ref="O28:P28"/>
    <mergeCell ref="Q28:R28"/>
    <mergeCell ref="Q25:R25"/>
    <mergeCell ref="F13:G13"/>
    <mergeCell ref="K13:L13"/>
    <mergeCell ref="D14:D18"/>
    <mergeCell ref="F14:G14"/>
    <mergeCell ref="K14:L14"/>
    <mergeCell ref="D19:D23"/>
    <mergeCell ref="F19:G19"/>
    <mergeCell ref="K19:L19"/>
    <mergeCell ref="D28:D29"/>
    <mergeCell ref="F28:G28"/>
    <mergeCell ref="K28:L28"/>
    <mergeCell ref="O34:P34"/>
    <mergeCell ref="Q34:R34"/>
    <mergeCell ref="S34:T34"/>
    <mergeCell ref="U34:V34"/>
    <mergeCell ref="M33:N33"/>
    <mergeCell ref="O33:P33"/>
    <mergeCell ref="Q33:R33"/>
    <mergeCell ref="S33:T33"/>
    <mergeCell ref="U33:V33"/>
    <mergeCell ref="U60:V60"/>
    <mergeCell ref="S61:T61"/>
    <mergeCell ref="U61:V61"/>
    <mergeCell ref="O71:P71"/>
    <mergeCell ref="O67:P67"/>
    <mergeCell ref="Q67:R67"/>
    <mergeCell ref="S67:T67"/>
    <mergeCell ref="U67:V67"/>
    <mergeCell ref="O61:P61"/>
    <mergeCell ref="Q61:R61"/>
    <mergeCell ref="S64:T64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X14:X18"/>
    <mergeCell ref="F15:G15"/>
    <mergeCell ref="K15:L15"/>
    <mergeCell ref="F18:G18"/>
    <mergeCell ref="K18:L18"/>
    <mergeCell ref="X9:X13"/>
    <mergeCell ref="O9:P9"/>
    <mergeCell ref="Q9:R9"/>
    <mergeCell ref="S9:T9"/>
    <mergeCell ref="U9:V9"/>
    <mergeCell ref="M18:N18"/>
    <mergeCell ref="O18:P18"/>
    <mergeCell ref="Q18:R18"/>
    <mergeCell ref="S18:T18"/>
    <mergeCell ref="U18:V18"/>
    <mergeCell ref="M15:N15"/>
    <mergeCell ref="O15:P15"/>
    <mergeCell ref="Q15:R15"/>
    <mergeCell ref="S15:T15"/>
    <mergeCell ref="M14:N14"/>
    <mergeCell ref="O14:P14"/>
    <mergeCell ref="Q14:R14"/>
    <mergeCell ref="S14:T14"/>
    <mergeCell ref="U14:V14"/>
    <mergeCell ref="X19:X23"/>
    <mergeCell ref="F20:G20"/>
    <mergeCell ref="K20:L20"/>
    <mergeCell ref="F23:G23"/>
    <mergeCell ref="K23:L23"/>
    <mergeCell ref="D24:D27"/>
    <mergeCell ref="F24:G24"/>
    <mergeCell ref="K24:L24"/>
    <mergeCell ref="X24:X25"/>
    <mergeCell ref="F25:G25"/>
    <mergeCell ref="K25:L25"/>
    <mergeCell ref="F26:G26"/>
    <mergeCell ref="K26:L26"/>
    <mergeCell ref="X26:X27"/>
    <mergeCell ref="F27:G27"/>
    <mergeCell ref="K27:L27"/>
    <mergeCell ref="U25:V25"/>
    <mergeCell ref="M25:N25"/>
    <mergeCell ref="O25:P25"/>
    <mergeCell ref="S25:T25"/>
    <mergeCell ref="F21:G21"/>
    <mergeCell ref="K21:L21"/>
    <mergeCell ref="M21:N21"/>
    <mergeCell ref="O21:P21"/>
    <mergeCell ref="X30:X34"/>
    <mergeCell ref="F31:G31"/>
    <mergeCell ref="K31:L31"/>
    <mergeCell ref="F32:G32"/>
    <mergeCell ref="K32:L32"/>
    <mergeCell ref="F33:G33"/>
    <mergeCell ref="K33:L33"/>
    <mergeCell ref="F34:G34"/>
    <mergeCell ref="K34:L34"/>
    <mergeCell ref="O32:P32"/>
    <mergeCell ref="Q32:R32"/>
    <mergeCell ref="S32:T32"/>
    <mergeCell ref="U32:V32"/>
    <mergeCell ref="M30:N30"/>
    <mergeCell ref="O30:P30"/>
    <mergeCell ref="Q30:R30"/>
    <mergeCell ref="S30:T30"/>
    <mergeCell ref="U30:V30"/>
    <mergeCell ref="M31:N31"/>
    <mergeCell ref="O31:P31"/>
    <mergeCell ref="Q31:R31"/>
    <mergeCell ref="S31:T31"/>
    <mergeCell ref="U31:V31"/>
    <mergeCell ref="M34:N34"/>
    <mergeCell ref="W35:X38"/>
    <mergeCell ref="Y35:Y38"/>
    <mergeCell ref="F38:G38"/>
    <mergeCell ref="K38:L38"/>
    <mergeCell ref="D39:D41"/>
    <mergeCell ref="F39:G39"/>
    <mergeCell ref="K39:L39"/>
    <mergeCell ref="W39:X41"/>
    <mergeCell ref="Y39:Y41"/>
    <mergeCell ref="F40:G40"/>
    <mergeCell ref="K40:L40"/>
    <mergeCell ref="F41:G41"/>
    <mergeCell ref="K41:L41"/>
    <mergeCell ref="O38:P38"/>
    <mergeCell ref="Q38:R38"/>
    <mergeCell ref="S38:T38"/>
    <mergeCell ref="U38:V38"/>
    <mergeCell ref="M35:N35"/>
    <mergeCell ref="O35:P35"/>
    <mergeCell ref="Q35:R35"/>
    <mergeCell ref="S35:T35"/>
    <mergeCell ref="C56:C57"/>
    <mergeCell ref="B42:G42"/>
    <mergeCell ref="K42:L42"/>
    <mergeCell ref="AA42:AB42"/>
    <mergeCell ref="F43:G43"/>
    <mergeCell ref="K43:L43"/>
    <mergeCell ref="Y43:Y90"/>
    <mergeCell ref="F44:G44"/>
    <mergeCell ref="K44:L44"/>
    <mergeCell ref="F45:G45"/>
    <mergeCell ref="K45:L45"/>
    <mergeCell ref="F46:G46"/>
    <mergeCell ref="K46:L46"/>
    <mergeCell ref="F47:G47"/>
    <mergeCell ref="K47:L47"/>
    <mergeCell ref="F50:G50"/>
    <mergeCell ref="K50:L50"/>
    <mergeCell ref="F51:G51"/>
    <mergeCell ref="K51:L51"/>
    <mergeCell ref="F52:G52"/>
    <mergeCell ref="K52:L52"/>
    <mergeCell ref="F53:G53"/>
    <mergeCell ref="K53:L53"/>
    <mergeCell ref="M53:N53"/>
    <mergeCell ref="Q60:R60"/>
    <mergeCell ref="F61:G61"/>
    <mergeCell ref="K61:L61"/>
    <mergeCell ref="M61:N61"/>
    <mergeCell ref="W75:X90"/>
    <mergeCell ref="F64:G64"/>
    <mergeCell ref="K64:L64"/>
    <mergeCell ref="M64:N64"/>
    <mergeCell ref="O64:P64"/>
    <mergeCell ref="Q64:R64"/>
    <mergeCell ref="F75:G75"/>
    <mergeCell ref="K75:L75"/>
    <mergeCell ref="M71:N71"/>
    <mergeCell ref="Q71:R71"/>
    <mergeCell ref="M90:N90"/>
    <mergeCell ref="O90:P90"/>
    <mergeCell ref="Q90:R90"/>
    <mergeCell ref="M74:N74"/>
    <mergeCell ref="O74:P74"/>
    <mergeCell ref="Q74:R74"/>
    <mergeCell ref="M67:N67"/>
    <mergeCell ref="S71:T71"/>
    <mergeCell ref="U71:V71"/>
    <mergeCell ref="S60:T60"/>
    <mergeCell ref="W67:X74"/>
    <mergeCell ref="F71:G71"/>
    <mergeCell ref="K71:L71"/>
    <mergeCell ref="F74:G74"/>
    <mergeCell ref="K74:L74"/>
    <mergeCell ref="F60:G60"/>
    <mergeCell ref="J60:J90"/>
    <mergeCell ref="K60:L60"/>
    <mergeCell ref="M60:N60"/>
    <mergeCell ref="F89:G89"/>
    <mergeCell ref="K89:L89"/>
    <mergeCell ref="F90:G90"/>
    <mergeCell ref="K90:L90"/>
    <mergeCell ref="F62:G62"/>
    <mergeCell ref="F63:G63"/>
    <mergeCell ref="K62:L62"/>
    <mergeCell ref="M62:N62"/>
    <mergeCell ref="F68:G68"/>
    <mergeCell ref="F69:G69"/>
    <mergeCell ref="K68:L68"/>
    <mergeCell ref="K69:L69"/>
    <mergeCell ref="M68:N68"/>
    <mergeCell ref="M69:N69"/>
    <mergeCell ref="O60:P60"/>
    <mergeCell ref="U91:V92"/>
    <mergeCell ref="U75:V75"/>
    <mergeCell ref="S90:T90"/>
    <mergeCell ref="F83:G83"/>
    <mergeCell ref="F84:G84"/>
    <mergeCell ref="F85:G85"/>
    <mergeCell ref="U64:V64"/>
    <mergeCell ref="F67:G67"/>
    <mergeCell ref="K67:L67"/>
    <mergeCell ref="S74:T74"/>
    <mergeCell ref="U74:V74"/>
    <mergeCell ref="M75:N75"/>
    <mergeCell ref="Q75:R75"/>
    <mergeCell ref="S75:T75"/>
    <mergeCell ref="O77:P77"/>
    <mergeCell ref="O78:P78"/>
    <mergeCell ref="O81:P81"/>
    <mergeCell ref="Q76:R76"/>
    <mergeCell ref="S76:T76"/>
    <mergeCell ref="U76:V76"/>
    <mergeCell ref="Q79:R79"/>
    <mergeCell ref="Q80:R80"/>
    <mergeCell ref="B91:G92"/>
    <mergeCell ref="H91:H92"/>
    <mergeCell ref="I91:I92"/>
    <mergeCell ref="J91:J92"/>
    <mergeCell ref="K91:L92"/>
    <mergeCell ref="M91:N92"/>
    <mergeCell ref="O91:P92"/>
    <mergeCell ref="Q91:R92"/>
    <mergeCell ref="S91:T92"/>
    <mergeCell ref="W91:X92"/>
    <mergeCell ref="Y91:Y92"/>
    <mergeCell ref="W93:X93"/>
    <mergeCell ref="AA93:AB94"/>
    <mergeCell ref="B94:E97"/>
    <mergeCell ref="F94:J94"/>
    <mergeCell ref="K94:L94"/>
    <mergeCell ref="M94:N94"/>
    <mergeCell ref="O94:P94"/>
    <mergeCell ref="Q94:R94"/>
    <mergeCell ref="S94:T94"/>
    <mergeCell ref="U94:V94"/>
    <mergeCell ref="W94:X96"/>
    <mergeCell ref="Y94:Y96"/>
    <mergeCell ref="F95:J95"/>
    <mergeCell ref="K95:L95"/>
    <mergeCell ref="M95:N95"/>
    <mergeCell ref="O95:P95"/>
    <mergeCell ref="Q95:R95"/>
    <mergeCell ref="O96:P96"/>
    <mergeCell ref="Q96:R96"/>
    <mergeCell ref="S96:T96"/>
    <mergeCell ref="U96:V96"/>
    <mergeCell ref="B93:G93"/>
    <mergeCell ref="M93:N93"/>
    <mergeCell ref="O93:P93"/>
    <mergeCell ref="Q93:R93"/>
    <mergeCell ref="S93:T93"/>
    <mergeCell ref="U93:V93"/>
    <mergeCell ref="AA100:AB100"/>
    <mergeCell ref="B98:J98"/>
    <mergeCell ref="K98:L98"/>
    <mergeCell ref="M98:N98"/>
    <mergeCell ref="O98:P98"/>
    <mergeCell ref="Q98:R98"/>
    <mergeCell ref="S98:T98"/>
    <mergeCell ref="U98:V98"/>
    <mergeCell ref="W98:X98"/>
    <mergeCell ref="AA98:AB98"/>
    <mergeCell ref="AB18:AD18"/>
    <mergeCell ref="AA8:AD8"/>
    <mergeCell ref="B99:J99"/>
    <mergeCell ref="K99:N99"/>
    <mergeCell ref="O99:R99"/>
    <mergeCell ref="S99:V99"/>
    <mergeCell ref="W99:X99"/>
    <mergeCell ref="AA99:AB99"/>
    <mergeCell ref="F97:J97"/>
    <mergeCell ref="K97:L97"/>
    <mergeCell ref="M97:N97"/>
    <mergeCell ref="O97:P97"/>
    <mergeCell ref="Q97:R97"/>
    <mergeCell ref="S97:T97"/>
    <mergeCell ref="U97:V97"/>
    <mergeCell ref="W97:X97"/>
    <mergeCell ref="AA97:AB97"/>
    <mergeCell ref="S95:T95"/>
    <mergeCell ref="U95:V95"/>
    <mergeCell ref="AA95:AB95"/>
    <mergeCell ref="F96:J96"/>
    <mergeCell ref="K96:L96"/>
    <mergeCell ref="M96:N96"/>
    <mergeCell ref="K93:L93"/>
    <mergeCell ref="O11:P11"/>
    <mergeCell ref="Q11:R11"/>
    <mergeCell ref="S11:T11"/>
    <mergeCell ref="U11:V11"/>
    <mergeCell ref="F12:G12"/>
    <mergeCell ref="K12:L12"/>
    <mergeCell ref="M12:N12"/>
    <mergeCell ref="O12:P12"/>
    <mergeCell ref="Q12:R12"/>
    <mergeCell ref="S12:T12"/>
    <mergeCell ref="U12:V12"/>
    <mergeCell ref="O16:P16"/>
    <mergeCell ref="Q16:R16"/>
    <mergeCell ref="S16:T16"/>
    <mergeCell ref="U16:V16"/>
    <mergeCell ref="F17:G17"/>
    <mergeCell ref="K17:L17"/>
    <mergeCell ref="M17:N17"/>
    <mergeCell ref="O17:P17"/>
    <mergeCell ref="Q17:R17"/>
    <mergeCell ref="S17:T17"/>
    <mergeCell ref="U17:V17"/>
    <mergeCell ref="Q21:R21"/>
    <mergeCell ref="S21:T21"/>
    <mergeCell ref="U21:V21"/>
    <mergeCell ref="F22:G22"/>
    <mergeCell ref="K22:L22"/>
    <mergeCell ref="M22:N22"/>
    <mergeCell ref="O22:P22"/>
    <mergeCell ref="Q22:R22"/>
    <mergeCell ref="S22:T22"/>
    <mergeCell ref="U22:V22"/>
    <mergeCell ref="O36:P36"/>
    <mergeCell ref="Q36:R36"/>
    <mergeCell ref="S36:T36"/>
    <mergeCell ref="U36:V36"/>
    <mergeCell ref="F37:G37"/>
    <mergeCell ref="K37:L37"/>
    <mergeCell ref="O37:P37"/>
    <mergeCell ref="Q37:R37"/>
    <mergeCell ref="S37:T37"/>
    <mergeCell ref="U37:V37"/>
    <mergeCell ref="M37:N38"/>
    <mergeCell ref="B9:C36"/>
    <mergeCell ref="B39:C41"/>
    <mergeCell ref="I37:I38"/>
    <mergeCell ref="H37:H38"/>
    <mergeCell ref="J37:J38"/>
    <mergeCell ref="F48:G48"/>
    <mergeCell ref="F36:G36"/>
    <mergeCell ref="K36:L36"/>
    <mergeCell ref="M36:N36"/>
    <mergeCell ref="F16:G16"/>
    <mergeCell ref="K16:L16"/>
    <mergeCell ref="M16:N16"/>
    <mergeCell ref="F11:G11"/>
    <mergeCell ref="K11:L11"/>
    <mergeCell ref="M11:N11"/>
    <mergeCell ref="D43:E43"/>
    <mergeCell ref="D35:D38"/>
    <mergeCell ref="F35:G35"/>
    <mergeCell ref="K35:L35"/>
    <mergeCell ref="F29:G29"/>
    <mergeCell ref="K29:L29"/>
    <mergeCell ref="D30:D34"/>
    <mergeCell ref="F30:G30"/>
    <mergeCell ref="K30:L30"/>
    <mergeCell ref="B43:C53"/>
    <mergeCell ref="F54:G54"/>
    <mergeCell ref="F55:G55"/>
    <mergeCell ref="J54:J55"/>
    <mergeCell ref="H54:H55"/>
    <mergeCell ref="C54:C55"/>
    <mergeCell ref="M54:N55"/>
    <mergeCell ref="W54:X55"/>
    <mergeCell ref="O54:P54"/>
    <mergeCell ref="O55:P55"/>
    <mergeCell ref="Q54:R54"/>
    <mergeCell ref="Q55:R55"/>
    <mergeCell ref="S54:T54"/>
    <mergeCell ref="S55:T55"/>
    <mergeCell ref="O53:P53"/>
    <mergeCell ref="Q53:R53"/>
    <mergeCell ref="S53:T53"/>
    <mergeCell ref="M52:N52"/>
    <mergeCell ref="O52:P52"/>
    <mergeCell ref="Q52:R52"/>
    <mergeCell ref="Q45:R45"/>
    <mergeCell ref="Q46:R46"/>
    <mergeCell ref="S46:T46"/>
    <mergeCell ref="U46:V46"/>
    <mergeCell ref="U54:V54"/>
    <mergeCell ref="U55:V55"/>
    <mergeCell ref="K54:L54"/>
    <mergeCell ref="K55:L55"/>
    <mergeCell ref="F49:G49"/>
    <mergeCell ref="K49:L49"/>
    <mergeCell ref="M49:N49"/>
    <mergeCell ref="O49:P49"/>
    <mergeCell ref="Q49:R49"/>
    <mergeCell ref="U49:V49"/>
    <mergeCell ref="Q50:R50"/>
    <mergeCell ref="S49:T49"/>
    <mergeCell ref="C58:C59"/>
    <mergeCell ref="F58:G58"/>
    <mergeCell ref="I58:I59"/>
    <mergeCell ref="J58:J59"/>
    <mergeCell ref="K58:L58"/>
    <mergeCell ref="M58:N59"/>
    <mergeCell ref="O58:P58"/>
    <mergeCell ref="Q58:R58"/>
    <mergeCell ref="S58:T58"/>
    <mergeCell ref="W58:X59"/>
    <mergeCell ref="F59:G59"/>
    <mergeCell ref="K59:L59"/>
    <mergeCell ref="O59:P59"/>
    <mergeCell ref="Q59:R59"/>
    <mergeCell ref="S59:T59"/>
    <mergeCell ref="U59:V59"/>
    <mergeCell ref="K56:L57"/>
    <mergeCell ref="U56:V56"/>
    <mergeCell ref="U57:V57"/>
    <mergeCell ref="U58:V58"/>
    <mergeCell ref="F56:G56"/>
    <mergeCell ref="I56:I57"/>
    <mergeCell ref="J56:J57"/>
    <mergeCell ref="M56:N56"/>
    <mergeCell ref="O56:P56"/>
    <mergeCell ref="Q56:R56"/>
    <mergeCell ref="F57:G57"/>
    <mergeCell ref="M57:N57"/>
    <mergeCell ref="O57:P57"/>
    <mergeCell ref="Q57:R57"/>
    <mergeCell ref="S56:T56"/>
    <mergeCell ref="W56:X57"/>
    <mergeCell ref="S57:T57"/>
    <mergeCell ref="O62:P62"/>
    <mergeCell ref="Q62:R62"/>
    <mergeCell ref="S62:T62"/>
    <mergeCell ref="U62:V62"/>
    <mergeCell ref="K63:L63"/>
    <mergeCell ref="M63:N63"/>
    <mergeCell ref="O63:P63"/>
    <mergeCell ref="Q63:R63"/>
    <mergeCell ref="S63:T63"/>
    <mergeCell ref="U63:V63"/>
    <mergeCell ref="U68:V68"/>
    <mergeCell ref="U69:V69"/>
    <mergeCell ref="F70:G70"/>
    <mergeCell ref="K70:L70"/>
    <mergeCell ref="M70:N70"/>
    <mergeCell ref="O70:P70"/>
    <mergeCell ref="Q70:R70"/>
    <mergeCell ref="S70:T70"/>
    <mergeCell ref="U70:V70"/>
    <mergeCell ref="F65:G65"/>
    <mergeCell ref="F66:G66"/>
    <mergeCell ref="C83:C86"/>
    <mergeCell ref="F86:G86"/>
    <mergeCell ref="O68:P68"/>
    <mergeCell ref="Q68:R68"/>
    <mergeCell ref="S68:T68"/>
    <mergeCell ref="O69:P69"/>
    <mergeCell ref="Q69:R69"/>
    <mergeCell ref="S69:T69"/>
    <mergeCell ref="B67:C74"/>
    <mergeCell ref="B75:B90"/>
    <mergeCell ref="F76:G76"/>
    <mergeCell ref="F77:G77"/>
    <mergeCell ref="F78:G78"/>
    <mergeCell ref="F79:G79"/>
    <mergeCell ref="F80:G80"/>
    <mergeCell ref="F81:G81"/>
    <mergeCell ref="C75:C78"/>
    <mergeCell ref="C79:C82"/>
    <mergeCell ref="F87:G87"/>
    <mergeCell ref="F88:G88"/>
    <mergeCell ref="F82:G82"/>
    <mergeCell ref="F72:G72"/>
    <mergeCell ref="F73:G73"/>
    <mergeCell ref="U77:V77"/>
    <mergeCell ref="U78:V78"/>
    <mergeCell ref="U79:V79"/>
    <mergeCell ref="U80:V80"/>
    <mergeCell ref="U81:V81"/>
    <mergeCell ref="K76:L76"/>
    <mergeCell ref="K77:L77"/>
    <mergeCell ref="K78:L78"/>
    <mergeCell ref="K79:L79"/>
    <mergeCell ref="K80:L80"/>
    <mergeCell ref="K81:L81"/>
    <mergeCell ref="M76:N76"/>
    <mergeCell ref="M77:N77"/>
    <mergeCell ref="M78:N78"/>
    <mergeCell ref="M79:N79"/>
    <mergeCell ref="M80:N80"/>
    <mergeCell ref="M81:N81"/>
    <mergeCell ref="K82:L82"/>
    <mergeCell ref="M82:N82"/>
    <mergeCell ref="O82:P82"/>
    <mergeCell ref="S82:T82"/>
    <mergeCell ref="U82:V82"/>
    <mergeCell ref="K87:L87"/>
    <mergeCell ref="M87:N87"/>
    <mergeCell ref="K88:L88"/>
    <mergeCell ref="M88:N88"/>
    <mergeCell ref="O87:P87"/>
    <mergeCell ref="Q87:R87"/>
    <mergeCell ref="O88:P88"/>
    <mergeCell ref="Q88:R88"/>
    <mergeCell ref="K84:L84"/>
    <mergeCell ref="K85:L85"/>
    <mergeCell ref="K86:L86"/>
    <mergeCell ref="O86:P86"/>
    <mergeCell ref="Q86:R86"/>
    <mergeCell ref="U89:V90"/>
    <mergeCell ref="Q83:R83"/>
    <mergeCell ref="S83:T84"/>
    <mergeCell ref="U83:V83"/>
    <mergeCell ref="M84:N84"/>
    <mergeCell ref="O84:P84"/>
    <mergeCell ref="Q84:R84"/>
    <mergeCell ref="U84:V84"/>
    <mergeCell ref="M85:N85"/>
    <mergeCell ref="O85:P85"/>
    <mergeCell ref="Q85:R85"/>
    <mergeCell ref="S85:T85"/>
    <mergeCell ref="U85:V86"/>
    <mergeCell ref="M86:N86"/>
    <mergeCell ref="O75:P76"/>
    <mergeCell ref="Q77:R78"/>
    <mergeCell ref="O79:P80"/>
    <mergeCell ref="Q81:R82"/>
    <mergeCell ref="M89:N89"/>
    <mergeCell ref="O89:P89"/>
    <mergeCell ref="Q89:R89"/>
    <mergeCell ref="S89:T89"/>
    <mergeCell ref="S87:T88"/>
    <mergeCell ref="S77:T77"/>
    <mergeCell ref="S78:T78"/>
    <mergeCell ref="S79:T79"/>
    <mergeCell ref="S80:T80"/>
    <mergeCell ref="S81:T81"/>
    <mergeCell ref="U53:V53"/>
    <mergeCell ref="U52:V52"/>
    <mergeCell ref="K48:L48"/>
    <mergeCell ref="M48:N48"/>
    <mergeCell ref="O48:P48"/>
    <mergeCell ref="Q48:R48"/>
    <mergeCell ref="S48:T48"/>
    <mergeCell ref="U48:V48"/>
    <mergeCell ref="S50:T50"/>
    <mergeCell ref="S51:T51"/>
    <mergeCell ref="K72:L72"/>
    <mergeCell ref="M72:N72"/>
    <mergeCell ref="O72:P72"/>
    <mergeCell ref="Q72:R72"/>
    <mergeCell ref="S72:T72"/>
    <mergeCell ref="U72:V72"/>
    <mergeCell ref="K73:L73"/>
    <mergeCell ref="M73:N73"/>
    <mergeCell ref="O73:P73"/>
    <mergeCell ref="Q73:R73"/>
    <mergeCell ref="S73:T73"/>
    <mergeCell ref="U73:V73"/>
    <mergeCell ref="S86:T86"/>
    <mergeCell ref="C87:C88"/>
    <mergeCell ref="W60:X66"/>
    <mergeCell ref="X44:X53"/>
    <mergeCell ref="B60:C66"/>
    <mergeCell ref="U87:V88"/>
    <mergeCell ref="B54:B59"/>
    <mergeCell ref="I60:I90"/>
    <mergeCell ref="I44:I53"/>
    <mergeCell ref="K65:L65"/>
    <mergeCell ref="M65:N65"/>
    <mergeCell ref="O65:P65"/>
    <mergeCell ref="Q65:R65"/>
    <mergeCell ref="S65:T65"/>
    <mergeCell ref="U65:V65"/>
    <mergeCell ref="K66:L66"/>
    <mergeCell ref="M66:N66"/>
    <mergeCell ref="O66:P66"/>
    <mergeCell ref="Q66:R66"/>
    <mergeCell ref="S66:T66"/>
    <mergeCell ref="U66:V66"/>
    <mergeCell ref="K83:L83"/>
    <mergeCell ref="M83:N83"/>
    <mergeCell ref="O83:P83"/>
  </mergeCells>
  <phoneticPr fontId="9" type="noConversion"/>
  <conditionalFormatting sqref="AA42:AB42 AC90 AC92 AA95:AB95 AA98:AB98 AA100:AB100">
    <cfRule type="containsText" dxfId="0" priority="1" operator="containsText" text="FALSE">
      <formula>NOT(ISERROR(SEARCH("FALSE",AA42)))</formula>
    </cfRule>
  </conditionalFormatting>
  <dataValidations count="1">
    <dataValidation type="list" allowBlank="1" showInputMessage="1" showErrorMessage="1" sqref="D71:D74" xr:uid="{390F5271-A939-4C5D-A4A8-57847F49C417}"/>
  </dataValidations>
  <printOptions horizontalCentered="1" verticalCentered="1"/>
  <pageMargins left="0.25" right="0.25" top="0.75" bottom="0.75" header="0.3" footer="0.3"/>
  <pageSetup paperSize="9" scale="37" orientation="portrait" cellComments="asDisplayed" r:id="rId1"/>
  <rowBreaks count="2" manualBreakCount="2">
    <brk id="12" max="16383" man="1"/>
    <brk id="9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G31"/>
  <sheetViews>
    <sheetView showGridLines="0" view="pageBreakPreview" zoomScale="90" zoomScaleNormal="85" zoomScaleSheetLayoutView="90" workbookViewId="0">
      <selection activeCell="S16" sqref="S16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489" t="s">
        <v>149</v>
      </c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</row>
    <row r="3" spans="2:33" ht="27" customHeight="1" thickBot="1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490" t="s">
        <v>129</v>
      </c>
      <c r="O3" s="491"/>
      <c r="P3" s="492"/>
      <c r="Q3" s="490" t="s">
        <v>127</v>
      </c>
      <c r="R3" s="491"/>
      <c r="S3" s="492"/>
      <c r="T3" s="493" t="s">
        <v>130</v>
      </c>
      <c r="U3" s="494"/>
    </row>
    <row r="4" spans="2:33" ht="27" customHeight="1" thickBot="1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495" t="s">
        <v>522</v>
      </c>
      <c r="O4" s="496"/>
      <c r="P4" s="497"/>
      <c r="Q4" s="498" t="s">
        <v>521</v>
      </c>
      <c r="R4" s="499"/>
      <c r="S4" s="500"/>
      <c r="T4" s="501">
        <v>2027</v>
      </c>
      <c r="U4" s="502"/>
    </row>
    <row r="5" spans="2:33" ht="24" customHeight="1" thickBot="1">
      <c r="B5" s="503"/>
      <c r="C5" s="503"/>
    </row>
    <row r="6" spans="2:33" ht="20.25" customHeight="1">
      <c r="B6" s="504" t="s">
        <v>13</v>
      </c>
      <c r="C6" s="507" t="s">
        <v>140</v>
      </c>
      <c r="D6" s="485" t="s">
        <v>14</v>
      </c>
      <c r="E6" s="485" t="s">
        <v>15</v>
      </c>
      <c r="F6" s="485" t="s">
        <v>141</v>
      </c>
      <c r="G6" s="485" t="s">
        <v>142</v>
      </c>
      <c r="H6" s="513" t="s">
        <v>58</v>
      </c>
      <c r="I6" s="513"/>
      <c r="J6" s="513"/>
      <c r="K6" s="513"/>
      <c r="L6" s="513" t="s">
        <v>59</v>
      </c>
      <c r="M6" s="513"/>
      <c r="N6" s="513"/>
      <c r="O6" s="513"/>
      <c r="P6" s="513" t="s">
        <v>60</v>
      </c>
      <c r="Q6" s="513"/>
      <c r="R6" s="513"/>
      <c r="S6" s="513"/>
      <c r="T6" s="520" t="s">
        <v>139</v>
      </c>
      <c r="U6" s="514" t="s">
        <v>126</v>
      </c>
      <c r="W6" s="517" t="s">
        <v>131</v>
      </c>
      <c r="X6" s="518"/>
      <c r="Y6" s="518"/>
      <c r="Z6" s="518"/>
      <c r="AA6" s="518"/>
      <c r="AB6" s="518"/>
      <c r="AC6" s="518"/>
      <c r="AD6" s="518"/>
      <c r="AE6" s="518"/>
      <c r="AF6" s="519"/>
      <c r="AG6" s="13"/>
    </row>
    <row r="7" spans="2:33" ht="16.5" customHeight="1">
      <c r="B7" s="505"/>
      <c r="C7" s="508"/>
      <c r="D7" s="486"/>
      <c r="E7" s="486"/>
      <c r="F7" s="486"/>
      <c r="G7" s="486"/>
      <c r="H7" s="488" t="s">
        <v>124</v>
      </c>
      <c r="I7" s="488"/>
      <c r="J7" s="488" t="s">
        <v>62</v>
      </c>
      <c r="K7" s="488"/>
      <c r="L7" s="488" t="s">
        <v>124</v>
      </c>
      <c r="M7" s="488"/>
      <c r="N7" s="488" t="s">
        <v>62</v>
      </c>
      <c r="O7" s="488"/>
      <c r="P7" s="488" t="s">
        <v>124</v>
      </c>
      <c r="Q7" s="488"/>
      <c r="R7" s="488" t="s">
        <v>62</v>
      </c>
      <c r="S7" s="488"/>
      <c r="T7" s="521"/>
      <c r="U7" s="515"/>
      <c r="W7" s="510" t="s">
        <v>132</v>
      </c>
      <c r="X7" s="511"/>
      <c r="Y7" s="511"/>
      <c r="Z7" s="511"/>
      <c r="AA7" s="511"/>
      <c r="AB7" s="511"/>
      <c r="AC7" s="511"/>
      <c r="AD7" s="511"/>
      <c r="AE7" s="511"/>
      <c r="AF7" s="512"/>
      <c r="AG7" s="13"/>
    </row>
    <row r="8" spans="2:33" ht="17.25" customHeight="1" thickBot="1">
      <c r="B8" s="506"/>
      <c r="C8" s="509"/>
      <c r="D8" s="487"/>
      <c r="E8" s="487"/>
      <c r="F8" s="487"/>
      <c r="G8" s="487"/>
      <c r="H8" s="31" t="s">
        <v>138</v>
      </c>
      <c r="I8" s="31" t="s">
        <v>125</v>
      </c>
      <c r="J8" s="31" t="s">
        <v>138</v>
      </c>
      <c r="K8" s="31" t="s">
        <v>125</v>
      </c>
      <c r="L8" s="31" t="s">
        <v>138</v>
      </c>
      <c r="M8" s="31" t="s">
        <v>125</v>
      </c>
      <c r="N8" s="31" t="s">
        <v>138</v>
      </c>
      <c r="O8" s="31" t="s">
        <v>125</v>
      </c>
      <c r="P8" s="31" t="s">
        <v>138</v>
      </c>
      <c r="Q8" s="31" t="s">
        <v>125</v>
      </c>
      <c r="R8" s="31" t="s">
        <v>138</v>
      </c>
      <c r="S8" s="31" t="s">
        <v>125</v>
      </c>
      <c r="T8" s="522"/>
      <c r="U8" s="516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604" t="s">
        <v>526</v>
      </c>
      <c r="C9" s="605">
        <v>4</v>
      </c>
      <c r="D9" s="606" t="s">
        <v>546</v>
      </c>
      <c r="E9" s="606" t="s">
        <v>550</v>
      </c>
      <c r="F9" s="606">
        <v>50</v>
      </c>
      <c r="G9" s="606">
        <v>2</v>
      </c>
      <c r="H9" s="607"/>
      <c r="I9" s="607">
        <f>H9*16</f>
        <v>0</v>
      </c>
      <c r="J9" s="607"/>
      <c r="K9" s="607">
        <f>J9*16</f>
        <v>0</v>
      </c>
      <c r="L9" s="607"/>
      <c r="M9" s="607"/>
      <c r="N9" s="607"/>
      <c r="O9" s="607"/>
      <c r="P9" s="607">
        <v>1</v>
      </c>
      <c r="Q9" s="607">
        <v>16</v>
      </c>
      <c r="R9" s="607"/>
      <c r="S9" s="607"/>
      <c r="T9" s="608">
        <f>SUM(H9,J9,L9,N9,P9,R9)</f>
        <v>1</v>
      </c>
      <c r="U9" s="609">
        <f>SUM(I9,K9,M9,O9,Q9,S9)</f>
        <v>16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610"/>
      <c r="C10" s="611"/>
      <c r="D10" s="612" t="s">
        <v>547</v>
      </c>
      <c r="E10" s="613" t="s">
        <v>551</v>
      </c>
      <c r="F10" s="612">
        <v>50</v>
      </c>
      <c r="G10" s="612">
        <v>2</v>
      </c>
      <c r="H10" s="614"/>
      <c r="I10" s="614">
        <f t="shared" ref="I10" si="0">H10*16</f>
        <v>0</v>
      </c>
      <c r="J10" s="614"/>
      <c r="K10" s="614">
        <f t="shared" ref="K10" si="1">J10*16</f>
        <v>0</v>
      </c>
      <c r="L10" s="614"/>
      <c r="M10" s="614"/>
      <c r="N10" s="614"/>
      <c r="O10" s="614"/>
      <c r="P10" s="614">
        <v>1</v>
      </c>
      <c r="Q10" s="614">
        <v>16</v>
      </c>
      <c r="R10" s="614"/>
      <c r="S10" s="614"/>
      <c r="T10" s="615">
        <f t="shared" ref="T10:T11" si="2">SUM(H10,J10,L10,N10,P10,R10)</f>
        <v>1</v>
      </c>
      <c r="U10" s="616">
        <f t="shared" ref="U10" si="3">SUM(I10,K10,M10,O10,Q10,S10)</f>
        <v>16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>
      <c r="B11" s="610"/>
      <c r="C11" s="611"/>
      <c r="D11" s="613" t="s">
        <v>548</v>
      </c>
      <c r="E11" s="612" t="s">
        <v>552</v>
      </c>
      <c r="F11" s="613">
        <v>90</v>
      </c>
      <c r="G11" s="613">
        <v>2</v>
      </c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>
        <v>1</v>
      </c>
      <c r="S11" s="617">
        <v>16</v>
      </c>
      <c r="T11" s="615">
        <f t="shared" si="2"/>
        <v>1</v>
      </c>
      <c r="U11" s="618">
        <f>Q11+S11</f>
        <v>16</v>
      </c>
    </row>
    <row r="12" spans="2:33">
      <c r="B12" s="610"/>
      <c r="C12" s="611"/>
      <c r="D12" s="613" t="s">
        <v>549</v>
      </c>
      <c r="E12" s="613" t="s">
        <v>553</v>
      </c>
      <c r="F12" s="613">
        <v>45</v>
      </c>
      <c r="G12" s="613">
        <v>2</v>
      </c>
      <c r="H12" s="617"/>
      <c r="I12" s="617"/>
      <c r="J12" s="617"/>
      <c r="K12" s="617"/>
      <c r="L12" s="617"/>
      <c r="M12" s="617"/>
      <c r="N12" s="617"/>
      <c r="O12" s="617"/>
      <c r="P12" s="617"/>
      <c r="Q12" s="617"/>
      <c r="R12" s="617">
        <v>1</v>
      </c>
      <c r="S12" s="617">
        <v>16</v>
      </c>
      <c r="T12" s="619">
        <f t="shared" ref="T12:U12" si="4">SUM(H12,J12,L12,N12,P12,R12)</f>
        <v>1</v>
      </c>
      <c r="U12" s="618">
        <f t="shared" si="4"/>
        <v>16</v>
      </c>
    </row>
    <row r="13" spans="2:33" ht="17.25" thickBot="1">
      <c r="B13" s="620"/>
      <c r="C13" s="621"/>
      <c r="D13" s="529" t="s">
        <v>16</v>
      </c>
      <c r="E13" s="529"/>
      <c r="F13" s="182"/>
      <c r="G13" s="182"/>
      <c r="H13" s="30">
        <f>SUM(H11:H12)</f>
        <v>0</v>
      </c>
      <c r="I13" s="30">
        <f>SUM(I11:I12)</f>
        <v>0</v>
      </c>
      <c r="J13" s="30">
        <f>SUM(J11:J12)</f>
        <v>0</v>
      </c>
      <c r="K13" s="30">
        <f>SUM(K11:K12)</f>
        <v>0</v>
      </c>
      <c r="L13" s="30">
        <f t="shared" ref="L13:U13" si="5">SUM(L9:L12)</f>
        <v>0</v>
      </c>
      <c r="M13" s="30">
        <f t="shared" si="5"/>
        <v>0</v>
      </c>
      <c r="N13" s="30">
        <f t="shared" si="5"/>
        <v>0</v>
      </c>
      <c r="O13" s="30">
        <f t="shared" si="5"/>
        <v>0</v>
      </c>
      <c r="P13" s="30">
        <f t="shared" si="5"/>
        <v>2</v>
      </c>
      <c r="Q13" s="30">
        <f t="shared" si="5"/>
        <v>32</v>
      </c>
      <c r="R13" s="30">
        <f t="shared" si="5"/>
        <v>2</v>
      </c>
      <c r="S13" s="30">
        <f t="shared" si="5"/>
        <v>32</v>
      </c>
      <c r="T13" s="622">
        <f t="shared" si="5"/>
        <v>4</v>
      </c>
      <c r="U13" s="622">
        <f t="shared" si="5"/>
        <v>64</v>
      </c>
    </row>
    <row r="14" spans="2:33" ht="16.5" customHeight="1">
      <c r="B14" s="604" t="s">
        <v>525</v>
      </c>
      <c r="C14" s="605">
        <v>4</v>
      </c>
      <c r="D14" s="606" t="s">
        <v>555</v>
      </c>
      <c r="E14" s="606" t="s">
        <v>559</v>
      </c>
      <c r="F14" s="606">
        <v>45</v>
      </c>
      <c r="G14" s="606">
        <v>2</v>
      </c>
      <c r="H14" s="607"/>
      <c r="I14" s="607">
        <f>H14*16</f>
        <v>0</v>
      </c>
      <c r="J14" s="607"/>
      <c r="K14" s="607">
        <f>J14*16</f>
        <v>0</v>
      </c>
      <c r="L14" s="607"/>
      <c r="M14" s="607"/>
      <c r="N14" s="607"/>
      <c r="O14" s="607"/>
      <c r="P14" s="607">
        <v>2</v>
      </c>
      <c r="Q14" s="607">
        <v>32</v>
      </c>
      <c r="R14" s="607"/>
      <c r="S14" s="607"/>
      <c r="T14" s="608">
        <f>SUM(H14,J14,L14,N14,P14,R14)</f>
        <v>2</v>
      </c>
      <c r="U14" s="609">
        <f>SUM(I14,K14,M14,O14,Q14,S14)</f>
        <v>32</v>
      </c>
      <c r="W14" s="59"/>
    </row>
    <row r="15" spans="2:33">
      <c r="B15" s="610"/>
      <c r="C15" s="611"/>
      <c r="D15" s="612" t="s">
        <v>556</v>
      </c>
      <c r="E15" s="613" t="s">
        <v>560</v>
      </c>
      <c r="F15" s="612">
        <v>30</v>
      </c>
      <c r="G15" s="612">
        <v>2</v>
      </c>
      <c r="H15" s="614"/>
      <c r="I15" s="614">
        <f t="shared" ref="I15" si="6">H15*16</f>
        <v>0</v>
      </c>
      <c r="J15" s="614"/>
      <c r="K15" s="614">
        <f t="shared" ref="K15" si="7">J15*16</f>
        <v>0</v>
      </c>
      <c r="L15" s="614"/>
      <c r="M15" s="614"/>
      <c r="N15" s="614"/>
      <c r="O15" s="614"/>
      <c r="P15" s="614">
        <v>2</v>
      </c>
      <c r="Q15" s="614">
        <v>32</v>
      </c>
      <c r="R15" s="614"/>
      <c r="S15" s="614"/>
      <c r="T15" s="615">
        <f t="shared" ref="T15:T17" si="8">SUM(H15,J15,L15,N15,P15,R15)</f>
        <v>2</v>
      </c>
      <c r="U15" s="616">
        <f t="shared" ref="U15" si="9">SUM(I15,K15,M15,O15,Q15,S15)</f>
        <v>32</v>
      </c>
    </row>
    <row r="16" spans="2:33">
      <c r="B16" s="610"/>
      <c r="C16" s="611"/>
      <c r="D16" s="613" t="s">
        <v>557</v>
      </c>
      <c r="E16" s="612" t="s">
        <v>561</v>
      </c>
      <c r="F16" s="613">
        <v>30</v>
      </c>
      <c r="G16" s="613">
        <v>2</v>
      </c>
      <c r="H16" s="617"/>
      <c r="I16" s="617"/>
      <c r="J16" s="617"/>
      <c r="K16" s="617"/>
      <c r="L16" s="617"/>
      <c r="M16" s="617"/>
      <c r="N16" s="617"/>
      <c r="O16" s="617"/>
      <c r="P16" s="617"/>
      <c r="Q16" s="617"/>
      <c r="R16" s="617">
        <v>3</v>
      </c>
      <c r="S16" s="617">
        <v>48</v>
      </c>
      <c r="T16" s="615">
        <f t="shared" si="8"/>
        <v>3</v>
      </c>
      <c r="U16" s="618">
        <f>Q16+S16</f>
        <v>48</v>
      </c>
    </row>
    <row r="17" spans="2:21">
      <c r="B17" s="610"/>
      <c r="C17" s="611"/>
      <c r="D17" s="613" t="s">
        <v>558</v>
      </c>
      <c r="E17" s="613" t="s">
        <v>562</v>
      </c>
      <c r="F17" s="613">
        <v>30</v>
      </c>
      <c r="G17" s="613">
        <v>2</v>
      </c>
      <c r="H17" s="617"/>
      <c r="I17" s="617"/>
      <c r="J17" s="617"/>
      <c r="K17" s="617"/>
      <c r="L17" s="617"/>
      <c r="M17" s="617"/>
      <c r="N17" s="617"/>
      <c r="O17" s="617"/>
      <c r="P17" s="617"/>
      <c r="Q17" s="617"/>
      <c r="R17" s="617">
        <v>4</v>
      </c>
      <c r="S17" s="617">
        <v>64</v>
      </c>
      <c r="T17" s="619">
        <f t="shared" si="8"/>
        <v>4</v>
      </c>
      <c r="U17" s="618">
        <f t="shared" ref="U17" si="10">SUM(I17,K17,M17,O17,Q17,S17)</f>
        <v>64</v>
      </c>
    </row>
    <row r="18" spans="2:21" ht="17.25" thickBot="1">
      <c r="B18" s="620"/>
      <c r="C18" s="621"/>
      <c r="D18" s="529" t="s">
        <v>16</v>
      </c>
      <c r="E18" s="529"/>
      <c r="F18" s="182"/>
      <c r="G18" s="182"/>
      <c r="H18" s="30">
        <f>SUM(H16:H17)</f>
        <v>0</v>
      </c>
      <c r="I18" s="30">
        <f>SUM(I16:I17)</f>
        <v>0</v>
      </c>
      <c r="J18" s="30">
        <f>SUM(J16:J17)</f>
        <v>0</v>
      </c>
      <c r="K18" s="30">
        <f>SUM(K16:K17)</f>
        <v>0</v>
      </c>
      <c r="L18" s="30">
        <f t="shared" ref="L18:U18" si="11">SUM(L14:L17)</f>
        <v>0</v>
      </c>
      <c r="M18" s="30">
        <f t="shared" si="11"/>
        <v>0</v>
      </c>
      <c r="N18" s="30">
        <f t="shared" si="11"/>
        <v>0</v>
      </c>
      <c r="O18" s="30">
        <f t="shared" si="11"/>
        <v>0</v>
      </c>
      <c r="P18" s="30">
        <f t="shared" si="11"/>
        <v>4</v>
      </c>
      <c r="Q18" s="30">
        <f t="shared" si="11"/>
        <v>64</v>
      </c>
      <c r="R18" s="30">
        <f t="shared" si="11"/>
        <v>7</v>
      </c>
      <c r="S18" s="30">
        <f t="shared" si="11"/>
        <v>112</v>
      </c>
      <c r="T18" s="622">
        <f t="shared" si="11"/>
        <v>11</v>
      </c>
      <c r="U18" s="622">
        <f t="shared" si="11"/>
        <v>176</v>
      </c>
    </row>
    <row r="19" spans="2:21">
      <c r="B19" s="530"/>
      <c r="C19" s="532"/>
      <c r="D19" s="54"/>
      <c r="E19" s="51"/>
      <c r="F19" s="51"/>
      <c r="G19" s="51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9"/>
      <c r="U19" s="48"/>
    </row>
    <row r="20" spans="2:21">
      <c r="B20" s="530"/>
      <c r="C20" s="533"/>
      <c r="D20" s="54"/>
      <c r="E20" s="43"/>
      <c r="F20" s="51"/>
      <c r="G20" s="5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28"/>
      <c r="T20" s="49"/>
      <c r="U20" s="48"/>
    </row>
    <row r="21" spans="2:21" ht="17.25" thickBot="1">
      <c r="B21" s="531"/>
      <c r="C21" s="534"/>
      <c r="D21" s="535"/>
      <c r="E21" s="536"/>
      <c r="F21" s="58"/>
      <c r="G21" s="58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39"/>
      <c r="U21" s="40"/>
    </row>
    <row r="22" spans="2:21">
      <c r="B22" s="537"/>
      <c r="C22" s="539"/>
      <c r="D22" s="64"/>
      <c r="E22" s="32"/>
      <c r="F22" s="32"/>
      <c r="G22" s="60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56"/>
      <c r="U22" s="55"/>
    </row>
    <row r="23" spans="2:21">
      <c r="B23" s="538"/>
      <c r="C23" s="540"/>
      <c r="D23" s="61"/>
      <c r="E23" s="51"/>
      <c r="F23" s="51"/>
      <c r="G23" s="51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49"/>
      <c r="U23" s="48"/>
    </row>
    <row r="24" spans="2:21">
      <c r="B24" s="538"/>
      <c r="C24" s="540"/>
      <c r="D24" s="62"/>
      <c r="E24" s="27"/>
      <c r="F24" s="27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45"/>
      <c r="U24" s="44"/>
    </row>
    <row r="25" spans="2:21">
      <c r="B25" s="538"/>
      <c r="C25" s="540"/>
      <c r="D25" s="62"/>
      <c r="E25" s="27"/>
      <c r="F25" s="27"/>
      <c r="G25" s="27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45"/>
      <c r="U25" s="44"/>
    </row>
    <row r="26" spans="2:21" ht="17.25" thickBot="1">
      <c r="B26" s="525"/>
      <c r="C26" s="528"/>
      <c r="D26" s="541"/>
      <c r="E26" s="542"/>
      <c r="F26" s="37"/>
      <c r="G26" s="37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41"/>
      <c r="U26" s="42"/>
    </row>
    <row r="27" spans="2:21">
      <c r="B27" s="523"/>
      <c r="C27" s="526"/>
      <c r="D27" s="62"/>
      <c r="E27" s="52"/>
      <c r="F27" s="27"/>
      <c r="G27" s="51"/>
      <c r="H27" s="50"/>
      <c r="I27" s="50"/>
      <c r="J27" s="50"/>
      <c r="K27" s="50"/>
      <c r="L27" s="50"/>
      <c r="M27" s="50"/>
      <c r="N27" s="50"/>
      <c r="O27" s="50"/>
      <c r="P27" s="35"/>
      <c r="Q27" s="35"/>
      <c r="R27" s="35"/>
      <c r="S27" s="35"/>
      <c r="T27" s="49"/>
      <c r="U27" s="48"/>
    </row>
    <row r="28" spans="2:21">
      <c r="B28" s="523"/>
      <c r="C28" s="526"/>
      <c r="D28" s="61"/>
      <c r="E28" s="53"/>
      <c r="F28" s="51"/>
      <c r="G28" s="51"/>
      <c r="H28" s="50"/>
      <c r="I28" s="50"/>
      <c r="J28" s="50"/>
      <c r="K28" s="50"/>
      <c r="L28" s="50"/>
      <c r="M28" s="50"/>
      <c r="N28" s="50"/>
      <c r="O28" s="50"/>
      <c r="P28" s="35"/>
      <c r="Q28" s="35"/>
      <c r="R28" s="35"/>
      <c r="S28" s="35"/>
      <c r="T28" s="49"/>
      <c r="U28" s="48"/>
    </row>
    <row r="29" spans="2:21">
      <c r="B29" s="524"/>
      <c r="C29" s="527"/>
      <c r="D29" s="63"/>
      <c r="E29" s="47"/>
      <c r="F29" s="27"/>
      <c r="G29" s="51"/>
      <c r="H29" s="50"/>
      <c r="I29" s="50"/>
      <c r="J29" s="50"/>
      <c r="K29" s="50"/>
      <c r="L29" s="50"/>
      <c r="M29" s="50"/>
      <c r="N29" s="50"/>
      <c r="O29" s="50"/>
      <c r="P29" s="35"/>
      <c r="Q29" s="35"/>
      <c r="R29" s="35"/>
      <c r="S29" s="35"/>
      <c r="T29" s="49"/>
      <c r="U29" s="48"/>
    </row>
    <row r="30" spans="2:21">
      <c r="B30" s="524"/>
      <c r="C30" s="527"/>
      <c r="D30" s="63"/>
      <c r="E30" s="47"/>
      <c r="F30" s="46"/>
      <c r="G30" s="27"/>
      <c r="H30" s="28"/>
      <c r="I30" s="28"/>
      <c r="J30" s="28"/>
      <c r="K30" s="28"/>
      <c r="L30" s="28"/>
      <c r="M30" s="28"/>
      <c r="N30" s="28"/>
      <c r="O30" s="28"/>
      <c r="P30" s="29"/>
      <c r="Q30" s="29"/>
      <c r="R30" s="29"/>
      <c r="S30" s="29"/>
      <c r="T30" s="45"/>
      <c r="U30" s="44"/>
    </row>
    <row r="31" spans="2:21" ht="17.25" thickBot="1">
      <c r="B31" s="525"/>
      <c r="C31" s="528"/>
      <c r="D31" s="529"/>
      <c r="E31" s="529"/>
      <c r="F31" s="38"/>
      <c r="G31" s="38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41"/>
      <c r="U31" s="42"/>
    </row>
  </sheetData>
  <mergeCells count="42">
    <mergeCell ref="B27:B31"/>
    <mergeCell ref="C27:C31"/>
    <mergeCell ref="D31:E31"/>
    <mergeCell ref="B19:B21"/>
    <mergeCell ref="C19:C21"/>
    <mergeCell ref="D21:E21"/>
    <mergeCell ref="B22:B26"/>
    <mergeCell ref="C22:C26"/>
    <mergeCell ref="D26:E26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14:B18"/>
    <mergeCell ref="C14:C18"/>
    <mergeCell ref="D18:E18"/>
    <mergeCell ref="D13:E13"/>
    <mergeCell ref="B9:B13"/>
    <mergeCell ref="C9:C13"/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42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200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337</v>
      </c>
      <c r="G2" s="5"/>
      <c r="H2" s="3" t="s">
        <v>74</v>
      </c>
      <c r="I2" s="3" t="s">
        <v>66</v>
      </c>
      <c r="J2" s="3" t="s">
        <v>165</v>
      </c>
      <c r="K2" s="3" t="s">
        <v>165</v>
      </c>
      <c r="L2" s="3" t="s">
        <v>123</v>
      </c>
    </row>
    <row r="3" spans="1:12">
      <c r="A3" s="3" t="s">
        <v>201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337</v>
      </c>
      <c r="G3" s="5"/>
      <c r="H3" s="3" t="s">
        <v>75</v>
      </c>
      <c r="I3" s="3" t="s">
        <v>67</v>
      </c>
      <c r="J3" s="3" t="s">
        <v>166</v>
      </c>
      <c r="K3" s="3" t="s">
        <v>166</v>
      </c>
      <c r="L3" s="3" t="s">
        <v>118</v>
      </c>
    </row>
    <row r="4" spans="1:12">
      <c r="A4" s="3" t="s">
        <v>203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339</v>
      </c>
      <c r="G4" s="5"/>
      <c r="H4" s="3" t="s">
        <v>76</v>
      </c>
      <c r="I4" s="3" t="s">
        <v>155</v>
      </c>
      <c r="J4" s="3" t="s">
        <v>93</v>
      </c>
      <c r="K4" s="3" t="s">
        <v>93</v>
      </c>
      <c r="L4" s="3" t="s">
        <v>119</v>
      </c>
    </row>
    <row r="5" spans="1:12">
      <c r="A5" s="3" t="s">
        <v>204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339</v>
      </c>
      <c r="G5" s="5"/>
      <c r="H5" s="3" t="s">
        <v>77</v>
      </c>
      <c r="I5" s="3" t="s">
        <v>156</v>
      </c>
      <c r="J5" s="3" t="s">
        <v>167</v>
      </c>
      <c r="K5" s="3" t="s">
        <v>167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339</v>
      </c>
      <c r="G6" s="5"/>
      <c r="H6" s="3" t="s">
        <v>78</v>
      </c>
      <c r="I6" s="3" t="s">
        <v>157</v>
      </c>
      <c r="J6" s="3" t="s">
        <v>168</v>
      </c>
      <c r="K6" s="3" t="s">
        <v>168</v>
      </c>
      <c r="L6" s="8"/>
    </row>
    <row r="7" spans="1:12">
      <c r="A7" s="3" t="s">
        <v>205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339</v>
      </c>
      <c r="G7" s="5"/>
      <c r="H7" s="3" t="s">
        <v>79</v>
      </c>
      <c r="I7" s="3" t="s">
        <v>163</v>
      </c>
      <c r="J7" s="3" t="s">
        <v>94</v>
      </c>
      <c r="K7" s="3" t="s">
        <v>94</v>
      </c>
      <c r="L7" s="5"/>
    </row>
    <row r="8" spans="1:12">
      <c r="A8" s="3" t="s">
        <v>206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339</v>
      </c>
      <c r="G8" s="5"/>
      <c r="H8" s="3" t="s">
        <v>80</v>
      </c>
      <c r="I8" s="3" t="s">
        <v>158</v>
      </c>
      <c r="J8" s="3" t="s">
        <v>169</v>
      </c>
      <c r="K8" s="3" t="s">
        <v>169</v>
      </c>
      <c r="L8" s="5"/>
    </row>
    <row r="9" spans="1:12">
      <c r="A9" s="3" t="s">
        <v>207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339</v>
      </c>
      <c r="G9" s="5"/>
      <c r="H9" s="3" t="s">
        <v>81</v>
      </c>
      <c r="I9" s="3" t="s">
        <v>68</v>
      </c>
      <c r="J9" s="3" t="s">
        <v>170</v>
      </c>
      <c r="K9" s="3" t="s">
        <v>170</v>
      </c>
      <c r="L9" s="5"/>
    </row>
    <row r="10" spans="1:12">
      <c r="A10" s="3" t="s">
        <v>208</v>
      </c>
      <c r="B10" s="3" t="s">
        <v>17</v>
      </c>
      <c r="C10" s="3" t="s">
        <v>21</v>
      </c>
      <c r="D10" s="3" t="s">
        <v>211</v>
      </c>
      <c r="E10" s="3">
        <v>4</v>
      </c>
      <c r="F10" s="7" t="s">
        <v>339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209</v>
      </c>
      <c r="B11" s="3" t="s">
        <v>17</v>
      </c>
      <c r="C11" s="3" t="s">
        <v>21</v>
      </c>
      <c r="D11" s="3" t="s">
        <v>211</v>
      </c>
      <c r="E11" s="3">
        <v>4</v>
      </c>
      <c r="F11" s="7" t="s">
        <v>339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210</v>
      </c>
      <c r="B12" s="3" t="s">
        <v>17</v>
      </c>
      <c r="C12" s="3" t="s">
        <v>21</v>
      </c>
      <c r="D12" s="3" t="s">
        <v>211</v>
      </c>
      <c r="E12" s="3">
        <v>4</v>
      </c>
      <c r="F12" s="7" t="s">
        <v>339</v>
      </c>
      <c r="G12" s="5"/>
      <c r="H12" s="3" t="s">
        <v>84</v>
      </c>
      <c r="I12" s="3" t="s">
        <v>159</v>
      </c>
      <c r="J12" s="3" t="s">
        <v>96</v>
      </c>
      <c r="K12" s="3" t="s">
        <v>96</v>
      </c>
      <c r="L12" s="5"/>
    </row>
    <row r="13" spans="1:12">
      <c r="A13" s="3" t="s">
        <v>212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337</v>
      </c>
      <c r="G13" s="5"/>
      <c r="H13" s="3" t="s">
        <v>85</v>
      </c>
      <c r="I13" s="3" t="s">
        <v>71</v>
      </c>
      <c r="J13" s="3" t="s">
        <v>171</v>
      </c>
      <c r="K13" s="3" t="s">
        <v>171</v>
      </c>
      <c r="L13" s="5"/>
    </row>
    <row r="14" spans="1:12">
      <c r="A14" s="3" t="s">
        <v>214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337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215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339</v>
      </c>
      <c r="G15" s="5"/>
      <c r="H15" s="3" t="s">
        <v>87</v>
      </c>
      <c r="I15" s="3" t="s">
        <v>160</v>
      </c>
      <c r="J15" s="3" t="s">
        <v>172</v>
      </c>
      <c r="K15" s="3" t="s">
        <v>172</v>
      </c>
      <c r="L15" s="5"/>
    </row>
    <row r="16" spans="1:12">
      <c r="A16" s="3" t="s">
        <v>216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339</v>
      </c>
      <c r="G16" s="5"/>
      <c r="H16" s="3" t="s">
        <v>88</v>
      </c>
      <c r="I16" s="3" t="s">
        <v>161</v>
      </c>
      <c r="J16" s="3" t="s">
        <v>173</v>
      </c>
      <c r="K16" s="3" t="s">
        <v>173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339</v>
      </c>
      <c r="G17" s="5"/>
      <c r="H17" s="3" t="s">
        <v>89</v>
      </c>
      <c r="I17" s="3" t="s">
        <v>162</v>
      </c>
      <c r="J17" s="3" t="s">
        <v>174</v>
      </c>
      <c r="K17" s="3" t="s">
        <v>174</v>
      </c>
      <c r="L17" s="5"/>
    </row>
    <row r="18" spans="1:12">
      <c r="A18" s="3" t="s">
        <v>217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339</v>
      </c>
      <c r="G18" s="5"/>
      <c r="H18" s="3" t="s">
        <v>90</v>
      </c>
      <c r="I18" s="3" t="s">
        <v>164</v>
      </c>
      <c r="J18" s="3" t="s">
        <v>175</v>
      </c>
      <c r="K18" s="3" t="s">
        <v>175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339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339</v>
      </c>
      <c r="G20" s="5"/>
      <c r="J20" s="3" t="s">
        <v>176</v>
      </c>
      <c r="K20" s="3" t="s">
        <v>176</v>
      </c>
      <c r="L20" s="5"/>
    </row>
    <row r="21" spans="1:12">
      <c r="A21" s="3" t="s">
        <v>218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339</v>
      </c>
      <c r="G21" s="5"/>
      <c r="J21" s="3" t="s">
        <v>98</v>
      </c>
      <c r="K21" s="3" t="s">
        <v>98</v>
      </c>
      <c r="L21" s="5"/>
    </row>
    <row r="22" spans="1:12">
      <c r="A22" s="3" t="s">
        <v>220</v>
      </c>
      <c r="B22" s="3" t="s">
        <v>17</v>
      </c>
      <c r="C22" s="3" t="s">
        <v>5</v>
      </c>
      <c r="D22" s="3" t="s">
        <v>221</v>
      </c>
      <c r="E22" s="3">
        <v>4</v>
      </c>
      <c r="F22" s="7" t="s">
        <v>339</v>
      </c>
      <c r="G22" s="5"/>
      <c r="H22" s="3"/>
      <c r="I22" s="3"/>
      <c r="J22" s="3" t="s">
        <v>177</v>
      </c>
      <c r="K22" s="3" t="s">
        <v>177</v>
      </c>
      <c r="L22" s="5"/>
    </row>
    <row r="23" spans="1:12">
      <c r="A23" s="3" t="s">
        <v>222</v>
      </c>
      <c r="B23" s="3" t="s">
        <v>17</v>
      </c>
      <c r="C23" s="3" t="s">
        <v>5</v>
      </c>
      <c r="D23" s="3" t="s">
        <v>211</v>
      </c>
      <c r="E23" s="3">
        <v>4</v>
      </c>
      <c r="F23" s="7" t="s">
        <v>339</v>
      </c>
      <c r="G23" s="5"/>
      <c r="H23" s="3"/>
      <c r="I23" s="3"/>
      <c r="J23" s="3" t="s">
        <v>178</v>
      </c>
      <c r="K23" s="3" t="s">
        <v>178</v>
      </c>
      <c r="L23" s="5"/>
    </row>
    <row r="24" spans="1:12">
      <c r="A24" s="3" t="s">
        <v>223</v>
      </c>
      <c r="B24" s="3" t="s">
        <v>17</v>
      </c>
      <c r="C24" s="3" t="s">
        <v>5</v>
      </c>
      <c r="D24" s="3" t="s">
        <v>211</v>
      </c>
      <c r="E24" s="3">
        <v>4</v>
      </c>
      <c r="F24" s="7" t="s">
        <v>339</v>
      </c>
      <c r="G24" s="5"/>
      <c r="H24" s="3"/>
      <c r="I24" s="3"/>
      <c r="J24" s="3" t="s">
        <v>179</v>
      </c>
      <c r="K24" s="3" t="s">
        <v>179</v>
      </c>
      <c r="L24" s="5"/>
    </row>
    <row r="25" spans="1:12">
      <c r="A25" s="3" t="s">
        <v>224</v>
      </c>
      <c r="B25" s="3" t="s">
        <v>17</v>
      </c>
      <c r="C25" s="3" t="s">
        <v>5</v>
      </c>
      <c r="D25" s="3" t="s">
        <v>211</v>
      </c>
      <c r="E25" s="3">
        <v>4</v>
      </c>
      <c r="F25" s="7" t="s">
        <v>339</v>
      </c>
      <c r="G25" s="5"/>
      <c r="H25" s="3"/>
      <c r="I25" s="3"/>
      <c r="J25" s="3" t="s">
        <v>180</v>
      </c>
      <c r="K25" s="3" t="s">
        <v>180</v>
      </c>
      <c r="L25" s="5"/>
    </row>
    <row r="26" spans="1:12">
      <c r="A26" s="3" t="s">
        <v>219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337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225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339</v>
      </c>
      <c r="G27" s="5"/>
      <c r="H27" s="5"/>
      <c r="I27" s="5"/>
      <c r="J27" s="3" t="s">
        <v>181</v>
      </c>
      <c r="K27" s="3" t="s">
        <v>181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339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339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339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339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226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339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227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339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228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339</v>
      </c>
      <c r="G34" s="5"/>
      <c r="H34" s="5"/>
      <c r="I34" s="5"/>
      <c r="J34" s="3" t="s">
        <v>182</v>
      </c>
      <c r="K34" s="3" t="s">
        <v>182</v>
      </c>
      <c r="L34" s="5"/>
    </row>
    <row r="35" spans="1:12">
      <c r="A35" s="3" t="s">
        <v>229</v>
      </c>
      <c r="B35" s="3" t="s">
        <v>17</v>
      </c>
      <c r="C35" s="3" t="s">
        <v>6</v>
      </c>
      <c r="D35" s="3" t="s">
        <v>221</v>
      </c>
      <c r="E35" s="3">
        <v>4</v>
      </c>
      <c r="F35" s="7" t="s">
        <v>339</v>
      </c>
      <c r="G35" s="5"/>
      <c r="H35" s="5"/>
      <c r="I35" s="5"/>
      <c r="J35" s="3" t="s">
        <v>183</v>
      </c>
      <c r="K35" s="3" t="s">
        <v>183</v>
      </c>
      <c r="L35" s="5"/>
    </row>
    <row r="36" spans="1:12">
      <c r="A36" s="3" t="s">
        <v>230</v>
      </c>
      <c r="B36" s="3" t="s">
        <v>17</v>
      </c>
      <c r="C36" s="3" t="s">
        <v>6</v>
      </c>
      <c r="D36" s="3" t="s">
        <v>211</v>
      </c>
      <c r="E36" s="3">
        <v>4</v>
      </c>
      <c r="F36" s="7" t="s">
        <v>339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231</v>
      </c>
      <c r="B37" s="3" t="s">
        <v>17</v>
      </c>
      <c r="C37" s="3" t="s">
        <v>6</v>
      </c>
      <c r="D37" s="3" t="s">
        <v>211</v>
      </c>
      <c r="E37" s="3">
        <v>4</v>
      </c>
      <c r="F37" s="7" t="s">
        <v>339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232</v>
      </c>
      <c r="B38" s="3" t="s">
        <v>17</v>
      </c>
      <c r="C38" s="3" t="s">
        <v>6</v>
      </c>
      <c r="D38" s="3" t="s">
        <v>211</v>
      </c>
      <c r="E38" s="3">
        <v>4</v>
      </c>
      <c r="F38" s="7" t="s">
        <v>339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233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364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234</v>
      </c>
      <c r="B40" s="3" t="s">
        <v>17</v>
      </c>
      <c r="C40" s="3" t="s">
        <v>7</v>
      </c>
      <c r="D40" s="3" t="s">
        <v>235</v>
      </c>
      <c r="E40" s="3">
        <v>3</v>
      </c>
      <c r="F40" s="7" t="s">
        <v>364</v>
      </c>
      <c r="G40" s="5"/>
      <c r="H40" s="5"/>
      <c r="I40" s="5"/>
      <c r="J40" s="3" t="s">
        <v>184</v>
      </c>
      <c r="K40" s="3" t="s">
        <v>184</v>
      </c>
      <c r="L40" s="5"/>
    </row>
    <row r="41" spans="1:12" ht="17.25" customHeight="1">
      <c r="A41" s="3" t="s">
        <v>236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337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237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337</v>
      </c>
      <c r="G42" s="5"/>
      <c r="H42" s="5"/>
      <c r="I42" s="5"/>
      <c r="J42" s="3" t="s">
        <v>185</v>
      </c>
      <c r="K42" s="3" t="s">
        <v>185</v>
      </c>
      <c r="L42" s="5"/>
    </row>
    <row r="43" spans="1:12" ht="17.25" customHeight="1">
      <c r="A43" s="3" t="s">
        <v>249</v>
      </c>
      <c r="B43" s="3" t="s">
        <v>17</v>
      </c>
      <c r="C43" s="3" t="s">
        <v>25</v>
      </c>
      <c r="D43" s="3" t="s">
        <v>253</v>
      </c>
      <c r="E43" s="3">
        <v>4</v>
      </c>
      <c r="F43" s="7" t="s">
        <v>339</v>
      </c>
      <c r="G43" s="5"/>
      <c r="H43" s="5"/>
      <c r="I43" s="5"/>
      <c r="J43" s="3" t="s">
        <v>186</v>
      </c>
      <c r="K43" s="3" t="s">
        <v>186</v>
      </c>
      <c r="L43" s="5"/>
    </row>
    <row r="44" spans="1:12" ht="17.25" customHeight="1">
      <c r="A44" s="3" t="s">
        <v>250</v>
      </c>
      <c r="B44" s="3" t="s">
        <v>17</v>
      </c>
      <c r="C44" s="3" t="s">
        <v>25</v>
      </c>
      <c r="D44" s="3" t="s">
        <v>253</v>
      </c>
      <c r="E44" s="3">
        <v>4</v>
      </c>
      <c r="F44" s="7" t="s">
        <v>339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251</v>
      </c>
      <c r="B45" s="3" t="s">
        <v>17</v>
      </c>
      <c r="C45" s="3" t="s">
        <v>25</v>
      </c>
      <c r="D45" s="3" t="s">
        <v>253</v>
      </c>
      <c r="E45" s="3">
        <v>4</v>
      </c>
      <c r="F45" s="7" t="s">
        <v>339</v>
      </c>
      <c r="G45" s="5"/>
      <c r="H45" s="5"/>
      <c r="I45" s="5"/>
      <c r="J45" s="3" t="s">
        <v>187</v>
      </c>
      <c r="K45" s="3" t="s">
        <v>187</v>
      </c>
      <c r="L45" s="5"/>
    </row>
    <row r="46" spans="1:12" ht="17.25" customHeight="1">
      <c r="A46" s="3" t="s">
        <v>252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339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238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339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239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339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240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339</v>
      </c>
      <c r="G49" s="5"/>
      <c r="H49" s="5"/>
      <c r="I49" s="5"/>
      <c r="J49" s="5" t="s">
        <v>188</v>
      </c>
      <c r="K49" s="5" t="s">
        <v>188</v>
      </c>
      <c r="L49" s="5"/>
    </row>
    <row r="50" spans="1:12">
      <c r="A50" s="3" t="s">
        <v>241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339</v>
      </c>
      <c r="G50" s="5"/>
      <c r="H50" s="5"/>
      <c r="I50" s="5"/>
      <c r="J50" s="5" t="s">
        <v>189</v>
      </c>
      <c r="K50" s="5" t="s">
        <v>189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339</v>
      </c>
      <c r="G51" s="5"/>
      <c r="H51" s="5"/>
      <c r="I51" s="5"/>
      <c r="J51" s="5" t="s">
        <v>190</v>
      </c>
      <c r="K51" s="5" t="s">
        <v>190</v>
      </c>
      <c r="L51" s="5"/>
    </row>
    <row r="52" spans="1:12">
      <c r="A52" s="3" t="s">
        <v>242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339</v>
      </c>
      <c r="G52" s="5"/>
      <c r="H52" s="5"/>
      <c r="I52" s="5"/>
      <c r="J52" s="5" t="s">
        <v>191</v>
      </c>
      <c r="K52" s="5" t="s">
        <v>191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339</v>
      </c>
      <c r="G53" s="5"/>
      <c r="H53" s="5"/>
      <c r="I53" s="5"/>
      <c r="J53" s="5" t="s">
        <v>192</v>
      </c>
      <c r="K53" s="5" t="s">
        <v>192</v>
      </c>
      <c r="L53" s="5"/>
    </row>
    <row r="54" spans="1:12">
      <c r="A54" s="3" t="s">
        <v>243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339</v>
      </c>
      <c r="G54" s="5"/>
      <c r="H54" s="5"/>
      <c r="I54" s="5"/>
      <c r="J54" s="5" t="s">
        <v>193</v>
      </c>
      <c r="K54" s="5" t="s">
        <v>193</v>
      </c>
      <c r="L54" s="5"/>
    </row>
    <row r="55" spans="1:12">
      <c r="A55" s="3" t="s">
        <v>244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339</v>
      </c>
      <c r="G55" s="5"/>
      <c r="H55" s="5"/>
      <c r="I55" s="5"/>
      <c r="J55" s="5" t="s">
        <v>195</v>
      </c>
      <c r="K55" s="5" t="s">
        <v>195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211</v>
      </c>
      <c r="E56" s="3">
        <v>4</v>
      </c>
      <c r="F56" s="7" t="s">
        <v>339</v>
      </c>
      <c r="G56" s="5"/>
      <c r="H56" s="5"/>
      <c r="I56" s="5"/>
      <c r="J56" s="5" t="s">
        <v>194</v>
      </c>
      <c r="K56" s="5" t="s">
        <v>194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211</v>
      </c>
      <c r="E57" s="3">
        <v>4</v>
      </c>
      <c r="F57" s="7" t="s">
        <v>339</v>
      </c>
      <c r="G57" s="5"/>
      <c r="H57" s="5"/>
      <c r="I57" s="5"/>
      <c r="J57" s="5" t="s">
        <v>196</v>
      </c>
      <c r="K57" s="5" t="s">
        <v>196</v>
      </c>
      <c r="L57" s="5"/>
    </row>
    <row r="58" spans="1:12">
      <c r="A58" s="3" t="s">
        <v>245</v>
      </c>
      <c r="B58" s="3" t="s">
        <v>17</v>
      </c>
      <c r="C58" s="3" t="s">
        <v>25</v>
      </c>
      <c r="D58" s="3" t="s">
        <v>211</v>
      </c>
      <c r="E58" s="3">
        <v>4</v>
      </c>
      <c r="F58" s="7" t="s">
        <v>339</v>
      </c>
      <c r="G58" s="5"/>
      <c r="H58" s="5"/>
      <c r="I58" s="5"/>
      <c r="J58" s="5" t="s">
        <v>197</v>
      </c>
      <c r="K58" s="5" t="s">
        <v>197</v>
      </c>
      <c r="L58" s="5"/>
    </row>
    <row r="59" spans="1:12">
      <c r="A59" s="3" t="s">
        <v>246</v>
      </c>
      <c r="B59" s="3" t="s">
        <v>17</v>
      </c>
      <c r="C59" s="3" t="s">
        <v>25</v>
      </c>
      <c r="D59" s="3" t="s">
        <v>211</v>
      </c>
      <c r="E59" s="3">
        <v>4</v>
      </c>
      <c r="F59" s="7" t="s">
        <v>339</v>
      </c>
      <c r="G59" s="5"/>
      <c r="H59" s="5"/>
      <c r="I59" s="5"/>
      <c r="J59" s="5" t="s">
        <v>198</v>
      </c>
      <c r="K59" s="5" t="s">
        <v>198</v>
      </c>
      <c r="L59" s="5"/>
    </row>
    <row r="60" spans="1:12">
      <c r="A60" s="3" t="s">
        <v>247</v>
      </c>
      <c r="B60" s="3" t="s">
        <v>17</v>
      </c>
      <c r="C60" s="3" t="s">
        <v>25</v>
      </c>
      <c r="D60" s="3" t="s">
        <v>211</v>
      </c>
      <c r="E60" s="3">
        <v>4</v>
      </c>
      <c r="F60" s="7" t="s">
        <v>339</v>
      </c>
      <c r="G60" s="5"/>
      <c r="H60" s="5"/>
      <c r="I60" s="5"/>
      <c r="J60" s="3"/>
      <c r="K60" s="3"/>
      <c r="L60" s="5"/>
    </row>
    <row r="61" spans="1:12">
      <c r="A61" s="3" t="s">
        <v>248</v>
      </c>
      <c r="B61" s="3" t="s">
        <v>17</v>
      </c>
      <c r="C61" s="3" t="s">
        <v>25</v>
      </c>
      <c r="D61" s="3" t="s">
        <v>211</v>
      </c>
      <c r="E61" s="3">
        <v>4</v>
      </c>
      <c r="F61" s="7" t="s">
        <v>339</v>
      </c>
      <c r="G61" s="5"/>
      <c r="H61" s="5"/>
      <c r="I61" s="5"/>
      <c r="J61" s="3"/>
      <c r="K61" s="3"/>
      <c r="L61" s="5"/>
    </row>
    <row r="62" spans="1:12">
      <c r="A62" s="3" t="s">
        <v>254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337</v>
      </c>
      <c r="G62" s="5"/>
      <c r="H62" s="5"/>
      <c r="I62" s="5"/>
      <c r="L62" s="5"/>
    </row>
    <row r="63" spans="1:12">
      <c r="A63" s="3" t="s">
        <v>255</v>
      </c>
      <c r="B63" s="3" t="s">
        <v>17</v>
      </c>
      <c r="C63" s="3" t="s">
        <v>26</v>
      </c>
      <c r="D63" s="3" t="s">
        <v>235</v>
      </c>
      <c r="E63" s="3">
        <v>4</v>
      </c>
      <c r="F63" s="7" t="s">
        <v>337</v>
      </c>
      <c r="G63" s="5"/>
      <c r="H63" s="5"/>
      <c r="I63" s="5"/>
      <c r="J63" s="3"/>
      <c r="K63" s="3"/>
      <c r="L63" s="5"/>
    </row>
    <row r="64" spans="1:12">
      <c r="A64" s="3" t="s">
        <v>256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337</v>
      </c>
      <c r="G64" s="5"/>
      <c r="H64" s="5"/>
      <c r="I64" s="5"/>
      <c r="L64" s="5"/>
    </row>
    <row r="65" spans="1:12">
      <c r="A65" s="3" t="s">
        <v>257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337</v>
      </c>
      <c r="G65" s="5"/>
      <c r="H65" s="5"/>
      <c r="I65" s="5"/>
      <c r="J65" s="3"/>
      <c r="K65" s="3"/>
      <c r="L65" s="5"/>
    </row>
    <row r="66" spans="1:12">
      <c r="A66" s="3" t="s">
        <v>258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339</v>
      </c>
      <c r="G66" s="5"/>
      <c r="H66" s="5"/>
      <c r="I66" s="5"/>
      <c r="J66" s="3"/>
      <c r="K66" s="3"/>
      <c r="L66" s="5"/>
    </row>
    <row r="67" spans="1:12">
      <c r="A67" s="3" t="s">
        <v>259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339</v>
      </c>
      <c r="G67" s="5"/>
      <c r="H67" s="5"/>
      <c r="I67" s="5"/>
      <c r="J67" s="3"/>
      <c r="K67" s="3"/>
      <c r="L67" s="5"/>
    </row>
    <row r="68" spans="1:12">
      <c r="A68" s="3" t="s">
        <v>260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339</v>
      </c>
      <c r="G68" s="5"/>
      <c r="H68" s="5"/>
      <c r="I68" s="5"/>
      <c r="J68" s="3"/>
      <c r="K68" s="3"/>
      <c r="L68" s="5"/>
    </row>
    <row r="69" spans="1:12">
      <c r="A69" s="3" t="s">
        <v>261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339</v>
      </c>
      <c r="G69" s="5"/>
      <c r="H69" s="5"/>
      <c r="I69" s="5"/>
      <c r="L69" s="5"/>
    </row>
    <row r="70" spans="1:12">
      <c r="A70" s="3" t="s">
        <v>262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339</v>
      </c>
      <c r="G70" s="5"/>
      <c r="H70" s="5"/>
      <c r="I70" s="5"/>
      <c r="L70" s="5"/>
    </row>
    <row r="71" spans="1:12">
      <c r="A71" s="3" t="s">
        <v>263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339</v>
      </c>
      <c r="G71" s="5"/>
      <c r="H71" s="5"/>
      <c r="I71" s="5"/>
      <c r="L71" s="5"/>
    </row>
    <row r="72" spans="1:12">
      <c r="A72" s="3" t="s">
        <v>264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339</v>
      </c>
      <c r="G72" s="5"/>
      <c r="H72" s="5"/>
      <c r="I72" s="5"/>
      <c r="L72" s="5"/>
    </row>
    <row r="73" spans="1:12">
      <c r="A73" s="3" t="s">
        <v>265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339</v>
      </c>
      <c r="G73" s="5"/>
      <c r="H73" s="5"/>
      <c r="I73" s="5"/>
      <c r="L73" s="5"/>
    </row>
    <row r="74" spans="1:12">
      <c r="A74" s="3" t="s">
        <v>266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339</v>
      </c>
      <c r="G74" s="5"/>
      <c r="H74" s="5"/>
      <c r="I74" s="5"/>
      <c r="L74" s="5"/>
    </row>
    <row r="75" spans="1:12">
      <c r="A75" s="3" t="s">
        <v>267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339</v>
      </c>
      <c r="G75" s="5"/>
      <c r="H75" s="5"/>
      <c r="I75" s="5"/>
      <c r="L75" s="5"/>
    </row>
    <row r="76" spans="1:12">
      <c r="A76" s="3" t="s">
        <v>268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339</v>
      </c>
      <c r="G76" s="5"/>
      <c r="H76" s="5"/>
      <c r="I76" s="5"/>
      <c r="L76" s="5"/>
    </row>
    <row r="77" spans="1:12">
      <c r="A77" s="3" t="s">
        <v>269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339</v>
      </c>
      <c r="G77" s="5"/>
      <c r="H77" s="5"/>
      <c r="I77" s="5"/>
      <c r="L77" s="5"/>
    </row>
    <row r="78" spans="1:12">
      <c r="A78" s="3" t="s">
        <v>270</v>
      </c>
      <c r="B78" s="3" t="s">
        <v>17</v>
      </c>
      <c r="C78" s="3" t="s">
        <v>26</v>
      </c>
      <c r="D78" s="3" t="s">
        <v>273</v>
      </c>
      <c r="E78" s="3">
        <v>4</v>
      </c>
      <c r="F78" s="7" t="s">
        <v>339</v>
      </c>
      <c r="G78" s="5"/>
      <c r="H78" s="5"/>
      <c r="I78" s="5"/>
      <c r="L78" s="5"/>
    </row>
    <row r="79" spans="1:12">
      <c r="A79" s="3" t="s">
        <v>271</v>
      </c>
      <c r="B79" s="3" t="s">
        <v>17</v>
      </c>
      <c r="C79" s="3" t="s">
        <v>26</v>
      </c>
      <c r="D79" s="3" t="s">
        <v>211</v>
      </c>
      <c r="E79" s="3">
        <v>4</v>
      </c>
      <c r="F79" s="7" t="s">
        <v>339</v>
      </c>
      <c r="G79" s="5"/>
      <c r="H79" s="5"/>
      <c r="I79" s="5"/>
      <c r="L79" s="5"/>
    </row>
    <row r="80" spans="1:12">
      <c r="A80" s="3" t="s">
        <v>272</v>
      </c>
      <c r="B80" s="3" t="s">
        <v>17</v>
      </c>
      <c r="C80" s="3" t="s">
        <v>26</v>
      </c>
      <c r="D80" s="3" t="s">
        <v>211</v>
      </c>
      <c r="E80" s="3">
        <v>4</v>
      </c>
      <c r="F80" s="7" t="s">
        <v>339</v>
      </c>
      <c r="G80" s="5"/>
      <c r="H80" s="5"/>
      <c r="I80" s="5"/>
      <c r="L80" s="5"/>
    </row>
    <row r="81" spans="1:12">
      <c r="A81" s="3" t="s">
        <v>274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349</v>
      </c>
      <c r="G81" s="5"/>
      <c r="H81" s="5"/>
      <c r="I81" s="5"/>
      <c r="L81" s="5"/>
    </row>
    <row r="82" spans="1:12">
      <c r="A82" s="3" t="s">
        <v>275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349</v>
      </c>
      <c r="G82" s="5"/>
      <c r="H82" s="5"/>
      <c r="I82" s="5"/>
      <c r="L82" s="5"/>
    </row>
    <row r="83" spans="1:12">
      <c r="A83" s="3" t="s">
        <v>276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349</v>
      </c>
      <c r="G83" s="5"/>
      <c r="H83" s="5"/>
      <c r="I83" s="5"/>
      <c r="L83" s="5"/>
    </row>
    <row r="84" spans="1:12">
      <c r="A84" s="3" t="s">
        <v>277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349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351</v>
      </c>
      <c r="G85" s="5"/>
      <c r="H85" s="5"/>
      <c r="I85" s="5"/>
      <c r="J85" s="5"/>
      <c r="K85" s="5"/>
      <c r="L85" s="5"/>
    </row>
    <row r="86" spans="1:12">
      <c r="A86" s="3" t="s">
        <v>278</v>
      </c>
      <c r="B86" s="3" t="s">
        <v>17</v>
      </c>
      <c r="C86" s="3" t="s">
        <v>8</v>
      </c>
      <c r="D86" s="3" t="s">
        <v>211</v>
      </c>
      <c r="E86" s="3">
        <v>3</v>
      </c>
      <c r="F86" s="7" t="s">
        <v>349</v>
      </c>
      <c r="G86" s="5"/>
      <c r="H86" s="5"/>
      <c r="I86" s="5"/>
      <c r="J86" s="5"/>
      <c r="K86" s="5"/>
      <c r="L86" s="5"/>
    </row>
    <row r="87" spans="1:12">
      <c r="A87" s="3" t="s">
        <v>279</v>
      </c>
      <c r="B87" s="3" t="s">
        <v>17</v>
      </c>
      <c r="C87" s="3" t="s">
        <v>8</v>
      </c>
      <c r="D87" s="3" t="s">
        <v>211</v>
      </c>
      <c r="E87" s="3">
        <v>2</v>
      </c>
      <c r="F87" s="7" t="s">
        <v>351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349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349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349</v>
      </c>
      <c r="G90" s="5"/>
      <c r="H90" s="5"/>
      <c r="I90" s="5"/>
      <c r="J90" s="5"/>
      <c r="K90" s="5"/>
      <c r="L90" s="5"/>
    </row>
    <row r="91" spans="1:12">
      <c r="A91" s="3" t="s">
        <v>280</v>
      </c>
      <c r="B91" s="3" t="s">
        <v>17</v>
      </c>
      <c r="C91" s="3" t="s">
        <v>28</v>
      </c>
      <c r="D91" s="3" t="s">
        <v>221</v>
      </c>
      <c r="E91" s="3">
        <v>3</v>
      </c>
      <c r="F91" s="7" t="s">
        <v>349</v>
      </c>
      <c r="G91" s="5"/>
      <c r="H91" s="5"/>
      <c r="I91" s="5"/>
      <c r="J91" s="5"/>
      <c r="K91" s="5"/>
      <c r="L91" s="5"/>
    </row>
    <row r="92" spans="1:12">
      <c r="A92" s="3" t="s">
        <v>281</v>
      </c>
      <c r="B92" s="3" t="s">
        <v>17</v>
      </c>
      <c r="C92" s="3" t="s">
        <v>28</v>
      </c>
      <c r="D92" s="3" t="s">
        <v>221</v>
      </c>
      <c r="E92" s="3">
        <v>3</v>
      </c>
      <c r="F92" s="7" t="s">
        <v>349</v>
      </c>
      <c r="G92" s="5"/>
      <c r="H92" s="5"/>
      <c r="I92" s="5"/>
      <c r="J92" s="5"/>
      <c r="K92" s="5"/>
      <c r="L92" s="5"/>
    </row>
    <row r="93" spans="1:12">
      <c r="A93" s="3" t="s">
        <v>282</v>
      </c>
      <c r="B93" s="3" t="s">
        <v>17</v>
      </c>
      <c r="C93" s="3" t="s">
        <v>28</v>
      </c>
      <c r="D93" s="3" t="s">
        <v>221</v>
      </c>
      <c r="E93" s="3">
        <v>3</v>
      </c>
      <c r="F93" s="7" t="s">
        <v>349</v>
      </c>
      <c r="G93" s="5"/>
      <c r="H93" s="5"/>
      <c r="I93" s="5"/>
      <c r="J93" s="5"/>
      <c r="K93" s="5"/>
      <c r="L93" s="5"/>
    </row>
    <row r="94" spans="1:12">
      <c r="A94" s="3" t="s">
        <v>283</v>
      </c>
      <c r="B94" s="3" t="s">
        <v>17</v>
      </c>
      <c r="C94" s="3" t="s">
        <v>28</v>
      </c>
      <c r="D94" s="3" t="s">
        <v>221</v>
      </c>
      <c r="E94" s="3">
        <v>3</v>
      </c>
      <c r="F94" s="7" t="s">
        <v>349</v>
      </c>
      <c r="G94" s="5"/>
      <c r="H94" s="5"/>
      <c r="I94" s="5"/>
      <c r="J94" s="5"/>
      <c r="K94" s="5"/>
      <c r="L94" s="5"/>
    </row>
    <row r="95" spans="1:12">
      <c r="A95" s="3" t="s">
        <v>284</v>
      </c>
      <c r="B95" s="3" t="s">
        <v>17</v>
      </c>
      <c r="C95" s="3" t="s">
        <v>28</v>
      </c>
      <c r="D95" s="3" t="s">
        <v>211</v>
      </c>
      <c r="E95" s="3">
        <v>3</v>
      </c>
      <c r="F95" s="7" t="s">
        <v>349</v>
      </c>
      <c r="G95" s="5"/>
      <c r="H95" s="5"/>
      <c r="I95" s="5"/>
      <c r="J95" s="5"/>
      <c r="K95" s="5"/>
      <c r="L95" s="5"/>
    </row>
    <row r="96" spans="1:12">
      <c r="A96" s="3" t="s">
        <v>285</v>
      </c>
      <c r="B96" s="3" t="s">
        <v>17</v>
      </c>
      <c r="C96" s="3" t="s">
        <v>28</v>
      </c>
      <c r="D96" s="3" t="s">
        <v>211</v>
      </c>
      <c r="E96" s="3">
        <v>3</v>
      </c>
      <c r="F96" s="7" t="s">
        <v>349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339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339</v>
      </c>
      <c r="G98" s="5"/>
      <c r="H98" s="5"/>
      <c r="I98" s="5"/>
      <c r="J98" s="5"/>
      <c r="K98" s="5"/>
      <c r="L98" s="5"/>
    </row>
    <row r="99" spans="1:12">
      <c r="A99" s="3" t="s">
        <v>286</v>
      </c>
      <c r="B99" s="3" t="s">
        <v>17</v>
      </c>
      <c r="C99" s="3" t="s">
        <v>10</v>
      </c>
      <c r="D99" s="3" t="s">
        <v>221</v>
      </c>
      <c r="E99" s="3">
        <v>4</v>
      </c>
      <c r="F99" s="7" t="s">
        <v>339</v>
      </c>
      <c r="G99" s="5"/>
      <c r="H99" s="5"/>
      <c r="I99" s="5"/>
      <c r="J99" s="5"/>
      <c r="K99" s="5"/>
      <c r="L99" s="5"/>
    </row>
    <row r="100" spans="1:12">
      <c r="A100" s="3" t="s">
        <v>287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339</v>
      </c>
      <c r="G100" s="5"/>
      <c r="H100" s="5"/>
      <c r="I100" s="5"/>
      <c r="J100" s="5"/>
      <c r="K100" s="5"/>
      <c r="L100" s="5"/>
    </row>
    <row r="101" spans="1:12">
      <c r="A101" s="3" t="s">
        <v>288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339</v>
      </c>
      <c r="G101" s="5"/>
      <c r="H101" s="5"/>
      <c r="I101" s="5"/>
      <c r="J101" s="5"/>
      <c r="K101" s="5"/>
      <c r="L101" s="5"/>
    </row>
    <row r="102" spans="1:12">
      <c r="A102" s="3" t="s">
        <v>289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339</v>
      </c>
      <c r="G102" s="5"/>
      <c r="H102" s="5"/>
      <c r="I102" s="5"/>
      <c r="J102" s="5"/>
      <c r="K102" s="5"/>
      <c r="L102" s="5"/>
    </row>
    <row r="103" spans="1:12">
      <c r="A103" s="3" t="s">
        <v>290</v>
      </c>
      <c r="B103" s="3" t="s">
        <v>17</v>
      </c>
      <c r="C103" s="3" t="s">
        <v>10</v>
      </c>
      <c r="D103" s="3" t="s">
        <v>211</v>
      </c>
      <c r="E103" s="3">
        <v>4</v>
      </c>
      <c r="F103" s="7" t="s">
        <v>339</v>
      </c>
      <c r="G103" s="5"/>
      <c r="H103" s="5"/>
      <c r="I103" s="5"/>
      <c r="J103" s="5"/>
      <c r="K103" s="5"/>
      <c r="L103" s="5"/>
    </row>
    <row r="104" spans="1:12">
      <c r="A104" s="3" t="s">
        <v>291</v>
      </c>
      <c r="B104" s="3" t="s">
        <v>17</v>
      </c>
      <c r="C104" s="3" t="s">
        <v>10</v>
      </c>
      <c r="D104" s="3" t="s">
        <v>211</v>
      </c>
      <c r="E104" s="3">
        <v>4</v>
      </c>
      <c r="F104" s="7" t="s">
        <v>339</v>
      </c>
      <c r="G104" s="5"/>
      <c r="H104" s="5"/>
      <c r="I104" s="5"/>
      <c r="J104" s="5"/>
      <c r="K104" s="5"/>
      <c r="L104" s="5"/>
    </row>
    <row r="105" spans="1:12">
      <c r="A105" s="3" t="s">
        <v>292</v>
      </c>
      <c r="B105" s="3" t="s">
        <v>17</v>
      </c>
      <c r="C105" s="3" t="s">
        <v>10</v>
      </c>
      <c r="D105" s="3" t="s">
        <v>211</v>
      </c>
      <c r="E105" s="3">
        <v>4</v>
      </c>
      <c r="F105" s="7" t="s">
        <v>339</v>
      </c>
      <c r="G105" s="5"/>
      <c r="H105" s="5"/>
      <c r="I105" s="5"/>
      <c r="J105" s="5"/>
      <c r="K105" s="5"/>
      <c r="L105" s="5"/>
    </row>
    <row r="106" spans="1:12">
      <c r="A106" s="3" t="s">
        <v>293</v>
      </c>
      <c r="B106" s="3" t="s">
        <v>17</v>
      </c>
      <c r="C106" s="3" t="s">
        <v>10</v>
      </c>
      <c r="D106" s="3" t="s">
        <v>211</v>
      </c>
      <c r="E106" s="3">
        <v>2</v>
      </c>
      <c r="F106" s="7" t="s">
        <v>351</v>
      </c>
      <c r="G106" s="5"/>
      <c r="H106" s="5"/>
      <c r="I106" s="5"/>
      <c r="J106" s="5"/>
      <c r="K106" s="5"/>
      <c r="L106" s="5"/>
    </row>
    <row r="107" spans="1:12">
      <c r="A107" s="3" t="s">
        <v>294</v>
      </c>
      <c r="B107" s="3" t="s">
        <v>17</v>
      </c>
      <c r="C107" s="3" t="s">
        <v>10</v>
      </c>
      <c r="D107" s="3" t="s">
        <v>211</v>
      </c>
      <c r="E107" s="3">
        <v>4</v>
      </c>
      <c r="F107" s="7" t="s">
        <v>339</v>
      </c>
      <c r="G107" s="5"/>
      <c r="H107" s="5"/>
      <c r="I107" s="5"/>
      <c r="J107" s="5"/>
      <c r="K107" s="5"/>
      <c r="L107" s="5"/>
    </row>
    <row r="108" spans="1:12">
      <c r="A108" s="3" t="s">
        <v>295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339</v>
      </c>
      <c r="G108" s="5"/>
      <c r="H108" s="5"/>
      <c r="I108" s="5"/>
      <c r="J108" s="5"/>
      <c r="K108" s="5"/>
      <c r="L108" s="5"/>
    </row>
    <row r="109" spans="1:12">
      <c r="A109" s="3" t="s">
        <v>296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339</v>
      </c>
      <c r="G109" s="5"/>
      <c r="H109" s="5"/>
      <c r="I109" s="5"/>
      <c r="J109" s="5"/>
      <c r="K109" s="5"/>
      <c r="L109" s="5"/>
    </row>
    <row r="110" spans="1:12">
      <c r="A110" s="3" t="s">
        <v>297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339</v>
      </c>
      <c r="G110" s="5"/>
      <c r="H110" s="5"/>
      <c r="I110" s="5"/>
      <c r="J110" s="5"/>
      <c r="K110" s="5"/>
      <c r="L110" s="5"/>
    </row>
    <row r="111" spans="1:12">
      <c r="A111" s="3" t="s">
        <v>298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339</v>
      </c>
      <c r="G111" s="5"/>
      <c r="H111" s="5"/>
      <c r="I111" s="5"/>
      <c r="J111" s="5"/>
      <c r="K111" s="5"/>
      <c r="L111" s="5"/>
    </row>
    <row r="112" spans="1:12">
      <c r="A112" s="3" t="s">
        <v>299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339</v>
      </c>
      <c r="G112" s="5"/>
      <c r="H112" s="5"/>
      <c r="I112" s="5"/>
      <c r="J112" s="5"/>
      <c r="K112" s="5"/>
      <c r="L112" s="5"/>
    </row>
    <row r="113" spans="1:12">
      <c r="A113" s="3" t="s">
        <v>300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339</v>
      </c>
      <c r="G113" s="5"/>
      <c r="H113" s="5"/>
      <c r="I113" s="5"/>
      <c r="J113" s="5"/>
      <c r="K113" s="5"/>
      <c r="L113" s="5"/>
    </row>
    <row r="114" spans="1:12">
      <c r="A114" s="3" t="s">
        <v>301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339</v>
      </c>
      <c r="G114" s="5"/>
      <c r="H114" s="5"/>
      <c r="I114" s="5"/>
      <c r="J114" s="5"/>
      <c r="K114" s="5"/>
      <c r="L114" s="5"/>
    </row>
    <row r="115" spans="1:12">
      <c r="A115" s="3" t="s">
        <v>302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339</v>
      </c>
      <c r="G115" s="5"/>
      <c r="H115" s="5"/>
      <c r="I115" s="5"/>
      <c r="J115" s="5"/>
      <c r="K115" s="5"/>
      <c r="L115" s="5"/>
    </row>
    <row r="116" spans="1:12">
      <c r="A116" s="3" t="s">
        <v>303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339</v>
      </c>
      <c r="G116" s="5"/>
      <c r="H116" s="5"/>
      <c r="I116" s="5"/>
      <c r="J116" s="5"/>
      <c r="K116" s="5"/>
      <c r="L116" s="5"/>
    </row>
    <row r="117" spans="1:12">
      <c r="A117" s="3" t="s">
        <v>304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339</v>
      </c>
      <c r="G117" s="5"/>
      <c r="H117" s="5"/>
      <c r="I117" s="5"/>
      <c r="J117" s="5"/>
      <c r="K117" s="5"/>
      <c r="L117" s="5"/>
    </row>
    <row r="118" spans="1:12">
      <c r="A118" s="3" t="s">
        <v>305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339</v>
      </c>
      <c r="G118" s="5"/>
      <c r="H118" s="5"/>
      <c r="I118" s="5"/>
      <c r="J118" s="5"/>
      <c r="K118" s="5"/>
      <c r="L118" s="5"/>
    </row>
    <row r="119" spans="1:12">
      <c r="A119" s="3" t="s">
        <v>306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339</v>
      </c>
      <c r="G119" s="5"/>
      <c r="H119" s="5"/>
      <c r="I119" s="5"/>
      <c r="J119" s="5"/>
      <c r="K119" s="5"/>
      <c r="L119" s="5"/>
    </row>
    <row r="120" spans="1:12">
      <c r="A120" s="3" t="s">
        <v>307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339</v>
      </c>
      <c r="G120" s="5"/>
      <c r="H120" s="5"/>
      <c r="I120" s="5"/>
      <c r="J120" s="5"/>
      <c r="K120" s="5"/>
      <c r="L120" s="5"/>
    </row>
    <row r="121" spans="1:12">
      <c r="A121" s="3" t="s">
        <v>308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339</v>
      </c>
      <c r="G121" s="5"/>
      <c r="H121" s="5"/>
      <c r="I121" s="5"/>
      <c r="J121" s="5"/>
      <c r="K121" s="5"/>
      <c r="L121" s="5"/>
    </row>
    <row r="122" spans="1:12">
      <c r="A122" s="3" t="s">
        <v>309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339</v>
      </c>
      <c r="G122" s="5"/>
      <c r="H122" s="5"/>
      <c r="I122" s="5"/>
      <c r="J122" s="5"/>
      <c r="K122" s="5"/>
      <c r="L122" s="5"/>
    </row>
    <row r="123" spans="1:12">
      <c r="A123" s="3" t="s">
        <v>310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339</v>
      </c>
      <c r="G123" s="5"/>
      <c r="H123" s="5"/>
      <c r="I123" s="5"/>
      <c r="J123" s="5"/>
      <c r="K123" s="5"/>
      <c r="L123" s="5"/>
    </row>
    <row r="124" spans="1:12">
      <c r="A124" s="3" t="s">
        <v>311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339</v>
      </c>
      <c r="G124" s="5"/>
      <c r="H124" s="5"/>
      <c r="I124" s="5"/>
      <c r="J124" s="5"/>
      <c r="K124" s="5"/>
      <c r="L124" s="5"/>
    </row>
    <row r="125" spans="1:12">
      <c r="A125" s="3" t="s">
        <v>312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339</v>
      </c>
      <c r="G125" s="5"/>
      <c r="H125" s="5"/>
      <c r="I125" s="5"/>
      <c r="J125" s="5"/>
      <c r="K125" s="5"/>
      <c r="L125" s="5"/>
    </row>
    <row r="126" spans="1:12">
      <c r="A126" s="3" t="s">
        <v>314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339</v>
      </c>
      <c r="G126" s="5"/>
      <c r="H126" s="5"/>
      <c r="I126" s="5"/>
      <c r="J126" s="5"/>
      <c r="K126" s="5"/>
      <c r="L126" s="5"/>
    </row>
    <row r="127" spans="1:12">
      <c r="A127" s="3" t="s">
        <v>313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339</v>
      </c>
      <c r="G127" s="5"/>
      <c r="H127" s="5"/>
      <c r="I127" s="5"/>
      <c r="J127" s="5"/>
      <c r="K127" s="5"/>
      <c r="L127" s="5"/>
    </row>
    <row r="128" spans="1:12">
      <c r="A128" s="3" t="s">
        <v>315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339</v>
      </c>
      <c r="G128" s="5"/>
      <c r="H128" s="5"/>
      <c r="I128" s="5"/>
      <c r="J128" s="5"/>
      <c r="K128" s="5"/>
      <c r="L128" s="5"/>
    </row>
    <row r="129" spans="1:12">
      <c r="A129" s="3" t="s">
        <v>316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339</v>
      </c>
      <c r="G129" s="5"/>
      <c r="H129" s="5"/>
      <c r="I129" s="5"/>
      <c r="J129" s="5"/>
      <c r="K129" s="5"/>
      <c r="L129" s="5"/>
    </row>
    <row r="130" spans="1:12">
      <c r="A130" s="3" t="s">
        <v>317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339</v>
      </c>
      <c r="G130" s="5"/>
      <c r="H130" s="5"/>
      <c r="I130" s="5"/>
      <c r="J130" s="5"/>
      <c r="K130" s="5"/>
      <c r="L130" s="5"/>
    </row>
    <row r="131" spans="1:12">
      <c r="A131" s="3" t="s">
        <v>321</v>
      </c>
      <c r="B131" s="3" t="s">
        <v>17</v>
      </c>
      <c r="C131" s="3" t="s">
        <v>30</v>
      </c>
      <c r="D131" s="3" t="s">
        <v>211</v>
      </c>
      <c r="E131" s="3">
        <v>4</v>
      </c>
      <c r="F131" s="7" t="s">
        <v>339</v>
      </c>
      <c r="G131" s="5"/>
      <c r="H131" s="5"/>
      <c r="I131" s="5"/>
      <c r="J131" s="5"/>
      <c r="K131" s="5"/>
      <c r="L131" s="5"/>
    </row>
    <row r="132" spans="1:12">
      <c r="A132" s="3" t="s">
        <v>322</v>
      </c>
      <c r="B132" s="3" t="s">
        <v>17</v>
      </c>
      <c r="C132" s="3" t="s">
        <v>30</v>
      </c>
      <c r="D132" s="3" t="s">
        <v>211</v>
      </c>
      <c r="E132" s="3">
        <v>4</v>
      </c>
      <c r="F132" s="7" t="s">
        <v>339</v>
      </c>
      <c r="G132" s="5"/>
      <c r="H132" s="5"/>
      <c r="I132" s="5"/>
      <c r="J132" s="5"/>
      <c r="K132" s="5"/>
      <c r="L132" s="5"/>
    </row>
    <row r="133" spans="1:12">
      <c r="A133" s="3" t="s">
        <v>323</v>
      </c>
      <c r="B133" s="3" t="s">
        <v>17</v>
      </c>
      <c r="C133" s="3" t="s">
        <v>30</v>
      </c>
      <c r="D133" s="3" t="s">
        <v>211</v>
      </c>
      <c r="E133" s="3">
        <v>4</v>
      </c>
      <c r="F133" s="7" t="s">
        <v>339</v>
      </c>
      <c r="G133" s="5"/>
      <c r="H133" s="5"/>
      <c r="I133" s="5"/>
      <c r="J133" s="5"/>
      <c r="K133" s="5"/>
      <c r="L133" s="5"/>
    </row>
    <row r="134" spans="1:12">
      <c r="A134" s="3" t="s">
        <v>324</v>
      </c>
      <c r="B134" s="3" t="s">
        <v>17</v>
      </c>
      <c r="C134" s="3" t="s">
        <v>30</v>
      </c>
      <c r="D134" s="3" t="s">
        <v>211</v>
      </c>
      <c r="E134" s="3">
        <v>4</v>
      </c>
      <c r="F134" s="7" t="s">
        <v>339</v>
      </c>
      <c r="G134" s="5"/>
      <c r="H134" s="5"/>
      <c r="I134" s="5"/>
      <c r="J134" s="5"/>
      <c r="K134" s="5"/>
      <c r="L134" s="5"/>
    </row>
    <row r="135" spans="1:12">
      <c r="A135" s="3" t="s">
        <v>325</v>
      </c>
      <c r="B135" s="3" t="s">
        <v>17</v>
      </c>
      <c r="C135" s="3" t="s">
        <v>30</v>
      </c>
      <c r="D135" s="3" t="s">
        <v>211</v>
      </c>
      <c r="E135" s="3">
        <v>4</v>
      </c>
      <c r="F135" s="7" t="s">
        <v>339</v>
      </c>
      <c r="G135" s="5"/>
      <c r="H135" s="5"/>
      <c r="I135" s="5"/>
      <c r="J135" s="5"/>
      <c r="K135" s="5"/>
      <c r="L135" s="5"/>
    </row>
    <row r="136" spans="1:12">
      <c r="A136" s="3" t="s">
        <v>326</v>
      </c>
      <c r="B136" s="3" t="s">
        <v>17</v>
      </c>
      <c r="C136" s="3" t="s">
        <v>30</v>
      </c>
      <c r="D136" s="3" t="s">
        <v>211</v>
      </c>
      <c r="E136" s="3">
        <v>4</v>
      </c>
      <c r="F136" s="7" t="s">
        <v>339</v>
      </c>
      <c r="G136" s="5"/>
      <c r="H136" s="5"/>
      <c r="I136" s="5"/>
      <c r="J136" s="5"/>
      <c r="K136" s="5"/>
      <c r="L136" s="5"/>
    </row>
    <row r="137" spans="1:12">
      <c r="A137" s="3" t="s">
        <v>327</v>
      </c>
      <c r="B137" s="3" t="s">
        <v>17</v>
      </c>
      <c r="C137" s="3" t="s">
        <v>30</v>
      </c>
      <c r="D137" s="3" t="s">
        <v>211</v>
      </c>
      <c r="E137" s="3">
        <v>4</v>
      </c>
      <c r="F137" s="7" t="s">
        <v>339</v>
      </c>
      <c r="G137" s="5"/>
      <c r="H137" s="5"/>
      <c r="I137" s="5"/>
      <c r="J137" s="5"/>
      <c r="K137" s="5"/>
      <c r="L137" s="5"/>
    </row>
    <row r="138" spans="1:12">
      <c r="A138" s="3" t="s">
        <v>328</v>
      </c>
      <c r="B138" s="3" t="s">
        <v>17</v>
      </c>
      <c r="C138" s="3" t="s">
        <v>30</v>
      </c>
      <c r="D138" s="3" t="s">
        <v>211</v>
      </c>
      <c r="E138" s="3">
        <v>4</v>
      </c>
      <c r="F138" s="7" t="s">
        <v>339</v>
      </c>
      <c r="G138" s="5"/>
      <c r="H138" s="5"/>
      <c r="I138" s="5"/>
      <c r="J138" s="5"/>
      <c r="K138" s="5"/>
      <c r="L138" s="5"/>
    </row>
    <row r="139" spans="1:12">
      <c r="A139" s="3" t="s">
        <v>319</v>
      </c>
      <c r="B139" s="3" t="s">
        <v>17</v>
      </c>
      <c r="C139" s="3" t="s">
        <v>319</v>
      </c>
      <c r="D139" s="3" t="s">
        <v>253</v>
      </c>
      <c r="E139" s="3">
        <v>4</v>
      </c>
      <c r="F139" s="7" t="s">
        <v>339</v>
      </c>
      <c r="G139" s="5"/>
      <c r="H139" s="5"/>
      <c r="I139" s="5"/>
      <c r="J139" s="5"/>
      <c r="K139" s="5"/>
      <c r="L139" s="5"/>
    </row>
    <row r="140" spans="1:12">
      <c r="A140" s="3" t="s">
        <v>318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339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349</v>
      </c>
      <c r="G141" s="5"/>
      <c r="H141" s="5"/>
      <c r="I141" s="5"/>
      <c r="J141" s="5"/>
      <c r="K141" s="5"/>
      <c r="L141" s="5"/>
    </row>
    <row r="142" spans="1:12">
      <c r="A142" s="3" t="s">
        <v>329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349</v>
      </c>
      <c r="G142" s="5"/>
      <c r="H142" s="5"/>
      <c r="I142" s="5"/>
      <c r="J142" s="5"/>
      <c r="K142" s="5"/>
      <c r="L142" s="5"/>
    </row>
    <row r="143" spans="1:12">
      <c r="A143" s="3" t="s">
        <v>330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349</v>
      </c>
      <c r="G143" s="5"/>
      <c r="H143" s="5"/>
      <c r="I143" s="5"/>
      <c r="J143" s="5"/>
      <c r="K143" s="5"/>
      <c r="L143" s="5"/>
    </row>
    <row r="144" spans="1:12">
      <c r="A144" s="3" t="s">
        <v>331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349</v>
      </c>
      <c r="G144" s="5"/>
      <c r="H144" s="5"/>
      <c r="I144" s="5"/>
      <c r="J144" s="5"/>
      <c r="K144" s="5"/>
      <c r="L144" s="5"/>
    </row>
    <row r="145" spans="1:12">
      <c r="A145" s="3" t="s">
        <v>332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349</v>
      </c>
      <c r="G145" s="5"/>
      <c r="H145" s="5"/>
      <c r="I145" s="5"/>
      <c r="J145" s="5"/>
      <c r="K145" s="5"/>
      <c r="L145" s="5"/>
    </row>
    <row r="146" spans="1:12">
      <c r="A146" s="3" t="s">
        <v>333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349</v>
      </c>
      <c r="G146" s="5"/>
      <c r="H146" s="5"/>
      <c r="I146" s="5"/>
      <c r="J146" s="5"/>
      <c r="K146" s="5"/>
      <c r="L146" s="5"/>
    </row>
    <row r="147" spans="1:12">
      <c r="A147" s="3" t="s">
        <v>334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349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349</v>
      </c>
      <c r="G148" s="5"/>
      <c r="H148" s="5"/>
      <c r="I148" s="5"/>
      <c r="J148" s="5"/>
      <c r="K148" s="5"/>
      <c r="L148" s="5"/>
    </row>
    <row r="149" spans="1:12">
      <c r="A149" s="3" t="s">
        <v>335</v>
      </c>
      <c r="B149" s="3" t="s">
        <v>17</v>
      </c>
      <c r="C149" s="3" t="s">
        <v>32</v>
      </c>
      <c r="D149" s="3" t="s">
        <v>273</v>
      </c>
      <c r="E149" s="3">
        <v>3</v>
      </c>
      <c r="F149" s="7" t="s">
        <v>349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211</v>
      </c>
      <c r="E150" s="3">
        <v>3</v>
      </c>
      <c r="F150" s="7" t="s">
        <v>349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50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114" customWidth="1"/>
    <col min="2" max="2" width="7.5" style="114" customWidth="1"/>
    <col min="3" max="3" width="0.875" style="114" customWidth="1"/>
    <col min="4" max="4" width="4" style="114" customWidth="1"/>
    <col min="5" max="5" width="5.875" style="114" customWidth="1"/>
    <col min="6" max="6" width="5.625" style="114" customWidth="1"/>
    <col min="7" max="7" width="11.25" style="114" customWidth="1"/>
    <col min="8" max="8" width="9.125" style="114" customWidth="1"/>
    <col min="9" max="9" width="12.75" style="114" customWidth="1"/>
    <col min="10" max="10" width="1.375" style="114" customWidth="1"/>
    <col min="11" max="11" width="1" style="114" customWidth="1"/>
    <col min="12" max="12" width="10.75" style="114" customWidth="1"/>
    <col min="13" max="13" width="10.125" style="114" customWidth="1"/>
    <col min="14" max="14" width="16.625" style="114" customWidth="1"/>
    <col min="15" max="15" width="8.375" style="114" customWidth="1"/>
    <col min="16" max="16" width="9.5" style="114" customWidth="1"/>
    <col min="17" max="17" width="1.25" style="114" customWidth="1"/>
    <col min="18" max="18" width="0.5" style="114" customWidth="1"/>
    <col min="19" max="26" width="0" style="114" hidden="1" customWidth="1"/>
    <col min="27" max="16384" width="11" style="114" hidden="1"/>
  </cols>
  <sheetData>
    <row r="1" spans="2:26" ht="13.5"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2:26" ht="39" thickBot="1">
      <c r="B2" s="596" t="s">
        <v>368</v>
      </c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113"/>
      <c r="S2" s="113"/>
      <c r="T2" s="113"/>
      <c r="U2" s="113"/>
      <c r="V2" s="113"/>
      <c r="W2" s="113"/>
      <c r="X2" s="113"/>
      <c r="Y2" s="113"/>
      <c r="Z2" s="113"/>
    </row>
    <row r="3" spans="2:26" ht="24" customHeight="1" thickBot="1">
      <c r="B3" s="115" t="s">
        <v>369</v>
      </c>
      <c r="C3" s="598" t="s">
        <v>370</v>
      </c>
      <c r="D3" s="599"/>
      <c r="E3" s="599"/>
      <c r="F3" s="599"/>
      <c r="G3" s="599"/>
      <c r="H3" s="599"/>
      <c r="I3" s="599"/>
      <c r="J3" s="600"/>
      <c r="K3" s="601" t="s">
        <v>371</v>
      </c>
      <c r="L3" s="602"/>
      <c r="M3" s="602"/>
      <c r="N3" s="602"/>
      <c r="O3" s="602"/>
      <c r="P3" s="602"/>
      <c r="Q3" s="603"/>
      <c r="R3" s="113"/>
      <c r="S3" s="113"/>
      <c r="T3" s="113"/>
      <c r="U3" s="113"/>
      <c r="V3" s="113"/>
      <c r="W3" s="113"/>
      <c r="X3" s="113"/>
      <c r="Y3" s="113"/>
      <c r="Z3" s="113"/>
    </row>
    <row r="4" spans="2:26" ht="13.5">
      <c r="B4" s="561" t="s">
        <v>372</v>
      </c>
      <c r="C4" s="116" t="s">
        <v>373</v>
      </c>
      <c r="D4" s="117"/>
      <c r="E4" s="117"/>
      <c r="F4" s="117"/>
      <c r="G4" s="117"/>
      <c r="H4" s="117"/>
      <c r="I4" s="117"/>
      <c r="J4" s="118"/>
      <c r="K4" s="119" t="s">
        <v>373</v>
      </c>
      <c r="L4" s="117"/>
      <c r="M4" s="117"/>
      <c r="N4" s="117"/>
      <c r="O4" s="117"/>
      <c r="P4" s="117"/>
      <c r="Q4" s="118"/>
      <c r="R4" s="113"/>
      <c r="S4" s="113"/>
      <c r="T4" s="113"/>
      <c r="U4" s="113"/>
      <c r="V4" s="113"/>
      <c r="W4" s="113"/>
      <c r="X4" s="113"/>
      <c r="Y4" s="113"/>
      <c r="Z4" s="113"/>
    </row>
    <row r="5" spans="2:26" ht="18.75" customHeight="1">
      <c r="B5" s="548"/>
      <c r="C5" s="120"/>
      <c r="D5" s="567" t="s">
        <v>374</v>
      </c>
      <c r="E5" s="556"/>
      <c r="F5" s="556"/>
      <c r="G5" s="555"/>
      <c r="H5" s="571" t="s">
        <v>375</v>
      </c>
      <c r="I5" s="556"/>
      <c r="J5" s="121"/>
      <c r="K5" s="122"/>
      <c r="L5" s="567" t="s">
        <v>374</v>
      </c>
      <c r="M5" s="556"/>
      <c r="N5" s="555"/>
      <c r="O5" s="571" t="s">
        <v>376</v>
      </c>
      <c r="P5" s="556"/>
      <c r="Q5" s="121"/>
      <c r="R5" s="113"/>
      <c r="S5" s="113"/>
      <c r="T5" s="113"/>
      <c r="U5" s="113"/>
      <c r="V5" s="113"/>
      <c r="W5" s="113"/>
      <c r="X5" s="113"/>
      <c r="Y5" s="113"/>
      <c r="Z5" s="113"/>
    </row>
    <row r="6" spans="2:26" ht="18.75" customHeight="1">
      <c r="B6" s="548"/>
      <c r="C6" s="120"/>
      <c r="D6" s="567" t="s">
        <v>377</v>
      </c>
      <c r="E6" s="556"/>
      <c r="F6" s="556"/>
      <c r="G6" s="555"/>
      <c r="H6" s="571" t="s">
        <v>378</v>
      </c>
      <c r="I6" s="556"/>
      <c r="J6" s="121"/>
      <c r="K6" s="122"/>
      <c r="L6" s="567" t="s">
        <v>377</v>
      </c>
      <c r="M6" s="556"/>
      <c r="N6" s="555"/>
      <c r="O6" s="571" t="s">
        <v>379</v>
      </c>
      <c r="P6" s="556"/>
      <c r="Q6" s="121"/>
      <c r="R6" s="113"/>
      <c r="S6" s="113"/>
      <c r="T6" s="113"/>
      <c r="U6" s="113"/>
      <c r="V6" s="113"/>
      <c r="W6" s="113"/>
      <c r="X6" s="113"/>
      <c r="Y6" s="113"/>
      <c r="Z6" s="113"/>
    </row>
    <row r="7" spans="2:26" ht="18.75" customHeight="1">
      <c r="B7" s="548"/>
      <c r="C7" s="120"/>
      <c r="D7" s="567" t="s">
        <v>380</v>
      </c>
      <c r="E7" s="556"/>
      <c r="F7" s="556"/>
      <c r="G7" s="555"/>
      <c r="H7" s="571" t="s">
        <v>381</v>
      </c>
      <c r="I7" s="556"/>
      <c r="J7" s="121"/>
      <c r="K7" s="122"/>
      <c r="L7" s="567" t="s">
        <v>380</v>
      </c>
      <c r="M7" s="556"/>
      <c r="N7" s="555"/>
      <c r="O7" s="571" t="s">
        <v>382</v>
      </c>
      <c r="P7" s="556"/>
      <c r="Q7" s="121"/>
      <c r="R7" s="113"/>
      <c r="S7" s="113"/>
      <c r="T7" s="113"/>
      <c r="U7" s="113"/>
      <c r="V7" s="113"/>
      <c r="W7" s="113"/>
      <c r="X7" s="113"/>
      <c r="Y7" s="113"/>
      <c r="Z7" s="113"/>
    </row>
    <row r="8" spans="2:26" ht="18.75" customHeight="1">
      <c r="B8" s="548"/>
      <c r="C8" s="120"/>
      <c r="D8" s="567" t="s">
        <v>383</v>
      </c>
      <c r="E8" s="556"/>
      <c r="F8" s="556"/>
      <c r="G8" s="555"/>
      <c r="H8" s="571" t="s">
        <v>384</v>
      </c>
      <c r="I8" s="556"/>
      <c r="J8" s="121"/>
      <c r="K8" s="122"/>
      <c r="L8" s="567" t="s">
        <v>383</v>
      </c>
      <c r="M8" s="556"/>
      <c r="N8" s="555"/>
      <c r="O8" s="571" t="s">
        <v>384</v>
      </c>
      <c r="P8" s="556"/>
      <c r="Q8" s="121"/>
      <c r="R8" s="113"/>
      <c r="S8" s="113"/>
      <c r="T8" s="113"/>
      <c r="U8" s="113"/>
      <c r="V8" s="113"/>
      <c r="W8" s="113"/>
      <c r="X8" s="113"/>
      <c r="Y8" s="113"/>
      <c r="Z8" s="113"/>
    </row>
    <row r="9" spans="2:26" ht="8.25" customHeight="1" thickBot="1">
      <c r="B9" s="549"/>
      <c r="C9" s="123"/>
      <c r="D9" s="124"/>
      <c r="E9" s="124"/>
      <c r="F9" s="124"/>
      <c r="G9" s="124"/>
      <c r="H9" s="124"/>
      <c r="I9" s="124"/>
      <c r="J9" s="125"/>
      <c r="K9" s="126"/>
      <c r="L9" s="124"/>
      <c r="M9" s="124"/>
      <c r="N9" s="124"/>
      <c r="O9" s="124"/>
      <c r="P9" s="124"/>
      <c r="Q9" s="125"/>
      <c r="R9" s="113"/>
      <c r="S9" s="113"/>
      <c r="T9" s="113"/>
      <c r="U9" s="113"/>
      <c r="V9" s="113"/>
      <c r="W9" s="113"/>
      <c r="X9" s="113"/>
      <c r="Y9" s="113"/>
      <c r="Z9" s="113"/>
    </row>
    <row r="10" spans="2:26" ht="6.75" customHeight="1">
      <c r="B10" s="561" t="s">
        <v>385</v>
      </c>
      <c r="C10" s="116"/>
      <c r="D10" s="117"/>
      <c r="E10" s="117"/>
      <c r="F10" s="117"/>
      <c r="G10" s="117"/>
      <c r="H10" s="117"/>
      <c r="I10" s="117"/>
      <c r="J10" s="118"/>
      <c r="K10" s="119"/>
      <c r="L10" s="117"/>
      <c r="M10" s="117"/>
      <c r="N10" s="117"/>
      <c r="O10" s="117"/>
      <c r="P10" s="117"/>
      <c r="Q10" s="118"/>
      <c r="R10" s="113"/>
      <c r="S10" s="113"/>
      <c r="T10" s="113"/>
      <c r="U10" s="113"/>
      <c r="V10" s="113"/>
      <c r="W10" s="113"/>
      <c r="X10" s="113"/>
      <c r="Y10" s="113"/>
      <c r="Z10" s="113"/>
    </row>
    <row r="11" spans="2:26" ht="16.5" customHeight="1">
      <c r="B11" s="548"/>
      <c r="C11" s="120"/>
      <c r="D11" s="567" t="s">
        <v>320</v>
      </c>
      <c r="E11" s="556"/>
      <c r="F11" s="556"/>
      <c r="G11" s="571" t="s">
        <v>386</v>
      </c>
      <c r="H11" s="556"/>
      <c r="I11" s="556"/>
      <c r="J11" s="121"/>
      <c r="K11" s="122"/>
      <c r="L11" s="592" t="s">
        <v>320</v>
      </c>
      <c r="M11" s="593"/>
      <c r="N11" s="594" t="s">
        <v>387</v>
      </c>
      <c r="O11" s="595"/>
      <c r="P11" s="595"/>
      <c r="Q11" s="121"/>
      <c r="R11" s="113"/>
      <c r="S11" s="113"/>
      <c r="T11" s="113"/>
      <c r="U11" s="113"/>
      <c r="V11" s="113"/>
      <c r="W11" s="113"/>
      <c r="X11" s="113"/>
      <c r="Y11" s="113"/>
      <c r="Z11" s="113"/>
    </row>
    <row r="12" spans="2:26" ht="16.5" customHeight="1">
      <c r="B12" s="548"/>
      <c r="C12" s="120"/>
      <c r="D12" s="567" t="s">
        <v>388</v>
      </c>
      <c r="E12" s="556"/>
      <c r="F12" s="556"/>
      <c r="G12" s="571" t="s">
        <v>389</v>
      </c>
      <c r="H12" s="556"/>
      <c r="I12" s="556"/>
      <c r="J12" s="121"/>
      <c r="K12" s="122"/>
      <c r="L12" s="576"/>
      <c r="M12" s="553"/>
      <c r="N12" s="570"/>
      <c r="O12" s="576"/>
      <c r="P12" s="576"/>
      <c r="Q12" s="121"/>
      <c r="R12" s="113"/>
      <c r="S12" s="113"/>
      <c r="T12" s="113"/>
      <c r="U12" s="113"/>
      <c r="V12" s="113"/>
      <c r="W12" s="113"/>
      <c r="X12" s="113"/>
      <c r="Y12" s="113"/>
      <c r="Z12" s="113"/>
    </row>
    <row r="13" spans="2:26" ht="16.5" customHeight="1">
      <c r="B13" s="548"/>
      <c r="C13" s="120"/>
      <c r="D13" s="567" t="s">
        <v>390</v>
      </c>
      <c r="E13" s="556"/>
      <c r="F13" s="556"/>
      <c r="G13" s="571" t="s">
        <v>391</v>
      </c>
      <c r="H13" s="556"/>
      <c r="I13" s="556"/>
      <c r="J13" s="121"/>
      <c r="K13" s="122"/>
      <c r="L13" s="567" t="s">
        <v>392</v>
      </c>
      <c r="M13" s="555"/>
      <c r="N13" s="571" t="s">
        <v>391</v>
      </c>
      <c r="O13" s="556"/>
      <c r="P13" s="556"/>
      <c r="Q13" s="121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2:26" ht="6.75" customHeight="1" thickBot="1">
      <c r="B14" s="549"/>
      <c r="C14" s="123"/>
      <c r="D14" s="124"/>
      <c r="E14" s="124"/>
      <c r="F14" s="124"/>
      <c r="G14" s="124"/>
      <c r="H14" s="124"/>
      <c r="I14" s="124"/>
      <c r="J14" s="125"/>
      <c r="K14" s="126"/>
      <c r="L14" s="124"/>
      <c r="M14" s="124"/>
      <c r="N14" s="124"/>
      <c r="O14" s="124"/>
      <c r="P14" s="124"/>
      <c r="Q14" s="125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2:26" ht="6.75" customHeight="1">
      <c r="B15" s="561" t="s">
        <v>393</v>
      </c>
      <c r="C15" s="116"/>
      <c r="D15" s="117"/>
      <c r="E15" s="117"/>
      <c r="F15" s="117"/>
      <c r="G15" s="117"/>
      <c r="H15" s="117"/>
      <c r="I15" s="117"/>
      <c r="J15" s="118"/>
      <c r="K15" s="119"/>
      <c r="L15" s="117"/>
      <c r="M15" s="117"/>
      <c r="N15" s="117"/>
      <c r="O15" s="117"/>
      <c r="P15" s="117"/>
      <c r="Q15" s="118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2:26" ht="20.25" customHeight="1">
      <c r="B16" s="548"/>
      <c r="C16" s="120"/>
      <c r="D16" s="567" t="s">
        <v>394</v>
      </c>
      <c r="E16" s="556"/>
      <c r="F16" s="556"/>
      <c r="G16" s="555"/>
      <c r="H16" s="571">
        <v>1</v>
      </c>
      <c r="I16" s="556"/>
      <c r="J16" s="121"/>
      <c r="K16" s="122"/>
      <c r="L16" s="567" t="s">
        <v>394</v>
      </c>
      <c r="M16" s="556"/>
      <c r="N16" s="555"/>
      <c r="O16" s="571" t="s">
        <v>395</v>
      </c>
      <c r="P16" s="556"/>
      <c r="Q16" s="121"/>
      <c r="R16" s="113"/>
      <c r="S16" s="113"/>
      <c r="T16" s="113"/>
      <c r="U16" s="113"/>
      <c r="V16" s="113"/>
      <c r="W16" s="113"/>
      <c r="X16" s="113"/>
      <c r="Y16" s="113"/>
      <c r="Z16" s="113"/>
    </row>
    <row r="17" spans="2:26" ht="20.25" customHeight="1">
      <c r="B17" s="548"/>
      <c r="C17" s="120"/>
      <c r="D17" s="567" t="s">
        <v>396</v>
      </c>
      <c r="E17" s="556"/>
      <c r="F17" s="556"/>
      <c r="G17" s="555"/>
      <c r="H17" s="571">
        <v>179</v>
      </c>
      <c r="I17" s="556"/>
      <c r="J17" s="121"/>
      <c r="K17" s="122"/>
      <c r="L17" s="567" t="s">
        <v>397</v>
      </c>
      <c r="M17" s="556"/>
      <c r="N17" s="555"/>
      <c r="O17" s="571" t="s">
        <v>398</v>
      </c>
      <c r="P17" s="556"/>
      <c r="Q17" s="121"/>
      <c r="R17" s="113"/>
      <c r="S17" s="113"/>
      <c r="T17" s="113"/>
      <c r="U17" s="113"/>
      <c r="V17" s="113"/>
      <c r="W17" s="113"/>
      <c r="X17" s="113"/>
      <c r="Y17" s="113"/>
      <c r="Z17" s="113"/>
    </row>
    <row r="18" spans="2:26" ht="20.25" customHeight="1">
      <c r="B18" s="548"/>
      <c r="C18" s="120"/>
      <c r="D18" s="567" t="s">
        <v>399</v>
      </c>
      <c r="E18" s="556"/>
      <c r="F18" s="556"/>
      <c r="G18" s="555"/>
      <c r="H18" s="571">
        <v>368</v>
      </c>
      <c r="I18" s="556"/>
      <c r="J18" s="121"/>
      <c r="K18" s="122"/>
      <c r="L18" s="567" t="s">
        <v>400</v>
      </c>
      <c r="M18" s="556"/>
      <c r="N18" s="555"/>
      <c r="O18" s="571" t="s">
        <v>401</v>
      </c>
      <c r="P18" s="556"/>
      <c r="Q18" s="121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2:26" ht="20.25" customHeight="1">
      <c r="B19" s="548"/>
      <c r="C19" s="120"/>
      <c r="D19" s="567" t="s">
        <v>402</v>
      </c>
      <c r="E19" s="556"/>
      <c r="F19" s="556"/>
      <c r="G19" s="555"/>
      <c r="H19" s="571">
        <v>548</v>
      </c>
      <c r="I19" s="556"/>
      <c r="J19" s="121"/>
      <c r="K19" s="122"/>
      <c r="L19" s="567" t="s">
        <v>402</v>
      </c>
      <c r="M19" s="556"/>
      <c r="N19" s="555"/>
      <c r="O19" s="571" t="s">
        <v>403</v>
      </c>
      <c r="P19" s="556"/>
      <c r="Q19" s="121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2:26" ht="5.25" customHeight="1" thickBot="1">
      <c r="B20" s="549"/>
      <c r="C20" s="123"/>
      <c r="D20" s="124"/>
      <c r="E20" s="124"/>
      <c r="F20" s="124"/>
      <c r="G20" s="124"/>
      <c r="H20" s="124"/>
      <c r="I20" s="124"/>
      <c r="J20" s="125"/>
      <c r="K20" s="126"/>
      <c r="L20" s="124"/>
      <c r="M20" s="124"/>
      <c r="N20" s="124"/>
      <c r="O20" s="124"/>
      <c r="P20" s="124"/>
      <c r="Q20" s="125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2:26" ht="5.25" customHeight="1">
      <c r="B21" s="561" t="s">
        <v>404</v>
      </c>
      <c r="C21" s="116"/>
      <c r="D21" s="117"/>
      <c r="E21" s="117"/>
      <c r="F21" s="117"/>
      <c r="G21" s="117"/>
      <c r="H21" s="117"/>
      <c r="I21" s="117"/>
      <c r="J21" s="118"/>
      <c r="K21" s="119"/>
      <c r="L21" s="117"/>
      <c r="M21" s="117"/>
      <c r="N21" s="117"/>
      <c r="O21" s="117"/>
      <c r="P21" s="117"/>
      <c r="Q21" s="118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2:26" ht="27.75" thickBot="1">
      <c r="B22" s="548"/>
      <c r="C22" s="120"/>
      <c r="D22" s="127"/>
      <c r="E22" s="128"/>
      <c r="F22" s="129" t="s">
        <v>405</v>
      </c>
      <c r="G22" s="129" t="s">
        <v>406</v>
      </c>
      <c r="H22" s="129" t="s">
        <v>407</v>
      </c>
      <c r="I22" s="130" t="s">
        <v>408</v>
      </c>
      <c r="J22" s="131"/>
      <c r="K22" s="132"/>
      <c r="L22" s="127"/>
      <c r="M22" s="129" t="s">
        <v>406</v>
      </c>
      <c r="N22" s="129" t="s">
        <v>409</v>
      </c>
      <c r="O22" s="584" t="s">
        <v>408</v>
      </c>
      <c r="P22" s="585"/>
      <c r="Q22" s="121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2:26" ht="14.25" thickTop="1">
      <c r="B23" s="548"/>
      <c r="C23" s="120"/>
      <c r="D23" s="572" t="s">
        <v>406</v>
      </c>
      <c r="E23" s="586" t="s">
        <v>410</v>
      </c>
      <c r="F23" s="586" t="s">
        <v>411</v>
      </c>
      <c r="G23" s="133" t="s">
        <v>412</v>
      </c>
      <c r="H23" s="133" t="s">
        <v>413</v>
      </c>
      <c r="I23" s="574">
        <v>24</v>
      </c>
      <c r="J23" s="131"/>
      <c r="K23" s="132"/>
      <c r="L23" s="572" t="s">
        <v>414</v>
      </c>
      <c r="M23" s="134" t="s">
        <v>412</v>
      </c>
      <c r="N23" s="134" t="s">
        <v>415</v>
      </c>
      <c r="O23" s="574">
        <v>24</v>
      </c>
      <c r="P23" s="575"/>
      <c r="Q23" s="121"/>
      <c r="R23" s="113"/>
      <c r="S23" s="113"/>
      <c r="T23" s="113"/>
      <c r="U23" s="113"/>
      <c r="V23" s="113"/>
      <c r="W23" s="113"/>
      <c r="X23" s="113"/>
      <c r="Y23" s="113"/>
      <c r="Z23" s="113"/>
    </row>
    <row r="24" spans="2:26" ht="13.5">
      <c r="B24" s="548"/>
      <c r="C24" s="120"/>
      <c r="D24" s="573"/>
      <c r="E24" s="587"/>
      <c r="F24" s="587"/>
      <c r="G24" s="135" t="s">
        <v>416</v>
      </c>
      <c r="H24" s="135" t="s">
        <v>417</v>
      </c>
      <c r="I24" s="569"/>
      <c r="J24" s="131"/>
      <c r="K24" s="132"/>
      <c r="L24" s="573"/>
      <c r="M24" s="136" t="s">
        <v>416</v>
      </c>
      <c r="N24" s="136" t="s">
        <v>418</v>
      </c>
      <c r="O24" s="569"/>
      <c r="P24" s="546"/>
      <c r="Q24" s="121"/>
      <c r="R24" s="113"/>
      <c r="S24" s="113"/>
      <c r="T24" s="113"/>
      <c r="U24" s="113"/>
      <c r="V24" s="113"/>
      <c r="W24" s="113"/>
      <c r="X24" s="113"/>
      <c r="Y24" s="113"/>
      <c r="Z24" s="113"/>
    </row>
    <row r="25" spans="2:26" ht="13.5">
      <c r="B25" s="548"/>
      <c r="C25" s="120"/>
      <c r="D25" s="573"/>
      <c r="E25" s="587"/>
      <c r="F25" s="587"/>
      <c r="G25" s="135" t="s">
        <v>419</v>
      </c>
      <c r="H25" s="135" t="s">
        <v>420</v>
      </c>
      <c r="I25" s="588"/>
      <c r="J25" s="131"/>
      <c r="K25" s="132"/>
      <c r="L25" s="573"/>
      <c r="M25" s="136" t="s">
        <v>419</v>
      </c>
      <c r="N25" s="136" t="s">
        <v>421</v>
      </c>
      <c r="O25" s="570"/>
      <c r="P25" s="576"/>
      <c r="Q25" s="121"/>
      <c r="R25" s="113"/>
      <c r="S25" s="113"/>
      <c r="T25" s="113"/>
      <c r="U25" s="113"/>
      <c r="V25" s="113"/>
      <c r="W25" s="113"/>
      <c r="X25" s="113"/>
      <c r="Y25" s="113"/>
      <c r="Z25" s="113"/>
    </row>
    <row r="26" spans="2:26" ht="13.5">
      <c r="B26" s="548"/>
      <c r="C26" s="120"/>
      <c r="D26" s="573"/>
      <c r="E26" s="587"/>
      <c r="F26" s="544"/>
      <c r="G26" s="137" t="s">
        <v>422</v>
      </c>
      <c r="H26" s="137" t="s">
        <v>423</v>
      </c>
      <c r="I26" s="138">
        <v>6</v>
      </c>
      <c r="J26" s="131"/>
      <c r="K26" s="132"/>
      <c r="L26" s="573"/>
      <c r="M26" s="577" t="s">
        <v>424</v>
      </c>
      <c r="N26" s="139" t="s">
        <v>425</v>
      </c>
      <c r="O26" s="578">
        <v>6</v>
      </c>
      <c r="P26" s="579"/>
      <c r="Q26" s="121"/>
      <c r="R26" s="113"/>
      <c r="S26" s="113"/>
      <c r="T26" s="113"/>
      <c r="U26" s="113"/>
      <c r="V26" s="113"/>
      <c r="W26" s="113"/>
      <c r="X26" s="113"/>
      <c r="Y26" s="113"/>
      <c r="Z26" s="113"/>
    </row>
    <row r="27" spans="2:26" ht="40.5">
      <c r="B27" s="548"/>
      <c r="C27" s="120"/>
      <c r="D27" s="573"/>
      <c r="E27" s="587"/>
      <c r="F27" s="577" t="s">
        <v>426</v>
      </c>
      <c r="G27" s="139" t="s">
        <v>424</v>
      </c>
      <c r="H27" s="139" t="s">
        <v>427</v>
      </c>
      <c r="I27" s="580">
        <v>12</v>
      </c>
      <c r="J27" s="131"/>
      <c r="K27" s="132"/>
      <c r="L27" s="573"/>
      <c r="M27" s="544"/>
      <c r="N27" s="137" t="s">
        <v>428</v>
      </c>
      <c r="O27" s="581">
        <v>12</v>
      </c>
      <c r="P27" s="582"/>
      <c r="Q27" s="121"/>
      <c r="R27" s="113"/>
      <c r="S27" s="113"/>
      <c r="T27" s="113"/>
      <c r="U27" s="113"/>
      <c r="V27" s="113"/>
      <c r="W27" s="113"/>
      <c r="X27" s="113"/>
      <c r="Y27" s="113"/>
      <c r="Z27" s="113"/>
    </row>
    <row r="28" spans="2:26" ht="13.5">
      <c r="B28" s="548"/>
      <c r="C28" s="120"/>
      <c r="D28" s="573"/>
      <c r="E28" s="587"/>
      <c r="F28" s="544"/>
      <c r="G28" s="137" t="s">
        <v>429</v>
      </c>
      <c r="H28" s="137" t="s">
        <v>430</v>
      </c>
      <c r="I28" s="570"/>
      <c r="J28" s="131"/>
      <c r="K28" s="132"/>
      <c r="L28" s="573"/>
      <c r="M28" s="136" t="s">
        <v>429</v>
      </c>
      <c r="N28" s="136" t="s">
        <v>431</v>
      </c>
      <c r="O28" s="570"/>
      <c r="P28" s="576"/>
      <c r="Q28" s="121"/>
      <c r="R28" s="113"/>
      <c r="S28" s="113"/>
      <c r="T28" s="113"/>
      <c r="U28" s="113"/>
      <c r="V28" s="113"/>
      <c r="W28" s="113"/>
      <c r="X28" s="113"/>
      <c r="Y28" s="113"/>
      <c r="Z28" s="113"/>
    </row>
    <row r="29" spans="2:26" ht="13.5">
      <c r="B29" s="548"/>
      <c r="C29" s="120"/>
      <c r="D29" s="573"/>
      <c r="E29" s="587"/>
      <c r="F29" s="577" t="s">
        <v>432</v>
      </c>
      <c r="G29" s="139" t="s">
        <v>433</v>
      </c>
      <c r="H29" s="140"/>
      <c r="I29" s="141">
        <v>8</v>
      </c>
      <c r="J29" s="131"/>
      <c r="K29" s="132"/>
      <c r="L29" s="573"/>
      <c r="M29" s="136" t="s">
        <v>433</v>
      </c>
      <c r="N29" s="142"/>
      <c r="O29" s="583">
        <v>8</v>
      </c>
      <c r="P29" s="556"/>
      <c r="Q29" s="121"/>
      <c r="R29" s="113"/>
      <c r="S29" s="113"/>
      <c r="T29" s="113"/>
      <c r="U29" s="113"/>
      <c r="V29" s="113"/>
      <c r="W29" s="113"/>
      <c r="X29" s="113"/>
      <c r="Y29" s="113"/>
      <c r="Z29" s="113"/>
    </row>
    <row r="30" spans="2:26" ht="13.5">
      <c r="B30" s="548"/>
      <c r="C30" s="120"/>
      <c r="D30" s="573"/>
      <c r="E30" s="587"/>
      <c r="F30" s="544"/>
      <c r="G30" s="137" t="s">
        <v>434</v>
      </c>
      <c r="H30" s="143"/>
      <c r="I30" s="138">
        <v>6</v>
      </c>
      <c r="J30" s="131"/>
      <c r="K30" s="132"/>
      <c r="L30" s="573"/>
      <c r="M30" s="136" t="s">
        <v>434</v>
      </c>
      <c r="N30" s="142"/>
      <c r="O30" s="583">
        <v>6</v>
      </c>
      <c r="P30" s="556"/>
      <c r="Q30" s="121"/>
      <c r="R30" s="113"/>
      <c r="S30" s="113"/>
      <c r="T30" s="113"/>
      <c r="U30" s="113"/>
      <c r="V30" s="113"/>
      <c r="W30" s="113"/>
      <c r="X30" s="113"/>
      <c r="Y30" s="113"/>
      <c r="Z30" s="113"/>
    </row>
    <row r="31" spans="2:26" ht="54">
      <c r="B31" s="548"/>
      <c r="C31" s="120"/>
      <c r="D31" s="573"/>
      <c r="E31" s="587"/>
      <c r="F31" s="136" t="s">
        <v>435</v>
      </c>
      <c r="G31" s="136" t="s">
        <v>436</v>
      </c>
      <c r="H31" s="142"/>
      <c r="I31" s="144">
        <v>10</v>
      </c>
      <c r="J31" s="131"/>
      <c r="K31" s="132"/>
      <c r="L31" s="573"/>
      <c r="M31" s="136" t="s">
        <v>437</v>
      </c>
      <c r="N31" s="142"/>
      <c r="O31" s="583">
        <v>8</v>
      </c>
      <c r="P31" s="556"/>
      <c r="Q31" s="121"/>
      <c r="R31" s="113"/>
      <c r="S31" s="113"/>
      <c r="T31" s="113"/>
      <c r="U31" s="113"/>
      <c r="V31" s="113"/>
      <c r="W31" s="113"/>
      <c r="X31" s="113"/>
      <c r="Y31" s="113"/>
      <c r="Z31" s="113"/>
    </row>
    <row r="32" spans="2:26" ht="18.75" customHeight="1">
      <c r="B32" s="548"/>
      <c r="C32" s="120"/>
      <c r="D32" s="573"/>
      <c r="E32" s="544"/>
      <c r="F32" s="591" t="s">
        <v>402</v>
      </c>
      <c r="G32" s="556"/>
      <c r="H32" s="555"/>
      <c r="I32" s="145">
        <v>66</v>
      </c>
      <c r="J32" s="131"/>
      <c r="K32" s="132"/>
      <c r="L32" s="553"/>
      <c r="M32" s="591" t="s">
        <v>402</v>
      </c>
      <c r="N32" s="555"/>
      <c r="O32" s="564">
        <v>64</v>
      </c>
      <c r="P32" s="556"/>
      <c r="Q32" s="121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2:26" ht="35.25" customHeight="1">
      <c r="B33" s="548"/>
      <c r="C33" s="120"/>
      <c r="D33" s="553"/>
      <c r="E33" s="146" t="s">
        <v>438</v>
      </c>
      <c r="F33" s="591" t="s">
        <v>439</v>
      </c>
      <c r="G33" s="556"/>
      <c r="H33" s="555"/>
      <c r="I33" s="145">
        <v>86</v>
      </c>
      <c r="J33" s="131"/>
      <c r="K33" s="132"/>
      <c r="L33" s="147" t="s">
        <v>440</v>
      </c>
      <c r="M33" s="591" t="s">
        <v>441</v>
      </c>
      <c r="N33" s="555"/>
      <c r="O33" s="564">
        <v>80</v>
      </c>
      <c r="P33" s="556"/>
      <c r="Q33" s="121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2:26" ht="21.75" customHeight="1">
      <c r="B34" s="548"/>
      <c r="C34" s="120"/>
      <c r="D34" s="589" t="s">
        <v>380</v>
      </c>
      <c r="E34" s="556"/>
      <c r="F34" s="556"/>
      <c r="G34" s="556"/>
      <c r="H34" s="555"/>
      <c r="I34" s="148">
        <v>22</v>
      </c>
      <c r="J34" s="131"/>
      <c r="K34" s="132"/>
      <c r="L34" s="589" t="s">
        <v>380</v>
      </c>
      <c r="M34" s="556"/>
      <c r="N34" s="555"/>
      <c r="O34" s="590">
        <v>30</v>
      </c>
      <c r="P34" s="556"/>
      <c r="Q34" s="121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2:26" ht="24" customHeight="1">
      <c r="B35" s="548"/>
      <c r="C35" s="120"/>
      <c r="D35" s="589" t="s">
        <v>383</v>
      </c>
      <c r="E35" s="556"/>
      <c r="F35" s="556"/>
      <c r="G35" s="556"/>
      <c r="H35" s="555"/>
      <c r="I35" s="148">
        <v>18</v>
      </c>
      <c r="J35" s="131"/>
      <c r="K35" s="132"/>
      <c r="L35" s="589" t="s">
        <v>383</v>
      </c>
      <c r="M35" s="556"/>
      <c r="N35" s="555"/>
      <c r="O35" s="590">
        <v>18</v>
      </c>
      <c r="P35" s="556"/>
      <c r="Q35" s="121"/>
      <c r="R35" s="113"/>
      <c r="S35" s="113"/>
      <c r="T35" s="113"/>
      <c r="U35" s="113"/>
      <c r="V35" s="113"/>
      <c r="W35" s="113"/>
      <c r="X35" s="113"/>
      <c r="Y35" s="113"/>
      <c r="Z35" s="113"/>
    </row>
    <row r="36" spans="2:26" ht="13.5">
      <c r="B36" s="548"/>
      <c r="C36" s="120"/>
      <c r="D36" s="563" t="s">
        <v>442</v>
      </c>
      <c r="E36" s="556"/>
      <c r="F36" s="556"/>
      <c r="G36" s="556"/>
      <c r="H36" s="555"/>
      <c r="I36" s="145">
        <v>192</v>
      </c>
      <c r="J36" s="131"/>
      <c r="K36" s="132"/>
      <c r="L36" s="563" t="s">
        <v>442</v>
      </c>
      <c r="M36" s="556"/>
      <c r="N36" s="555"/>
      <c r="O36" s="564">
        <v>192</v>
      </c>
      <c r="P36" s="556"/>
      <c r="Q36" s="121"/>
      <c r="R36" s="113"/>
      <c r="S36" s="113"/>
      <c r="T36" s="113"/>
      <c r="U36" s="113"/>
      <c r="V36" s="113"/>
      <c r="W36" s="113"/>
      <c r="X36" s="113"/>
      <c r="Y36" s="113"/>
      <c r="Z36" s="113"/>
    </row>
    <row r="37" spans="2:26" ht="5.25" customHeight="1" thickBot="1">
      <c r="B37" s="549"/>
      <c r="C37" s="123"/>
      <c r="D37" s="124"/>
      <c r="E37" s="124"/>
      <c r="F37" s="124"/>
      <c r="G37" s="124"/>
      <c r="H37" s="124"/>
      <c r="I37" s="124"/>
      <c r="J37" s="125"/>
      <c r="K37" s="126"/>
      <c r="L37" s="124"/>
      <c r="M37" s="124"/>
      <c r="N37" s="124"/>
      <c r="O37" s="124"/>
      <c r="P37" s="124"/>
      <c r="Q37" s="125"/>
      <c r="R37" s="113"/>
      <c r="S37" s="113"/>
      <c r="T37" s="113"/>
      <c r="U37" s="113"/>
      <c r="V37" s="113"/>
      <c r="W37" s="113"/>
      <c r="X37" s="113"/>
      <c r="Y37" s="113"/>
      <c r="Z37" s="113"/>
    </row>
    <row r="38" spans="2:26" ht="5.25" customHeight="1">
      <c r="B38" s="561" t="s">
        <v>443</v>
      </c>
      <c r="C38" s="116"/>
      <c r="D38" s="117"/>
      <c r="E38" s="117"/>
      <c r="F38" s="117"/>
      <c r="G38" s="117"/>
      <c r="H38" s="117"/>
      <c r="I38" s="117"/>
      <c r="J38" s="118"/>
      <c r="K38" s="119"/>
      <c r="L38" s="117"/>
      <c r="M38" s="117"/>
      <c r="N38" s="117"/>
      <c r="O38" s="117"/>
      <c r="P38" s="117"/>
      <c r="Q38" s="118"/>
      <c r="R38" s="113"/>
      <c r="S38" s="113"/>
      <c r="T38" s="113"/>
      <c r="U38" s="113"/>
      <c r="V38" s="113"/>
      <c r="W38" s="113"/>
      <c r="X38" s="113"/>
      <c r="Y38" s="113"/>
      <c r="Z38" s="113"/>
    </row>
    <row r="39" spans="2:26" ht="13.5">
      <c r="B39" s="548"/>
      <c r="C39" s="120" t="s">
        <v>444</v>
      </c>
      <c r="D39" s="149"/>
      <c r="E39" s="149"/>
      <c r="F39" s="149"/>
      <c r="G39" s="149"/>
      <c r="H39" s="149"/>
      <c r="I39" s="149"/>
      <c r="J39" s="121"/>
      <c r="K39" s="122"/>
      <c r="L39" s="149" t="s">
        <v>445</v>
      </c>
      <c r="M39" s="149"/>
      <c r="N39" s="149"/>
      <c r="O39" s="149"/>
      <c r="P39" s="149"/>
      <c r="Q39" s="121"/>
      <c r="R39" s="113"/>
      <c r="S39" s="113"/>
      <c r="T39" s="113"/>
      <c r="U39" s="113"/>
      <c r="V39" s="113"/>
      <c r="W39" s="113"/>
      <c r="X39" s="113"/>
      <c r="Y39" s="113"/>
      <c r="Z39" s="113"/>
    </row>
    <row r="40" spans="2:26" ht="13.5">
      <c r="B40" s="548"/>
      <c r="C40" s="120" t="s">
        <v>446</v>
      </c>
      <c r="D40" s="149"/>
      <c r="E40" s="149"/>
      <c r="F40" s="149"/>
      <c r="G40" s="149"/>
      <c r="H40" s="149"/>
      <c r="I40" s="149"/>
      <c r="J40" s="121"/>
      <c r="K40" s="122"/>
      <c r="L40" s="149" t="s">
        <v>447</v>
      </c>
      <c r="M40" s="149"/>
      <c r="N40" s="149"/>
      <c r="O40" s="149"/>
      <c r="P40" s="149"/>
      <c r="Q40" s="121"/>
      <c r="R40" s="113"/>
      <c r="S40" s="113"/>
      <c r="T40" s="113"/>
      <c r="U40" s="113"/>
      <c r="V40" s="113"/>
      <c r="W40" s="113"/>
      <c r="X40" s="113"/>
      <c r="Y40" s="113"/>
      <c r="Z40" s="113"/>
    </row>
    <row r="41" spans="2:26" ht="5.25" customHeight="1" thickBot="1">
      <c r="B41" s="549"/>
      <c r="C41" s="123"/>
      <c r="D41" s="124"/>
      <c r="E41" s="124"/>
      <c r="F41" s="124"/>
      <c r="G41" s="124"/>
      <c r="H41" s="124"/>
      <c r="I41" s="124"/>
      <c r="J41" s="125"/>
      <c r="K41" s="126"/>
      <c r="L41" s="124"/>
      <c r="M41" s="124"/>
      <c r="N41" s="124"/>
      <c r="O41" s="124"/>
      <c r="P41" s="124"/>
      <c r="Q41" s="125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2:26" ht="5.25" customHeight="1">
      <c r="B42" s="561" t="s">
        <v>448</v>
      </c>
      <c r="C42" s="116"/>
      <c r="D42" s="117"/>
      <c r="E42" s="117"/>
      <c r="F42" s="117"/>
      <c r="G42" s="117"/>
      <c r="H42" s="117"/>
      <c r="I42" s="117"/>
      <c r="J42" s="118"/>
      <c r="K42" s="119"/>
      <c r="L42" s="117"/>
      <c r="M42" s="117"/>
      <c r="N42" s="117"/>
      <c r="O42" s="117"/>
      <c r="P42" s="117"/>
      <c r="Q42" s="118"/>
      <c r="R42" s="113"/>
      <c r="S42" s="113"/>
      <c r="T42" s="113"/>
      <c r="U42" s="113"/>
      <c r="V42" s="113"/>
      <c r="W42" s="113"/>
      <c r="X42" s="113"/>
      <c r="Y42" s="113"/>
      <c r="Z42" s="113"/>
    </row>
    <row r="43" spans="2:26" ht="13.5">
      <c r="B43" s="548"/>
      <c r="C43" s="120"/>
      <c r="D43" s="149" t="s">
        <v>449</v>
      </c>
      <c r="E43" s="149"/>
      <c r="F43" s="149"/>
      <c r="G43" s="149"/>
      <c r="H43" s="149"/>
      <c r="I43" s="149"/>
      <c r="J43" s="121"/>
      <c r="K43" s="122"/>
      <c r="L43" s="149" t="s">
        <v>450</v>
      </c>
      <c r="M43" s="149"/>
      <c r="N43" s="149"/>
      <c r="O43" s="149"/>
      <c r="P43" s="149"/>
      <c r="Q43" s="121"/>
      <c r="R43" s="113"/>
      <c r="S43" s="113"/>
      <c r="T43" s="113"/>
      <c r="U43" s="113"/>
      <c r="V43" s="113"/>
      <c r="W43" s="113"/>
      <c r="X43" s="113"/>
      <c r="Y43" s="113"/>
      <c r="Z43" s="113"/>
    </row>
    <row r="44" spans="2:26" ht="13.5">
      <c r="B44" s="548"/>
      <c r="C44" s="120"/>
      <c r="D44" s="149" t="s">
        <v>451</v>
      </c>
      <c r="E44" s="150"/>
      <c r="F44" s="150"/>
      <c r="G44" s="150"/>
      <c r="H44" s="150"/>
      <c r="I44" s="150"/>
      <c r="J44" s="121"/>
      <c r="K44" s="122"/>
      <c r="L44" s="149"/>
      <c r="M44" s="149"/>
      <c r="N44" s="149"/>
      <c r="O44" s="149"/>
      <c r="P44" s="149"/>
      <c r="Q44" s="121"/>
      <c r="R44" s="113"/>
      <c r="S44" s="113"/>
      <c r="T44" s="113"/>
      <c r="U44" s="113"/>
      <c r="V44" s="113"/>
      <c r="W44" s="113"/>
      <c r="X44" s="113"/>
      <c r="Y44" s="113"/>
      <c r="Z44" s="113"/>
    </row>
    <row r="45" spans="2:26" ht="13.5">
      <c r="B45" s="548"/>
      <c r="C45" s="120"/>
      <c r="D45" s="565" t="s">
        <v>369</v>
      </c>
      <c r="E45" s="556"/>
      <c r="F45" s="555"/>
      <c r="G45" s="566" t="s">
        <v>452</v>
      </c>
      <c r="H45" s="555"/>
      <c r="I45" s="151" t="s">
        <v>453</v>
      </c>
      <c r="J45" s="121"/>
      <c r="K45" s="122"/>
      <c r="L45" s="565" t="s">
        <v>369</v>
      </c>
      <c r="M45" s="555"/>
      <c r="N45" s="566" t="s">
        <v>452</v>
      </c>
      <c r="O45" s="555"/>
      <c r="P45" s="151" t="s">
        <v>454</v>
      </c>
      <c r="Q45" s="121"/>
      <c r="R45" s="113"/>
      <c r="S45" s="113"/>
      <c r="T45" s="113"/>
      <c r="U45" s="113"/>
      <c r="V45" s="113"/>
      <c r="W45" s="113"/>
      <c r="X45" s="113"/>
      <c r="Y45" s="113"/>
      <c r="Z45" s="113"/>
    </row>
    <row r="46" spans="2:26" ht="38.25" customHeight="1">
      <c r="B46" s="548"/>
      <c r="C46" s="120"/>
      <c r="D46" s="567" t="s">
        <v>455</v>
      </c>
      <c r="E46" s="555"/>
      <c r="F46" s="152">
        <v>1</v>
      </c>
      <c r="G46" s="560" t="s">
        <v>456</v>
      </c>
      <c r="H46" s="555"/>
      <c r="I46" s="568">
        <v>86</v>
      </c>
      <c r="J46" s="121"/>
      <c r="K46" s="122"/>
      <c r="L46" s="153" t="s">
        <v>455</v>
      </c>
      <c r="M46" s="152">
        <v>3</v>
      </c>
      <c r="N46" s="560" t="s">
        <v>457</v>
      </c>
      <c r="O46" s="555"/>
      <c r="P46" s="568">
        <v>80</v>
      </c>
      <c r="Q46" s="121"/>
      <c r="R46" s="113"/>
      <c r="S46" s="113"/>
      <c r="T46" s="113"/>
      <c r="U46" s="113"/>
      <c r="V46" s="113"/>
      <c r="W46" s="113"/>
      <c r="X46" s="113"/>
      <c r="Y46" s="113"/>
      <c r="Z46" s="113"/>
    </row>
    <row r="47" spans="2:26" ht="16.5" customHeight="1">
      <c r="B47" s="548"/>
      <c r="C47" s="120"/>
      <c r="D47" s="567" t="s">
        <v>458</v>
      </c>
      <c r="E47" s="555"/>
      <c r="F47" s="152">
        <v>179</v>
      </c>
      <c r="G47" s="571" t="s">
        <v>441</v>
      </c>
      <c r="H47" s="555"/>
      <c r="I47" s="569"/>
      <c r="J47" s="121"/>
      <c r="K47" s="122"/>
      <c r="L47" s="153" t="s">
        <v>459</v>
      </c>
      <c r="M47" s="152">
        <v>216</v>
      </c>
      <c r="N47" s="571" t="s">
        <v>441</v>
      </c>
      <c r="O47" s="555"/>
      <c r="P47" s="569"/>
      <c r="Q47" s="121"/>
      <c r="R47" s="113"/>
      <c r="S47" s="113"/>
      <c r="T47" s="113"/>
      <c r="U47" s="113"/>
      <c r="V47" s="113"/>
      <c r="W47" s="113"/>
      <c r="X47" s="113"/>
      <c r="Y47" s="113"/>
      <c r="Z47" s="113"/>
    </row>
    <row r="48" spans="2:26" ht="16.5" customHeight="1">
      <c r="B48" s="548"/>
      <c r="C48" s="120"/>
      <c r="D48" s="567" t="s">
        <v>460</v>
      </c>
      <c r="E48" s="555"/>
      <c r="F48" s="152">
        <v>368</v>
      </c>
      <c r="G48" s="571" t="s">
        <v>441</v>
      </c>
      <c r="H48" s="555"/>
      <c r="I48" s="570"/>
      <c r="J48" s="121"/>
      <c r="K48" s="122"/>
      <c r="L48" s="153" t="s">
        <v>461</v>
      </c>
      <c r="M48" s="152">
        <v>309</v>
      </c>
      <c r="N48" s="571" t="s">
        <v>441</v>
      </c>
      <c r="O48" s="555"/>
      <c r="P48" s="570"/>
      <c r="Q48" s="121"/>
      <c r="R48" s="113"/>
      <c r="S48" s="113"/>
      <c r="T48" s="113"/>
      <c r="U48" s="113"/>
      <c r="V48" s="113"/>
      <c r="W48" s="113"/>
      <c r="X48" s="113"/>
      <c r="Y48" s="113"/>
      <c r="Z48" s="113"/>
    </row>
    <row r="49" spans="2:26" ht="5.25" customHeight="1" thickBot="1">
      <c r="B49" s="549"/>
      <c r="C49" s="123"/>
      <c r="D49" s="124"/>
      <c r="E49" s="124"/>
      <c r="F49" s="124"/>
      <c r="G49" s="124"/>
      <c r="H49" s="124"/>
      <c r="I49" s="124"/>
      <c r="J49" s="125"/>
      <c r="K49" s="126"/>
      <c r="L49" s="124"/>
      <c r="M49" s="124"/>
      <c r="N49" s="124"/>
      <c r="O49" s="124"/>
      <c r="P49" s="124"/>
      <c r="Q49" s="125"/>
      <c r="R49" s="113"/>
      <c r="S49" s="113"/>
      <c r="T49" s="113"/>
      <c r="U49" s="113"/>
      <c r="V49" s="113"/>
      <c r="W49" s="113"/>
      <c r="X49" s="113"/>
      <c r="Y49" s="113"/>
      <c r="Z49" s="113"/>
    </row>
    <row r="50" spans="2:26" ht="5.25" customHeight="1">
      <c r="B50" s="561" t="s">
        <v>462</v>
      </c>
      <c r="C50" s="116"/>
      <c r="D50" s="117"/>
      <c r="E50" s="117"/>
      <c r="F50" s="117"/>
      <c r="G50" s="117"/>
      <c r="H50" s="117"/>
      <c r="I50" s="117"/>
      <c r="J50" s="118"/>
      <c r="K50" s="119"/>
      <c r="L50" s="117"/>
      <c r="M50" s="117"/>
      <c r="N50" s="117"/>
      <c r="O50" s="117"/>
      <c r="P50" s="117"/>
      <c r="Q50" s="118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2:26" ht="24">
      <c r="B51" s="548"/>
      <c r="C51" s="120"/>
      <c r="D51" s="562" t="s">
        <v>369</v>
      </c>
      <c r="E51" s="556"/>
      <c r="F51" s="555"/>
      <c r="G51" s="154" t="s">
        <v>463</v>
      </c>
      <c r="H51" s="154" t="s">
        <v>464</v>
      </c>
      <c r="I51" s="155" t="s">
        <v>465</v>
      </c>
      <c r="J51" s="131"/>
      <c r="K51" s="132"/>
      <c r="L51" s="562" t="s">
        <v>369</v>
      </c>
      <c r="M51" s="555"/>
      <c r="N51" s="154" t="s">
        <v>463</v>
      </c>
      <c r="O51" s="154" t="s">
        <v>464</v>
      </c>
      <c r="P51" s="155" t="s">
        <v>466</v>
      </c>
      <c r="Q51" s="121"/>
      <c r="R51" s="113"/>
      <c r="S51" s="113"/>
      <c r="T51" s="113"/>
      <c r="U51" s="113"/>
      <c r="V51" s="113"/>
      <c r="W51" s="113"/>
      <c r="X51" s="113"/>
      <c r="Y51" s="113"/>
      <c r="Z51" s="113"/>
    </row>
    <row r="52" spans="2:26" ht="13.5">
      <c r="B52" s="548"/>
      <c r="C52" s="120"/>
      <c r="D52" s="559" t="s">
        <v>467</v>
      </c>
      <c r="E52" s="556"/>
      <c r="F52" s="555"/>
      <c r="G52" s="156">
        <v>8</v>
      </c>
      <c r="H52" s="156">
        <v>-2</v>
      </c>
      <c r="I52" s="157" t="s">
        <v>468</v>
      </c>
      <c r="J52" s="131"/>
      <c r="K52" s="132"/>
      <c r="L52" s="559" t="s">
        <v>467</v>
      </c>
      <c r="M52" s="555"/>
      <c r="N52" s="156">
        <v>4</v>
      </c>
      <c r="O52" s="156">
        <v>-1</v>
      </c>
      <c r="P52" s="157" t="s">
        <v>363</v>
      </c>
      <c r="Q52" s="121"/>
      <c r="R52" s="113"/>
      <c r="S52" s="113"/>
      <c r="T52" s="113"/>
      <c r="U52" s="113"/>
      <c r="V52" s="113"/>
      <c r="W52" s="113"/>
      <c r="X52" s="113"/>
      <c r="Y52" s="113"/>
      <c r="Z52" s="113"/>
    </row>
    <row r="53" spans="2:26" ht="27.75" customHeight="1">
      <c r="B53" s="548"/>
      <c r="C53" s="120"/>
      <c r="D53" s="559" t="s">
        <v>469</v>
      </c>
      <c r="E53" s="556"/>
      <c r="F53" s="555"/>
      <c r="G53" s="156">
        <v>6</v>
      </c>
      <c r="H53" s="158"/>
      <c r="I53" s="157" t="s">
        <v>470</v>
      </c>
      <c r="J53" s="131"/>
      <c r="K53" s="132"/>
      <c r="L53" s="559" t="s">
        <v>471</v>
      </c>
      <c r="M53" s="555"/>
      <c r="N53" s="156">
        <v>3</v>
      </c>
      <c r="O53" s="158"/>
      <c r="P53" s="157">
        <v>3</v>
      </c>
      <c r="Q53" s="121"/>
      <c r="R53" s="113"/>
      <c r="S53" s="113"/>
      <c r="T53" s="113"/>
      <c r="U53" s="113"/>
      <c r="V53" s="113"/>
      <c r="W53" s="113"/>
      <c r="X53" s="113"/>
      <c r="Y53" s="113"/>
      <c r="Z53" s="113"/>
    </row>
    <row r="54" spans="2:26" ht="13.5">
      <c r="B54" s="548"/>
      <c r="C54" s="120"/>
      <c r="D54" s="559" t="s">
        <v>472</v>
      </c>
      <c r="E54" s="556"/>
      <c r="F54" s="555"/>
      <c r="G54" s="156">
        <v>5</v>
      </c>
      <c r="H54" s="156" t="s">
        <v>473</v>
      </c>
      <c r="I54" s="157" t="s">
        <v>474</v>
      </c>
      <c r="J54" s="131"/>
      <c r="K54" s="132"/>
      <c r="L54" s="559" t="s">
        <v>475</v>
      </c>
      <c r="M54" s="555"/>
      <c r="N54" s="156">
        <v>4</v>
      </c>
      <c r="O54" s="156" t="s">
        <v>476</v>
      </c>
      <c r="P54" s="157" t="s">
        <v>365</v>
      </c>
      <c r="Q54" s="121"/>
      <c r="R54" s="113"/>
      <c r="S54" s="113"/>
      <c r="T54" s="113"/>
      <c r="U54" s="113"/>
      <c r="V54" s="113"/>
      <c r="W54" s="113"/>
      <c r="X54" s="113"/>
      <c r="Y54" s="113"/>
      <c r="Z54" s="113"/>
    </row>
    <row r="55" spans="2:26" ht="13.5">
      <c r="B55" s="548"/>
      <c r="C55" s="120"/>
      <c r="D55" s="559" t="s">
        <v>477</v>
      </c>
      <c r="E55" s="556"/>
      <c r="F55" s="555"/>
      <c r="G55" s="156">
        <v>5</v>
      </c>
      <c r="H55" s="156" t="s">
        <v>478</v>
      </c>
      <c r="I55" s="157" t="s">
        <v>479</v>
      </c>
      <c r="J55" s="131"/>
      <c r="K55" s="132"/>
      <c r="L55" s="559" t="s">
        <v>480</v>
      </c>
      <c r="M55" s="555"/>
      <c r="N55" s="156">
        <v>3</v>
      </c>
      <c r="O55" s="156" t="s">
        <v>476</v>
      </c>
      <c r="P55" s="157" t="s">
        <v>366</v>
      </c>
      <c r="Q55" s="121"/>
      <c r="R55" s="113"/>
      <c r="S55" s="113"/>
      <c r="T55" s="113"/>
      <c r="U55" s="113"/>
      <c r="V55" s="113"/>
      <c r="W55" s="113"/>
      <c r="X55" s="113"/>
      <c r="Y55" s="113"/>
      <c r="Z55" s="113"/>
    </row>
    <row r="56" spans="2:26" ht="13.5">
      <c r="B56" s="548"/>
      <c r="C56" s="120"/>
      <c r="D56" s="559" t="s">
        <v>481</v>
      </c>
      <c r="E56" s="556"/>
      <c r="F56" s="555"/>
      <c r="G56" s="156">
        <v>5</v>
      </c>
      <c r="H56" s="156" t="s">
        <v>478</v>
      </c>
      <c r="I56" s="157" t="s">
        <v>479</v>
      </c>
      <c r="J56" s="131"/>
      <c r="K56" s="132"/>
      <c r="L56" s="559" t="s">
        <v>392</v>
      </c>
      <c r="M56" s="555"/>
      <c r="N56" s="560" t="s">
        <v>482</v>
      </c>
      <c r="O56" s="556"/>
      <c r="P56" s="556"/>
      <c r="Q56" s="121"/>
      <c r="R56" s="113"/>
      <c r="S56" s="113"/>
      <c r="T56" s="113"/>
      <c r="U56" s="113"/>
      <c r="V56" s="113"/>
      <c r="W56" s="113"/>
      <c r="X56" s="113"/>
      <c r="Y56" s="113"/>
      <c r="Z56" s="113"/>
    </row>
    <row r="57" spans="2:26" ht="13.5">
      <c r="B57" s="548"/>
      <c r="C57" s="120"/>
      <c r="D57" s="559" t="s">
        <v>390</v>
      </c>
      <c r="E57" s="556"/>
      <c r="F57" s="555"/>
      <c r="G57" s="560" t="s">
        <v>482</v>
      </c>
      <c r="H57" s="556"/>
      <c r="I57" s="556"/>
      <c r="J57" s="131"/>
      <c r="K57" s="132"/>
      <c r="L57" s="159"/>
      <c r="M57" s="149"/>
      <c r="N57" s="149"/>
      <c r="O57" s="149"/>
      <c r="P57" s="149"/>
      <c r="Q57" s="121"/>
      <c r="R57" s="113"/>
      <c r="S57" s="113"/>
      <c r="T57" s="113"/>
      <c r="U57" s="113"/>
      <c r="V57" s="113"/>
      <c r="W57" s="113"/>
      <c r="X57" s="113"/>
      <c r="Y57" s="113"/>
      <c r="Z57" s="113"/>
    </row>
    <row r="58" spans="2:26" ht="13.5">
      <c r="B58" s="548"/>
      <c r="C58" s="120"/>
      <c r="D58" s="149"/>
      <c r="E58" s="149"/>
      <c r="F58" s="149"/>
      <c r="G58" s="149"/>
      <c r="H58" s="149"/>
      <c r="I58" s="149"/>
      <c r="J58" s="121"/>
      <c r="K58" s="122"/>
      <c r="L58" s="149"/>
      <c r="M58" s="149"/>
      <c r="N58" s="149"/>
      <c r="O58" s="149"/>
      <c r="P58" s="149"/>
      <c r="Q58" s="121"/>
      <c r="R58" s="113"/>
      <c r="S58" s="113"/>
      <c r="T58" s="113"/>
      <c r="U58" s="113"/>
      <c r="V58" s="113"/>
      <c r="W58" s="113"/>
      <c r="X58" s="113"/>
      <c r="Y58" s="113"/>
      <c r="Z58" s="113"/>
    </row>
    <row r="59" spans="2:26" ht="33.75" customHeight="1">
      <c r="B59" s="548"/>
      <c r="C59" s="120"/>
      <c r="D59" s="545" t="s">
        <v>483</v>
      </c>
      <c r="E59" s="546"/>
      <c r="F59" s="546"/>
      <c r="G59" s="546"/>
      <c r="H59" s="546"/>
      <c r="I59" s="546"/>
      <c r="J59" s="121"/>
      <c r="K59" s="122"/>
      <c r="L59" s="545" t="s">
        <v>484</v>
      </c>
      <c r="M59" s="545"/>
      <c r="N59" s="545"/>
      <c r="O59" s="545"/>
      <c r="P59" s="545"/>
      <c r="Q59" s="121"/>
      <c r="R59" s="113"/>
      <c r="S59" s="113"/>
      <c r="T59" s="113"/>
      <c r="U59" s="113"/>
      <c r="V59" s="113"/>
      <c r="W59" s="113"/>
      <c r="X59" s="113"/>
      <c r="Y59" s="113"/>
      <c r="Z59" s="113"/>
    </row>
    <row r="60" spans="2:26" ht="5.25" customHeight="1" thickBot="1">
      <c r="B60" s="549"/>
      <c r="C60" s="123"/>
      <c r="D60" s="124"/>
      <c r="E60" s="124"/>
      <c r="F60" s="124"/>
      <c r="G60" s="124"/>
      <c r="H60" s="124"/>
      <c r="I60" s="124"/>
      <c r="J60" s="125"/>
      <c r="K60" s="126"/>
      <c r="L60" s="124"/>
      <c r="M60" s="124"/>
      <c r="N60" s="124"/>
      <c r="O60" s="124"/>
      <c r="P60" s="124"/>
      <c r="Q60" s="125"/>
      <c r="R60" s="113"/>
      <c r="S60" s="113"/>
      <c r="T60" s="113"/>
      <c r="U60" s="113"/>
      <c r="V60" s="113"/>
      <c r="W60" s="113"/>
      <c r="X60" s="113"/>
      <c r="Y60" s="113"/>
      <c r="Z60" s="113"/>
    </row>
    <row r="61" spans="2:26" ht="5.25" customHeight="1">
      <c r="B61" s="550" t="s">
        <v>485</v>
      </c>
      <c r="C61" s="120"/>
      <c r="D61" s="149"/>
      <c r="E61" s="149"/>
      <c r="F61" s="149"/>
      <c r="G61" s="149"/>
      <c r="H61" s="149"/>
      <c r="I61" s="149"/>
      <c r="J61" s="149"/>
      <c r="K61" s="119"/>
      <c r="L61" s="117"/>
      <c r="M61" s="117"/>
      <c r="N61" s="117"/>
      <c r="O61" s="117"/>
      <c r="P61" s="117"/>
      <c r="Q61" s="118"/>
      <c r="R61" s="113"/>
      <c r="S61" s="113"/>
      <c r="T61" s="113"/>
      <c r="U61" s="113"/>
      <c r="V61" s="113"/>
      <c r="W61" s="113"/>
      <c r="X61" s="113"/>
      <c r="Y61" s="113"/>
      <c r="Z61" s="113"/>
    </row>
    <row r="62" spans="2:26" ht="13.5">
      <c r="B62" s="551"/>
      <c r="C62" s="120"/>
      <c r="D62" s="149"/>
      <c r="E62" s="149"/>
      <c r="F62" s="149"/>
      <c r="G62" s="149"/>
      <c r="H62" s="149"/>
      <c r="I62" s="149"/>
      <c r="J62" s="149"/>
      <c r="K62" s="122"/>
      <c r="L62" s="149" t="s">
        <v>486</v>
      </c>
      <c r="M62" s="149"/>
      <c r="N62" s="149"/>
      <c r="O62" s="149"/>
      <c r="P62" s="149"/>
      <c r="Q62" s="121"/>
      <c r="R62" s="113"/>
      <c r="S62" s="113"/>
      <c r="T62" s="113"/>
      <c r="U62" s="113"/>
      <c r="V62" s="113"/>
      <c r="W62" s="113"/>
      <c r="X62" s="113"/>
      <c r="Y62" s="113"/>
      <c r="Z62" s="113"/>
    </row>
    <row r="63" spans="2:26" ht="13.5">
      <c r="B63" s="551"/>
      <c r="C63" s="120"/>
      <c r="D63" s="149"/>
      <c r="E63" s="149"/>
      <c r="F63" s="149"/>
      <c r="G63" s="149"/>
      <c r="H63" s="149"/>
      <c r="I63" s="149"/>
      <c r="J63" s="149"/>
      <c r="K63" s="122"/>
      <c r="L63" s="149" t="s">
        <v>487</v>
      </c>
      <c r="M63" s="149"/>
      <c r="N63" s="149"/>
      <c r="O63" s="149"/>
      <c r="P63" s="149"/>
      <c r="Q63" s="121"/>
      <c r="R63" s="113"/>
      <c r="S63" s="113"/>
      <c r="T63" s="113"/>
      <c r="U63" s="113"/>
      <c r="V63" s="113"/>
      <c r="W63" s="113"/>
      <c r="X63" s="113"/>
      <c r="Y63" s="113"/>
      <c r="Z63" s="113"/>
    </row>
    <row r="64" spans="2:26" ht="13.5">
      <c r="B64" s="551"/>
      <c r="C64" s="120"/>
      <c r="D64" s="149"/>
      <c r="E64" s="149"/>
      <c r="F64" s="149"/>
      <c r="G64" s="149"/>
      <c r="H64" s="149"/>
      <c r="I64" s="149"/>
      <c r="J64" s="149"/>
      <c r="K64" s="122"/>
      <c r="L64" s="552" t="s">
        <v>369</v>
      </c>
      <c r="M64" s="554" t="s">
        <v>488</v>
      </c>
      <c r="N64" s="555"/>
      <c r="O64" s="554" t="s">
        <v>489</v>
      </c>
      <c r="P64" s="556"/>
      <c r="Q64" s="121"/>
      <c r="R64" s="113"/>
      <c r="S64" s="113"/>
      <c r="T64" s="113"/>
      <c r="U64" s="113"/>
      <c r="V64" s="113"/>
      <c r="W64" s="113"/>
      <c r="X64" s="113"/>
      <c r="Y64" s="113"/>
      <c r="Z64" s="113"/>
    </row>
    <row r="65" spans="2:26" ht="13.5">
      <c r="B65" s="551"/>
      <c r="C65" s="120"/>
      <c r="D65" s="149"/>
      <c r="E65" s="149"/>
      <c r="F65" s="149"/>
      <c r="G65" s="149"/>
      <c r="H65" s="149"/>
      <c r="I65" s="149"/>
      <c r="J65" s="149"/>
      <c r="K65" s="122"/>
      <c r="L65" s="553"/>
      <c r="M65" s="152" t="s">
        <v>0</v>
      </c>
      <c r="N65" s="152" t="s">
        <v>490</v>
      </c>
      <c r="O65" s="152" t="s">
        <v>0</v>
      </c>
      <c r="P65" s="160" t="s">
        <v>490</v>
      </c>
      <c r="Q65" s="121"/>
      <c r="R65" s="113"/>
      <c r="S65" s="113"/>
      <c r="T65" s="113"/>
      <c r="U65" s="113"/>
      <c r="V65" s="113"/>
      <c r="W65" s="113"/>
      <c r="X65" s="113"/>
      <c r="Y65" s="113"/>
      <c r="Z65" s="113"/>
    </row>
    <row r="66" spans="2:26" ht="13.5">
      <c r="B66" s="551"/>
      <c r="C66" s="120"/>
      <c r="D66" s="149"/>
      <c r="E66" s="149"/>
      <c r="F66" s="149"/>
      <c r="G66" s="149"/>
      <c r="H66" s="149"/>
      <c r="I66" s="149"/>
      <c r="J66" s="149"/>
      <c r="K66" s="122"/>
      <c r="L66" s="161" t="s">
        <v>199</v>
      </c>
      <c r="M66" s="162">
        <v>2</v>
      </c>
      <c r="N66" s="162">
        <v>2</v>
      </c>
      <c r="O66" s="162">
        <v>4</v>
      </c>
      <c r="P66" s="151">
        <v>0</v>
      </c>
      <c r="Q66" s="121"/>
      <c r="R66" s="113"/>
      <c r="S66" s="113"/>
      <c r="T66" s="113"/>
      <c r="U66" s="113"/>
      <c r="V66" s="113"/>
      <c r="W66" s="113"/>
      <c r="X66" s="113"/>
      <c r="Y66" s="113"/>
      <c r="Z66" s="113"/>
    </row>
    <row r="67" spans="2:26" ht="13.5">
      <c r="B67" s="551"/>
      <c r="C67" s="120"/>
      <c r="D67" s="149"/>
      <c r="E67" s="149"/>
      <c r="F67" s="149"/>
      <c r="G67" s="149"/>
      <c r="H67" s="149"/>
      <c r="I67" s="149"/>
      <c r="J67" s="149"/>
      <c r="K67" s="122"/>
      <c r="L67" s="161" t="s">
        <v>213</v>
      </c>
      <c r="M67" s="162">
        <v>2</v>
      </c>
      <c r="N67" s="162">
        <v>2</v>
      </c>
      <c r="O67" s="162">
        <v>0</v>
      </c>
      <c r="P67" s="151">
        <v>4</v>
      </c>
      <c r="Q67" s="121"/>
      <c r="R67" s="113"/>
      <c r="S67" s="113"/>
      <c r="T67" s="113"/>
      <c r="U67" s="113"/>
      <c r="V67" s="113"/>
      <c r="W67" s="113"/>
      <c r="X67" s="113"/>
      <c r="Y67" s="113"/>
      <c r="Z67" s="113"/>
    </row>
    <row r="68" spans="2:26" ht="13.5">
      <c r="B68" s="551"/>
      <c r="C68" s="120"/>
      <c r="D68" s="149"/>
      <c r="E68" s="149"/>
      <c r="F68" s="149"/>
      <c r="G68" s="149"/>
      <c r="H68" s="149"/>
      <c r="I68" s="149"/>
      <c r="J68" s="149"/>
      <c r="K68" s="122"/>
      <c r="L68" s="161" t="s">
        <v>202</v>
      </c>
      <c r="M68" s="162">
        <v>2</v>
      </c>
      <c r="N68" s="162">
        <v>2</v>
      </c>
      <c r="O68" s="162">
        <v>4</v>
      </c>
      <c r="P68" s="151">
        <v>0</v>
      </c>
      <c r="Q68" s="121"/>
      <c r="R68" s="113"/>
      <c r="S68" s="113"/>
      <c r="T68" s="113"/>
      <c r="U68" s="113"/>
      <c r="V68" s="113"/>
      <c r="W68" s="113"/>
      <c r="X68" s="113"/>
      <c r="Y68" s="113"/>
      <c r="Z68" s="113"/>
    </row>
    <row r="69" spans="2:26" ht="13.5">
      <c r="B69" s="551"/>
      <c r="C69" s="120"/>
      <c r="D69" s="149"/>
      <c r="E69" s="149"/>
      <c r="F69" s="149"/>
      <c r="G69" s="149"/>
      <c r="H69" s="149"/>
      <c r="I69" s="149"/>
      <c r="J69" s="149"/>
      <c r="K69" s="122"/>
      <c r="L69" s="149" t="s">
        <v>491</v>
      </c>
      <c r="M69" s="149"/>
      <c r="N69" s="149"/>
      <c r="O69" s="149"/>
      <c r="P69" s="149"/>
      <c r="Q69" s="121"/>
      <c r="R69" s="113"/>
      <c r="S69" s="113"/>
      <c r="T69" s="113"/>
      <c r="U69" s="113"/>
      <c r="V69" s="113"/>
      <c r="W69" s="113"/>
      <c r="X69" s="113"/>
      <c r="Y69" s="113"/>
      <c r="Z69" s="113"/>
    </row>
    <row r="70" spans="2:26" ht="13.5">
      <c r="B70" s="551"/>
      <c r="C70" s="120"/>
      <c r="D70" s="149"/>
      <c r="E70" s="149"/>
      <c r="F70" s="149"/>
      <c r="G70" s="149"/>
      <c r="H70" s="149"/>
      <c r="I70" s="149"/>
      <c r="J70" s="149"/>
      <c r="K70" s="122"/>
      <c r="L70" s="552" t="s">
        <v>369</v>
      </c>
      <c r="M70" s="554" t="s">
        <v>488</v>
      </c>
      <c r="N70" s="555"/>
      <c r="O70" s="554" t="s">
        <v>489</v>
      </c>
      <c r="P70" s="556"/>
      <c r="Q70" s="121"/>
      <c r="R70" s="113"/>
      <c r="S70" s="113"/>
      <c r="T70" s="113"/>
      <c r="U70" s="113"/>
      <c r="V70" s="113"/>
      <c r="W70" s="113"/>
      <c r="X70" s="113"/>
      <c r="Y70" s="113"/>
      <c r="Z70" s="113"/>
    </row>
    <row r="71" spans="2:26" ht="13.5">
      <c r="B71" s="551"/>
      <c r="C71" s="120"/>
      <c r="D71" s="149"/>
      <c r="E71" s="149"/>
      <c r="F71" s="149"/>
      <c r="G71" s="149"/>
      <c r="H71" s="149"/>
      <c r="I71" s="149"/>
      <c r="J71" s="149"/>
      <c r="K71" s="122"/>
      <c r="L71" s="553"/>
      <c r="M71" s="152" t="s">
        <v>0</v>
      </c>
      <c r="N71" s="152" t="s">
        <v>490</v>
      </c>
      <c r="O71" s="152" t="s">
        <v>0</v>
      </c>
      <c r="P71" s="160" t="s">
        <v>490</v>
      </c>
      <c r="Q71" s="121"/>
      <c r="R71" s="113"/>
      <c r="S71" s="113"/>
      <c r="T71" s="113"/>
      <c r="U71" s="113"/>
      <c r="V71" s="113"/>
      <c r="W71" s="113"/>
      <c r="X71" s="113"/>
      <c r="Y71" s="113"/>
      <c r="Z71" s="113"/>
    </row>
    <row r="72" spans="2:26" ht="13.5">
      <c r="B72" s="551"/>
      <c r="C72" s="120"/>
      <c r="D72" s="149"/>
      <c r="E72" s="149"/>
      <c r="F72" s="149"/>
      <c r="G72" s="149"/>
      <c r="H72" s="149"/>
      <c r="I72" s="149"/>
      <c r="J72" s="149"/>
      <c r="K72" s="122"/>
      <c r="L72" s="161" t="s">
        <v>455</v>
      </c>
      <c r="M72" s="162">
        <v>1</v>
      </c>
      <c r="N72" s="162">
        <v>1</v>
      </c>
      <c r="O72" s="162">
        <v>2</v>
      </c>
      <c r="P72" s="151">
        <v>0</v>
      </c>
      <c r="Q72" s="121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2:26" ht="13.5">
      <c r="B73" s="551"/>
      <c r="C73" s="120"/>
      <c r="D73" s="149"/>
      <c r="E73" s="149"/>
      <c r="F73" s="149"/>
      <c r="G73" s="149"/>
      <c r="H73" s="149"/>
      <c r="I73" s="149"/>
      <c r="J73" s="149"/>
      <c r="K73" s="122"/>
      <c r="L73" s="161" t="s">
        <v>459</v>
      </c>
      <c r="M73" s="162">
        <v>2</v>
      </c>
      <c r="N73" s="162">
        <v>2</v>
      </c>
      <c r="O73" s="162">
        <v>0</v>
      </c>
      <c r="P73" s="151">
        <v>4</v>
      </c>
      <c r="Q73" s="121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2:26" ht="13.5">
      <c r="B74" s="551"/>
      <c r="C74" s="120"/>
      <c r="D74" s="149"/>
      <c r="E74" s="149"/>
      <c r="F74" s="149"/>
      <c r="G74" s="149"/>
      <c r="H74" s="149"/>
      <c r="I74" s="149"/>
      <c r="J74" s="149"/>
      <c r="K74" s="122"/>
      <c r="L74" s="557" t="s">
        <v>492</v>
      </c>
      <c r="M74" s="543" t="s">
        <v>493</v>
      </c>
      <c r="N74" s="543" t="s">
        <v>493</v>
      </c>
      <c r="O74" s="163">
        <v>8</v>
      </c>
      <c r="P74" s="164">
        <v>0</v>
      </c>
      <c r="Q74" s="121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2:26" ht="13.5">
      <c r="B75" s="551"/>
      <c r="C75" s="120"/>
      <c r="D75" s="149"/>
      <c r="E75" s="149"/>
      <c r="F75" s="149"/>
      <c r="G75" s="149"/>
      <c r="H75" s="149"/>
      <c r="I75" s="149"/>
      <c r="J75" s="149"/>
      <c r="K75" s="122"/>
      <c r="L75" s="558"/>
      <c r="M75" s="544"/>
      <c r="N75" s="544"/>
      <c r="O75" s="163">
        <v>4</v>
      </c>
      <c r="P75" s="164">
        <v>4</v>
      </c>
      <c r="Q75" s="121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2:26" ht="33.75" customHeight="1">
      <c r="B76" s="551"/>
      <c r="C76" s="120"/>
      <c r="D76" s="149"/>
      <c r="E76" s="149"/>
      <c r="F76" s="149"/>
      <c r="G76" s="149"/>
      <c r="H76" s="149"/>
      <c r="I76" s="149"/>
      <c r="J76" s="149"/>
      <c r="K76" s="122"/>
      <c r="L76" s="545" t="s">
        <v>494</v>
      </c>
      <c r="M76" s="546"/>
      <c r="N76" s="546"/>
      <c r="O76" s="546"/>
      <c r="P76" s="546"/>
      <c r="Q76" s="121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2:26" ht="5.25" customHeight="1">
      <c r="B77" s="551"/>
      <c r="C77" s="165"/>
      <c r="D77" s="166"/>
      <c r="E77" s="166"/>
      <c r="F77" s="166"/>
      <c r="G77" s="166"/>
      <c r="H77" s="166"/>
      <c r="I77" s="166"/>
      <c r="J77" s="166"/>
      <c r="K77" s="167"/>
      <c r="L77" s="166"/>
      <c r="M77" s="166"/>
      <c r="N77" s="166"/>
      <c r="O77" s="166"/>
      <c r="P77" s="166"/>
      <c r="Q77" s="168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2:26" ht="5.25" customHeight="1">
      <c r="B78" s="547" t="s">
        <v>495</v>
      </c>
      <c r="C78" s="169"/>
      <c r="D78" s="170"/>
      <c r="E78" s="170"/>
      <c r="F78" s="170"/>
      <c r="G78" s="170"/>
      <c r="H78" s="170"/>
      <c r="I78" s="170"/>
      <c r="J78" s="170"/>
      <c r="K78" s="171"/>
      <c r="L78" s="170"/>
      <c r="M78" s="170"/>
      <c r="N78" s="170"/>
      <c r="O78" s="170"/>
      <c r="P78" s="170"/>
      <c r="Q78" s="172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2:26" ht="13.5">
      <c r="B79" s="548"/>
      <c r="C79" s="120"/>
      <c r="D79" s="149" t="s">
        <v>496</v>
      </c>
      <c r="E79" s="149"/>
      <c r="F79" s="149"/>
      <c r="G79" s="149"/>
      <c r="H79" s="149"/>
      <c r="I79" s="149"/>
      <c r="J79" s="149"/>
      <c r="K79" s="122"/>
      <c r="L79" s="149" t="s">
        <v>497</v>
      </c>
      <c r="M79" s="149"/>
      <c r="N79" s="149"/>
      <c r="O79" s="149"/>
      <c r="P79" s="149"/>
      <c r="Q79" s="121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2:26" ht="13.5">
      <c r="B80" s="548"/>
      <c r="C80" s="120"/>
      <c r="D80" s="149"/>
      <c r="E80" s="149"/>
      <c r="F80" s="149"/>
      <c r="G80" s="149"/>
      <c r="H80" s="149"/>
      <c r="I80" s="149"/>
      <c r="J80" s="149"/>
      <c r="K80" s="122"/>
      <c r="L80" s="149" t="s">
        <v>498</v>
      </c>
      <c r="M80" s="149"/>
      <c r="N80" s="149"/>
      <c r="O80" s="149"/>
      <c r="P80" s="149"/>
      <c r="Q80" s="121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2:26" ht="5.25" customHeight="1" thickBot="1">
      <c r="B81" s="549"/>
      <c r="C81" s="123"/>
      <c r="D81" s="124"/>
      <c r="E81" s="124"/>
      <c r="F81" s="124"/>
      <c r="G81" s="124"/>
      <c r="H81" s="124"/>
      <c r="I81" s="124"/>
      <c r="J81" s="124"/>
      <c r="K81" s="126"/>
      <c r="L81" s="124"/>
      <c r="M81" s="124"/>
      <c r="N81" s="124"/>
      <c r="O81" s="124"/>
      <c r="P81" s="124"/>
      <c r="Q81" s="125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2:26" ht="4.5" customHeight="1"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2:26" ht="13.5" hidden="1"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2:26" ht="13.5" hidden="1"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spans="2:26" ht="13.5" hidden="1"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spans="2:26" ht="13.5" hidden="1"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spans="2:26" ht="13.5" hidden="1"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spans="2:26" ht="13.5" hidden="1"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spans="2:26" ht="13.5" hidden="1"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spans="2:26" ht="13.5" hidden="1"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spans="2:26" ht="13.5" hidden="1"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spans="2:26" ht="13.5" hidden="1"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spans="2:26" ht="13.5" hidden="1"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spans="2:26" ht="13.5" hidden="1"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spans="2:26" ht="13.5" hidden="1"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spans="2:26" ht="13.5" hidden="1"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spans="2:26" ht="13.5" hidden="1"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spans="2:26" ht="13.5" hidden="1"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spans="2:26" ht="13.5" hidden="1"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2:26" ht="13.5" hidden="1"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spans="2:26" ht="13.5" hidden="1"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spans="2:26" ht="13.5" hidden="1"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spans="2:26" ht="13.5" hidden="1"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spans="2:26" ht="13.5" hidden="1"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spans="2:26" ht="13.5" hidden="1"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spans="2:26" ht="13.5" hidden="1"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spans="2:26" ht="13.5" hidden="1"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spans="2:26" ht="13.5" hidden="1"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spans="2:26" ht="13.5" hidden="1"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spans="2:26" ht="13.5" hidden="1"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spans="2:26" ht="13.5" hidden="1"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spans="2:26" ht="13.5" hidden="1"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spans="2:26" ht="13.5" hidden="1"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spans="2:26" ht="13.5" hidden="1"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spans="2:26" ht="13.5" hidden="1"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spans="2:26" ht="13.5" hidden="1"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spans="2:26" ht="13.5" hidden="1"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spans="2:26" ht="13.5" hidden="1"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spans="2:26" ht="13.5" hidden="1"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spans="2:26" ht="13.5" hidden="1"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spans="2:26" ht="13.5" hidden="1"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spans="2:26" ht="13.5" hidden="1"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spans="2:26" ht="13.5" hidden="1"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spans="2:26" ht="13.5" hidden="1"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spans="2:26" ht="13.5" hidden="1"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spans="2:26" ht="13.5" hidden="1"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spans="2:26" ht="13.5" hidden="1"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spans="2:26" ht="13.5" hidden="1"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spans="2:26" ht="13.5" hidden="1"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spans="2:26" ht="13.5" hidden="1"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spans="2:26" ht="13.5" hidden="1"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spans="2:26" ht="13.5" hidden="1"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spans="2:26" ht="13.5" hidden="1"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spans="2:26" ht="13.5" hidden="1"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spans="2:26" ht="13.5" hidden="1"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spans="2:26" ht="13.5" hidden="1"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spans="2:26" ht="13.5" hidden="1"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spans="2:26" ht="13.5" hidden="1"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spans="2:26" ht="13.5" hidden="1"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spans="2:26" ht="13.5" hidden="1"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spans="2:26" ht="13.5" hidden="1"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spans="2:26" ht="13.5" hidden="1"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spans="2:26" ht="13.5" hidden="1"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spans="2:26" ht="13.5" hidden="1"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spans="2:26" ht="13.5" hidden="1"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spans="2:26" ht="13.5" hidden="1"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spans="2:26" ht="13.5" hidden="1"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spans="2:26" ht="13.5" hidden="1"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spans="2:26" ht="13.5" hidden="1"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spans="2:26" ht="13.5" hidden="1"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spans="2:26" ht="13.5" hidden="1"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spans="2:26" ht="13.5" hidden="1"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spans="2:26" ht="13.5" hidden="1"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spans="2:26" ht="13.5" hidden="1"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spans="2:26" ht="13.5" hidden="1"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spans="2:26" ht="13.5" hidden="1"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spans="2:26" ht="13.5" hidden="1"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spans="2:26" ht="13.5" hidden="1"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spans="2:26" ht="13.5" hidden="1"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spans="2:26" ht="13.5" hidden="1"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spans="2:26" ht="13.5" hidden="1"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spans="2:26" ht="13.5" hidden="1"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spans="2:26" ht="13.5" hidden="1"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spans="2:26" ht="13.5" hidden="1"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spans="2:26" ht="13.5" hidden="1"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spans="2:26" ht="13.5" hidden="1"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spans="2:26" ht="13.5" hidden="1"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spans="2:26" ht="13.5" hidden="1"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spans="2:26" ht="13.5" hidden="1"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spans="2:26" ht="13.5" hidden="1"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spans="2:26" ht="13.5" hidden="1"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spans="2:26" ht="13.5" hidden="1"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spans="2:26" ht="13.5" hidden="1"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spans="2:26" ht="13.5" hidden="1"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spans="2:26" ht="13.5" hidden="1"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spans="2:26" ht="13.5" hidden="1"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spans="2:26" ht="13.5" hidden="1"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spans="2:26" ht="13.5" hidden="1"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spans="2:26" ht="13.5" hidden="1"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spans="2:26" ht="13.5" hidden="1"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spans="2:26" ht="13.5" hidden="1"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spans="2:26" ht="13.5" hidden="1"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spans="2:26" ht="13.5" hidden="1"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spans="2:26" ht="13.5" hidden="1"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spans="2:26" ht="13.5" hidden="1"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spans="2:26" ht="13.5" hidden="1"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spans="2:26" ht="13.5" hidden="1"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spans="2:26" ht="13.5" hidden="1"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spans="2:26" ht="13.5" hidden="1"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spans="2:26" ht="13.5" hidden="1"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spans="2:26" ht="13.5" hidden="1"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spans="2:26" ht="13.5" hidden="1"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spans="2:26" ht="13.5" hidden="1"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spans="2:26" ht="13.5" hidden="1"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spans="2:26" ht="13.5" hidden="1"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spans="2:26" ht="13.5" hidden="1"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spans="2:26" ht="13.5" hidden="1"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spans="2:26" ht="13.5" hidden="1"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spans="2:26" ht="13.5" hidden="1"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spans="2:26" ht="13.5" hidden="1"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spans="2:26" ht="13.5" hidden="1"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spans="2:26" ht="13.5" hidden="1"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spans="2:26" ht="13.5" hidden="1"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spans="2:26" ht="13.5" hidden="1"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spans="2:26" ht="13.5" hidden="1"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spans="2:26" ht="13.5" hidden="1"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spans="2:26" ht="13.5" hidden="1"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spans="2:26" ht="13.5" hidden="1"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spans="2:26" ht="13.5" hidden="1"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spans="2:26" ht="13.5" hidden="1"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spans="2:26" ht="13.5" hidden="1"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spans="2:26" ht="13.5" hidden="1"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spans="2:26" ht="13.5" hidden="1"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spans="2:26" ht="13.5" hidden="1"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spans="2:26" ht="13.5" hidden="1"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spans="2:26" ht="13.5" hidden="1"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spans="2:26" ht="13.5" hidden="1"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spans="2:26" ht="13.5" hidden="1"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spans="2:26" ht="13.5" hidden="1"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spans="2:26" ht="13.5" hidden="1"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spans="2:26" ht="13.5" hidden="1"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spans="2:26" ht="13.5" hidden="1"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spans="2:26" ht="13.5" hidden="1"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spans="2:26" ht="13.5" hidden="1"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spans="2:26" ht="13.5" hidden="1"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spans="2:26" ht="13.5" hidden="1"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spans="2:26" ht="13.5" hidden="1"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spans="2:26" ht="13.5" hidden="1"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spans="2:26" ht="13.5" hidden="1"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spans="2:26" ht="13.5" hidden="1"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spans="2:26" ht="13.5" hidden="1"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spans="2:26" ht="13.5" hidden="1"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spans="2:26" ht="13.5" hidden="1"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spans="2:26" ht="13.5" hidden="1"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spans="2:26" ht="13.5" hidden="1"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spans="2:26" ht="13.5" hidden="1"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spans="2:26" ht="13.5" hidden="1"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spans="2:26" ht="13.5" hidden="1"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spans="2:26" ht="13.5" hidden="1"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spans="2:26" ht="13.5" hidden="1"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spans="2:26" ht="13.5" hidden="1"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spans="2:26" ht="13.5" hidden="1"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spans="2:26" ht="13.5" hidden="1"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spans="2:26" ht="13.5" hidden="1"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spans="2:26" ht="13.5" hidden="1"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spans="2:26" ht="13.5" hidden="1"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spans="2:26" ht="13.5" hidden="1"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spans="2:26" ht="13.5" hidden="1"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spans="2:26" ht="13.5" hidden="1"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spans="2:26" ht="13.5" hidden="1"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spans="2:26" ht="13.5" hidden="1"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spans="2:26" ht="13.5" hidden="1"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spans="2:26" ht="13.5" hidden="1"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spans="2:26" ht="13.5" hidden="1"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spans="2:26" ht="13.5" hidden="1"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spans="2:26" ht="13.5" hidden="1"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spans="2:26" ht="13.5" hidden="1"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spans="2:26" ht="13.5" hidden="1"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spans="2:26" ht="13.5" hidden="1"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spans="2:26" ht="13.5" hidden="1"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spans="2:26" ht="13.5" hidden="1"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spans="2:26" ht="13.5" hidden="1"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spans="2:26" ht="13.5" hidden="1"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spans="2:26" ht="13.5" hidden="1"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spans="2:26" ht="13.5" hidden="1"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spans="2:26" ht="13.5" hidden="1"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spans="2:26" ht="13.5" hidden="1"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spans="2:26" ht="13.5" hidden="1"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spans="2:26" ht="13.5" hidden="1"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spans="2:26" ht="13.5" hidden="1"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spans="2:26" ht="13.5" hidden="1"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spans="2:26" ht="13.5" hidden="1"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spans="2:26" ht="13.5" hidden="1"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spans="2:26" ht="13.5" hidden="1"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spans="2:26" ht="13.5" hidden="1"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spans="2:26" ht="13.5" hidden="1"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spans="2:26" ht="13.5" hidden="1"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spans="2:26" ht="13.5" hidden="1"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spans="2:26" ht="13.5" hidden="1"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spans="2:26" ht="13.5" hidden="1"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spans="2:26" ht="13.5" hidden="1"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spans="2:26" ht="13.5" hidden="1"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spans="2:26" ht="13.5" hidden="1"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spans="2:26" ht="13.5" hidden="1"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spans="2:26" ht="13.5" hidden="1"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spans="2:26" ht="13.5" hidden="1"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spans="2:26" ht="13.5" hidden="1"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spans="2:26" ht="13.5" hidden="1"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spans="2:26" ht="13.5" hidden="1"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spans="2:26" ht="13.5" hidden="1"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spans="2:26" ht="13.5" hidden="1"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spans="2:26" ht="13.5" hidden="1"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spans="2:26" ht="13.5" hidden="1"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spans="2:26" ht="13.5" hidden="1"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spans="2:26" ht="13.5" hidden="1"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spans="2:26" ht="13.5" hidden="1"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spans="2:26" ht="13.5" hidden="1"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spans="2:26" ht="13.5" hidden="1"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spans="2:26" ht="13.5" hidden="1"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spans="2:26" ht="13.5" hidden="1"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spans="2:26" ht="13.5" hidden="1"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spans="2:26" ht="13.5" hidden="1"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spans="2:26" ht="13.5" hidden="1"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spans="2:26" ht="13.5" hidden="1"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spans="2:26" ht="13.5" hidden="1"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spans="2:26" ht="13.5" hidden="1"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spans="2:26" ht="13.5" hidden="1"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spans="2:26" ht="13.5" hidden="1"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spans="2:26" ht="13.5" hidden="1"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spans="2:26" ht="13.5" hidden="1"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spans="2:26" ht="13.5" hidden="1"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spans="2:26" ht="13.5" hidden="1"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spans="2:26" ht="13.5" hidden="1"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spans="2:26" ht="13.5" hidden="1"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spans="2:26" ht="13.5" hidden="1"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spans="2:26" ht="13.5" hidden="1"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spans="2:26" ht="13.5" hidden="1"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spans="2:26" ht="13.5" hidden="1"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spans="2:26" ht="13.5" hidden="1"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spans="2:26" ht="13.5" hidden="1"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spans="2:26" ht="13.5" hidden="1"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spans="2:26" ht="13.5" hidden="1"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spans="2:26" ht="13.5" hidden="1"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spans="2:26" ht="13.5" hidden="1"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spans="2:26" ht="13.5" hidden="1"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spans="2:26" ht="13.5" hidden="1"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spans="2:26" ht="13.5" hidden="1"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spans="2:26" ht="13.5" hidden="1"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spans="2:26" ht="13.5" hidden="1"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spans="2:26" ht="13.5" hidden="1"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spans="2:26" ht="13.5" hidden="1"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spans="2:26" ht="13.5" hidden="1"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spans="2:26" ht="13.5" hidden="1"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spans="2:26" ht="13.5" hidden="1"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spans="2:26" ht="13.5" hidden="1"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spans="2:26" ht="13.5" hidden="1"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spans="2:26" ht="13.5" hidden="1"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spans="2:26" ht="13.5" hidden="1"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spans="2:26" ht="13.5" hidden="1"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spans="2:26" ht="13.5" hidden="1"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spans="2:26" ht="13.5" hidden="1"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spans="2:26" ht="13.5" hidden="1"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spans="2:26" ht="13.5" hidden="1"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spans="2:26" ht="13.5" hidden="1"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spans="2:26" ht="13.5" hidden="1"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spans="2:26" ht="13.5" hidden="1"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spans="2:26" ht="13.5" hidden="1"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spans="2:26" ht="13.5" hidden="1"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spans="2:26" ht="13.5" hidden="1"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spans="2:26" ht="13.5" hidden="1"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spans="2:26" ht="13.5" hidden="1"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spans="2:26" ht="13.5" hidden="1"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spans="2:26" ht="13.5" hidden="1"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spans="2:26" ht="13.5" hidden="1"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spans="2:26" ht="13.5" hidden="1"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spans="2:26" ht="13.5" hidden="1"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spans="2:26" ht="13.5" hidden="1"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spans="2:26" ht="13.5" hidden="1"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spans="2:26" ht="13.5" hidden="1"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spans="2:26" ht="13.5" hidden="1"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spans="2:26" ht="13.5" hidden="1"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spans="2:26" ht="13.5" hidden="1"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spans="2:26" ht="13.5" hidden="1"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spans="2:26" ht="13.5" hidden="1"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spans="2:26" ht="13.5" hidden="1"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spans="2:26" ht="13.5" hidden="1"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spans="2:26" ht="13.5" hidden="1"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spans="2:26" ht="13.5" hidden="1"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spans="2:26" ht="13.5" hidden="1"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spans="2:26" ht="13.5" hidden="1"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spans="2:26" ht="13.5" hidden="1"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spans="2:26" ht="13.5" hidden="1"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spans="2:26" ht="13.5" hidden="1"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spans="2:26" ht="13.5" hidden="1"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spans="2:26" ht="13.5" hidden="1"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spans="2:26" ht="13.5" hidden="1"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spans="2:26" ht="13.5" hidden="1"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spans="2:26" ht="13.5" hidden="1"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spans="2:26" ht="13.5" hidden="1"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spans="2:26" ht="13.5" hidden="1"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spans="2:26" ht="13.5" hidden="1"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spans="2:26" ht="13.5" hidden="1"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spans="2:26" ht="13.5" hidden="1"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spans="2:26" ht="13.5" hidden="1"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spans="2:26" ht="13.5" hidden="1"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spans="2:26" ht="13.5" hidden="1"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spans="2:26" ht="13.5" hidden="1"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spans="2:26" ht="13.5" hidden="1"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spans="2:26" ht="13.5" hidden="1"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spans="2:26" ht="13.5" hidden="1"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spans="2:26" ht="13.5" hidden="1"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spans="2:26" ht="13.5" hidden="1"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spans="2:26" ht="13.5" hidden="1"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spans="2:26" ht="13.5" hidden="1"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spans="2:26" ht="13.5" hidden="1"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spans="2:26" ht="13.5" hidden="1"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spans="2:26" ht="13.5" hidden="1"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spans="2:26" ht="13.5" hidden="1"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spans="2:26" ht="13.5" hidden="1"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spans="2:26" ht="13.5" hidden="1"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spans="2:26" ht="13.5" hidden="1"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spans="2:26" ht="13.5" hidden="1"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spans="2:26" ht="13.5" hidden="1"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spans="2:26" ht="13.5" hidden="1"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spans="2:26" ht="13.5" hidden="1"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spans="2:26" ht="13.5" hidden="1"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spans="2:26" ht="13.5" hidden="1"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spans="2:26" ht="13.5" hidden="1"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spans="2:26" ht="13.5" hidden="1"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spans="2:26" ht="13.5" hidden="1"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spans="2:26" ht="13.5" hidden="1"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spans="2:26" ht="13.5" hidden="1"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spans="2:26" ht="13.5" hidden="1"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spans="2:26" ht="13.5" hidden="1"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spans="2:26" ht="13.5" hidden="1"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spans="2:26" ht="13.5" hidden="1"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spans="2:26" ht="13.5" hidden="1"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spans="2:26" ht="13.5" hidden="1"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spans="2:26" ht="13.5" hidden="1"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spans="2:26" ht="13.5" hidden="1"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spans="2:26" ht="13.5" hidden="1"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spans="2:26" ht="13.5" hidden="1"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spans="2:26" ht="13.5" hidden="1"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spans="2:26" ht="13.5" hidden="1"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spans="2:26" ht="13.5" hidden="1"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spans="2:26" ht="13.5" hidden="1"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spans="2:26" ht="13.5" hidden="1"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spans="2:26" ht="13.5" hidden="1"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spans="2:26" ht="13.5" hidden="1"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spans="2:26" ht="13.5" hidden="1"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spans="2:26" ht="13.5" hidden="1"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spans="2:26" ht="13.5" hidden="1"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spans="2:26" ht="13.5" hidden="1"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spans="2:26" ht="13.5" hidden="1"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spans="2:26" ht="13.5" hidden="1"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spans="2:26" ht="13.5" hidden="1"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spans="2:26" ht="13.5" hidden="1"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spans="2:26" ht="13.5" hidden="1"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spans="2:26" ht="13.5" hidden="1"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spans="2:26" ht="13.5" hidden="1"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spans="2:26" ht="13.5" hidden="1"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spans="2:26" ht="13.5" hidden="1"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spans="2:26" ht="13.5" hidden="1"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spans="2:26" ht="13.5" hidden="1"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spans="2:26" ht="13.5" hidden="1"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spans="2:26" ht="13.5" hidden="1"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spans="2:26" ht="13.5" hidden="1"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spans="2:26" ht="13.5" hidden="1"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spans="2:26" ht="13.5" hidden="1"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spans="2:26" ht="13.5" hidden="1"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spans="2:26" ht="13.5" hidden="1"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spans="2:26" ht="13.5" hidden="1"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spans="2:26" ht="13.5" hidden="1"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spans="2:26" ht="13.5" hidden="1"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spans="2:26" ht="13.5" hidden="1"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spans="2:26" ht="13.5" hidden="1"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spans="2:26" ht="13.5" hidden="1"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spans="2:26" ht="13.5" hidden="1"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spans="2:26" ht="13.5" hidden="1"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spans="2:26" ht="13.5" hidden="1"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spans="2:26" ht="13.5" hidden="1"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spans="2:26" ht="13.5" hidden="1"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spans="2:26" ht="13.5" hidden="1"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spans="2:26" ht="13.5" hidden="1"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spans="2:26" ht="13.5" hidden="1"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spans="2:26" ht="13.5" hidden="1"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spans="2:26" ht="13.5" hidden="1"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spans="2:26" ht="13.5" hidden="1"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spans="2:26" ht="13.5" hidden="1"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spans="2:26" ht="13.5" hidden="1"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spans="2:26" ht="13.5" hidden="1"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spans="2:26" ht="13.5" hidden="1"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spans="2:26" ht="13.5" hidden="1"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spans="2:26" ht="13.5" hidden="1"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spans="2:26" ht="13.5" hidden="1"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spans="2:26" ht="13.5" hidden="1"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spans="2:26" ht="13.5" hidden="1"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spans="2:26" ht="13.5" hidden="1"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spans="2:26" ht="13.5" hidden="1"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spans="2:26" ht="13.5" hidden="1"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spans="2:26" ht="13.5" hidden="1"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spans="2:26" ht="13.5" hidden="1"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spans="2:26" ht="13.5" hidden="1"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spans="2:26" ht="13.5" hidden="1"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spans="2:26" ht="13.5" hidden="1"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spans="2:26" ht="13.5" hidden="1"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spans="2:26" ht="13.5" hidden="1"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spans="2:26" ht="13.5" hidden="1"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spans="2:26" ht="13.5" hidden="1"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spans="2:26" ht="13.5" hidden="1"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spans="2:26" ht="13.5" hidden="1"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spans="2:26" ht="13.5" hidden="1"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spans="2:26" ht="13.5" hidden="1"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spans="2:26" ht="13.5" hidden="1"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spans="2:26" ht="13.5" hidden="1"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spans="2:26" ht="13.5" hidden="1"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spans="2:26" ht="13.5" hidden="1"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spans="2:26" ht="13.5" hidden="1"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spans="2:26" ht="13.5" hidden="1"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spans="2:26" ht="13.5" hidden="1"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spans="2:26" ht="13.5" hidden="1"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spans="2:26" ht="13.5" hidden="1"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spans="2:26" ht="13.5" hidden="1"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spans="2:26" ht="13.5" hidden="1"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spans="2:26" ht="13.5" hidden="1"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spans="2:26" ht="13.5" hidden="1"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spans="2:26" ht="13.5" hidden="1"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spans="2:26" ht="13.5" hidden="1"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spans="2:26" ht="13.5" hidden="1"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spans="2:26" ht="13.5" hidden="1"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spans="2:26" ht="13.5" hidden="1"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spans="2:26" ht="13.5" hidden="1"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spans="2:26" ht="13.5" hidden="1"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spans="2:26" ht="13.5" hidden="1"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spans="2:26" ht="13.5" hidden="1"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spans="2:26" ht="13.5" hidden="1"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spans="2:26" ht="13.5" hidden="1"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spans="2:26" ht="13.5" hidden="1"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spans="2:26" ht="13.5" hidden="1"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spans="2:26" ht="13.5" hidden="1"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spans="2:26" ht="13.5" hidden="1"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spans="2:26" ht="13.5" hidden="1"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spans="2:26" ht="13.5" hidden="1"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spans="2:26" ht="13.5" hidden="1"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spans="2:26" ht="13.5" hidden="1"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spans="2:26" ht="13.5" hidden="1"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spans="2:26" ht="13.5" hidden="1"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spans="2:26" ht="13.5" hidden="1"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spans="2:26" ht="13.5" hidden="1"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spans="2:26" ht="13.5" hidden="1"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spans="2:26" ht="13.5" hidden="1"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spans="2:26" ht="13.5" hidden="1"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spans="2:26" ht="13.5" hidden="1"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spans="2:26" ht="13.5" hidden="1"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spans="2:26" ht="13.5" hidden="1"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spans="2:26" ht="13.5" hidden="1"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spans="2:26" ht="13.5" hidden="1"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spans="2:26" ht="13.5" hidden="1"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spans="2:26" ht="13.5" hidden="1"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spans="2:26" ht="13.5" hidden="1"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spans="2:26" ht="13.5" hidden="1"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spans="2:26" ht="13.5" hidden="1"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spans="2:26" ht="13.5" hidden="1"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spans="2:26" ht="13.5" hidden="1"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spans="2:26" ht="13.5" hidden="1"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spans="2:26" ht="13.5" hidden="1"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spans="2:26" ht="13.5" hidden="1"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spans="2:26" ht="13.5" hidden="1"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spans="2:26" ht="13.5" hidden="1"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spans="2:26" ht="13.5" hidden="1"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spans="2:26" ht="13.5" hidden="1"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spans="2:26" ht="13.5" hidden="1"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spans="2:26" ht="13.5" hidden="1"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spans="2:26" ht="13.5" hidden="1"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spans="2:26" ht="13.5" hidden="1"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spans="2:26" ht="13.5" hidden="1"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spans="2:26" ht="13.5" hidden="1"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spans="2:26" ht="13.5" hidden="1"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spans="2:26" ht="13.5" hidden="1"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spans="2:26" ht="13.5" hidden="1"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spans="2:26" ht="13.5" hidden="1"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spans="2:26" ht="13.5" hidden="1"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spans="2:26" ht="13.5" hidden="1"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spans="2:26" ht="13.5" hidden="1"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spans="2:26" ht="13.5" hidden="1"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spans="2:26" ht="13.5" hidden="1"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spans="2:26" ht="13.5" hidden="1"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spans="2:26" ht="13.5" hidden="1"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spans="2:26" ht="13.5" hidden="1"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spans="2:26" ht="13.5" hidden="1"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spans="2:26" ht="13.5" hidden="1"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spans="2:26" ht="13.5" hidden="1"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spans="2:26" ht="13.5" hidden="1"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spans="2:26" ht="13.5" hidden="1"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spans="2:26" ht="13.5" hidden="1"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spans="2:26" ht="13.5" hidden="1"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spans="2:26" ht="13.5" hidden="1"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spans="2:26" ht="13.5" hidden="1"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spans="2:26" ht="13.5" hidden="1"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spans="2:26" ht="13.5" hidden="1"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spans="2:26" ht="13.5" hidden="1"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spans="2:26" ht="13.5" hidden="1"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spans="2:26" ht="13.5" hidden="1"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spans="2:26" ht="13.5" hidden="1"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spans="2:26" ht="13.5" hidden="1"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spans="2:26" ht="13.5" hidden="1"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spans="2:26" ht="13.5" hidden="1"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spans="2:26" ht="13.5" hidden="1"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spans="2:26" ht="13.5" hidden="1"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spans="2:26" ht="13.5" hidden="1"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spans="2:26" ht="13.5" hidden="1"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spans="2:26" ht="13.5" hidden="1"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spans="2:26" ht="13.5" hidden="1"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spans="2:26" ht="13.5" hidden="1"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spans="2:26" ht="13.5" hidden="1"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spans="2:26" ht="13.5" hidden="1"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spans="2:26" ht="13.5" hidden="1"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spans="2:26" ht="13.5" hidden="1"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spans="2:26" ht="13.5" hidden="1"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spans="2:26" ht="13.5" hidden="1"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spans="2:26" ht="13.5" hidden="1"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spans="2:26" ht="13.5" hidden="1"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spans="2:26" ht="13.5" hidden="1"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spans="2:26" ht="13.5" hidden="1"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spans="2:26" ht="13.5" hidden="1"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spans="2:26" ht="13.5" hidden="1"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spans="2:26" ht="13.5" hidden="1"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spans="2:26" ht="13.5" hidden="1"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spans="2:26" ht="13.5" hidden="1"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spans="2:26" ht="13.5" hidden="1"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spans="2:26" ht="13.5" hidden="1"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spans="2:26" ht="13.5" hidden="1"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spans="2:26" ht="13.5" hidden="1"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spans="2:26" ht="13.5" hidden="1"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spans="2:26" ht="13.5" hidden="1"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spans="2:26" ht="13.5" hidden="1"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spans="2:26" ht="13.5" hidden="1"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spans="2:26" ht="13.5" hidden="1"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spans="2:26" ht="13.5" hidden="1"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spans="2:26" ht="13.5" hidden="1"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spans="2:26" ht="13.5" hidden="1"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spans="2:26" ht="13.5" hidden="1"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spans="2:26" ht="13.5" hidden="1"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spans="2:26" ht="13.5" hidden="1"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spans="2:26" ht="13.5" hidden="1"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spans="2:26" ht="13.5" hidden="1"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spans="2:26" ht="13.5" hidden="1"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spans="2:26" ht="13.5" hidden="1"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spans="2:26" ht="13.5" hidden="1"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spans="2:26" ht="13.5" hidden="1"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spans="2:26" ht="13.5" hidden="1"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spans="2:26" ht="13.5" hidden="1"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spans="2:26" ht="13.5" hidden="1"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spans="2:26" ht="13.5" hidden="1"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spans="2:26" ht="13.5" hidden="1"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spans="2:26" ht="13.5" hidden="1"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spans="2:26" ht="13.5" hidden="1"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spans="2:26" ht="13.5" hidden="1"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spans="2:26" ht="13.5" hidden="1"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spans="2:26" ht="13.5" hidden="1"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spans="2:26" ht="13.5" hidden="1"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spans="2:26" ht="13.5" hidden="1"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spans="2:26" ht="13.5" hidden="1"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spans="2:26" ht="13.5" hidden="1"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spans="2:26" ht="13.5" hidden="1"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spans="2:26" ht="13.5" hidden="1"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spans="2:26" ht="13.5" hidden="1"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spans="2:26" ht="13.5" hidden="1"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spans="2:26" ht="13.5" hidden="1"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spans="2:26" ht="13.5" hidden="1"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spans="2:26" ht="13.5" hidden="1"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spans="2:26" ht="13.5" hidden="1"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spans="2:26" ht="13.5" hidden="1"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spans="2:26" ht="13.5" hidden="1"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spans="2:26" ht="13.5" hidden="1"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spans="2:26" ht="13.5" hidden="1"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spans="2:26" ht="13.5" hidden="1"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spans="2:26" ht="13.5" hidden="1"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spans="2:26" ht="13.5" hidden="1"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spans="2:26" ht="13.5" hidden="1"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spans="2:26" ht="13.5" hidden="1"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spans="2:26" ht="13.5" hidden="1"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spans="2:26" ht="13.5" hidden="1"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spans="2:26" ht="13.5" hidden="1"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spans="2:26" ht="13.5" hidden="1"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spans="2:26" ht="13.5" hidden="1"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spans="2:26" ht="13.5" hidden="1"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spans="2:26" ht="13.5" hidden="1"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spans="2:26" ht="13.5" hidden="1"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spans="2:26" ht="13.5" hidden="1"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spans="2:26" ht="13.5" hidden="1"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spans="2:26" ht="13.5" hidden="1"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spans="2:26" ht="13.5" hidden="1"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spans="2:26" ht="13.5" hidden="1"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spans="2:26" ht="13.5" hidden="1"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spans="2:26" ht="13.5" hidden="1"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spans="2:26" ht="13.5" hidden="1"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spans="2:26" ht="13.5" hidden="1"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spans="2:26" ht="13.5" hidden="1"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spans="2:26" ht="13.5" hidden="1"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spans="2:26" ht="13.5" hidden="1"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spans="2:26" ht="13.5" hidden="1"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spans="2:26" ht="13.5" hidden="1"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spans="2:26" ht="13.5" hidden="1"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spans="2:26" ht="13.5" hidden="1"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spans="2:26" ht="13.5" hidden="1"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spans="2:26" ht="13.5" hidden="1"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spans="2:26" ht="13.5" hidden="1"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spans="2:26" ht="13.5" hidden="1"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spans="2:26" ht="13.5" hidden="1"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spans="2:26" ht="13.5" hidden="1"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spans="2:26" ht="13.5" hidden="1"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spans="2:26" ht="13.5" hidden="1"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spans="2:26" ht="13.5" hidden="1"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spans="2:26" ht="13.5" hidden="1"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spans="2:26" ht="13.5" hidden="1"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spans="2:26" ht="13.5" hidden="1"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spans="2:26" ht="13.5" hidden="1"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spans="2:26" ht="13.5" hidden="1"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spans="2:26" ht="13.5" hidden="1"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spans="2:26" ht="13.5" hidden="1"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spans="2:26" ht="13.5" hidden="1"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spans="2:26" ht="13.5" hidden="1"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spans="2:26" ht="13.5" hidden="1"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spans="2:26" ht="13.5" hidden="1"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spans="2:26" ht="13.5" hidden="1"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spans="2:26" ht="13.5" hidden="1"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spans="2:26" ht="13.5" hidden="1"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spans="2:26" ht="13.5" hidden="1"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spans="2:26" ht="13.5" hidden="1"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spans="2:26" ht="13.5" hidden="1"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spans="2:26" ht="13.5" hidden="1"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spans="2:26" ht="13.5" hidden="1"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spans="2:26" ht="13.5" hidden="1"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spans="2:26" ht="13.5" hidden="1"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spans="2:26" ht="13.5" hidden="1"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spans="2:26" ht="13.5" hidden="1"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spans="2:26" ht="13.5" hidden="1"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spans="2:26" ht="13.5" hidden="1"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spans="2:26" ht="13.5" hidden="1"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spans="2:26" ht="13.5" hidden="1"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spans="2:26" ht="13.5" hidden="1"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spans="2:26" ht="13.5" hidden="1"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spans="2:26" ht="13.5" hidden="1"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spans="2:26" ht="13.5" hidden="1"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spans="2:26" ht="13.5" hidden="1"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spans="2:26" ht="13.5" hidden="1"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spans="2:26" ht="13.5" hidden="1"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spans="2:26" ht="13.5" hidden="1"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spans="2:26" ht="13.5" hidden="1"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spans="2:26" ht="13.5" hidden="1"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spans="2:26" ht="13.5" hidden="1"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spans="2:26" ht="13.5" hidden="1"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spans="2:26" ht="13.5" hidden="1"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spans="2:26" ht="13.5" hidden="1"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spans="2:26" ht="13.5" hidden="1"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spans="2:26" ht="13.5" hidden="1"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spans="2:26" ht="13.5" hidden="1"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spans="2:26" ht="13.5" hidden="1"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spans="2:26" ht="13.5" hidden="1"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spans="2:26" ht="13.5" hidden="1"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spans="2:26" ht="13.5" hidden="1"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spans="2:26" ht="13.5" hidden="1"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spans="2:26" ht="13.5" hidden="1"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spans="2:26" ht="13.5" hidden="1"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spans="2:26" ht="13.5" hidden="1"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spans="2:26" ht="13.5" hidden="1"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spans="2:26" ht="13.5" hidden="1"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spans="2:26" ht="13.5" hidden="1"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spans="2:26" ht="13.5" hidden="1"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spans="2:26" ht="13.5" hidden="1"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spans="2:26" ht="13.5" hidden="1"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spans="2:26" ht="13.5" hidden="1"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spans="2:26" ht="13.5" hidden="1"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spans="2:26" ht="13.5" hidden="1"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spans="2:26" ht="13.5" hidden="1"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spans="2:26" ht="13.5" hidden="1"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spans="2:26" ht="13.5" hidden="1"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spans="2:26" ht="13.5" hidden="1"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spans="2:26" ht="13.5" hidden="1"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spans="2:26" ht="13.5" hidden="1"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spans="2:26" ht="13.5" hidden="1"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spans="2:26" ht="13.5" hidden="1"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spans="2:26" ht="13.5" hidden="1"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spans="2:26" ht="13.5" hidden="1"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spans="2:26" ht="13.5" hidden="1"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spans="2:26" ht="13.5" hidden="1"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spans="2:26" ht="13.5" hidden="1"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spans="2:26" ht="13.5" hidden="1"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spans="2:26" ht="13.5" hidden="1"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spans="2:26" ht="13.5" hidden="1"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spans="2:26" ht="13.5" hidden="1"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spans="2:26" ht="13.5" hidden="1"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spans="2:26" ht="13.5" hidden="1"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spans="2:26" ht="13.5" hidden="1"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spans="2:26" ht="13.5" hidden="1"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spans="2:26" ht="13.5" hidden="1"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spans="2:26" ht="13.5" hidden="1"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spans="2:26" ht="13.5" hidden="1"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spans="2:26" ht="13.5" hidden="1"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spans="2:26" ht="13.5" hidden="1"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spans="2:26" ht="13.5" hidden="1"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spans="2:26" ht="13.5" hidden="1"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spans="2:26" ht="13.5" hidden="1"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spans="2:26" ht="13.5" hidden="1"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spans="2:26" ht="13.5" hidden="1"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spans="2:26" ht="13.5" hidden="1"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spans="2:26" ht="13.5" hidden="1"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spans="2:26" ht="13.5" hidden="1"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spans="2:26" ht="13.5" hidden="1"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spans="2:26" ht="13.5" hidden="1"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spans="2:26" ht="13.5" hidden="1"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spans="2:26" ht="13.5" hidden="1"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spans="2:26" ht="13.5" hidden="1"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spans="2:26" ht="13.5" hidden="1"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spans="2:26" ht="13.5" hidden="1"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spans="2:26" ht="13.5" hidden="1"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spans="2:26" ht="13.5" hidden="1"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spans="2:26" ht="13.5" hidden="1"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spans="2:26" ht="13.5" hidden="1"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spans="2:26" ht="13.5" hidden="1"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spans="2:26" ht="13.5" hidden="1"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spans="2:26" ht="13.5" hidden="1"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spans="2:26" ht="13.5" hidden="1"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spans="2:26" ht="13.5" hidden="1"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spans="2:26" ht="13.5" hidden="1"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spans="2:26" ht="13.5" hidden="1"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spans="2:26" ht="13.5" hidden="1"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spans="2:26" ht="13.5" hidden="1"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spans="2:26" ht="13.5" hidden="1"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spans="2:26" ht="13.5" hidden="1"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spans="2:26" ht="13.5" hidden="1"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spans="2:26" ht="13.5" hidden="1"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spans="2:26" ht="13.5" hidden="1"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spans="2:26" ht="13.5" hidden="1"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spans="2:26" ht="13.5" hidden="1"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spans="2:26" ht="13.5" hidden="1"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spans="2:26" ht="13.5" hidden="1"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spans="2:26" ht="13.5" hidden="1"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spans="2:26" ht="13.5" hidden="1"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spans="2:26" ht="13.5" hidden="1"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spans="2:26" ht="13.5" hidden="1"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spans="2:26" ht="13.5" hidden="1"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spans="2:26" ht="13.5" hidden="1"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spans="2:26" ht="13.5" hidden="1"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spans="2:26" ht="13.5" hidden="1"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spans="2:26" ht="13.5" hidden="1"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spans="2:26" ht="13.5" hidden="1"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spans="2:26" ht="13.5" hidden="1"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spans="2:26" ht="13.5" hidden="1"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spans="2:26" ht="13.5" hidden="1"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spans="2:26" ht="13.5" hidden="1"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spans="2:26" ht="13.5" hidden="1"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spans="2:26" ht="13.5" hidden="1"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spans="2:26" ht="13.5" hidden="1"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spans="2:26" ht="13.5" hidden="1"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spans="2:26" ht="13.5" hidden="1"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spans="2:26" ht="13.5" hidden="1"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spans="2:26" ht="13.5" hidden="1"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spans="2:26" ht="13.5" hidden="1"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spans="2:26" ht="13.5" hidden="1"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spans="2:26" ht="13.5" hidden="1"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spans="2:26" ht="13.5" hidden="1"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spans="2:26" ht="13.5" hidden="1"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spans="2:26" ht="13.5" hidden="1"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spans="2:26" ht="13.5" hidden="1"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spans="2:26" ht="13.5" hidden="1"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spans="2:26" ht="13.5" hidden="1"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spans="2:26" ht="13.5" hidden="1"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spans="2:26" ht="13.5" hidden="1"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spans="2:26" ht="13.5" hidden="1"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spans="2:26" ht="13.5" hidden="1"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spans="2:26" ht="13.5" hidden="1"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spans="2:26" ht="13.5" hidden="1"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spans="2:26" ht="13.5" hidden="1"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spans="2:26" ht="13.5" hidden="1"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spans="2:26" ht="13.5" hidden="1"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spans="2:26" ht="13.5" hidden="1"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spans="2:26" ht="13.5" hidden="1"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spans="2:26" ht="13.5" hidden="1"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spans="2:26" ht="13.5" hidden="1"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spans="2:26" ht="13.5" hidden="1"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spans="2:26" ht="13.5" hidden="1"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spans="2:26" ht="13.5" hidden="1"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spans="2:26" ht="13.5" hidden="1"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spans="2:26" ht="13.5" hidden="1"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spans="2:26" ht="13.5" hidden="1"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spans="2:26" ht="13.5" hidden="1"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spans="2:26" ht="13.5" hidden="1"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spans="2:26" ht="13.5" hidden="1"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spans="2:26" ht="13.5" hidden="1"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spans="2:26" ht="13.5" hidden="1"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spans="2:26" ht="13.5" hidden="1"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spans="2:26" ht="13.5" hidden="1"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spans="2:26" ht="13.5" hidden="1"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spans="2:26" ht="13.5" hidden="1"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spans="2:26" ht="13.5" hidden="1"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spans="2:26" ht="13.5" hidden="1"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spans="2:26" ht="13.5" hidden="1"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spans="2:26" ht="13.5" hidden="1"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spans="2:26" ht="13.5" hidden="1"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spans="2:26" ht="13.5" hidden="1"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spans="2:26" ht="13.5" hidden="1"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spans="2:26" ht="13.5" hidden="1"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spans="2:26" ht="13.5" hidden="1"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spans="2:26" ht="13.5" hidden="1"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spans="2:26" ht="13.5" hidden="1"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spans="2:26" ht="13.5" hidden="1"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spans="2:26" ht="13.5" hidden="1"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spans="2:26" ht="13.5" hidden="1"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spans="2:26" ht="13.5" hidden="1"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spans="2:26" ht="13.5" hidden="1"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spans="2:26" ht="13.5" hidden="1"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spans="2:26" ht="13.5" hidden="1"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spans="2:26" ht="13.5" hidden="1"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spans="2:26" ht="13.5" hidden="1"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spans="2:26" ht="13.5" hidden="1"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spans="2:26" ht="13.5" hidden="1"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spans="2:26" ht="13.5" hidden="1"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spans="2:26" ht="13.5" hidden="1"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spans="2:26" ht="13.5" hidden="1"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spans="2:26" ht="13.5" hidden="1"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spans="2:26" ht="13.5" hidden="1"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spans="2:26" ht="13.5" hidden="1"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spans="2:26" ht="13.5" hidden="1"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spans="2:26" ht="13.5" hidden="1"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spans="2:26" ht="13.5" hidden="1"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spans="2:26" ht="13.5" hidden="1"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spans="2:26" ht="13.5" hidden="1"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spans="2:26" ht="13.5" hidden="1"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spans="2:26" ht="13.5" hidden="1"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spans="2:26" ht="13.5" hidden="1"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spans="2:26" ht="13.5" hidden="1"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spans="2:26" ht="13.5" hidden="1"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spans="2:26" ht="13.5" hidden="1"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spans="2:26" ht="13.5" hidden="1"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spans="2:26" ht="13.5" hidden="1"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spans="2:26" ht="13.5" hidden="1"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spans="2:26" ht="13.5" hidden="1"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spans="2:26" ht="13.5" hidden="1"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spans="2:26" ht="13.5" hidden="1"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spans="2:26" ht="13.5" hidden="1"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spans="2:26" ht="13.5" hidden="1"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spans="2:26" ht="13.5" hidden="1"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spans="2:26" ht="13.5" hidden="1"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spans="2:26" ht="13.5" hidden="1"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spans="2:26" ht="13.5" hidden="1"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spans="2:26" ht="13.5" hidden="1"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spans="2:26" ht="13.5" hidden="1"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spans="2:26" ht="13.5" hidden="1"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spans="2:26" ht="13.5" hidden="1"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spans="2:26" ht="13.5" hidden="1"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spans="2:26" ht="13.5" hidden="1"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spans="2:26" ht="13.5" hidden="1"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spans="2:26" ht="13.5" hidden="1"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spans="2:26" ht="13.5" hidden="1"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spans="2:26" ht="13.5" hidden="1"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spans="2:26" ht="13.5" hidden="1"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spans="2:26" ht="13.5" hidden="1"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spans="2:26" ht="13.5" hidden="1"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spans="2:26" ht="13.5" hidden="1"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spans="2:26" ht="13.5" hidden="1"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spans="2:26" ht="13.5" hidden="1"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spans="2:26" ht="13.5" hidden="1"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spans="2:26" ht="13.5" hidden="1"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spans="2:26" ht="13.5" hidden="1"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spans="2:26" ht="13.5" hidden="1"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spans="2:26" ht="13.5" hidden="1"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spans="2:26" ht="13.5" hidden="1"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spans="2:26" ht="13.5" hidden="1"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spans="2:26" ht="13.5" hidden="1"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spans="2:26" ht="13.5" hidden="1"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spans="2:26" ht="13.5" hidden="1"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spans="2:26" ht="13.5" hidden="1"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spans="2:26" ht="13.5" hidden="1"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spans="2:26" ht="13.5" hidden="1"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spans="2:26" ht="13.5" hidden="1"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spans="2:26" ht="13.5" hidden="1"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spans="2:26" ht="13.5" hidden="1"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spans="2:26" ht="13.5" hidden="1"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spans="2:26" ht="13.5" hidden="1"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spans="2:26" ht="13.5" hidden="1"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spans="2:26" ht="13.5" hidden="1"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spans="2:26" ht="13.5" hidden="1"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spans="2:26" ht="13.5" hidden="1"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spans="2:26" ht="13.5" hidden="1"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spans="2:26" ht="13.5" hidden="1"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spans="2:26" ht="13.5" hidden="1"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spans="2:26" ht="13.5" hidden="1"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spans="2:26" ht="13.5" hidden="1"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spans="2:26" ht="13.5" hidden="1"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spans="2:26" ht="13.5" hidden="1"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spans="2:26" ht="13.5" hidden="1"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spans="2:26" ht="13.5" hidden="1"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spans="2:26" ht="13.5" hidden="1"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spans="2:26" ht="13.5" hidden="1"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spans="2:26" ht="13.5" hidden="1"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spans="2:26" ht="13.5" hidden="1"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spans="2:26" ht="13.5" hidden="1"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spans="2:26" ht="13.5" hidden="1"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spans="2:26" ht="13.5" hidden="1"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spans="2:26" ht="13.5" hidden="1"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spans="2:26" ht="13.5" hidden="1"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spans="2:26" ht="13.5" hidden="1"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spans="2:26" ht="13.5" hidden="1"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spans="2:26" ht="13.5" hidden="1"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spans="2:26" ht="13.5" hidden="1"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spans="2:26" ht="13.5" hidden="1"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spans="2:26" ht="13.5" hidden="1"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spans="2:26" ht="13.5" hidden="1"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spans="2:26" ht="13.5" hidden="1"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spans="2:26" ht="13.5" hidden="1"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spans="2:26" ht="13.5" hidden="1"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spans="2:26" ht="13.5" hidden="1"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spans="2:26" ht="13.5" hidden="1"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spans="2:26" ht="13.5" hidden="1"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spans="2:26" ht="13.5" hidden="1"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spans="2:26" ht="13.5" hidden="1"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spans="2:26" ht="13.5" hidden="1"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교육과정편제표(K-POP공연예술과)</vt:lpstr>
      <vt:lpstr>실무과목 능력단위(K-POP공연예술과)</vt:lpstr>
      <vt:lpstr>삭제금지</vt:lpstr>
      <vt:lpstr>(참고1) 편성 기준🔐</vt:lpstr>
      <vt:lpstr>'교육과정편제표(K-POP공연예술과)'!Print_Area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정수 박</cp:lastModifiedBy>
  <cp:lastPrinted>2026-10-21T08:23:51Z</cp:lastPrinted>
  <dcterms:created xsi:type="dcterms:W3CDTF">2020-03-04T02:26:59Z</dcterms:created>
  <dcterms:modified xsi:type="dcterms:W3CDTF">2026-10-26T07:46:10Z</dcterms:modified>
</cp:coreProperties>
</file>